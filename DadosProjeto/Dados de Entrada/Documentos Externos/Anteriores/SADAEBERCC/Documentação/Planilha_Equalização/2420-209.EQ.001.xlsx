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N:\GERAL2\Comercial\Propostas\2025\SADA\Eber\Montagem Processo\Documentos Cliente\SADAEBERCC\Documentação\Planilha_Equalização\"/>
    </mc:Choice>
  </mc:AlternateContent>
  <xr:revisionPtr revIDLastSave="0" documentId="13_ncr:1_{C231943E-197C-4BF3-BCBB-E99D1B12C871}" xr6:coauthVersionLast="47" xr6:coauthVersionMax="47" xr10:uidLastSave="{00000000-0000-0000-0000-000000000000}"/>
  <bookViews>
    <workbookView xWindow="-120" yWindow="-120" windowWidth="29040" windowHeight="15720" tabRatio="856" activeTab="4" xr2:uid="{00000000-000D-0000-FFFF-FFFF00000000}"/>
  </bookViews>
  <sheets>
    <sheet name="CONDIÇÕES GERAIS" sheetId="15" r:id="rId1"/>
    <sheet name="CRO_EQ_PRO_TEC" sheetId="7" r:id="rId2"/>
    <sheet name="HST_COLAB_PRO_TEC" sheetId="17" r:id="rId3"/>
    <sheet name="HST_EQ_PRO_TEC" sheetId="20" r:id="rId4"/>
    <sheet name="CONDIÇÕES COMERCIAIS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8" l="1"/>
  <c r="D35" i="18"/>
  <c r="H4" i="20"/>
  <c r="H4" i="18"/>
  <c r="H4" i="17"/>
  <c r="H4" i="7"/>
  <c r="H4" i="15"/>
</calcChain>
</file>

<file path=xl/sharedStrings.xml><?xml version="1.0" encoding="utf-8"?>
<sst xmlns="http://schemas.openxmlformats.org/spreadsheetml/2006/main" count="510" uniqueCount="169">
  <si>
    <t>-</t>
  </si>
  <si>
    <t>Fabricante / Fornecedor</t>
  </si>
  <si>
    <t>Proposta</t>
  </si>
  <si>
    <t>Unid.</t>
  </si>
  <si>
    <t>Observações</t>
  </si>
  <si>
    <t>Por:</t>
  </si>
  <si>
    <t>Apr:</t>
  </si>
  <si>
    <t xml:space="preserve">Doc: </t>
  </si>
  <si>
    <t xml:space="preserve">Rev.:          </t>
  </si>
  <si>
    <t xml:space="preserve">Folha:      </t>
  </si>
  <si>
    <t xml:space="preserve">Data:   </t>
  </si>
  <si>
    <t>OS.:</t>
  </si>
  <si>
    <t>Cliente: COFCO BRASIL S.A</t>
  </si>
  <si>
    <t>Rangel</t>
  </si>
  <si>
    <t>Cronograma</t>
  </si>
  <si>
    <t>Histograma</t>
  </si>
  <si>
    <t>Mobilização</t>
  </si>
  <si>
    <t>Dias úteis após PED</t>
  </si>
  <si>
    <t>Prazo total de execução</t>
  </si>
  <si>
    <t>Dias Corridos</t>
  </si>
  <si>
    <t>Entrega de Materiais</t>
  </si>
  <si>
    <t>Comissionamento</t>
  </si>
  <si>
    <t>Stat-UP/Operação Assistida</t>
  </si>
  <si>
    <t>Montagem Eletromecânica</t>
  </si>
  <si>
    <t>Fabricação de Pipe Rack's</t>
  </si>
  <si>
    <t>Montagem de Pipe Rack's</t>
  </si>
  <si>
    <t>Fabricação de Suportes Leito/Eletroduto</t>
  </si>
  <si>
    <t>Instalação de Suportes Leito/Eletroduto</t>
  </si>
  <si>
    <t>Montagem de Leitos</t>
  </si>
  <si>
    <t>Montagem de Eletrocalhas</t>
  </si>
  <si>
    <t>Montagem de Eletrodutos</t>
  </si>
  <si>
    <t>Movimentação e Posicionamento CCM</t>
  </si>
  <si>
    <t>Movimentação e Posicionamento Remota</t>
  </si>
  <si>
    <t>Fabricação de Suportes de Instrumentos</t>
  </si>
  <si>
    <t>Instalação de Instrumentos</t>
  </si>
  <si>
    <t>Montagem de Potes de Selagem</t>
  </si>
  <si>
    <t>Montagem de Tubing Inox</t>
  </si>
  <si>
    <t>Lançamento de Cabos de Potência</t>
  </si>
  <si>
    <t>Lançamento de Cabos de Sinal e Comando</t>
  </si>
  <si>
    <t>Lançamento de Cabos de Fibra Óptica</t>
  </si>
  <si>
    <t xml:space="preserve">Lançamento Cabos Comando entre CCM e PLC </t>
  </si>
  <si>
    <t>Interligações em Campo Força e Comando</t>
  </si>
  <si>
    <t>Interligações em Campo Instrumentação</t>
  </si>
  <si>
    <t>Interligações em Campo Iluminação</t>
  </si>
  <si>
    <t>Interligações CCM, Remotas</t>
  </si>
  <si>
    <t>Fusão e Certificação de Fibra Ópttica</t>
  </si>
  <si>
    <t>Comissionamento Automação</t>
  </si>
  <si>
    <t>Startup e Partida Assistida</t>
  </si>
  <si>
    <t>As Built</t>
  </si>
  <si>
    <t>Desmobilização</t>
  </si>
  <si>
    <t>Relatórios e Data Book</t>
  </si>
  <si>
    <t>Dias</t>
  </si>
  <si>
    <t>Prazo Total</t>
  </si>
  <si>
    <t>Data de Projeto</t>
  </si>
  <si>
    <t>Entrega de Materias</t>
  </si>
  <si>
    <t>Lançamento de Cabos</t>
  </si>
  <si>
    <t>Interligaçao</t>
  </si>
  <si>
    <t>Instalação CCM e Remota</t>
  </si>
  <si>
    <t>Instalação e Periféricos</t>
  </si>
  <si>
    <t>Startup</t>
  </si>
  <si>
    <t>Book</t>
  </si>
  <si>
    <t>Total de mão de Obra empregada</t>
  </si>
  <si>
    <t>Total de Horas Empregadas</t>
  </si>
  <si>
    <t>nº de recursos</t>
  </si>
  <si>
    <t>Cliente: EBER BIO-ENERGIA</t>
  </si>
  <si>
    <t xml:space="preserve">PROPOSTAS TÉCNICAS </t>
  </si>
  <si>
    <t>Data Máxima para Integração e Mobilização e Início: XX/XX/XXXX</t>
  </si>
  <si>
    <t>Data Máxima para Término das Montagens eletromecânicas:XX/XX/XXXX</t>
  </si>
  <si>
    <t>Data Máxima para Término da instalação dos painéis de Remota: XX/XX/XXXX</t>
  </si>
  <si>
    <t>Data Máxima para Término da Lançamentos dos cabos EIA: XX/XX/XXXX</t>
  </si>
  <si>
    <t>Data Máxima para Término da Interligação dos cabos Painéis e Campo EIA: XX/XX/XXXX</t>
  </si>
  <si>
    <t>Data Máxima para Início para Comissionamento e StartUp: XX/XX/XXXX</t>
  </si>
  <si>
    <t>Data Máxima para Término para Comissionamento e StartUp: XX/XX/XXXX</t>
  </si>
  <si>
    <t>01 de 3</t>
  </si>
  <si>
    <t>Aulino</t>
  </si>
  <si>
    <t>Base civil para Suportação</t>
  </si>
  <si>
    <t>Comissionamento Instrumentação</t>
  </si>
  <si>
    <t xml:space="preserve">SEMANA 0 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</si>
  <si>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</si>
  <si>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</si>
  <si>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</si>
  <si>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</si>
  <si>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</si>
  <si>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</si>
  <si>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</si>
  <si>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</si>
  <si>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</si>
  <si>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</si>
  <si>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</si>
  <si>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</si>
  <si>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</si>
  <si>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</si>
  <si>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</si>
  <si>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</si>
  <si>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</si>
  <si>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</si>
  <si>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</si>
  <si>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</si>
  <si>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R$</t>
  </si>
  <si>
    <t>Mobilização /  Pipe Shop</t>
  </si>
  <si>
    <t>Mão de Obra</t>
  </si>
  <si>
    <t>Infraestrutura Eletromecânica (Leitos)</t>
  </si>
  <si>
    <t>Infraestrutura Eletromecânica (Eletrocalhas)</t>
  </si>
  <si>
    <t>Infraestrutura Eletromecânica (Eletrodutos)</t>
  </si>
  <si>
    <t>Infraestrutura Cabeamento de Potência</t>
  </si>
  <si>
    <t>Infraestrutura Cabeamento de Comando</t>
  </si>
  <si>
    <t>Infraestrutura Cabeamento de Instrumentação</t>
  </si>
  <si>
    <t>Infraestrutura Cabeamento de Fibra óptica</t>
  </si>
  <si>
    <t>Infraestrutura Cabeamento de Rede</t>
  </si>
  <si>
    <t>Infraestrutura Suportação</t>
  </si>
  <si>
    <t>Maquinário (Plataformas elevatórias, Guinchos, etc)</t>
  </si>
  <si>
    <t>Material em Geral (Misselânias, Consumíveis, etc)</t>
  </si>
  <si>
    <t xml:space="preserve">Custo Total </t>
  </si>
  <si>
    <t>Custo Total + Impostos</t>
  </si>
  <si>
    <t>PROPOSTA COMERCIAL</t>
  </si>
  <si>
    <t>Nome da Empresa</t>
  </si>
  <si>
    <t>INFRA E CAB PARA PLANTA DE MILHO - Rev_00</t>
  </si>
  <si>
    <t>Projeto: CONTRATAÇÃO DE SERVIÇO DE MONTAGEM ELETROMECÂNCIA E INTERLIGAÇÃO DE POTÊNCIA, INSTRUMENTAÇÃO E AUTOMAÇÃO (SINAL E CONTROLE).</t>
  </si>
  <si>
    <t>CROGRAMA - INFRA E CAB PARA PLANTA DE MILHO - Rev_00</t>
  </si>
  <si>
    <t>Ver:</t>
  </si>
  <si>
    <t>HISTOGRAMA DE COLABORADORES</t>
  </si>
  <si>
    <t>HISTOGRAMA DE EQUIPAMENTO</t>
  </si>
  <si>
    <t>Data para Mobilização:</t>
  </si>
  <si>
    <t>Data para Comissionamento:</t>
  </si>
  <si>
    <t>Data de Finalização Projeto:</t>
  </si>
  <si>
    <t>COMERCIAL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</si>
  <si>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</si>
  <si>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</si>
  <si>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</si>
  <si>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</si>
  <si>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</si>
  <si>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</si>
  <si>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</si>
  <si>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</si>
  <si>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</si>
  <si>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</si>
  <si>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</si>
  <si>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</si>
  <si>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</si>
  <si>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</si>
  <si>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</si>
  <si>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</si>
  <si>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</si>
  <si>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</si>
  <si>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</si>
  <si>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</si>
  <si>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</si>
  <si>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</si>
  <si>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</si>
  <si>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</si>
  <si>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Total de mão de Equipamento empregado</t>
  </si>
  <si>
    <t>2420-209.EQ.001</t>
  </si>
  <si>
    <t>2420-209.EQ.002</t>
  </si>
  <si>
    <t>2420-209.EQ.003</t>
  </si>
  <si>
    <t>2420-209.EQ.004</t>
  </si>
  <si>
    <t>2420-209.EQ.005</t>
  </si>
  <si>
    <t>no mínimo 30 dias do pedido</t>
  </si>
  <si>
    <t>180 dias da mobilização</t>
  </si>
  <si>
    <t>Conforme cronograma</t>
  </si>
  <si>
    <t>210 dias</t>
  </si>
  <si>
    <t>45 dias</t>
  </si>
  <si>
    <t>Comissionamento, Start Up e Operação Assistida</t>
  </si>
  <si>
    <t>Engenharia Interna</t>
  </si>
  <si>
    <t>Luminárias e Projetores</t>
  </si>
  <si>
    <t>Infraestrutura Eletromecânica (Eletrodutos) - Iluminação</t>
  </si>
  <si>
    <t>Infraestrutura Suportação - Iluminação</t>
  </si>
  <si>
    <t>Infraestrutura Cabeamento - Iluminação</t>
  </si>
  <si>
    <t>Infraestrutura Botoeiras</t>
  </si>
  <si>
    <t>Painéis Média Tensão, QDFL´s e Quadros de Tomadas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</si>
</sst>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b/>
      <sz val="9"/>
      <color rgb="FFFF000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4" fontId="3" fillId="0" borderId="1" xfId="0" quotePrefix="1" applyNumberFormat="1" applyFont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5" xfId="0" applyFont="1" applyBorder="1" applyAlignment="1">
      <alignment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justify" vertical="center"/>
    </xf>
    <xf numFmtId="0" fontId="9" fillId="2" borderId="9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0" xfId="0" applyNumberFormat="1" applyFont="1"/>
    <xf numFmtId="0" fontId="6" fillId="0" borderId="7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4" fontId="2" fillId="0" borderId="35" xfId="0" applyNumberFormat="1" applyFont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20" xfId="0" applyFont="1" applyFill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vertical="center"/>
    </xf>
    <xf numFmtId="14" fontId="2" fillId="0" borderId="2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" fontId="3" fillId="2" borderId="9" xfId="0" applyNumberFormat="1" applyFont="1" applyFill="1" applyBorder="1" applyAlignment="1">
      <alignment horizontal="center" vertical="center" wrapText="1"/>
    </xf>
    <xf numFmtId="3" fontId="3" fillId="2" borderId="9" xfId="0" applyNumberFormat="1" applyFont="1" applyFill="1" applyBorder="1" applyAlignment="1">
      <alignment horizontal="center" vertical="center" wrapText="1"/>
    </xf>
    <xf numFmtId="44" fontId="2" fillId="2" borderId="9" xfId="1" applyFont="1" applyFill="1" applyBorder="1" applyAlignment="1">
      <alignment horizontal="center" vertical="center" wrapText="1"/>
    </xf>
    <xf numFmtId="44" fontId="3" fillId="2" borderId="9" xfId="0" applyNumberFormat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48173</xdr:colOff>
      <xdr:row>0</xdr:row>
      <xdr:rowOff>104160</xdr:rowOff>
    </xdr:from>
    <xdr:to>
      <xdr:col>1</xdr:col>
      <xdr:colOff>1448500</xdr:colOff>
      <xdr:row>3</xdr:row>
      <xdr:rowOff>22098</xdr:rowOff>
    </xdr:to>
    <xdr:pic>
      <xdr:nvPicPr>
        <xdr:cNvPr id="2" name="Imagem 1" descr="LOGO-eber">
          <a:extLst>
            <a:ext uri="{FF2B5EF4-FFF2-40B4-BE49-F238E27FC236}">
              <a16:creationId xmlns:a16="http://schemas.microsoft.com/office/drawing/2014/main" id="{8034F71E-BAF1-4AE3-9DEE-FDD2D6713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3" y="104160"/>
          <a:ext cx="1641189" cy="4960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1542931</xdr:colOff>
      <xdr:row>0</xdr:row>
      <xdr:rowOff>77682</xdr:rowOff>
    </xdr:from>
    <xdr:to>
      <xdr:col>2</xdr:col>
      <xdr:colOff>7628</xdr:colOff>
      <xdr:row>3</xdr:row>
      <xdr:rowOff>71821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B0D8C0-18B7-4592-8670-98614B34A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793" y="77682"/>
          <a:ext cx="1366866" cy="572208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</xdr:colOff>
      <xdr:row>6</xdr:row>
      <xdr:rowOff>48847</xdr:rowOff>
    </xdr:from>
    <xdr:to>
      <xdr:col>0</xdr:col>
      <xdr:colOff>214922</xdr:colOff>
      <xdr:row>6</xdr:row>
      <xdr:rowOff>249116</xdr:rowOff>
    </xdr:to>
    <xdr:pic>
      <xdr:nvPicPr>
        <xdr:cNvPr id="4" name="Gráfico 3" descr="Área de Transferência Toda Marcada estrutura de tópicos">
          <a:extLst>
            <a:ext uri="{FF2B5EF4-FFF2-40B4-BE49-F238E27FC236}">
              <a16:creationId xmlns:a16="http://schemas.microsoft.com/office/drawing/2014/main" id="{30936D00-2075-4C62-A28C-E1F81B68E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3" y="1266295"/>
          <a:ext cx="200269" cy="20026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29309</xdr:colOff>
      <xdr:row>7</xdr:row>
      <xdr:rowOff>29310</xdr:rowOff>
    </xdr:from>
    <xdr:to>
      <xdr:col>1</xdr:col>
      <xdr:colOff>8255</xdr:colOff>
      <xdr:row>7</xdr:row>
      <xdr:rowOff>249118</xdr:rowOff>
    </xdr:to>
    <xdr:pic>
      <xdr:nvPicPr>
        <xdr:cNvPr id="5" name="Gráfico 4" descr="Arquitetura estrutura de tópicos">
          <a:extLst>
            <a:ext uri="{FF2B5EF4-FFF2-40B4-BE49-F238E27FC236}">
              <a16:creationId xmlns:a16="http://schemas.microsoft.com/office/drawing/2014/main" id="{DFB8F26B-FEC9-41FD-BE85-991160E9F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09" y="1500758"/>
          <a:ext cx="219808" cy="219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8253</xdr:colOff>
      <xdr:row>5</xdr:row>
      <xdr:rowOff>249115</xdr:rowOff>
    </xdr:to>
    <xdr:pic>
      <xdr:nvPicPr>
        <xdr:cNvPr id="6" name="Gráfico 5" descr="Carrinho estrutura de tópicos">
          <a:extLst>
            <a:ext uri="{FF2B5EF4-FFF2-40B4-BE49-F238E27FC236}">
              <a16:creationId xmlns:a16="http://schemas.microsoft.com/office/drawing/2014/main" id="{EDBB806F-D463-407E-B7F2-42B8E1043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963448"/>
          <a:ext cx="249115" cy="249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113713</xdr:rowOff>
    </xdr:from>
    <xdr:to>
      <xdr:col>1</xdr:col>
      <xdr:colOff>1406189</xdr:colOff>
      <xdr:row>3</xdr:row>
      <xdr:rowOff>40443</xdr:rowOff>
    </xdr:to>
    <xdr:pic>
      <xdr:nvPicPr>
        <xdr:cNvPr id="5" name="Imagem 4" descr="LOGO-eber">
          <a:extLst>
            <a:ext uri="{FF2B5EF4-FFF2-40B4-BE49-F238E27FC236}">
              <a16:creationId xmlns:a16="http://schemas.microsoft.com/office/drawing/2014/main" id="{95955D0A-70C1-4958-9DBD-9106F8837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13713"/>
          <a:ext cx="1634789" cy="498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1487658</xdr:colOff>
      <xdr:row>0</xdr:row>
      <xdr:rowOff>60960</xdr:rowOff>
    </xdr:from>
    <xdr:to>
      <xdr:col>1</xdr:col>
      <xdr:colOff>2825949</xdr:colOff>
      <xdr:row>3</xdr:row>
      <xdr:rowOff>63891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E6D34CC-4768-4FC8-AB5A-5EB414BDD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3878" y="60960"/>
          <a:ext cx="1366866" cy="574431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</xdr:colOff>
      <xdr:row>6</xdr:row>
      <xdr:rowOff>48847</xdr:rowOff>
    </xdr:from>
    <xdr:to>
      <xdr:col>0</xdr:col>
      <xdr:colOff>214922</xdr:colOff>
      <xdr:row>7</xdr:row>
      <xdr:rowOff>1</xdr:rowOff>
    </xdr:to>
    <xdr:pic>
      <xdr:nvPicPr>
        <xdr:cNvPr id="2" name="Gráfico 1" descr="Área de Transferência Toda Marcada estrutura de tópicos">
          <a:extLst>
            <a:ext uri="{FF2B5EF4-FFF2-40B4-BE49-F238E27FC236}">
              <a16:creationId xmlns:a16="http://schemas.microsoft.com/office/drawing/2014/main" id="{FD2FA29A-13B5-4F84-9E5F-0CA958323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3" y="1216270"/>
          <a:ext cx="200269" cy="20026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29309</xdr:colOff>
      <xdr:row>7</xdr:row>
      <xdr:rowOff>29310</xdr:rowOff>
    </xdr:from>
    <xdr:to>
      <xdr:col>1</xdr:col>
      <xdr:colOff>9771</xdr:colOff>
      <xdr:row>8</xdr:row>
      <xdr:rowOff>2</xdr:rowOff>
    </xdr:to>
    <xdr:pic>
      <xdr:nvPicPr>
        <xdr:cNvPr id="3" name="Gráfico 2" descr="Arquitetura estrutura de tópicos">
          <a:extLst>
            <a:ext uri="{FF2B5EF4-FFF2-40B4-BE49-F238E27FC236}">
              <a16:creationId xmlns:a16="http://schemas.microsoft.com/office/drawing/2014/main" id="{A280F17F-BD76-4660-AADD-6731712A0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09" y="1450733"/>
          <a:ext cx="219808" cy="219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9769</xdr:colOff>
      <xdr:row>5</xdr:row>
      <xdr:rowOff>249115</xdr:rowOff>
    </xdr:to>
    <xdr:pic>
      <xdr:nvPicPr>
        <xdr:cNvPr id="4" name="Gráfico 3" descr="Carrinho estrutura de tópicos">
          <a:extLst>
            <a:ext uri="{FF2B5EF4-FFF2-40B4-BE49-F238E27FC236}">
              <a16:creationId xmlns:a16="http://schemas.microsoft.com/office/drawing/2014/main" id="{F5653E9B-CC79-415D-AF90-D12AA3622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913423"/>
          <a:ext cx="249115" cy="2491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134821</xdr:rowOff>
    </xdr:from>
    <xdr:to>
      <xdr:col>1</xdr:col>
      <xdr:colOff>1398569</xdr:colOff>
      <xdr:row>3</xdr:row>
      <xdr:rowOff>58621</xdr:rowOff>
    </xdr:to>
    <xdr:pic>
      <xdr:nvPicPr>
        <xdr:cNvPr id="3" name="Imagem 2" descr="LOGO-eber">
          <a:extLst>
            <a:ext uri="{FF2B5EF4-FFF2-40B4-BE49-F238E27FC236}">
              <a16:creationId xmlns:a16="http://schemas.microsoft.com/office/drawing/2014/main" id="{BFFF5A32-EEF8-4A67-A20C-2F7DD34C3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821"/>
          <a:ext cx="1633031" cy="5040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1480038</xdr:colOff>
      <xdr:row>0</xdr:row>
      <xdr:rowOff>82068</xdr:rowOff>
    </xdr:from>
    <xdr:to>
      <xdr:col>1</xdr:col>
      <xdr:colOff>2808804</xdr:colOff>
      <xdr:row>3</xdr:row>
      <xdr:rowOff>84999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CD42A7D-014A-4E3C-824B-736235940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2068"/>
          <a:ext cx="1366866" cy="583223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</xdr:colOff>
      <xdr:row>6</xdr:row>
      <xdr:rowOff>48847</xdr:rowOff>
    </xdr:from>
    <xdr:to>
      <xdr:col>0</xdr:col>
      <xdr:colOff>214922</xdr:colOff>
      <xdr:row>7</xdr:row>
      <xdr:rowOff>0</xdr:rowOff>
    </xdr:to>
    <xdr:pic>
      <xdr:nvPicPr>
        <xdr:cNvPr id="2" name="Gráfico 1" descr="Área de Transferência Toda Marcada estrutura de tópicos">
          <a:extLst>
            <a:ext uri="{FF2B5EF4-FFF2-40B4-BE49-F238E27FC236}">
              <a16:creationId xmlns:a16="http://schemas.microsoft.com/office/drawing/2014/main" id="{FDD29D4B-3B7B-4446-B64C-475575B54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3" y="1255347"/>
          <a:ext cx="200269" cy="20026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29309</xdr:colOff>
      <xdr:row>7</xdr:row>
      <xdr:rowOff>29310</xdr:rowOff>
    </xdr:from>
    <xdr:to>
      <xdr:col>1</xdr:col>
      <xdr:colOff>9771</xdr:colOff>
      <xdr:row>8</xdr:row>
      <xdr:rowOff>3</xdr:rowOff>
    </xdr:to>
    <xdr:pic>
      <xdr:nvPicPr>
        <xdr:cNvPr id="5" name="Gráfico 4" descr="Arquitetura estrutura de tópicos">
          <a:extLst>
            <a:ext uri="{FF2B5EF4-FFF2-40B4-BE49-F238E27FC236}">
              <a16:creationId xmlns:a16="http://schemas.microsoft.com/office/drawing/2014/main" id="{3B525A2D-462F-4E58-8D4A-0D6F71C49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09" y="1489810"/>
          <a:ext cx="219808" cy="219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9769</xdr:colOff>
      <xdr:row>6</xdr:row>
      <xdr:rowOff>0</xdr:rowOff>
    </xdr:to>
    <xdr:pic>
      <xdr:nvPicPr>
        <xdr:cNvPr id="6" name="Gráfico 5" descr="Carrinho estrutura de tópicos">
          <a:extLst>
            <a:ext uri="{FF2B5EF4-FFF2-40B4-BE49-F238E27FC236}">
              <a16:creationId xmlns:a16="http://schemas.microsoft.com/office/drawing/2014/main" id="{93FB39CA-F6A0-4D9D-9D92-EDBDE05A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952500"/>
          <a:ext cx="249115" cy="2491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134821</xdr:rowOff>
    </xdr:from>
    <xdr:to>
      <xdr:col>1</xdr:col>
      <xdr:colOff>1398569</xdr:colOff>
      <xdr:row>3</xdr:row>
      <xdr:rowOff>58621</xdr:rowOff>
    </xdr:to>
    <xdr:pic>
      <xdr:nvPicPr>
        <xdr:cNvPr id="2" name="Imagem 1" descr="LOGO-eber">
          <a:extLst>
            <a:ext uri="{FF2B5EF4-FFF2-40B4-BE49-F238E27FC236}">
              <a16:creationId xmlns:a16="http://schemas.microsoft.com/office/drawing/2014/main" id="{523F7210-2BF8-4778-92EB-3FC77E3C4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821"/>
          <a:ext cx="1639869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1480038</xdr:colOff>
      <xdr:row>0</xdr:row>
      <xdr:rowOff>82068</xdr:rowOff>
    </xdr:from>
    <xdr:to>
      <xdr:col>1</xdr:col>
      <xdr:colOff>2846904</xdr:colOff>
      <xdr:row>3</xdr:row>
      <xdr:rowOff>84999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594695-AF06-479B-B1D1-FAC3F12E1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1338" y="82068"/>
          <a:ext cx="1366866" cy="574431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</xdr:colOff>
      <xdr:row>6</xdr:row>
      <xdr:rowOff>48847</xdr:rowOff>
    </xdr:from>
    <xdr:to>
      <xdr:col>0</xdr:col>
      <xdr:colOff>214922</xdr:colOff>
      <xdr:row>6</xdr:row>
      <xdr:rowOff>249116</xdr:rowOff>
    </xdr:to>
    <xdr:pic>
      <xdr:nvPicPr>
        <xdr:cNvPr id="4" name="Gráfico 3" descr="Área de Transferência Toda Marcada estrutura de tópicos">
          <a:extLst>
            <a:ext uri="{FF2B5EF4-FFF2-40B4-BE49-F238E27FC236}">
              <a16:creationId xmlns:a16="http://schemas.microsoft.com/office/drawing/2014/main" id="{85A80ECF-2AD6-46A7-930B-587604936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3" y="1255347"/>
          <a:ext cx="200269" cy="20026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29309</xdr:colOff>
      <xdr:row>7</xdr:row>
      <xdr:rowOff>29310</xdr:rowOff>
    </xdr:from>
    <xdr:to>
      <xdr:col>1</xdr:col>
      <xdr:colOff>9771</xdr:colOff>
      <xdr:row>7</xdr:row>
      <xdr:rowOff>249118</xdr:rowOff>
    </xdr:to>
    <xdr:pic>
      <xdr:nvPicPr>
        <xdr:cNvPr id="5" name="Gráfico 4" descr="Arquitetura estrutura de tópicos">
          <a:extLst>
            <a:ext uri="{FF2B5EF4-FFF2-40B4-BE49-F238E27FC236}">
              <a16:creationId xmlns:a16="http://schemas.microsoft.com/office/drawing/2014/main" id="{8DC8C39D-C016-4A18-BDB9-E30B546AA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09" y="1489810"/>
          <a:ext cx="221762" cy="219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9769</xdr:colOff>
      <xdr:row>5</xdr:row>
      <xdr:rowOff>249115</xdr:rowOff>
    </xdr:to>
    <xdr:pic>
      <xdr:nvPicPr>
        <xdr:cNvPr id="6" name="Gráfico 5" descr="Carrinho estrutura de tópicos">
          <a:extLst>
            <a:ext uri="{FF2B5EF4-FFF2-40B4-BE49-F238E27FC236}">
              <a16:creationId xmlns:a16="http://schemas.microsoft.com/office/drawing/2014/main" id="{A408DF67-8427-4440-8C5B-4BFED7F69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952500"/>
          <a:ext cx="251069" cy="2491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128953</xdr:rowOff>
    </xdr:from>
    <xdr:to>
      <xdr:col>1</xdr:col>
      <xdr:colOff>1398569</xdr:colOff>
      <xdr:row>3</xdr:row>
      <xdr:rowOff>52753</xdr:rowOff>
    </xdr:to>
    <xdr:pic>
      <xdr:nvPicPr>
        <xdr:cNvPr id="2" name="Imagem 1" descr="LOGO-eber">
          <a:extLst>
            <a:ext uri="{FF2B5EF4-FFF2-40B4-BE49-F238E27FC236}">
              <a16:creationId xmlns:a16="http://schemas.microsoft.com/office/drawing/2014/main" id="{4BFF538D-34C6-4918-8A9D-BFCD29BFA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953"/>
          <a:ext cx="1633031" cy="5040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1480038</xdr:colOff>
      <xdr:row>0</xdr:row>
      <xdr:rowOff>76200</xdr:rowOff>
    </xdr:from>
    <xdr:to>
      <xdr:col>1</xdr:col>
      <xdr:colOff>2808804</xdr:colOff>
      <xdr:row>3</xdr:row>
      <xdr:rowOff>79131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8BEC33-357E-431C-A400-D1C3AE029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76200"/>
          <a:ext cx="1366866" cy="583223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</xdr:colOff>
      <xdr:row>6</xdr:row>
      <xdr:rowOff>35169</xdr:rowOff>
    </xdr:from>
    <xdr:to>
      <xdr:col>0</xdr:col>
      <xdr:colOff>214922</xdr:colOff>
      <xdr:row>6</xdr:row>
      <xdr:rowOff>235438</xdr:rowOff>
    </xdr:to>
    <xdr:pic>
      <xdr:nvPicPr>
        <xdr:cNvPr id="7" name="Gráfico 6" descr="Área de Transferência Toda Marcada estrutura de tópicos">
          <a:extLst>
            <a:ext uri="{FF2B5EF4-FFF2-40B4-BE49-F238E27FC236}">
              <a16:creationId xmlns:a16="http://schemas.microsoft.com/office/drawing/2014/main" id="{A6B8B02F-D5A6-6C83-E9C3-772F3AF0D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653" y="1241669"/>
          <a:ext cx="200269" cy="20026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29309</xdr:colOff>
      <xdr:row>7</xdr:row>
      <xdr:rowOff>15632</xdr:rowOff>
    </xdr:from>
    <xdr:to>
      <xdr:col>1</xdr:col>
      <xdr:colOff>9771</xdr:colOff>
      <xdr:row>7</xdr:row>
      <xdr:rowOff>235440</xdr:rowOff>
    </xdr:to>
    <xdr:pic>
      <xdr:nvPicPr>
        <xdr:cNvPr id="9" name="Gráfico 8" descr="Arquitetura estrutura de tópicos">
          <a:extLst>
            <a:ext uri="{FF2B5EF4-FFF2-40B4-BE49-F238E27FC236}">
              <a16:creationId xmlns:a16="http://schemas.microsoft.com/office/drawing/2014/main" id="{0F89EFE4-29C5-0613-B6F5-FF9BB165D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09" y="1476132"/>
          <a:ext cx="219808" cy="219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176822</xdr:rowOff>
    </xdr:from>
    <xdr:to>
      <xdr:col>1</xdr:col>
      <xdr:colOff>9769</xdr:colOff>
      <xdr:row>5</xdr:row>
      <xdr:rowOff>235437</xdr:rowOff>
    </xdr:to>
    <xdr:pic>
      <xdr:nvPicPr>
        <xdr:cNvPr id="11" name="Gráfico 10" descr="Carrinho estrutura de tópicos">
          <a:extLst>
            <a:ext uri="{FF2B5EF4-FFF2-40B4-BE49-F238E27FC236}">
              <a16:creationId xmlns:a16="http://schemas.microsoft.com/office/drawing/2014/main" id="{3CCCDA58-D127-C1FE-3F8E-E13A2813D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938822"/>
          <a:ext cx="249115" cy="249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0916-33AE-4283-9CAE-CBC4CEDC1EC3}">
  <sheetPr>
    <pageSetUpPr fitToPage="1"/>
  </sheetPr>
  <dimension ref="A1:H32"/>
  <sheetViews>
    <sheetView showGridLines="0" topLeftCell="A9" zoomScale="145" zoomScaleNormal="145" workbookViewId="0">
      <selection activeCell="D15" sqref="D15"/>
    </sheetView>
  </sheetViews>
  <sheetFormatPr defaultColWidth="9.140625" defaultRowHeight="12" x14ac:dyDescent="0.2"/>
  <cols>
    <col min="1" max="1" width="3.42578125" style="2" customWidth="1"/>
    <col min="2" max="2" width="43" style="18" customWidth="1"/>
    <col min="3" max="3" width="22.5703125" style="2" customWidth="1"/>
    <col min="4" max="4" width="28.85546875" style="16" customWidth="1"/>
    <col min="5" max="5" width="5.5703125" style="2" customWidth="1"/>
    <col min="6" max="6" width="9.5703125" style="2" customWidth="1"/>
    <col min="7" max="7" width="5.5703125" style="2" customWidth="1"/>
    <col min="8" max="8" width="13.5703125" style="1" customWidth="1"/>
    <col min="9" max="16384" width="9.140625" style="1"/>
  </cols>
  <sheetData>
    <row r="1" spans="1:8" ht="15" customHeight="1" x14ac:dyDescent="0.2">
      <c r="A1" s="28"/>
      <c r="B1" s="29"/>
      <c r="C1" s="64" t="s">
        <v>65</v>
      </c>
      <c r="D1" s="65"/>
      <c r="E1" s="5" t="s">
        <v>5</v>
      </c>
      <c r="F1" s="8" t="s">
        <v>13</v>
      </c>
      <c r="G1" s="9" t="s">
        <v>7</v>
      </c>
      <c r="H1" s="36" t="s">
        <v>151</v>
      </c>
    </row>
    <row r="2" spans="1:8" ht="15" customHeight="1" x14ac:dyDescent="0.2">
      <c r="A2" s="30"/>
      <c r="B2" s="31"/>
      <c r="C2" s="27"/>
      <c r="D2" s="37"/>
      <c r="E2" s="5" t="s">
        <v>119</v>
      </c>
      <c r="F2" s="8" t="s">
        <v>13</v>
      </c>
      <c r="G2" s="9" t="s">
        <v>8</v>
      </c>
      <c r="H2" s="4">
        <v>0</v>
      </c>
    </row>
    <row r="3" spans="1:8" ht="15" customHeight="1" x14ac:dyDescent="0.2">
      <c r="A3" s="30"/>
      <c r="B3" s="31"/>
      <c r="C3" s="66" t="s">
        <v>116</v>
      </c>
      <c r="D3" s="67"/>
      <c r="E3" s="5" t="s">
        <v>6</v>
      </c>
      <c r="F3" s="8" t="s">
        <v>74</v>
      </c>
      <c r="G3" s="9" t="s">
        <v>9</v>
      </c>
      <c r="H3" s="3" t="s">
        <v>73</v>
      </c>
    </row>
    <row r="4" spans="1:8" ht="15" customHeight="1" x14ac:dyDescent="0.2">
      <c r="A4" s="30"/>
      <c r="B4" s="31"/>
      <c r="C4" s="56" t="s">
        <v>64</v>
      </c>
      <c r="D4" s="57"/>
      <c r="E4" s="10" t="s">
        <v>11</v>
      </c>
      <c r="F4" s="7"/>
      <c r="G4" s="11" t="s">
        <v>10</v>
      </c>
      <c r="H4" s="32">
        <f ca="1">TODAY()</f>
        <v>45957</v>
      </c>
    </row>
    <row r="5" spans="1:8" ht="15" customHeight="1" x14ac:dyDescent="0.2">
      <c r="A5" s="68" t="s">
        <v>117</v>
      </c>
      <c r="B5" s="69"/>
      <c r="C5" s="69"/>
      <c r="D5" s="69"/>
      <c r="E5" s="69"/>
      <c r="F5" s="69"/>
      <c r="G5" s="69"/>
      <c r="H5" s="70"/>
    </row>
    <row r="6" spans="1:8" ht="20.100000000000001" customHeight="1" x14ac:dyDescent="0.2">
      <c r="A6" s="46"/>
      <c r="B6" s="49" t="s">
        <v>122</v>
      </c>
      <c r="C6" s="50">
        <v>46037</v>
      </c>
      <c r="D6" s="47"/>
      <c r="E6" s="47"/>
      <c r="F6" s="47"/>
      <c r="G6" s="47"/>
      <c r="H6" s="48"/>
    </row>
    <row r="7" spans="1:8" ht="20.100000000000001" customHeight="1" x14ac:dyDescent="0.2">
      <c r="A7" s="46"/>
      <c r="B7" s="49" t="s">
        <v>123</v>
      </c>
      <c r="C7" s="50">
        <v>46203</v>
      </c>
      <c r="D7" s="47"/>
      <c r="E7" s="47"/>
      <c r="F7" s="47"/>
      <c r="G7" s="47"/>
      <c r="H7" s="48"/>
    </row>
    <row r="8" spans="1:8" ht="20.100000000000001" customHeight="1" x14ac:dyDescent="0.2">
      <c r="A8" s="46"/>
      <c r="B8" s="49" t="s">
        <v>124</v>
      </c>
      <c r="C8" s="50">
        <v>46233</v>
      </c>
      <c r="D8" s="47"/>
      <c r="E8" s="47"/>
      <c r="F8" s="47"/>
      <c r="G8" s="47"/>
      <c r="H8" s="48"/>
    </row>
    <row r="9" spans="1:8" ht="12" customHeight="1" x14ac:dyDescent="0.2">
      <c r="A9" s="58"/>
      <c r="B9" s="59"/>
      <c r="C9" s="59"/>
      <c r="D9" s="59"/>
      <c r="E9" s="59"/>
      <c r="F9" s="59"/>
      <c r="G9" s="59"/>
      <c r="H9" s="60"/>
    </row>
    <row r="10" spans="1:8" ht="23.1" customHeight="1" x14ac:dyDescent="0.2">
      <c r="A10" s="6">
        <v>1</v>
      </c>
      <c r="B10" s="17" t="s">
        <v>1</v>
      </c>
      <c r="C10" s="54" t="s">
        <v>3</v>
      </c>
      <c r="D10" s="15" t="s">
        <v>115</v>
      </c>
      <c r="E10" s="71" t="s">
        <v>4</v>
      </c>
      <c r="F10" s="72"/>
      <c r="G10" s="72"/>
      <c r="H10" s="73"/>
    </row>
    <row r="11" spans="1:8" ht="23.1" customHeight="1" x14ac:dyDescent="0.2">
      <c r="A11" s="6">
        <v>2</v>
      </c>
      <c r="B11" s="17" t="s">
        <v>2</v>
      </c>
      <c r="C11" s="55"/>
      <c r="D11" s="15"/>
      <c r="E11" s="74"/>
      <c r="F11" s="75"/>
      <c r="G11" s="75"/>
      <c r="H11" s="76"/>
    </row>
    <row r="12" spans="1:8" ht="23.1" customHeight="1" x14ac:dyDescent="0.2">
      <c r="A12" s="6">
        <v>3</v>
      </c>
      <c r="B12" s="17" t="s">
        <v>14</v>
      </c>
      <c r="C12" s="12" t="s">
        <v>0</v>
      </c>
      <c r="D12" s="35" t="s">
        <v>0</v>
      </c>
      <c r="E12" s="51"/>
      <c r="F12" s="52"/>
      <c r="G12" s="52"/>
      <c r="H12" s="53"/>
    </row>
    <row r="13" spans="1:8" ht="23.1" customHeight="1" x14ac:dyDescent="0.2">
      <c r="A13" s="6">
        <v>4</v>
      </c>
      <c r="B13" s="17" t="s">
        <v>15</v>
      </c>
      <c r="C13" s="12" t="s">
        <v>0</v>
      </c>
      <c r="D13" s="35" t="s">
        <v>0</v>
      </c>
      <c r="E13" s="51"/>
      <c r="F13" s="52"/>
      <c r="G13" s="52"/>
      <c r="H13" s="53"/>
    </row>
    <row r="14" spans="1:8" ht="23.1" customHeight="1" x14ac:dyDescent="0.2">
      <c r="A14" s="6">
        <v>5</v>
      </c>
      <c r="B14" s="19" t="s">
        <v>16</v>
      </c>
      <c r="C14" s="12" t="s">
        <v>17</v>
      </c>
      <c r="D14" s="13" t="s">
        <v>156</v>
      </c>
      <c r="E14" s="51"/>
      <c r="F14" s="52"/>
      <c r="G14" s="52"/>
      <c r="H14" s="53"/>
    </row>
    <row r="15" spans="1:8" ht="23.1" customHeight="1" x14ac:dyDescent="0.2">
      <c r="A15" s="6">
        <v>6</v>
      </c>
      <c r="B15" s="19" t="s">
        <v>66</v>
      </c>
      <c r="C15" s="12" t="s">
        <v>19</v>
      </c>
      <c r="D15" s="13" t="s">
        <v>158</v>
      </c>
      <c r="E15" s="51"/>
      <c r="F15" s="52"/>
      <c r="G15" s="52"/>
      <c r="H15" s="53"/>
    </row>
    <row r="16" spans="1:8" ht="23.1" customHeight="1" x14ac:dyDescent="0.2">
      <c r="A16" s="6">
        <v>7</v>
      </c>
      <c r="B16" s="19" t="s">
        <v>67</v>
      </c>
      <c r="C16" s="12" t="s">
        <v>19</v>
      </c>
      <c r="D16" s="13" t="s">
        <v>157</v>
      </c>
      <c r="E16" s="51"/>
      <c r="F16" s="52"/>
      <c r="G16" s="52"/>
      <c r="H16" s="53"/>
    </row>
    <row r="17" spans="1:8" ht="23.1" customHeight="1" x14ac:dyDescent="0.2">
      <c r="A17" s="6">
        <v>8</v>
      </c>
      <c r="B17" s="19" t="s">
        <v>68</v>
      </c>
      <c r="C17" s="12" t="s">
        <v>19</v>
      </c>
      <c r="D17" s="13" t="s">
        <v>158</v>
      </c>
      <c r="E17" s="51"/>
      <c r="F17" s="52"/>
      <c r="G17" s="52"/>
      <c r="H17" s="53"/>
    </row>
    <row r="18" spans="1:8" ht="23.1" customHeight="1" x14ac:dyDescent="0.2">
      <c r="A18" s="6">
        <v>9</v>
      </c>
      <c r="B18" s="19" t="s">
        <v>69</v>
      </c>
      <c r="C18" s="12" t="s">
        <v>19</v>
      </c>
      <c r="D18" s="13" t="s">
        <v>158</v>
      </c>
      <c r="E18" s="51"/>
      <c r="F18" s="52"/>
      <c r="G18" s="52"/>
      <c r="H18" s="53"/>
    </row>
    <row r="19" spans="1:8" ht="23.1" customHeight="1" x14ac:dyDescent="0.2">
      <c r="A19" s="6">
        <v>10</v>
      </c>
      <c r="B19" s="19" t="s">
        <v>70</v>
      </c>
      <c r="C19" s="12" t="s">
        <v>19</v>
      </c>
      <c r="D19" s="13" t="s">
        <v>158</v>
      </c>
      <c r="E19" s="51"/>
      <c r="F19" s="52"/>
      <c r="G19" s="52"/>
      <c r="H19" s="53"/>
    </row>
    <row r="20" spans="1:8" ht="23.1" customHeight="1" x14ac:dyDescent="0.2">
      <c r="A20" s="6">
        <v>11</v>
      </c>
      <c r="B20" s="19" t="s">
        <v>71</v>
      </c>
      <c r="C20" s="12" t="s">
        <v>19</v>
      </c>
      <c r="D20" s="13" t="s">
        <v>158</v>
      </c>
      <c r="E20" s="51"/>
      <c r="F20" s="52"/>
      <c r="G20" s="52"/>
      <c r="H20" s="53"/>
    </row>
    <row r="21" spans="1:8" ht="23.1" customHeight="1" x14ac:dyDescent="0.2">
      <c r="A21" s="6">
        <v>12</v>
      </c>
      <c r="B21" s="19" t="s">
        <v>72</v>
      </c>
      <c r="C21" s="12" t="s">
        <v>19</v>
      </c>
      <c r="D21" s="13" t="s">
        <v>158</v>
      </c>
      <c r="E21" s="51"/>
      <c r="F21" s="52"/>
      <c r="G21" s="52"/>
      <c r="H21" s="53"/>
    </row>
    <row r="22" spans="1:8" ht="23.1" customHeight="1" x14ac:dyDescent="0.2">
      <c r="A22" s="6">
        <v>13</v>
      </c>
      <c r="B22" s="19" t="s">
        <v>18</v>
      </c>
      <c r="C22" s="12" t="s">
        <v>19</v>
      </c>
      <c r="D22" s="20" t="s">
        <v>159</v>
      </c>
      <c r="E22" s="51"/>
      <c r="F22" s="52"/>
      <c r="G22" s="52"/>
      <c r="H22" s="53"/>
    </row>
    <row r="23" spans="1:8" ht="23.1" customHeight="1" x14ac:dyDescent="0.2">
      <c r="A23" s="6">
        <v>14</v>
      </c>
      <c r="B23" s="19" t="s">
        <v>20</v>
      </c>
      <c r="C23" s="12" t="s">
        <v>19</v>
      </c>
      <c r="D23" s="20" t="s">
        <v>160</v>
      </c>
      <c r="E23" s="51"/>
      <c r="F23" s="52"/>
      <c r="G23" s="52"/>
      <c r="H23" s="53"/>
    </row>
    <row r="24" spans="1:8" ht="23.1" customHeight="1" x14ac:dyDescent="0.2">
      <c r="A24" s="6">
        <v>15</v>
      </c>
      <c r="B24" s="19" t="s">
        <v>21</v>
      </c>
      <c r="C24" s="12" t="s">
        <v>19</v>
      </c>
      <c r="D24" s="13">
        <v>30</v>
      </c>
      <c r="E24" s="51"/>
      <c r="F24" s="52"/>
      <c r="G24" s="52"/>
      <c r="H24" s="53"/>
    </row>
    <row r="25" spans="1:8" ht="23.1" customHeight="1" x14ac:dyDescent="0.2">
      <c r="A25" s="24">
        <v>16</v>
      </c>
      <c r="B25" s="42" t="s">
        <v>22</v>
      </c>
      <c r="C25" s="40" t="s">
        <v>19</v>
      </c>
      <c r="D25" s="43">
        <v>15</v>
      </c>
      <c r="E25" s="61"/>
      <c r="F25" s="62"/>
      <c r="G25" s="62"/>
      <c r="H25" s="63"/>
    </row>
    <row r="26" spans="1:8" x14ac:dyDescent="0.2">
      <c r="B26" s="21"/>
    </row>
    <row r="27" spans="1:8" x14ac:dyDescent="0.2">
      <c r="B27" s="21"/>
    </row>
    <row r="28" spans="1:8" x14ac:dyDescent="0.2">
      <c r="B28" s="21"/>
    </row>
    <row r="29" spans="1:8" x14ac:dyDescent="0.2">
      <c r="B29" s="21"/>
    </row>
    <row r="30" spans="1:8" x14ac:dyDescent="0.2">
      <c r="B30" s="21"/>
    </row>
    <row r="31" spans="1:8" x14ac:dyDescent="0.2">
      <c r="B31" s="21"/>
    </row>
    <row r="32" spans="1:8" x14ac:dyDescent="0.2">
      <c r="B32" s="21"/>
    </row>
  </sheetData>
  <mergeCells count="21">
    <mergeCell ref="E24:H24"/>
    <mergeCell ref="E25:H25"/>
    <mergeCell ref="C1:D1"/>
    <mergeCell ref="C3:D3"/>
    <mergeCell ref="E18:H18"/>
    <mergeCell ref="E19:H19"/>
    <mergeCell ref="E20:H20"/>
    <mergeCell ref="E21:H21"/>
    <mergeCell ref="E22:H22"/>
    <mergeCell ref="E23:H23"/>
    <mergeCell ref="A5:H5"/>
    <mergeCell ref="E10:H11"/>
    <mergeCell ref="E12:H12"/>
    <mergeCell ref="E13:H13"/>
    <mergeCell ref="E14:H14"/>
    <mergeCell ref="E15:H15"/>
    <mergeCell ref="E16:H16"/>
    <mergeCell ref="E17:H17"/>
    <mergeCell ref="C10:C11"/>
    <mergeCell ref="C4:D4"/>
    <mergeCell ref="A9:H9"/>
  </mergeCells>
  <pageMargins left="0.9055118110236221" right="0.51181102362204722" top="0.78740157480314965" bottom="0.78740157480314965" header="0.31496062992125984" footer="0.31496062992125984"/>
  <pageSetup paperSize="9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D298-6A46-48B9-BB3A-230E76D55DB0}">
  <sheetPr>
    <pageSetUpPr fitToPage="1"/>
  </sheetPr>
  <dimension ref="A1:H52"/>
  <sheetViews>
    <sheetView showGridLines="0" topLeftCell="A42" zoomScale="130" zoomScaleNormal="130" workbookViewId="0">
      <selection activeCell="D49" sqref="D49:D52"/>
    </sheetView>
  </sheetViews>
  <sheetFormatPr defaultColWidth="9.140625" defaultRowHeight="12" x14ac:dyDescent="0.2"/>
  <cols>
    <col min="1" max="1" width="3.42578125" style="2" customWidth="1"/>
    <col min="2" max="2" width="42.42578125" style="1" customWidth="1"/>
    <col min="3" max="3" width="24.140625" style="2" customWidth="1"/>
    <col min="4" max="4" width="27.42578125" style="16" customWidth="1"/>
    <col min="5" max="5" width="5.5703125" style="2" customWidth="1"/>
    <col min="6" max="6" width="9.5703125" style="2" bestFit="1" customWidth="1"/>
    <col min="7" max="7" width="5.5703125" style="2" customWidth="1"/>
    <col min="8" max="8" width="13.85546875" style="1" bestFit="1" customWidth="1"/>
    <col min="9" max="16384" width="9.140625" style="1"/>
  </cols>
  <sheetData>
    <row r="1" spans="1:8" ht="15" customHeight="1" x14ac:dyDescent="0.2">
      <c r="A1" s="28"/>
      <c r="B1" s="29"/>
      <c r="C1" s="64" t="s">
        <v>65</v>
      </c>
      <c r="D1" s="65"/>
      <c r="E1" s="5" t="s">
        <v>5</v>
      </c>
      <c r="F1" s="8" t="s">
        <v>13</v>
      </c>
      <c r="G1" s="9" t="s">
        <v>7</v>
      </c>
      <c r="H1" s="36" t="s">
        <v>152</v>
      </c>
    </row>
    <row r="2" spans="1:8" ht="15" customHeight="1" x14ac:dyDescent="0.2">
      <c r="A2" s="30"/>
      <c r="B2" s="31"/>
      <c r="C2" s="27"/>
      <c r="D2" s="37"/>
      <c r="E2" s="5" t="s">
        <v>119</v>
      </c>
      <c r="F2" s="8" t="s">
        <v>13</v>
      </c>
      <c r="G2" s="9" t="s">
        <v>8</v>
      </c>
      <c r="H2" s="4">
        <v>0</v>
      </c>
    </row>
    <row r="3" spans="1:8" ht="15" customHeight="1" x14ac:dyDescent="0.2">
      <c r="A3" s="30"/>
      <c r="B3" s="31"/>
      <c r="C3" s="66" t="s">
        <v>118</v>
      </c>
      <c r="D3" s="67"/>
      <c r="E3" s="5" t="s">
        <v>6</v>
      </c>
      <c r="F3" s="8" t="s">
        <v>74</v>
      </c>
      <c r="G3" s="9" t="s">
        <v>9</v>
      </c>
      <c r="H3" s="3" t="s">
        <v>73</v>
      </c>
    </row>
    <row r="4" spans="1:8" ht="15" customHeight="1" x14ac:dyDescent="0.2">
      <c r="A4" s="30"/>
      <c r="B4" s="31"/>
      <c r="C4" s="56" t="s">
        <v>64</v>
      </c>
      <c r="D4" s="57"/>
      <c r="E4" s="10" t="s">
        <v>11</v>
      </c>
      <c r="F4" s="7"/>
      <c r="G4" s="11" t="s">
        <v>10</v>
      </c>
      <c r="H4" s="32">
        <f ca="1">TODAY()</f>
        <v>45957</v>
      </c>
    </row>
    <row r="5" spans="1:8" ht="12" customHeight="1" x14ac:dyDescent="0.2">
      <c r="A5" s="68" t="s">
        <v>117</v>
      </c>
      <c r="B5" s="69"/>
      <c r="C5" s="69"/>
      <c r="D5" s="69"/>
      <c r="E5" s="69"/>
      <c r="F5" s="69"/>
      <c r="G5" s="69"/>
      <c r="H5" s="70"/>
    </row>
    <row r="6" spans="1:8" ht="20.100000000000001" customHeight="1" x14ac:dyDescent="0.2">
      <c r="A6" s="46"/>
      <c r="B6" s="49" t="s">
        <v>122</v>
      </c>
      <c r="C6" s="50">
        <v>46037</v>
      </c>
      <c r="D6" s="47"/>
      <c r="E6" s="47"/>
      <c r="F6" s="47"/>
      <c r="G6" s="47"/>
      <c r="H6" s="48"/>
    </row>
    <row r="7" spans="1:8" ht="20.100000000000001" customHeight="1" x14ac:dyDescent="0.2">
      <c r="A7" s="46"/>
      <c r="B7" s="49" t="s">
        <v>123</v>
      </c>
      <c r="C7" s="50">
        <v>46203</v>
      </c>
      <c r="D7" s="47"/>
      <c r="E7" s="47"/>
      <c r="F7" s="47"/>
      <c r="G7" s="47"/>
      <c r="H7" s="48"/>
    </row>
    <row r="8" spans="1:8" ht="20.100000000000001" customHeight="1" x14ac:dyDescent="0.2">
      <c r="A8" s="46"/>
      <c r="B8" s="49" t="s">
        <v>124</v>
      </c>
      <c r="C8" s="50">
        <v>46233</v>
      </c>
      <c r="D8" s="47"/>
      <c r="E8" s="47"/>
      <c r="F8" s="47"/>
      <c r="G8" s="47"/>
      <c r="H8" s="48"/>
    </row>
    <row r="9" spans="1:8" ht="12" customHeight="1" x14ac:dyDescent="0.2">
      <c r="A9" s="58"/>
      <c r="B9" s="59"/>
      <c r="C9" s="59"/>
      <c r="D9" s="59"/>
      <c r="E9" s="59"/>
      <c r="F9" s="59"/>
      <c r="G9" s="59"/>
      <c r="H9" s="60"/>
    </row>
    <row r="10" spans="1:8" ht="23.1" customHeight="1" x14ac:dyDescent="0.2">
      <c r="A10" s="6">
        <v>1</v>
      </c>
      <c r="B10" s="17" t="s">
        <v>1</v>
      </c>
      <c r="C10" s="83" t="s">
        <v>3</v>
      </c>
      <c r="D10" s="15"/>
      <c r="E10" s="87" t="s">
        <v>4</v>
      </c>
      <c r="F10" s="88"/>
      <c r="G10" s="88"/>
      <c r="H10" s="89"/>
    </row>
    <row r="11" spans="1:8" ht="23.1" customHeight="1" x14ac:dyDescent="0.2">
      <c r="A11" s="6">
        <v>2</v>
      </c>
      <c r="B11" s="17" t="s">
        <v>2</v>
      </c>
      <c r="C11" s="83"/>
      <c r="D11" s="15"/>
      <c r="E11" s="90"/>
      <c r="F11" s="91"/>
      <c r="G11" s="91"/>
      <c r="H11" s="92"/>
    </row>
    <row r="12" spans="1:8" ht="23.1" customHeight="1" x14ac:dyDescent="0.2">
      <c r="A12" s="77"/>
      <c r="B12" s="78"/>
      <c r="C12" s="78"/>
      <c r="D12" s="78"/>
      <c r="E12" s="78"/>
      <c r="F12" s="78"/>
      <c r="G12" s="78"/>
      <c r="H12" s="79"/>
    </row>
    <row r="13" spans="1:8" ht="23.1" customHeight="1" x14ac:dyDescent="0.2">
      <c r="A13" s="6">
        <v>3</v>
      </c>
      <c r="B13" s="17" t="s">
        <v>16</v>
      </c>
      <c r="C13" s="12" t="s">
        <v>51</v>
      </c>
      <c r="D13" s="13" t="s">
        <v>158</v>
      </c>
      <c r="E13" s="80"/>
      <c r="F13" s="81"/>
      <c r="G13" s="81"/>
      <c r="H13" s="82"/>
    </row>
    <row r="14" spans="1:8" ht="23.1" customHeight="1" x14ac:dyDescent="0.2">
      <c r="A14" s="6">
        <v>4</v>
      </c>
      <c r="B14" s="17" t="s">
        <v>54</v>
      </c>
      <c r="C14" s="12" t="s">
        <v>51</v>
      </c>
      <c r="D14" s="13" t="s">
        <v>158</v>
      </c>
      <c r="E14" s="80"/>
      <c r="F14" s="81"/>
      <c r="G14" s="81"/>
      <c r="H14" s="82"/>
    </row>
    <row r="15" spans="1:8" ht="23.1" customHeight="1" x14ac:dyDescent="0.2">
      <c r="A15" s="6">
        <v>5</v>
      </c>
      <c r="B15" s="17" t="s">
        <v>75</v>
      </c>
      <c r="C15" s="12" t="s">
        <v>51</v>
      </c>
      <c r="D15" s="13" t="s">
        <v>158</v>
      </c>
      <c r="E15" s="80"/>
      <c r="F15" s="81"/>
      <c r="G15" s="81"/>
      <c r="H15" s="82"/>
    </row>
    <row r="16" spans="1:8" ht="23.1" customHeight="1" x14ac:dyDescent="0.2">
      <c r="A16" s="77" t="s">
        <v>23</v>
      </c>
      <c r="B16" s="78"/>
      <c r="C16" s="78"/>
      <c r="D16" s="78"/>
      <c r="E16" s="78"/>
      <c r="F16" s="78"/>
      <c r="G16" s="78"/>
      <c r="H16" s="79"/>
    </row>
    <row r="17" spans="1:8" ht="23.1" customHeight="1" x14ac:dyDescent="0.2">
      <c r="A17" s="6">
        <v>6</v>
      </c>
      <c r="B17" s="23" t="s">
        <v>24</v>
      </c>
      <c r="C17" s="12" t="s">
        <v>51</v>
      </c>
      <c r="D17" s="13" t="s">
        <v>158</v>
      </c>
      <c r="E17" s="80"/>
      <c r="F17" s="81"/>
      <c r="G17" s="81"/>
      <c r="H17" s="82"/>
    </row>
    <row r="18" spans="1:8" ht="23.1" customHeight="1" x14ac:dyDescent="0.2">
      <c r="A18" s="6">
        <v>7</v>
      </c>
      <c r="B18" s="23" t="s">
        <v>25</v>
      </c>
      <c r="C18" s="12" t="s">
        <v>51</v>
      </c>
      <c r="D18" s="13" t="s">
        <v>158</v>
      </c>
      <c r="E18" s="80"/>
      <c r="F18" s="81"/>
      <c r="G18" s="81"/>
      <c r="H18" s="82"/>
    </row>
    <row r="19" spans="1:8" ht="23.1" customHeight="1" x14ac:dyDescent="0.2">
      <c r="A19" s="6">
        <v>8</v>
      </c>
      <c r="B19" s="23" t="s">
        <v>26</v>
      </c>
      <c r="C19" s="12" t="s">
        <v>51</v>
      </c>
      <c r="D19" s="13" t="s">
        <v>158</v>
      </c>
      <c r="E19" s="80"/>
      <c r="F19" s="81"/>
      <c r="G19" s="81"/>
      <c r="H19" s="82"/>
    </row>
    <row r="20" spans="1:8" ht="23.1" customHeight="1" x14ac:dyDescent="0.2">
      <c r="A20" s="6">
        <v>9</v>
      </c>
      <c r="B20" s="23" t="s">
        <v>27</v>
      </c>
      <c r="C20" s="12" t="s">
        <v>51</v>
      </c>
      <c r="D20" s="13" t="s">
        <v>158</v>
      </c>
      <c r="E20" s="80"/>
      <c r="F20" s="81"/>
      <c r="G20" s="81"/>
      <c r="H20" s="82"/>
    </row>
    <row r="21" spans="1:8" ht="23.1" customHeight="1" x14ac:dyDescent="0.2">
      <c r="A21" s="6">
        <v>10</v>
      </c>
      <c r="B21" s="23" t="s">
        <v>28</v>
      </c>
      <c r="C21" s="12" t="s">
        <v>51</v>
      </c>
      <c r="D21" s="13" t="s">
        <v>158</v>
      </c>
      <c r="E21" s="80"/>
      <c r="F21" s="81"/>
      <c r="G21" s="81"/>
      <c r="H21" s="82"/>
    </row>
    <row r="22" spans="1:8" ht="23.1" customHeight="1" x14ac:dyDescent="0.2">
      <c r="A22" s="6">
        <v>11</v>
      </c>
      <c r="B22" s="23" t="s">
        <v>29</v>
      </c>
      <c r="C22" s="12" t="s">
        <v>51</v>
      </c>
      <c r="D22" s="13" t="s">
        <v>158</v>
      </c>
      <c r="E22" s="80"/>
      <c r="F22" s="81"/>
      <c r="G22" s="81"/>
      <c r="H22" s="82"/>
    </row>
    <row r="23" spans="1:8" ht="23.1" customHeight="1" x14ac:dyDescent="0.2">
      <c r="A23" s="6">
        <v>12</v>
      </c>
      <c r="B23" s="23" t="s">
        <v>30</v>
      </c>
      <c r="C23" s="12" t="s">
        <v>51</v>
      </c>
      <c r="D23" s="13" t="s">
        <v>158</v>
      </c>
      <c r="E23" s="80"/>
      <c r="F23" s="81"/>
      <c r="G23" s="81"/>
      <c r="H23" s="82"/>
    </row>
    <row r="24" spans="1:8" ht="23.1" customHeight="1" x14ac:dyDescent="0.2">
      <c r="A24" s="6">
        <v>13</v>
      </c>
      <c r="B24" s="23" t="s">
        <v>33</v>
      </c>
      <c r="C24" s="12" t="s">
        <v>51</v>
      </c>
      <c r="D24" s="13" t="s">
        <v>158</v>
      </c>
      <c r="E24" s="80"/>
      <c r="F24" s="81"/>
      <c r="G24" s="81"/>
      <c r="H24" s="82"/>
    </row>
    <row r="25" spans="1:8" ht="23.1" customHeight="1" x14ac:dyDescent="0.2">
      <c r="A25" s="6">
        <v>14</v>
      </c>
      <c r="B25" s="23" t="s">
        <v>34</v>
      </c>
      <c r="C25" s="12" t="s">
        <v>51</v>
      </c>
      <c r="D25" s="13" t="s">
        <v>158</v>
      </c>
      <c r="E25" s="80"/>
      <c r="F25" s="81"/>
      <c r="G25" s="81"/>
      <c r="H25" s="82"/>
    </row>
    <row r="26" spans="1:8" ht="23.1" customHeight="1" x14ac:dyDescent="0.2">
      <c r="A26" s="6">
        <v>15</v>
      </c>
      <c r="B26" s="23" t="s">
        <v>35</v>
      </c>
      <c r="C26" s="12" t="s">
        <v>51</v>
      </c>
      <c r="D26" s="13" t="s">
        <v>158</v>
      </c>
      <c r="E26" s="80"/>
      <c r="F26" s="81"/>
      <c r="G26" s="81"/>
      <c r="H26" s="82"/>
    </row>
    <row r="27" spans="1:8" ht="23.1" customHeight="1" x14ac:dyDescent="0.2">
      <c r="A27" s="6">
        <v>16</v>
      </c>
      <c r="B27" s="23" t="s">
        <v>36</v>
      </c>
      <c r="C27" s="12" t="s">
        <v>51</v>
      </c>
      <c r="D27" s="13" t="s">
        <v>158</v>
      </c>
      <c r="E27" s="80"/>
      <c r="F27" s="81"/>
      <c r="G27" s="81"/>
      <c r="H27" s="82"/>
    </row>
    <row r="28" spans="1:8" ht="23.1" customHeight="1" x14ac:dyDescent="0.2">
      <c r="A28" s="77" t="s">
        <v>57</v>
      </c>
      <c r="B28" s="78"/>
      <c r="C28" s="78"/>
      <c r="D28" s="78"/>
      <c r="E28" s="78"/>
      <c r="F28" s="78"/>
      <c r="G28" s="78"/>
      <c r="H28" s="79"/>
    </row>
    <row r="29" spans="1:8" ht="23.1" customHeight="1" x14ac:dyDescent="0.2">
      <c r="A29" s="6">
        <v>17</v>
      </c>
      <c r="B29" s="23" t="s">
        <v>31</v>
      </c>
      <c r="C29" s="12" t="s">
        <v>51</v>
      </c>
      <c r="D29" s="13" t="s">
        <v>158</v>
      </c>
      <c r="E29" s="80"/>
      <c r="F29" s="81"/>
      <c r="G29" s="81"/>
      <c r="H29" s="82"/>
    </row>
    <row r="30" spans="1:8" ht="23.1" customHeight="1" x14ac:dyDescent="0.2">
      <c r="A30" s="6">
        <v>18</v>
      </c>
      <c r="B30" s="23" t="s">
        <v>32</v>
      </c>
      <c r="C30" s="12" t="s">
        <v>51</v>
      </c>
      <c r="D30" s="13" t="s">
        <v>158</v>
      </c>
      <c r="E30" s="80"/>
      <c r="F30" s="81"/>
      <c r="G30" s="81"/>
      <c r="H30" s="82"/>
    </row>
    <row r="31" spans="1:8" ht="23.1" customHeight="1" x14ac:dyDescent="0.2">
      <c r="A31" s="77" t="s">
        <v>55</v>
      </c>
      <c r="B31" s="78"/>
      <c r="C31" s="78"/>
      <c r="D31" s="78"/>
      <c r="E31" s="78"/>
      <c r="F31" s="78"/>
      <c r="G31" s="78"/>
      <c r="H31" s="79"/>
    </row>
    <row r="32" spans="1:8" ht="23.1" customHeight="1" x14ac:dyDescent="0.2">
      <c r="A32" s="6">
        <v>19</v>
      </c>
      <c r="B32" s="17" t="s">
        <v>37</v>
      </c>
      <c r="C32" s="12" t="s">
        <v>51</v>
      </c>
      <c r="D32" s="13" t="s">
        <v>158</v>
      </c>
      <c r="E32" s="80"/>
      <c r="F32" s="81"/>
      <c r="G32" s="81"/>
      <c r="H32" s="82"/>
    </row>
    <row r="33" spans="1:8" ht="23.1" customHeight="1" x14ac:dyDescent="0.2">
      <c r="A33" s="6">
        <v>20</v>
      </c>
      <c r="B33" s="17" t="s">
        <v>38</v>
      </c>
      <c r="C33" s="12" t="s">
        <v>51</v>
      </c>
      <c r="D33" s="13" t="s">
        <v>158</v>
      </c>
      <c r="E33" s="80"/>
      <c r="F33" s="81"/>
      <c r="G33" s="81"/>
      <c r="H33" s="82"/>
    </row>
    <row r="34" spans="1:8" ht="23.1" customHeight="1" x14ac:dyDescent="0.2">
      <c r="A34" s="6">
        <v>21</v>
      </c>
      <c r="B34" s="17" t="s">
        <v>39</v>
      </c>
      <c r="C34" s="12" t="s">
        <v>51</v>
      </c>
      <c r="D34" s="13" t="s">
        <v>158</v>
      </c>
      <c r="E34" s="80"/>
      <c r="F34" s="81"/>
      <c r="G34" s="81"/>
      <c r="H34" s="82"/>
    </row>
    <row r="35" spans="1:8" ht="23.1" customHeight="1" x14ac:dyDescent="0.2">
      <c r="A35" s="6">
        <v>22</v>
      </c>
      <c r="B35" s="17" t="s">
        <v>40</v>
      </c>
      <c r="C35" s="12" t="s">
        <v>51</v>
      </c>
      <c r="D35" s="13" t="s">
        <v>158</v>
      </c>
      <c r="E35" s="80"/>
      <c r="F35" s="81"/>
      <c r="G35" s="81"/>
      <c r="H35" s="82"/>
    </row>
    <row r="36" spans="1:8" ht="23.1" customHeight="1" x14ac:dyDescent="0.2">
      <c r="A36" s="77" t="s">
        <v>56</v>
      </c>
      <c r="B36" s="78"/>
      <c r="C36" s="78"/>
      <c r="D36" s="78"/>
      <c r="E36" s="78"/>
      <c r="F36" s="78"/>
      <c r="G36" s="78"/>
      <c r="H36" s="79"/>
    </row>
    <row r="37" spans="1:8" ht="23.1" customHeight="1" x14ac:dyDescent="0.2">
      <c r="A37" s="6">
        <v>23</v>
      </c>
      <c r="B37" s="17" t="s">
        <v>41</v>
      </c>
      <c r="C37" s="12" t="s">
        <v>51</v>
      </c>
      <c r="D37" s="13" t="s">
        <v>158</v>
      </c>
      <c r="E37" s="80"/>
      <c r="F37" s="81"/>
      <c r="G37" s="81"/>
      <c r="H37" s="82"/>
    </row>
    <row r="38" spans="1:8" ht="23.1" customHeight="1" x14ac:dyDescent="0.2">
      <c r="A38" s="6">
        <v>24</v>
      </c>
      <c r="B38" s="17" t="s">
        <v>42</v>
      </c>
      <c r="C38" s="12" t="s">
        <v>51</v>
      </c>
      <c r="D38" s="13" t="s">
        <v>158</v>
      </c>
      <c r="E38" s="80"/>
      <c r="F38" s="81"/>
      <c r="G38" s="81"/>
      <c r="H38" s="82"/>
    </row>
    <row r="39" spans="1:8" ht="23.1" customHeight="1" x14ac:dyDescent="0.2">
      <c r="A39" s="6">
        <v>25</v>
      </c>
      <c r="B39" s="17" t="s">
        <v>43</v>
      </c>
      <c r="C39" s="12" t="s">
        <v>51</v>
      </c>
      <c r="D39" s="13" t="s">
        <v>158</v>
      </c>
      <c r="E39" s="80"/>
      <c r="F39" s="81"/>
      <c r="G39" s="81"/>
      <c r="H39" s="82"/>
    </row>
    <row r="40" spans="1:8" ht="23.1" customHeight="1" x14ac:dyDescent="0.2">
      <c r="A40" s="6">
        <v>26</v>
      </c>
      <c r="B40" s="17" t="s">
        <v>44</v>
      </c>
      <c r="C40" s="12" t="s">
        <v>51</v>
      </c>
      <c r="D40" s="13" t="s">
        <v>158</v>
      </c>
      <c r="E40" s="80"/>
      <c r="F40" s="81"/>
      <c r="G40" s="81"/>
      <c r="H40" s="82"/>
    </row>
    <row r="41" spans="1:8" ht="23.1" customHeight="1" x14ac:dyDescent="0.2">
      <c r="A41" s="77" t="s">
        <v>58</v>
      </c>
      <c r="B41" s="78"/>
      <c r="C41" s="78"/>
      <c r="D41" s="78"/>
      <c r="E41" s="78"/>
      <c r="F41" s="78"/>
      <c r="G41" s="78"/>
      <c r="H41" s="79"/>
    </row>
    <row r="42" spans="1:8" ht="23.1" customHeight="1" x14ac:dyDescent="0.2">
      <c r="A42" s="6">
        <v>27</v>
      </c>
      <c r="B42" s="17" t="s">
        <v>45</v>
      </c>
      <c r="C42" s="12" t="s">
        <v>51</v>
      </c>
      <c r="D42" s="13" t="s">
        <v>158</v>
      </c>
      <c r="E42" s="80"/>
      <c r="F42" s="81"/>
      <c r="G42" s="81"/>
      <c r="H42" s="82"/>
    </row>
    <row r="43" spans="1:8" ht="23.1" customHeight="1" x14ac:dyDescent="0.2">
      <c r="A43" s="77" t="s">
        <v>21</v>
      </c>
      <c r="B43" s="78"/>
      <c r="C43" s="78"/>
      <c r="D43" s="78"/>
      <c r="E43" s="78"/>
      <c r="F43" s="78"/>
      <c r="G43" s="78"/>
      <c r="H43" s="79"/>
    </row>
    <row r="44" spans="1:8" ht="23.1" customHeight="1" x14ac:dyDescent="0.2">
      <c r="A44" s="6">
        <v>28</v>
      </c>
      <c r="B44" s="17" t="s">
        <v>76</v>
      </c>
      <c r="C44" s="12" t="s">
        <v>51</v>
      </c>
      <c r="D44" s="13" t="s">
        <v>158</v>
      </c>
      <c r="E44" s="80"/>
      <c r="F44" s="81"/>
      <c r="G44" s="81"/>
      <c r="H44" s="82"/>
    </row>
    <row r="45" spans="1:8" ht="23.1" customHeight="1" x14ac:dyDescent="0.2">
      <c r="A45" s="6">
        <v>29</v>
      </c>
      <c r="B45" s="17" t="s">
        <v>46</v>
      </c>
      <c r="C45" s="12" t="s">
        <v>51</v>
      </c>
      <c r="D45" s="13" t="s">
        <v>158</v>
      </c>
      <c r="E45" s="80"/>
      <c r="F45" s="81"/>
      <c r="G45" s="81"/>
      <c r="H45" s="82"/>
    </row>
    <row r="46" spans="1:8" ht="23.1" customHeight="1" x14ac:dyDescent="0.2">
      <c r="A46" s="77" t="s">
        <v>59</v>
      </c>
      <c r="B46" s="78"/>
      <c r="C46" s="78"/>
      <c r="D46" s="78"/>
      <c r="E46" s="78"/>
      <c r="F46" s="78"/>
      <c r="G46" s="78"/>
      <c r="H46" s="79"/>
    </row>
    <row r="47" spans="1:8" ht="23.1" customHeight="1" x14ac:dyDescent="0.2">
      <c r="A47" s="6">
        <v>30</v>
      </c>
      <c r="B47" s="17" t="s">
        <v>47</v>
      </c>
      <c r="C47" s="12" t="s">
        <v>51</v>
      </c>
      <c r="D47" s="13" t="s">
        <v>158</v>
      </c>
      <c r="E47" s="80"/>
      <c r="F47" s="81"/>
      <c r="G47" s="81"/>
      <c r="H47" s="82"/>
    </row>
    <row r="48" spans="1:8" ht="23.1" customHeight="1" x14ac:dyDescent="0.2">
      <c r="A48" s="77" t="s">
        <v>60</v>
      </c>
      <c r="B48" s="78"/>
      <c r="C48" s="78"/>
      <c r="D48" s="78"/>
      <c r="E48" s="78"/>
      <c r="F48" s="78"/>
      <c r="G48" s="78"/>
      <c r="H48" s="79"/>
    </row>
    <row r="49" spans="1:8" ht="23.1" customHeight="1" x14ac:dyDescent="0.2">
      <c r="A49" s="6">
        <v>31</v>
      </c>
      <c r="B49" s="17" t="s">
        <v>48</v>
      </c>
      <c r="C49" s="12" t="s">
        <v>51</v>
      </c>
      <c r="D49" s="13" t="s">
        <v>158</v>
      </c>
      <c r="E49" s="80"/>
      <c r="F49" s="81"/>
      <c r="G49" s="81"/>
      <c r="H49" s="82"/>
    </row>
    <row r="50" spans="1:8" ht="23.1" customHeight="1" x14ac:dyDescent="0.2">
      <c r="A50" s="6">
        <v>32</v>
      </c>
      <c r="B50" s="17" t="s">
        <v>49</v>
      </c>
      <c r="C50" s="12" t="s">
        <v>51</v>
      </c>
      <c r="D50" s="13" t="s">
        <v>158</v>
      </c>
      <c r="E50" s="80"/>
      <c r="F50" s="81"/>
      <c r="G50" s="81"/>
      <c r="H50" s="82"/>
    </row>
    <row r="51" spans="1:8" ht="23.1" customHeight="1" x14ac:dyDescent="0.2">
      <c r="A51" s="6">
        <v>33</v>
      </c>
      <c r="B51" s="17" t="s">
        <v>50</v>
      </c>
      <c r="C51" s="12" t="s">
        <v>51</v>
      </c>
      <c r="D51" s="13" t="s">
        <v>158</v>
      </c>
      <c r="E51" s="80"/>
      <c r="F51" s="81"/>
      <c r="G51" s="81"/>
      <c r="H51" s="82"/>
    </row>
    <row r="52" spans="1:8" ht="23.1" customHeight="1" x14ac:dyDescent="0.2">
      <c r="A52" s="24">
        <v>34</v>
      </c>
      <c r="B52" s="39" t="s">
        <v>52</v>
      </c>
      <c r="C52" s="40" t="s">
        <v>51</v>
      </c>
      <c r="D52" s="13" t="s">
        <v>158</v>
      </c>
      <c r="E52" s="84"/>
      <c r="F52" s="85"/>
      <c r="G52" s="85"/>
      <c r="H52" s="86"/>
    </row>
  </sheetData>
  <mergeCells count="48">
    <mergeCell ref="C3:D3"/>
    <mergeCell ref="C1:D1"/>
    <mergeCell ref="E50:H50"/>
    <mergeCell ref="E51:H51"/>
    <mergeCell ref="E39:H39"/>
    <mergeCell ref="E40:H40"/>
    <mergeCell ref="E42:H42"/>
    <mergeCell ref="E34:H34"/>
    <mergeCell ref="E35:H35"/>
    <mergeCell ref="E37:H37"/>
    <mergeCell ref="E38:H38"/>
    <mergeCell ref="E10:H11"/>
    <mergeCell ref="E13:H13"/>
    <mergeCell ref="E14:H14"/>
    <mergeCell ref="E15:H15"/>
    <mergeCell ref="E52:H52"/>
    <mergeCell ref="E44:H44"/>
    <mergeCell ref="E45:H45"/>
    <mergeCell ref="E47:H47"/>
    <mergeCell ref="E49:H49"/>
    <mergeCell ref="A48:H48"/>
    <mergeCell ref="A43:H43"/>
    <mergeCell ref="A46:H46"/>
    <mergeCell ref="E21:H21"/>
    <mergeCell ref="E22:H22"/>
    <mergeCell ref="E23:H23"/>
    <mergeCell ref="E33:H33"/>
    <mergeCell ref="E24:H24"/>
    <mergeCell ref="E25:H25"/>
    <mergeCell ref="E26:H26"/>
    <mergeCell ref="E27:H27"/>
    <mergeCell ref="A31:H31"/>
    <mergeCell ref="E29:H29"/>
    <mergeCell ref="E30:H30"/>
    <mergeCell ref="A5:H5"/>
    <mergeCell ref="C4:D4"/>
    <mergeCell ref="A36:H36"/>
    <mergeCell ref="A28:H28"/>
    <mergeCell ref="A41:H41"/>
    <mergeCell ref="A9:H9"/>
    <mergeCell ref="E32:H32"/>
    <mergeCell ref="C10:C11"/>
    <mergeCell ref="A16:H16"/>
    <mergeCell ref="E17:H17"/>
    <mergeCell ref="E18:H18"/>
    <mergeCell ref="E19:H19"/>
    <mergeCell ref="E20:H20"/>
    <mergeCell ref="A12:H12"/>
  </mergeCells>
  <pageMargins left="0.9055118110236221" right="0.51181102362204722" top="0.78740157480314965" bottom="0.78740157480314965" header="0.31496062992125984" footer="0.31496062992125984"/>
  <pageSetup paperSize="9"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36CF-547B-49FA-919D-581D9CA9E3E8}">
  <sheetPr>
    <pageSetUpPr fitToPage="1"/>
  </sheetPr>
  <dimension ref="A1:I63"/>
  <sheetViews>
    <sheetView showGridLines="0" zoomScale="130" zoomScaleNormal="130" workbookViewId="0">
      <selection activeCell="E63" sqref="E63:H63"/>
    </sheetView>
  </sheetViews>
  <sheetFormatPr defaultColWidth="9.140625" defaultRowHeight="12" x14ac:dyDescent="0.2"/>
  <cols>
    <col min="1" max="1" width="3.42578125" style="2" customWidth="1"/>
    <col min="2" max="2" width="42.140625" style="1" customWidth="1"/>
    <col min="3" max="3" width="25.85546875" style="2" customWidth="1"/>
    <col min="4" max="4" width="28.28515625" style="16" customWidth="1"/>
    <col min="5" max="5" width="5.5703125" style="2" customWidth="1"/>
    <col min="6" max="6" width="11.42578125" style="2" customWidth="1"/>
    <col min="7" max="7" width="6.140625" style="2" customWidth="1"/>
    <col min="8" max="8" width="13.85546875" style="1" bestFit="1" customWidth="1"/>
    <col min="9" max="16384" width="9.140625" style="1"/>
  </cols>
  <sheetData>
    <row r="1" spans="1:9" ht="15" customHeight="1" x14ac:dyDescent="0.2">
      <c r="A1" s="28"/>
      <c r="B1" s="29"/>
      <c r="C1" s="64" t="s">
        <v>65</v>
      </c>
      <c r="D1" s="65"/>
      <c r="E1" s="5" t="s">
        <v>5</v>
      </c>
      <c r="F1" s="8" t="s">
        <v>13</v>
      </c>
      <c r="G1" s="9" t="s">
        <v>7</v>
      </c>
      <c r="H1" s="36" t="s">
        <v>153</v>
      </c>
    </row>
    <row r="2" spans="1:9" ht="15" customHeight="1" x14ac:dyDescent="0.2">
      <c r="A2" s="30"/>
      <c r="B2" s="31"/>
      <c r="C2" s="93" t="s">
        <v>120</v>
      </c>
      <c r="D2" s="94"/>
      <c r="E2" s="5" t="s">
        <v>119</v>
      </c>
      <c r="F2" s="8" t="s">
        <v>13</v>
      </c>
      <c r="G2" s="9" t="s">
        <v>8</v>
      </c>
      <c r="H2" s="4">
        <v>0</v>
      </c>
    </row>
    <row r="3" spans="1:9" ht="15" customHeight="1" x14ac:dyDescent="0.2">
      <c r="A3" s="30"/>
      <c r="B3" s="31"/>
      <c r="C3" s="66" t="s">
        <v>116</v>
      </c>
      <c r="D3" s="67"/>
      <c r="E3" s="5" t="s">
        <v>6</v>
      </c>
      <c r="F3" s="8" t="s">
        <v>74</v>
      </c>
      <c r="G3" s="9" t="s">
        <v>9</v>
      </c>
      <c r="H3" s="3" t="s">
        <v>73</v>
      </c>
    </row>
    <row r="4" spans="1:9" ht="15" customHeight="1" x14ac:dyDescent="0.2">
      <c r="A4" s="30"/>
      <c r="B4" s="31"/>
      <c r="C4" s="95" t="s">
        <v>12</v>
      </c>
      <c r="D4" s="96"/>
      <c r="E4" s="10" t="s">
        <v>11</v>
      </c>
      <c r="F4" s="7"/>
      <c r="G4" s="11" t="s">
        <v>10</v>
      </c>
      <c r="H4" s="32">
        <f ca="1">TODAY()</f>
        <v>45957</v>
      </c>
    </row>
    <row r="5" spans="1:9" ht="15" customHeight="1" x14ac:dyDescent="0.2">
      <c r="A5" s="68" t="s">
        <v>117</v>
      </c>
      <c r="B5" s="69"/>
      <c r="C5" s="69"/>
      <c r="D5" s="69"/>
      <c r="E5" s="69"/>
      <c r="F5" s="69"/>
      <c r="G5" s="69"/>
      <c r="H5" s="70"/>
    </row>
    <row r="6" spans="1:9" ht="20.100000000000001" customHeight="1" x14ac:dyDescent="0.2">
      <c r="A6" s="46"/>
      <c r="B6" s="49" t="s">
        <v>122</v>
      </c>
      <c r="C6" s="50">
        <v>46037</v>
      </c>
      <c r="D6" s="47"/>
      <c r="E6" s="47"/>
      <c r="F6" s="47"/>
      <c r="G6" s="47"/>
      <c r="H6" s="48"/>
    </row>
    <row r="7" spans="1:9" ht="20.100000000000001" customHeight="1" x14ac:dyDescent="0.2">
      <c r="A7" s="46"/>
      <c r="B7" s="49" t="s">
        <v>123</v>
      </c>
      <c r="C7" s="50">
        <v>46203</v>
      </c>
      <c r="D7" s="47"/>
      <c r="E7" s="47"/>
      <c r="F7" s="47"/>
      <c r="G7" s="47"/>
      <c r="H7" s="48"/>
    </row>
    <row r="8" spans="1:9" ht="20.100000000000001" customHeight="1" x14ac:dyDescent="0.2">
      <c r="A8" s="46"/>
      <c r="B8" s="49" t="s">
        <v>124</v>
      </c>
      <c r="C8" s="50">
        <v>46233</v>
      </c>
      <c r="D8" s="47"/>
      <c r="E8" s="47"/>
      <c r="F8" s="47"/>
      <c r="G8" s="47"/>
      <c r="H8" s="48"/>
    </row>
    <row r="9" spans="1:9" ht="12" customHeight="1" x14ac:dyDescent="0.2">
      <c r="A9" s="58"/>
      <c r="B9" s="59"/>
      <c r="C9" s="59"/>
      <c r="D9" s="59"/>
      <c r="E9" s="59"/>
      <c r="F9" s="59"/>
      <c r="G9" s="59"/>
      <c r="H9" s="60"/>
    </row>
    <row r="10" spans="1:9" ht="23.1" customHeight="1" x14ac:dyDescent="0.2">
      <c r="A10" s="6">
        <v>1</v>
      </c>
      <c r="B10" s="17" t="s">
        <v>1</v>
      </c>
      <c r="C10" s="83" t="s">
        <v>3</v>
      </c>
      <c r="D10" s="15"/>
      <c r="E10" s="87" t="s">
        <v>4</v>
      </c>
      <c r="F10" s="88"/>
      <c r="G10" s="88"/>
      <c r="H10" s="89"/>
    </row>
    <row r="11" spans="1:9" ht="23.1" customHeight="1" x14ac:dyDescent="0.2">
      <c r="A11" s="6">
        <v>2</v>
      </c>
      <c r="B11" s="17" t="s">
        <v>2</v>
      </c>
      <c r="C11" s="83"/>
      <c r="D11" s="15"/>
      <c r="E11" s="90"/>
      <c r="F11" s="91"/>
      <c r="G11" s="91"/>
      <c r="H11" s="92"/>
    </row>
    <row r="12" spans="1:9" ht="23.1" customHeight="1" x14ac:dyDescent="0.2">
      <c r="A12" s="77" t="s">
        <v>23</v>
      </c>
      <c r="B12" s="78"/>
      <c r="C12" s="78"/>
      <c r="D12" s="78"/>
      <c r="E12" s="78"/>
      <c r="F12" s="78"/>
      <c r="G12" s="78"/>
      <c r="H12" s="79"/>
    </row>
    <row r="13" spans="1:9" ht="23.1" customHeight="1" x14ac:dyDescent="0.2">
      <c r="A13" s="6">
        <v>4</v>
      </c>
      <c r="B13" s="23" t="s">
        <v>77</v>
      </c>
      <c r="C13" s="25" t="s">
        <v>63</v>
      </c>
      <c r="D13" s="13">
        <v>12</v>
      </c>
      <c r="E13" s="80"/>
      <c r="F13" s="81"/>
      <c r="G13" s="81"/>
      <c r="H13" s="82"/>
      <c r="I13" s="26"/>
    </row>
    <row r="14" spans="1:9" ht="23.1" customHeight="1" x14ac:dyDescent="0.2">
      <c r="A14" s="6">
        <v>5</v>
      </c>
      <c r="B14" s="23" t="s">
        <v>78</v>
      </c>
      <c r="C14" s="25" t="s">
        <v>63</v>
      </c>
      <c r="D14" s="13">
        <v>37</v>
      </c>
      <c r="E14" s="80"/>
      <c r="F14" s="81"/>
      <c r="G14" s="81"/>
      <c r="H14" s="82"/>
      <c r="I14" s="26"/>
    </row>
    <row r="15" spans="1:9" ht="23.1" customHeight="1" x14ac:dyDescent="0.2">
      <c r="A15" s="6">
        <v>6</v>
      </c>
      <c r="B15" s="23" t="s">
        <v>79</v>
      </c>
      <c r="C15" s="25" t="s">
        <v>63</v>
      </c>
      <c r="D15" s="13">
        <v>37</v>
      </c>
      <c r="E15" s="80"/>
      <c r="F15" s="81"/>
      <c r="G15" s="81"/>
      <c r="H15" s="82"/>
      <c r="I15" s="26"/>
    </row>
    <row r="16" spans="1:9" ht="23.1" customHeight="1" x14ac:dyDescent="0.2">
      <c r="A16" s="6">
        <v>7</v>
      </c>
      <c r="B16" s="23" t="s">
        <v>80</v>
      </c>
      <c r="C16" s="25" t="s">
        <v>63</v>
      </c>
      <c r="D16" s="13">
        <v>37</v>
      </c>
      <c r="E16" s="80"/>
      <c r="F16" s="81"/>
      <c r="G16" s="81"/>
      <c r="H16" s="82"/>
      <c r="I16" s="26"/>
    </row>
    <row r="17" spans="1:9" ht="23.1" customHeight="1" x14ac:dyDescent="0.2">
      <c r="A17" s="6">
        <v>8</v>
      </c>
      <c r="B17" s="23" t="s">
        <v>81</v>
      </c>
      <c r="C17" s="25" t="s">
        <v>63</v>
      </c>
      <c r="D17" s="13">
        <v>37</v>
      </c>
      <c r="E17" s="80"/>
      <c r="F17" s="81"/>
      <c r="G17" s="81"/>
      <c r="H17" s="82"/>
      <c r="I17" s="26"/>
    </row>
    <row r="18" spans="1:9" ht="23.1" customHeight="1" x14ac:dyDescent="0.2">
      <c r="A18" s="6">
        <v>9</v>
      </c>
      <c r="B18" s="23" t="s">
        <v>82</v>
      </c>
      <c r="C18" s="25" t="s">
        <v>63</v>
      </c>
      <c r="D18" s="13">
        <v>50</v>
      </c>
      <c r="E18" s="80"/>
      <c r="F18" s="81"/>
      <c r="G18" s="81"/>
      <c r="H18" s="82"/>
      <c r="I18" s="26"/>
    </row>
    <row r="19" spans="1:9" ht="23.1" customHeight="1" x14ac:dyDescent="0.2">
      <c r="A19" s="6"/>
      <c r="B19" s="23" t="s">
        <v>83</v>
      </c>
      <c r="C19" s="25" t="s">
        <v>63</v>
      </c>
      <c r="D19" s="13">
        <v>50</v>
      </c>
      <c r="E19" s="33"/>
      <c r="F19" s="34"/>
      <c r="G19" s="34"/>
      <c r="H19" s="38"/>
      <c r="I19" s="26"/>
    </row>
    <row r="20" spans="1:9" ht="23.1" customHeight="1" x14ac:dyDescent="0.2">
      <c r="A20" s="6"/>
      <c r="B20" s="23" t="s">
        <v>84</v>
      </c>
      <c r="C20" s="25" t="s">
        <v>63</v>
      </c>
      <c r="D20" s="13">
        <v>50</v>
      </c>
      <c r="E20" s="33"/>
      <c r="F20" s="34"/>
      <c r="G20" s="34"/>
      <c r="H20" s="38"/>
      <c r="I20" s="26"/>
    </row>
    <row r="21" spans="1:9" ht="23.1" customHeight="1" x14ac:dyDescent="0.2">
      <c r="A21" s="6"/>
      <c r="B21" s="23" t="s">
        <v>85</v>
      </c>
      <c r="C21" s="25" t="s">
        <v>63</v>
      </c>
      <c r="D21" s="13">
        <v>50</v>
      </c>
      <c r="E21" s="33"/>
      <c r="F21" s="34"/>
      <c r="G21" s="34"/>
      <c r="H21" s="38"/>
      <c r="I21" s="26"/>
    </row>
    <row r="22" spans="1:9" ht="23.1" customHeight="1" x14ac:dyDescent="0.2">
      <c r="A22" s="6"/>
      <c r="B22" s="23" t="s">
        <v>86</v>
      </c>
      <c r="C22" s="25" t="s">
        <v>63</v>
      </c>
      <c r="D22" s="13">
        <v>75</v>
      </c>
      <c r="E22" s="33"/>
      <c r="F22" s="34"/>
      <c r="G22" s="34"/>
      <c r="H22" s="38"/>
      <c r="I22" s="26"/>
    </row>
    <row r="23" spans="1:9" ht="23.1" customHeight="1" x14ac:dyDescent="0.2">
      <c r="A23" s="6"/>
      <c r="B23" s="23" t="s">
        <v>87</v>
      </c>
      <c r="C23" s="25" t="s">
        <v>63</v>
      </c>
      <c r="D23" s="13">
        <v>75</v>
      </c>
      <c r="E23" s="33"/>
      <c r="F23" s="34"/>
      <c r="G23" s="34"/>
      <c r="H23" s="38"/>
      <c r="I23" s="26"/>
    </row>
    <row r="24" spans="1:9" ht="23.1" customHeight="1" x14ac:dyDescent="0.2">
      <c r="A24" s="6"/>
      <c r="B24" s="23" t="s">
        <v>88</v>
      </c>
      <c r="C24" s="25" t="s">
        <v>63</v>
      </c>
      <c r="D24" s="13">
        <v>75</v>
      </c>
      <c r="E24" s="33"/>
      <c r="F24" s="34"/>
      <c r="G24" s="34"/>
      <c r="H24" s="38"/>
      <c r="I24" s="26"/>
    </row>
    <row r="25" spans="1:9" ht="23.1" customHeight="1" x14ac:dyDescent="0.2">
      <c r="A25" s="6"/>
      <c r="B25" s="23" t="s">
        <v>89</v>
      </c>
      <c r="C25" s="25" t="s">
        <v>63</v>
      </c>
      <c r="D25" s="13">
        <v>75</v>
      </c>
      <c r="E25" s="33"/>
      <c r="F25" s="34"/>
      <c r="G25" s="34"/>
      <c r="H25" s="38"/>
      <c r="I25" s="26"/>
    </row>
    <row r="26" spans="1:9" ht="23.1" customHeight="1" x14ac:dyDescent="0.2">
      <c r="A26" s="6"/>
      <c r="B26" s="23" t="s">
        <v>90</v>
      </c>
      <c r="C26" s="25" t="s">
        <v>63</v>
      </c>
      <c r="D26" s="13">
        <v>75</v>
      </c>
      <c r="E26" s="33"/>
      <c r="F26" s="34"/>
      <c r="G26" s="34"/>
      <c r="H26" s="38"/>
      <c r="I26" s="26"/>
    </row>
    <row r="27" spans="1:9" ht="23.1" customHeight="1" x14ac:dyDescent="0.2">
      <c r="A27" s="6"/>
      <c r="B27" s="23" t="s">
        <v>91</v>
      </c>
      <c r="C27" s="25" t="s">
        <v>63</v>
      </c>
      <c r="D27" s="13">
        <v>83</v>
      </c>
      <c r="E27" s="33"/>
      <c r="F27" s="34"/>
      <c r="G27" s="34"/>
      <c r="H27" s="38"/>
      <c r="I27" s="26"/>
    </row>
    <row r="28" spans="1:9" ht="23.1" customHeight="1" x14ac:dyDescent="0.2">
      <c r="A28" s="6"/>
      <c r="B28" s="23" t="s">
        <v>92</v>
      </c>
      <c r="C28" s="25" t="s">
        <v>63</v>
      </c>
      <c r="D28" s="13">
        <v>83</v>
      </c>
      <c r="E28" s="33"/>
      <c r="F28" s="34"/>
      <c r="G28" s="34"/>
      <c r="H28" s="38"/>
      <c r="I28" s="26"/>
    </row>
    <row r="29" spans="1:9" ht="23.1" customHeight="1" x14ac:dyDescent="0.2">
      <c r="A29" s="6"/>
      <c r="B29" s="23" t="s">
        <v>93</v>
      </c>
      <c r="C29" s="25" t="s">
        <v>63</v>
      </c>
      <c r="D29" s="13">
        <v>78</v>
      </c>
      <c r="E29" s="33"/>
      <c r="F29" s="34"/>
      <c r="G29" s="34"/>
      <c r="H29" s="38"/>
      <c r="I29" s="26"/>
    </row>
    <row r="30" spans="1:9" ht="23.1" customHeight="1" x14ac:dyDescent="0.2">
      <c r="A30" s="6"/>
      <c r="B30" s="23" t="s">
        <v>94</v>
      </c>
      <c r="C30" s="25" t="s">
        <v>63</v>
      </c>
      <c r="D30" s="13">
        <v>78</v>
      </c>
      <c r="E30" s="33"/>
      <c r="F30" s="34"/>
      <c r="G30" s="34"/>
      <c r="H30" s="38"/>
      <c r="I30" s="26"/>
    </row>
    <row r="31" spans="1:9" ht="23.1" customHeight="1" x14ac:dyDescent="0.2">
      <c r="A31" s="6"/>
      <c r="B31" s="23" t="s">
        <v>95</v>
      </c>
      <c r="C31" s="25" t="s">
        <v>63</v>
      </c>
      <c r="D31" s="13">
        <v>78</v>
      </c>
      <c r="E31" s="33"/>
      <c r="F31" s="34"/>
      <c r="G31" s="34"/>
      <c r="H31" s="38"/>
      <c r="I31" s="26"/>
    </row>
    <row r="32" spans="1:9" ht="23.1" customHeight="1" x14ac:dyDescent="0.2">
      <c r="A32" s="6"/>
      <c r="B32" s="23" t="s">
        <v>96</v>
      </c>
      <c r="C32" s="25" t="s">
        <v>63</v>
      </c>
      <c r="D32" s="13">
        <v>78</v>
      </c>
      <c r="E32" s="33"/>
      <c r="F32" s="34"/>
      <c r="G32" s="34"/>
      <c r="H32" s="38"/>
      <c r="I32" s="26"/>
    </row>
    <row r="33" spans="1:9" ht="23.1" customHeight="1" x14ac:dyDescent="0.2">
      <c r="A33" s="6"/>
      <c r="B33" s="23" t="s">
        <v>97</v>
      </c>
      <c r="C33" s="25" t="s">
        <v>63</v>
      </c>
      <c r="D33" s="13">
        <v>78</v>
      </c>
      <c r="E33" s="33"/>
      <c r="F33" s="34"/>
      <c r="G33" s="34"/>
      <c r="H33" s="38"/>
      <c r="I33" s="26"/>
    </row>
    <row r="34" spans="1:9" ht="23.1" customHeight="1" x14ac:dyDescent="0.2">
      <c r="A34" s="6">
        <v>10</v>
      </c>
      <c r="B34" s="23" t="s">
        <v>126</v>
      </c>
      <c r="C34" s="25" t="s">
        <v>63</v>
      </c>
      <c r="D34" s="13">
        <v>41</v>
      </c>
      <c r="E34" s="80"/>
      <c r="F34" s="81"/>
      <c r="G34" s="81"/>
      <c r="H34" s="82"/>
      <c r="I34" s="26"/>
    </row>
    <row r="35" spans="1:9" ht="23.1" customHeight="1" x14ac:dyDescent="0.2">
      <c r="A35" s="6">
        <v>11</v>
      </c>
      <c r="B35" s="23" t="s">
        <v>127</v>
      </c>
      <c r="C35" s="25" t="s">
        <v>63</v>
      </c>
      <c r="D35" s="13">
        <v>41</v>
      </c>
      <c r="E35" s="80"/>
      <c r="F35" s="81"/>
      <c r="G35" s="81"/>
      <c r="H35" s="82"/>
      <c r="I35" s="26"/>
    </row>
    <row r="36" spans="1:9" ht="23.1" customHeight="1" x14ac:dyDescent="0.2">
      <c r="A36" s="6">
        <v>12</v>
      </c>
      <c r="B36" s="23" t="s">
        <v>128</v>
      </c>
      <c r="C36" s="25" t="s">
        <v>63</v>
      </c>
      <c r="D36" s="13">
        <v>41</v>
      </c>
      <c r="E36" s="80"/>
      <c r="F36" s="81"/>
      <c r="G36" s="81"/>
      <c r="H36" s="82"/>
      <c r="I36" s="26"/>
    </row>
    <row r="37" spans="1:9" ht="23.1" customHeight="1" x14ac:dyDescent="0.2">
      <c r="A37" s="6">
        <v>13</v>
      </c>
      <c r="B37" s="23" t="s">
        <v>129</v>
      </c>
      <c r="C37" s="25" t="s">
        <v>63</v>
      </c>
      <c r="D37" s="13">
        <v>41</v>
      </c>
      <c r="E37" s="80"/>
      <c r="F37" s="81"/>
      <c r="G37" s="81"/>
      <c r="H37" s="82"/>
      <c r="I37" s="26"/>
    </row>
    <row r="38" spans="1:9" ht="23.1" customHeight="1" x14ac:dyDescent="0.2">
      <c r="A38" s="6">
        <v>14</v>
      </c>
      <c r="B38" s="23" t="s">
        <v>130</v>
      </c>
      <c r="C38" s="25" t="s">
        <v>63</v>
      </c>
      <c r="D38" s="13"/>
      <c r="E38" s="80"/>
      <c r="F38" s="81"/>
      <c r="G38" s="81"/>
      <c r="H38" s="82"/>
      <c r="I38" s="26"/>
    </row>
    <row r="39" spans="1:9" ht="23.1" customHeight="1" x14ac:dyDescent="0.2">
      <c r="A39" s="6">
        <v>15</v>
      </c>
      <c r="B39" s="23" t="s">
        <v>131</v>
      </c>
      <c r="C39" s="25" t="s">
        <v>63</v>
      </c>
      <c r="D39" s="13"/>
      <c r="E39" s="80"/>
      <c r="F39" s="81"/>
      <c r="G39" s="81"/>
      <c r="H39" s="82"/>
      <c r="I39" s="26"/>
    </row>
    <row r="40" spans="1:9" ht="23.1" customHeight="1" x14ac:dyDescent="0.2">
      <c r="A40" s="6"/>
      <c r="B40" s="23" t="s">
        <v>132</v>
      </c>
      <c r="C40" s="25" t="s">
        <v>63</v>
      </c>
      <c r="D40" s="13"/>
      <c r="E40" s="33"/>
      <c r="F40" s="34"/>
      <c r="G40" s="34"/>
      <c r="H40" s="38"/>
      <c r="I40" s="26"/>
    </row>
    <row r="41" spans="1:9" ht="23.1" customHeight="1" x14ac:dyDescent="0.2">
      <c r="A41" s="6"/>
      <c r="B41" s="23" t="s">
        <v>133</v>
      </c>
      <c r="C41" s="25" t="s">
        <v>63</v>
      </c>
      <c r="D41" s="13"/>
      <c r="E41" s="33"/>
      <c r="F41" s="34"/>
      <c r="G41" s="34"/>
      <c r="H41" s="38"/>
      <c r="I41" s="26"/>
    </row>
    <row r="42" spans="1:9" ht="23.1" customHeight="1" x14ac:dyDescent="0.2">
      <c r="A42" s="6"/>
      <c r="B42" s="23" t="s">
        <v>134</v>
      </c>
      <c r="C42" s="25" t="s">
        <v>63</v>
      </c>
      <c r="D42" s="13"/>
      <c r="E42" s="33"/>
      <c r="F42" s="34"/>
      <c r="G42" s="34"/>
      <c r="H42" s="38"/>
      <c r="I42" s="26"/>
    </row>
    <row r="43" spans="1:9" ht="23.1" customHeight="1" x14ac:dyDescent="0.2">
      <c r="A43" s="6"/>
      <c r="B43" s="23" t="s">
        <v>135</v>
      </c>
      <c r="C43" s="25" t="s">
        <v>63</v>
      </c>
      <c r="D43" s="13"/>
      <c r="E43" s="33"/>
      <c r="F43" s="34"/>
      <c r="G43" s="34"/>
      <c r="H43" s="38"/>
      <c r="I43" s="26"/>
    </row>
    <row r="44" spans="1:9" ht="23.1" customHeight="1" x14ac:dyDescent="0.2">
      <c r="A44" s="6"/>
      <c r="B44" s="23" t="s">
        <v>136</v>
      </c>
      <c r="C44" s="25" t="s">
        <v>63</v>
      </c>
      <c r="D44" s="13"/>
      <c r="E44" s="33"/>
      <c r="F44" s="34"/>
      <c r="G44" s="34"/>
      <c r="H44" s="38"/>
      <c r="I44" s="26"/>
    </row>
    <row r="45" spans="1:9" ht="23.1" customHeight="1" x14ac:dyDescent="0.2">
      <c r="A45" s="6"/>
      <c r="B45" s="23" t="s">
        <v>137</v>
      </c>
      <c r="C45" s="25" t="s">
        <v>63</v>
      </c>
      <c r="D45" s="13"/>
      <c r="E45" s="33"/>
      <c r="F45" s="34"/>
      <c r="G45" s="34"/>
      <c r="H45" s="38"/>
      <c r="I45" s="26"/>
    </row>
    <row r="46" spans="1:9" ht="23.1" customHeight="1" x14ac:dyDescent="0.2">
      <c r="A46" s="6"/>
      <c r="B46" s="23" t="s">
        <v>138</v>
      </c>
      <c r="C46" s="25" t="s">
        <v>63</v>
      </c>
      <c r="D46" s="13"/>
      <c r="E46" s="33"/>
      <c r="F46" s="34"/>
      <c r="G46" s="34"/>
      <c r="H46" s="38"/>
      <c r="I46" s="26"/>
    </row>
    <row r="47" spans="1:9" ht="23.1" customHeight="1" x14ac:dyDescent="0.2">
      <c r="A47" s="6"/>
      <c r="B47" s="23" t="s">
        <v>139</v>
      </c>
      <c r="C47" s="25" t="s">
        <v>63</v>
      </c>
      <c r="D47" s="13"/>
      <c r="E47" s="33"/>
      <c r="F47" s="34"/>
      <c r="G47" s="34"/>
      <c r="H47" s="38"/>
      <c r="I47" s="26"/>
    </row>
    <row r="48" spans="1:9" ht="23.1" customHeight="1" x14ac:dyDescent="0.2">
      <c r="A48" s="6"/>
      <c r="B48" s="23" t="s">
        <v>140</v>
      </c>
      <c r="C48" s="25" t="s">
        <v>63</v>
      </c>
      <c r="D48" s="13"/>
      <c r="E48" s="33"/>
      <c r="F48" s="34"/>
      <c r="G48" s="34"/>
      <c r="H48" s="38"/>
      <c r="I48" s="26"/>
    </row>
    <row r="49" spans="1:9" ht="23.1" customHeight="1" x14ac:dyDescent="0.2">
      <c r="A49" s="6">
        <v>16</v>
      </c>
      <c r="B49" s="23" t="s">
        <v>141</v>
      </c>
      <c r="C49" s="25" t="s">
        <v>63</v>
      </c>
      <c r="D49" s="13"/>
      <c r="E49" s="80"/>
      <c r="F49" s="81"/>
      <c r="G49" s="81"/>
      <c r="H49" s="82"/>
      <c r="I49" s="26"/>
    </row>
    <row r="50" spans="1:9" ht="23.1" customHeight="1" x14ac:dyDescent="0.2">
      <c r="A50" s="6">
        <v>17</v>
      </c>
      <c r="B50" s="23" t="s">
        <v>142</v>
      </c>
      <c r="C50" s="25" t="s">
        <v>63</v>
      </c>
      <c r="D50" s="13"/>
      <c r="E50" s="80"/>
      <c r="F50" s="81"/>
      <c r="G50" s="81"/>
      <c r="H50" s="82"/>
      <c r="I50" s="26"/>
    </row>
    <row r="51" spans="1:9" ht="23.1" customHeight="1" x14ac:dyDescent="0.2">
      <c r="A51" s="6">
        <v>18</v>
      </c>
      <c r="B51" s="23" t="s">
        <v>143</v>
      </c>
      <c r="C51" s="25" t="s">
        <v>63</v>
      </c>
      <c r="D51" s="13"/>
      <c r="E51" s="80"/>
      <c r="F51" s="81"/>
      <c r="G51" s="81"/>
      <c r="H51" s="82"/>
      <c r="I51" s="26"/>
    </row>
    <row r="52" spans="1:9" ht="23.1" customHeight="1" x14ac:dyDescent="0.2">
      <c r="A52" s="6">
        <v>19</v>
      </c>
      <c r="B52" s="23" t="s">
        <v>144</v>
      </c>
      <c r="C52" s="25" t="s">
        <v>63</v>
      </c>
      <c r="D52" s="13"/>
      <c r="E52" s="80"/>
      <c r="F52" s="81"/>
      <c r="G52" s="81"/>
      <c r="H52" s="82"/>
      <c r="I52" s="26"/>
    </row>
    <row r="53" spans="1:9" ht="23.1" customHeight="1" x14ac:dyDescent="0.2">
      <c r="A53" s="6">
        <v>20</v>
      </c>
      <c r="B53" s="23" t="s">
        <v>145</v>
      </c>
      <c r="C53" s="25" t="s">
        <v>63</v>
      </c>
      <c r="D53" s="13"/>
      <c r="E53" s="80"/>
      <c r="F53" s="81"/>
      <c r="G53" s="81"/>
      <c r="H53" s="82"/>
      <c r="I53" s="26"/>
    </row>
    <row r="54" spans="1:9" ht="23.1" customHeight="1" x14ac:dyDescent="0.2">
      <c r="A54" s="6">
        <v>21</v>
      </c>
      <c r="B54" s="23" t="s">
        <v>146</v>
      </c>
      <c r="C54" s="25" t="s">
        <v>63</v>
      </c>
      <c r="D54" s="13"/>
      <c r="E54" s="80"/>
      <c r="F54" s="81"/>
      <c r="G54" s="81"/>
      <c r="H54" s="82"/>
      <c r="I54" s="26"/>
    </row>
    <row r="55" spans="1:9" ht="23.1" customHeight="1" x14ac:dyDescent="0.2">
      <c r="A55" s="6">
        <v>22</v>
      </c>
      <c r="B55" s="23" t="s">
        <v>147</v>
      </c>
      <c r="C55" s="25" t="s">
        <v>63</v>
      </c>
      <c r="D55" s="13"/>
      <c r="E55" s="80"/>
      <c r="F55" s="81"/>
      <c r="G55" s="81"/>
      <c r="H55" s="82"/>
      <c r="I55" s="26"/>
    </row>
    <row r="56" spans="1:9" ht="23.1" customHeight="1" x14ac:dyDescent="0.2">
      <c r="A56" s="6">
        <v>23</v>
      </c>
      <c r="B56" s="23" t="s">
        <v>148</v>
      </c>
      <c r="C56" s="25" t="s">
        <v>63</v>
      </c>
      <c r="D56" s="13"/>
      <c r="E56" s="33"/>
      <c r="F56" s="34"/>
      <c r="G56" s="34"/>
      <c r="H56" s="38"/>
      <c r="I56" s="26"/>
    </row>
    <row r="57" spans="1:9" ht="23.1" customHeight="1" x14ac:dyDescent="0.2">
      <c r="A57" s="6">
        <v>24</v>
      </c>
      <c r="B57" s="23" t="s">
        <v>149</v>
      </c>
      <c r="C57" s="25" t="s">
        <v>63</v>
      </c>
      <c r="D57" s="13"/>
      <c r="E57" s="33"/>
      <c r="F57" s="34"/>
      <c r="G57" s="34"/>
      <c r="H57" s="38"/>
      <c r="I57" s="26"/>
    </row>
    <row r="58" spans="1:9" ht="23.1" customHeight="1" x14ac:dyDescent="0.2">
      <c r="A58" s="77"/>
      <c r="B58" s="78"/>
      <c r="C58" s="78"/>
      <c r="D58" s="78"/>
      <c r="E58" s="78"/>
      <c r="F58" s="78"/>
      <c r="G58" s="78"/>
      <c r="H58" s="79"/>
      <c r="I58" s="26"/>
    </row>
    <row r="59" spans="1:9" ht="23.1" customHeight="1" x14ac:dyDescent="0.2">
      <c r="A59" s="6">
        <v>25</v>
      </c>
      <c r="B59" s="23" t="s">
        <v>61</v>
      </c>
      <c r="C59" s="25"/>
      <c r="D59" s="97">
        <v>30651</v>
      </c>
      <c r="E59" s="80"/>
      <c r="F59" s="81"/>
      <c r="G59" s="81"/>
      <c r="H59" s="82"/>
      <c r="I59" s="26"/>
    </row>
    <row r="60" spans="1:9" ht="23.1" customHeight="1" x14ac:dyDescent="0.2">
      <c r="A60" s="6">
        <v>26</v>
      </c>
      <c r="B60" s="23" t="s">
        <v>62</v>
      </c>
      <c r="C60" s="25"/>
      <c r="D60" s="98">
        <v>81935</v>
      </c>
      <c r="E60" s="80"/>
      <c r="F60" s="81"/>
      <c r="G60" s="81"/>
      <c r="H60" s="82"/>
      <c r="I60" s="26"/>
    </row>
    <row r="61" spans="1:9" ht="23.1" customHeight="1" x14ac:dyDescent="0.2">
      <c r="A61" s="77"/>
      <c r="B61" s="78"/>
      <c r="C61" s="78"/>
      <c r="D61" s="78"/>
      <c r="E61" s="78"/>
      <c r="F61" s="78"/>
      <c r="G61" s="78"/>
      <c r="H61" s="79"/>
    </row>
    <row r="62" spans="1:9" ht="23.1" customHeight="1" x14ac:dyDescent="0.2">
      <c r="A62" s="6">
        <v>27</v>
      </c>
      <c r="B62" s="17" t="s">
        <v>53</v>
      </c>
      <c r="C62" s="12" t="s">
        <v>0</v>
      </c>
      <c r="D62" s="22"/>
      <c r="E62" s="80"/>
      <c r="F62" s="81"/>
      <c r="G62" s="81"/>
      <c r="H62" s="82"/>
    </row>
    <row r="63" spans="1:9" ht="23.1" customHeight="1" x14ac:dyDescent="0.2">
      <c r="A63" s="24">
        <v>28</v>
      </c>
      <c r="B63" s="39" t="s">
        <v>52</v>
      </c>
      <c r="C63" s="40" t="s">
        <v>51</v>
      </c>
      <c r="D63" s="41" t="s">
        <v>159</v>
      </c>
      <c r="E63" s="84"/>
      <c r="F63" s="85"/>
      <c r="G63" s="85"/>
      <c r="H63" s="86"/>
    </row>
  </sheetData>
  <mergeCells count="34">
    <mergeCell ref="E62:H62"/>
    <mergeCell ref="E63:H63"/>
    <mergeCell ref="C1:D1"/>
    <mergeCell ref="A58:H58"/>
    <mergeCell ref="A5:H5"/>
    <mergeCell ref="E52:H52"/>
    <mergeCell ref="E53:H53"/>
    <mergeCell ref="E54:H54"/>
    <mergeCell ref="E55:H55"/>
    <mergeCell ref="E59:H59"/>
    <mergeCell ref="E60:H60"/>
    <mergeCell ref="E37:H37"/>
    <mergeCell ref="E38:H38"/>
    <mergeCell ref="E39:H39"/>
    <mergeCell ref="E49:H49"/>
    <mergeCell ref="A61:H61"/>
    <mergeCell ref="E10:H11"/>
    <mergeCell ref="E13:H13"/>
    <mergeCell ref="E14:H14"/>
    <mergeCell ref="E15:H15"/>
    <mergeCell ref="C10:C11"/>
    <mergeCell ref="E51:H51"/>
    <mergeCell ref="E16:H16"/>
    <mergeCell ref="E17:H17"/>
    <mergeCell ref="E18:H18"/>
    <mergeCell ref="E34:H34"/>
    <mergeCell ref="E35:H35"/>
    <mergeCell ref="E36:H36"/>
    <mergeCell ref="C2:D2"/>
    <mergeCell ref="A9:H9"/>
    <mergeCell ref="E50:H50"/>
    <mergeCell ref="C4:D4"/>
    <mergeCell ref="A12:H12"/>
    <mergeCell ref="C3:D3"/>
  </mergeCells>
  <phoneticPr fontId="10" type="noConversion"/>
  <pageMargins left="0.9055118110236221" right="0.51181102362204722" top="0.78740157480314965" bottom="0.78740157480314965" header="0.31496062992125984" footer="0.31496062992125984"/>
  <pageSetup paperSize="9" scale="5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5DA5-2C62-4B1A-BE73-40363F7A0176}">
  <sheetPr>
    <pageSetUpPr fitToPage="1"/>
  </sheetPr>
  <dimension ref="A1:I63"/>
  <sheetViews>
    <sheetView showGridLines="0" topLeftCell="A19" zoomScale="130" zoomScaleNormal="130" workbookViewId="0">
      <selection activeCell="H1" sqref="H1"/>
    </sheetView>
  </sheetViews>
  <sheetFormatPr defaultColWidth="9.140625" defaultRowHeight="12" x14ac:dyDescent="0.2"/>
  <cols>
    <col min="1" max="1" width="3.42578125" style="2" customWidth="1"/>
    <col min="2" max="2" width="42.140625" style="1" customWidth="1"/>
    <col min="3" max="3" width="25.85546875" style="2" customWidth="1"/>
    <col min="4" max="4" width="28.28515625" style="16" customWidth="1"/>
    <col min="5" max="5" width="5.5703125" style="2" customWidth="1"/>
    <col min="6" max="6" width="11.42578125" style="2" customWidth="1"/>
    <col min="7" max="7" width="6.140625" style="2" customWidth="1"/>
    <col min="8" max="8" width="13.85546875" style="1" bestFit="1" customWidth="1"/>
    <col min="9" max="16384" width="9.140625" style="1"/>
  </cols>
  <sheetData>
    <row r="1" spans="1:9" ht="15" customHeight="1" x14ac:dyDescent="0.2">
      <c r="A1" s="28"/>
      <c r="B1" s="29"/>
      <c r="C1" s="64" t="s">
        <v>65</v>
      </c>
      <c r="D1" s="65"/>
      <c r="E1" s="5" t="s">
        <v>5</v>
      </c>
      <c r="F1" s="8" t="s">
        <v>13</v>
      </c>
      <c r="G1" s="9" t="s">
        <v>7</v>
      </c>
      <c r="H1" s="36" t="s">
        <v>154</v>
      </c>
    </row>
    <row r="2" spans="1:9" ht="15" customHeight="1" x14ac:dyDescent="0.2">
      <c r="A2" s="30"/>
      <c r="B2" s="31"/>
      <c r="C2" s="93" t="s">
        <v>121</v>
      </c>
      <c r="D2" s="94"/>
      <c r="E2" s="5" t="s">
        <v>119</v>
      </c>
      <c r="F2" s="8" t="s">
        <v>13</v>
      </c>
      <c r="G2" s="9" t="s">
        <v>8</v>
      </c>
      <c r="H2" s="4">
        <v>0</v>
      </c>
    </row>
    <row r="3" spans="1:9" ht="15" customHeight="1" x14ac:dyDescent="0.2">
      <c r="A3" s="30"/>
      <c r="B3" s="31"/>
      <c r="C3" s="66" t="s">
        <v>116</v>
      </c>
      <c r="D3" s="67"/>
      <c r="E3" s="5" t="s">
        <v>6</v>
      </c>
      <c r="F3" s="8" t="s">
        <v>74</v>
      </c>
      <c r="G3" s="9" t="s">
        <v>9</v>
      </c>
      <c r="H3" s="3" t="s">
        <v>73</v>
      </c>
    </row>
    <row r="4" spans="1:9" ht="15" customHeight="1" x14ac:dyDescent="0.2">
      <c r="A4" s="30"/>
      <c r="B4" s="31"/>
      <c r="C4" s="95" t="s">
        <v>12</v>
      </c>
      <c r="D4" s="96"/>
      <c r="E4" s="10" t="s">
        <v>11</v>
      </c>
      <c r="F4" s="7"/>
      <c r="G4" s="11" t="s">
        <v>10</v>
      </c>
      <c r="H4" s="32">
        <f ca="1">TODAY()</f>
        <v>45957</v>
      </c>
    </row>
    <row r="5" spans="1:9" ht="15" customHeight="1" x14ac:dyDescent="0.2">
      <c r="A5" s="68" t="s">
        <v>117</v>
      </c>
      <c r="B5" s="69"/>
      <c r="C5" s="69"/>
      <c r="D5" s="69"/>
      <c r="E5" s="69"/>
      <c r="F5" s="69"/>
      <c r="G5" s="69"/>
      <c r="H5" s="70"/>
    </row>
    <row r="6" spans="1:9" ht="20.100000000000001" customHeight="1" x14ac:dyDescent="0.2">
      <c r="A6" s="46"/>
      <c r="B6" s="49" t="s">
        <v>122</v>
      </c>
      <c r="C6" s="50">
        <v>46037</v>
      </c>
      <c r="D6" s="47"/>
      <c r="E6" s="47"/>
      <c r="F6" s="47"/>
      <c r="G6" s="47"/>
      <c r="H6" s="48"/>
    </row>
    <row r="7" spans="1:9" ht="20.100000000000001" customHeight="1" x14ac:dyDescent="0.2">
      <c r="A7" s="46"/>
      <c r="B7" s="49" t="s">
        <v>123</v>
      </c>
      <c r="C7" s="50">
        <v>46203</v>
      </c>
      <c r="D7" s="47"/>
      <c r="E7" s="47"/>
      <c r="F7" s="47"/>
      <c r="G7" s="47"/>
      <c r="H7" s="48"/>
    </row>
    <row r="8" spans="1:9" ht="20.100000000000001" customHeight="1" x14ac:dyDescent="0.2">
      <c r="A8" s="46"/>
      <c r="B8" s="49" t="s">
        <v>124</v>
      </c>
      <c r="C8" s="50">
        <v>46233</v>
      </c>
      <c r="D8" s="47"/>
      <c r="E8" s="47"/>
      <c r="F8" s="47"/>
      <c r="G8" s="47"/>
      <c r="H8" s="48"/>
    </row>
    <row r="9" spans="1:9" ht="12" customHeight="1" x14ac:dyDescent="0.2">
      <c r="A9" s="58"/>
      <c r="B9" s="59"/>
      <c r="C9" s="59"/>
      <c r="D9" s="59"/>
      <c r="E9" s="59"/>
      <c r="F9" s="59"/>
      <c r="G9" s="59"/>
      <c r="H9" s="60"/>
    </row>
    <row r="10" spans="1:9" ht="23.1" customHeight="1" x14ac:dyDescent="0.2">
      <c r="A10" s="6">
        <v>1</v>
      </c>
      <c r="B10" s="17" t="s">
        <v>1</v>
      </c>
      <c r="C10" s="83" t="s">
        <v>3</v>
      </c>
      <c r="D10" s="15"/>
      <c r="E10" s="87" t="s">
        <v>4</v>
      </c>
      <c r="F10" s="88"/>
      <c r="G10" s="88"/>
      <c r="H10" s="89"/>
    </row>
    <row r="11" spans="1:9" ht="23.1" customHeight="1" x14ac:dyDescent="0.2">
      <c r="A11" s="6">
        <v>2</v>
      </c>
      <c r="B11" s="17" t="s">
        <v>2</v>
      </c>
      <c r="C11" s="83"/>
      <c r="D11" s="15"/>
      <c r="E11" s="90"/>
      <c r="F11" s="91"/>
      <c r="G11" s="91"/>
      <c r="H11" s="92"/>
    </row>
    <row r="12" spans="1:9" ht="23.1" customHeight="1" x14ac:dyDescent="0.2">
      <c r="A12" s="77" t="s">
        <v>23</v>
      </c>
      <c r="B12" s="78"/>
      <c r="C12" s="78"/>
      <c r="D12" s="78"/>
      <c r="E12" s="78"/>
      <c r="F12" s="78"/>
      <c r="G12" s="78"/>
      <c r="H12" s="79"/>
    </row>
    <row r="13" spans="1:9" ht="23.1" customHeight="1" x14ac:dyDescent="0.2">
      <c r="A13" s="6">
        <v>4</v>
      </c>
      <c r="B13" s="23" t="s">
        <v>77</v>
      </c>
      <c r="C13" s="25" t="s">
        <v>63</v>
      </c>
      <c r="D13" s="13"/>
      <c r="E13" s="80"/>
      <c r="F13" s="81"/>
      <c r="G13" s="81"/>
      <c r="H13" s="82"/>
      <c r="I13" s="26"/>
    </row>
    <row r="14" spans="1:9" ht="23.1" customHeight="1" x14ac:dyDescent="0.2">
      <c r="A14" s="6">
        <v>5</v>
      </c>
      <c r="B14" s="23" t="s">
        <v>78</v>
      </c>
      <c r="C14" s="25" t="s">
        <v>63</v>
      </c>
      <c r="D14" s="13"/>
      <c r="E14" s="80"/>
      <c r="F14" s="81"/>
      <c r="G14" s="81"/>
      <c r="H14" s="82"/>
      <c r="I14" s="26"/>
    </row>
    <row r="15" spans="1:9" ht="23.1" customHeight="1" x14ac:dyDescent="0.2">
      <c r="A15" s="6">
        <v>6</v>
      </c>
      <c r="B15" s="23" t="s">
        <v>79</v>
      </c>
      <c r="C15" s="25" t="s">
        <v>63</v>
      </c>
      <c r="D15" s="13"/>
      <c r="E15" s="80"/>
      <c r="F15" s="81"/>
      <c r="G15" s="81"/>
      <c r="H15" s="82"/>
      <c r="I15" s="26"/>
    </row>
    <row r="16" spans="1:9" ht="23.1" customHeight="1" x14ac:dyDescent="0.2">
      <c r="A16" s="6">
        <v>7</v>
      </c>
      <c r="B16" s="23" t="s">
        <v>80</v>
      </c>
      <c r="C16" s="25" t="s">
        <v>63</v>
      </c>
      <c r="D16" s="13"/>
      <c r="E16" s="80"/>
      <c r="F16" s="81"/>
      <c r="G16" s="81"/>
      <c r="H16" s="82"/>
      <c r="I16" s="26"/>
    </row>
    <row r="17" spans="1:9" ht="23.1" customHeight="1" x14ac:dyDescent="0.2">
      <c r="A17" s="6">
        <v>8</v>
      </c>
      <c r="B17" s="23" t="s">
        <v>81</v>
      </c>
      <c r="C17" s="25" t="s">
        <v>63</v>
      </c>
      <c r="D17" s="13"/>
      <c r="E17" s="80"/>
      <c r="F17" s="81"/>
      <c r="G17" s="81"/>
      <c r="H17" s="82"/>
      <c r="I17" s="26"/>
    </row>
    <row r="18" spans="1:9" ht="23.1" customHeight="1" x14ac:dyDescent="0.2">
      <c r="A18" s="6">
        <v>9</v>
      </c>
      <c r="B18" s="23" t="s">
        <v>82</v>
      </c>
      <c r="C18" s="25" t="s">
        <v>63</v>
      </c>
      <c r="D18" s="13"/>
      <c r="E18" s="80"/>
      <c r="F18" s="81"/>
      <c r="G18" s="81"/>
      <c r="H18" s="82"/>
      <c r="I18" s="26"/>
    </row>
    <row r="19" spans="1:9" ht="23.1" customHeight="1" x14ac:dyDescent="0.2">
      <c r="A19" s="6"/>
      <c r="B19" s="23" t="s">
        <v>83</v>
      </c>
      <c r="C19" s="25" t="s">
        <v>63</v>
      </c>
      <c r="D19" s="13"/>
      <c r="E19" s="33"/>
      <c r="F19" s="34"/>
      <c r="G19" s="34"/>
      <c r="H19" s="38"/>
      <c r="I19" s="26"/>
    </row>
    <row r="20" spans="1:9" ht="23.1" customHeight="1" x14ac:dyDescent="0.2">
      <c r="A20" s="6"/>
      <c r="B20" s="23" t="s">
        <v>84</v>
      </c>
      <c r="C20" s="25" t="s">
        <v>63</v>
      </c>
      <c r="D20" s="13"/>
      <c r="E20" s="33"/>
      <c r="F20" s="34"/>
      <c r="G20" s="34"/>
      <c r="H20" s="38"/>
      <c r="I20" s="26"/>
    </row>
    <row r="21" spans="1:9" ht="23.1" customHeight="1" x14ac:dyDescent="0.2">
      <c r="A21" s="6"/>
      <c r="B21" s="23" t="s">
        <v>85</v>
      </c>
      <c r="C21" s="25" t="s">
        <v>63</v>
      </c>
      <c r="D21" s="13"/>
      <c r="E21" s="33"/>
      <c r="F21" s="34"/>
      <c r="G21" s="34"/>
      <c r="H21" s="38"/>
      <c r="I21" s="26"/>
    </row>
    <row r="22" spans="1:9" ht="23.1" customHeight="1" x14ac:dyDescent="0.2">
      <c r="A22" s="6"/>
      <c r="B22" s="23" t="s">
        <v>86</v>
      </c>
      <c r="C22" s="25" t="s">
        <v>63</v>
      </c>
      <c r="D22" s="13"/>
      <c r="E22" s="33"/>
      <c r="F22" s="34"/>
      <c r="G22" s="34"/>
      <c r="H22" s="38"/>
      <c r="I22" s="26"/>
    </row>
    <row r="23" spans="1:9" ht="23.1" customHeight="1" x14ac:dyDescent="0.2">
      <c r="A23" s="6"/>
      <c r="B23" s="23" t="s">
        <v>87</v>
      </c>
      <c r="C23" s="25" t="s">
        <v>63</v>
      </c>
      <c r="D23" s="13"/>
      <c r="E23" s="33"/>
      <c r="F23" s="34"/>
      <c r="G23" s="34"/>
      <c r="H23" s="38"/>
      <c r="I23" s="26"/>
    </row>
    <row r="24" spans="1:9" ht="23.1" customHeight="1" x14ac:dyDescent="0.2">
      <c r="A24" s="6"/>
      <c r="B24" s="23" t="s">
        <v>88</v>
      </c>
      <c r="C24" s="25" t="s">
        <v>63</v>
      </c>
      <c r="D24" s="13"/>
      <c r="E24" s="33"/>
      <c r="F24" s="34"/>
      <c r="G24" s="34"/>
      <c r="H24" s="38"/>
      <c r="I24" s="26"/>
    </row>
    <row r="25" spans="1:9" ht="23.1" customHeight="1" x14ac:dyDescent="0.2">
      <c r="A25" s="6"/>
      <c r="B25" s="23" t="s">
        <v>89</v>
      </c>
      <c r="C25" s="25" t="s">
        <v>63</v>
      </c>
      <c r="D25" s="13"/>
      <c r="E25" s="33"/>
      <c r="F25" s="34"/>
      <c r="G25" s="34"/>
      <c r="H25" s="38"/>
      <c r="I25" s="26"/>
    </row>
    <row r="26" spans="1:9" ht="23.1" customHeight="1" x14ac:dyDescent="0.2">
      <c r="A26" s="6"/>
      <c r="B26" s="23" t="s">
        <v>90</v>
      </c>
      <c r="C26" s="25" t="s">
        <v>63</v>
      </c>
      <c r="D26" s="13"/>
      <c r="E26" s="33"/>
      <c r="F26" s="34"/>
      <c r="G26" s="34"/>
      <c r="H26" s="38"/>
      <c r="I26" s="26"/>
    </row>
    <row r="27" spans="1:9" ht="23.1" customHeight="1" x14ac:dyDescent="0.2">
      <c r="A27" s="6"/>
      <c r="B27" s="23" t="s">
        <v>91</v>
      </c>
      <c r="C27" s="25" t="s">
        <v>63</v>
      </c>
      <c r="D27" s="13"/>
      <c r="E27" s="33"/>
      <c r="F27" s="34"/>
      <c r="G27" s="34"/>
      <c r="H27" s="38"/>
      <c r="I27" s="26"/>
    </row>
    <row r="28" spans="1:9" ht="23.1" customHeight="1" x14ac:dyDescent="0.2">
      <c r="A28" s="6"/>
      <c r="B28" s="23" t="s">
        <v>92</v>
      </c>
      <c r="C28" s="25" t="s">
        <v>63</v>
      </c>
      <c r="D28" s="13"/>
      <c r="E28" s="33"/>
      <c r="F28" s="34"/>
      <c r="G28" s="34"/>
      <c r="H28" s="38"/>
      <c r="I28" s="26"/>
    </row>
    <row r="29" spans="1:9" ht="23.1" customHeight="1" x14ac:dyDescent="0.2">
      <c r="A29" s="6"/>
      <c r="B29" s="23" t="s">
        <v>93</v>
      </c>
      <c r="C29" s="25" t="s">
        <v>63</v>
      </c>
      <c r="D29" s="13"/>
      <c r="E29" s="33"/>
      <c r="F29" s="34"/>
      <c r="G29" s="34"/>
      <c r="H29" s="38"/>
      <c r="I29" s="26"/>
    </row>
    <row r="30" spans="1:9" ht="23.1" customHeight="1" x14ac:dyDescent="0.2">
      <c r="A30" s="6"/>
      <c r="B30" s="23" t="s">
        <v>94</v>
      </c>
      <c r="C30" s="25" t="s">
        <v>63</v>
      </c>
      <c r="D30" s="13"/>
      <c r="E30" s="33"/>
      <c r="F30" s="34"/>
      <c r="G30" s="34"/>
      <c r="H30" s="38"/>
      <c r="I30" s="26"/>
    </row>
    <row r="31" spans="1:9" ht="23.1" customHeight="1" x14ac:dyDescent="0.2">
      <c r="A31" s="6"/>
      <c r="B31" s="23" t="s">
        <v>95</v>
      </c>
      <c r="C31" s="25" t="s">
        <v>63</v>
      </c>
      <c r="D31" s="13"/>
      <c r="E31" s="33"/>
      <c r="F31" s="34"/>
      <c r="G31" s="34"/>
      <c r="H31" s="38"/>
      <c r="I31" s="26"/>
    </row>
    <row r="32" spans="1:9" ht="23.1" customHeight="1" x14ac:dyDescent="0.2">
      <c r="A32" s="6"/>
      <c r="B32" s="23" t="s">
        <v>96</v>
      </c>
      <c r="C32" s="25" t="s">
        <v>63</v>
      </c>
      <c r="D32" s="13"/>
      <c r="E32" s="33"/>
      <c r="F32" s="34"/>
      <c r="G32" s="34"/>
      <c r="H32" s="38"/>
      <c r="I32" s="26"/>
    </row>
    <row r="33" spans="1:9" ht="23.1" customHeight="1" x14ac:dyDescent="0.2">
      <c r="A33" s="6"/>
      <c r="B33" s="23" t="s">
        <v>97</v>
      </c>
      <c r="C33" s="25" t="s">
        <v>63</v>
      </c>
      <c r="D33" s="13"/>
      <c r="E33" s="33"/>
      <c r="F33" s="34"/>
      <c r="G33" s="34"/>
      <c r="H33" s="38"/>
      <c r="I33" s="26"/>
    </row>
    <row r="34" spans="1:9" ht="23.1" customHeight="1" x14ac:dyDescent="0.2">
      <c r="A34" s="6">
        <v>10</v>
      </c>
      <c r="B34" s="23" t="s">
        <v>126</v>
      </c>
      <c r="C34" s="25" t="s">
        <v>63</v>
      </c>
      <c r="D34" s="13"/>
      <c r="E34" s="80"/>
      <c r="F34" s="81"/>
      <c r="G34" s="81"/>
      <c r="H34" s="82"/>
      <c r="I34" s="26"/>
    </row>
    <row r="35" spans="1:9" ht="23.1" customHeight="1" x14ac:dyDescent="0.2">
      <c r="A35" s="6">
        <v>11</v>
      </c>
      <c r="B35" s="23" t="s">
        <v>127</v>
      </c>
      <c r="C35" s="25" t="s">
        <v>63</v>
      </c>
      <c r="D35" s="13"/>
      <c r="E35" s="80"/>
      <c r="F35" s="81"/>
      <c r="G35" s="81"/>
      <c r="H35" s="82"/>
      <c r="I35" s="26"/>
    </row>
    <row r="36" spans="1:9" ht="23.1" customHeight="1" x14ac:dyDescent="0.2">
      <c r="A36" s="6">
        <v>12</v>
      </c>
      <c r="B36" s="23" t="s">
        <v>128</v>
      </c>
      <c r="C36" s="25" t="s">
        <v>63</v>
      </c>
      <c r="D36" s="13"/>
      <c r="E36" s="80"/>
      <c r="F36" s="81"/>
      <c r="G36" s="81"/>
      <c r="H36" s="82"/>
      <c r="I36" s="26"/>
    </row>
    <row r="37" spans="1:9" ht="23.1" customHeight="1" x14ac:dyDescent="0.2">
      <c r="A37" s="6">
        <v>13</v>
      </c>
      <c r="B37" s="23" t="s">
        <v>129</v>
      </c>
      <c r="C37" s="25" t="s">
        <v>63</v>
      </c>
      <c r="D37" s="13"/>
      <c r="E37" s="80"/>
      <c r="F37" s="81"/>
      <c r="G37" s="81"/>
      <c r="H37" s="82"/>
      <c r="I37" s="26"/>
    </row>
    <row r="38" spans="1:9" ht="23.1" customHeight="1" x14ac:dyDescent="0.2">
      <c r="A38" s="6">
        <v>14</v>
      </c>
      <c r="B38" s="23" t="s">
        <v>130</v>
      </c>
      <c r="C38" s="25" t="s">
        <v>63</v>
      </c>
      <c r="D38" s="13"/>
      <c r="E38" s="80"/>
      <c r="F38" s="81"/>
      <c r="G38" s="81"/>
      <c r="H38" s="82"/>
      <c r="I38" s="26"/>
    </row>
    <row r="39" spans="1:9" ht="23.1" customHeight="1" x14ac:dyDescent="0.2">
      <c r="A39" s="6">
        <v>15</v>
      </c>
      <c r="B39" s="23" t="s">
        <v>131</v>
      </c>
      <c r="C39" s="25" t="s">
        <v>63</v>
      </c>
      <c r="D39" s="13"/>
      <c r="E39" s="80"/>
      <c r="F39" s="81"/>
      <c r="G39" s="81"/>
      <c r="H39" s="82"/>
      <c r="I39" s="26"/>
    </row>
    <row r="40" spans="1:9" ht="23.1" customHeight="1" x14ac:dyDescent="0.2">
      <c r="A40" s="6"/>
      <c r="B40" s="23" t="s">
        <v>132</v>
      </c>
      <c r="C40" s="25" t="s">
        <v>63</v>
      </c>
      <c r="D40" s="13"/>
      <c r="E40" s="33"/>
      <c r="F40" s="34"/>
      <c r="G40" s="34"/>
      <c r="H40" s="38"/>
      <c r="I40" s="26"/>
    </row>
    <row r="41" spans="1:9" ht="23.1" customHeight="1" x14ac:dyDescent="0.2">
      <c r="A41" s="6"/>
      <c r="B41" s="23" t="s">
        <v>133</v>
      </c>
      <c r="C41" s="25" t="s">
        <v>63</v>
      </c>
      <c r="D41" s="13"/>
      <c r="E41" s="33"/>
      <c r="F41" s="34"/>
      <c r="G41" s="34"/>
      <c r="H41" s="38"/>
      <c r="I41" s="26"/>
    </row>
    <row r="42" spans="1:9" ht="23.1" customHeight="1" x14ac:dyDescent="0.2">
      <c r="A42" s="6"/>
      <c r="B42" s="23" t="s">
        <v>134</v>
      </c>
      <c r="C42" s="25" t="s">
        <v>63</v>
      </c>
      <c r="D42" s="13"/>
      <c r="E42" s="33"/>
      <c r="F42" s="34"/>
      <c r="G42" s="34"/>
      <c r="H42" s="38"/>
      <c r="I42" s="26"/>
    </row>
    <row r="43" spans="1:9" ht="23.1" customHeight="1" x14ac:dyDescent="0.2">
      <c r="A43" s="6"/>
      <c r="B43" s="23" t="s">
        <v>135</v>
      </c>
      <c r="C43" s="25" t="s">
        <v>63</v>
      </c>
      <c r="D43" s="13"/>
      <c r="E43" s="33"/>
      <c r="F43" s="34"/>
      <c r="G43" s="34"/>
      <c r="H43" s="38"/>
      <c r="I43" s="26"/>
    </row>
    <row r="44" spans="1:9" ht="23.1" customHeight="1" x14ac:dyDescent="0.2">
      <c r="A44" s="6"/>
      <c r="B44" s="23" t="s">
        <v>136</v>
      </c>
      <c r="C44" s="25" t="s">
        <v>63</v>
      </c>
      <c r="D44" s="13"/>
      <c r="E44" s="33"/>
      <c r="F44" s="34"/>
      <c r="G44" s="34"/>
      <c r="H44" s="38"/>
      <c r="I44" s="26"/>
    </row>
    <row r="45" spans="1:9" ht="23.1" customHeight="1" x14ac:dyDescent="0.2">
      <c r="A45" s="6"/>
      <c r="B45" s="23" t="s">
        <v>137</v>
      </c>
      <c r="C45" s="25" t="s">
        <v>63</v>
      </c>
      <c r="D45" s="13"/>
      <c r="E45" s="33"/>
      <c r="F45" s="34"/>
      <c r="G45" s="34"/>
      <c r="H45" s="38"/>
      <c r="I45" s="26"/>
    </row>
    <row r="46" spans="1:9" ht="23.1" customHeight="1" x14ac:dyDescent="0.2">
      <c r="A46" s="6"/>
      <c r="B46" s="23" t="s">
        <v>138</v>
      </c>
      <c r="C46" s="25" t="s">
        <v>63</v>
      </c>
      <c r="D46" s="13"/>
      <c r="E46" s="33"/>
      <c r="F46" s="34"/>
      <c r="G46" s="34"/>
      <c r="H46" s="38"/>
      <c r="I46" s="26"/>
    </row>
    <row r="47" spans="1:9" ht="23.1" customHeight="1" x14ac:dyDescent="0.2">
      <c r="A47" s="6"/>
      <c r="B47" s="23" t="s">
        <v>139</v>
      </c>
      <c r="C47" s="25" t="s">
        <v>63</v>
      </c>
      <c r="D47" s="13"/>
      <c r="E47" s="33"/>
      <c r="F47" s="34"/>
      <c r="G47" s="34"/>
      <c r="H47" s="38"/>
      <c r="I47" s="26"/>
    </row>
    <row r="48" spans="1:9" ht="23.1" customHeight="1" x14ac:dyDescent="0.2">
      <c r="A48" s="6"/>
      <c r="B48" s="23" t="s">
        <v>140</v>
      </c>
      <c r="C48" s="25" t="s">
        <v>63</v>
      </c>
      <c r="D48" s="13"/>
      <c r="E48" s="33"/>
      <c r="F48" s="34"/>
      <c r="G48" s="34"/>
      <c r="H48" s="38"/>
      <c r="I48" s="26"/>
    </row>
    <row r="49" spans="1:9" ht="23.1" customHeight="1" x14ac:dyDescent="0.2">
      <c r="A49" s="6">
        <v>16</v>
      </c>
      <c r="B49" s="23" t="s">
        <v>141</v>
      </c>
      <c r="C49" s="25" t="s">
        <v>63</v>
      </c>
      <c r="D49" s="13"/>
      <c r="E49" s="80"/>
      <c r="F49" s="81"/>
      <c r="G49" s="81"/>
      <c r="H49" s="82"/>
      <c r="I49" s="26"/>
    </row>
    <row r="50" spans="1:9" ht="23.1" customHeight="1" x14ac:dyDescent="0.2">
      <c r="A50" s="6">
        <v>17</v>
      </c>
      <c r="B50" s="23" t="s">
        <v>142</v>
      </c>
      <c r="C50" s="25" t="s">
        <v>63</v>
      </c>
      <c r="D50" s="13"/>
      <c r="E50" s="80"/>
      <c r="F50" s="81"/>
      <c r="G50" s="81"/>
      <c r="H50" s="82"/>
      <c r="I50" s="26"/>
    </row>
    <row r="51" spans="1:9" ht="23.1" customHeight="1" x14ac:dyDescent="0.2">
      <c r="A51" s="6">
        <v>18</v>
      </c>
      <c r="B51" s="23" t="s">
        <v>143</v>
      </c>
      <c r="C51" s="25" t="s">
        <v>63</v>
      </c>
      <c r="D51" s="13"/>
      <c r="E51" s="80"/>
      <c r="F51" s="81"/>
      <c r="G51" s="81"/>
      <c r="H51" s="82"/>
      <c r="I51" s="26"/>
    </row>
    <row r="52" spans="1:9" ht="23.1" customHeight="1" x14ac:dyDescent="0.2">
      <c r="A52" s="6">
        <v>19</v>
      </c>
      <c r="B52" s="23" t="s">
        <v>144</v>
      </c>
      <c r="C52" s="25" t="s">
        <v>63</v>
      </c>
      <c r="D52" s="13"/>
      <c r="E52" s="80"/>
      <c r="F52" s="81"/>
      <c r="G52" s="81"/>
      <c r="H52" s="82"/>
      <c r="I52" s="26"/>
    </row>
    <row r="53" spans="1:9" ht="23.1" customHeight="1" x14ac:dyDescent="0.2">
      <c r="A53" s="6">
        <v>20</v>
      </c>
      <c r="B53" s="23" t="s">
        <v>145</v>
      </c>
      <c r="C53" s="25" t="s">
        <v>63</v>
      </c>
      <c r="D53" s="13"/>
      <c r="E53" s="80"/>
      <c r="F53" s="81"/>
      <c r="G53" s="81"/>
      <c r="H53" s="82"/>
      <c r="I53" s="26"/>
    </row>
    <row r="54" spans="1:9" ht="23.1" customHeight="1" x14ac:dyDescent="0.2">
      <c r="A54" s="6">
        <v>21</v>
      </c>
      <c r="B54" s="23" t="s">
        <v>146</v>
      </c>
      <c r="C54" s="25" t="s">
        <v>63</v>
      </c>
      <c r="D54" s="13"/>
      <c r="E54" s="80"/>
      <c r="F54" s="81"/>
      <c r="G54" s="81"/>
      <c r="H54" s="82"/>
      <c r="I54" s="26"/>
    </row>
    <row r="55" spans="1:9" ht="23.1" customHeight="1" x14ac:dyDescent="0.2">
      <c r="A55" s="6">
        <v>22</v>
      </c>
      <c r="B55" s="23" t="s">
        <v>147</v>
      </c>
      <c r="C55" s="25" t="s">
        <v>63</v>
      </c>
      <c r="D55" s="13"/>
      <c r="E55" s="80"/>
      <c r="F55" s="81"/>
      <c r="G55" s="81"/>
      <c r="H55" s="82"/>
      <c r="I55" s="26"/>
    </row>
    <row r="56" spans="1:9" ht="23.1" customHeight="1" x14ac:dyDescent="0.2">
      <c r="A56" s="6">
        <v>23</v>
      </c>
      <c r="B56" s="23" t="s">
        <v>148</v>
      </c>
      <c r="C56" s="25" t="s">
        <v>63</v>
      </c>
      <c r="D56" s="13"/>
      <c r="E56" s="33"/>
      <c r="F56" s="34"/>
      <c r="G56" s="34"/>
      <c r="H56" s="38"/>
      <c r="I56" s="26"/>
    </row>
    <row r="57" spans="1:9" ht="23.1" customHeight="1" x14ac:dyDescent="0.2">
      <c r="A57" s="6">
        <v>24</v>
      </c>
      <c r="B57" s="23" t="s">
        <v>149</v>
      </c>
      <c r="C57" s="25" t="s">
        <v>63</v>
      </c>
      <c r="D57" s="13"/>
      <c r="E57" s="33"/>
      <c r="F57" s="34"/>
      <c r="G57" s="34"/>
      <c r="H57" s="38"/>
      <c r="I57" s="26"/>
    </row>
    <row r="58" spans="1:9" ht="23.1" customHeight="1" x14ac:dyDescent="0.2">
      <c r="A58" s="77"/>
      <c r="B58" s="78"/>
      <c r="C58" s="78"/>
      <c r="D58" s="78"/>
      <c r="E58" s="78"/>
      <c r="F58" s="78"/>
      <c r="G58" s="78"/>
      <c r="H58" s="79"/>
      <c r="I58" s="26"/>
    </row>
    <row r="59" spans="1:9" ht="23.1" customHeight="1" x14ac:dyDescent="0.2">
      <c r="A59" s="6">
        <v>25</v>
      </c>
      <c r="B59" s="23" t="s">
        <v>150</v>
      </c>
      <c r="C59" s="25"/>
      <c r="D59" s="14"/>
      <c r="E59" s="80"/>
      <c r="F59" s="81"/>
      <c r="G59" s="81"/>
      <c r="H59" s="82"/>
      <c r="I59" s="26"/>
    </row>
    <row r="60" spans="1:9" ht="23.1" customHeight="1" x14ac:dyDescent="0.2">
      <c r="A60" s="6">
        <v>26</v>
      </c>
      <c r="B60" s="23" t="s">
        <v>62</v>
      </c>
      <c r="C60" s="25"/>
      <c r="D60" s="14"/>
      <c r="E60" s="80"/>
      <c r="F60" s="81"/>
      <c r="G60" s="81"/>
      <c r="H60" s="82"/>
      <c r="I60" s="26"/>
    </row>
    <row r="61" spans="1:9" ht="23.1" customHeight="1" x14ac:dyDescent="0.2">
      <c r="A61" s="77"/>
      <c r="B61" s="78"/>
      <c r="C61" s="78"/>
      <c r="D61" s="78"/>
      <c r="E61" s="78"/>
      <c r="F61" s="78"/>
      <c r="G61" s="78"/>
      <c r="H61" s="79"/>
    </row>
    <row r="62" spans="1:9" ht="23.1" customHeight="1" x14ac:dyDescent="0.2">
      <c r="A62" s="6">
        <v>27</v>
      </c>
      <c r="B62" s="17" t="s">
        <v>53</v>
      </c>
      <c r="C62" s="12" t="s">
        <v>0</v>
      </c>
      <c r="D62" s="22"/>
      <c r="E62" s="80"/>
      <c r="F62" s="81"/>
      <c r="G62" s="81"/>
      <c r="H62" s="82"/>
    </row>
    <row r="63" spans="1:9" ht="23.1" customHeight="1" x14ac:dyDescent="0.2">
      <c r="A63" s="24">
        <v>28</v>
      </c>
      <c r="B63" s="39" t="s">
        <v>52</v>
      </c>
      <c r="C63" s="40" t="s">
        <v>51</v>
      </c>
      <c r="D63" s="41"/>
      <c r="E63" s="84"/>
      <c r="F63" s="85"/>
      <c r="G63" s="85"/>
      <c r="H63" s="86"/>
    </row>
  </sheetData>
  <mergeCells count="34">
    <mergeCell ref="E15:H15"/>
    <mergeCell ref="C1:D1"/>
    <mergeCell ref="C2:D2"/>
    <mergeCell ref="C3:D3"/>
    <mergeCell ref="C4:D4"/>
    <mergeCell ref="A5:H5"/>
    <mergeCell ref="A9:H9"/>
    <mergeCell ref="C10:C11"/>
    <mergeCell ref="E10:H11"/>
    <mergeCell ref="A12:H12"/>
    <mergeCell ref="E13:H13"/>
    <mergeCell ref="E14:H14"/>
    <mergeCell ref="E51:H51"/>
    <mergeCell ref="E16:H16"/>
    <mergeCell ref="E17:H17"/>
    <mergeCell ref="E18:H18"/>
    <mergeCell ref="E34:H34"/>
    <mergeCell ref="E35:H35"/>
    <mergeCell ref="E36:H36"/>
    <mergeCell ref="E37:H37"/>
    <mergeCell ref="E38:H38"/>
    <mergeCell ref="E39:H39"/>
    <mergeCell ref="E49:H49"/>
    <mergeCell ref="E50:H50"/>
    <mergeCell ref="E60:H60"/>
    <mergeCell ref="A61:H61"/>
    <mergeCell ref="E62:H62"/>
    <mergeCell ref="E63:H63"/>
    <mergeCell ref="E52:H52"/>
    <mergeCell ref="E53:H53"/>
    <mergeCell ref="E54:H54"/>
    <mergeCell ref="E55:H55"/>
    <mergeCell ref="A58:H58"/>
    <mergeCell ref="E59:H59"/>
  </mergeCells>
  <pageMargins left="0.9055118110236221" right="0.51181102362204722" top="0.78740157480314965" bottom="0.78740157480314965" header="0.31496062992125984" footer="0.31496062992125984"/>
  <pageSetup paperSize="9" scale="5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4B75-B736-42D9-A038-B905722F4FA7}">
  <sheetPr>
    <pageSetUpPr fitToPage="1"/>
  </sheetPr>
  <dimension ref="A1:I36"/>
  <sheetViews>
    <sheetView showGridLines="0" tabSelected="1" topLeftCell="A21" zoomScale="130" zoomScaleNormal="130" workbookViewId="0">
      <selection activeCell="D36" sqref="D36"/>
    </sheetView>
  </sheetViews>
  <sheetFormatPr defaultColWidth="9.140625" defaultRowHeight="12" x14ac:dyDescent="0.2"/>
  <cols>
    <col min="1" max="1" width="3.42578125" style="2" customWidth="1"/>
    <col min="2" max="2" width="42.140625" style="1" customWidth="1"/>
    <col min="3" max="3" width="24.85546875" style="2" customWidth="1"/>
    <col min="4" max="4" width="30.140625" style="16" customWidth="1"/>
    <col min="5" max="5" width="5.5703125" style="2" customWidth="1"/>
    <col min="6" max="6" width="11.42578125" style="2" customWidth="1"/>
    <col min="7" max="7" width="6.140625" style="2" customWidth="1"/>
    <col min="8" max="8" width="13.85546875" style="1" bestFit="1" customWidth="1"/>
    <col min="9" max="16384" width="9.140625" style="1"/>
  </cols>
  <sheetData>
    <row r="1" spans="1:9" ht="15" customHeight="1" x14ac:dyDescent="0.2">
      <c r="A1" s="28"/>
      <c r="B1" s="29"/>
      <c r="C1" s="64" t="s">
        <v>114</v>
      </c>
      <c r="D1" s="65"/>
      <c r="E1" s="5" t="s">
        <v>5</v>
      </c>
      <c r="F1" s="8" t="s">
        <v>13</v>
      </c>
      <c r="G1" s="9" t="s">
        <v>7</v>
      </c>
      <c r="H1" s="36" t="s">
        <v>155</v>
      </c>
    </row>
    <row r="2" spans="1:9" ht="15" customHeight="1" x14ac:dyDescent="0.2">
      <c r="A2" s="30"/>
      <c r="B2" s="31"/>
      <c r="C2" s="93" t="s">
        <v>125</v>
      </c>
      <c r="D2" s="94"/>
      <c r="E2" s="5" t="s">
        <v>119</v>
      </c>
      <c r="F2" s="8" t="s">
        <v>13</v>
      </c>
      <c r="G2" s="9" t="s">
        <v>8</v>
      </c>
      <c r="H2" s="4">
        <v>0</v>
      </c>
    </row>
    <row r="3" spans="1:9" ht="15" customHeight="1" x14ac:dyDescent="0.2">
      <c r="A3" s="30"/>
      <c r="B3" s="31"/>
      <c r="C3" s="66" t="s">
        <v>116</v>
      </c>
      <c r="D3" s="67"/>
      <c r="E3" s="5" t="s">
        <v>6</v>
      </c>
      <c r="F3" s="8" t="s">
        <v>74</v>
      </c>
      <c r="G3" s="9" t="s">
        <v>9</v>
      </c>
      <c r="H3" s="3" t="s">
        <v>73</v>
      </c>
    </row>
    <row r="4" spans="1:9" ht="15" customHeight="1" x14ac:dyDescent="0.2">
      <c r="A4" s="30"/>
      <c r="B4" s="31"/>
      <c r="C4" s="95" t="s">
        <v>12</v>
      </c>
      <c r="D4" s="96"/>
      <c r="E4" s="10" t="s">
        <v>11</v>
      </c>
      <c r="F4" s="7"/>
      <c r="G4" s="11" t="s">
        <v>10</v>
      </c>
      <c r="H4" s="32">
        <f ca="1">TODAY()</f>
        <v>45957</v>
      </c>
    </row>
    <row r="5" spans="1:9" ht="15" customHeight="1" x14ac:dyDescent="0.2">
      <c r="A5" s="68" t="s">
        <v>117</v>
      </c>
      <c r="B5" s="69"/>
      <c r="C5" s="69"/>
      <c r="D5" s="69"/>
      <c r="E5" s="69"/>
      <c r="F5" s="69"/>
      <c r="G5" s="69"/>
      <c r="H5" s="70"/>
    </row>
    <row r="6" spans="1:9" ht="20.100000000000001" customHeight="1" x14ac:dyDescent="0.2">
      <c r="A6" s="46"/>
      <c r="B6" s="49" t="s">
        <v>122</v>
      </c>
      <c r="C6" s="50">
        <v>46037</v>
      </c>
      <c r="D6" s="47"/>
      <c r="E6" s="47"/>
      <c r="F6" s="47"/>
      <c r="G6" s="47"/>
      <c r="H6" s="48"/>
    </row>
    <row r="7" spans="1:9" ht="20.100000000000001" customHeight="1" x14ac:dyDescent="0.2">
      <c r="A7" s="46"/>
      <c r="B7" s="49" t="s">
        <v>123</v>
      </c>
      <c r="C7" s="50">
        <v>46203</v>
      </c>
      <c r="D7" s="47"/>
      <c r="E7" s="47"/>
      <c r="F7" s="47"/>
      <c r="G7" s="47"/>
      <c r="H7" s="48"/>
    </row>
    <row r="8" spans="1:9" ht="20.100000000000001" customHeight="1" x14ac:dyDescent="0.2">
      <c r="A8" s="46"/>
      <c r="B8" s="49" t="s">
        <v>124</v>
      </c>
      <c r="C8" s="50">
        <v>46233</v>
      </c>
      <c r="D8" s="47"/>
      <c r="E8" s="47"/>
      <c r="F8" s="47"/>
      <c r="G8" s="47"/>
      <c r="H8" s="48"/>
    </row>
    <row r="9" spans="1:9" ht="12" customHeight="1" x14ac:dyDescent="0.2">
      <c r="A9" s="58"/>
      <c r="B9" s="59"/>
      <c r="C9" s="59"/>
      <c r="D9" s="59"/>
      <c r="E9" s="59"/>
      <c r="F9" s="59"/>
      <c r="G9" s="59"/>
      <c r="H9" s="60"/>
    </row>
    <row r="10" spans="1:9" ht="23.1" customHeight="1" x14ac:dyDescent="0.2">
      <c r="A10" s="6">
        <v>1</v>
      </c>
      <c r="B10" s="17" t="s">
        <v>1</v>
      </c>
      <c r="C10" s="83" t="s">
        <v>3</v>
      </c>
      <c r="D10" s="15"/>
      <c r="E10" s="87" t="s">
        <v>4</v>
      </c>
      <c r="F10" s="88"/>
      <c r="G10" s="88"/>
      <c r="H10" s="89"/>
    </row>
    <row r="11" spans="1:9" ht="23.1" customHeight="1" x14ac:dyDescent="0.2">
      <c r="A11" s="6">
        <v>2</v>
      </c>
      <c r="B11" s="17" t="s">
        <v>2</v>
      </c>
      <c r="C11" s="83"/>
      <c r="D11" s="15"/>
      <c r="E11" s="90"/>
      <c r="F11" s="91"/>
      <c r="G11" s="91"/>
      <c r="H11" s="92"/>
    </row>
    <row r="12" spans="1:9" ht="23.1" customHeight="1" x14ac:dyDescent="0.2">
      <c r="A12" s="77" t="s">
        <v>23</v>
      </c>
      <c r="B12" s="78"/>
      <c r="C12" s="78"/>
      <c r="D12" s="78"/>
      <c r="E12" s="78"/>
      <c r="F12" s="78"/>
      <c r="G12" s="78"/>
      <c r="H12" s="79"/>
    </row>
    <row r="13" spans="1:9" ht="23.1" customHeight="1" x14ac:dyDescent="0.2">
      <c r="A13" s="6">
        <v>4</v>
      </c>
      <c r="B13" s="23" t="s">
        <v>99</v>
      </c>
      <c r="C13" s="25" t="s">
        <v>98</v>
      </c>
      <c r="D13" s="99">
        <v>404166.78121925646</v>
      </c>
      <c r="E13" s="80"/>
      <c r="F13" s="81"/>
      <c r="G13" s="81"/>
      <c r="H13" s="82"/>
      <c r="I13" s="26"/>
    </row>
    <row r="14" spans="1:9" ht="23.1" customHeight="1" x14ac:dyDescent="0.2">
      <c r="A14" s="6">
        <v>5</v>
      </c>
      <c r="B14" s="23" t="s">
        <v>100</v>
      </c>
      <c r="C14" s="25" t="s">
        <v>98</v>
      </c>
      <c r="D14" s="99">
        <v>13938243.252377871</v>
      </c>
      <c r="E14" s="80"/>
      <c r="F14" s="81"/>
      <c r="G14" s="81"/>
      <c r="H14" s="82"/>
      <c r="I14" s="26"/>
    </row>
    <row r="15" spans="1:9" ht="23.1" customHeight="1" x14ac:dyDescent="0.2">
      <c r="A15" s="6">
        <v>6</v>
      </c>
      <c r="B15" s="23" t="s">
        <v>161</v>
      </c>
      <c r="C15" s="25" t="s">
        <v>98</v>
      </c>
      <c r="D15" s="99">
        <v>689227.36568146315</v>
      </c>
      <c r="E15" s="80"/>
      <c r="F15" s="81"/>
      <c r="G15" s="81"/>
      <c r="H15" s="82"/>
      <c r="I15" s="26"/>
    </row>
    <row r="16" spans="1:9" ht="23.1" customHeight="1" x14ac:dyDescent="0.2">
      <c r="A16" s="6">
        <v>7</v>
      </c>
      <c r="B16" s="23" t="s">
        <v>162</v>
      </c>
      <c r="C16" s="25" t="s">
        <v>98</v>
      </c>
      <c r="D16" s="99">
        <v>86827.351540697113</v>
      </c>
      <c r="E16" s="80"/>
      <c r="F16" s="81"/>
      <c r="G16" s="81"/>
      <c r="H16" s="82"/>
      <c r="I16" s="26"/>
    </row>
    <row r="17" spans="1:9" ht="23.1" customHeight="1" x14ac:dyDescent="0.2">
      <c r="A17" s="6">
        <v>8</v>
      </c>
      <c r="B17" s="23" t="s">
        <v>101</v>
      </c>
      <c r="C17" s="25" t="s">
        <v>98</v>
      </c>
      <c r="D17" s="99">
        <v>559701.17000000004</v>
      </c>
      <c r="E17" s="80"/>
      <c r="F17" s="81"/>
      <c r="G17" s="81"/>
      <c r="H17" s="82"/>
      <c r="I17" s="26"/>
    </row>
    <row r="18" spans="1:9" ht="23.1" customHeight="1" x14ac:dyDescent="0.2">
      <c r="A18" s="6">
        <v>9</v>
      </c>
      <c r="B18" s="23" t="s">
        <v>102</v>
      </c>
      <c r="C18" s="25" t="s">
        <v>98</v>
      </c>
      <c r="D18" s="99">
        <v>565207.16579999996</v>
      </c>
      <c r="E18" s="80"/>
      <c r="F18" s="81"/>
      <c r="G18" s="81"/>
      <c r="H18" s="82"/>
      <c r="I18" s="26"/>
    </row>
    <row r="19" spans="1:9" ht="23.1" customHeight="1" x14ac:dyDescent="0.2">
      <c r="A19" s="6">
        <v>10</v>
      </c>
      <c r="B19" s="23" t="s">
        <v>103</v>
      </c>
      <c r="C19" s="25" t="s">
        <v>98</v>
      </c>
      <c r="D19" s="99">
        <v>151981.34</v>
      </c>
      <c r="E19" s="80"/>
      <c r="F19" s="81"/>
      <c r="G19" s="81"/>
      <c r="H19" s="82"/>
      <c r="I19" s="26"/>
    </row>
    <row r="20" spans="1:9" ht="23.1" customHeight="1" x14ac:dyDescent="0.2">
      <c r="A20" s="6">
        <v>11</v>
      </c>
      <c r="B20" s="23" t="s">
        <v>104</v>
      </c>
      <c r="C20" s="25" t="s">
        <v>98</v>
      </c>
      <c r="D20" s="99">
        <v>2435017</v>
      </c>
      <c r="E20" s="80"/>
      <c r="F20" s="81"/>
      <c r="G20" s="81"/>
      <c r="H20" s="82"/>
      <c r="I20" s="26"/>
    </row>
    <row r="21" spans="1:9" ht="23.1" customHeight="1" x14ac:dyDescent="0.2">
      <c r="A21" s="6">
        <v>12</v>
      </c>
      <c r="B21" s="23" t="s">
        <v>105</v>
      </c>
      <c r="C21" s="25" t="s">
        <v>98</v>
      </c>
      <c r="D21" s="99">
        <v>111360</v>
      </c>
      <c r="E21" s="80"/>
      <c r="F21" s="81"/>
      <c r="G21" s="81"/>
      <c r="H21" s="82"/>
      <c r="I21" s="26"/>
    </row>
    <row r="22" spans="1:9" ht="23.1" customHeight="1" x14ac:dyDescent="0.2">
      <c r="A22" s="6">
        <v>13</v>
      </c>
      <c r="B22" s="23" t="s">
        <v>106</v>
      </c>
      <c r="C22" s="25" t="s">
        <v>98</v>
      </c>
      <c r="D22" s="99">
        <v>114750</v>
      </c>
      <c r="E22" s="80"/>
      <c r="F22" s="81"/>
      <c r="G22" s="81"/>
      <c r="H22" s="82"/>
      <c r="I22" s="26"/>
    </row>
    <row r="23" spans="1:9" ht="23.1" customHeight="1" x14ac:dyDescent="0.2">
      <c r="A23" s="6">
        <v>14</v>
      </c>
      <c r="B23" s="23" t="s">
        <v>108</v>
      </c>
      <c r="C23" s="25" t="s">
        <v>98</v>
      </c>
      <c r="D23" s="99">
        <v>0</v>
      </c>
      <c r="E23" s="80"/>
      <c r="F23" s="81"/>
      <c r="G23" s="81"/>
      <c r="H23" s="82"/>
      <c r="I23" s="26"/>
    </row>
    <row r="24" spans="1:9" ht="23.1" customHeight="1" x14ac:dyDescent="0.2">
      <c r="A24" s="6">
        <v>15</v>
      </c>
      <c r="B24" s="23" t="s">
        <v>107</v>
      </c>
      <c r="C24" s="25" t="s">
        <v>98</v>
      </c>
      <c r="D24" s="99">
        <v>28000</v>
      </c>
      <c r="E24" s="80"/>
      <c r="F24" s="81"/>
      <c r="G24" s="81"/>
      <c r="H24" s="82"/>
      <c r="I24" s="26"/>
    </row>
    <row r="25" spans="1:9" ht="23.1" customHeight="1" x14ac:dyDescent="0.2">
      <c r="A25" s="6">
        <v>16</v>
      </c>
      <c r="B25" s="23" t="s">
        <v>109</v>
      </c>
      <c r="C25" s="25" t="s">
        <v>98</v>
      </c>
      <c r="D25" s="99">
        <v>746438.27399999998</v>
      </c>
      <c r="E25" s="33"/>
      <c r="F25" s="34"/>
      <c r="G25" s="34"/>
      <c r="H25" s="38"/>
      <c r="I25" s="26"/>
    </row>
    <row r="26" spans="1:9" ht="23.1" customHeight="1" x14ac:dyDescent="0.2">
      <c r="A26" s="6">
        <v>17</v>
      </c>
      <c r="B26" s="23" t="s">
        <v>110</v>
      </c>
      <c r="C26" s="25" t="s">
        <v>98</v>
      </c>
      <c r="D26" s="99">
        <v>1502278.5561126098</v>
      </c>
      <c r="E26" s="33"/>
      <c r="F26" s="34"/>
      <c r="G26" s="34"/>
      <c r="H26" s="38"/>
      <c r="I26" s="26"/>
    </row>
    <row r="27" spans="1:9" ht="23.1" customHeight="1" x14ac:dyDescent="0.2">
      <c r="A27" s="6">
        <v>18</v>
      </c>
      <c r="B27" s="23" t="s">
        <v>111</v>
      </c>
      <c r="C27" s="25" t="s">
        <v>98</v>
      </c>
      <c r="D27" s="99">
        <v>1269256.6931982427</v>
      </c>
      <c r="E27" s="80"/>
      <c r="F27" s="81"/>
      <c r="G27" s="81"/>
      <c r="H27" s="82"/>
      <c r="I27" s="26"/>
    </row>
    <row r="28" spans="1:9" ht="23.1" customHeight="1" x14ac:dyDescent="0.2">
      <c r="A28" s="6">
        <v>15</v>
      </c>
      <c r="B28" s="23" t="s">
        <v>163</v>
      </c>
      <c r="C28" s="25" t="s">
        <v>98</v>
      </c>
      <c r="D28" s="99">
        <v>218463.3015</v>
      </c>
      <c r="E28" s="80"/>
      <c r="F28" s="81"/>
      <c r="G28" s="81"/>
      <c r="H28" s="82"/>
      <c r="I28" s="26"/>
    </row>
    <row r="29" spans="1:9" ht="23.1" customHeight="1" x14ac:dyDescent="0.2">
      <c r="A29" s="6">
        <v>16</v>
      </c>
      <c r="B29" s="23" t="s">
        <v>164</v>
      </c>
      <c r="C29" s="25" t="s">
        <v>98</v>
      </c>
      <c r="D29" s="99">
        <v>77351.489999999991</v>
      </c>
      <c r="E29" s="33"/>
      <c r="F29" s="34"/>
      <c r="G29" s="34"/>
      <c r="H29" s="38"/>
      <c r="I29" s="26"/>
    </row>
    <row r="30" spans="1:9" ht="23.1" customHeight="1" x14ac:dyDescent="0.2">
      <c r="A30" s="6">
        <v>17</v>
      </c>
      <c r="B30" s="23" t="s">
        <v>165</v>
      </c>
      <c r="C30" s="25" t="s">
        <v>98</v>
      </c>
      <c r="D30" s="99">
        <v>14240.448</v>
      </c>
      <c r="E30" s="33"/>
      <c r="F30" s="34"/>
      <c r="G30" s="34"/>
      <c r="H30" s="38"/>
      <c r="I30" s="26"/>
    </row>
    <row r="31" spans="1:9" ht="23.1" customHeight="1" x14ac:dyDescent="0.2">
      <c r="A31" s="6">
        <v>18</v>
      </c>
      <c r="B31" s="23" t="s">
        <v>166</v>
      </c>
      <c r="C31" s="25" t="s">
        <v>98</v>
      </c>
      <c r="D31" s="99">
        <v>192545</v>
      </c>
      <c r="E31" s="80"/>
      <c r="F31" s="81"/>
      <c r="G31" s="81"/>
      <c r="H31" s="82"/>
      <c r="I31" s="26"/>
    </row>
    <row r="32" spans="1:9" ht="23.1" customHeight="1" x14ac:dyDescent="0.2">
      <c r="A32" s="6">
        <v>17</v>
      </c>
      <c r="B32" s="23" t="s">
        <v>167</v>
      </c>
      <c r="C32" s="25" t="s">
        <v>98</v>
      </c>
      <c r="D32" s="99">
        <v>60509.645000000004</v>
      </c>
      <c r="E32" s="33"/>
      <c r="F32" s="34"/>
      <c r="G32" s="34"/>
      <c r="H32" s="38"/>
      <c r="I32" s="26"/>
    </row>
    <row r="33" spans="1:9" ht="23.1" customHeight="1" x14ac:dyDescent="0.2">
      <c r="A33" s="6">
        <v>18</v>
      </c>
      <c r="B33" s="23" t="s">
        <v>168</v>
      </c>
      <c r="C33" s="25" t="s">
        <v>98</v>
      </c>
      <c r="D33" s="99">
        <v>287500</v>
      </c>
      <c r="E33" s="80"/>
      <c r="F33" s="81"/>
      <c r="G33" s="81"/>
      <c r="H33" s="82"/>
      <c r="I33" s="26"/>
    </row>
    <row r="34" spans="1:9" ht="23.1" customHeight="1" x14ac:dyDescent="0.2">
      <c r="A34" s="77"/>
      <c r="B34" s="78"/>
      <c r="C34" s="78"/>
      <c r="D34" s="78"/>
      <c r="E34" s="78"/>
      <c r="F34" s="78"/>
      <c r="G34" s="78"/>
      <c r="H34" s="79"/>
      <c r="I34" s="26"/>
    </row>
    <row r="35" spans="1:9" ht="23.1" customHeight="1" x14ac:dyDescent="0.2">
      <c r="A35" s="6">
        <v>19</v>
      </c>
      <c r="B35" s="23" t="s">
        <v>112</v>
      </c>
      <c r="C35" s="25" t="s">
        <v>98</v>
      </c>
      <c r="D35" s="100">
        <f>SUM($D$13:$D$33)</f>
        <v>23453064.83443014</v>
      </c>
      <c r="E35" s="80"/>
      <c r="F35" s="81"/>
      <c r="G35" s="81"/>
      <c r="H35" s="82"/>
      <c r="I35" s="26"/>
    </row>
    <row r="36" spans="1:9" ht="23.1" customHeight="1" x14ac:dyDescent="0.2">
      <c r="A36" s="24">
        <v>20</v>
      </c>
      <c r="B36" s="44" t="s">
        <v>113</v>
      </c>
      <c r="C36" s="45" t="s">
        <v>98</v>
      </c>
      <c r="D36" s="100">
        <f>SUM($D$13:$D$33)</f>
        <v>23453064.83443014</v>
      </c>
      <c r="E36" s="84"/>
      <c r="F36" s="85"/>
      <c r="G36" s="85"/>
      <c r="H36" s="86"/>
      <c r="I36" s="26"/>
    </row>
  </sheetData>
  <mergeCells count="28">
    <mergeCell ref="A34:H34"/>
    <mergeCell ref="E35:H35"/>
    <mergeCell ref="E36:H36"/>
    <mergeCell ref="E33:H33"/>
    <mergeCell ref="E19:H19"/>
    <mergeCell ref="E20:H20"/>
    <mergeCell ref="E21:H21"/>
    <mergeCell ref="E22:H22"/>
    <mergeCell ref="E23:H23"/>
    <mergeCell ref="E28:H28"/>
    <mergeCell ref="E24:H24"/>
    <mergeCell ref="E27:H27"/>
    <mergeCell ref="E31:H31"/>
    <mergeCell ref="E18:H18"/>
    <mergeCell ref="C1:D1"/>
    <mergeCell ref="C4:D4"/>
    <mergeCell ref="C10:C11"/>
    <mergeCell ref="E10:H11"/>
    <mergeCell ref="A12:H12"/>
    <mergeCell ref="A5:H5"/>
    <mergeCell ref="E13:H13"/>
    <mergeCell ref="E14:H14"/>
    <mergeCell ref="E15:H15"/>
    <mergeCell ref="E16:H16"/>
    <mergeCell ref="E17:H17"/>
    <mergeCell ref="C3:D3"/>
    <mergeCell ref="A9:H9"/>
    <mergeCell ref="C2:D2"/>
  </mergeCells>
  <pageMargins left="0.9055118110236221" right="0.51181102362204722" top="0.78740157480314965" bottom="0.78740157480314965" header="0.31496062992125984" footer="0.31496062992125984"/>
  <pageSetup paperSize="9" scale="5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17DA90-F76B-4786-97BD-F4AC63FBA40D}">
  <ds:schemaRefs>
    <ds:schemaRef ds:uri="http://schemas.microsoft.com/office/2006/metadata/properties"/>
    <ds:schemaRef ds:uri="http://schemas.microsoft.com/office/infopath/2007/PartnerControls"/>
    <ds:schemaRef ds:uri="93184e4e-f82e-49d9-8acf-f52cb317126f"/>
  </ds:schemaRefs>
</ds:datastoreItem>
</file>

<file path=customXml/itemProps2.xml><?xml version="1.0" encoding="utf-8"?>
<ds:datastoreItem xmlns:ds="http://schemas.openxmlformats.org/officeDocument/2006/customXml" ds:itemID="{199FDF98-F02C-49A2-A8DC-0C120B51D4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3EE5E7-063D-4506-857C-0FAE0AA2A04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CONDIÇÕES GERAIS</vt:lpstr>
      <vt:lpstr>CRO_EQ_PRO_TEC</vt:lpstr>
      <vt:lpstr>HST_COLAB_PRO_TEC</vt:lpstr>
      <vt:lpstr>HST_EQ_PRO_TEC</vt:lpstr>
      <vt:lpstr>CONDIÇÕES COMERCIAIS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Figuereido</dc:creator>
  <cp:lastModifiedBy>Francisco C. Pignata</cp:lastModifiedBy>
  <cp:lastPrinted>2018-12-10T16:37:12Z</cp:lastPrinted>
  <dcterms:created xsi:type="dcterms:W3CDTF">2016-12-22T10:06:23Z</dcterms:created>
  <dcterms:modified xsi:type="dcterms:W3CDTF">2025-10-27T19:41:39Z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  <property fmtid="{D5CDD505-2E9C-101B-9397-08002B2CF9AE}" pid="3" name="MediaServiceImageTags">
    <vt:lpwstr/>
  </property>
</Properties>
</file>