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N:\ENGENHARIA\Clientes\Em Andamento\SADA\Eber Bio\ATK_102_25_REV02_R3_(SADA_EBER_Montagem Processo Milho)\Dados de Entrada\Documentos Internos\"/>
    </mc:Choice>
  </mc:AlternateContent>
  <xr:revisionPtr revIDLastSave="0" documentId="8_{6672034E-5F93-4CC9-AA90-D7000F9AD714}" xr6:coauthVersionLast="47" xr6:coauthVersionMax="47" xr10:uidLastSave="{00000000-0000-0000-0000-000000000000}"/>
  <bookViews>
    <workbookView xWindow="20370" yWindow="-120" windowWidth="29040" windowHeight="15840" xr2:uid="{DB7F68DD-F870-45B6-A021-F795978933EC}"/>
  </bookViews>
  <sheets>
    <sheet name="THEO Desmontagem" sheetId="1" r:id="rId1"/>
  </sheets>
  <externalReferences>
    <externalReference r:id="rId2"/>
  </externalReferences>
  <definedNames>
    <definedName name="__123Graph_A" localSheetId="0" hidden="1">#REF!</definedName>
    <definedName name="__123Graph_A" hidden="1">#REF!</definedName>
    <definedName name="__123Graph_X" localSheetId="0" hidden="1">#REF!</definedName>
    <definedName name="__123Graph_X" hidden="1">#REF!</definedName>
    <definedName name="_Fill" localSheetId="0" hidden="1">#REF!</definedName>
    <definedName name="_Fill" hidden="1">#REF!</definedName>
    <definedName name="_xlnm._FilterDatabase" localSheetId="0" hidden="1">'THEO Desmontagem'!$B$108:$AB$108</definedName>
    <definedName name="_Key1" localSheetId="0" hidden="1">#REF!</definedName>
    <definedName name="_Key1" hidden="1">#REF!</definedName>
    <definedName name="_Order1" hidden="1">255</definedName>
    <definedName name="_Sort" localSheetId="0" hidden="1">#REF!</definedName>
    <definedName name="_Sort" hidden="1">#REF!</definedName>
    <definedName name="Administrativo_Custo_Fx">'[1]Cockpit Retorno'!$D$41</definedName>
    <definedName name="Atendentes_Instr_Campo_QT" comment="Total de Atendentes especialistas em Comissionamento de instrumentos em campo. Parte integrante do time de Startup ">'[1]Calc Eng'!$B$53</definedName>
    <definedName name="Atendentes_Senior_QT" comment="Porcentagem estimada de atendentes especialistas, diretoria, gerente Enegenharia definida para Obra">'[1]Calc Eng'!$B$51</definedName>
    <definedName name="Atendentes_Sistema_Processo_QT" comment="Total de atendente de sistema, de desenvolvimento de Software e sistema">'[1]Calc Eng'!$B$52</definedName>
    <definedName name="Atendentes_Total" comment="Total de Atendentes previsto Comissionamento, Startup e Operação Assistida">'[1]Calc Eng'!$B$28</definedName>
    <definedName name="ATK_INTEG" comment="Custo HH para Integração para Efetivo">SUM('[1]Resumo_HIA_HIC_HOC '!$Q$6:$Q$8)</definedName>
    <definedName name="ATK_LOG" comment="Custo Logística de Campo + Logística de Integração">'[1]Resumo_HIA_HIC_HOC '!$E$13</definedName>
    <definedName name="ATK_LOG_INT">'[1]Resumo_HIA_HIC_HOC '!$F$13</definedName>
    <definedName name="ATK_LOG_MOB" comment="Logistica da mobilização">'[1]Resumo_HIA_HIC_HOC '!$G$13</definedName>
    <definedName name="ATK_MOA" comment="Custo Mão de Obra Adminsitrativa Obra">'[1]Resumo_HIA_HIC_HOC '!$E$6</definedName>
    <definedName name="ATK_MOA_INT">'[1]Resumo_HIA_HIC_HOC '!$F$6</definedName>
    <definedName name="ATK_MOA_MOB">'[1]Resumo_HIA_HIC_HOC '!$G$6</definedName>
    <definedName name="ATK_MOB" comment="Custo de Mobilização">'[1]Resumo_HIA_HIC_HOC '!$L$12</definedName>
    <definedName name="ATK_MOD" comment="Custo Mão de Obra Direta">'[1]Resumo_HIA_HIC_HOC '!$E$8</definedName>
    <definedName name="ATK_MOD_INT">'[1]Resumo_HIA_HIC_HOC '!$F$8</definedName>
    <definedName name="ATK_MOD_MOB">'[1]Resumo_HIA_HIC_HOC '!$G$8</definedName>
    <definedName name="ATK_MOI" comment="Custo Mão de Obra Insireta">'[1]Resumo_HIA_HIC_HOC '!$E$7</definedName>
    <definedName name="ATK_MOI_INT">'[1]Resumo_HIA_HIC_HOC '!$F$7</definedName>
    <definedName name="ATK_MOI_MOB">'[1]Resumo_HIA_HIC_HOC '!$G$7</definedName>
    <definedName name="ATK_periculosidade">'[1]Resumo_HIA_HIC_HOC '!$E$10</definedName>
    <definedName name="ATK_Serviços">'[1]Cockpit Retorno'!$L$2</definedName>
    <definedName name="ATK_SSMA" comment="Custo de Exames Admissionais, Treinamentos, EPIs e EPCs">'[1]Resumo_HIA_HIC_HOC '!$L$11</definedName>
    <definedName name="ATK_Turnover" comment="Custo Turnover (HH + SSMA + RH)">'[1]Resumo_HIA_HIC_HOC '!$E$9</definedName>
    <definedName name="Base_REAJUSTE_MOD_E_MOI" comment="Fator de reajuste da tabela base da COLUNA QJ">'[1]Custo MO Impostos Obras'!$F$6</definedName>
    <definedName name="BDI" comment="Taxa BDI BENEFICIOS DE DESPESAS INDIRETAS">[1]BDI!$G$24</definedName>
    <definedName name="C_ADM_Geral" comment="Custo administrativo geral. Para emissão de notas , para trabalho interno etc..">0.1</definedName>
    <definedName name="Capital_Giro_ATM" comment="Capital Giro Bancar Fluxo">'[1]Cockpit Retorno'!$C$42</definedName>
    <definedName name="Capital_Giro_Passivo_BNC_Passivo_Tributario_Tarifas_Advogados">'[1]Cockpit Retorno'!$AFR$174</definedName>
    <definedName name="Capital_Giro_Passivo_Custo_Fx">'[1]Cockpit Retorno'!$D$42</definedName>
    <definedName name="Casa_Total_Ocupantes" comment="Numero médio de funcionários">[1]TESTE_LOG_OBRA!$J$38</definedName>
    <definedName name="Cesta_Básica_Total">'[1]Resumo_HIA_HIC_HOC '!$G$23</definedName>
    <definedName name="CODENOME1" hidden="1">#N/A</definedName>
    <definedName name="Cofins__ATK">[1]Impostos_Taxas_ICMs!$I$31</definedName>
    <definedName name="Cofins__Sistema">[1]Impostos_Taxas_ICMs!$H$31</definedName>
    <definedName name="COFINS_lOG_MOB" comment="Logistica ou Mob Lucro Presumido COFINS">[1]Impostos_Taxas_ICMs!$K$25</definedName>
    <definedName name="COFINS_M_S" comment="COFINS Lucro Real Sistema">[1]Impostos_Taxas_ICMs!$H$6</definedName>
    <definedName name="Comercial_Custo_Fx">'[1]Cockpit Retorno'!$AFB$174</definedName>
    <definedName name="Conteiner_Aluguel_Mes" comment="Custo Médio de Locação de Conteiner. Não considerado Transporte">'[1]Calc Eng'!$B$44</definedName>
    <definedName name="Contratação_LOG_Integração_Cliente">[1]HIC_Histograma_Integra_Cliente!$I$51</definedName>
    <definedName name="Contratação_Total__Logística" comment="Custo que o RH tem para contratar para obra. Este custo deve se somar ao custo geral da obra. Na venda deve se estimar isto">[1]HIA_Histograma_Integração_ATM!$J$51</definedName>
    <definedName name="CSLL" comment="CSLL Lucro Presumido ou Real">[1]Impostos_Taxas_ICMs!$H$28</definedName>
    <definedName name="Custo_Comercial__Plus" comment="Custo comercial da Venda, custo extra devido a complexiadade do negocio">'[1]Cockpit Retorno'!$C$38</definedName>
    <definedName name="Custo_comercial_1" comment="Custo comercial direto da Venda padrões. Comissoes e custo comercial do negocio">'[1]Cockpit Retorno'!$C$37</definedName>
    <definedName name="Custo_Contingência" comment="Custo de contingencia da Obra">'[1]Cockpit Retorno'!$C$45</definedName>
    <definedName name="Custo_Financeiro_Exclusivo_do_Contrato" comment="finacanceiro do Contrato">'[1]Cockpit Retorno'!$C$43</definedName>
    <definedName name="Custo_fixo___Administrativo__Cartões__Carros__Manutenção__Custo_Consumo_interno__SSMA_interno__Alugueis__Luz__Água__Internet_Telefone__Material_escritório__Aquisições_Extra_OS__Totvs__Softwares" comment="Parte do custo admnistrativo, carros, que não sejam considerados na venda, material de ssma, telefones, custo de intra estrutura, que não foram considerados na venda">'[1]Cockpit Retorno'!$AFK$174</definedName>
    <definedName name="Custo_fixo_Adminstrativo" comment="Custo admnistrativo interno da OS">'[1]Cockpit Retorno'!$C$41</definedName>
    <definedName name="Custo_Impostos_Credito__Débito" comment="Resumo dos impostos a serem Pagos diretos">'[1]Cockpit Retorno'!$K$32</definedName>
    <definedName name="Custo_Total" comment="Custo total plnilha de retorno">'[1]Cockpit Retorno'!$C$47</definedName>
    <definedName name="Custos_Viagens__Feiras__Marketing__Filiais">'[1]Cockpit Retorno'!$AFB$171</definedName>
    <definedName name="Debito_Impostos" comment="Debito de impostos da Venda . Ja considerando Debito e credito impostos ICM">'[1]Cockpit Retorno'!$K$32</definedName>
    <definedName name="Diária_Casa_Custo_Atendente" comment="Custo por profissional da  Diária considerando ficar  em casa , base  Alugada. Considerado: Aluguel, Roupa Lavada, Luz, Agua e empregada. Não considerado Refeição. (Nota: cada Casa estima-se 5 profissionais). 6 meses minimo">'[1]Calc Eng'!$B$3</definedName>
    <definedName name="Diária_Casa_Geral" comment="Custo Diária casa estimada para no média de 6 atendentes">'[1]Calc Eng'!$B$4</definedName>
    <definedName name="Diária_Completa_Sem_Transporte" comment="Custo de uma diária Completa de um Atendente. Considerado:  Diaria de estadia (Hotel avulso), HH (10h) e Refeições. Sem Translado, sem km">'[1]Calc Eng'!$B$42</definedName>
    <definedName name="Diárias_Hotel_Avulsas_Custo" comment="Custo médio de diárias de hoteis avulsas, temporários.">'[1]Calc Eng'!$B$5</definedName>
    <definedName name="Diárias_Hotel_Negociada_Custo" comment="Custo Diária Hotel negociado em locais de Obras, de startup.">'[1]Calc Eng'!$B$6</definedName>
    <definedName name="Dias_Campo" comment="Padrão de dias fora de STZ. Dias na OBRA Considerado na Proposta">'[1]Calc Eng'!$B$33</definedName>
    <definedName name="Dificuldade_Projeto">'[1]Calc Eng'!$K$68</definedName>
    <definedName name="Distância_Base_PLANTA" comment="Distancia, em KM, da Planta até a cidade, ou local de hospedagem">'[1]Calc Eng'!$B$38</definedName>
    <definedName name="Distância_STZ_BASE" comment="Distancia da Base da ATK , na Cidade até STZ, Matriz">'[1]Calc Eng'!$B$37</definedName>
    <definedName name="Dolar_Referencia" comment="Ref Dolar">'[1]Cockpit Retorno'!$C$48</definedName>
    <definedName name="Domingo_H" comment="Horas Domingo">'[1]Calc Eng'!$B$61</definedName>
    <definedName name="Duração_Comissionamento__Startup" comment="Tempo considerado para Comissionamento, Startup e operação Assistida">'[1]Calc Eng'!$B$43</definedName>
    <definedName name="Duração_da_Obra_Efetiva_Em_Meses" comment="Duraçao efetiva da obra. Estimada para calculo de preposto e apoio">'[1]Calc Eng'!$I$101</definedName>
    <definedName name="Duração_Obra_Mês" comment="Tempo considerado para duração efetiva da Obra.">'[1]Calc Eng'!$B$32</definedName>
    <definedName name="Eficiencia_meta_venda" comment="ESta eficiencia esta correlacionada com valores">'[1]Cockpit Retorno'!$D$62</definedName>
    <definedName name="Equipe_Numero" comment="Equipe estiamda para Comissionamento, Startup e Operação Assistida. ">'[1]Calc Eng'!$B$34</definedName>
    <definedName name="Estimativa_Annual" comment="Estimativa vendas Ano">'[1]Cockpit Retorno'!$D$50</definedName>
    <definedName name="Fator_Venda" comment="Fator Multiplicador Venda Final">'[1]Cockpit Retorno'!$C$35</definedName>
    <definedName name="fill" localSheetId="0" hidden="1">#REF!</definedName>
    <definedName name="fill" hidden="1">#REF!</definedName>
    <definedName name="FN_CQ_Fator_Diluido" comment="Fator de custo interno do finceiro e da qualidade, considerando mais um tecnico CQ campo diluido na venda com base fat de 2020.">'[1]Cockpit Retorno'!$E$116</definedName>
    <definedName name="Frete_KM" comment="Custo básico de frete por KM. Multiplicar sempre quantidade estimada de viagem de transporte.">'[1]Calc Eng'!$B$18</definedName>
    <definedName name="HH_Extra_DIA" comment="Horas extras estimadas Dia">'[1]Calc Eng'!$B$63</definedName>
    <definedName name="HH_Histograma_Total" comment="Total de horas consideradas no Histograma Trabalhada, espera e da lei.">[1]HOC_Histograma_Obra!$F$41</definedName>
    <definedName name="HH_Total_Eng_Interna" comment="Total Geral de HH Engenharia interna Prevista">'[1]Calc Eng'!$O$56</definedName>
    <definedName name="Horas_Ajudantes_THEO" comment="Total de horas de Ajudanete estimado da tabelas  THEO" localSheetId="0">'THEO Desmontagem'!$G$103</definedName>
    <definedName name="Horas_Comissionamento_Startup" comment="Total de Horas previstas para Comissionamento, Startup e Operação Assistida">'[1]Calc Eng'!$B$48</definedName>
    <definedName name="Horas_de_OFICIAIS_THEO" comment="Horas estimadas THEO, MOD de oficiais" localSheetId="0">'THEO Desmontagem'!$G$104</definedName>
    <definedName name="Horas_Instr_Startup" comment="Total de Horas previstas para equipe de Instrumentistas de campo em comissionamento e Startup">'[1]Calc Eng'!$B$50</definedName>
    <definedName name="Horas_Normais_Mês" comment="Horas normais Trabalhadas Mês">'[1]Calc Eng'!$B$62</definedName>
    <definedName name="Horas_Preposto" comment="Total de HH prevista para Todos Prepostos somados na Obra">'[1]Calc Eng'!$L$53</definedName>
    <definedName name="Horas_Senior_Startup" comment="Horas previstas dee Seniores, Diretoria e Auditoria">'[1]Calc Eng'!$B$49</definedName>
    <definedName name="Horas_Sistema_Proj_Startup" comment="Horas Previstas para equipe de Startup Equipe direcionada a Sistema">'[1]Calc Eng'!$B$54</definedName>
    <definedName name="Horas_Trabalho_Média" comment="Quantidade prevista média máxima de Horas diária de Trabalho.">'[1]Calc Eng'!$B$29</definedName>
    <definedName name="ICM_a_ser_Descontado" comment="ICM que usaremos do nosso Crédito">[1]Impostos_Taxas_ICMs!$S$10</definedName>
    <definedName name="ICMS" comment="Venda No cliente">[1]Impostos_Taxas_ICMs!$P$6</definedName>
    <definedName name="ICMs_Mercadoria" comment="ICMS  Sistema Venda Débito LR=Lucro REAL">[1]Impostos_Taxas_ICMs!$H$4</definedName>
    <definedName name="Imposto_Venda">'[1]Cockpit Retorno'!$I$4</definedName>
    <definedName name="Início_do_projeto">#REF!</definedName>
    <definedName name="IRPJ" comment="Imposto renda Lucro Presumido ou Real">[1]Impostos_Taxas_ICMs!$H$27</definedName>
    <definedName name="ISSQN">[1]Impostos_Taxas_ICMs!$P$3</definedName>
    <definedName name="ISSQN__do_Municipio" comment="ISS no municipo do cliente ou onde pagaremos">[1]Impostos_Taxas_ICMs!$P$3</definedName>
    <definedName name="JBs_Total" comment="Custo Total de JBs- Hart, e ou 4 a 20 ma">'[1]Calc Eng'!$B$25</definedName>
    <definedName name="KM" comment="Custo do quilômetro rodado puro.">'[1]Calc Eng'!$B$8</definedName>
    <definedName name="KM_HH_D_REF_Motorista" comment="Custo por  Quilometro rodado, considerando, Refeição no percurso, horas de (1) UM Atendente, e Estadia necessária. Se multiplicarmos este valor pela hora de viagem teremos custo completo da viagem de um Funcionario+ O custo do KM">'[1]Calc Eng'!$B$9</definedName>
    <definedName name="Lanche" comment="Valor médio de lanches, incluindo café da manhã">'[1]Valores médios Ref_Lanches'!$AI$26</definedName>
    <definedName name="LOG" comment="Custo estimado de Logistica para o projeto">'[1]Calc Eng'!$H$9</definedName>
    <definedName name="LOG_HH_Médio_Obra" comment="Custo médio de LOG, MOB, EPIs, Viagens, Estadia. Acrescentar ao custo hora. Nunca usar para um atendimento exclusivo. Apenas para caso de Obras acima de 3 meses e com no minimo 5 atenendentes, com casa Alugada , van e equipe">'[1]Calc Eng'!$DA$128</definedName>
    <definedName name="Log_In_MOI_Custo_HH" comment="Custo de Logistica e para  ajudantes e montadores. Calculo rápido. Tem de se estudar caso a caso.">'[1]Custos de HH_LOG'!$K$21</definedName>
    <definedName name="LOG_Mão_Obra_Indireta" comment="Custo de logistica equipe de mão obra indireta da obra. Se a Obra For ATM, considere novamente um Histograma e os custod calculados">'[1]Calc Eng'!$Q$44</definedName>
    <definedName name="lOG_MOB_ISSQN" comment="Logistica e Mobilização ISS Presumido Ou real">[1]Impostos_Taxas_ICMs!$H$26</definedName>
    <definedName name="LOG_MOB_PIS" comment="Pis Logistica Real">[1]Impostos_Taxas_ICMs!$H$24</definedName>
    <definedName name="Logistica_Preposto" comment="Custo estimado de Logistica para o Preposto. Tudo considerado">'[1]Calc Eng'!$B$47</definedName>
    <definedName name="Lucro" comment="Lucro Presumido =0 e Lucro Real = 1">'[1]Cockpit Retorno'!$GS$6</definedName>
    <definedName name="Marketing_Viagens_Custo_Fx">'[1]Cockpit Retorno'!$D$39</definedName>
    <definedName name="Markup_Bruto__Contribuição" comment="Markup bruto da negociação">'[1]Cockpit Retorno'!$C$58</definedName>
    <definedName name="Média_Dias_de_integração_ATM" comment="Dias médios gastos para integrar o funcionários á empresa. Exames, Treinamentos NRs, Ferramental, Procedimentos e integração.">'[1]Turnover Absenteismo Folgas'!$H$82</definedName>
    <definedName name="Média_km_h">'[1]Calc Eng'!$G$60</definedName>
    <definedName name="MK_Calc" comment="OVER HEAD + LUCRO Calculado">'[1]Cockpit Retorno'!$K$44</definedName>
    <definedName name="MO__Terceiros__Serviços_fixo_não_considerado_OS__RH_SSMA__Fábrica__Administrativo__Terceiros_Operacionais__Compras__Parte_Eng.__Parte_Fabrica__Logística_Interna__Qualidade__Apoio__TI." comment="Mão de obra geral para mantenimanto da empresa. Terceiros adm de softwares, pimtor, manutenção interna, todas valores que não são considerads na venda">'[1]Cockpit Retorno'!$AFD$174</definedName>
    <definedName name="MO_Terceiros_Custo_Fx">'[1]Cockpit Retorno'!$D$40</definedName>
    <definedName name="MOA_C" comment="Mão Obra de Admnsitração, Segurança e serviços básicos">'[1]Calc Eng'!$B$66</definedName>
    <definedName name="MOB" comment="Custo Mobilização Campo. Cerca, Conteiner, Pedras . Enfermeiros, Segurança e Logistica do Preposto">'[1]Calc Eng'!$H$10</definedName>
    <definedName name="Mob_Canteiro" comment="Mobilização do Canteiro. Tudo, inclusive enfermeiros, Segurança.">'[1]Calc Eng'!$O$52</definedName>
    <definedName name="MOC_Atendente_Custo" comment="Custo Médio HH  Atendente Campo">'[1]Calc Eng'!$EZ$245</definedName>
    <definedName name="MOC_C_ST" comment="Custo estimado de Mão de Obra de campo destinado a Startup, comissionamento e operação Assistida.">'[1]Calc Eng'!$H$5</definedName>
    <definedName name="MOC_COFINS_LR" comment="COFINS MOC Lucro Real">[1]Impostos_Taxas_ICMs!$H$16</definedName>
    <definedName name="MOC_PIS_LR" comment="PIS MOC Lucro Real">[1]Impostos_Taxas_ICMs!$H$15</definedName>
    <definedName name="MOE_H" comment="Custo HH Engenharia Senior">'[1]Calc Eng'!$EZ$243</definedName>
    <definedName name="MOE_HM" comment="Hora média da Engenharia. Geral Projeto , Desenvolvimento e Engenharia">'[1]Calc Eng'!$EZ$244</definedName>
    <definedName name="MOE_IRRF_LR" comment="IRRF MOE Lucro Real">[1]Impostos_Taxas_ICMs!$H$13</definedName>
    <definedName name="MOE_ISSQN_LR_LP" comment="ISS MOE Lucro Reala ou Presumido">[1]Impostos_Taxas_ICMs!$H$14</definedName>
    <definedName name="MOE_M" comment="Custo HH Engenharia Média">'[1]Calc Eng'!$EZ$241</definedName>
    <definedName name="MOE_P" comment="Custo de Mão de obra de Projeto interno, elétrico, paineis e documentação">'[1]Calc Eng'!$EZ$242</definedName>
    <definedName name="MOF" comment="Custo estimado para HH Fabrica no Campo">'[1]Calc Eng'!$H$11</definedName>
    <definedName name="MOF_Custo" comment="Custo do HH Fábrica Paineis">'[1]Calc Eng'!$EZ$247</definedName>
    <definedName name="MOF_Total_Campo" comment="Total de Mão de Obra da Fábrica que será utilizada em campo. Prevista">'[1]Calc Eng'!$B$57</definedName>
    <definedName name="MOFC_Fabrica_Campo_Custo" comment="Custo da HH da Fábrica em Campo">'[1]Calc Eng'!$EZ$246</definedName>
    <definedName name="MOI_ISSQN_LR_LP" comment="ISS MOI lucro Real e Presumido">[1]Impostos_Taxas_ICMs!$H$20</definedName>
    <definedName name="MOL_Custo_Instr" comment="Custo Médio HH da equipe de Instrumentação de Campo, para equipamentos, comissionamento, ajustes.">'[1]Calc Eng'!$EZ$248</definedName>
    <definedName name="MOM_MO_Média_Custo" comment="Custo médio da mão de obra geral da empresa. Services, ATK Eng , ADM">'[1]Calc Eng'!$EZ$251</definedName>
    <definedName name="MOS" comment="Custo HH de Enfermeiro, Segurança na Obra, secretária.">'[1]Calc Eng'!$B$45</definedName>
    <definedName name="MOSV__Services_Custo_MO" comment="Custo da Mão Obra Services">'[1]Calc Eng'!$EZ$250</definedName>
    <definedName name="MOTK_Adm_Custo" comment="Custo HH Preposto Turnkey em campo">'[1]Calc Eng'!$EZ$249</definedName>
    <definedName name="Não" comment="Indicador">'[1]Calc Eng'!$A$79</definedName>
    <definedName name="Necesssidade_preposto" comment="Necessidade de Preposto na OBRA">'[1]Calc Eng'!$K$100</definedName>
    <definedName name="Obra_Adm_Profissionais" comment="Numero de profissionais na Obra, Enfermeiro, Segurança. Não considera o Preposto">'[1]Calc Eng'!$B$46</definedName>
    <definedName name="Obra_Certa_MO_CLT_Fee">'[1]Custo Impostos Sobre HH'!$B$35</definedName>
    <definedName name="Operação_Assistida" comment="Total de Horas prevista Para Operação Assistida">'[1]Calc Eng'!$B$55</definedName>
    <definedName name="PAINEL" comment="Custo Mão OBRA PAINEL">'[1]Calc Eng'!$H$13</definedName>
    <definedName name="Parte_Custos_fixo___Docs__RH_e_SSMA" comment="Custos fixos do RH e Documentaçao da OS">'[1]Cockpit Retorno'!$C$40</definedName>
    <definedName name="PercentualConcluído">PercentualConcluídoAlém*PeríodonoPlano</definedName>
    <definedName name="PercentualConcluídoAlém">(#REF!=MEDIAN(#REF!,#REF!,#REF!+#REF!)*(#REF!&gt;0))*((#REF!&lt;(INT(#REF!+#REF!*#REF!)))+(#REF!=#REF!))*(#REF!&gt;0)</definedName>
    <definedName name="PercentualCustofixo" comment="Numero que repreenta % do valor com relacao a espectativa de venda">'[1]Cockpit Retorno'!$D$64</definedName>
    <definedName name="período_selecionado">#REF!</definedName>
    <definedName name="PeríodonoPlano">#REF!=MEDIAN(#REF!,#REF!,#REF!+#REF!-1)</definedName>
    <definedName name="PeríodoReal">#REF!=MEDIAN(#REF!,#REF!,#REF!+#REF!-1)</definedName>
    <definedName name="Pis__ATK">[1]Impostos_Taxas_ICMs!$I$30</definedName>
    <definedName name="Pis__Sistema">[1]Impostos_Taxas_ICMs!$H$30</definedName>
    <definedName name="Plano">PeríodonoPlano*(#REF!&gt;0)</definedName>
    <definedName name="Plano_Saúde" comment="caso tenha plano de saúde, considerar neste item">'[1]Resumo_HIA_HIC_HOC '!$E$34</definedName>
    <definedName name="Pontos_Ponderado" comment="Numero de Pontos Ponderados">'[1]Calc Eng'!$B$30</definedName>
    <definedName name="PorcentagemConcluída" comment="Evoluçao">PorcentagemConcluídaPosterior*[0]!PeriodoInPlanejado</definedName>
    <definedName name="Preposto_total" comment="Total e Preposto estimado para Obra">'[1]Calc Eng'!$B$31</definedName>
    <definedName name="Preposto_Viagens_Base_Planta" comment="Numero de  Idas e vindas entre Base e Planta, do Preposto">'[1]Calc Eng'!$B$41</definedName>
    <definedName name="Preposto_Viagens_STZ_Base" comment="Numero de viagens estimadas do Preposto entre Base e Sertãozinho">'[1]Calc Eng'!$B$40</definedName>
    <definedName name="Previsão_FAT_ANUAL_Normalizada">'[1]Cockpit Retorno'!$AEK$166</definedName>
    <definedName name="Prod_MI_PIS_LR" comment="PIS venda MI Lucro real">[1]Impostos_Taxas_ICMs!$H$9</definedName>
    <definedName name="QDTC_Total" comment="Custo Total de QDTC para o projeto">'[1]Calc Eng'!$B$24</definedName>
    <definedName name="Real">(PeríodoReal*(#REF!&gt;0))*PeríodonoPlano</definedName>
    <definedName name="RealAlém">PeríodoReal*(#REF!&gt;0)</definedName>
    <definedName name="Refeição_Cliente_Custo" comment="Custo estimado do valor da Refeição no cliente. Na Obra">'[1]Calc Eng'!$B$23</definedName>
    <definedName name="Refeição_Lanches_DIA__Custo" comment="Custo total de refeições no dia . Lanche, Almoço e Jantar.">'[1]Valores médios Ref_Lanches'!$AJ$30</definedName>
    <definedName name="Refeições_Custo" comment="Custo Médio por refeição, somado ao Lanche diário.">'[1]Calc Eng'!$B$7</definedName>
    <definedName name="RegiãodoTítulo..BO60">#REF!</definedName>
    <definedName name="Sábado_H" comment="Horas Sabado">'[1]Calc Eng'!$B$60</definedName>
    <definedName name="Seguros_e_Garantias" comment="Seguros e garantias">'[1]Cockpit Retorno'!$C$44</definedName>
    <definedName name="Semana_de_exibição">#REF!</definedName>
    <definedName name="Sim">'[1]Calc Eng'!$A$78</definedName>
    <definedName name="Sist_PIS_LR" comment="PIS  sistema LR Lucro Real">[1]Impostos_Taxas_ICMs!$H$5</definedName>
    <definedName name="Sistema_Produto">'[1]Cockpit Retorno'!$J$2</definedName>
    <definedName name="Sistema_Serviços">'[1]Cockpit Retorno'!$J$3</definedName>
    <definedName name="Tarifa_Serviços">'[1]Cockpit Retorno'!$L$1</definedName>
    <definedName name="Tempo_indeterminado_MO_CLT_Fee">'[1]Custo Impostos Sobre HH'!$B$34</definedName>
    <definedName name="Tempo_Preposto__Obra" comment="Estimativa do período que o Preposto deve permanecer na Obra. Desde Mobilização,obra e Desmobilização.">'[1]Calc Eng'!$B$56</definedName>
    <definedName name="Tempo_Total_Paineis" comment="Tempo estimado para montagem dos Paineis">'[1]Calc Eng'!$AB$136</definedName>
    <definedName name="Total_Funcionários" comment="Numero de funcionários">'[1]Calc Eng'!$R$14</definedName>
    <definedName name="Total_HH_Mês" comment="Total HH Mês Externo, Considerando Horas Extras e Duas HH extra Dia">'[1]Calc Eng'!$B$59</definedName>
    <definedName name="Total_Horas_THEO" comment="Horas estimadas TOTAL para orçamento de MOD vindo da planilha THEO" localSheetId="0">'THEO Desmontagem'!$G$102</definedName>
    <definedName name="Total_JBs" comment="Quantidade total de JBs 4 a 20 mA com Bornes Completa">'[1]Calc Eng'!$P$80</definedName>
    <definedName name="Total_Painéis_HD" comment="Total de Painéis com Muitos Pontos">'[1]Calc Eng'!$P$81</definedName>
    <definedName name="Total_Painéis_MD" comment="Total de Painéis de média e baixa Densidade">'[1]Calc Eng'!$P$82</definedName>
    <definedName name="Total_pequenas_caixas" comment="Pequenas (Caixas) apenas Montagem">'[1]Calc Eng'!$P$83</definedName>
    <definedName name="Total_QDTC" comment="Número de QDTCs completos">'[1]Calc Eng'!$P$79</definedName>
    <definedName name="Valor_Liquido_a_Receber" comment="Valor Liquido da Operação - Sem IPI, PIS COFINS, ISSQN e IRPF">'[1]Cockpit Retorno'!$D$55</definedName>
    <definedName name="Valor_Proposta">'[1]Cockpit Retorno'!$C$51</definedName>
    <definedName name="Valor_Venda_Com_IPI" comment="Valor total Proposta Sem IPI">'[1]Cockpit Retorno'!$C$54</definedName>
    <definedName name="Valor_Venda_sem_IPI" comment="Venda sem IPI">'[1]Cockpit Retorno'!$C$53</definedName>
    <definedName name="Valor_Venda_Usando_CREDITO_ICM">'[1]Cockpit Retorno'!$C$55</definedName>
    <definedName name="Viagens_Atendentes__Base_Planta" comment="Total de estimativa de Idas e Vindas entre a BAse e a Planta, dos Atendentes de Comissionamento, Startup e Operação assistida">'[1]Calc Eng'!$B$35</definedName>
    <definedName name="Viagens_Atendentes__Base_STZ" comment="Numero Total de viagens estimadas para equipe de Startup entre, STZ e BASE">'[1]Calc Eng'!$B$36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V287" i="1" l="1"/>
  <c r="CU287" i="1"/>
  <c r="CT287" i="1"/>
  <c r="CS287" i="1"/>
  <c r="CR287" i="1"/>
  <c r="CQ287" i="1"/>
  <c r="CO287" i="1"/>
  <c r="CN287" i="1"/>
  <c r="CM287" i="1"/>
  <c r="CL287" i="1"/>
  <c r="CK287" i="1"/>
  <c r="CJ287" i="1"/>
  <c r="CH287" i="1"/>
  <c r="CG287" i="1"/>
  <c r="CF287" i="1"/>
  <c r="CE287" i="1"/>
  <c r="CD287" i="1"/>
  <c r="CC287" i="1"/>
  <c r="BV287" i="1"/>
  <c r="BO287" i="1"/>
  <c r="BH287" i="1"/>
  <c r="BA287" i="1"/>
  <c r="AT287" i="1"/>
  <c r="AM287" i="1"/>
  <c r="CV286" i="1"/>
  <c r="CU286" i="1"/>
  <c r="CT286" i="1"/>
  <c r="CS286" i="1"/>
  <c r="CR286" i="1"/>
  <c r="CQ286" i="1"/>
  <c r="CO286" i="1"/>
  <c r="CN286" i="1"/>
  <c r="CM286" i="1"/>
  <c r="CL286" i="1"/>
  <c r="CK286" i="1"/>
  <c r="CJ286" i="1"/>
  <c r="CH286" i="1"/>
  <c r="CG286" i="1"/>
  <c r="CF286" i="1"/>
  <c r="CE286" i="1"/>
  <c r="CD286" i="1"/>
  <c r="CC286" i="1"/>
  <c r="BV286" i="1"/>
  <c r="BO286" i="1"/>
  <c r="BH286" i="1"/>
  <c r="BA286" i="1"/>
  <c r="AT286" i="1"/>
  <c r="AM286" i="1"/>
  <c r="CV285" i="1"/>
  <c r="CU285" i="1"/>
  <c r="CT285" i="1"/>
  <c r="CS285" i="1"/>
  <c r="CR285" i="1"/>
  <c r="CQ285" i="1"/>
  <c r="CO285" i="1"/>
  <c r="CN285" i="1"/>
  <c r="CM285" i="1"/>
  <c r="CL285" i="1"/>
  <c r="CK285" i="1"/>
  <c r="CJ285" i="1"/>
  <c r="CH285" i="1"/>
  <c r="CG285" i="1"/>
  <c r="CF285" i="1"/>
  <c r="CE285" i="1"/>
  <c r="CD285" i="1"/>
  <c r="CC285" i="1"/>
  <c r="BV285" i="1"/>
  <c r="BO285" i="1"/>
  <c r="BH285" i="1"/>
  <c r="BA285" i="1"/>
  <c r="AT285" i="1"/>
  <c r="AM285" i="1"/>
  <c r="CV284" i="1"/>
  <c r="CU284" i="1"/>
  <c r="CT284" i="1"/>
  <c r="CS284" i="1"/>
  <c r="CR284" i="1"/>
  <c r="CQ284" i="1"/>
  <c r="CO284" i="1"/>
  <c r="CN284" i="1"/>
  <c r="CM284" i="1"/>
  <c r="CL284" i="1"/>
  <c r="CK284" i="1"/>
  <c r="CJ284" i="1"/>
  <c r="CH284" i="1"/>
  <c r="CG284" i="1"/>
  <c r="CF284" i="1"/>
  <c r="CE284" i="1"/>
  <c r="CD284" i="1"/>
  <c r="CC284" i="1"/>
  <c r="BV284" i="1"/>
  <c r="BO284" i="1"/>
  <c r="BH284" i="1"/>
  <c r="BA284" i="1"/>
  <c r="AT284" i="1"/>
  <c r="AM284" i="1"/>
  <c r="CV283" i="1"/>
  <c r="CU283" i="1"/>
  <c r="CT283" i="1"/>
  <c r="CS283" i="1"/>
  <c r="CR283" i="1"/>
  <c r="CQ283" i="1"/>
  <c r="CO283" i="1"/>
  <c r="CN283" i="1"/>
  <c r="CM283" i="1"/>
  <c r="CL283" i="1"/>
  <c r="CK283" i="1"/>
  <c r="CJ283" i="1"/>
  <c r="CH283" i="1"/>
  <c r="CG283" i="1"/>
  <c r="CF283" i="1"/>
  <c r="CE283" i="1"/>
  <c r="CD283" i="1"/>
  <c r="CC283" i="1"/>
  <c r="BV283" i="1"/>
  <c r="BO283" i="1"/>
  <c r="BH283" i="1"/>
  <c r="BA283" i="1"/>
  <c r="AT283" i="1"/>
  <c r="AM283" i="1"/>
  <c r="CV282" i="1"/>
  <c r="CU282" i="1"/>
  <c r="CT282" i="1"/>
  <c r="CS282" i="1"/>
  <c r="CR282" i="1"/>
  <c r="CQ282" i="1"/>
  <c r="CO282" i="1"/>
  <c r="CN282" i="1"/>
  <c r="CM282" i="1"/>
  <c r="CL282" i="1"/>
  <c r="CK282" i="1"/>
  <c r="CJ282" i="1"/>
  <c r="CH282" i="1"/>
  <c r="CG282" i="1"/>
  <c r="CF282" i="1"/>
  <c r="CE282" i="1"/>
  <c r="CD282" i="1"/>
  <c r="CC282" i="1"/>
  <c r="BV282" i="1"/>
  <c r="BO282" i="1"/>
  <c r="BH282" i="1"/>
  <c r="BA282" i="1"/>
  <c r="AT282" i="1"/>
  <c r="AM282" i="1"/>
  <c r="CV281" i="1"/>
  <c r="CU281" i="1"/>
  <c r="CT281" i="1"/>
  <c r="CS281" i="1"/>
  <c r="CR281" i="1"/>
  <c r="CQ281" i="1"/>
  <c r="CO281" i="1"/>
  <c r="CN281" i="1"/>
  <c r="CM281" i="1"/>
  <c r="CL281" i="1"/>
  <c r="CK281" i="1"/>
  <c r="CJ281" i="1"/>
  <c r="CH281" i="1"/>
  <c r="CG281" i="1"/>
  <c r="CF281" i="1"/>
  <c r="CE281" i="1"/>
  <c r="CD281" i="1"/>
  <c r="CC281" i="1"/>
  <c r="BV281" i="1"/>
  <c r="BO281" i="1"/>
  <c r="BH281" i="1"/>
  <c r="BA281" i="1"/>
  <c r="AT281" i="1"/>
  <c r="AM281" i="1"/>
  <c r="CV280" i="1"/>
  <c r="CU280" i="1"/>
  <c r="CT280" i="1"/>
  <c r="CS280" i="1"/>
  <c r="CR280" i="1"/>
  <c r="CQ280" i="1"/>
  <c r="CO280" i="1"/>
  <c r="CN280" i="1"/>
  <c r="CM280" i="1"/>
  <c r="CL280" i="1"/>
  <c r="CK280" i="1"/>
  <c r="CJ280" i="1"/>
  <c r="CH280" i="1"/>
  <c r="CG280" i="1"/>
  <c r="CF280" i="1"/>
  <c r="CE280" i="1"/>
  <c r="CD280" i="1"/>
  <c r="CC280" i="1"/>
  <c r="BV280" i="1"/>
  <c r="BO280" i="1"/>
  <c r="BH280" i="1"/>
  <c r="BA280" i="1"/>
  <c r="AT280" i="1"/>
  <c r="AM280" i="1"/>
  <c r="CV279" i="1"/>
  <c r="CU279" i="1"/>
  <c r="CT279" i="1"/>
  <c r="CS279" i="1"/>
  <c r="CR279" i="1"/>
  <c r="CQ279" i="1"/>
  <c r="CO279" i="1"/>
  <c r="CN279" i="1"/>
  <c r="CM279" i="1"/>
  <c r="CL279" i="1"/>
  <c r="CK279" i="1"/>
  <c r="CJ279" i="1"/>
  <c r="CH279" i="1"/>
  <c r="CG279" i="1"/>
  <c r="CF279" i="1"/>
  <c r="CE279" i="1"/>
  <c r="CD279" i="1"/>
  <c r="CC279" i="1"/>
  <c r="BV279" i="1"/>
  <c r="BO279" i="1"/>
  <c r="BH279" i="1"/>
  <c r="BA279" i="1"/>
  <c r="AT279" i="1"/>
  <c r="AM279" i="1"/>
  <c r="CV278" i="1"/>
  <c r="CU278" i="1"/>
  <c r="CT278" i="1"/>
  <c r="CS278" i="1"/>
  <c r="CR278" i="1"/>
  <c r="CQ278" i="1"/>
  <c r="CO278" i="1"/>
  <c r="CN278" i="1"/>
  <c r="CM278" i="1"/>
  <c r="CL278" i="1"/>
  <c r="CK278" i="1"/>
  <c r="CJ278" i="1"/>
  <c r="CH278" i="1"/>
  <c r="CG278" i="1"/>
  <c r="CF278" i="1"/>
  <c r="CE278" i="1"/>
  <c r="CD278" i="1"/>
  <c r="CC278" i="1"/>
  <c r="BV278" i="1"/>
  <c r="BO278" i="1"/>
  <c r="BH278" i="1"/>
  <c r="BA278" i="1"/>
  <c r="AT278" i="1"/>
  <c r="AM278" i="1"/>
  <c r="CV277" i="1"/>
  <c r="CU277" i="1"/>
  <c r="CT277" i="1"/>
  <c r="CS277" i="1"/>
  <c r="CR277" i="1"/>
  <c r="CQ277" i="1"/>
  <c r="CO277" i="1"/>
  <c r="CN277" i="1"/>
  <c r="CM277" i="1"/>
  <c r="CL277" i="1"/>
  <c r="CK277" i="1"/>
  <c r="CJ277" i="1"/>
  <c r="CH277" i="1"/>
  <c r="CG277" i="1"/>
  <c r="CF277" i="1"/>
  <c r="CE277" i="1"/>
  <c r="CD277" i="1"/>
  <c r="CC277" i="1"/>
  <c r="BV277" i="1"/>
  <c r="BO277" i="1"/>
  <c r="BH277" i="1"/>
  <c r="BA277" i="1"/>
  <c r="AT277" i="1"/>
  <c r="AM277" i="1"/>
  <c r="CV276" i="1"/>
  <c r="CU276" i="1"/>
  <c r="CT276" i="1"/>
  <c r="CS276" i="1"/>
  <c r="CR276" i="1"/>
  <c r="CQ276" i="1"/>
  <c r="CO276" i="1"/>
  <c r="CN276" i="1"/>
  <c r="CM276" i="1"/>
  <c r="CL276" i="1"/>
  <c r="CK276" i="1"/>
  <c r="CJ276" i="1"/>
  <c r="CH276" i="1"/>
  <c r="CG276" i="1"/>
  <c r="CF276" i="1"/>
  <c r="CE276" i="1"/>
  <c r="CD276" i="1"/>
  <c r="CC276" i="1"/>
  <c r="BV276" i="1"/>
  <c r="BO276" i="1"/>
  <c r="BH276" i="1"/>
  <c r="BA276" i="1"/>
  <c r="AT276" i="1"/>
  <c r="AM276" i="1"/>
  <c r="CV275" i="1"/>
  <c r="CU275" i="1"/>
  <c r="CT275" i="1"/>
  <c r="CS275" i="1"/>
  <c r="CR275" i="1"/>
  <c r="CQ275" i="1"/>
  <c r="CO275" i="1"/>
  <c r="CN275" i="1"/>
  <c r="CM275" i="1"/>
  <c r="CL275" i="1"/>
  <c r="CK275" i="1"/>
  <c r="CJ275" i="1"/>
  <c r="CH275" i="1"/>
  <c r="CG275" i="1"/>
  <c r="CF275" i="1"/>
  <c r="CE275" i="1"/>
  <c r="CD275" i="1"/>
  <c r="CC275" i="1"/>
  <c r="BV275" i="1"/>
  <c r="BO275" i="1"/>
  <c r="BH275" i="1"/>
  <c r="BA275" i="1"/>
  <c r="AT275" i="1"/>
  <c r="AM275" i="1"/>
  <c r="CV274" i="1"/>
  <c r="CU274" i="1"/>
  <c r="CT274" i="1"/>
  <c r="CS274" i="1"/>
  <c r="CR274" i="1"/>
  <c r="CQ274" i="1"/>
  <c r="CO274" i="1"/>
  <c r="CN274" i="1"/>
  <c r="CM274" i="1"/>
  <c r="CL274" i="1"/>
  <c r="CK274" i="1"/>
  <c r="CJ274" i="1"/>
  <c r="CH274" i="1"/>
  <c r="CG274" i="1"/>
  <c r="CF274" i="1"/>
  <c r="CE274" i="1"/>
  <c r="CD274" i="1"/>
  <c r="CC274" i="1"/>
  <c r="BV274" i="1"/>
  <c r="BO274" i="1"/>
  <c r="BH274" i="1"/>
  <c r="BA274" i="1"/>
  <c r="AT274" i="1"/>
  <c r="AM274" i="1"/>
  <c r="CV273" i="1"/>
  <c r="CU273" i="1"/>
  <c r="CT273" i="1"/>
  <c r="CS273" i="1"/>
  <c r="CR273" i="1"/>
  <c r="CQ273" i="1"/>
  <c r="CO273" i="1"/>
  <c r="CN273" i="1"/>
  <c r="CM273" i="1"/>
  <c r="CL273" i="1"/>
  <c r="CK273" i="1"/>
  <c r="CJ273" i="1"/>
  <c r="CH273" i="1"/>
  <c r="CG273" i="1"/>
  <c r="CF273" i="1"/>
  <c r="CE273" i="1"/>
  <c r="CD273" i="1"/>
  <c r="CC273" i="1"/>
  <c r="BV273" i="1"/>
  <c r="BO273" i="1"/>
  <c r="BH273" i="1"/>
  <c r="BA273" i="1"/>
  <c r="AT273" i="1"/>
  <c r="AM273" i="1"/>
  <c r="CV272" i="1"/>
  <c r="CU272" i="1"/>
  <c r="CT272" i="1"/>
  <c r="CS272" i="1"/>
  <c r="CR272" i="1"/>
  <c r="CQ272" i="1"/>
  <c r="CO272" i="1"/>
  <c r="CN272" i="1"/>
  <c r="CM272" i="1"/>
  <c r="CL272" i="1"/>
  <c r="CK272" i="1"/>
  <c r="CJ272" i="1"/>
  <c r="CH272" i="1"/>
  <c r="CG272" i="1"/>
  <c r="CF272" i="1"/>
  <c r="CE272" i="1"/>
  <c r="CD272" i="1"/>
  <c r="CC272" i="1"/>
  <c r="BV272" i="1"/>
  <c r="BO272" i="1"/>
  <c r="BH272" i="1"/>
  <c r="BA272" i="1"/>
  <c r="AT272" i="1"/>
  <c r="AM272" i="1"/>
  <c r="CV271" i="1"/>
  <c r="CU271" i="1"/>
  <c r="CT271" i="1"/>
  <c r="CS271" i="1"/>
  <c r="CR271" i="1"/>
  <c r="CQ271" i="1"/>
  <c r="CO271" i="1"/>
  <c r="CN271" i="1"/>
  <c r="CM271" i="1"/>
  <c r="CL271" i="1"/>
  <c r="CK271" i="1"/>
  <c r="CJ271" i="1"/>
  <c r="CH271" i="1"/>
  <c r="CG271" i="1"/>
  <c r="CF271" i="1"/>
  <c r="CE271" i="1"/>
  <c r="CD271" i="1"/>
  <c r="CC271" i="1"/>
  <c r="BV271" i="1"/>
  <c r="BO271" i="1"/>
  <c r="BH271" i="1"/>
  <c r="BA271" i="1"/>
  <c r="AT271" i="1"/>
  <c r="AM271" i="1"/>
  <c r="CV270" i="1"/>
  <c r="CU270" i="1"/>
  <c r="CT270" i="1"/>
  <c r="CS270" i="1"/>
  <c r="CR270" i="1"/>
  <c r="CQ270" i="1"/>
  <c r="CO270" i="1"/>
  <c r="CN270" i="1"/>
  <c r="CM270" i="1"/>
  <c r="CL270" i="1"/>
  <c r="CK270" i="1"/>
  <c r="CJ270" i="1"/>
  <c r="CH270" i="1"/>
  <c r="CG270" i="1"/>
  <c r="CF270" i="1"/>
  <c r="CE270" i="1"/>
  <c r="CD270" i="1"/>
  <c r="CC270" i="1"/>
  <c r="BV270" i="1"/>
  <c r="BO270" i="1"/>
  <c r="BH270" i="1"/>
  <c r="BA270" i="1"/>
  <c r="AT270" i="1"/>
  <c r="AM270" i="1"/>
  <c r="CV269" i="1"/>
  <c r="CU269" i="1"/>
  <c r="CT269" i="1"/>
  <c r="CS269" i="1"/>
  <c r="CR269" i="1"/>
  <c r="CQ269" i="1"/>
  <c r="CO269" i="1"/>
  <c r="CN269" i="1"/>
  <c r="CM269" i="1"/>
  <c r="CL269" i="1"/>
  <c r="CK269" i="1"/>
  <c r="CJ269" i="1"/>
  <c r="CH269" i="1"/>
  <c r="CG269" i="1"/>
  <c r="CF269" i="1"/>
  <c r="CE269" i="1"/>
  <c r="CD269" i="1"/>
  <c r="CC269" i="1"/>
  <c r="BV269" i="1"/>
  <c r="BO269" i="1"/>
  <c r="BH269" i="1"/>
  <c r="BA269" i="1"/>
  <c r="AT269" i="1"/>
  <c r="AM269" i="1"/>
  <c r="CV268" i="1"/>
  <c r="CU268" i="1"/>
  <c r="CT268" i="1"/>
  <c r="CS268" i="1"/>
  <c r="CR268" i="1"/>
  <c r="CQ268" i="1"/>
  <c r="CO268" i="1"/>
  <c r="CN268" i="1"/>
  <c r="CM268" i="1"/>
  <c r="CL268" i="1"/>
  <c r="CK268" i="1"/>
  <c r="CJ268" i="1"/>
  <c r="CH268" i="1"/>
  <c r="CG268" i="1"/>
  <c r="CF268" i="1"/>
  <c r="CE268" i="1"/>
  <c r="CD268" i="1"/>
  <c r="CC268" i="1"/>
  <c r="BV268" i="1"/>
  <c r="BO268" i="1"/>
  <c r="BH268" i="1"/>
  <c r="BA268" i="1"/>
  <c r="AT268" i="1"/>
  <c r="AM268" i="1"/>
  <c r="CV267" i="1"/>
  <c r="CU267" i="1"/>
  <c r="CT267" i="1"/>
  <c r="CS267" i="1"/>
  <c r="CR267" i="1"/>
  <c r="CQ267" i="1"/>
  <c r="CO267" i="1"/>
  <c r="CN267" i="1"/>
  <c r="CM267" i="1"/>
  <c r="CL267" i="1"/>
  <c r="CK267" i="1"/>
  <c r="CJ267" i="1"/>
  <c r="CH267" i="1"/>
  <c r="CG267" i="1"/>
  <c r="CF267" i="1"/>
  <c r="CE267" i="1"/>
  <c r="CD267" i="1"/>
  <c r="CC267" i="1"/>
  <c r="BV267" i="1"/>
  <c r="BO267" i="1"/>
  <c r="BH267" i="1"/>
  <c r="BA267" i="1"/>
  <c r="AT267" i="1"/>
  <c r="AM267" i="1"/>
  <c r="CV266" i="1"/>
  <c r="CU266" i="1"/>
  <c r="CT266" i="1"/>
  <c r="CS266" i="1"/>
  <c r="CR266" i="1"/>
  <c r="CQ266" i="1"/>
  <c r="CO266" i="1"/>
  <c r="CN266" i="1"/>
  <c r="CM266" i="1"/>
  <c r="CL266" i="1"/>
  <c r="CK266" i="1"/>
  <c r="CJ266" i="1"/>
  <c r="CH266" i="1"/>
  <c r="CG266" i="1"/>
  <c r="CF266" i="1"/>
  <c r="CE266" i="1"/>
  <c r="CD266" i="1"/>
  <c r="CC266" i="1"/>
  <c r="BV266" i="1"/>
  <c r="BO266" i="1"/>
  <c r="BH266" i="1"/>
  <c r="BA266" i="1"/>
  <c r="AT266" i="1"/>
  <c r="AM266" i="1"/>
  <c r="CV265" i="1"/>
  <c r="CU265" i="1"/>
  <c r="CT265" i="1"/>
  <c r="CS265" i="1"/>
  <c r="CR265" i="1"/>
  <c r="CQ265" i="1"/>
  <c r="CO265" i="1"/>
  <c r="CN265" i="1"/>
  <c r="CM265" i="1"/>
  <c r="CL265" i="1"/>
  <c r="CK265" i="1"/>
  <c r="CJ265" i="1"/>
  <c r="CH265" i="1"/>
  <c r="CG265" i="1"/>
  <c r="CF265" i="1"/>
  <c r="CE265" i="1"/>
  <c r="CD265" i="1"/>
  <c r="CC265" i="1"/>
  <c r="BV265" i="1"/>
  <c r="BO265" i="1"/>
  <c r="BH265" i="1"/>
  <c r="BA265" i="1"/>
  <c r="AT265" i="1"/>
  <c r="AM265" i="1"/>
  <c r="CV264" i="1"/>
  <c r="CU264" i="1"/>
  <c r="CT264" i="1"/>
  <c r="CS264" i="1"/>
  <c r="CR264" i="1"/>
  <c r="CQ264" i="1"/>
  <c r="CO264" i="1"/>
  <c r="CN264" i="1"/>
  <c r="CM264" i="1"/>
  <c r="CL264" i="1"/>
  <c r="CK264" i="1"/>
  <c r="CJ264" i="1"/>
  <c r="CH264" i="1"/>
  <c r="CG264" i="1"/>
  <c r="CF264" i="1"/>
  <c r="CE264" i="1"/>
  <c r="CD264" i="1"/>
  <c r="CC264" i="1"/>
  <c r="BV264" i="1"/>
  <c r="BO264" i="1"/>
  <c r="BH264" i="1"/>
  <c r="BA264" i="1"/>
  <c r="AT264" i="1"/>
  <c r="AM264" i="1"/>
  <c r="CV263" i="1"/>
  <c r="CU263" i="1"/>
  <c r="CT263" i="1"/>
  <c r="CS263" i="1"/>
  <c r="CR263" i="1"/>
  <c r="CQ263" i="1"/>
  <c r="CO263" i="1"/>
  <c r="CN263" i="1"/>
  <c r="CM263" i="1"/>
  <c r="CL263" i="1"/>
  <c r="CK263" i="1"/>
  <c r="CJ263" i="1"/>
  <c r="CH263" i="1"/>
  <c r="CG263" i="1"/>
  <c r="CF263" i="1"/>
  <c r="CE263" i="1"/>
  <c r="CD263" i="1"/>
  <c r="CC263" i="1"/>
  <c r="BV263" i="1"/>
  <c r="BO263" i="1"/>
  <c r="BH263" i="1"/>
  <c r="BA263" i="1"/>
  <c r="AT263" i="1"/>
  <c r="AM263" i="1"/>
  <c r="CV262" i="1"/>
  <c r="CU262" i="1"/>
  <c r="CT262" i="1"/>
  <c r="CS262" i="1"/>
  <c r="CR262" i="1"/>
  <c r="CQ262" i="1"/>
  <c r="CO262" i="1"/>
  <c r="CN262" i="1"/>
  <c r="CM262" i="1"/>
  <c r="CL262" i="1"/>
  <c r="CK262" i="1"/>
  <c r="CJ262" i="1"/>
  <c r="CH262" i="1"/>
  <c r="CG262" i="1"/>
  <c r="CF262" i="1"/>
  <c r="CE262" i="1"/>
  <c r="CD262" i="1"/>
  <c r="CC262" i="1"/>
  <c r="BV262" i="1"/>
  <c r="BO262" i="1"/>
  <c r="BH262" i="1"/>
  <c r="BA262" i="1"/>
  <c r="AT262" i="1"/>
  <c r="AM262" i="1"/>
  <c r="CV261" i="1"/>
  <c r="CU261" i="1"/>
  <c r="CT261" i="1"/>
  <c r="CS261" i="1"/>
  <c r="CR261" i="1"/>
  <c r="CQ261" i="1"/>
  <c r="CO261" i="1"/>
  <c r="CN261" i="1"/>
  <c r="CM261" i="1"/>
  <c r="CL261" i="1"/>
  <c r="CK261" i="1"/>
  <c r="CJ261" i="1"/>
  <c r="CH261" i="1"/>
  <c r="CG261" i="1"/>
  <c r="CF261" i="1"/>
  <c r="CE261" i="1"/>
  <c r="CD261" i="1"/>
  <c r="CC261" i="1"/>
  <c r="BV261" i="1"/>
  <c r="BO261" i="1"/>
  <c r="BH261" i="1"/>
  <c r="BA261" i="1"/>
  <c r="AT261" i="1"/>
  <c r="AM261" i="1"/>
  <c r="CV260" i="1"/>
  <c r="CU260" i="1"/>
  <c r="CT260" i="1"/>
  <c r="CS260" i="1"/>
  <c r="CR260" i="1"/>
  <c r="CQ260" i="1"/>
  <c r="CO260" i="1"/>
  <c r="CN260" i="1"/>
  <c r="CM260" i="1"/>
  <c r="CL260" i="1"/>
  <c r="CK260" i="1"/>
  <c r="CJ260" i="1"/>
  <c r="CH260" i="1"/>
  <c r="CG260" i="1"/>
  <c r="CF260" i="1"/>
  <c r="CE260" i="1"/>
  <c r="CD260" i="1"/>
  <c r="CC260" i="1"/>
  <c r="BV260" i="1"/>
  <c r="BO260" i="1"/>
  <c r="BH260" i="1"/>
  <c r="BA260" i="1"/>
  <c r="AT260" i="1"/>
  <c r="AM260" i="1"/>
  <c r="CV259" i="1"/>
  <c r="CU259" i="1"/>
  <c r="CT259" i="1"/>
  <c r="CS259" i="1"/>
  <c r="CR259" i="1"/>
  <c r="CQ259" i="1"/>
  <c r="CO259" i="1"/>
  <c r="CN259" i="1"/>
  <c r="CM259" i="1"/>
  <c r="CL259" i="1"/>
  <c r="CK259" i="1"/>
  <c r="CJ259" i="1"/>
  <c r="CH259" i="1"/>
  <c r="CG259" i="1"/>
  <c r="CF259" i="1"/>
  <c r="CE259" i="1"/>
  <c r="CD259" i="1"/>
  <c r="CC259" i="1"/>
  <c r="BV259" i="1"/>
  <c r="BO259" i="1"/>
  <c r="BH259" i="1"/>
  <c r="BA259" i="1"/>
  <c r="AT259" i="1"/>
  <c r="AM259" i="1"/>
  <c r="CV258" i="1"/>
  <c r="CU258" i="1"/>
  <c r="CT258" i="1"/>
  <c r="CS258" i="1"/>
  <c r="CR258" i="1"/>
  <c r="CQ258" i="1"/>
  <c r="CO258" i="1"/>
  <c r="CN258" i="1"/>
  <c r="CM258" i="1"/>
  <c r="CL258" i="1"/>
  <c r="CK258" i="1"/>
  <c r="CJ258" i="1"/>
  <c r="CH258" i="1"/>
  <c r="CG258" i="1"/>
  <c r="CF258" i="1"/>
  <c r="CE258" i="1"/>
  <c r="CD258" i="1"/>
  <c r="CC258" i="1"/>
  <c r="BV258" i="1"/>
  <c r="BO258" i="1"/>
  <c r="BH258" i="1"/>
  <c r="BA258" i="1"/>
  <c r="AT258" i="1"/>
  <c r="AM258" i="1"/>
  <c r="CV257" i="1"/>
  <c r="CU257" i="1"/>
  <c r="CT257" i="1"/>
  <c r="CS257" i="1"/>
  <c r="CR257" i="1"/>
  <c r="CQ257" i="1"/>
  <c r="CO257" i="1"/>
  <c r="CN257" i="1"/>
  <c r="CM257" i="1"/>
  <c r="CL257" i="1"/>
  <c r="CK257" i="1"/>
  <c r="CJ257" i="1"/>
  <c r="CH257" i="1"/>
  <c r="CG257" i="1"/>
  <c r="CF257" i="1"/>
  <c r="CE257" i="1"/>
  <c r="CD257" i="1"/>
  <c r="CC257" i="1"/>
  <c r="BV257" i="1"/>
  <c r="BO257" i="1"/>
  <c r="BH257" i="1"/>
  <c r="BA257" i="1"/>
  <c r="AT257" i="1"/>
  <c r="AM257" i="1"/>
  <c r="CV256" i="1"/>
  <c r="CU256" i="1"/>
  <c r="CT256" i="1"/>
  <c r="CS256" i="1"/>
  <c r="CR256" i="1"/>
  <c r="CQ256" i="1"/>
  <c r="CO256" i="1"/>
  <c r="CN256" i="1"/>
  <c r="CM256" i="1"/>
  <c r="CL256" i="1"/>
  <c r="CK256" i="1"/>
  <c r="CJ256" i="1"/>
  <c r="CH256" i="1"/>
  <c r="CG256" i="1"/>
  <c r="CF256" i="1"/>
  <c r="CE256" i="1"/>
  <c r="CD256" i="1"/>
  <c r="CC256" i="1"/>
  <c r="BV256" i="1"/>
  <c r="BO256" i="1"/>
  <c r="BH256" i="1"/>
  <c r="BA256" i="1"/>
  <c r="AT256" i="1"/>
  <c r="AM256" i="1"/>
  <c r="CV255" i="1"/>
  <c r="CU255" i="1"/>
  <c r="CT255" i="1"/>
  <c r="CS255" i="1"/>
  <c r="CR255" i="1"/>
  <c r="CQ255" i="1"/>
  <c r="CO255" i="1"/>
  <c r="CN255" i="1"/>
  <c r="CM255" i="1"/>
  <c r="CL255" i="1"/>
  <c r="CK255" i="1"/>
  <c r="CJ255" i="1"/>
  <c r="CH255" i="1"/>
  <c r="CG255" i="1"/>
  <c r="CF255" i="1"/>
  <c r="CE255" i="1"/>
  <c r="CD255" i="1"/>
  <c r="CC255" i="1"/>
  <c r="BV255" i="1"/>
  <c r="BO255" i="1"/>
  <c r="BH255" i="1"/>
  <c r="BA255" i="1"/>
  <c r="AT255" i="1"/>
  <c r="AM255" i="1"/>
  <c r="CV254" i="1"/>
  <c r="CU254" i="1"/>
  <c r="CT254" i="1"/>
  <c r="CS254" i="1"/>
  <c r="CR254" i="1"/>
  <c r="CQ254" i="1"/>
  <c r="CO254" i="1"/>
  <c r="CN254" i="1"/>
  <c r="CM254" i="1"/>
  <c r="CL254" i="1"/>
  <c r="CK254" i="1"/>
  <c r="CJ254" i="1"/>
  <c r="CH254" i="1"/>
  <c r="CG254" i="1"/>
  <c r="CF254" i="1"/>
  <c r="CE254" i="1"/>
  <c r="CD254" i="1"/>
  <c r="CC254" i="1"/>
  <c r="BV254" i="1"/>
  <c r="BO254" i="1"/>
  <c r="BH254" i="1"/>
  <c r="BA254" i="1"/>
  <c r="AT254" i="1"/>
  <c r="AM254" i="1"/>
  <c r="CV253" i="1"/>
  <c r="CU253" i="1"/>
  <c r="CT253" i="1"/>
  <c r="CS253" i="1"/>
  <c r="CR253" i="1"/>
  <c r="CQ253" i="1"/>
  <c r="CO253" i="1"/>
  <c r="CN253" i="1"/>
  <c r="CM253" i="1"/>
  <c r="CL253" i="1"/>
  <c r="CK253" i="1"/>
  <c r="CJ253" i="1"/>
  <c r="CH253" i="1"/>
  <c r="CG253" i="1"/>
  <c r="CF253" i="1"/>
  <c r="CE253" i="1"/>
  <c r="CD253" i="1"/>
  <c r="CC253" i="1"/>
  <c r="BV253" i="1"/>
  <c r="BO253" i="1"/>
  <c r="BH253" i="1"/>
  <c r="BA253" i="1"/>
  <c r="AT253" i="1"/>
  <c r="AM253" i="1"/>
  <c r="CV252" i="1"/>
  <c r="CU252" i="1"/>
  <c r="CT252" i="1"/>
  <c r="CS252" i="1"/>
  <c r="CR252" i="1"/>
  <c r="CQ252" i="1"/>
  <c r="CO252" i="1"/>
  <c r="CN252" i="1"/>
  <c r="CM252" i="1"/>
  <c r="CL252" i="1"/>
  <c r="CK252" i="1"/>
  <c r="CJ252" i="1"/>
  <c r="CH252" i="1"/>
  <c r="CG252" i="1"/>
  <c r="CF252" i="1"/>
  <c r="CE252" i="1"/>
  <c r="CD252" i="1"/>
  <c r="CC252" i="1"/>
  <c r="BV252" i="1"/>
  <c r="BO252" i="1"/>
  <c r="BH252" i="1"/>
  <c r="BA252" i="1"/>
  <c r="AT252" i="1"/>
  <c r="AM252" i="1"/>
  <c r="CV251" i="1"/>
  <c r="CU251" i="1"/>
  <c r="CT251" i="1"/>
  <c r="CS251" i="1"/>
  <c r="CR251" i="1"/>
  <c r="CQ251" i="1"/>
  <c r="CO251" i="1"/>
  <c r="CN251" i="1"/>
  <c r="CM251" i="1"/>
  <c r="CL251" i="1"/>
  <c r="CK251" i="1"/>
  <c r="CJ251" i="1"/>
  <c r="CH251" i="1"/>
  <c r="CG251" i="1"/>
  <c r="CF251" i="1"/>
  <c r="CE251" i="1"/>
  <c r="CD251" i="1"/>
  <c r="CC251" i="1"/>
  <c r="BV251" i="1"/>
  <c r="BO251" i="1"/>
  <c r="BH251" i="1"/>
  <c r="BA251" i="1"/>
  <c r="AT251" i="1"/>
  <c r="AM251" i="1"/>
  <c r="CV250" i="1"/>
  <c r="CU250" i="1"/>
  <c r="CT250" i="1"/>
  <c r="CS250" i="1"/>
  <c r="CR250" i="1"/>
  <c r="CQ250" i="1"/>
  <c r="CO250" i="1"/>
  <c r="CN250" i="1"/>
  <c r="CM250" i="1"/>
  <c r="CL250" i="1"/>
  <c r="CK250" i="1"/>
  <c r="CJ250" i="1"/>
  <c r="CH250" i="1"/>
  <c r="CG250" i="1"/>
  <c r="CF250" i="1"/>
  <c r="CE250" i="1"/>
  <c r="CD250" i="1"/>
  <c r="CC250" i="1"/>
  <c r="BV250" i="1"/>
  <c r="BO250" i="1"/>
  <c r="BH250" i="1"/>
  <c r="BA250" i="1"/>
  <c r="AT250" i="1"/>
  <c r="AM250" i="1"/>
  <c r="CV249" i="1"/>
  <c r="CU249" i="1"/>
  <c r="CT249" i="1"/>
  <c r="CS249" i="1"/>
  <c r="CR249" i="1"/>
  <c r="CQ249" i="1"/>
  <c r="CO249" i="1"/>
  <c r="CN249" i="1"/>
  <c r="CM249" i="1"/>
  <c r="CL249" i="1"/>
  <c r="CK249" i="1"/>
  <c r="CJ249" i="1"/>
  <c r="CH249" i="1"/>
  <c r="CG249" i="1"/>
  <c r="CF249" i="1"/>
  <c r="CE249" i="1"/>
  <c r="CD249" i="1"/>
  <c r="CC249" i="1"/>
  <c r="BV249" i="1"/>
  <c r="BO249" i="1"/>
  <c r="BH249" i="1"/>
  <c r="BA249" i="1"/>
  <c r="AT249" i="1"/>
  <c r="AM249" i="1"/>
  <c r="CV248" i="1"/>
  <c r="CU248" i="1"/>
  <c r="CT248" i="1"/>
  <c r="CS248" i="1"/>
  <c r="CR248" i="1"/>
  <c r="CQ248" i="1"/>
  <c r="CO248" i="1"/>
  <c r="CN248" i="1"/>
  <c r="CM248" i="1"/>
  <c r="CL248" i="1"/>
  <c r="CK248" i="1"/>
  <c r="CJ248" i="1"/>
  <c r="CH248" i="1"/>
  <c r="CG248" i="1"/>
  <c r="CF248" i="1"/>
  <c r="CE248" i="1"/>
  <c r="CD248" i="1"/>
  <c r="CC248" i="1"/>
  <c r="BV248" i="1"/>
  <c r="BO248" i="1"/>
  <c r="BH248" i="1"/>
  <c r="BA248" i="1"/>
  <c r="AT248" i="1"/>
  <c r="AM248" i="1"/>
  <c r="CV247" i="1"/>
  <c r="CU247" i="1"/>
  <c r="CT247" i="1"/>
  <c r="CS247" i="1"/>
  <c r="CR247" i="1"/>
  <c r="CQ247" i="1"/>
  <c r="CO247" i="1"/>
  <c r="CN247" i="1"/>
  <c r="CM247" i="1"/>
  <c r="CL247" i="1"/>
  <c r="CK247" i="1"/>
  <c r="CJ247" i="1"/>
  <c r="CH247" i="1"/>
  <c r="CG247" i="1"/>
  <c r="CF247" i="1"/>
  <c r="CE247" i="1"/>
  <c r="CD247" i="1"/>
  <c r="CC247" i="1"/>
  <c r="BV247" i="1"/>
  <c r="BO247" i="1"/>
  <c r="BH247" i="1"/>
  <c r="BA247" i="1"/>
  <c r="AT247" i="1"/>
  <c r="AM247" i="1"/>
  <c r="CV246" i="1"/>
  <c r="CU246" i="1"/>
  <c r="CT246" i="1"/>
  <c r="CS246" i="1"/>
  <c r="CR246" i="1"/>
  <c r="CQ246" i="1"/>
  <c r="CO246" i="1"/>
  <c r="CN246" i="1"/>
  <c r="CM246" i="1"/>
  <c r="CL246" i="1"/>
  <c r="CK246" i="1"/>
  <c r="CJ246" i="1"/>
  <c r="CH246" i="1"/>
  <c r="CG246" i="1"/>
  <c r="CF246" i="1"/>
  <c r="CE246" i="1"/>
  <c r="CD246" i="1"/>
  <c r="CC246" i="1"/>
  <c r="BV246" i="1"/>
  <c r="BO246" i="1"/>
  <c r="BH246" i="1"/>
  <c r="BA246" i="1"/>
  <c r="AT246" i="1"/>
  <c r="AM246" i="1"/>
  <c r="CV245" i="1"/>
  <c r="CU245" i="1"/>
  <c r="CT245" i="1"/>
  <c r="CS245" i="1"/>
  <c r="CR245" i="1"/>
  <c r="CQ245" i="1"/>
  <c r="CO245" i="1"/>
  <c r="CN245" i="1"/>
  <c r="CM245" i="1"/>
  <c r="CL245" i="1"/>
  <c r="CK245" i="1"/>
  <c r="CJ245" i="1"/>
  <c r="CH245" i="1"/>
  <c r="CG245" i="1"/>
  <c r="CF245" i="1"/>
  <c r="CE245" i="1"/>
  <c r="CD245" i="1"/>
  <c r="CC245" i="1"/>
  <c r="BV245" i="1"/>
  <c r="BO245" i="1"/>
  <c r="BH245" i="1"/>
  <c r="BA245" i="1"/>
  <c r="AT245" i="1"/>
  <c r="AM245" i="1"/>
  <c r="CV244" i="1"/>
  <c r="CU244" i="1"/>
  <c r="CT244" i="1"/>
  <c r="CS244" i="1"/>
  <c r="CR244" i="1"/>
  <c r="CQ244" i="1"/>
  <c r="CO244" i="1"/>
  <c r="CN244" i="1"/>
  <c r="CM244" i="1"/>
  <c r="CL244" i="1"/>
  <c r="CK244" i="1"/>
  <c r="CJ244" i="1"/>
  <c r="CH244" i="1"/>
  <c r="CG244" i="1"/>
  <c r="CF244" i="1"/>
  <c r="CE244" i="1"/>
  <c r="CD244" i="1"/>
  <c r="CC244" i="1"/>
  <c r="BV244" i="1"/>
  <c r="BO244" i="1"/>
  <c r="BH244" i="1"/>
  <c r="BA244" i="1"/>
  <c r="AT244" i="1"/>
  <c r="AM244" i="1"/>
  <c r="FP243" i="1"/>
  <c r="FO243" i="1"/>
  <c r="CV243" i="1"/>
  <c r="CU243" i="1"/>
  <c r="CT243" i="1"/>
  <c r="CS243" i="1"/>
  <c r="CR243" i="1"/>
  <c r="CQ243" i="1"/>
  <c r="CO243" i="1"/>
  <c r="CN243" i="1"/>
  <c r="CM243" i="1"/>
  <c r="AI243" i="1" s="1"/>
  <c r="CL243" i="1"/>
  <c r="CK243" i="1"/>
  <c r="CJ243" i="1"/>
  <c r="CH243" i="1"/>
  <c r="CG243" i="1"/>
  <c r="CF243" i="1"/>
  <c r="CE243" i="1"/>
  <c r="CD243" i="1"/>
  <c r="AH243" i="1" s="1"/>
  <c r="CC243" i="1"/>
  <c r="AJ243" i="1"/>
  <c r="AF243" i="1"/>
  <c r="AD243" i="1"/>
  <c r="Z243" i="1"/>
  <c r="T243" i="1"/>
  <c r="P243" i="1"/>
  <c r="Q243" i="1" s="1"/>
  <c r="O243" i="1"/>
  <c r="FN243" i="1" s="1"/>
  <c r="U243" i="1" s="1"/>
  <c r="M243" i="1"/>
  <c r="FP242" i="1"/>
  <c r="FO242" i="1"/>
  <c r="FN242" i="1"/>
  <c r="U242" i="1" s="1"/>
  <c r="CV242" i="1"/>
  <c r="CU242" i="1"/>
  <c r="CT242" i="1"/>
  <c r="CS242" i="1"/>
  <c r="AJ242" i="1" s="1"/>
  <c r="CR242" i="1"/>
  <c r="CQ242" i="1"/>
  <c r="CO242" i="1"/>
  <c r="CN242" i="1"/>
  <c r="CM242" i="1"/>
  <c r="CL242" i="1"/>
  <c r="CK242" i="1"/>
  <c r="CJ242" i="1"/>
  <c r="AI242" i="1" s="1"/>
  <c r="CH242" i="1"/>
  <c r="CG242" i="1"/>
  <c r="CF242" i="1"/>
  <c r="CE242" i="1"/>
  <c r="CD242" i="1"/>
  <c r="CC242" i="1"/>
  <c r="AF242" i="1"/>
  <c r="AD242" i="1"/>
  <c r="Z242" i="1"/>
  <c r="T242" i="1"/>
  <c r="P242" i="1"/>
  <c r="Q242" i="1" s="1"/>
  <c r="O242" i="1"/>
  <c r="M242" i="1"/>
  <c r="FP241" i="1"/>
  <c r="FO241" i="1"/>
  <c r="CV241" i="1"/>
  <c r="CU241" i="1"/>
  <c r="CT241" i="1"/>
  <c r="CS241" i="1"/>
  <c r="AJ241" i="1" s="1"/>
  <c r="CR241" i="1"/>
  <c r="CQ241" i="1"/>
  <c r="CO241" i="1"/>
  <c r="CN241" i="1"/>
  <c r="CM241" i="1"/>
  <c r="CL241" i="1"/>
  <c r="CK241" i="1"/>
  <c r="CJ241" i="1"/>
  <c r="AI241" i="1" s="1"/>
  <c r="CH241" i="1"/>
  <c r="CG241" i="1"/>
  <c r="CF241" i="1"/>
  <c r="CE241" i="1"/>
  <c r="CD241" i="1"/>
  <c r="CC241" i="1"/>
  <c r="AH241" i="1"/>
  <c r="AF241" i="1"/>
  <c r="AD241" i="1"/>
  <c r="Z241" i="1"/>
  <c r="T241" i="1"/>
  <c r="Q241" i="1"/>
  <c r="P241" i="1"/>
  <c r="AG241" i="1" s="1"/>
  <c r="M241" i="1"/>
  <c r="O241" i="1" s="1"/>
  <c r="FN241" i="1" s="1"/>
  <c r="U241" i="1" s="1"/>
  <c r="FP240" i="1"/>
  <c r="FO240" i="1"/>
  <c r="CV240" i="1"/>
  <c r="CU240" i="1"/>
  <c r="CT240" i="1"/>
  <c r="CS240" i="1"/>
  <c r="CR240" i="1"/>
  <c r="CQ240" i="1"/>
  <c r="AJ240" i="1" s="1"/>
  <c r="CO240" i="1"/>
  <c r="CN240" i="1"/>
  <c r="CM240" i="1"/>
  <c r="CL240" i="1"/>
  <c r="AI240" i="1" s="1"/>
  <c r="CK240" i="1"/>
  <c r="CJ240" i="1"/>
  <c r="CH240" i="1"/>
  <c r="CG240" i="1"/>
  <c r="CF240" i="1"/>
  <c r="CE240" i="1"/>
  <c r="CD240" i="1"/>
  <c r="CC240" i="1"/>
  <c r="AH240" i="1" s="1"/>
  <c r="AF240" i="1"/>
  <c r="AD240" i="1"/>
  <c r="Z240" i="1"/>
  <c r="T240" i="1"/>
  <c r="Q240" i="1"/>
  <c r="P240" i="1"/>
  <c r="AG240" i="1" s="1"/>
  <c r="M240" i="1"/>
  <c r="O240" i="1" s="1"/>
  <c r="FN240" i="1" s="1"/>
  <c r="U240" i="1" s="1"/>
  <c r="FP239" i="1"/>
  <c r="FO239" i="1"/>
  <c r="CV239" i="1"/>
  <c r="CU239" i="1"/>
  <c r="CT239" i="1"/>
  <c r="CS239" i="1"/>
  <c r="CR239" i="1"/>
  <c r="AJ239" i="1" s="1"/>
  <c r="CQ239" i="1"/>
  <c r="CO239" i="1"/>
  <c r="CN239" i="1"/>
  <c r="CM239" i="1"/>
  <c r="AI239" i="1" s="1"/>
  <c r="CL239" i="1"/>
  <c r="CK239" i="1"/>
  <c r="CJ239" i="1"/>
  <c r="CH239" i="1"/>
  <c r="CG239" i="1"/>
  <c r="CF239" i="1"/>
  <c r="CE239" i="1"/>
  <c r="CD239" i="1"/>
  <c r="CC239" i="1"/>
  <c r="AF239" i="1"/>
  <c r="AD239" i="1"/>
  <c r="Z239" i="1"/>
  <c r="U239" i="1"/>
  <c r="T239" i="1"/>
  <c r="P239" i="1"/>
  <c r="Q239" i="1" s="1"/>
  <c r="O239" i="1"/>
  <c r="FN239" i="1" s="1"/>
  <c r="M239" i="1"/>
  <c r="FP238" i="1"/>
  <c r="FO238" i="1"/>
  <c r="FN238" i="1"/>
  <c r="U238" i="1" s="1"/>
  <c r="CV238" i="1"/>
  <c r="CU238" i="1"/>
  <c r="CT238" i="1"/>
  <c r="CS238" i="1"/>
  <c r="AJ238" i="1" s="1"/>
  <c r="CR238" i="1"/>
  <c r="CQ238" i="1"/>
  <c r="CO238" i="1"/>
  <c r="CN238" i="1"/>
  <c r="CM238" i="1"/>
  <c r="CL238" i="1"/>
  <c r="CK238" i="1"/>
  <c r="CJ238" i="1"/>
  <c r="AI238" i="1" s="1"/>
  <c r="CH238" i="1"/>
  <c r="CG238" i="1"/>
  <c r="CF238" i="1"/>
  <c r="CE238" i="1"/>
  <c r="CD238" i="1"/>
  <c r="AH238" i="1" s="1"/>
  <c r="CC238" i="1"/>
  <c r="AG238" i="1"/>
  <c r="AF238" i="1"/>
  <c r="AD238" i="1"/>
  <c r="Z238" i="1"/>
  <c r="T238" i="1"/>
  <c r="P238" i="1"/>
  <c r="Q238" i="1" s="1"/>
  <c r="O238" i="1"/>
  <c r="M238" i="1"/>
  <c r="FP237" i="1"/>
  <c r="FO237" i="1"/>
  <c r="CV237" i="1"/>
  <c r="CU237" i="1"/>
  <c r="CT237" i="1"/>
  <c r="CS237" i="1"/>
  <c r="AJ237" i="1" s="1"/>
  <c r="CR237" i="1"/>
  <c r="CQ237" i="1"/>
  <c r="CO237" i="1"/>
  <c r="CN237" i="1"/>
  <c r="CM237" i="1"/>
  <c r="CL237" i="1"/>
  <c r="CK237" i="1"/>
  <c r="CJ237" i="1"/>
  <c r="AI237" i="1" s="1"/>
  <c r="CH237" i="1"/>
  <c r="CG237" i="1"/>
  <c r="CF237" i="1"/>
  <c r="CE237" i="1"/>
  <c r="CD237" i="1"/>
  <c r="CC237" i="1"/>
  <c r="AH237" i="1"/>
  <c r="AF237" i="1"/>
  <c r="AD237" i="1"/>
  <c r="Z237" i="1"/>
  <c r="T237" i="1"/>
  <c r="Q237" i="1"/>
  <c r="P237" i="1"/>
  <c r="AG237" i="1" s="1"/>
  <c r="M237" i="1"/>
  <c r="O237" i="1" s="1"/>
  <c r="FN237" i="1" s="1"/>
  <c r="U237" i="1" s="1"/>
  <c r="FP236" i="1"/>
  <c r="FO236" i="1"/>
  <c r="CV236" i="1"/>
  <c r="CU236" i="1"/>
  <c r="CT236" i="1"/>
  <c r="CS236" i="1"/>
  <c r="CR236" i="1"/>
  <c r="CQ236" i="1"/>
  <c r="AJ236" i="1" s="1"/>
  <c r="CO236" i="1"/>
  <c r="CN236" i="1"/>
  <c r="CM236" i="1"/>
  <c r="CL236" i="1"/>
  <c r="AI236" i="1" s="1"/>
  <c r="CK236" i="1"/>
  <c r="CJ236" i="1"/>
  <c r="CH236" i="1"/>
  <c r="CG236" i="1"/>
  <c r="CF236" i="1"/>
  <c r="CE236" i="1"/>
  <c r="CD236" i="1"/>
  <c r="CC236" i="1"/>
  <c r="AH236" i="1" s="1"/>
  <c r="AF236" i="1"/>
  <c r="AD236" i="1"/>
  <c r="Z236" i="1"/>
  <c r="T236" i="1"/>
  <c r="Q236" i="1"/>
  <c r="P236" i="1"/>
  <c r="AG236" i="1" s="1"/>
  <c r="M236" i="1"/>
  <c r="O236" i="1" s="1"/>
  <c r="FN236" i="1" s="1"/>
  <c r="U236" i="1" s="1"/>
  <c r="FP235" i="1"/>
  <c r="FO235" i="1"/>
  <c r="CV235" i="1"/>
  <c r="CU235" i="1"/>
  <c r="CT235" i="1"/>
  <c r="CS235" i="1"/>
  <c r="CR235" i="1"/>
  <c r="CQ235" i="1"/>
  <c r="CO235" i="1"/>
  <c r="CN235" i="1"/>
  <c r="CM235" i="1"/>
  <c r="AI235" i="1" s="1"/>
  <c r="CL235" i="1"/>
  <c r="CK235" i="1"/>
  <c r="CJ235" i="1"/>
  <c r="CH235" i="1"/>
  <c r="CG235" i="1"/>
  <c r="CF235" i="1"/>
  <c r="CE235" i="1"/>
  <c r="CD235" i="1"/>
  <c r="CC235" i="1"/>
  <c r="AH235" i="1" s="1"/>
  <c r="AJ235" i="1"/>
  <c r="AF235" i="1"/>
  <c r="AD235" i="1"/>
  <c r="Z235" i="1"/>
  <c r="T235" i="1"/>
  <c r="P235" i="1"/>
  <c r="Q235" i="1" s="1"/>
  <c r="O235" i="1"/>
  <c r="FN235" i="1" s="1"/>
  <c r="U235" i="1" s="1"/>
  <c r="M235" i="1"/>
  <c r="FP234" i="1"/>
  <c r="FO234" i="1"/>
  <c r="FN234" i="1"/>
  <c r="U234" i="1" s="1"/>
  <c r="CV234" i="1"/>
  <c r="CU234" i="1"/>
  <c r="CT234" i="1"/>
  <c r="CS234" i="1"/>
  <c r="AJ234" i="1" s="1"/>
  <c r="CR234" i="1"/>
  <c r="CQ234" i="1"/>
  <c r="CO234" i="1"/>
  <c r="CN234" i="1"/>
  <c r="CM234" i="1"/>
  <c r="CL234" i="1"/>
  <c r="CK234" i="1"/>
  <c r="CJ234" i="1"/>
  <c r="AI234" i="1" s="1"/>
  <c r="CH234" i="1"/>
  <c r="CG234" i="1"/>
  <c r="CF234" i="1"/>
  <c r="CE234" i="1"/>
  <c r="CD234" i="1"/>
  <c r="CC234" i="1"/>
  <c r="AF234" i="1"/>
  <c r="AD234" i="1"/>
  <c r="Z234" i="1"/>
  <c r="T234" i="1"/>
  <c r="P234" i="1"/>
  <c r="O234" i="1"/>
  <c r="M234" i="1"/>
  <c r="FP233" i="1"/>
  <c r="FO233" i="1"/>
  <c r="FN233" i="1"/>
  <c r="U233" i="1" s="1"/>
  <c r="CV233" i="1"/>
  <c r="CU233" i="1"/>
  <c r="CT233" i="1"/>
  <c r="CS233" i="1"/>
  <c r="CR233" i="1"/>
  <c r="CQ233" i="1"/>
  <c r="CO233" i="1"/>
  <c r="CN233" i="1"/>
  <c r="CM233" i="1"/>
  <c r="CL233" i="1"/>
  <c r="CK233" i="1"/>
  <c r="CJ233" i="1"/>
  <c r="CH233" i="1"/>
  <c r="CG233" i="1"/>
  <c r="CF233" i="1"/>
  <c r="AH233" i="1" s="1"/>
  <c r="CE233" i="1"/>
  <c r="CD233" i="1"/>
  <c r="CC233" i="1"/>
  <c r="BV233" i="1"/>
  <c r="AF233" i="1"/>
  <c r="AD233" i="1"/>
  <c r="Z233" i="1"/>
  <c r="T233" i="1"/>
  <c r="Q233" i="1"/>
  <c r="P233" i="1"/>
  <c r="AG233" i="1" s="1"/>
  <c r="O233" i="1"/>
  <c r="M233" i="1"/>
  <c r="FP232" i="1"/>
  <c r="FO232" i="1"/>
  <c r="CV232" i="1"/>
  <c r="CU232" i="1"/>
  <c r="CT232" i="1"/>
  <c r="CS232" i="1"/>
  <c r="CR232" i="1"/>
  <c r="CQ232" i="1"/>
  <c r="AJ232" i="1" s="1"/>
  <c r="CO232" i="1"/>
  <c r="CN232" i="1"/>
  <c r="CM232" i="1"/>
  <c r="CL232" i="1"/>
  <c r="AI232" i="1" s="1"/>
  <c r="CK232" i="1"/>
  <c r="CJ232" i="1"/>
  <c r="CH232" i="1"/>
  <c r="CG232" i="1"/>
  <c r="CF232" i="1"/>
  <c r="CE232" i="1"/>
  <c r="CD232" i="1"/>
  <c r="CC232" i="1"/>
  <c r="AH232" i="1" s="1"/>
  <c r="BA232" i="1"/>
  <c r="AF232" i="1"/>
  <c r="AD232" i="1"/>
  <c r="Z232" i="1"/>
  <c r="T232" i="1"/>
  <c r="Q232" i="1"/>
  <c r="P232" i="1"/>
  <c r="AG232" i="1" s="1"/>
  <c r="M232" i="1"/>
  <c r="O232" i="1" s="1"/>
  <c r="FN232" i="1" s="1"/>
  <c r="U232" i="1" s="1"/>
  <c r="FP231" i="1"/>
  <c r="FO231" i="1"/>
  <c r="CV231" i="1"/>
  <c r="CU231" i="1"/>
  <c r="CT231" i="1"/>
  <c r="CS231" i="1"/>
  <c r="CR231" i="1"/>
  <c r="AJ231" i="1" s="1"/>
  <c r="CQ231" i="1"/>
  <c r="CO231" i="1"/>
  <c r="CN231" i="1"/>
  <c r="CM231" i="1"/>
  <c r="AI231" i="1" s="1"/>
  <c r="CL231" i="1"/>
  <c r="CK231" i="1"/>
  <c r="CJ231" i="1"/>
  <c r="CH231" i="1"/>
  <c r="CG231" i="1"/>
  <c r="CF231" i="1"/>
  <c r="CE231" i="1"/>
  <c r="CD231" i="1"/>
  <c r="CC231" i="1"/>
  <c r="AF231" i="1"/>
  <c r="AD231" i="1"/>
  <c r="Z231" i="1"/>
  <c r="U231" i="1"/>
  <c r="T231" i="1"/>
  <c r="P231" i="1"/>
  <c r="Q231" i="1" s="1"/>
  <c r="O231" i="1"/>
  <c r="FN231" i="1" s="1"/>
  <c r="M231" i="1"/>
  <c r="FP230" i="1"/>
  <c r="FO230" i="1"/>
  <c r="FN230" i="1"/>
  <c r="U230" i="1" s="1"/>
  <c r="CV230" i="1"/>
  <c r="CU230" i="1"/>
  <c r="CT230" i="1"/>
  <c r="CS230" i="1"/>
  <c r="AJ230" i="1" s="1"/>
  <c r="CR230" i="1"/>
  <c r="CQ230" i="1"/>
  <c r="CO230" i="1"/>
  <c r="CN230" i="1"/>
  <c r="CM230" i="1"/>
  <c r="CL230" i="1"/>
  <c r="CK230" i="1"/>
  <c r="CJ230" i="1"/>
  <c r="AI230" i="1" s="1"/>
  <c r="CH230" i="1"/>
  <c r="CG230" i="1"/>
  <c r="CF230" i="1"/>
  <c r="CE230" i="1"/>
  <c r="CD230" i="1"/>
  <c r="AH230" i="1" s="1"/>
  <c r="CC230" i="1"/>
  <c r="AG230" i="1"/>
  <c r="AF230" i="1"/>
  <c r="AD230" i="1"/>
  <c r="Z230" i="1"/>
  <c r="T230" i="1"/>
  <c r="P230" i="1"/>
  <c r="Q230" i="1" s="1"/>
  <c r="O230" i="1"/>
  <c r="M230" i="1"/>
  <c r="FP229" i="1"/>
  <c r="FO229" i="1"/>
  <c r="CV229" i="1"/>
  <c r="CU229" i="1"/>
  <c r="CT229" i="1"/>
  <c r="CS229" i="1"/>
  <c r="CR229" i="1"/>
  <c r="CQ229" i="1"/>
  <c r="CO229" i="1"/>
  <c r="CN229" i="1"/>
  <c r="CM229" i="1"/>
  <c r="CL229" i="1"/>
  <c r="CK229" i="1"/>
  <c r="CJ229" i="1"/>
  <c r="AI229" i="1" s="1"/>
  <c r="CH229" i="1"/>
  <c r="CG229" i="1"/>
  <c r="CF229" i="1"/>
  <c r="CE229" i="1"/>
  <c r="CD229" i="1"/>
  <c r="CC229" i="1"/>
  <c r="AH229" i="1"/>
  <c r="AF229" i="1"/>
  <c r="AD229" i="1"/>
  <c r="Z229" i="1"/>
  <c r="T229" i="1"/>
  <c r="Q229" i="1"/>
  <c r="P229" i="1"/>
  <c r="AG229" i="1" s="1"/>
  <c r="M229" i="1"/>
  <c r="O229" i="1" s="1"/>
  <c r="FN229" i="1" s="1"/>
  <c r="U229" i="1" s="1"/>
  <c r="FP228" i="1"/>
  <c r="FO228" i="1"/>
  <c r="CV228" i="1"/>
  <c r="CU228" i="1"/>
  <c r="CT228" i="1"/>
  <c r="CS228" i="1"/>
  <c r="CR228" i="1"/>
  <c r="CQ228" i="1"/>
  <c r="AJ228" i="1" s="1"/>
  <c r="CO228" i="1"/>
  <c r="CN228" i="1"/>
  <c r="CM228" i="1"/>
  <c r="CL228" i="1"/>
  <c r="AI228" i="1" s="1"/>
  <c r="CK228" i="1"/>
  <c r="CJ228" i="1"/>
  <c r="CH228" i="1"/>
  <c r="CG228" i="1"/>
  <c r="CF228" i="1"/>
  <c r="CE228" i="1"/>
  <c r="CD228" i="1"/>
  <c r="CC228" i="1"/>
  <c r="AH228" i="1" s="1"/>
  <c r="AF228" i="1"/>
  <c r="AD228" i="1"/>
  <c r="Z228" i="1"/>
  <c r="T228" i="1"/>
  <c r="Q228" i="1"/>
  <c r="P228" i="1"/>
  <c r="AG228" i="1" s="1"/>
  <c r="M228" i="1"/>
  <c r="O228" i="1" s="1"/>
  <c r="FN228" i="1" s="1"/>
  <c r="U228" i="1" s="1"/>
  <c r="FP227" i="1"/>
  <c r="FO227" i="1"/>
  <c r="CV227" i="1"/>
  <c r="CU227" i="1"/>
  <c r="CT227" i="1"/>
  <c r="CS227" i="1"/>
  <c r="CR227" i="1"/>
  <c r="CQ227" i="1"/>
  <c r="CO227" i="1"/>
  <c r="CN227" i="1"/>
  <c r="CM227" i="1"/>
  <c r="AI227" i="1" s="1"/>
  <c r="CL227" i="1"/>
  <c r="CK227" i="1"/>
  <c r="CJ227" i="1"/>
  <c r="CH227" i="1"/>
  <c r="CG227" i="1"/>
  <c r="CF227" i="1"/>
  <c r="CE227" i="1"/>
  <c r="CD227" i="1"/>
  <c r="CC227" i="1"/>
  <c r="AH227" i="1" s="1"/>
  <c r="AJ227" i="1"/>
  <c r="AF227" i="1"/>
  <c r="AD227" i="1"/>
  <c r="Z227" i="1"/>
  <c r="T227" i="1"/>
  <c r="P227" i="1"/>
  <c r="Q227" i="1" s="1"/>
  <c r="O227" i="1"/>
  <c r="FN227" i="1" s="1"/>
  <c r="U227" i="1" s="1"/>
  <c r="M227" i="1"/>
  <c r="FP226" i="1"/>
  <c r="FO226" i="1"/>
  <c r="FN226" i="1"/>
  <c r="U226" i="1" s="1"/>
  <c r="CV226" i="1"/>
  <c r="CU226" i="1"/>
  <c r="CT226" i="1"/>
  <c r="CS226" i="1"/>
  <c r="AJ226" i="1" s="1"/>
  <c r="CR226" i="1"/>
  <c r="CQ226" i="1"/>
  <c r="CO226" i="1"/>
  <c r="CN226" i="1"/>
  <c r="CM226" i="1"/>
  <c r="CL226" i="1"/>
  <c r="CK226" i="1"/>
  <c r="CJ226" i="1"/>
  <c r="AI226" i="1" s="1"/>
  <c r="CH226" i="1"/>
  <c r="CG226" i="1"/>
  <c r="CF226" i="1"/>
  <c r="CE226" i="1"/>
  <c r="AH226" i="1" s="1"/>
  <c r="CD226" i="1"/>
  <c r="CC226" i="1"/>
  <c r="AF226" i="1"/>
  <c r="AD226" i="1"/>
  <c r="Z226" i="1"/>
  <c r="T226" i="1"/>
  <c r="P226" i="1"/>
  <c r="M226" i="1"/>
  <c r="O226" i="1" s="1"/>
  <c r="FP225" i="1"/>
  <c r="FO225" i="1"/>
  <c r="CV225" i="1"/>
  <c r="CU225" i="1"/>
  <c r="CT225" i="1"/>
  <c r="CS225" i="1"/>
  <c r="CR225" i="1"/>
  <c r="CQ225" i="1"/>
  <c r="CO225" i="1"/>
  <c r="CN225" i="1"/>
  <c r="CM225" i="1"/>
  <c r="CL225" i="1"/>
  <c r="CK225" i="1"/>
  <c r="AI225" i="1" s="1"/>
  <c r="CJ225" i="1"/>
  <c r="CH225" i="1"/>
  <c r="CG225" i="1"/>
  <c r="CF225" i="1"/>
  <c r="AH225" i="1" s="1"/>
  <c r="CE225" i="1"/>
  <c r="CD225" i="1"/>
  <c r="CC225" i="1"/>
  <c r="BV225" i="1"/>
  <c r="AF225" i="1"/>
  <c r="AD225" i="1"/>
  <c r="Z225" i="1"/>
  <c r="T225" i="1"/>
  <c r="Q225" i="1"/>
  <c r="P225" i="1"/>
  <c r="AG225" i="1" s="1"/>
  <c r="M225" i="1"/>
  <c r="O225" i="1" s="1"/>
  <c r="FN225" i="1" s="1"/>
  <c r="U225" i="1" s="1"/>
  <c r="FP224" i="1"/>
  <c r="FO224" i="1"/>
  <c r="CV224" i="1"/>
  <c r="CU224" i="1"/>
  <c r="CT224" i="1"/>
  <c r="CS224" i="1"/>
  <c r="CR224" i="1"/>
  <c r="CQ224" i="1"/>
  <c r="AJ224" i="1" s="1"/>
  <c r="CO224" i="1"/>
  <c r="CN224" i="1"/>
  <c r="CM224" i="1"/>
  <c r="CL224" i="1"/>
  <c r="CK224" i="1"/>
  <c r="CJ224" i="1"/>
  <c r="CH224" i="1"/>
  <c r="CG224" i="1"/>
  <c r="CF224" i="1"/>
  <c r="CE224" i="1"/>
  <c r="CD224" i="1"/>
  <c r="CC224" i="1"/>
  <c r="AH224" i="1" s="1"/>
  <c r="AI224" i="1"/>
  <c r="AF224" i="1"/>
  <c r="AD224" i="1"/>
  <c r="Z224" i="1"/>
  <c r="T224" i="1"/>
  <c r="P224" i="1"/>
  <c r="Q224" i="1" s="1"/>
  <c r="M224" i="1"/>
  <c r="O224" i="1" s="1"/>
  <c r="FN224" i="1" s="1"/>
  <c r="U224" i="1" s="1"/>
  <c r="FP223" i="1"/>
  <c r="FO223" i="1"/>
  <c r="CV223" i="1"/>
  <c r="CU223" i="1"/>
  <c r="CT223" i="1"/>
  <c r="CS223" i="1"/>
  <c r="CR223" i="1"/>
  <c r="AJ223" i="1" s="1"/>
  <c r="CQ223" i="1"/>
  <c r="CO223" i="1"/>
  <c r="CN223" i="1"/>
  <c r="CM223" i="1"/>
  <c r="CL223" i="1"/>
  <c r="CK223" i="1"/>
  <c r="CJ223" i="1"/>
  <c r="CH223" i="1"/>
  <c r="CG223" i="1"/>
  <c r="CF223" i="1"/>
  <c r="CE223" i="1"/>
  <c r="CD223" i="1"/>
  <c r="AH223" i="1" s="1"/>
  <c r="CC223" i="1"/>
  <c r="AF223" i="1"/>
  <c r="AD223" i="1"/>
  <c r="Z223" i="1"/>
  <c r="U223" i="1"/>
  <c r="T223" i="1"/>
  <c r="P223" i="1"/>
  <c r="Q223" i="1" s="1"/>
  <c r="O223" i="1"/>
  <c r="FN223" i="1" s="1"/>
  <c r="M223" i="1"/>
  <c r="FP222" i="1"/>
  <c r="FO222" i="1"/>
  <c r="FN222" i="1"/>
  <c r="U222" i="1" s="1"/>
  <c r="CV222" i="1"/>
  <c r="CU222" i="1"/>
  <c r="CT222" i="1"/>
  <c r="CS222" i="1"/>
  <c r="AJ222" i="1" s="1"/>
  <c r="CR222" i="1"/>
  <c r="CQ222" i="1"/>
  <c r="CO222" i="1"/>
  <c r="CN222" i="1"/>
  <c r="CM222" i="1"/>
  <c r="CL222" i="1"/>
  <c r="CK222" i="1"/>
  <c r="CJ222" i="1"/>
  <c r="AI222" i="1" s="1"/>
  <c r="CH222" i="1"/>
  <c r="CG222" i="1"/>
  <c r="CF222" i="1"/>
  <c r="CE222" i="1"/>
  <c r="AH222" i="1" s="1"/>
  <c r="CD222" i="1"/>
  <c r="CC222" i="1"/>
  <c r="BO222" i="1"/>
  <c r="AM222" i="1"/>
  <c r="AG222" i="1"/>
  <c r="AF222" i="1"/>
  <c r="AD222" i="1"/>
  <c r="Z222" i="1"/>
  <c r="T222" i="1"/>
  <c r="Q222" i="1"/>
  <c r="P222" i="1"/>
  <c r="O222" i="1"/>
  <c r="M222" i="1"/>
  <c r="FP221" i="1"/>
  <c r="FO221" i="1"/>
  <c r="CV221" i="1"/>
  <c r="CU221" i="1"/>
  <c r="CT221" i="1"/>
  <c r="CS221" i="1"/>
  <c r="CR221" i="1"/>
  <c r="CQ221" i="1"/>
  <c r="AJ221" i="1" s="1"/>
  <c r="CO221" i="1"/>
  <c r="CN221" i="1"/>
  <c r="CM221" i="1"/>
  <c r="CL221" i="1"/>
  <c r="CK221" i="1"/>
  <c r="CJ221" i="1"/>
  <c r="CH221" i="1"/>
  <c r="CG221" i="1"/>
  <c r="CF221" i="1"/>
  <c r="CE221" i="1"/>
  <c r="CD221" i="1"/>
  <c r="CC221" i="1"/>
  <c r="AH221" i="1" s="1"/>
  <c r="AT221" i="1"/>
  <c r="AI221" i="1"/>
  <c r="AF221" i="1"/>
  <c r="AD221" i="1"/>
  <c r="Z221" i="1"/>
  <c r="T221" i="1"/>
  <c r="Q221" i="1"/>
  <c r="P221" i="1"/>
  <c r="AG221" i="1" s="1"/>
  <c r="BA221" i="1" s="1"/>
  <c r="M221" i="1"/>
  <c r="O221" i="1" s="1"/>
  <c r="FN221" i="1" s="1"/>
  <c r="U221" i="1" s="1"/>
  <c r="FP220" i="1"/>
  <c r="FO220" i="1"/>
  <c r="CV220" i="1"/>
  <c r="CU220" i="1"/>
  <c r="CT220" i="1"/>
  <c r="CS220" i="1"/>
  <c r="CR220" i="1"/>
  <c r="CQ220" i="1"/>
  <c r="CO220" i="1"/>
  <c r="CN220" i="1"/>
  <c r="CM220" i="1"/>
  <c r="AI220" i="1" s="1"/>
  <c r="CL220" i="1"/>
  <c r="CK220" i="1"/>
  <c r="CJ220" i="1"/>
  <c r="CH220" i="1"/>
  <c r="CG220" i="1"/>
  <c r="CF220" i="1"/>
  <c r="CE220" i="1"/>
  <c r="CD220" i="1"/>
  <c r="CC220" i="1"/>
  <c r="AJ220" i="1"/>
  <c r="AF220" i="1"/>
  <c r="AD220" i="1"/>
  <c r="Z220" i="1"/>
  <c r="T220" i="1"/>
  <c r="P220" i="1"/>
  <c r="Q220" i="1" s="1"/>
  <c r="O220" i="1"/>
  <c r="FN220" i="1" s="1"/>
  <c r="U220" i="1" s="1"/>
  <c r="M220" i="1"/>
  <c r="FP219" i="1"/>
  <c r="FO219" i="1"/>
  <c r="FN219" i="1"/>
  <c r="U219" i="1" s="1"/>
  <c r="CV219" i="1"/>
  <c r="CU219" i="1"/>
  <c r="CT219" i="1"/>
  <c r="CS219" i="1"/>
  <c r="CR219" i="1"/>
  <c r="CQ219" i="1"/>
  <c r="CO219" i="1"/>
  <c r="CN219" i="1"/>
  <c r="CM219" i="1"/>
  <c r="CL219" i="1"/>
  <c r="CK219" i="1"/>
  <c r="CJ219" i="1"/>
  <c r="AI219" i="1" s="1"/>
  <c r="CH219" i="1"/>
  <c r="CG219" i="1"/>
  <c r="CF219" i="1"/>
  <c r="CE219" i="1"/>
  <c r="CD219" i="1"/>
  <c r="CC219" i="1"/>
  <c r="AF219" i="1"/>
  <c r="AD219" i="1"/>
  <c r="Z219" i="1"/>
  <c r="T219" i="1"/>
  <c r="P219" i="1"/>
  <c r="O219" i="1"/>
  <c r="M219" i="1"/>
  <c r="FP218" i="1"/>
  <c r="FO218" i="1"/>
  <c r="FN218" i="1"/>
  <c r="U218" i="1" s="1"/>
  <c r="CV218" i="1"/>
  <c r="CU218" i="1"/>
  <c r="CT218" i="1"/>
  <c r="CS218" i="1"/>
  <c r="CR218" i="1"/>
  <c r="CQ218" i="1"/>
  <c r="CO218" i="1"/>
  <c r="CN218" i="1"/>
  <c r="CM218" i="1"/>
  <c r="CL218" i="1"/>
  <c r="CK218" i="1"/>
  <c r="CJ218" i="1"/>
  <c r="CH218" i="1"/>
  <c r="CG218" i="1"/>
  <c r="CF218" i="1"/>
  <c r="AH218" i="1" s="1"/>
  <c r="CE218" i="1"/>
  <c r="CD218" i="1"/>
  <c r="CC218" i="1"/>
  <c r="BV218" i="1"/>
  <c r="AG218" i="1"/>
  <c r="AT218" i="1" s="1"/>
  <c r="AF218" i="1"/>
  <c r="AD218" i="1"/>
  <c r="Z218" i="1"/>
  <c r="T218" i="1"/>
  <c r="Q218" i="1"/>
  <c r="P218" i="1"/>
  <c r="O218" i="1"/>
  <c r="M218" i="1"/>
  <c r="FP217" i="1"/>
  <c r="FO217" i="1"/>
  <c r="CV217" i="1"/>
  <c r="CU217" i="1"/>
  <c r="CT217" i="1"/>
  <c r="CS217" i="1"/>
  <c r="CR217" i="1"/>
  <c r="CQ217" i="1"/>
  <c r="AJ217" i="1" s="1"/>
  <c r="CO217" i="1"/>
  <c r="CN217" i="1"/>
  <c r="CM217" i="1"/>
  <c r="CL217" i="1"/>
  <c r="CK217" i="1"/>
  <c r="CJ217" i="1"/>
  <c r="CH217" i="1"/>
  <c r="CG217" i="1"/>
  <c r="CF217" i="1"/>
  <c r="CE217" i="1"/>
  <c r="CD217" i="1"/>
  <c r="CC217" i="1"/>
  <c r="AH217" i="1" s="1"/>
  <c r="AI217" i="1"/>
  <c r="AF217" i="1"/>
  <c r="AD217" i="1"/>
  <c r="Z217" i="1"/>
  <c r="T217" i="1"/>
  <c r="Q217" i="1"/>
  <c r="P217" i="1"/>
  <c r="AG217" i="1" s="1"/>
  <c r="BA217" i="1" s="1"/>
  <c r="M217" i="1"/>
  <c r="O217" i="1" s="1"/>
  <c r="FN217" i="1" s="1"/>
  <c r="U217" i="1" s="1"/>
  <c r="FP216" i="1"/>
  <c r="FO216" i="1"/>
  <c r="CV216" i="1"/>
  <c r="CU216" i="1"/>
  <c r="CT216" i="1"/>
  <c r="CS216" i="1"/>
  <c r="CR216" i="1"/>
  <c r="CQ216" i="1"/>
  <c r="CO216" i="1"/>
  <c r="CN216" i="1"/>
  <c r="CM216" i="1"/>
  <c r="AI216" i="1" s="1"/>
  <c r="CL216" i="1"/>
  <c r="CK216" i="1"/>
  <c r="CJ216" i="1"/>
  <c r="CH216" i="1"/>
  <c r="CG216" i="1"/>
  <c r="CF216" i="1"/>
  <c r="CE216" i="1"/>
  <c r="CD216" i="1"/>
  <c r="CC216" i="1"/>
  <c r="AJ216" i="1"/>
  <c r="AF216" i="1"/>
  <c r="AD216" i="1"/>
  <c r="Z216" i="1"/>
  <c r="U216" i="1"/>
  <c r="T216" i="1"/>
  <c r="P216" i="1"/>
  <c r="Q216" i="1" s="1"/>
  <c r="M216" i="1"/>
  <c r="O216" i="1" s="1"/>
  <c r="FN216" i="1" s="1"/>
  <c r="FP215" i="1"/>
  <c r="FO215" i="1"/>
  <c r="FN215" i="1"/>
  <c r="CV215" i="1"/>
  <c r="CU215" i="1"/>
  <c r="CT215" i="1"/>
  <c r="CS215" i="1"/>
  <c r="CR215" i="1"/>
  <c r="AJ215" i="1" s="1"/>
  <c r="CQ215" i="1"/>
  <c r="CO215" i="1"/>
  <c r="CN215" i="1"/>
  <c r="CM215" i="1"/>
  <c r="CL215" i="1"/>
  <c r="CK215" i="1"/>
  <c r="CJ215" i="1"/>
  <c r="CH215" i="1"/>
  <c r="CG215" i="1"/>
  <c r="CF215" i="1"/>
  <c r="CE215" i="1"/>
  <c r="CD215" i="1"/>
  <c r="AH215" i="1" s="1"/>
  <c r="CC215" i="1"/>
  <c r="AM215" i="1"/>
  <c r="AG215" i="1"/>
  <c r="BH215" i="1" s="1"/>
  <c r="AF215" i="1"/>
  <c r="AD215" i="1"/>
  <c r="Z215" i="1"/>
  <c r="U215" i="1"/>
  <c r="T215" i="1"/>
  <c r="P215" i="1"/>
  <c r="Q215" i="1" s="1"/>
  <c r="O215" i="1"/>
  <c r="M215" i="1"/>
  <c r="FP214" i="1"/>
  <c r="FO214" i="1"/>
  <c r="FN214" i="1"/>
  <c r="U214" i="1" s="1"/>
  <c r="CV214" i="1"/>
  <c r="CU214" i="1"/>
  <c r="CT214" i="1"/>
  <c r="CS214" i="1"/>
  <c r="AJ214" i="1" s="1"/>
  <c r="CR214" i="1"/>
  <c r="CQ214" i="1"/>
  <c r="CO214" i="1"/>
  <c r="CN214" i="1"/>
  <c r="CM214" i="1"/>
  <c r="CL214" i="1"/>
  <c r="CK214" i="1"/>
  <c r="CJ214" i="1"/>
  <c r="AI214" i="1" s="1"/>
  <c r="CH214" i="1"/>
  <c r="CG214" i="1"/>
  <c r="CF214" i="1"/>
  <c r="CE214" i="1"/>
  <c r="AH214" i="1" s="1"/>
  <c r="CD214" i="1"/>
  <c r="CC214" i="1"/>
  <c r="AG214" i="1"/>
  <c r="AF214" i="1"/>
  <c r="AD214" i="1"/>
  <c r="Z214" i="1"/>
  <c r="T214" i="1"/>
  <c r="Q214" i="1"/>
  <c r="P214" i="1"/>
  <c r="O214" i="1"/>
  <c r="M214" i="1"/>
  <c r="FP213" i="1"/>
  <c r="FO213" i="1"/>
  <c r="CV213" i="1"/>
  <c r="CU213" i="1"/>
  <c r="CT213" i="1"/>
  <c r="CS213" i="1"/>
  <c r="CR213" i="1"/>
  <c r="CQ213" i="1"/>
  <c r="CO213" i="1"/>
  <c r="CN213" i="1"/>
  <c r="CM213" i="1"/>
  <c r="CL213" i="1"/>
  <c r="CK213" i="1"/>
  <c r="AI213" i="1" s="1"/>
  <c r="CJ213" i="1"/>
  <c r="CH213" i="1"/>
  <c r="CG213" i="1"/>
  <c r="CF213" i="1"/>
  <c r="CE213" i="1"/>
  <c r="CD213" i="1"/>
  <c r="CC213" i="1"/>
  <c r="AH213" i="1"/>
  <c r="AF213" i="1"/>
  <c r="AD213" i="1"/>
  <c r="Z213" i="1"/>
  <c r="T213" i="1"/>
  <c r="Q213" i="1"/>
  <c r="P213" i="1"/>
  <c r="AG213" i="1" s="1"/>
  <c r="M213" i="1"/>
  <c r="O213" i="1" s="1"/>
  <c r="FN213" i="1" s="1"/>
  <c r="U213" i="1" s="1"/>
  <c r="FP212" i="1"/>
  <c r="FO212" i="1"/>
  <c r="CV212" i="1"/>
  <c r="CU212" i="1"/>
  <c r="CT212" i="1"/>
  <c r="CS212" i="1"/>
  <c r="CR212" i="1"/>
  <c r="CQ212" i="1"/>
  <c r="AJ212" i="1" s="1"/>
  <c r="CO212" i="1"/>
  <c r="CN212" i="1"/>
  <c r="CM212" i="1"/>
  <c r="CL212" i="1"/>
  <c r="AI212" i="1" s="1"/>
  <c r="CK212" i="1"/>
  <c r="CJ212" i="1"/>
  <c r="CH212" i="1"/>
  <c r="CG212" i="1"/>
  <c r="CF212" i="1"/>
  <c r="CE212" i="1"/>
  <c r="CD212" i="1"/>
  <c r="CC212" i="1"/>
  <c r="AH212" i="1" s="1"/>
  <c r="AF212" i="1"/>
  <c r="AD212" i="1"/>
  <c r="Z212" i="1"/>
  <c r="T212" i="1"/>
  <c r="Q212" i="1"/>
  <c r="P212" i="1"/>
  <c r="AG212" i="1" s="1"/>
  <c r="M212" i="1"/>
  <c r="O212" i="1" s="1"/>
  <c r="FN212" i="1" s="1"/>
  <c r="U212" i="1" s="1"/>
  <c r="FP211" i="1"/>
  <c r="FO211" i="1"/>
  <c r="CV211" i="1"/>
  <c r="CU211" i="1"/>
  <c r="CT211" i="1"/>
  <c r="CS211" i="1"/>
  <c r="CR211" i="1"/>
  <c r="CQ211" i="1"/>
  <c r="CO211" i="1"/>
  <c r="CN211" i="1"/>
  <c r="CM211" i="1"/>
  <c r="AI211" i="1" s="1"/>
  <c r="CL211" i="1"/>
  <c r="CK211" i="1"/>
  <c r="CJ211" i="1"/>
  <c r="CH211" i="1"/>
  <c r="CG211" i="1"/>
  <c r="CF211" i="1"/>
  <c r="CE211" i="1"/>
  <c r="CD211" i="1"/>
  <c r="CC211" i="1"/>
  <c r="AH211" i="1" s="1"/>
  <c r="AJ211" i="1"/>
  <c r="AF211" i="1"/>
  <c r="AD211" i="1"/>
  <c r="Z211" i="1"/>
  <c r="T211" i="1"/>
  <c r="P211" i="1"/>
  <c r="Q211" i="1" s="1"/>
  <c r="O211" i="1"/>
  <c r="FN211" i="1" s="1"/>
  <c r="U211" i="1" s="1"/>
  <c r="M211" i="1"/>
  <c r="FP210" i="1"/>
  <c r="FO210" i="1"/>
  <c r="FN210" i="1"/>
  <c r="U210" i="1" s="1"/>
  <c r="CV210" i="1"/>
  <c r="CU210" i="1"/>
  <c r="CT210" i="1"/>
  <c r="CS210" i="1"/>
  <c r="AJ210" i="1" s="1"/>
  <c r="CR210" i="1"/>
  <c r="CQ210" i="1"/>
  <c r="CO210" i="1"/>
  <c r="CN210" i="1"/>
  <c r="CM210" i="1"/>
  <c r="CL210" i="1"/>
  <c r="CK210" i="1"/>
  <c r="CJ210" i="1"/>
  <c r="AI210" i="1" s="1"/>
  <c r="CH210" i="1"/>
  <c r="CG210" i="1"/>
  <c r="CF210" i="1"/>
  <c r="CE210" i="1"/>
  <c r="CD210" i="1"/>
  <c r="CC210" i="1"/>
  <c r="AF210" i="1"/>
  <c r="AD210" i="1"/>
  <c r="Z210" i="1"/>
  <c r="T210" i="1"/>
  <c r="P210" i="1"/>
  <c r="O210" i="1"/>
  <c r="M210" i="1"/>
  <c r="FP209" i="1"/>
  <c r="FO209" i="1"/>
  <c r="CV209" i="1"/>
  <c r="CU209" i="1"/>
  <c r="CT209" i="1"/>
  <c r="CS209" i="1"/>
  <c r="CR209" i="1"/>
  <c r="CQ209" i="1"/>
  <c r="AJ209" i="1" s="1"/>
  <c r="CO209" i="1"/>
  <c r="CN209" i="1"/>
  <c r="CM209" i="1"/>
  <c r="CL209" i="1"/>
  <c r="CK209" i="1"/>
  <c r="CJ209" i="1"/>
  <c r="AI209" i="1" s="1"/>
  <c r="CH209" i="1"/>
  <c r="CG209" i="1"/>
  <c r="CF209" i="1"/>
  <c r="AH209" i="1" s="1"/>
  <c r="CE209" i="1"/>
  <c r="CD209" i="1"/>
  <c r="CC209" i="1"/>
  <c r="AT209" i="1"/>
  <c r="AF209" i="1"/>
  <c r="AD209" i="1"/>
  <c r="Z209" i="1"/>
  <c r="T209" i="1"/>
  <c r="Q209" i="1"/>
  <c r="P209" i="1"/>
  <c r="AG209" i="1" s="1"/>
  <c r="M209" i="1"/>
  <c r="O209" i="1" s="1"/>
  <c r="FN209" i="1" s="1"/>
  <c r="U209" i="1" s="1"/>
  <c r="FP208" i="1"/>
  <c r="FO208" i="1"/>
  <c r="CV208" i="1"/>
  <c r="CU208" i="1"/>
  <c r="CT208" i="1"/>
  <c r="CS208" i="1"/>
  <c r="CR208" i="1"/>
  <c r="CQ208" i="1"/>
  <c r="AJ208" i="1" s="1"/>
  <c r="CO208" i="1"/>
  <c r="CN208" i="1"/>
  <c r="CM208" i="1"/>
  <c r="CL208" i="1"/>
  <c r="AI208" i="1" s="1"/>
  <c r="CK208" i="1"/>
  <c r="CJ208" i="1"/>
  <c r="CH208" i="1"/>
  <c r="CG208" i="1"/>
  <c r="CF208" i="1"/>
  <c r="CE208" i="1"/>
  <c r="CD208" i="1"/>
  <c r="CC208" i="1"/>
  <c r="AH208" i="1" s="1"/>
  <c r="AF208" i="1"/>
  <c r="AD208" i="1"/>
  <c r="Z208" i="1"/>
  <c r="T208" i="1"/>
  <c r="Q208" i="1"/>
  <c r="P208" i="1"/>
  <c r="AG208" i="1" s="1"/>
  <c r="M208" i="1"/>
  <c r="O208" i="1" s="1"/>
  <c r="FN208" i="1" s="1"/>
  <c r="U208" i="1" s="1"/>
  <c r="FP207" i="1"/>
  <c r="FO207" i="1"/>
  <c r="CV207" i="1"/>
  <c r="CU207" i="1"/>
  <c r="CT207" i="1"/>
  <c r="CS207" i="1"/>
  <c r="CR207" i="1"/>
  <c r="AJ207" i="1" s="1"/>
  <c r="CQ207" i="1"/>
  <c r="CO207" i="1"/>
  <c r="CN207" i="1"/>
  <c r="CM207" i="1"/>
  <c r="AI207" i="1" s="1"/>
  <c r="CL207" i="1"/>
  <c r="CK207" i="1"/>
  <c r="CJ207" i="1"/>
  <c r="CH207" i="1"/>
  <c r="CG207" i="1"/>
  <c r="CF207" i="1"/>
  <c r="CE207" i="1"/>
  <c r="CD207" i="1"/>
  <c r="CC207" i="1"/>
  <c r="AF207" i="1"/>
  <c r="AD207" i="1"/>
  <c r="Z207" i="1"/>
  <c r="U207" i="1"/>
  <c r="T207" i="1"/>
  <c r="P207" i="1"/>
  <c r="Q207" i="1" s="1"/>
  <c r="O207" i="1"/>
  <c r="FN207" i="1" s="1"/>
  <c r="M207" i="1"/>
  <c r="FP206" i="1"/>
  <c r="FO206" i="1"/>
  <c r="FN206" i="1"/>
  <c r="U206" i="1" s="1"/>
  <c r="CV206" i="1"/>
  <c r="CU206" i="1"/>
  <c r="CT206" i="1"/>
  <c r="CS206" i="1"/>
  <c r="AJ206" i="1" s="1"/>
  <c r="CR206" i="1"/>
  <c r="CQ206" i="1"/>
  <c r="CO206" i="1"/>
  <c r="CN206" i="1"/>
  <c r="CM206" i="1"/>
  <c r="CL206" i="1"/>
  <c r="CK206" i="1"/>
  <c r="CJ206" i="1"/>
  <c r="AI206" i="1" s="1"/>
  <c r="CH206" i="1"/>
  <c r="CG206" i="1"/>
  <c r="CF206" i="1"/>
  <c r="CE206" i="1"/>
  <c r="CD206" i="1"/>
  <c r="AH206" i="1" s="1"/>
  <c r="CC206" i="1"/>
  <c r="BO206" i="1"/>
  <c r="AG206" i="1"/>
  <c r="AF206" i="1"/>
  <c r="AD206" i="1"/>
  <c r="Z206" i="1"/>
  <c r="T206" i="1"/>
  <c r="P206" i="1"/>
  <c r="Q206" i="1" s="1"/>
  <c r="O206" i="1"/>
  <c r="M206" i="1"/>
  <c r="FP205" i="1"/>
  <c r="FO205" i="1"/>
  <c r="FN205" i="1"/>
  <c r="U205" i="1" s="1"/>
  <c r="CV205" i="1"/>
  <c r="CU205" i="1"/>
  <c r="CT205" i="1"/>
  <c r="CS205" i="1"/>
  <c r="AJ205" i="1" s="1"/>
  <c r="CR205" i="1"/>
  <c r="CQ205" i="1"/>
  <c r="CO205" i="1"/>
  <c r="CN205" i="1"/>
  <c r="CM205" i="1"/>
  <c r="CL205" i="1"/>
  <c r="CK205" i="1"/>
  <c r="CJ205" i="1"/>
  <c r="AI205" i="1" s="1"/>
  <c r="CH205" i="1"/>
  <c r="CG205" i="1"/>
  <c r="CF205" i="1"/>
  <c r="AH205" i="1" s="1"/>
  <c r="CE205" i="1"/>
  <c r="CD205" i="1"/>
  <c r="CC205" i="1"/>
  <c r="AF205" i="1"/>
  <c r="AD205" i="1"/>
  <c r="Z205" i="1"/>
  <c r="T205" i="1"/>
  <c r="Q205" i="1"/>
  <c r="P205" i="1"/>
  <c r="AG205" i="1" s="1"/>
  <c r="O205" i="1"/>
  <c r="M205" i="1"/>
  <c r="FP204" i="1"/>
  <c r="FO204" i="1"/>
  <c r="CV204" i="1"/>
  <c r="CU204" i="1"/>
  <c r="CT204" i="1"/>
  <c r="CS204" i="1"/>
  <c r="CR204" i="1"/>
  <c r="CQ204" i="1"/>
  <c r="AJ204" i="1" s="1"/>
  <c r="CO204" i="1"/>
  <c r="CN204" i="1"/>
  <c r="CM204" i="1"/>
  <c r="CL204" i="1"/>
  <c r="AI204" i="1" s="1"/>
  <c r="CK204" i="1"/>
  <c r="CJ204" i="1"/>
  <c r="CH204" i="1"/>
  <c r="CG204" i="1"/>
  <c r="CF204" i="1"/>
  <c r="CE204" i="1"/>
  <c r="CD204" i="1"/>
  <c r="CC204" i="1"/>
  <c r="AH204" i="1" s="1"/>
  <c r="BA204" i="1"/>
  <c r="AF204" i="1"/>
  <c r="AD204" i="1"/>
  <c r="Z204" i="1"/>
  <c r="T204" i="1"/>
  <c r="Q204" i="1"/>
  <c r="P204" i="1"/>
  <c r="AG204" i="1" s="1"/>
  <c r="M204" i="1"/>
  <c r="O204" i="1" s="1"/>
  <c r="FN204" i="1" s="1"/>
  <c r="U204" i="1" s="1"/>
  <c r="FP203" i="1"/>
  <c r="FO203" i="1"/>
  <c r="CV203" i="1"/>
  <c r="CU203" i="1"/>
  <c r="CT203" i="1"/>
  <c r="CS203" i="1"/>
  <c r="CR203" i="1"/>
  <c r="CQ203" i="1"/>
  <c r="AJ203" i="1" s="1"/>
  <c r="CO203" i="1"/>
  <c r="CN203" i="1"/>
  <c r="CM203" i="1"/>
  <c r="CL203" i="1"/>
  <c r="CK203" i="1"/>
  <c r="CJ203" i="1"/>
  <c r="CH203" i="1"/>
  <c r="CG203" i="1"/>
  <c r="CF203" i="1"/>
  <c r="CE203" i="1"/>
  <c r="CD203" i="1"/>
  <c r="CC203" i="1"/>
  <c r="AH203" i="1" s="1"/>
  <c r="AI203" i="1"/>
  <c r="AF203" i="1"/>
  <c r="AD203" i="1"/>
  <c r="Z203" i="1"/>
  <c r="T203" i="1"/>
  <c r="P203" i="1"/>
  <c r="Q203" i="1" s="1"/>
  <c r="M203" i="1"/>
  <c r="O203" i="1" s="1"/>
  <c r="FN203" i="1" s="1"/>
  <c r="U203" i="1" s="1"/>
  <c r="FP202" i="1"/>
  <c r="FO202" i="1"/>
  <c r="CV202" i="1"/>
  <c r="CU202" i="1"/>
  <c r="CT202" i="1"/>
  <c r="CS202" i="1"/>
  <c r="CR202" i="1"/>
  <c r="AJ202" i="1" s="1"/>
  <c r="CQ202" i="1"/>
  <c r="CO202" i="1"/>
  <c r="CN202" i="1"/>
  <c r="CM202" i="1"/>
  <c r="CL202" i="1"/>
  <c r="CK202" i="1"/>
  <c r="CJ202" i="1"/>
  <c r="CH202" i="1"/>
  <c r="CG202" i="1"/>
  <c r="CF202" i="1"/>
  <c r="CE202" i="1"/>
  <c r="CD202" i="1"/>
  <c r="AH202" i="1" s="1"/>
  <c r="CC202" i="1"/>
  <c r="BO202" i="1"/>
  <c r="AG202" i="1"/>
  <c r="AF202" i="1"/>
  <c r="AD202" i="1"/>
  <c r="Z202" i="1"/>
  <c r="T202" i="1"/>
  <c r="P202" i="1"/>
  <c r="Q202" i="1" s="1"/>
  <c r="O202" i="1"/>
  <c r="FN202" i="1" s="1"/>
  <c r="U202" i="1" s="1"/>
  <c r="M202" i="1"/>
  <c r="FP201" i="1"/>
  <c r="FO201" i="1"/>
  <c r="CV201" i="1"/>
  <c r="CU201" i="1"/>
  <c r="CT201" i="1"/>
  <c r="CS201" i="1"/>
  <c r="AJ201" i="1" s="1"/>
  <c r="CR201" i="1"/>
  <c r="CQ201" i="1"/>
  <c r="CO201" i="1"/>
  <c r="CN201" i="1"/>
  <c r="CM201" i="1"/>
  <c r="CL201" i="1"/>
  <c r="CK201" i="1"/>
  <c r="CJ201" i="1"/>
  <c r="AI201" i="1" s="1"/>
  <c r="CH201" i="1"/>
  <c r="CG201" i="1"/>
  <c r="CF201" i="1"/>
  <c r="CE201" i="1"/>
  <c r="CD201" i="1"/>
  <c r="CC201" i="1"/>
  <c r="AM201" i="1"/>
  <c r="AH201" i="1"/>
  <c r="AF201" i="1"/>
  <c r="AD201" i="1"/>
  <c r="Z201" i="1"/>
  <c r="T201" i="1"/>
  <c r="Q201" i="1"/>
  <c r="P201" i="1"/>
  <c r="AG201" i="1" s="1"/>
  <c r="O201" i="1"/>
  <c r="FN201" i="1" s="1"/>
  <c r="U201" i="1" s="1"/>
  <c r="M201" i="1"/>
  <c r="FP200" i="1"/>
  <c r="FO200" i="1"/>
  <c r="FN200" i="1"/>
  <c r="U200" i="1" s="1"/>
  <c r="CV200" i="1"/>
  <c r="CU200" i="1"/>
  <c r="CT200" i="1"/>
  <c r="CS200" i="1"/>
  <c r="CR200" i="1"/>
  <c r="CQ200" i="1"/>
  <c r="AJ200" i="1" s="1"/>
  <c r="CO200" i="1"/>
  <c r="CN200" i="1"/>
  <c r="CM200" i="1"/>
  <c r="CL200" i="1"/>
  <c r="CK200" i="1"/>
  <c r="CJ200" i="1"/>
  <c r="AI200" i="1" s="1"/>
  <c r="CH200" i="1"/>
  <c r="CG200" i="1"/>
  <c r="CF200" i="1"/>
  <c r="CE200" i="1"/>
  <c r="CD200" i="1"/>
  <c r="CC200" i="1"/>
  <c r="AH200" i="1" s="1"/>
  <c r="AF200" i="1"/>
  <c r="AD200" i="1"/>
  <c r="Z200" i="1"/>
  <c r="T200" i="1"/>
  <c r="P200" i="1"/>
  <c r="Q200" i="1" s="1"/>
  <c r="M200" i="1"/>
  <c r="O200" i="1" s="1"/>
  <c r="FP199" i="1"/>
  <c r="FO199" i="1"/>
  <c r="CV199" i="1"/>
  <c r="CU199" i="1"/>
  <c r="CT199" i="1"/>
  <c r="AJ199" i="1" s="1"/>
  <c r="CS199" i="1"/>
  <c r="CR199" i="1"/>
  <c r="CQ199" i="1"/>
  <c r="CO199" i="1"/>
  <c r="CN199" i="1"/>
  <c r="CM199" i="1"/>
  <c r="CL199" i="1"/>
  <c r="CK199" i="1"/>
  <c r="CJ199" i="1"/>
  <c r="CH199" i="1"/>
  <c r="CG199" i="1"/>
  <c r="CF199" i="1"/>
  <c r="AH199" i="1" s="1"/>
  <c r="CE199" i="1"/>
  <c r="CD199" i="1"/>
  <c r="CC199" i="1"/>
  <c r="BV199" i="1"/>
  <c r="AF199" i="1"/>
  <c r="AD199" i="1"/>
  <c r="Z199" i="1"/>
  <c r="T199" i="1"/>
  <c r="Q199" i="1"/>
  <c r="P199" i="1"/>
  <c r="AG199" i="1" s="1"/>
  <c r="O199" i="1"/>
  <c r="FN199" i="1" s="1"/>
  <c r="U199" i="1" s="1"/>
  <c r="M199" i="1"/>
  <c r="FP198" i="1"/>
  <c r="FO198" i="1"/>
  <c r="CV198" i="1"/>
  <c r="CU198" i="1"/>
  <c r="CT198" i="1"/>
  <c r="CS198" i="1"/>
  <c r="CR198" i="1"/>
  <c r="CQ198" i="1"/>
  <c r="AJ198" i="1" s="1"/>
  <c r="CO198" i="1"/>
  <c r="CN198" i="1"/>
  <c r="CM198" i="1"/>
  <c r="CL198" i="1"/>
  <c r="CK198" i="1"/>
  <c r="CJ198" i="1"/>
  <c r="CH198" i="1"/>
  <c r="CG198" i="1"/>
  <c r="CF198" i="1"/>
  <c r="CE198" i="1"/>
  <c r="CD198" i="1"/>
  <c r="CC198" i="1"/>
  <c r="AH198" i="1" s="1"/>
  <c r="AI198" i="1"/>
  <c r="AF198" i="1"/>
  <c r="AD198" i="1"/>
  <c r="Z198" i="1"/>
  <c r="T198" i="1"/>
  <c r="P198" i="1"/>
  <c r="Q198" i="1" s="1"/>
  <c r="M198" i="1"/>
  <c r="O198" i="1" s="1"/>
  <c r="FN198" i="1" s="1"/>
  <c r="U198" i="1" s="1"/>
  <c r="FP197" i="1"/>
  <c r="FO197" i="1"/>
  <c r="CV197" i="1"/>
  <c r="CU197" i="1"/>
  <c r="CT197" i="1"/>
  <c r="CS197" i="1"/>
  <c r="CR197" i="1"/>
  <c r="CQ197" i="1"/>
  <c r="CO197" i="1"/>
  <c r="CN197" i="1"/>
  <c r="CM197" i="1"/>
  <c r="CL197" i="1"/>
  <c r="CK197" i="1"/>
  <c r="AI197" i="1" s="1"/>
  <c r="CJ197" i="1"/>
  <c r="CH197" i="1"/>
  <c r="CG197" i="1"/>
  <c r="CF197" i="1"/>
  <c r="CE197" i="1"/>
  <c r="CD197" i="1"/>
  <c r="AH197" i="1" s="1"/>
  <c r="CC197" i="1"/>
  <c r="AJ197" i="1"/>
  <c r="AF197" i="1"/>
  <c r="AD197" i="1"/>
  <c r="Z197" i="1"/>
  <c r="T197" i="1"/>
  <c r="Q197" i="1"/>
  <c r="P197" i="1"/>
  <c r="AG197" i="1" s="1"/>
  <c r="O197" i="1"/>
  <c r="FN197" i="1" s="1"/>
  <c r="U197" i="1" s="1"/>
  <c r="M197" i="1"/>
  <c r="FP196" i="1"/>
  <c r="FO196" i="1"/>
  <c r="CV196" i="1"/>
  <c r="CU196" i="1"/>
  <c r="CT196" i="1"/>
  <c r="CS196" i="1"/>
  <c r="CR196" i="1"/>
  <c r="CQ196" i="1"/>
  <c r="AJ196" i="1" s="1"/>
  <c r="CO196" i="1"/>
  <c r="CN196" i="1"/>
  <c r="CM196" i="1"/>
  <c r="CL196" i="1"/>
  <c r="CK196" i="1"/>
  <c r="CJ196" i="1"/>
  <c r="AI196" i="1" s="1"/>
  <c r="CH196" i="1"/>
  <c r="CG196" i="1"/>
  <c r="CF196" i="1"/>
  <c r="CE196" i="1"/>
  <c r="CD196" i="1"/>
  <c r="CC196" i="1"/>
  <c r="AH196" i="1" s="1"/>
  <c r="AG196" i="1"/>
  <c r="AF196" i="1"/>
  <c r="AD196" i="1"/>
  <c r="Z196" i="1"/>
  <c r="T196" i="1"/>
  <c r="P196" i="1"/>
  <c r="Q196" i="1" s="1"/>
  <c r="M196" i="1"/>
  <c r="O196" i="1" s="1"/>
  <c r="FN196" i="1" s="1"/>
  <c r="U196" i="1" s="1"/>
  <c r="FP195" i="1"/>
  <c r="FO195" i="1"/>
  <c r="CV195" i="1"/>
  <c r="CU195" i="1"/>
  <c r="CT195" i="1"/>
  <c r="AJ195" i="1" s="1"/>
  <c r="CS195" i="1"/>
  <c r="CR195" i="1"/>
  <c r="CQ195" i="1"/>
  <c r="CO195" i="1"/>
  <c r="CN195" i="1"/>
  <c r="CM195" i="1"/>
  <c r="CL195" i="1"/>
  <c r="CK195" i="1"/>
  <c r="CJ195" i="1"/>
  <c r="AI195" i="1" s="1"/>
  <c r="CH195" i="1"/>
  <c r="CG195" i="1"/>
  <c r="CF195" i="1"/>
  <c r="AH195" i="1" s="1"/>
  <c r="CE195" i="1"/>
  <c r="CD195" i="1"/>
  <c r="CC195" i="1"/>
  <c r="AF195" i="1"/>
  <c r="AD195" i="1"/>
  <c r="Z195" i="1"/>
  <c r="T195" i="1"/>
  <c r="Q195" i="1"/>
  <c r="P195" i="1"/>
  <c r="AG195" i="1" s="1"/>
  <c r="O195" i="1"/>
  <c r="FN195" i="1" s="1"/>
  <c r="U195" i="1" s="1"/>
  <c r="M195" i="1"/>
  <c r="FP194" i="1"/>
  <c r="FO194" i="1"/>
  <c r="CV194" i="1"/>
  <c r="CU194" i="1"/>
  <c r="CT194" i="1"/>
  <c r="CS194" i="1"/>
  <c r="CR194" i="1"/>
  <c r="CQ194" i="1"/>
  <c r="AJ194" i="1" s="1"/>
  <c r="CO194" i="1"/>
  <c r="CN194" i="1"/>
  <c r="CM194" i="1"/>
  <c r="CL194" i="1"/>
  <c r="AI194" i="1" s="1"/>
  <c r="CK194" i="1"/>
  <c r="CJ194" i="1"/>
  <c r="CH194" i="1"/>
  <c r="CG194" i="1"/>
  <c r="CF194" i="1"/>
  <c r="CE194" i="1"/>
  <c r="CD194" i="1"/>
  <c r="CC194" i="1"/>
  <c r="AH194" i="1" s="1"/>
  <c r="AF194" i="1"/>
  <c r="AD194" i="1"/>
  <c r="Z194" i="1"/>
  <c r="T194" i="1"/>
  <c r="P194" i="1"/>
  <c r="Q194" i="1" s="1"/>
  <c r="M194" i="1"/>
  <c r="O194" i="1" s="1"/>
  <c r="FN194" i="1" s="1"/>
  <c r="U194" i="1" s="1"/>
  <c r="FP193" i="1"/>
  <c r="FO193" i="1"/>
  <c r="CV193" i="1"/>
  <c r="CU193" i="1"/>
  <c r="CT193" i="1"/>
  <c r="CS193" i="1"/>
  <c r="CR193" i="1"/>
  <c r="AJ193" i="1" s="1"/>
  <c r="CQ193" i="1"/>
  <c r="CO193" i="1"/>
  <c r="CN193" i="1"/>
  <c r="CM193" i="1"/>
  <c r="CL193" i="1"/>
  <c r="CK193" i="1"/>
  <c r="CJ193" i="1"/>
  <c r="CH193" i="1"/>
  <c r="CG193" i="1"/>
  <c r="CF193" i="1"/>
  <c r="CE193" i="1"/>
  <c r="CD193" i="1"/>
  <c r="AH193" i="1" s="1"/>
  <c r="CC193" i="1"/>
  <c r="BH193" i="1"/>
  <c r="AF193" i="1"/>
  <c r="AD193" i="1"/>
  <c r="Z193" i="1"/>
  <c r="T193" i="1"/>
  <c r="Q193" i="1"/>
  <c r="P193" i="1"/>
  <c r="AG193" i="1" s="1"/>
  <c r="O193" i="1"/>
  <c r="FN193" i="1" s="1"/>
  <c r="U193" i="1" s="1"/>
  <c r="V193" i="1" s="1"/>
  <c r="Y193" i="1" s="1"/>
  <c r="M193" i="1"/>
  <c r="FP192" i="1"/>
  <c r="FO192" i="1"/>
  <c r="FN192" i="1"/>
  <c r="U192" i="1" s="1"/>
  <c r="CV192" i="1"/>
  <c r="CU192" i="1"/>
  <c r="CT192" i="1"/>
  <c r="CS192" i="1"/>
  <c r="CR192" i="1"/>
  <c r="CQ192" i="1"/>
  <c r="CO192" i="1"/>
  <c r="CN192" i="1"/>
  <c r="CM192" i="1"/>
  <c r="CL192" i="1"/>
  <c r="CK192" i="1"/>
  <c r="CJ192" i="1"/>
  <c r="AI192" i="1" s="1"/>
  <c r="CH192" i="1"/>
  <c r="CG192" i="1"/>
  <c r="CF192" i="1"/>
  <c r="CE192" i="1"/>
  <c r="CD192" i="1"/>
  <c r="CC192" i="1"/>
  <c r="AF192" i="1"/>
  <c r="AD192" i="1"/>
  <c r="Z192" i="1"/>
  <c r="T192" i="1"/>
  <c r="P192" i="1"/>
  <c r="M192" i="1"/>
  <c r="O192" i="1" s="1"/>
  <c r="FP191" i="1"/>
  <c r="FO191" i="1"/>
  <c r="CV191" i="1"/>
  <c r="CU191" i="1"/>
  <c r="CT191" i="1"/>
  <c r="AJ191" i="1" s="1"/>
  <c r="CS191" i="1"/>
  <c r="CR191" i="1"/>
  <c r="CQ191" i="1"/>
  <c r="CO191" i="1"/>
  <c r="CN191" i="1"/>
  <c r="CM191" i="1"/>
  <c r="CL191" i="1"/>
  <c r="CK191" i="1"/>
  <c r="CJ191" i="1"/>
  <c r="CH191" i="1"/>
  <c r="CG191" i="1"/>
  <c r="CF191" i="1"/>
  <c r="CE191" i="1"/>
  <c r="CD191" i="1"/>
  <c r="CC191" i="1"/>
  <c r="BV191" i="1"/>
  <c r="AH191" i="1"/>
  <c r="AF191" i="1"/>
  <c r="AD191" i="1"/>
  <c r="Z191" i="1"/>
  <c r="T191" i="1"/>
  <c r="Q191" i="1"/>
  <c r="P191" i="1"/>
  <c r="AG191" i="1" s="1"/>
  <c r="O191" i="1"/>
  <c r="FN191" i="1" s="1"/>
  <c r="U191" i="1" s="1"/>
  <c r="M191" i="1"/>
  <c r="FP190" i="1"/>
  <c r="FO190" i="1"/>
  <c r="CV190" i="1"/>
  <c r="CU190" i="1"/>
  <c r="CT190" i="1"/>
  <c r="CS190" i="1"/>
  <c r="CR190" i="1"/>
  <c r="CQ190" i="1"/>
  <c r="AJ190" i="1" s="1"/>
  <c r="CO190" i="1"/>
  <c r="CN190" i="1"/>
  <c r="CM190" i="1"/>
  <c r="CL190" i="1"/>
  <c r="AI190" i="1" s="1"/>
  <c r="CK190" i="1"/>
  <c r="CJ190" i="1"/>
  <c r="CH190" i="1"/>
  <c r="CG190" i="1"/>
  <c r="CF190" i="1"/>
  <c r="CE190" i="1"/>
  <c r="CD190" i="1"/>
  <c r="CC190" i="1"/>
  <c r="AH190" i="1" s="1"/>
  <c r="AF190" i="1"/>
  <c r="AD190" i="1"/>
  <c r="Z190" i="1"/>
  <c r="T190" i="1"/>
  <c r="P190" i="1"/>
  <c r="Q190" i="1" s="1"/>
  <c r="M190" i="1"/>
  <c r="O190" i="1" s="1"/>
  <c r="FN190" i="1" s="1"/>
  <c r="U190" i="1" s="1"/>
  <c r="FP189" i="1"/>
  <c r="FO189" i="1"/>
  <c r="CV189" i="1"/>
  <c r="CU189" i="1"/>
  <c r="CT189" i="1"/>
  <c r="CS189" i="1"/>
  <c r="CR189" i="1"/>
  <c r="CQ189" i="1"/>
  <c r="CO189" i="1"/>
  <c r="CN189" i="1"/>
  <c r="CM189" i="1"/>
  <c r="CL189" i="1"/>
  <c r="CK189" i="1"/>
  <c r="CJ189" i="1"/>
  <c r="CH189" i="1"/>
  <c r="CG189" i="1"/>
  <c r="CF189" i="1"/>
  <c r="CE189" i="1"/>
  <c r="CD189" i="1"/>
  <c r="AH189" i="1" s="1"/>
  <c r="CC189" i="1"/>
  <c r="AJ189" i="1"/>
  <c r="AF189" i="1"/>
  <c r="AD189" i="1"/>
  <c r="Z189" i="1"/>
  <c r="T189" i="1"/>
  <c r="Q189" i="1"/>
  <c r="P189" i="1"/>
  <c r="AG189" i="1" s="1"/>
  <c r="O189" i="1"/>
  <c r="FN189" i="1" s="1"/>
  <c r="U189" i="1" s="1"/>
  <c r="M189" i="1"/>
  <c r="FP188" i="1"/>
  <c r="FO188" i="1"/>
  <c r="CV188" i="1"/>
  <c r="CU188" i="1"/>
  <c r="CT188" i="1"/>
  <c r="CS188" i="1"/>
  <c r="CR188" i="1"/>
  <c r="CQ188" i="1"/>
  <c r="CO188" i="1"/>
  <c r="CN188" i="1"/>
  <c r="CM188" i="1"/>
  <c r="CL188" i="1"/>
  <c r="CK188" i="1"/>
  <c r="CJ188" i="1"/>
  <c r="AI188" i="1" s="1"/>
  <c r="CH188" i="1"/>
  <c r="CG188" i="1"/>
  <c r="CF188" i="1"/>
  <c r="CE188" i="1"/>
  <c r="CD188" i="1"/>
  <c r="CC188" i="1"/>
  <c r="BO188" i="1"/>
  <c r="AG188" i="1"/>
  <c r="AF188" i="1"/>
  <c r="AD188" i="1"/>
  <c r="Z188" i="1"/>
  <c r="T188" i="1"/>
  <c r="P188" i="1"/>
  <c r="Q188" i="1" s="1"/>
  <c r="M188" i="1"/>
  <c r="O188" i="1" s="1"/>
  <c r="FN188" i="1" s="1"/>
  <c r="U188" i="1" s="1"/>
  <c r="FP187" i="1"/>
  <c r="FO187" i="1"/>
  <c r="CV187" i="1"/>
  <c r="CU187" i="1"/>
  <c r="CT187" i="1"/>
  <c r="AJ187" i="1" s="1"/>
  <c r="CS187" i="1"/>
  <c r="CR187" i="1"/>
  <c r="CQ187" i="1"/>
  <c r="CO187" i="1"/>
  <c r="CN187" i="1"/>
  <c r="CM187" i="1"/>
  <c r="CL187" i="1"/>
  <c r="CK187" i="1"/>
  <c r="CJ187" i="1"/>
  <c r="AI187" i="1" s="1"/>
  <c r="CH187" i="1"/>
  <c r="CG187" i="1"/>
  <c r="CF187" i="1"/>
  <c r="CE187" i="1"/>
  <c r="CD187" i="1"/>
  <c r="CC187" i="1"/>
  <c r="AH187" i="1"/>
  <c r="AF187" i="1"/>
  <c r="AD187" i="1"/>
  <c r="Z187" i="1"/>
  <c r="T187" i="1"/>
  <c r="Q187" i="1"/>
  <c r="P187" i="1"/>
  <c r="AG187" i="1" s="1"/>
  <c r="O187" i="1"/>
  <c r="FN187" i="1" s="1"/>
  <c r="U187" i="1" s="1"/>
  <c r="M187" i="1"/>
  <c r="FP186" i="1"/>
  <c r="FO186" i="1"/>
  <c r="CV186" i="1"/>
  <c r="CU186" i="1"/>
  <c r="CT186" i="1"/>
  <c r="CS186" i="1"/>
  <c r="CR186" i="1"/>
  <c r="CQ186" i="1"/>
  <c r="AJ186" i="1" s="1"/>
  <c r="CO186" i="1"/>
  <c r="CN186" i="1"/>
  <c r="CM186" i="1"/>
  <c r="CL186" i="1"/>
  <c r="CK186" i="1"/>
  <c r="CJ186" i="1"/>
  <c r="CH186" i="1"/>
  <c r="CG186" i="1"/>
  <c r="CF186" i="1"/>
  <c r="CE186" i="1"/>
  <c r="CD186" i="1"/>
  <c r="CC186" i="1"/>
  <c r="AH186" i="1" s="1"/>
  <c r="AI186" i="1"/>
  <c r="AF186" i="1"/>
  <c r="AD186" i="1"/>
  <c r="Z186" i="1"/>
  <c r="T186" i="1"/>
  <c r="P186" i="1"/>
  <c r="Q186" i="1" s="1"/>
  <c r="M186" i="1"/>
  <c r="O186" i="1" s="1"/>
  <c r="FN186" i="1" s="1"/>
  <c r="U186" i="1" s="1"/>
  <c r="FP185" i="1"/>
  <c r="FO185" i="1"/>
  <c r="CV185" i="1"/>
  <c r="CU185" i="1"/>
  <c r="CT185" i="1"/>
  <c r="CS185" i="1"/>
  <c r="CR185" i="1"/>
  <c r="AJ185" i="1" s="1"/>
  <c r="CQ185" i="1"/>
  <c r="CO185" i="1"/>
  <c r="CN185" i="1"/>
  <c r="CM185" i="1"/>
  <c r="CL185" i="1"/>
  <c r="CK185" i="1"/>
  <c r="AI185" i="1" s="1"/>
  <c r="CJ185" i="1"/>
  <c r="CH185" i="1"/>
  <c r="CG185" i="1"/>
  <c r="CF185" i="1"/>
  <c r="CE185" i="1"/>
  <c r="CD185" i="1"/>
  <c r="AH185" i="1" s="1"/>
  <c r="CC185" i="1"/>
  <c r="BH185" i="1"/>
  <c r="AF185" i="1"/>
  <c r="AD185" i="1"/>
  <c r="Z185" i="1"/>
  <c r="T185" i="1"/>
  <c r="Q185" i="1"/>
  <c r="P185" i="1"/>
  <c r="AG185" i="1" s="1"/>
  <c r="O185" i="1"/>
  <c r="FN185" i="1" s="1"/>
  <c r="U185" i="1" s="1"/>
  <c r="M185" i="1"/>
  <c r="FP184" i="1"/>
  <c r="FO184" i="1"/>
  <c r="FN184" i="1"/>
  <c r="U184" i="1" s="1"/>
  <c r="CV184" i="1"/>
  <c r="CU184" i="1"/>
  <c r="CT184" i="1"/>
  <c r="CS184" i="1"/>
  <c r="CR184" i="1"/>
  <c r="CQ184" i="1"/>
  <c r="AJ184" i="1" s="1"/>
  <c r="CO184" i="1"/>
  <c r="CN184" i="1"/>
  <c r="CM184" i="1"/>
  <c r="CL184" i="1"/>
  <c r="CK184" i="1"/>
  <c r="CJ184" i="1"/>
  <c r="AI184" i="1" s="1"/>
  <c r="CH184" i="1"/>
  <c r="CG184" i="1"/>
  <c r="CF184" i="1"/>
  <c r="CE184" i="1"/>
  <c r="CD184" i="1"/>
  <c r="CC184" i="1"/>
  <c r="AH184" i="1" s="1"/>
  <c r="AF184" i="1"/>
  <c r="AD184" i="1"/>
  <c r="Z184" i="1"/>
  <c r="T184" i="1"/>
  <c r="P184" i="1"/>
  <c r="Q184" i="1" s="1"/>
  <c r="M184" i="1"/>
  <c r="O184" i="1" s="1"/>
  <c r="FP183" i="1"/>
  <c r="FO183" i="1"/>
  <c r="CV183" i="1"/>
  <c r="CU183" i="1"/>
  <c r="CT183" i="1"/>
  <c r="AJ183" i="1" s="1"/>
  <c r="CS183" i="1"/>
  <c r="CR183" i="1"/>
  <c r="CQ183" i="1"/>
  <c r="CO183" i="1"/>
  <c r="CN183" i="1"/>
  <c r="CM183" i="1"/>
  <c r="CL183" i="1"/>
  <c r="CK183" i="1"/>
  <c r="AI183" i="1" s="1"/>
  <c r="CJ183" i="1"/>
  <c r="CH183" i="1"/>
  <c r="CG183" i="1"/>
  <c r="CF183" i="1"/>
  <c r="AH183" i="1" s="1"/>
  <c r="CE183" i="1"/>
  <c r="CD183" i="1"/>
  <c r="CC183" i="1"/>
  <c r="BV183" i="1"/>
  <c r="AF183" i="1"/>
  <c r="AD183" i="1"/>
  <c r="Z183" i="1"/>
  <c r="T183" i="1"/>
  <c r="Q183" i="1"/>
  <c r="P183" i="1"/>
  <c r="AG183" i="1" s="1"/>
  <c r="O183" i="1"/>
  <c r="FN183" i="1" s="1"/>
  <c r="U183" i="1" s="1"/>
  <c r="M183" i="1"/>
  <c r="FP182" i="1"/>
  <c r="FO182" i="1"/>
  <c r="CV182" i="1"/>
  <c r="CU182" i="1"/>
  <c r="CT182" i="1"/>
  <c r="CS182" i="1"/>
  <c r="CR182" i="1"/>
  <c r="CQ182" i="1"/>
  <c r="AJ182" i="1" s="1"/>
  <c r="CO182" i="1"/>
  <c r="CN182" i="1"/>
  <c r="CM182" i="1"/>
  <c r="CL182" i="1"/>
  <c r="CK182" i="1"/>
  <c r="CJ182" i="1"/>
  <c r="CH182" i="1"/>
  <c r="CG182" i="1"/>
  <c r="CF182" i="1"/>
  <c r="CE182" i="1"/>
  <c r="CD182" i="1"/>
  <c r="CC182" i="1"/>
  <c r="AH182" i="1" s="1"/>
  <c r="AI182" i="1"/>
  <c r="AF182" i="1"/>
  <c r="AD182" i="1"/>
  <c r="Z182" i="1"/>
  <c r="T182" i="1"/>
  <c r="P182" i="1"/>
  <c r="Q182" i="1" s="1"/>
  <c r="M182" i="1"/>
  <c r="O182" i="1" s="1"/>
  <c r="FN182" i="1" s="1"/>
  <c r="U182" i="1" s="1"/>
  <c r="FP181" i="1"/>
  <c r="FO181" i="1"/>
  <c r="CV181" i="1"/>
  <c r="CU181" i="1"/>
  <c r="CT181" i="1"/>
  <c r="CS181" i="1"/>
  <c r="CR181" i="1"/>
  <c r="CQ181" i="1"/>
  <c r="CO181" i="1"/>
  <c r="CN181" i="1"/>
  <c r="CM181" i="1"/>
  <c r="CL181" i="1"/>
  <c r="CK181" i="1"/>
  <c r="CJ181" i="1"/>
  <c r="AI181" i="1" s="1"/>
  <c r="CH181" i="1"/>
  <c r="CG181" i="1"/>
  <c r="CF181" i="1"/>
  <c r="CE181" i="1"/>
  <c r="CD181" i="1"/>
  <c r="AH181" i="1" s="1"/>
  <c r="CC181" i="1"/>
  <c r="AJ181" i="1"/>
  <c r="AF181" i="1"/>
  <c r="AD181" i="1"/>
  <c r="Z181" i="1"/>
  <c r="T181" i="1"/>
  <c r="Q181" i="1"/>
  <c r="P181" i="1"/>
  <c r="AG181" i="1" s="1"/>
  <c r="O181" i="1"/>
  <c r="FN181" i="1" s="1"/>
  <c r="U181" i="1" s="1"/>
  <c r="M181" i="1"/>
  <c r="FP180" i="1"/>
  <c r="FO180" i="1"/>
  <c r="CV180" i="1"/>
  <c r="CU180" i="1"/>
  <c r="CT180" i="1"/>
  <c r="CS180" i="1"/>
  <c r="CR180" i="1"/>
  <c r="CQ180" i="1"/>
  <c r="AJ180" i="1" s="1"/>
  <c r="CO180" i="1"/>
  <c r="CN180" i="1"/>
  <c r="CM180" i="1"/>
  <c r="CL180" i="1"/>
  <c r="CK180" i="1"/>
  <c r="CJ180" i="1"/>
  <c r="AI180" i="1" s="1"/>
  <c r="CH180" i="1"/>
  <c r="CG180" i="1"/>
  <c r="CF180" i="1"/>
  <c r="CE180" i="1"/>
  <c r="CD180" i="1"/>
  <c r="CC180" i="1"/>
  <c r="AH180" i="1" s="1"/>
  <c r="AG180" i="1"/>
  <c r="AF180" i="1"/>
  <c r="AD180" i="1"/>
  <c r="Z180" i="1"/>
  <c r="T180" i="1"/>
  <c r="P180" i="1"/>
  <c r="Q180" i="1" s="1"/>
  <c r="M180" i="1"/>
  <c r="O180" i="1" s="1"/>
  <c r="FN180" i="1" s="1"/>
  <c r="U180" i="1" s="1"/>
  <c r="FP179" i="1"/>
  <c r="FO179" i="1"/>
  <c r="CV179" i="1"/>
  <c r="CU179" i="1"/>
  <c r="CT179" i="1"/>
  <c r="AJ179" i="1" s="1"/>
  <c r="CS179" i="1"/>
  <c r="CR179" i="1"/>
  <c r="CQ179" i="1"/>
  <c r="CO179" i="1"/>
  <c r="CN179" i="1"/>
  <c r="CM179" i="1"/>
  <c r="CL179" i="1"/>
  <c r="CK179" i="1"/>
  <c r="AI179" i="1" s="1"/>
  <c r="CJ179" i="1"/>
  <c r="CH179" i="1"/>
  <c r="CG179" i="1"/>
  <c r="CF179" i="1"/>
  <c r="AH179" i="1" s="1"/>
  <c r="CE179" i="1"/>
  <c r="CD179" i="1"/>
  <c r="CC179" i="1"/>
  <c r="AF179" i="1"/>
  <c r="AD179" i="1"/>
  <c r="Z179" i="1"/>
  <c r="T179" i="1"/>
  <c r="Q179" i="1"/>
  <c r="P179" i="1"/>
  <c r="AG179" i="1" s="1"/>
  <c r="O179" i="1"/>
  <c r="FN179" i="1" s="1"/>
  <c r="U179" i="1" s="1"/>
  <c r="M179" i="1"/>
  <c r="FP178" i="1"/>
  <c r="FO178" i="1"/>
  <c r="CV178" i="1"/>
  <c r="CU178" i="1"/>
  <c r="CT178" i="1"/>
  <c r="CS178" i="1"/>
  <c r="CR178" i="1"/>
  <c r="CQ178" i="1"/>
  <c r="AJ178" i="1" s="1"/>
  <c r="CO178" i="1"/>
  <c r="CN178" i="1"/>
  <c r="CM178" i="1"/>
  <c r="CL178" i="1"/>
  <c r="AI178" i="1" s="1"/>
  <c r="CK178" i="1"/>
  <c r="CJ178" i="1"/>
  <c r="CH178" i="1"/>
  <c r="CG178" i="1"/>
  <c r="CF178" i="1"/>
  <c r="CE178" i="1"/>
  <c r="CD178" i="1"/>
  <c r="CC178" i="1"/>
  <c r="AH178" i="1" s="1"/>
  <c r="AF178" i="1"/>
  <c r="AD178" i="1"/>
  <c r="Z178" i="1"/>
  <c r="T178" i="1"/>
  <c r="P178" i="1"/>
  <c r="Q178" i="1" s="1"/>
  <c r="M178" i="1"/>
  <c r="O178" i="1" s="1"/>
  <c r="FN178" i="1" s="1"/>
  <c r="U178" i="1" s="1"/>
  <c r="FP177" i="1"/>
  <c r="FO177" i="1"/>
  <c r="CV177" i="1"/>
  <c r="CU177" i="1"/>
  <c r="CT177" i="1"/>
  <c r="CS177" i="1"/>
  <c r="CR177" i="1"/>
  <c r="AJ177" i="1" s="1"/>
  <c r="CQ177" i="1"/>
  <c r="CO177" i="1"/>
  <c r="CN177" i="1"/>
  <c r="CM177" i="1"/>
  <c r="CL177" i="1"/>
  <c r="CK177" i="1"/>
  <c r="CJ177" i="1"/>
  <c r="CH177" i="1"/>
  <c r="CG177" i="1"/>
  <c r="CF177" i="1"/>
  <c r="CE177" i="1"/>
  <c r="CD177" i="1"/>
  <c r="AH177" i="1" s="1"/>
  <c r="CC177" i="1"/>
  <c r="BV177" i="1"/>
  <c r="AT177" i="1"/>
  <c r="AF177" i="1"/>
  <c r="AD177" i="1"/>
  <c r="Z177" i="1"/>
  <c r="T177" i="1"/>
  <c r="Q177" i="1"/>
  <c r="P177" i="1"/>
  <c r="AG177" i="1" s="1"/>
  <c r="O177" i="1"/>
  <c r="FN177" i="1" s="1"/>
  <c r="U177" i="1" s="1"/>
  <c r="V177" i="1" s="1"/>
  <c r="Y177" i="1" s="1"/>
  <c r="M177" i="1"/>
  <c r="FP176" i="1"/>
  <c r="FO176" i="1"/>
  <c r="CV176" i="1"/>
  <c r="CU176" i="1"/>
  <c r="CT176" i="1"/>
  <c r="CS176" i="1"/>
  <c r="CR176" i="1"/>
  <c r="CQ176" i="1"/>
  <c r="CO176" i="1"/>
  <c r="CN176" i="1"/>
  <c r="CM176" i="1"/>
  <c r="CL176" i="1"/>
  <c r="CK176" i="1"/>
  <c r="CJ176" i="1"/>
  <c r="AI176" i="1" s="1"/>
  <c r="CH176" i="1"/>
  <c r="CG176" i="1"/>
  <c r="CF176" i="1"/>
  <c r="CE176" i="1"/>
  <c r="CD176" i="1"/>
  <c r="CC176" i="1"/>
  <c r="AF176" i="1"/>
  <c r="AD176" i="1"/>
  <c r="Z176" i="1"/>
  <c r="T176" i="1"/>
  <c r="P176" i="1"/>
  <c r="Q176" i="1" s="1"/>
  <c r="M176" i="1"/>
  <c r="O176" i="1" s="1"/>
  <c r="FN176" i="1" s="1"/>
  <c r="U176" i="1" s="1"/>
  <c r="V176" i="1" s="1"/>
  <c r="Y176" i="1" s="1"/>
  <c r="FP175" i="1"/>
  <c r="FO175" i="1"/>
  <c r="CV175" i="1"/>
  <c r="CU175" i="1"/>
  <c r="CT175" i="1"/>
  <c r="CS175" i="1"/>
  <c r="CR175" i="1"/>
  <c r="CQ175" i="1"/>
  <c r="CO175" i="1"/>
  <c r="CN175" i="1"/>
  <c r="CM175" i="1"/>
  <c r="CL175" i="1"/>
  <c r="CK175" i="1"/>
  <c r="AI175" i="1" s="1"/>
  <c r="CJ175" i="1"/>
  <c r="CH175" i="1"/>
  <c r="CG175" i="1"/>
  <c r="CF175" i="1"/>
  <c r="CE175" i="1"/>
  <c r="CD175" i="1"/>
  <c r="CC175" i="1"/>
  <c r="AJ175" i="1"/>
  <c r="AH175" i="1"/>
  <c r="AF175" i="1"/>
  <c r="AD175" i="1"/>
  <c r="Z175" i="1"/>
  <c r="T175" i="1"/>
  <c r="Q175" i="1"/>
  <c r="P175" i="1"/>
  <c r="AG175" i="1" s="1"/>
  <c r="AT175" i="1" s="1"/>
  <c r="O175" i="1"/>
  <c r="FN175" i="1" s="1"/>
  <c r="U175" i="1" s="1"/>
  <c r="M175" i="1"/>
  <c r="FP174" i="1"/>
  <c r="FO174" i="1"/>
  <c r="CV174" i="1"/>
  <c r="CU174" i="1"/>
  <c r="CT174" i="1"/>
  <c r="CS174" i="1"/>
  <c r="CR174" i="1"/>
  <c r="CQ174" i="1"/>
  <c r="AJ174" i="1" s="1"/>
  <c r="CO174" i="1"/>
  <c r="CN174" i="1"/>
  <c r="CM174" i="1"/>
  <c r="CL174" i="1"/>
  <c r="CK174" i="1"/>
  <c r="CJ174" i="1"/>
  <c r="CH174" i="1"/>
  <c r="CG174" i="1"/>
  <c r="CF174" i="1"/>
  <c r="CE174" i="1"/>
  <c r="CD174" i="1"/>
  <c r="CC174" i="1"/>
  <c r="AH174" i="1" s="1"/>
  <c r="AI174" i="1"/>
  <c r="AF174" i="1"/>
  <c r="AD174" i="1"/>
  <c r="Z174" i="1"/>
  <c r="T174" i="1"/>
  <c r="P174" i="1"/>
  <c r="Q174" i="1" s="1"/>
  <c r="M174" i="1"/>
  <c r="O174" i="1" s="1"/>
  <c r="FN174" i="1" s="1"/>
  <c r="U174" i="1" s="1"/>
  <c r="FP173" i="1"/>
  <c r="FO173" i="1"/>
  <c r="CV173" i="1"/>
  <c r="CU173" i="1"/>
  <c r="CT173" i="1"/>
  <c r="CS173" i="1"/>
  <c r="CR173" i="1"/>
  <c r="CQ173" i="1"/>
  <c r="CO173" i="1"/>
  <c r="CN173" i="1"/>
  <c r="CM173" i="1"/>
  <c r="CL173" i="1"/>
  <c r="CK173" i="1"/>
  <c r="AI173" i="1" s="1"/>
  <c r="CJ173" i="1"/>
  <c r="CH173" i="1"/>
  <c r="CG173" i="1"/>
  <c r="CF173" i="1"/>
  <c r="AH173" i="1" s="1"/>
  <c r="CE173" i="1"/>
  <c r="CD173" i="1"/>
  <c r="CC173" i="1"/>
  <c r="BV173" i="1"/>
  <c r="AT173" i="1"/>
  <c r="AF173" i="1"/>
  <c r="AD173" i="1"/>
  <c r="Z173" i="1"/>
  <c r="T173" i="1"/>
  <c r="Q173" i="1"/>
  <c r="P173" i="1"/>
  <c r="AG173" i="1" s="1"/>
  <c r="O173" i="1"/>
  <c r="FN173" i="1" s="1"/>
  <c r="U173" i="1" s="1"/>
  <c r="M173" i="1"/>
  <c r="FP172" i="1"/>
  <c r="FO172" i="1"/>
  <c r="CV172" i="1"/>
  <c r="CU172" i="1"/>
  <c r="CT172" i="1"/>
  <c r="CS172" i="1"/>
  <c r="CR172" i="1"/>
  <c r="CQ172" i="1"/>
  <c r="AJ172" i="1" s="1"/>
  <c r="CO172" i="1"/>
  <c r="CN172" i="1"/>
  <c r="CM172" i="1"/>
  <c r="CL172" i="1"/>
  <c r="AI172" i="1" s="1"/>
  <c r="CK172" i="1"/>
  <c r="CJ172" i="1"/>
  <c r="CH172" i="1"/>
  <c r="CG172" i="1"/>
  <c r="CF172" i="1"/>
  <c r="CE172" i="1"/>
  <c r="CD172" i="1"/>
  <c r="CC172" i="1"/>
  <c r="AH172" i="1" s="1"/>
  <c r="AF172" i="1"/>
  <c r="AD172" i="1"/>
  <c r="Z172" i="1"/>
  <c r="T172" i="1"/>
  <c r="P172" i="1"/>
  <c r="Q172" i="1" s="1"/>
  <c r="M172" i="1"/>
  <c r="O172" i="1" s="1"/>
  <c r="FN172" i="1" s="1"/>
  <c r="U172" i="1" s="1"/>
  <c r="FP171" i="1"/>
  <c r="FO171" i="1"/>
  <c r="CV171" i="1"/>
  <c r="CU171" i="1"/>
  <c r="CT171" i="1"/>
  <c r="CS171" i="1"/>
  <c r="CR171" i="1"/>
  <c r="CQ171" i="1"/>
  <c r="CO171" i="1"/>
  <c r="CN171" i="1"/>
  <c r="CM171" i="1"/>
  <c r="CL171" i="1"/>
  <c r="CK171" i="1"/>
  <c r="CJ171" i="1"/>
  <c r="AI171" i="1" s="1"/>
  <c r="CH171" i="1"/>
  <c r="CG171" i="1"/>
  <c r="CF171" i="1"/>
  <c r="CE171" i="1"/>
  <c r="CD171" i="1"/>
  <c r="AH171" i="1" s="1"/>
  <c r="CC171" i="1"/>
  <c r="AJ171" i="1"/>
  <c r="AF171" i="1"/>
  <c r="AD171" i="1"/>
  <c r="Z171" i="1"/>
  <c r="T171" i="1"/>
  <c r="P171" i="1"/>
  <c r="O171" i="1"/>
  <c r="FN171" i="1" s="1"/>
  <c r="U171" i="1" s="1"/>
  <c r="M171" i="1"/>
  <c r="FP170" i="1"/>
  <c r="FO170" i="1"/>
  <c r="CV170" i="1"/>
  <c r="CU170" i="1"/>
  <c r="CT170" i="1"/>
  <c r="AJ170" i="1" s="1"/>
  <c r="CS170" i="1"/>
  <c r="CR170" i="1"/>
  <c r="CQ170" i="1"/>
  <c r="CO170" i="1"/>
  <c r="CN170" i="1"/>
  <c r="CM170" i="1"/>
  <c r="CL170" i="1"/>
  <c r="CK170" i="1"/>
  <c r="AI170" i="1" s="1"/>
  <c r="CJ170" i="1"/>
  <c r="CH170" i="1"/>
  <c r="CG170" i="1"/>
  <c r="CF170" i="1"/>
  <c r="CE170" i="1"/>
  <c r="CD170" i="1"/>
  <c r="CC170" i="1"/>
  <c r="BV170" i="1"/>
  <c r="AG170" i="1"/>
  <c r="AF170" i="1"/>
  <c r="AD170" i="1"/>
  <c r="Z170" i="1"/>
  <c r="T170" i="1"/>
  <c r="P170" i="1"/>
  <c r="Q170" i="1" s="1"/>
  <c r="M170" i="1"/>
  <c r="O170" i="1" s="1"/>
  <c r="FN170" i="1" s="1"/>
  <c r="U170" i="1" s="1"/>
  <c r="V170" i="1" s="1"/>
  <c r="Y170" i="1" s="1"/>
  <c r="FP169" i="1"/>
  <c r="FO169" i="1"/>
  <c r="CV169" i="1"/>
  <c r="CU169" i="1"/>
  <c r="CT169" i="1"/>
  <c r="AJ169" i="1" s="1"/>
  <c r="CS169" i="1"/>
  <c r="CR169" i="1"/>
  <c r="CQ169" i="1"/>
  <c r="CO169" i="1"/>
  <c r="CN169" i="1"/>
  <c r="CM169" i="1"/>
  <c r="CL169" i="1"/>
  <c r="CK169" i="1"/>
  <c r="CJ169" i="1"/>
  <c r="AI169" i="1" s="1"/>
  <c r="CH169" i="1"/>
  <c r="CG169" i="1"/>
  <c r="CF169" i="1"/>
  <c r="CE169" i="1"/>
  <c r="CD169" i="1"/>
  <c r="CC169" i="1"/>
  <c r="AH169" i="1"/>
  <c r="AF169" i="1"/>
  <c r="AD169" i="1"/>
  <c r="Z169" i="1"/>
  <c r="T169" i="1"/>
  <c r="Q169" i="1"/>
  <c r="P169" i="1"/>
  <c r="AG169" i="1" s="1"/>
  <c r="O169" i="1"/>
  <c r="FN169" i="1" s="1"/>
  <c r="U169" i="1" s="1"/>
  <c r="M169" i="1"/>
  <c r="FP168" i="1"/>
  <c r="FO168" i="1"/>
  <c r="CV168" i="1"/>
  <c r="CU168" i="1"/>
  <c r="CT168" i="1"/>
  <c r="CS168" i="1"/>
  <c r="CR168" i="1"/>
  <c r="CQ168" i="1"/>
  <c r="AJ168" i="1" s="1"/>
  <c r="CO168" i="1"/>
  <c r="CN168" i="1"/>
  <c r="CM168" i="1"/>
  <c r="CL168" i="1"/>
  <c r="CK168" i="1"/>
  <c r="CJ168" i="1"/>
  <c r="CH168" i="1"/>
  <c r="CG168" i="1"/>
  <c r="CF168" i="1"/>
  <c r="CE168" i="1"/>
  <c r="CD168" i="1"/>
  <c r="CC168" i="1"/>
  <c r="AH168" i="1" s="1"/>
  <c r="AI168" i="1"/>
  <c r="AF168" i="1"/>
  <c r="AD168" i="1"/>
  <c r="Z168" i="1"/>
  <c r="T168" i="1"/>
  <c r="P168" i="1"/>
  <c r="Q168" i="1" s="1"/>
  <c r="M168" i="1"/>
  <c r="O168" i="1" s="1"/>
  <c r="FN168" i="1" s="1"/>
  <c r="U168" i="1" s="1"/>
  <c r="FP167" i="1"/>
  <c r="FO167" i="1"/>
  <c r="CV167" i="1"/>
  <c r="CU167" i="1"/>
  <c r="CT167" i="1"/>
  <c r="CS167" i="1"/>
  <c r="CR167" i="1"/>
  <c r="AJ167" i="1" s="1"/>
  <c r="CQ167" i="1"/>
  <c r="CO167" i="1"/>
  <c r="CN167" i="1"/>
  <c r="CM167" i="1"/>
  <c r="CL167" i="1"/>
  <c r="CK167" i="1"/>
  <c r="AI167" i="1" s="1"/>
  <c r="CJ167" i="1"/>
  <c r="CH167" i="1"/>
  <c r="CG167" i="1"/>
  <c r="CF167" i="1"/>
  <c r="CE167" i="1"/>
  <c r="CD167" i="1"/>
  <c r="AH167" i="1" s="1"/>
  <c r="CC167" i="1"/>
  <c r="BH167" i="1"/>
  <c r="AF167" i="1"/>
  <c r="AD167" i="1"/>
  <c r="Z167" i="1"/>
  <c r="T167" i="1"/>
  <c r="Q167" i="1"/>
  <c r="P167" i="1"/>
  <c r="AG167" i="1" s="1"/>
  <c r="O167" i="1"/>
  <c r="FN167" i="1" s="1"/>
  <c r="U167" i="1" s="1"/>
  <c r="V167" i="1" s="1"/>
  <c r="Y167" i="1" s="1"/>
  <c r="M167" i="1"/>
  <c r="FP166" i="1"/>
  <c r="FO166" i="1"/>
  <c r="FN166" i="1"/>
  <c r="U166" i="1" s="1"/>
  <c r="CV166" i="1"/>
  <c r="CU166" i="1"/>
  <c r="CT166" i="1"/>
  <c r="CS166" i="1"/>
  <c r="CR166" i="1"/>
  <c r="CQ166" i="1"/>
  <c r="AJ166" i="1" s="1"/>
  <c r="CO166" i="1"/>
  <c r="CN166" i="1"/>
  <c r="CM166" i="1"/>
  <c r="CL166" i="1"/>
  <c r="CK166" i="1"/>
  <c r="CJ166" i="1"/>
  <c r="AI166" i="1" s="1"/>
  <c r="CH166" i="1"/>
  <c r="CG166" i="1"/>
  <c r="CF166" i="1"/>
  <c r="CE166" i="1"/>
  <c r="CD166" i="1"/>
  <c r="CC166" i="1"/>
  <c r="AH166" i="1" s="1"/>
  <c r="AF166" i="1"/>
  <c r="AD166" i="1"/>
  <c r="Z166" i="1"/>
  <c r="T166" i="1"/>
  <c r="P166" i="1"/>
  <c r="Q166" i="1" s="1"/>
  <c r="M166" i="1"/>
  <c r="O166" i="1" s="1"/>
  <c r="FP165" i="1"/>
  <c r="FO165" i="1"/>
  <c r="CV165" i="1"/>
  <c r="CU165" i="1"/>
  <c r="CT165" i="1"/>
  <c r="AJ165" i="1" s="1"/>
  <c r="CS165" i="1"/>
  <c r="CR165" i="1"/>
  <c r="CQ165" i="1"/>
  <c r="CO165" i="1"/>
  <c r="CN165" i="1"/>
  <c r="CM165" i="1"/>
  <c r="CL165" i="1"/>
  <c r="CK165" i="1"/>
  <c r="CJ165" i="1"/>
  <c r="CH165" i="1"/>
  <c r="CG165" i="1"/>
  <c r="CF165" i="1"/>
  <c r="AH165" i="1" s="1"/>
  <c r="CE165" i="1"/>
  <c r="CD165" i="1"/>
  <c r="CC165" i="1"/>
  <c r="BV165" i="1"/>
  <c r="AF165" i="1"/>
  <c r="AD165" i="1"/>
  <c r="Z165" i="1"/>
  <c r="T165" i="1"/>
  <c r="Q165" i="1"/>
  <c r="P165" i="1"/>
  <c r="AG165" i="1" s="1"/>
  <c r="O165" i="1"/>
  <c r="FN165" i="1" s="1"/>
  <c r="U165" i="1" s="1"/>
  <c r="M165" i="1"/>
  <c r="FP164" i="1"/>
  <c r="FO164" i="1"/>
  <c r="CV164" i="1"/>
  <c r="CU164" i="1"/>
  <c r="CT164" i="1"/>
  <c r="CS164" i="1"/>
  <c r="CR164" i="1"/>
  <c r="CQ164" i="1"/>
  <c r="AJ164" i="1" s="1"/>
  <c r="CO164" i="1"/>
  <c r="CN164" i="1"/>
  <c r="CM164" i="1"/>
  <c r="CL164" i="1"/>
  <c r="CK164" i="1"/>
  <c r="CJ164" i="1"/>
  <c r="CH164" i="1"/>
  <c r="CG164" i="1"/>
  <c r="CF164" i="1"/>
  <c r="CE164" i="1"/>
  <c r="CD164" i="1"/>
  <c r="CC164" i="1"/>
  <c r="AH164" i="1" s="1"/>
  <c r="AI164" i="1"/>
  <c r="AF164" i="1"/>
  <c r="AD164" i="1"/>
  <c r="Z164" i="1"/>
  <c r="T164" i="1"/>
  <c r="P164" i="1"/>
  <c r="Q164" i="1" s="1"/>
  <c r="M164" i="1"/>
  <c r="O164" i="1" s="1"/>
  <c r="FN164" i="1" s="1"/>
  <c r="U164" i="1" s="1"/>
  <c r="FP163" i="1"/>
  <c r="FO163" i="1"/>
  <c r="CV163" i="1"/>
  <c r="CU163" i="1"/>
  <c r="CT163" i="1"/>
  <c r="CS163" i="1"/>
  <c r="CR163" i="1"/>
  <c r="CQ163" i="1"/>
  <c r="CO163" i="1"/>
  <c r="CN163" i="1"/>
  <c r="CM163" i="1"/>
  <c r="CL163" i="1"/>
  <c r="CK163" i="1"/>
  <c r="AI163" i="1" s="1"/>
  <c r="CJ163" i="1"/>
  <c r="CH163" i="1"/>
  <c r="CG163" i="1"/>
  <c r="CF163" i="1"/>
  <c r="CE163" i="1"/>
  <c r="CD163" i="1"/>
  <c r="AH163" i="1" s="1"/>
  <c r="CC163" i="1"/>
  <c r="AJ163" i="1"/>
  <c r="AF163" i="1"/>
  <c r="AD163" i="1"/>
  <c r="Z163" i="1"/>
  <c r="T163" i="1"/>
  <c r="Q163" i="1"/>
  <c r="P163" i="1"/>
  <c r="AG163" i="1" s="1"/>
  <c r="O163" i="1"/>
  <c r="FN163" i="1" s="1"/>
  <c r="U163" i="1" s="1"/>
  <c r="V163" i="1" s="1"/>
  <c r="Y163" i="1" s="1"/>
  <c r="M163" i="1"/>
  <c r="FP162" i="1"/>
  <c r="FO162" i="1"/>
  <c r="CV162" i="1"/>
  <c r="CU162" i="1"/>
  <c r="CT162" i="1"/>
  <c r="CS162" i="1"/>
  <c r="CR162" i="1"/>
  <c r="CQ162" i="1"/>
  <c r="AJ162" i="1" s="1"/>
  <c r="CO162" i="1"/>
  <c r="CN162" i="1"/>
  <c r="CM162" i="1"/>
  <c r="CL162" i="1"/>
  <c r="CK162" i="1"/>
  <c r="CJ162" i="1"/>
  <c r="AI162" i="1" s="1"/>
  <c r="CH162" i="1"/>
  <c r="CG162" i="1"/>
  <c r="CF162" i="1"/>
  <c r="CE162" i="1"/>
  <c r="CD162" i="1"/>
  <c r="CC162" i="1"/>
  <c r="AH162" i="1" s="1"/>
  <c r="AG162" i="1"/>
  <c r="BO162" i="1" s="1"/>
  <c r="AF162" i="1"/>
  <c r="AD162" i="1"/>
  <c r="Z162" i="1"/>
  <c r="T162" i="1"/>
  <c r="P162" i="1"/>
  <c r="Q162" i="1" s="1"/>
  <c r="M162" i="1"/>
  <c r="O162" i="1" s="1"/>
  <c r="FN162" i="1" s="1"/>
  <c r="U162" i="1" s="1"/>
  <c r="V162" i="1" s="1"/>
  <c r="Y162" i="1" s="1"/>
  <c r="FP161" i="1"/>
  <c r="FO161" i="1"/>
  <c r="CV161" i="1"/>
  <c r="CU161" i="1"/>
  <c r="CT161" i="1"/>
  <c r="AJ161" i="1" s="1"/>
  <c r="CS161" i="1"/>
  <c r="CR161" i="1"/>
  <c r="CQ161" i="1"/>
  <c r="CO161" i="1"/>
  <c r="CN161" i="1"/>
  <c r="CM161" i="1"/>
  <c r="CL161" i="1"/>
  <c r="CK161" i="1"/>
  <c r="CJ161" i="1"/>
  <c r="AI161" i="1" s="1"/>
  <c r="CH161" i="1"/>
  <c r="CG161" i="1"/>
  <c r="CF161" i="1"/>
  <c r="AH161" i="1" s="1"/>
  <c r="CE161" i="1"/>
  <c r="CD161" i="1"/>
  <c r="CC161" i="1"/>
  <c r="AF161" i="1"/>
  <c r="AD161" i="1"/>
  <c r="Z161" i="1"/>
  <c r="T161" i="1"/>
  <c r="Q161" i="1"/>
  <c r="P161" i="1"/>
  <c r="AG161" i="1" s="1"/>
  <c r="O161" i="1"/>
  <c r="FN161" i="1" s="1"/>
  <c r="U161" i="1" s="1"/>
  <c r="M161" i="1"/>
  <c r="FP160" i="1"/>
  <c r="FO160" i="1"/>
  <c r="CV160" i="1"/>
  <c r="CU160" i="1"/>
  <c r="CT160" i="1"/>
  <c r="CS160" i="1"/>
  <c r="CR160" i="1"/>
  <c r="CQ160" i="1"/>
  <c r="AJ160" i="1" s="1"/>
  <c r="CO160" i="1"/>
  <c r="CN160" i="1"/>
  <c r="CM160" i="1"/>
  <c r="CL160" i="1"/>
  <c r="AI160" i="1" s="1"/>
  <c r="CK160" i="1"/>
  <c r="CJ160" i="1"/>
  <c r="CH160" i="1"/>
  <c r="CG160" i="1"/>
  <c r="CF160" i="1"/>
  <c r="CE160" i="1"/>
  <c r="CD160" i="1"/>
  <c r="CC160" i="1"/>
  <c r="AH160" i="1" s="1"/>
  <c r="AF160" i="1"/>
  <c r="AD160" i="1"/>
  <c r="Z160" i="1"/>
  <c r="T160" i="1"/>
  <c r="P160" i="1"/>
  <c r="Q160" i="1" s="1"/>
  <c r="M160" i="1"/>
  <c r="O160" i="1" s="1"/>
  <c r="FN160" i="1" s="1"/>
  <c r="U160" i="1" s="1"/>
  <c r="FP159" i="1"/>
  <c r="FO159" i="1"/>
  <c r="CV159" i="1"/>
  <c r="CU159" i="1"/>
  <c r="CT159" i="1"/>
  <c r="CS159" i="1"/>
  <c r="CR159" i="1"/>
  <c r="AJ159" i="1" s="1"/>
  <c r="CQ159" i="1"/>
  <c r="CO159" i="1"/>
  <c r="CN159" i="1"/>
  <c r="CM159" i="1"/>
  <c r="CL159" i="1"/>
  <c r="CK159" i="1"/>
  <c r="CJ159" i="1"/>
  <c r="CH159" i="1"/>
  <c r="CG159" i="1"/>
  <c r="CF159" i="1"/>
  <c r="CE159" i="1"/>
  <c r="CD159" i="1"/>
  <c r="AH159" i="1" s="1"/>
  <c r="CC159" i="1"/>
  <c r="BH159" i="1"/>
  <c r="AF159" i="1"/>
  <c r="AD159" i="1"/>
  <c r="Z159" i="1"/>
  <c r="T159" i="1"/>
  <c r="Q159" i="1"/>
  <c r="P159" i="1"/>
  <c r="AG159" i="1" s="1"/>
  <c r="O159" i="1"/>
  <c r="FN159" i="1" s="1"/>
  <c r="U159" i="1" s="1"/>
  <c r="V159" i="1" s="1"/>
  <c r="Y159" i="1" s="1"/>
  <c r="M159" i="1"/>
  <c r="FP158" i="1"/>
  <c r="FO158" i="1"/>
  <c r="FN158" i="1"/>
  <c r="U158" i="1" s="1"/>
  <c r="V158" i="1" s="1"/>
  <c r="Y158" i="1" s="1"/>
  <c r="CV158" i="1"/>
  <c r="CU158" i="1"/>
  <c r="CT158" i="1"/>
  <c r="CS158" i="1"/>
  <c r="CR158" i="1"/>
  <c r="CQ158" i="1"/>
  <c r="CO158" i="1"/>
  <c r="CN158" i="1"/>
  <c r="CM158" i="1"/>
  <c r="CL158" i="1"/>
  <c r="CK158" i="1"/>
  <c r="CJ158" i="1"/>
  <c r="AI158" i="1" s="1"/>
  <c r="CH158" i="1"/>
  <c r="CG158" i="1"/>
  <c r="CF158" i="1"/>
  <c r="CE158" i="1"/>
  <c r="CD158" i="1"/>
  <c r="CC158" i="1"/>
  <c r="AF158" i="1"/>
  <c r="AD158" i="1"/>
  <c r="Z158" i="1"/>
  <c r="T158" i="1"/>
  <c r="P158" i="1"/>
  <c r="Q158" i="1" s="1"/>
  <c r="M158" i="1"/>
  <c r="O158" i="1" s="1"/>
  <c r="FP157" i="1"/>
  <c r="FO157" i="1"/>
  <c r="CV157" i="1"/>
  <c r="CU157" i="1"/>
  <c r="CT157" i="1"/>
  <c r="AJ157" i="1" s="1"/>
  <c r="CS157" i="1"/>
  <c r="CR157" i="1"/>
  <c r="CQ157" i="1"/>
  <c r="CO157" i="1"/>
  <c r="CN157" i="1"/>
  <c r="CM157" i="1"/>
  <c r="CL157" i="1"/>
  <c r="CK157" i="1"/>
  <c r="CJ157" i="1"/>
  <c r="CH157" i="1"/>
  <c r="CG157" i="1"/>
  <c r="CF157" i="1"/>
  <c r="CE157" i="1"/>
  <c r="CD157" i="1"/>
  <c r="CC157" i="1"/>
  <c r="BV157" i="1"/>
  <c r="AH157" i="1"/>
  <c r="AF157" i="1"/>
  <c r="AD157" i="1"/>
  <c r="Z157" i="1"/>
  <c r="T157" i="1"/>
  <c r="Q157" i="1"/>
  <c r="P157" i="1"/>
  <c r="AG157" i="1" s="1"/>
  <c r="O157" i="1"/>
  <c r="FN157" i="1" s="1"/>
  <c r="U157" i="1" s="1"/>
  <c r="M157" i="1"/>
  <c r="FP156" i="1"/>
  <c r="FO156" i="1"/>
  <c r="CV156" i="1"/>
  <c r="CU156" i="1"/>
  <c r="CT156" i="1"/>
  <c r="CS156" i="1"/>
  <c r="CR156" i="1"/>
  <c r="CQ156" i="1"/>
  <c r="AJ156" i="1" s="1"/>
  <c r="CO156" i="1"/>
  <c r="CN156" i="1"/>
  <c r="CM156" i="1"/>
  <c r="CL156" i="1"/>
  <c r="AI156" i="1" s="1"/>
  <c r="CK156" i="1"/>
  <c r="CJ156" i="1"/>
  <c r="CH156" i="1"/>
  <c r="CG156" i="1"/>
  <c r="CF156" i="1"/>
  <c r="CE156" i="1"/>
  <c r="CD156" i="1"/>
  <c r="CC156" i="1"/>
  <c r="AH156" i="1" s="1"/>
  <c r="AF156" i="1"/>
  <c r="AD156" i="1"/>
  <c r="Z156" i="1"/>
  <c r="T156" i="1"/>
  <c r="P156" i="1"/>
  <c r="Q156" i="1" s="1"/>
  <c r="M156" i="1"/>
  <c r="O156" i="1" s="1"/>
  <c r="FN156" i="1" s="1"/>
  <c r="U156" i="1" s="1"/>
  <c r="FP155" i="1"/>
  <c r="FO155" i="1"/>
  <c r="CV155" i="1"/>
  <c r="CU155" i="1"/>
  <c r="CT155" i="1"/>
  <c r="CS155" i="1"/>
  <c r="CR155" i="1"/>
  <c r="CQ155" i="1"/>
  <c r="CO155" i="1"/>
  <c r="CN155" i="1"/>
  <c r="CM155" i="1"/>
  <c r="CL155" i="1"/>
  <c r="CK155" i="1"/>
  <c r="CJ155" i="1"/>
  <c r="CH155" i="1"/>
  <c r="CG155" i="1"/>
  <c r="CF155" i="1"/>
  <c r="CE155" i="1"/>
  <c r="CD155" i="1"/>
  <c r="AH155" i="1" s="1"/>
  <c r="CC155" i="1"/>
  <c r="AJ155" i="1"/>
  <c r="AF155" i="1"/>
  <c r="AD155" i="1"/>
  <c r="Z155" i="1"/>
  <c r="T155" i="1"/>
  <c r="Q155" i="1"/>
  <c r="P155" i="1"/>
  <c r="AG155" i="1" s="1"/>
  <c r="BH155" i="1" s="1"/>
  <c r="O155" i="1"/>
  <c r="FN155" i="1" s="1"/>
  <c r="U155" i="1" s="1"/>
  <c r="V155" i="1" s="1"/>
  <c r="Y155" i="1" s="1"/>
  <c r="M155" i="1"/>
  <c r="FP154" i="1"/>
  <c r="FO154" i="1"/>
  <c r="CV154" i="1"/>
  <c r="CU154" i="1"/>
  <c r="CT154" i="1"/>
  <c r="CS154" i="1"/>
  <c r="CR154" i="1"/>
  <c r="CQ154" i="1"/>
  <c r="CO154" i="1"/>
  <c r="CN154" i="1"/>
  <c r="CM154" i="1"/>
  <c r="CL154" i="1"/>
  <c r="CK154" i="1"/>
  <c r="CJ154" i="1"/>
  <c r="AI154" i="1" s="1"/>
  <c r="CH154" i="1"/>
  <c r="CG154" i="1"/>
  <c r="CF154" i="1"/>
  <c r="CE154" i="1"/>
  <c r="CD154" i="1"/>
  <c r="CC154" i="1"/>
  <c r="BO154" i="1"/>
  <c r="AG154" i="1"/>
  <c r="AF154" i="1"/>
  <c r="AD154" i="1"/>
  <c r="Z154" i="1"/>
  <c r="T154" i="1"/>
  <c r="P154" i="1"/>
  <c r="Q154" i="1" s="1"/>
  <c r="M154" i="1"/>
  <c r="O154" i="1" s="1"/>
  <c r="FN154" i="1" s="1"/>
  <c r="U154" i="1" s="1"/>
  <c r="V154" i="1" s="1"/>
  <c r="Y154" i="1" s="1"/>
  <c r="FP153" i="1"/>
  <c r="FO153" i="1"/>
  <c r="CV153" i="1"/>
  <c r="CU153" i="1"/>
  <c r="CT153" i="1"/>
  <c r="AJ153" i="1" s="1"/>
  <c r="CS153" i="1"/>
  <c r="CR153" i="1"/>
  <c r="CQ153" i="1"/>
  <c r="CO153" i="1"/>
  <c r="CN153" i="1"/>
  <c r="CM153" i="1"/>
  <c r="CL153" i="1"/>
  <c r="CK153" i="1"/>
  <c r="CJ153" i="1"/>
  <c r="AI153" i="1" s="1"/>
  <c r="CH153" i="1"/>
  <c r="CG153" i="1"/>
  <c r="CF153" i="1"/>
  <c r="CE153" i="1"/>
  <c r="CD153" i="1"/>
  <c r="CC153" i="1"/>
  <c r="AH153" i="1"/>
  <c r="AF153" i="1"/>
  <c r="AD153" i="1"/>
  <c r="Z153" i="1"/>
  <c r="T153" i="1"/>
  <c r="Q153" i="1"/>
  <c r="P153" i="1"/>
  <c r="AG153" i="1" s="1"/>
  <c r="O153" i="1"/>
  <c r="FN153" i="1" s="1"/>
  <c r="U153" i="1" s="1"/>
  <c r="M153" i="1"/>
  <c r="FP152" i="1"/>
  <c r="FO152" i="1"/>
  <c r="CV152" i="1"/>
  <c r="CU152" i="1"/>
  <c r="CT152" i="1"/>
  <c r="CS152" i="1"/>
  <c r="CR152" i="1"/>
  <c r="CQ152" i="1"/>
  <c r="AJ152" i="1" s="1"/>
  <c r="CO152" i="1"/>
  <c r="CN152" i="1"/>
  <c r="CM152" i="1"/>
  <c r="CL152" i="1"/>
  <c r="CK152" i="1"/>
  <c r="CJ152" i="1"/>
  <c r="CH152" i="1"/>
  <c r="CG152" i="1"/>
  <c r="CF152" i="1"/>
  <c r="CE152" i="1"/>
  <c r="CD152" i="1"/>
  <c r="CC152" i="1"/>
  <c r="AH152" i="1" s="1"/>
  <c r="AI152" i="1"/>
  <c r="AF152" i="1"/>
  <c r="AD152" i="1"/>
  <c r="Z152" i="1"/>
  <c r="T152" i="1"/>
  <c r="P152" i="1"/>
  <c r="Q152" i="1" s="1"/>
  <c r="M152" i="1"/>
  <c r="O152" i="1" s="1"/>
  <c r="FN152" i="1" s="1"/>
  <c r="U152" i="1" s="1"/>
  <c r="FP151" i="1"/>
  <c r="FO151" i="1"/>
  <c r="CV151" i="1"/>
  <c r="CU151" i="1"/>
  <c r="CT151" i="1"/>
  <c r="CS151" i="1"/>
  <c r="CR151" i="1"/>
  <c r="AJ151" i="1" s="1"/>
  <c r="CQ151" i="1"/>
  <c r="CO151" i="1"/>
  <c r="CN151" i="1"/>
  <c r="CM151" i="1"/>
  <c r="CL151" i="1"/>
  <c r="CK151" i="1"/>
  <c r="AI151" i="1" s="1"/>
  <c r="CJ151" i="1"/>
  <c r="CH151" i="1"/>
  <c r="CG151" i="1"/>
  <c r="CF151" i="1"/>
  <c r="CE151" i="1"/>
  <c r="CD151" i="1"/>
  <c r="AH151" i="1" s="1"/>
  <c r="CC151" i="1"/>
  <c r="BH151" i="1"/>
  <c r="AF151" i="1"/>
  <c r="AD151" i="1"/>
  <c r="Z151" i="1"/>
  <c r="T151" i="1"/>
  <c r="Q151" i="1"/>
  <c r="P151" i="1"/>
  <c r="AG151" i="1" s="1"/>
  <c r="O151" i="1"/>
  <c r="FN151" i="1" s="1"/>
  <c r="U151" i="1" s="1"/>
  <c r="V151" i="1" s="1"/>
  <c r="Y151" i="1" s="1"/>
  <c r="M151" i="1"/>
  <c r="FP150" i="1"/>
  <c r="FO150" i="1"/>
  <c r="FN150" i="1"/>
  <c r="U150" i="1" s="1"/>
  <c r="CV150" i="1"/>
  <c r="CU150" i="1"/>
  <c r="CT150" i="1"/>
  <c r="CS150" i="1"/>
  <c r="CR150" i="1"/>
  <c r="CQ150" i="1"/>
  <c r="AJ150" i="1" s="1"/>
  <c r="CO150" i="1"/>
  <c r="CN150" i="1"/>
  <c r="CM150" i="1"/>
  <c r="CL150" i="1"/>
  <c r="CK150" i="1"/>
  <c r="CJ150" i="1"/>
  <c r="AI150" i="1" s="1"/>
  <c r="CH150" i="1"/>
  <c r="CG150" i="1"/>
  <c r="CF150" i="1"/>
  <c r="CE150" i="1"/>
  <c r="CD150" i="1"/>
  <c r="CC150" i="1"/>
  <c r="AH150" i="1" s="1"/>
  <c r="AF150" i="1"/>
  <c r="AD150" i="1"/>
  <c r="Z150" i="1"/>
  <c r="T150" i="1"/>
  <c r="P150" i="1"/>
  <c r="Q150" i="1" s="1"/>
  <c r="M150" i="1"/>
  <c r="O150" i="1" s="1"/>
  <c r="FP149" i="1"/>
  <c r="FO149" i="1"/>
  <c r="CV149" i="1"/>
  <c r="CU149" i="1"/>
  <c r="CT149" i="1"/>
  <c r="AJ149" i="1" s="1"/>
  <c r="CS149" i="1"/>
  <c r="CR149" i="1"/>
  <c r="CQ149" i="1"/>
  <c r="CO149" i="1"/>
  <c r="CN149" i="1"/>
  <c r="CM149" i="1"/>
  <c r="CL149" i="1"/>
  <c r="CK149" i="1"/>
  <c r="CJ149" i="1"/>
  <c r="CH149" i="1"/>
  <c r="CG149" i="1"/>
  <c r="CF149" i="1"/>
  <c r="AH149" i="1" s="1"/>
  <c r="CE149" i="1"/>
  <c r="CD149" i="1"/>
  <c r="CC149" i="1"/>
  <c r="BV149" i="1"/>
  <c r="AF149" i="1"/>
  <c r="AD149" i="1"/>
  <c r="Z149" i="1"/>
  <c r="T149" i="1"/>
  <c r="Q149" i="1"/>
  <c r="P149" i="1"/>
  <c r="AG149" i="1" s="1"/>
  <c r="O149" i="1"/>
  <c r="FN149" i="1" s="1"/>
  <c r="U149" i="1" s="1"/>
  <c r="M149" i="1"/>
  <c r="FP148" i="1"/>
  <c r="FO148" i="1"/>
  <c r="CV148" i="1"/>
  <c r="CU148" i="1"/>
  <c r="CT148" i="1"/>
  <c r="CS148" i="1"/>
  <c r="CR148" i="1"/>
  <c r="CQ148" i="1"/>
  <c r="AJ148" i="1" s="1"/>
  <c r="CO148" i="1"/>
  <c r="CN148" i="1"/>
  <c r="CM148" i="1"/>
  <c r="CL148" i="1"/>
  <c r="CK148" i="1"/>
  <c r="CJ148" i="1"/>
  <c r="CH148" i="1"/>
  <c r="CG148" i="1"/>
  <c r="CF148" i="1"/>
  <c r="CE148" i="1"/>
  <c r="CD148" i="1"/>
  <c r="CC148" i="1"/>
  <c r="AH148" i="1" s="1"/>
  <c r="AI148" i="1"/>
  <c r="AF148" i="1"/>
  <c r="AD148" i="1"/>
  <c r="Z148" i="1"/>
  <c r="T148" i="1"/>
  <c r="P148" i="1"/>
  <c r="Q148" i="1" s="1"/>
  <c r="M148" i="1"/>
  <c r="O148" i="1" s="1"/>
  <c r="FN148" i="1" s="1"/>
  <c r="U148" i="1" s="1"/>
  <c r="FP147" i="1"/>
  <c r="FO147" i="1"/>
  <c r="CV147" i="1"/>
  <c r="CU147" i="1"/>
  <c r="CT147" i="1"/>
  <c r="CS147" i="1"/>
  <c r="CR147" i="1"/>
  <c r="CQ147" i="1"/>
  <c r="CO147" i="1"/>
  <c r="CN147" i="1"/>
  <c r="CM147" i="1"/>
  <c r="CL147" i="1"/>
  <c r="CK147" i="1"/>
  <c r="AI147" i="1" s="1"/>
  <c r="CJ147" i="1"/>
  <c r="CH147" i="1"/>
  <c r="CG147" i="1"/>
  <c r="CF147" i="1"/>
  <c r="CE147" i="1"/>
  <c r="CD147" i="1"/>
  <c r="AH147" i="1" s="1"/>
  <c r="CC147" i="1"/>
  <c r="AJ147" i="1"/>
  <c r="AF147" i="1"/>
  <c r="AD147" i="1"/>
  <c r="Z147" i="1"/>
  <c r="T147" i="1"/>
  <c r="Q147" i="1"/>
  <c r="P147" i="1"/>
  <c r="AG147" i="1" s="1"/>
  <c r="O147" i="1"/>
  <c r="FN147" i="1" s="1"/>
  <c r="U147" i="1" s="1"/>
  <c r="V147" i="1" s="1"/>
  <c r="Y147" i="1" s="1"/>
  <c r="M147" i="1"/>
  <c r="FP146" i="1"/>
  <c r="FO146" i="1"/>
  <c r="CV146" i="1"/>
  <c r="CU146" i="1"/>
  <c r="CT146" i="1"/>
  <c r="CS146" i="1"/>
  <c r="CR146" i="1"/>
  <c r="CQ146" i="1"/>
  <c r="AJ146" i="1" s="1"/>
  <c r="CO146" i="1"/>
  <c r="CN146" i="1"/>
  <c r="CM146" i="1"/>
  <c r="CL146" i="1"/>
  <c r="CK146" i="1"/>
  <c r="CJ146" i="1"/>
  <c r="AI146" i="1" s="1"/>
  <c r="CH146" i="1"/>
  <c r="CG146" i="1"/>
  <c r="CF146" i="1"/>
  <c r="CE146" i="1"/>
  <c r="CD146" i="1"/>
  <c r="CC146" i="1"/>
  <c r="AH146" i="1" s="1"/>
  <c r="AG146" i="1"/>
  <c r="AM146" i="1" s="1"/>
  <c r="AF146" i="1"/>
  <c r="AD146" i="1"/>
  <c r="Z146" i="1"/>
  <c r="T146" i="1"/>
  <c r="P146" i="1"/>
  <c r="Q146" i="1" s="1"/>
  <c r="M146" i="1"/>
  <c r="O146" i="1" s="1"/>
  <c r="FN146" i="1" s="1"/>
  <c r="U146" i="1" s="1"/>
  <c r="V146" i="1" s="1"/>
  <c r="Y146" i="1" s="1"/>
  <c r="FP145" i="1"/>
  <c r="FO145" i="1"/>
  <c r="CV145" i="1"/>
  <c r="CU145" i="1"/>
  <c r="CT145" i="1"/>
  <c r="AJ145" i="1" s="1"/>
  <c r="CS145" i="1"/>
  <c r="CR145" i="1"/>
  <c r="CQ145" i="1"/>
  <c r="CO145" i="1"/>
  <c r="CN145" i="1"/>
  <c r="CM145" i="1"/>
  <c r="CL145" i="1"/>
  <c r="CK145" i="1"/>
  <c r="CJ145" i="1"/>
  <c r="AI145" i="1" s="1"/>
  <c r="CH145" i="1"/>
  <c r="CG145" i="1"/>
  <c r="CF145" i="1"/>
  <c r="AH145" i="1" s="1"/>
  <c r="CE145" i="1"/>
  <c r="CD145" i="1"/>
  <c r="CC145" i="1"/>
  <c r="AF145" i="1"/>
  <c r="AD145" i="1"/>
  <c r="Z145" i="1"/>
  <c r="T145" i="1"/>
  <c r="Q145" i="1"/>
  <c r="P145" i="1"/>
  <c r="AG145" i="1" s="1"/>
  <c r="O145" i="1"/>
  <c r="FN145" i="1" s="1"/>
  <c r="U145" i="1" s="1"/>
  <c r="M145" i="1"/>
  <c r="FP144" i="1"/>
  <c r="FO144" i="1"/>
  <c r="CV144" i="1"/>
  <c r="CU144" i="1"/>
  <c r="CT144" i="1"/>
  <c r="CS144" i="1"/>
  <c r="CR144" i="1"/>
  <c r="CQ144" i="1"/>
  <c r="AJ144" i="1" s="1"/>
  <c r="CO144" i="1"/>
  <c r="CN144" i="1"/>
  <c r="CM144" i="1"/>
  <c r="CL144" i="1"/>
  <c r="AI144" i="1" s="1"/>
  <c r="CK144" i="1"/>
  <c r="CJ144" i="1"/>
  <c r="CH144" i="1"/>
  <c r="CG144" i="1"/>
  <c r="CF144" i="1"/>
  <c r="CE144" i="1"/>
  <c r="CD144" i="1"/>
  <c r="CC144" i="1"/>
  <c r="AH144" i="1" s="1"/>
  <c r="AF144" i="1"/>
  <c r="AD144" i="1"/>
  <c r="Z144" i="1"/>
  <c r="T144" i="1"/>
  <c r="P144" i="1"/>
  <c r="Q144" i="1" s="1"/>
  <c r="M144" i="1"/>
  <c r="O144" i="1" s="1"/>
  <c r="FN144" i="1" s="1"/>
  <c r="U144" i="1" s="1"/>
  <c r="FP143" i="1"/>
  <c r="FO143" i="1"/>
  <c r="CV143" i="1"/>
  <c r="CU143" i="1"/>
  <c r="CT143" i="1"/>
  <c r="CS143" i="1"/>
  <c r="CR143" i="1"/>
  <c r="AJ143" i="1" s="1"/>
  <c r="CQ143" i="1"/>
  <c r="CO143" i="1"/>
  <c r="CN143" i="1"/>
  <c r="CM143" i="1"/>
  <c r="CL143" i="1"/>
  <c r="CK143" i="1"/>
  <c r="CJ143" i="1"/>
  <c r="CH143" i="1"/>
  <c r="CG143" i="1"/>
  <c r="CF143" i="1"/>
  <c r="CE143" i="1"/>
  <c r="CD143" i="1"/>
  <c r="AH143" i="1" s="1"/>
  <c r="CC143" i="1"/>
  <c r="BH143" i="1"/>
  <c r="AF143" i="1"/>
  <c r="AD143" i="1"/>
  <c r="Z143" i="1"/>
  <c r="T143" i="1"/>
  <c r="Q143" i="1"/>
  <c r="P143" i="1"/>
  <c r="AG143" i="1" s="1"/>
  <c r="O143" i="1"/>
  <c r="FN143" i="1" s="1"/>
  <c r="U143" i="1" s="1"/>
  <c r="V143" i="1" s="1"/>
  <c r="Y143" i="1" s="1"/>
  <c r="M143" i="1"/>
  <c r="FP142" i="1"/>
  <c r="FO142" i="1"/>
  <c r="FN142" i="1"/>
  <c r="U142" i="1" s="1"/>
  <c r="V142" i="1" s="1"/>
  <c r="Y142" i="1" s="1"/>
  <c r="CV142" i="1"/>
  <c r="CU142" i="1"/>
  <c r="CT142" i="1"/>
  <c r="CS142" i="1"/>
  <c r="CR142" i="1"/>
  <c r="CQ142" i="1"/>
  <c r="CO142" i="1"/>
  <c r="CN142" i="1"/>
  <c r="CM142" i="1"/>
  <c r="CL142" i="1"/>
  <c r="CK142" i="1"/>
  <c r="CJ142" i="1"/>
  <c r="AI142" i="1" s="1"/>
  <c r="CH142" i="1"/>
  <c r="CG142" i="1"/>
  <c r="CF142" i="1"/>
  <c r="CE142" i="1"/>
  <c r="CD142" i="1"/>
  <c r="CC142" i="1"/>
  <c r="AF142" i="1"/>
  <c r="AD142" i="1"/>
  <c r="Z142" i="1"/>
  <c r="T142" i="1"/>
  <c r="P142" i="1"/>
  <c r="Q142" i="1" s="1"/>
  <c r="M142" i="1"/>
  <c r="O142" i="1" s="1"/>
  <c r="FP141" i="1"/>
  <c r="FO141" i="1"/>
  <c r="CV141" i="1"/>
  <c r="CU141" i="1"/>
  <c r="CT141" i="1"/>
  <c r="AJ141" i="1" s="1"/>
  <c r="CS141" i="1"/>
  <c r="CR141" i="1"/>
  <c r="CQ141" i="1"/>
  <c r="CO141" i="1"/>
  <c r="CN141" i="1"/>
  <c r="CM141" i="1"/>
  <c r="CL141" i="1"/>
  <c r="CK141" i="1"/>
  <c r="CJ141" i="1"/>
  <c r="CH141" i="1"/>
  <c r="CG141" i="1"/>
  <c r="CF141" i="1"/>
  <c r="CE141" i="1"/>
  <c r="CD141" i="1"/>
  <c r="CC141" i="1"/>
  <c r="AH141" i="1"/>
  <c r="AF141" i="1"/>
  <c r="AD141" i="1"/>
  <c r="Z141" i="1"/>
  <c r="T141" i="1"/>
  <c r="Q141" i="1"/>
  <c r="P141" i="1"/>
  <c r="AG141" i="1" s="1"/>
  <c r="O141" i="1"/>
  <c r="FN141" i="1" s="1"/>
  <c r="U141" i="1" s="1"/>
  <c r="V141" i="1" s="1"/>
  <c r="Y141" i="1" s="1"/>
  <c r="M141" i="1"/>
  <c r="FP140" i="1"/>
  <c r="FO140" i="1"/>
  <c r="CV140" i="1"/>
  <c r="CU140" i="1"/>
  <c r="CT140" i="1"/>
  <c r="CS140" i="1"/>
  <c r="CR140" i="1"/>
  <c r="CQ140" i="1"/>
  <c r="CO140" i="1"/>
  <c r="CN140" i="1"/>
  <c r="CM140" i="1"/>
  <c r="CL140" i="1"/>
  <c r="CK140" i="1"/>
  <c r="CJ140" i="1"/>
  <c r="AI140" i="1" s="1"/>
  <c r="CH140" i="1"/>
  <c r="CG140" i="1"/>
  <c r="CF140" i="1"/>
  <c r="CE140" i="1"/>
  <c r="CD140" i="1"/>
  <c r="CC140" i="1"/>
  <c r="AF140" i="1"/>
  <c r="AD140" i="1"/>
  <c r="Z140" i="1"/>
  <c r="T140" i="1"/>
  <c r="P140" i="1"/>
  <c r="Q140" i="1" s="1"/>
  <c r="M140" i="1"/>
  <c r="O140" i="1" s="1"/>
  <c r="FN140" i="1" s="1"/>
  <c r="U140" i="1" s="1"/>
  <c r="V140" i="1" s="1"/>
  <c r="Y140" i="1" s="1"/>
  <c r="FP139" i="1"/>
  <c r="FO139" i="1"/>
  <c r="CV139" i="1"/>
  <c r="CU139" i="1"/>
  <c r="CT139" i="1"/>
  <c r="CS139" i="1"/>
  <c r="CR139" i="1"/>
  <c r="AJ139" i="1" s="1"/>
  <c r="CQ139" i="1"/>
  <c r="CO139" i="1"/>
  <c r="CN139" i="1"/>
  <c r="CM139" i="1"/>
  <c r="CL139" i="1"/>
  <c r="CK139" i="1"/>
  <c r="CJ139" i="1"/>
  <c r="CH139" i="1"/>
  <c r="CG139" i="1"/>
  <c r="CF139" i="1"/>
  <c r="CE139" i="1"/>
  <c r="CD139" i="1"/>
  <c r="AH139" i="1" s="1"/>
  <c r="CC139" i="1"/>
  <c r="BV139" i="1"/>
  <c r="AT139" i="1"/>
  <c r="AF139" i="1"/>
  <c r="AD139" i="1"/>
  <c r="Z139" i="1"/>
  <c r="T139" i="1"/>
  <c r="Q139" i="1"/>
  <c r="P139" i="1"/>
  <c r="AG139" i="1" s="1"/>
  <c r="O139" i="1"/>
  <c r="FN139" i="1" s="1"/>
  <c r="U139" i="1" s="1"/>
  <c r="V139" i="1" s="1"/>
  <c r="Y139" i="1" s="1"/>
  <c r="M139" i="1"/>
  <c r="FP138" i="1"/>
  <c r="FO138" i="1"/>
  <c r="CV138" i="1"/>
  <c r="CU138" i="1"/>
  <c r="CT138" i="1"/>
  <c r="CS138" i="1"/>
  <c r="CR138" i="1"/>
  <c r="CQ138" i="1"/>
  <c r="CO138" i="1"/>
  <c r="CN138" i="1"/>
  <c r="CM138" i="1"/>
  <c r="CL138" i="1"/>
  <c r="CK138" i="1"/>
  <c r="CJ138" i="1"/>
  <c r="AI138" i="1" s="1"/>
  <c r="CH138" i="1"/>
  <c r="CG138" i="1"/>
  <c r="CF138" i="1"/>
  <c r="CE138" i="1"/>
  <c r="CD138" i="1"/>
  <c r="CC138" i="1"/>
  <c r="AF138" i="1"/>
  <c r="AD138" i="1"/>
  <c r="Z138" i="1"/>
  <c r="T138" i="1"/>
  <c r="P138" i="1"/>
  <c r="Q138" i="1" s="1"/>
  <c r="M138" i="1"/>
  <c r="O138" i="1" s="1"/>
  <c r="FN138" i="1" s="1"/>
  <c r="U138" i="1" s="1"/>
  <c r="V138" i="1" s="1"/>
  <c r="Y138" i="1" s="1"/>
  <c r="FP137" i="1"/>
  <c r="FO137" i="1"/>
  <c r="CV137" i="1"/>
  <c r="CU137" i="1"/>
  <c r="CT137" i="1"/>
  <c r="CS137" i="1"/>
  <c r="CR137" i="1"/>
  <c r="CQ137" i="1"/>
  <c r="CO137" i="1"/>
  <c r="CN137" i="1"/>
  <c r="CM137" i="1"/>
  <c r="CL137" i="1"/>
  <c r="CK137" i="1"/>
  <c r="AI137" i="1" s="1"/>
  <c r="CJ137" i="1"/>
  <c r="CH137" i="1"/>
  <c r="CG137" i="1"/>
  <c r="CF137" i="1"/>
  <c r="CE137" i="1"/>
  <c r="CD137" i="1"/>
  <c r="CC137" i="1"/>
  <c r="AJ137" i="1"/>
  <c r="AH137" i="1"/>
  <c r="AF137" i="1"/>
  <c r="AD137" i="1"/>
  <c r="Z137" i="1"/>
  <c r="T137" i="1"/>
  <c r="Q137" i="1"/>
  <c r="P137" i="1"/>
  <c r="AG137" i="1" s="1"/>
  <c r="AT137" i="1" s="1"/>
  <c r="O137" i="1"/>
  <c r="FN137" i="1" s="1"/>
  <c r="U137" i="1" s="1"/>
  <c r="V137" i="1" s="1"/>
  <c r="Y137" i="1" s="1"/>
  <c r="M137" i="1"/>
  <c r="FP136" i="1"/>
  <c r="FO136" i="1"/>
  <c r="CV136" i="1"/>
  <c r="CU136" i="1"/>
  <c r="CT136" i="1"/>
  <c r="CS136" i="1"/>
  <c r="CR136" i="1"/>
  <c r="CQ136" i="1"/>
  <c r="AJ136" i="1" s="1"/>
  <c r="CO136" i="1"/>
  <c r="CN136" i="1"/>
  <c r="CM136" i="1"/>
  <c r="CL136" i="1"/>
  <c r="CK136" i="1"/>
  <c r="CJ136" i="1"/>
  <c r="CH136" i="1"/>
  <c r="CG136" i="1"/>
  <c r="CF136" i="1"/>
  <c r="CE136" i="1"/>
  <c r="CD136" i="1"/>
  <c r="CC136" i="1"/>
  <c r="AH136" i="1" s="1"/>
  <c r="AI136" i="1"/>
  <c r="AF136" i="1"/>
  <c r="AD136" i="1"/>
  <c r="Z136" i="1"/>
  <c r="T136" i="1"/>
  <c r="P136" i="1"/>
  <c r="Q136" i="1" s="1"/>
  <c r="M136" i="1"/>
  <c r="O136" i="1" s="1"/>
  <c r="FN136" i="1" s="1"/>
  <c r="U136" i="1" s="1"/>
  <c r="V136" i="1" s="1"/>
  <c r="Y136" i="1" s="1"/>
  <c r="FP135" i="1"/>
  <c r="FO135" i="1"/>
  <c r="CV135" i="1"/>
  <c r="CU135" i="1"/>
  <c r="CT135" i="1"/>
  <c r="CS135" i="1"/>
  <c r="CR135" i="1"/>
  <c r="AJ135" i="1" s="1"/>
  <c r="CQ135" i="1"/>
  <c r="CO135" i="1"/>
  <c r="CN135" i="1"/>
  <c r="CM135" i="1"/>
  <c r="CL135" i="1"/>
  <c r="CK135" i="1"/>
  <c r="CJ135" i="1"/>
  <c r="CH135" i="1"/>
  <c r="CG135" i="1"/>
  <c r="CF135" i="1"/>
  <c r="AH135" i="1" s="1"/>
  <c r="CE135" i="1"/>
  <c r="CD135" i="1"/>
  <c r="CC135" i="1"/>
  <c r="AF135" i="1"/>
  <c r="AD135" i="1"/>
  <c r="Z135" i="1"/>
  <c r="T135" i="1"/>
  <c r="P135" i="1"/>
  <c r="Q135" i="1" s="1"/>
  <c r="M135" i="1"/>
  <c r="O135" i="1" s="1"/>
  <c r="FN135" i="1" s="1"/>
  <c r="U135" i="1" s="1"/>
  <c r="V135" i="1" s="1"/>
  <c r="Y135" i="1" s="1"/>
  <c r="FP134" i="1"/>
  <c r="FO134" i="1"/>
  <c r="CV134" i="1"/>
  <c r="CU134" i="1"/>
  <c r="CT134" i="1"/>
  <c r="CS134" i="1"/>
  <c r="CR134" i="1"/>
  <c r="CQ134" i="1"/>
  <c r="CO134" i="1"/>
  <c r="CN134" i="1"/>
  <c r="CM134" i="1"/>
  <c r="CL134" i="1"/>
  <c r="CK134" i="1"/>
  <c r="AI134" i="1" s="1"/>
  <c r="CJ134" i="1"/>
  <c r="CH134" i="1"/>
  <c r="CG134" i="1"/>
  <c r="CF134" i="1"/>
  <c r="CE134" i="1"/>
  <c r="CD134" i="1"/>
  <c r="AH134" i="1" s="1"/>
  <c r="CC134" i="1"/>
  <c r="AJ134" i="1"/>
  <c r="AF134" i="1"/>
  <c r="AD134" i="1"/>
  <c r="Z134" i="1"/>
  <c r="T134" i="1"/>
  <c r="Q134" i="1"/>
  <c r="P134" i="1"/>
  <c r="AG134" i="1" s="1"/>
  <c r="O134" i="1"/>
  <c r="FN134" i="1" s="1"/>
  <c r="U134" i="1" s="1"/>
  <c r="V134" i="1" s="1"/>
  <c r="Y134" i="1" s="1"/>
  <c r="M134" i="1"/>
  <c r="FP133" i="1"/>
  <c r="FO133" i="1"/>
  <c r="CV133" i="1"/>
  <c r="CU133" i="1"/>
  <c r="CT133" i="1"/>
  <c r="CS133" i="1"/>
  <c r="CR133" i="1"/>
  <c r="CQ133" i="1"/>
  <c r="AJ133" i="1" s="1"/>
  <c r="CO133" i="1"/>
  <c r="CN133" i="1"/>
  <c r="CM133" i="1"/>
  <c r="CL133" i="1"/>
  <c r="CK133" i="1"/>
  <c r="CJ133" i="1"/>
  <c r="AI133" i="1" s="1"/>
  <c r="CH133" i="1"/>
  <c r="CG133" i="1"/>
  <c r="CF133" i="1"/>
  <c r="CE133" i="1"/>
  <c r="CD133" i="1"/>
  <c r="CC133" i="1"/>
  <c r="AH133" i="1" s="1"/>
  <c r="AF133" i="1"/>
  <c r="AD133" i="1"/>
  <c r="Z133" i="1"/>
  <c r="T133" i="1"/>
  <c r="P133" i="1"/>
  <c r="AG133" i="1" s="1"/>
  <c r="M133" i="1"/>
  <c r="O133" i="1" s="1"/>
  <c r="FN133" i="1" s="1"/>
  <c r="U133" i="1" s="1"/>
  <c r="V133" i="1" s="1"/>
  <c r="Y133" i="1" s="1"/>
  <c r="FP132" i="1"/>
  <c r="FO132" i="1"/>
  <c r="CV132" i="1"/>
  <c r="CU132" i="1"/>
  <c r="CT132" i="1"/>
  <c r="AJ132" i="1" s="1"/>
  <c r="CS132" i="1"/>
  <c r="CR132" i="1"/>
  <c r="CQ132" i="1"/>
  <c r="CO132" i="1"/>
  <c r="CN132" i="1"/>
  <c r="CM132" i="1"/>
  <c r="CL132" i="1"/>
  <c r="CK132" i="1"/>
  <c r="CJ132" i="1"/>
  <c r="AI132" i="1" s="1"/>
  <c r="CH132" i="1"/>
  <c r="CG132" i="1"/>
  <c r="CF132" i="1"/>
  <c r="CE132" i="1"/>
  <c r="CD132" i="1"/>
  <c r="CC132" i="1"/>
  <c r="AH132" i="1"/>
  <c r="AF132" i="1"/>
  <c r="AD132" i="1"/>
  <c r="Z132" i="1"/>
  <c r="T132" i="1"/>
  <c r="Q132" i="1"/>
  <c r="P132" i="1"/>
  <c r="AG132" i="1" s="1"/>
  <c r="O132" i="1"/>
  <c r="FN132" i="1" s="1"/>
  <c r="U132" i="1" s="1"/>
  <c r="V132" i="1" s="1"/>
  <c r="Y132" i="1" s="1"/>
  <c r="M132" i="1"/>
  <c r="FP131" i="1"/>
  <c r="FO131" i="1"/>
  <c r="CV131" i="1"/>
  <c r="CU131" i="1"/>
  <c r="CT131" i="1"/>
  <c r="CS131" i="1"/>
  <c r="CR131" i="1"/>
  <c r="CQ131" i="1"/>
  <c r="AJ131" i="1" s="1"/>
  <c r="CO131" i="1"/>
  <c r="CN131" i="1"/>
  <c r="CM131" i="1"/>
  <c r="CL131" i="1"/>
  <c r="CK131" i="1"/>
  <c r="CJ131" i="1"/>
  <c r="CH131" i="1"/>
  <c r="CG131" i="1"/>
  <c r="CF131" i="1"/>
  <c r="CE131" i="1"/>
  <c r="CD131" i="1"/>
  <c r="CC131" i="1"/>
  <c r="AH131" i="1" s="1"/>
  <c r="AI131" i="1"/>
  <c r="AF131" i="1"/>
  <c r="AD131" i="1"/>
  <c r="Z131" i="1"/>
  <c r="T131" i="1"/>
  <c r="P131" i="1"/>
  <c r="Q131" i="1" s="1"/>
  <c r="M131" i="1"/>
  <c r="O131" i="1" s="1"/>
  <c r="FN131" i="1" s="1"/>
  <c r="U131" i="1" s="1"/>
  <c r="V131" i="1" s="1"/>
  <c r="Y131" i="1" s="1"/>
  <c r="FP130" i="1"/>
  <c r="FO130" i="1"/>
  <c r="CV130" i="1"/>
  <c r="CU130" i="1"/>
  <c r="CT130" i="1"/>
  <c r="CS130" i="1"/>
  <c r="CR130" i="1"/>
  <c r="CQ130" i="1"/>
  <c r="CO130" i="1"/>
  <c r="CN130" i="1"/>
  <c r="CM130" i="1"/>
  <c r="CL130" i="1"/>
  <c r="CK130" i="1"/>
  <c r="AI130" i="1" s="1"/>
  <c r="CJ130" i="1"/>
  <c r="CH130" i="1"/>
  <c r="CG130" i="1"/>
  <c r="CF130" i="1"/>
  <c r="CE130" i="1"/>
  <c r="CD130" i="1"/>
  <c r="AH130" i="1" s="1"/>
  <c r="CC130" i="1"/>
  <c r="AJ130" i="1"/>
  <c r="AF130" i="1"/>
  <c r="AD130" i="1"/>
  <c r="Z130" i="1"/>
  <c r="T130" i="1"/>
  <c r="Q130" i="1"/>
  <c r="P130" i="1"/>
  <c r="AG130" i="1" s="1"/>
  <c r="O130" i="1"/>
  <c r="FN130" i="1" s="1"/>
  <c r="U130" i="1" s="1"/>
  <c r="V130" i="1" s="1"/>
  <c r="Y130" i="1" s="1"/>
  <c r="M130" i="1"/>
  <c r="FP129" i="1"/>
  <c r="FO129" i="1"/>
  <c r="CV129" i="1"/>
  <c r="CU129" i="1"/>
  <c r="CT129" i="1"/>
  <c r="CS129" i="1"/>
  <c r="CR129" i="1"/>
  <c r="CQ129" i="1"/>
  <c r="AJ129" i="1" s="1"/>
  <c r="CO129" i="1"/>
  <c r="CN129" i="1"/>
  <c r="CM129" i="1"/>
  <c r="CL129" i="1"/>
  <c r="CK129" i="1"/>
  <c r="CJ129" i="1"/>
  <c r="AI129" i="1" s="1"/>
  <c r="CH129" i="1"/>
  <c r="CG129" i="1"/>
  <c r="CF129" i="1"/>
  <c r="CE129" i="1"/>
  <c r="CD129" i="1"/>
  <c r="CC129" i="1"/>
  <c r="AH129" i="1" s="1"/>
  <c r="AF129" i="1"/>
  <c r="AD129" i="1"/>
  <c r="Z129" i="1"/>
  <c r="T129" i="1"/>
  <c r="P129" i="1"/>
  <c r="Q129" i="1" s="1"/>
  <c r="M129" i="1"/>
  <c r="O129" i="1" s="1"/>
  <c r="FN129" i="1" s="1"/>
  <c r="U129" i="1" s="1"/>
  <c r="V129" i="1" s="1"/>
  <c r="Y129" i="1" s="1"/>
  <c r="FP128" i="1"/>
  <c r="FO128" i="1"/>
  <c r="CV128" i="1"/>
  <c r="CU128" i="1"/>
  <c r="CT128" i="1"/>
  <c r="AJ128" i="1" s="1"/>
  <c r="CS128" i="1"/>
  <c r="CR128" i="1"/>
  <c r="CQ128" i="1"/>
  <c r="CO128" i="1"/>
  <c r="CN128" i="1"/>
  <c r="CM128" i="1"/>
  <c r="CL128" i="1"/>
  <c r="CK128" i="1"/>
  <c r="CJ128" i="1"/>
  <c r="AI128" i="1" s="1"/>
  <c r="CH128" i="1"/>
  <c r="CG128" i="1"/>
  <c r="CF128" i="1"/>
  <c r="CE128" i="1"/>
  <c r="CD128" i="1"/>
  <c r="CC128" i="1"/>
  <c r="AH128" i="1"/>
  <c r="AF128" i="1"/>
  <c r="AD128" i="1"/>
  <c r="Z128" i="1"/>
  <c r="T128" i="1"/>
  <c r="Q128" i="1"/>
  <c r="P128" i="1"/>
  <c r="AG128" i="1" s="1"/>
  <c r="O128" i="1"/>
  <c r="FN128" i="1" s="1"/>
  <c r="U128" i="1" s="1"/>
  <c r="V128" i="1" s="1"/>
  <c r="Y128" i="1" s="1"/>
  <c r="M128" i="1"/>
  <c r="FP127" i="1"/>
  <c r="FO127" i="1"/>
  <c r="CV127" i="1"/>
  <c r="CU127" i="1"/>
  <c r="CT127" i="1"/>
  <c r="CS127" i="1"/>
  <c r="CR127" i="1"/>
  <c r="CQ127" i="1"/>
  <c r="AJ127" i="1" s="1"/>
  <c r="CO127" i="1"/>
  <c r="CN127" i="1"/>
  <c r="CM127" i="1"/>
  <c r="CL127" i="1"/>
  <c r="CK127" i="1"/>
  <c r="CJ127" i="1"/>
  <c r="CH127" i="1"/>
  <c r="CG127" i="1"/>
  <c r="CF127" i="1"/>
  <c r="CE127" i="1"/>
  <c r="CD127" i="1"/>
  <c r="CC127" i="1"/>
  <c r="AH127" i="1" s="1"/>
  <c r="AI127" i="1"/>
  <c r="AF127" i="1"/>
  <c r="AD127" i="1"/>
  <c r="Z127" i="1"/>
  <c r="T127" i="1"/>
  <c r="P127" i="1"/>
  <c r="Q127" i="1" s="1"/>
  <c r="M127" i="1"/>
  <c r="O127" i="1" s="1"/>
  <c r="FN127" i="1" s="1"/>
  <c r="U127" i="1" s="1"/>
  <c r="V127" i="1" s="1"/>
  <c r="Y127" i="1" s="1"/>
  <c r="FP126" i="1"/>
  <c r="FO126" i="1"/>
  <c r="CV126" i="1"/>
  <c r="CU126" i="1"/>
  <c r="CT126" i="1"/>
  <c r="CS126" i="1"/>
  <c r="CR126" i="1"/>
  <c r="CQ126" i="1"/>
  <c r="CO126" i="1"/>
  <c r="CN126" i="1"/>
  <c r="CM126" i="1"/>
  <c r="CL126" i="1"/>
  <c r="CK126" i="1"/>
  <c r="AI126" i="1" s="1"/>
  <c r="CJ126" i="1"/>
  <c r="CH126" i="1"/>
  <c r="CG126" i="1"/>
  <c r="CF126" i="1"/>
  <c r="CE126" i="1"/>
  <c r="CD126" i="1"/>
  <c r="AH126" i="1" s="1"/>
  <c r="CC126" i="1"/>
  <c r="AJ126" i="1"/>
  <c r="AF126" i="1"/>
  <c r="AD126" i="1"/>
  <c r="Z126" i="1"/>
  <c r="T126" i="1"/>
  <c r="Q126" i="1"/>
  <c r="P126" i="1"/>
  <c r="AG126" i="1" s="1"/>
  <c r="O126" i="1"/>
  <c r="FN126" i="1" s="1"/>
  <c r="U126" i="1" s="1"/>
  <c r="V126" i="1" s="1"/>
  <c r="Y126" i="1" s="1"/>
  <c r="M126" i="1"/>
  <c r="FP125" i="1"/>
  <c r="FO125" i="1"/>
  <c r="CV125" i="1"/>
  <c r="CU125" i="1"/>
  <c r="CT125" i="1"/>
  <c r="CS125" i="1"/>
  <c r="CR125" i="1"/>
  <c r="CQ125" i="1"/>
  <c r="AJ125" i="1" s="1"/>
  <c r="CO125" i="1"/>
  <c r="CN125" i="1"/>
  <c r="CM125" i="1"/>
  <c r="CL125" i="1"/>
  <c r="CK125" i="1"/>
  <c r="CJ125" i="1"/>
  <c r="AI125" i="1" s="1"/>
  <c r="CH125" i="1"/>
  <c r="CG125" i="1"/>
  <c r="CF125" i="1"/>
  <c r="CE125" i="1"/>
  <c r="CD125" i="1"/>
  <c r="CC125" i="1"/>
  <c r="AH125" i="1" s="1"/>
  <c r="AF125" i="1"/>
  <c r="AD125" i="1"/>
  <c r="Z125" i="1"/>
  <c r="T125" i="1"/>
  <c r="P125" i="1"/>
  <c r="Q125" i="1" s="1"/>
  <c r="M125" i="1"/>
  <c r="O125" i="1" s="1"/>
  <c r="FN125" i="1" s="1"/>
  <c r="U125" i="1" s="1"/>
  <c r="V125" i="1" s="1"/>
  <c r="Y125" i="1" s="1"/>
  <c r="FP124" i="1"/>
  <c r="FO124" i="1"/>
  <c r="CV124" i="1"/>
  <c r="CU124" i="1"/>
  <c r="CT124" i="1"/>
  <c r="AJ124" i="1" s="1"/>
  <c r="CS124" i="1"/>
  <c r="CR124" i="1"/>
  <c r="CQ124" i="1"/>
  <c r="CO124" i="1"/>
  <c r="CN124" i="1"/>
  <c r="CM124" i="1"/>
  <c r="CL124" i="1"/>
  <c r="CK124" i="1"/>
  <c r="CJ124" i="1"/>
  <c r="AI124" i="1" s="1"/>
  <c r="CH124" i="1"/>
  <c r="CG124" i="1"/>
  <c r="CF124" i="1"/>
  <c r="CE124" i="1"/>
  <c r="CD124" i="1"/>
  <c r="CC124" i="1"/>
  <c r="AH124" i="1"/>
  <c r="AF124" i="1"/>
  <c r="AD124" i="1"/>
  <c r="Z124" i="1"/>
  <c r="T124" i="1"/>
  <c r="Q124" i="1"/>
  <c r="P124" i="1"/>
  <c r="AG124" i="1" s="1"/>
  <c r="O124" i="1"/>
  <c r="FN124" i="1" s="1"/>
  <c r="U124" i="1" s="1"/>
  <c r="V124" i="1" s="1"/>
  <c r="Y124" i="1" s="1"/>
  <c r="M124" i="1"/>
  <c r="FP123" i="1"/>
  <c r="FO123" i="1"/>
  <c r="CV123" i="1"/>
  <c r="CU123" i="1"/>
  <c r="CT123" i="1"/>
  <c r="CS123" i="1"/>
  <c r="CR123" i="1"/>
  <c r="CQ123" i="1"/>
  <c r="AJ123" i="1" s="1"/>
  <c r="CO123" i="1"/>
  <c r="CN123" i="1"/>
  <c r="CM123" i="1"/>
  <c r="CL123" i="1"/>
  <c r="CK123" i="1"/>
  <c r="CJ123" i="1"/>
  <c r="CH123" i="1"/>
  <c r="CG123" i="1"/>
  <c r="CF123" i="1"/>
  <c r="CE123" i="1"/>
  <c r="CD123" i="1"/>
  <c r="CC123" i="1"/>
  <c r="AH123" i="1" s="1"/>
  <c r="AI123" i="1"/>
  <c r="AF123" i="1"/>
  <c r="AD123" i="1"/>
  <c r="Z123" i="1"/>
  <c r="T123" i="1"/>
  <c r="P123" i="1"/>
  <c r="Q123" i="1" s="1"/>
  <c r="M123" i="1"/>
  <c r="O123" i="1" s="1"/>
  <c r="FN123" i="1" s="1"/>
  <c r="U123" i="1" s="1"/>
  <c r="V123" i="1" s="1"/>
  <c r="Y123" i="1" s="1"/>
  <c r="FP122" i="1"/>
  <c r="FO122" i="1"/>
  <c r="CV122" i="1"/>
  <c r="CU122" i="1"/>
  <c r="CT122" i="1"/>
  <c r="CS122" i="1"/>
  <c r="CR122" i="1"/>
  <c r="CQ122" i="1"/>
  <c r="CO122" i="1"/>
  <c r="CN122" i="1"/>
  <c r="CM122" i="1"/>
  <c r="CL122" i="1"/>
  <c r="CK122" i="1"/>
  <c r="AI122" i="1" s="1"/>
  <c r="CJ122" i="1"/>
  <c r="CH122" i="1"/>
  <c r="CG122" i="1"/>
  <c r="CF122" i="1"/>
  <c r="CE122" i="1"/>
  <c r="CD122" i="1"/>
  <c r="AH122" i="1" s="1"/>
  <c r="CC122" i="1"/>
  <c r="AJ122" i="1"/>
  <c r="AF122" i="1"/>
  <c r="AD122" i="1"/>
  <c r="Z122" i="1"/>
  <c r="T122" i="1"/>
  <c r="Q122" i="1"/>
  <c r="P122" i="1"/>
  <c r="AG122" i="1" s="1"/>
  <c r="O122" i="1"/>
  <c r="FN122" i="1" s="1"/>
  <c r="U122" i="1" s="1"/>
  <c r="V122" i="1" s="1"/>
  <c r="Y122" i="1" s="1"/>
  <c r="M122" i="1"/>
  <c r="FP121" i="1"/>
  <c r="FO121" i="1"/>
  <c r="CV121" i="1"/>
  <c r="CU121" i="1"/>
  <c r="CT121" i="1"/>
  <c r="CS121" i="1"/>
  <c r="CR121" i="1"/>
  <c r="CQ121" i="1"/>
  <c r="AJ121" i="1" s="1"/>
  <c r="CO121" i="1"/>
  <c r="CN121" i="1"/>
  <c r="CM121" i="1"/>
  <c r="CL121" i="1"/>
  <c r="CK121" i="1"/>
  <c r="CJ121" i="1"/>
  <c r="AI121" i="1" s="1"/>
  <c r="CH121" i="1"/>
  <c r="CG121" i="1"/>
  <c r="CF121" i="1"/>
  <c r="CE121" i="1"/>
  <c r="CD121" i="1"/>
  <c r="CC121" i="1"/>
  <c r="AH121" i="1" s="1"/>
  <c r="AF121" i="1"/>
  <c r="AD121" i="1"/>
  <c r="Z121" i="1"/>
  <c r="T121" i="1"/>
  <c r="P121" i="1"/>
  <c r="Q121" i="1" s="1"/>
  <c r="M121" i="1"/>
  <c r="O121" i="1" s="1"/>
  <c r="FN121" i="1" s="1"/>
  <c r="U121" i="1" s="1"/>
  <c r="V121" i="1" s="1"/>
  <c r="Y121" i="1" s="1"/>
  <c r="FP120" i="1"/>
  <c r="FO120" i="1"/>
  <c r="CV120" i="1"/>
  <c r="CU120" i="1"/>
  <c r="CT120" i="1"/>
  <c r="AJ120" i="1" s="1"/>
  <c r="CS120" i="1"/>
  <c r="CR120" i="1"/>
  <c r="CQ120" i="1"/>
  <c r="CO120" i="1"/>
  <c r="CN120" i="1"/>
  <c r="CM120" i="1"/>
  <c r="CL120" i="1"/>
  <c r="CK120" i="1"/>
  <c r="CJ120" i="1"/>
  <c r="AI120" i="1" s="1"/>
  <c r="CH120" i="1"/>
  <c r="CG120" i="1"/>
  <c r="CF120" i="1"/>
  <c r="CE120" i="1"/>
  <c r="CD120" i="1"/>
  <c r="CC120" i="1"/>
  <c r="AH120" i="1"/>
  <c r="AF120" i="1"/>
  <c r="AD120" i="1"/>
  <c r="Z120" i="1"/>
  <c r="T120" i="1"/>
  <c r="Q120" i="1"/>
  <c r="P120" i="1"/>
  <c r="AG120" i="1" s="1"/>
  <c r="O120" i="1"/>
  <c r="FN120" i="1" s="1"/>
  <c r="U120" i="1" s="1"/>
  <c r="V120" i="1" s="1"/>
  <c r="Y120" i="1" s="1"/>
  <c r="M120" i="1"/>
  <c r="FP119" i="1"/>
  <c r="FO119" i="1"/>
  <c r="CV119" i="1"/>
  <c r="CU119" i="1"/>
  <c r="CT119" i="1"/>
  <c r="CS119" i="1"/>
  <c r="CR119" i="1"/>
  <c r="CQ119" i="1"/>
  <c r="AJ119" i="1" s="1"/>
  <c r="CO119" i="1"/>
  <c r="CN119" i="1"/>
  <c r="CM119" i="1"/>
  <c r="CL119" i="1"/>
  <c r="CK119" i="1"/>
  <c r="CJ119" i="1"/>
  <c r="CH119" i="1"/>
  <c r="CG119" i="1"/>
  <c r="CF119" i="1"/>
  <c r="CE119" i="1"/>
  <c r="CD119" i="1"/>
  <c r="CC119" i="1"/>
  <c r="AH119" i="1" s="1"/>
  <c r="AI119" i="1"/>
  <c r="AF119" i="1"/>
  <c r="AD119" i="1"/>
  <c r="Z119" i="1"/>
  <c r="T119" i="1"/>
  <c r="P119" i="1"/>
  <c r="Q119" i="1" s="1"/>
  <c r="M119" i="1"/>
  <c r="O119" i="1" s="1"/>
  <c r="FN119" i="1" s="1"/>
  <c r="U119" i="1" s="1"/>
  <c r="V119" i="1" s="1"/>
  <c r="Y119" i="1" s="1"/>
  <c r="FP118" i="1"/>
  <c r="FO118" i="1"/>
  <c r="CV118" i="1"/>
  <c r="CU118" i="1"/>
  <c r="CT118" i="1"/>
  <c r="CS118" i="1"/>
  <c r="CR118" i="1"/>
  <c r="CQ118" i="1"/>
  <c r="CO118" i="1"/>
  <c r="CN118" i="1"/>
  <c r="CM118" i="1"/>
  <c r="CL118" i="1"/>
  <c r="CK118" i="1"/>
  <c r="AI118" i="1" s="1"/>
  <c r="CJ118" i="1"/>
  <c r="CH118" i="1"/>
  <c r="CG118" i="1"/>
  <c r="CF118" i="1"/>
  <c r="CE118" i="1"/>
  <c r="CD118" i="1"/>
  <c r="AH118" i="1" s="1"/>
  <c r="CC118" i="1"/>
  <c r="AJ118" i="1"/>
  <c r="AF118" i="1"/>
  <c r="AD118" i="1"/>
  <c r="Z118" i="1"/>
  <c r="T118" i="1"/>
  <c r="Q118" i="1"/>
  <c r="P118" i="1"/>
  <c r="AG118" i="1" s="1"/>
  <c r="O118" i="1"/>
  <c r="FN118" i="1" s="1"/>
  <c r="U118" i="1" s="1"/>
  <c r="V118" i="1" s="1"/>
  <c r="Y118" i="1" s="1"/>
  <c r="M118" i="1"/>
  <c r="FP117" i="1"/>
  <c r="FO117" i="1"/>
  <c r="CV117" i="1"/>
  <c r="CU117" i="1"/>
  <c r="CT117" i="1"/>
  <c r="CS117" i="1"/>
  <c r="CR117" i="1"/>
  <c r="CQ117" i="1"/>
  <c r="AJ117" i="1" s="1"/>
  <c r="CO117" i="1"/>
  <c r="CN117" i="1"/>
  <c r="CM117" i="1"/>
  <c r="CL117" i="1"/>
  <c r="CK117" i="1"/>
  <c r="CJ117" i="1"/>
  <c r="AI117" i="1" s="1"/>
  <c r="CH117" i="1"/>
  <c r="CG117" i="1"/>
  <c r="CF117" i="1"/>
  <c r="CE117" i="1"/>
  <c r="CD117" i="1"/>
  <c r="CC117" i="1"/>
  <c r="AH117" i="1" s="1"/>
  <c r="AF117" i="1"/>
  <c r="AD117" i="1"/>
  <c r="Z117" i="1"/>
  <c r="T117" i="1"/>
  <c r="P117" i="1"/>
  <c r="AG117" i="1" s="1"/>
  <c r="M117" i="1"/>
  <c r="O117" i="1" s="1"/>
  <c r="FN117" i="1" s="1"/>
  <c r="U117" i="1" s="1"/>
  <c r="V117" i="1" s="1"/>
  <c r="Y117" i="1" s="1"/>
  <c r="FP116" i="1"/>
  <c r="FO116" i="1"/>
  <c r="CV116" i="1"/>
  <c r="CU116" i="1"/>
  <c r="CT116" i="1"/>
  <c r="AJ116" i="1" s="1"/>
  <c r="CS116" i="1"/>
  <c r="CR116" i="1"/>
  <c r="CQ116" i="1"/>
  <c r="CO116" i="1"/>
  <c r="CN116" i="1"/>
  <c r="CM116" i="1"/>
  <c r="CL116" i="1"/>
  <c r="CK116" i="1"/>
  <c r="CJ116" i="1"/>
  <c r="AI116" i="1" s="1"/>
  <c r="CH116" i="1"/>
  <c r="CG116" i="1"/>
  <c r="CF116" i="1"/>
  <c r="CE116" i="1"/>
  <c r="CD116" i="1"/>
  <c r="CC116" i="1"/>
  <c r="AH116" i="1"/>
  <c r="AF116" i="1"/>
  <c r="AD116" i="1"/>
  <c r="Z116" i="1"/>
  <c r="T116" i="1"/>
  <c r="Q116" i="1"/>
  <c r="P116" i="1"/>
  <c r="AG116" i="1" s="1"/>
  <c r="O116" i="1"/>
  <c r="FN116" i="1" s="1"/>
  <c r="U116" i="1" s="1"/>
  <c r="V116" i="1" s="1"/>
  <c r="Y116" i="1" s="1"/>
  <c r="M116" i="1"/>
  <c r="FP115" i="1"/>
  <c r="FO115" i="1"/>
  <c r="CV115" i="1"/>
  <c r="CU115" i="1"/>
  <c r="CT115" i="1"/>
  <c r="CS115" i="1"/>
  <c r="CR115" i="1"/>
  <c r="CQ115" i="1"/>
  <c r="AJ115" i="1" s="1"/>
  <c r="CO115" i="1"/>
  <c r="CN115" i="1"/>
  <c r="CM115" i="1"/>
  <c r="CL115" i="1"/>
  <c r="CK115" i="1"/>
  <c r="CJ115" i="1"/>
  <c r="CH115" i="1"/>
  <c r="CG115" i="1"/>
  <c r="CF115" i="1"/>
  <c r="CE115" i="1"/>
  <c r="CD115" i="1"/>
  <c r="CC115" i="1"/>
  <c r="AH115" i="1" s="1"/>
  <c r="AI115" i="1"/>
  <c r="AF115" i="1"/>
  <c r="AD115" i="1"/>
  <c r="Z115" i="1"/>
  <c r="T115" i="1"/>
  <c r="P115" i="1"/>
  <c r="Q115" i="1" s="1"/>
  <c r="M115" i="1"/>
  <c r="O115" i="1" s="1"/>
  <c r="FN115" i="1" s="1"/>
  <c r="U115" i="1" s="1"/>
  <c r="V115" i="1" s="1"/>
  <c r="Y115" i="1" s="1"/>
  <c r="FP114" i="1"/>
  <c r="FO114" i="1"/>
  <c r="CV114" i="1"/>
  <c r="CU114" i="1"/>
  <c r="CT114" i="1"/>
  <c r="CS114" i="1"/>
  <c r="CR114" i="1"/>
  <c r="CQ114" i="1"/>
  <c r="CO114" i="1"/>
  <c r="CN114" i="1"/>
  <c r="CM114" i="1"/>
  <c r="CL114" i="1"/>
  <c r="CK114" i="1"/>
  <c r="AI114" i="1" s="1"/>
  <c r="CJ114" i="1"/>
  <c r="CH114" i="1"/>
  <c r="CG114" i="1"/>
  <c r="CF114" i="1"/>
  <c r="CE114" i="1"/>
  <c r="CD114" i="1"/>
  <c r="AH114" i="1" s="1"/>
  <c r="CC114" i="1"/>
  <c r="AJ114" i="1"/>
  <c r="AF114" i="1"/>
  <c r="AD114" i="1"/>
  <c r="Z114" i="1"/>
  <c r="T114" i="1"/>
  <c r="Q114" i="1"/>
  <c r="P114" i="1"/>
  <c r="AG114" i="1" s="1"/>
  <c r="O114" i="1"/>
  <c r="FN114" i="1" s="1"/>
  <c r="U114" i="1" s="1"/>
  <c r="V114" i="1" s="1"/>
  <c r="Y114" i="1" s="1"/>
  <c r="M114" i="1"/>
  <c r="FP113" i="1"/>
  <c r="FO113" i="1"/>
  <c r="CV113" i="1"/>
  <c r="CU113" i="1"/>
  <c r="CT113" i="1"/>
  <c r="CS113" i="1"/>
  <c r="CR113" i="1"/>
  <c r="CQ113" i="1"/>
  <c r="AJ113" i="1" s="1"/>
  <c r="CO113" i="1"/>
  <c r="CN113" i="1"/>
  <c r="CM113" i="1"/>
  <c r="CL113" i="1"/>
  <c r="CK113" i="1"/>
  <c r="CJ113" i="1"/>
  <c r="AI113" i="1" s="1"/>
  <c r="CH113" i="1"/>
  <c r="CG113" i="1"/>
  <c r="CF113" i="1"/>
  <c r="CE113" i="1"/>
  <c r="CD113" i="1"/>
  <c r="CC113" i="1"/>
  <c r="AH113" i="1" s="1"/>
  <c r="AF113" i="1"/>
  <c r="AD113" i="1"/>
  <c r="Z113" i="1"/>
  <c r="T113" i="1"/>
  <c r="P113" i="1"/>
  <c r="Q113" i="1" s="1"/>
  <c r="M113" i="1"/>
  <c r="O113" i="1" s="1"/>
  <c r="FN113" i="1" s="1"/>
  <c r="U113" i="1" s="1"/>
  <c r="V113" i="1" s="1"/>
  <c r="Y113" i="1" s="1"/>
  <c r="FP112" i="1"/>
  <c r="FO112" i="1"/>
  <c r="CV112" i="1"/>
  <c r="CU112" i="1"/>
  <c r="CT112" i="1"/>
  <c r="AJ112" i="1" s="1"/>
  <c r="CS112" i="1"/>
  <c r="CR112" i="1"/>
  <c r="CQ112" i="1"/>
  <c r="CO112" i="1"/>
  <c r="CN112" i="1"/>
  <c r="CM112" i="1"/>
  <c r="CL112" i="1"/>
  <c r="CK112" i="1"/>
  <c r="CJ112" i="1"/>
  <c r="AI112" i="1" s="1"/>
  <c r="CH112" i="1"/>
  <c r="CG112" i="1"/>
  <c r="CF112" i="1"/>
  <c r="CE112" i="1"/>
  <c r="CD112" i="1"/>
  <c r="CC112" i="1"/>
  <c r="AH112" i="1"/>
  <c r="AF112" i="1"/>
  <c r="AD112" i="1"/>
  <c r="Z112" i="1"/>
  <c r="T112" i="1"/>
  <c r="Q112" i="1"/>
  <c r="P112" i="1"/>
  <c r="AG112" i="1" s="1"/>
  <c r="O112" i="1"/>
  <c r="FN112" i="1" s="1"/>
  <c r="U112" i="1" s="1"/>
  <c r="V112" i="1" s="1"/>
  <c r="Y112" i="1" s="1"/>
  <c r="M112" i="1"/>
  <c r="FP111" i="1"/>
  <c r="FO111" i="1"/>
  <c r="CV111" i="1"/>
  <c r="CU111" i="1"/>
  <c r="CT111" i="1"/>
  <c r="CS111" i="1"/>
  <c r="CR111" i="1"/>
  <c r="CQ111" i="1"/>
  <c r="AJ111" i="1" s="1"/>
  <c r="CO111" i="1"/>
  <c r="CN111" i="1"/>
  <c r="CM111" i="1"/>
  <c r="CL111" i="1"/>
  <c r="CK111" i="1"/>
  <c r="CJ111" i="1"/>
  <c r="CH111" i="1"/>
  <c r="CG111" i="1"/>
  <c r="CF111" i="1"/>
  <c r="CE111" i="1"/>
  <c r="CD111" i="1"/>
  <c r="CC111" i="1"/>
  <c r="AH111" i="1" s="1"/>
  <c r="AI111" i="1"/>
  <c r="AF111" i="1"/>
  <c r="AD111" i="1"/>
  <c r="Z111" i="1"/>
  <c r="T111" i="1"/>
  <c r="P111" i="1"/>
  <c r="Q111" i="1" s="1"/>
  <c r="M111" i="1"/>
  <c r="O111" i="1" s="1"/>
  <c r="FN111" i="1" s="1"/>
  <c r="U111" i="1" s="1"/>
  <c r="V111" i="1" s="1"/>
  <c r="Y111" i="1" s="1"/>
  <c r="FP110" i="1"/>
  <c r="FO110" i="1"/>
  <c r="CV110" i="1"/>
  <c r="CU110" i="1"/>
  <c r="CT110" i="1"/>
  <c r="CS110" i="1"/>
  <c r="CR110" i="1"/>
  <c r="CQ110" i="1"/>
  <c r="CO110" i="1"/>
  <c r="CN110" i="1"/>
  <c r="CM110" i="1"/>
  <c r="CL110" i="1"/>
  <c r="CK110" i="1"/>
  <c r="AI110" i="1" s="1"/>
  <c r="CJ110" i="1"/>
  <c r="CH110" i="1"/>
  <c r="CG110" i="1"/>
  <c r="CF110" i="1"/>
  <c r="CE110" i="1"/>
  <c r="CD110" i="1"/>
  <c r="AH110" i="1" s="1"/>
  <c r="CC110" i="1"/>
  <c r="AJ110" i="1"/>
  <c r="AF110" i="1"/>
  <c r="AD110" i="1"/>
  <c r="Z110" i="1"/>
  <c r="T110" i="1"/>
  <c r="Q110" i="1"/>
  <c r="P110" i="1"/>
  <c r="AG110" i="1" s="1"/>
  <c r="O110" i="1"/>
  <c r="FN110" i="1" s="1"/>
  <c r="U110" i="1" s="1"/>
  <c r="V110" i="1" s="1"/>
  <c r="Y110" i="1" s="1"/>
  <c r="M110" i="1"/>
  <c r="FP109" i="1"/>
  <c r="FO109" i="1"/>
  <c r="CV109" i="1"/>
  <c r="CU109" i="1"/>
  <c r="CT109" i="1"/>
  <c r="CS109" i="1"/>
  <c r="CR109" i="1"/>
  <c r="CQ109" i="1"/>
  <c r="AJ109" i="1" s="1"/>
  <c r="CO109" i="1"/>
  <c r="CN109" i="1"/>
  <c r="CM109" i="1"/>
  <c r="CL109" i="1"/>
  <c r="CK109" i="1"/>
  <c r="CJ109" i="1"/>
  <c r="AI109" i="1" s="1"/>
  <c r="CH109" i="1"/>
  <c r="CG109" i="1"/>
  <c r="CF109" i="1"/>
  <c r="CE109" i="1"/>
  <c r="CD109" i="1"/>
  <c r="CC109" i="1"/>
  <c r="AH109" i="1" s="1"/>
  <c r="AF109" i="1"/>
  <c r="AD109" i="1"/>
  <c r="Z109" i="1"/>
  <c r="T109" i="1"/>
  <c r="P109" i="1"/>
  <c r="AG109" i="1" s="1"/>
  <c r="M109" i="1"/>
  <c r="O109" i="1" s="1"/>
  <c r="FN109" i="1" s="1"/>
  <c r="U109" i="1" s="1"/>
  <c r="V109" i="1" s="1"/>
  <c r="BX107" i="1"/>
  <c r="BQ107" i="1"/>
  <c r="BJ107" i="1"/>
  <c r="BC107" i="1"/>
  <c r="AV107" i="1"/>
  <c r="AO107" i="1"/>
  <c r="O104" i="1"/>
  <c r="P101" i="1"/>
  <c r="Q101" i="1" s="1"/>
  <c r="B101" i="1"/>
  <c r="Y109" i="1" l="1"/>
  <c r="BA110" i="1"/>
  <c r="BV110" i="1"/>
  <c r="AT110" i="1"/>
  <c r="BH110" i="1"/>
  <c r="BO110" i="1"/>
  <c r="AM110" i="1"/>
  <c r="BO112" i="1"/>
  <c r="AM112" i="1"/>
  <c r="BH112" i="1"/>
  <c r="AT112" i="1"/>
  <c r="BA112" i="1"/>
  <c r="BV112" i="1"/>
  <c r="AE122" i="1"/>
  <c r="AA122" i="1"/>
  <c r="AB122" i="1" s="1"/>
  <c r="AA124" i="1"/>
  <c r="AB124" i="1" s="1"/>
  <c r="AE124" i="1"/>
  <c r="BO128" i="1"/>
  <c r="AM128" i="1"/>
  <c r="AT128" i="1"/>
  <c r="BH128" i="1"/>
  <c r="BV128" i="1"/>
  <c r="BA128" i="1"/>
  <c r="AA138" i="1"/>
  <c r="AB138" i="1" s="1"/>
  <c r="AE138" i="1"/>
  <c r="AA162" i="1"/>
  <c r="AE162" i="1"/>
  <c r="AB162" i="1"/>
  <c r="AE167" i="1"/>
  <c r="AA167" i="1"/>
  <c r="AB167" i="1" s="1"/>
  <c r="AE177" i="1"/>
  <c r="AA177" i="1"/>
  <c r="AB177" i="1" s="1"/>
  <c r="AE193" i="1"/>
  <c r="AB193" i="1"/>
  <c r="AA193" i="1"/>
  <c r="BH109" i="1"/>
  <c r="BO109" i="1"/>
  <c r="BA109" i="1"/>
  <c r="BV109" i="1"/>
  <c r="AT109" i="1"/>
  <c r="AM109" i="1"/>
  <c r="AE118" i="1"/>
  <c r="AB118" i="1"/>
  <c r="AA118" i="1"/>
  <c r="AE119" i="1"/>
  <c r="AA119" i="1"/>
  <c r="AB119" i="1" s="1"/>
  <c r="AA120" i="1"/>
  <c r="AB120" i="1" s="1"/>
  <c r="AE120" i="1"/>
  <c r="AA121" i="1"/>
  <c r="AB121" i="1" s="1"/>
  <c r="AE121" i="1"/>
  <c r="BA122" i="1"/>
  <c r="BV122" i="1"/>
  <c r="AT122" i="1"/>
  <c r="BH122" i="1"/>
  <c r="BO122" i="1"/>
  <c r="AM122" i="1"/>
  <c r="BO124" i="1"/>
  <c r="AM124" i="1"/>
  <c r="BV124" i="1"/>
  <c r="BH124" i="1"/>
  <c r="AT124" i="1"/>
  <c r="BA124" i="1"/>
  <c r="AE134" i="1"/>
  <c r="AB134" i="1"/>
  <c r="AA134" i="1"/>
  <c r="AE135" i="1"/>
  <c r="AB135" i="1"/>
  <c r="AA135" i="1"/>
  <c r="AA146" i="1"/>
  <c r="AE146" i="1"/>
  <c r="AB146" i="1"/>
  <c r="AE147" i="1"/>
  <c r="AA147" i="1"/>
  <c r="AB147" i="1" s="1"/>
  <c r="AE151" i="1"/>
  <c r="AB151" i="1"/>
  <c r="AA151" i="1"/>
  <c r="AA154" i="1"/>
  <c r="AE154" i="1"/>
  <c r="AB154" i="1"/>
  <c r="AA176" i="1"/>
  <c r="AE176" i="1"/>
  <c r="AB176" i="1"/>
  <c r="AE123" i="1"/>
  <c r="AA123" i="1"/>
  <c r="AB123" i="1" s="1"/>
  <c r="AA125" i="1"/>
  <c r="AB125" i="1" s="1"/>
  <c r="AE125" i="1"/>
  <c r="BA126" i="1"/>
  <c r="BH126" i="1"/>
  <c r="BV126" i="1"/>
  <c r="AT126" i="1"/>
  <c r="BO126" i="1"/>
  <c r="AM126" i="1"/>
  <c r="AA140" i="1"/>
  <c r="AB140" i="1" s="1"/>
  <c r="AE140" i="1"/>
  <c r="AE163" i="1"/>
  <c r="AB163" i="1"/>
  <c r="AA163" i="1"/>
  <c r="AA170" i="1"/>
  <c r="AE170" i="1"/>
  <c r="AB170" i="1"/>
  <c r="AE114" i="1"/>
  <c r="AA114" i="1"/>
  <c r="AB114" i="1" s="1"/>
  <c r="AB116" i="1"/>
  <c r="AA116" i="1"/>
  <c r="AE116" i="1"/>
  <c r="AA117" i="1"/>
  <c r="AB117" i="1" s="1"/>
  <c r="AE117" i="1"/>
  <c r="BA118" i="1"/>
  <c r="BH118" i="1"/>
  <c r="BV118" i="1"/>
  <c r="AT118" i="1"/>
  <c r="BO118" i="1"/>
  <c r="AM118" i="1"/>
  <c r="BO120" i="1"/>
  <c r="AM120" i="1"/>
  <c r="BV120" i="1"/>
  <c r="BH120" i="1"/>
  <c r="BA120" i="1"/>
  <c r="AT120" i="1"/>
  <c r="AE130" i="1"/>
  <c r="AB130" i="1"/>
  <c r="AA130" i="1"/>
  <c r="AE131" i="1"/>
  <c r="AA131" i="1"/>
  <c r="AB131" i="1" s="1"/>
  <c r="AB132" i="1"/>
  <c r="AA132" i="1"/>
  <c r="AE132" i="1"/>
  <c r="AA133" i="1"/>
  <c r="AB133" i="1" s="1"/>
  <c r="AE133" i="1"/>
  <c r="BA134" i="1"/>
  <c r="BV134" i="1"/>
  <c r="AT134" i="1"/>
  <c r="BO134" i="1"/>
  <c r="AM134" i="1"/>
  <c r="BH134" i="1"/>
  <c r="AE155" i="1"/>
  <c r="AA155" i="1"/>
  <c r="AB155" i="1" s="1"/>
  <c r="AA158" i="1"/>
  <c r="AB158" i="1" s="1"/>
  <c r="AE158" i="1"/>
  <c r="AE159" i="1"/>
  <c r="AB159" i="1"/>
  <c r="AA159" i="1"/>
  <c r="AE115" i="1"/>
  <c r="AA115" i="1"/>
  <c r="AB115" i="1" s="1"/>
  <c r="AE110" i="1"/>
  <c r="AA110" i="1"/>
  <c r="AB110" i="1"/>
  <c r="AB111" i="1"/>
  <c r="AA111" i="1"/>
  <c r="AE111" i="1"/>
  <c r="AA112" i="1"/>
  <c r="AB112" i="1" s="1"/>
  <c r="AE112" i="1"/>
  <c r="AA113" i="1"/>
  <c r="AE113" i="1"/>
  <c r="AB113" i="1"/>
  <c r="BA114" i="1"/>
  <c r="BH114" i="1"/>
  <c r="BV114" i="1"/>
  <c r="AT114" i="1"/>
  <c r="BO114" i="1"/>
  <c r="AM114" i="1"/>
  <c r="BO116" i="1"/>
  <c r="AM116" i="1"/>
  <c r="BH116" i="1"/>
  <c r="AT116" i="1"/>
  <c r="BA116" i="1"/>
  <c r="BV116" i="1"/>
  <c r="BH117" i="1"/>
  <c r="BA117" i="1"/>
  <c r="BO117" i="1"/>
  <c r="BV117" i="1"/>
  <c r="AT117" i="1"/>
  <c r="AM117" i="1"/>
  <c r="AE126" i="1"/>
  <c r="AA126" i="1"/>
  <c r="AB126" i="1" s="1"/>
  <c r="AE127" i="1"/>
  <c r="AA127" i="1"/>
  <c r="AB127" i="1" s="1"/>
  <c r="AB128" i="1"/>
  <c r="AA128" i="1"/>
  <c r="AE128" i="1"/>
  <c r="AA129" i="1"/>
  <c r="AB129" i="1" s="1"/>
  <c r="AE129" i="1"/>
  <c r="BA130" i="1"/>
  <c r="BV130" i="1"/>
  <c r="AT130" i="1"/>
  <c r="BO130" i="1"/>
  <c r="AM130" i="1"/>
  <c r="BH130" i="1"/>
  <c r="BO132" i="1"/>
  <c r="AM132" i="1"/>
  <c r="AT132" i="1"/>
  <c r="BH132" i="1"/>
  <c r="BV132" i="1"/>
  <c r="BA132" i="1"/>
  <c r="BH133" i="1"/>
  <c r="BA133" i="1"/>
  <c r="BO133" i="1"/>
  <c r="BV133" i="1"/>
  <c r="AT133" i="1"/>
  <c r="AM133" i="1"/>
  <c r="AA136" i="1"/>
  <c r="AB136" i="1" s="1"/>
  <c r="AE136" i="1"/>
  <c r="AB137" i="1"/>
  <c r="AE137" i="1"/>
  <c r="AA137" i="1"/>
  <c r="AE139" i="1"/>
  <c r="AB139" i="1"/>
  <c r="AA139" i="1"/>
  <c r="AA141" i="1"/>
  <c r="AB141" i="1" s="1"/>
  <c r="AE141" i="1"/>
  <c r="AA142" i="1"/>
  <c r="AB142" i="1" s="1"/>
  <c r="AE142" i="1"/>
  <c r="AE143" i="1"/>
  <c r="AB143" i="1"/>
  <c r="AA143" i="1"/>
  <c r="AG113" i="1"/>
  <c r="AG121" i="1"/>
  <c r="AG125" i="1"/>
  <c r="AG129" i="1"/>
  <c r="AG140" i="1"/>
  <c r="BO141" i="1"/>
  <c r="AM141" i="1"/>
  <c r="BH141" i="1"/>
  <c r="BA141" i="1"/>
  <c r="BO153" i="1"/>
  <c r="AM153" i="1"/>
  <c r="BH153" i="1"/>
  <c r="BA153" i="1"/>
  <c r="AT153" i="1"/>
  <c r="BO169" i="1"/>
  <c r="AM169" i="1"/>
  <c r="BH169" i="1"/>
  <c r="BA169" i="1"/>
  <c r="AT169" i="1"/>
  <c r="V174" i="1"/>
  <c r="Y174" i="1" s="1"/>
  <c r="V181" i="1"/>
  <c r="Y181" i="1" s="1"/>
  <c r="V184" i="1"/>
  <c r="Y184" i="1" s="1"/>
  <c r="V192" i="1"/>
  <c r="Y192" i="1" s="1"/>
  <c r="V200" i="1"/>
  <c r="Y200" i="1" s="1"/>
  <c r="V206" i="1"/>
  <c r="Y206" i="1" s="1"/>
  <c r="Q109" i="1"/>
  <c r="Q117" i="1"/>
  <c r="Q133" i="1"/>
  <c r="AG135" i="1"/>
  <c r="AG138" i="1"/>
  <c r="BA139" i="1"/>
  <c r="BO139" i="1"/>
  <c r="AM139" i="1"/>
  <c r="BH139" i="1"/>
  <c r="AH140" i="1"/>
  <c r="AJ140" i="1"/>
  <c r="AT141" i="1"/>
  <c r="AI141" i="1"/>
  <c r="BA143" i="1"/>
  <c r="BV143" i="1"/>
  <c r="AT143" i="1"/>
  <c r="BO143" i="1"/>
  <c r="AM143" i="1"/>
  <c r="V145" i="1"/>
  <c r="Y145" i="1" s="1"/>
  <c r="AG150" i="1"/>
  <c r="V152" i="1"/>
  <c r="Y152" i="1" s="1"/>
  <c r="BV153" i="1"/>
  <c r="AH154" i="1"/>
  <c r="AJ154" i="1"/>
  <c r="AI155" i="1"/>
  <c r="BO157" i="1"/>
  <c r="AM157" i="1"/>
  <c r="BH157" i="1"/>
  <c r="BA157" i="1"/>
  <c r="AT157" i="1"/>
  <c r="AI157" i="1"/>
  <c r="BA159" i="1"/>
  <c r="BV159" i="1"/>
  <c r="AT159" i="1"/>
  <c r="BO159" i="1"/>
  <c r="AM159" i="1"/>
  <c r="V161" i="1"/>
  <c r="Y161" i="1" s="1"/>
  <c r="AM162" i="1"/>
  <c r="AG166" i="1"/>
  <c r="V168" i="1"/>
  <c r="Y168" i="1" s="1"/>
  <c r="BV169" i="1"/>
  <c r="V189" i="1"/>
  <c r="Y189" i="1" s="1"/>
  <c r="V242" i="1"/>
  <c r="Y242" i="1" s="1"/>
  <c r="V215" i="1"/>
  <c r="Y215" i="1" s="1"/>
  <c r="V226" i="1"/>
  <c r="Y226" i="1" s="1"/>
  <c r="V222" i="1"/>
  <c r="Y222" i="1" s="1"/>
  <c r="BH146" i="1"/>
  <c r="BA146" i="1"/>
  <c r="BV146" i="1"/>
  <c r="AT146" i="1"/>
  <c r="BA155" i="1"/>
  <c r="BV155" i="1"/>
  <c r="AT155" i="1"/>
  <c r="BO155" i="1"/>
  <c r="AM155" i="1"/>
  <c r="V164" i="1"/>
  <c r="Y164" i="1" s="1"/>
  <c r="V166" i="1"/>
  <c r="Y166" i="1" s="1"/>
  <c r="V182" i="1"/>
  <c r="Y182" i="1" s="1"/>
  <c r="BO187" i="1"/>
  <c r="AM187" i="1"/>
  <c r="BH187" i="1"/>
  <c r="BA187" i="1"/>
  <c r="BV187" i="1"/>
  <c r="V198" i="1"/>
  <c r="Y198" i="1" s="1"/>
  <c r="AG111" i="1"/>
  <c r="AG115" i="1"/>
  <c r="AG119" i="1"/>
  <c r="AG123" i="1"/>
  <c r="AG127" i="1"/>
  <c r="AG131" i="1"/>
  <c r="AG136" i="1"/>
  <c r="BO137" i="1"/>
  <c r="AM137" i="1"/>
  <c r="BA137" i="1"/>
  <c r="BH137" i="1"/>
  <c r="AH138" i="1"/>
  <c r="AJ138" i="1"/>
  <c r="AI139" i="1"/>
  <c r="BV141" i="1"/>
  <c r="AH142" i="1"/>
  <c r="AJ142" i="1"/>
  <c r="AI143" i="1"/>
  <c r="BO145" i="1"/>
  <c r="AM145" i="1"/>
  <c r="BH145" i="1"/>
  <c r="BA145" i="1"/>
  <c r="AT145" i="1"/>
  <c r="BO146" i="1"/>
  <c r="BA147" i="1"/>
  <c r="BV147" i="1"/>
  <c r="AT147" i="1"/>
  <c r="BO147" i="1"/>
  <c r="AM147" i="1"/>
  <c r="V149" i="1"/>
  <c r="Y149" i="1" s="1"/>
  <c r="BH154" i="1"/>
  <c r="BA154" i="1"/>
  <c r="BV154" i="1"/>
  <c r="AT154" i="1"/>
  <c r="V156" i="1"/>
  <c r="Y156" i="1" s="1"/>
  <c r="AH158" i="1"/>
  <c r="AJ158" i="1"/>
  <c r="AI159" i="1"/>
  <c r="BO161" i="1"/>
  <c r="AM161" i="1"/>
  <c r="BH161" i="1"/>
  <c r="BA161" i="1"/>
  <c r="AT161" i="1"/>
  <c r="BA163" i="1"/>
  <c r="BV163" i="1"/>
  <c r="AT163" i="1"/>
  <c r="BO163" i="1"/>
  <c r="AM163" i="1"/>
  <c r="V165" i="1"/>
  <c r="Y165" i="1" s="1"/>
  <c r="BH170" i="1"/>
  <c r="BO170" i="1"/>
  <c r="BA170" i="1"/>
  <c r="AT170" i="1"/>
  <c r="V171" i="1"/>
  <c r="Y171" i="1" s="1"/>
  <c r="AJ173" i="1"/>
  <c r="BH180" i="1"/>
  <c r="BA180" i="1"/>
  <c r="BV180" i="1"/>
  <c r="AT180" i="1"/>
  <c r="BO180" i="1"/>
  <c r="AM180" i="1"/>
  <c r="V185" i="1"/>
  <c r="Y185" i="1" s="1"/>
  <c r="BA189" i="1"/>
  <c r="BV189" i="1"/>
  <c r="AT189" i="1"/>
  <c r="BO189" i="1"/>
  <c r="AM189" i="1"/>
  <c r="BH189" i="1"/>
  <c r="BH196" i="1"/>
  <c r="BA196" i="1"/>
  <c r="BV196" i="1"/>
  <c r="AT196" i="1"/>
  <c r="BO196" i="1"/>
  <c r="AM196" i="1"/>
  <c r="V201" i="1"/>
  <c r="Y201" i="1" s="1"/>
  <c r="V148" i="1"/>
  <c r="Y148" i="1" s="1"/>
  <c r="V150" i="1"/>
  <c r="Y150" i="1" s="1"/>
  <c r="V157" i="1"/>
  <c r="Y157" i="1" s="1"/>
  <c r="BH162" i="1"/>
  <c r="BA162" i="1"/>
  <c r="BV162" i="1"/>
  <c r="AT162" i="1"/>
  <c r="V175" i="1"/>
  <c r="Y175" i="1" s="1"/>
  <c r="V180" i="1"/>
  <c r="Y180" i="1" s="1"/>
  <c r="V188" i="1"/>
  <c r="Y188" i="1" s="1"/>
  <c r="V191" i="1"/>
  <c r="Y191" i="1" s="1"/>
  <c r="V196" i="1"/>
  <c r="Y196" i="1" s="1"/>
  <c r="V197" i="1"/>
  <c r="Y197" i="1" s="1"/>
  <c r="AI135" i="1"/>
  <c r="BV137" i="1"/>
  <c r="AG142" i="1"/>
  <c r="V144" i="1"/>
  <c r="Y144" i="1" s="1"/>
  <c r="BV145" i="1"/>
  <c r="BH147" i="1"/>
  <c r="BO149" i="1"/>
  <c r="AM149" i="1"/>
  <c r="BH149" i="1"/>
  <c r="BA149" i="1"/>
  <c r="AT149" i="1"/>
  <c r="AI149" i="1"/>
  <c r="BA151" i="1"/>
  <c r="BV151" i="1"/>
  <c r="AT151" i="1"/>
  <c r="BO151" i="1"/>
  <c r="AM151" i="1"/>
  <c r="V153" i="1"/>
  <c r="Y153" i="1" s="1"/>
  <c r="AM154" i="1"/>
  <c r="AG158" i="1"/>
  <c r="V160" i="1"/>
  <c r="Y160" i="1" s="1"/>
  <c r="BV161" i="1"/>
  <c r="BH163" i="1"/>
  <c r="BO165" i="1"/>
  <c r="AM165" i="1"/>
  <c r="BH165" i="1"/>
  <c r="BA165" i="1"/>
  <c r="AT165" i="1"/>
  <c r="AI165" i="1"/>
  <c r="BA167" i="1"/>
  <c r="BV167" i="1"/>
  <c r="AT167" i="1"/>
  <c r="BO167" i="1"/>
  <c r="AM167" i="1"/>
  <c r="V169" i="1"/>
  <c r="Y169" i="1" s="1"/>
  <c r="AM170" i="1"/>
  <c r="AH170" i="1"/>
  <c r="AG171" i="1"/>
  <c r="Q171" i="1"/>
  <c r="V172" i="1"/>
  <c r="Y172" i="1" s="1"/>
  <c r="V173" i="1"/>
  <c r="Y173" i="1" s="1"/>
  <c r="AT187" i="1"/>
  <c r="Q192" i="1"/>
  <c r="AG192" i="1"/>
  <c r="AG176" i="1"/>
  <c r="BA177" i="1"/>
  <c r="BO177" i="1"/>
  <c r="AM177" i="1"/>
  <c r="BH177" i="1"/>
  <c r="AI177" i="1"/>
  <c r="V179" i="1"/>
  <c r="Y179" i="1" s="1"/>
  <c r="AG184" i="1"/>
  <c r="V186" i="1"/>
  <c r="Y186" i="1" s="1"/>
  <c r="AH188" i="1"/>
  <c r="AJ188" i="1"/>
  <c r="AI189" i="1"/>
  <c r="BO191" i="1"/>
  <c r="AM191" i="1"/>
  <c r="BH191" i="1"/>
  <c r="BA191" i="1"/>
  <c r="AT191" i="1"/>
  <c r="AI191" i="1"/>
  <c r="BA193" i="1"/>
  <c r="BV193" i="1"/>
  <c r="AT193" i="1"/>
  <c r="BO193" i="1"/>
  <c r="AM193" i="1"/>
  <c r="V195" i="1"/>
  <c r="Y195" i="1" s="1"/>
  <c r="AG200" i="1"/>
  <c r="BA202" i="1"/>
  <c r="BV202" i="1"/>
  <c r="AT202" i="1"/>
  <c r="BH202" i="1"/>
  <c r="AM202" i="1"/>
  <c r="BO209" i="1"/>
  <c r="AM209" i="1"/>
  <c r="BH209" i="1"/>
  <c r="BA209" i="1"/>
  <c r="BV209" i="1"/>
  <c r="AG144" i="1"/>
  <c r="AG148" i="1"/>
  <c r="AG152" i="1"/>
  <c r="AG156" i="1"/>
  <c r="AG160" i="1"/>
  <c r="AG164" i="1"/>
  <c r="AG168" i="1"/>
  <c r="AG174" i="1"/>
  <c r="BO175" i="1"/>
  <c r="AM175" i="1"/>
  <c r="BA175" i="1"/>
  <c r="BH175" i="1"/>
  <c r="AH176" i="1"/>
  <c r="AJ176" i="1"/>
  <c r="BO179" i="1"/>
  <c r="AM179" i="1"/>
  <c r="BH179" i="1"/>
  <c r="BA179" i="1"/>
  <c r="AT179" i="1"/>
  <c r="BA181" i="1"/>
  <c r="BV181" i="1"/>
  <c r="AT181" i="1"/>
  <c r="BO181" i="1"/>
  <c r="AM181" i="1"/>
  <c r="V183" i="1"/>
  <c r="Y183" i="1" s="1"/>
  <c r="BH188" i="1"/>
  <c r="BA188" i="1"/>
  <c r="BV188" i="1"/>
  <c r="AT188" i="1"/>
  <c r="V190" i="1"/>
  <c r="Y190" i="1" s="1"/>
  <c r="AH192" i="1"/>
  <c r="AJ192" i="1"/>
  <c r="AI193" i="1"/>
  <c r="BO195" i="1"/>
  <c r="AM195" i="1"/>
  <c r="BH195" i="1"/>
  <c r="BA195" i="1"/>
  <c r="AT195" i="1"/>
  <c r="BA197" i="1"/>
  <c r="BV197" i="1"/>
  <c r="AT197" i="1"/>
  <c r="BO197" i="1"/>
  <c r="AM197" i="1"/>
  <c r="V199" i="1"/>
  <c r="Y199" i="1" s="1"/>
  <c r="V202" i="1"/>
  <c r="Y202" i="1" s="1"/>
  <c r="Q210" i="1"/>
  <c r="AG210" i="1"/>
  <c r="V213" i="1"/>
  <c r="Y213" i="1" s="1"/>
  <c r="AG172" i="1"/>
  <c r="BA173" i="1"/>
  <c r="BO173" i="1"/>
  <c r="AM173" i="1"/>
  <c r="BH173" i="1"/>
  <c r="BV175" i="1"/>
  <c r="V178" i="1"/>
  <c r="Y178" i="1" s="1"/>
  <c r="BV179" i="1"/>
  <c r="BH181" i="1"/>
  <c r="BO183" i="1"/>
  <c r="AM183" i="1"/>
  <c r="BH183" i="1"/>
  <c r="BA183" i="1"/>
  <c r="AT183" i="1"/>
  <c r="BA185" i="1"/>
  <c r="BV185" i="1"/>
  <c r="AT185" i="1"/>
  <c r="BO185" i="1"/>
  <c r="AM185" i="1"/>
  <c r="V187" i="1"/>
  <c r="Y187" i="1" s="1"/>
  <c r="AM188" i="1"/>
  <c r="V194" i="1"/>
  <c r="Y194" i="1" s="1"/>
  <c r="BV195" i="1"/>
  <c r="BH197" i="1"/>
  <c r="BO199" i="1"/>
  <c r="AM199" i="1"/>
  <c r="BH199" i="1"/>
  <c r="BA199" i="1"/>
  <c r="AT199" i="1"/>
  <c r="AI199" i="1"/>
  <c r="BH201" i="1"/>
  <c r="BA201" i="1"/>
  <c r="BV201" i="1"/>
  <c r="BO201" i="1"/>
  <c r="AT201" i="1"/>
  <c r="V203" i="1"/>
  <c r="Y203" i="1" s="1"/>
  <c r="V204" i="1"/>
  <c r="Y204" i="1" s="1"/>
  <c r="V210" i="1"/>
  <c r="Y210" i="1" s="1"/>
  <c r="V211" i="1"/>
  <c r="Y211" i="1" s="1"/>
  <c r="V216" i="1"/>
  <c r="Y216" i="1" s="1"/>
  <c r="BV204" i="1"/>
  <c r="AT204" i="1"/>
  <c r="BO204" i="1"/>
  <c r="AM204" i="1"/>
  <c r="BH204" i="1"/>
  <c r="AH207" i="1"/>
  <c r="V208" i="1"/>
  <c r="Y208" i="1" s="1"/>
  <c r="BO213" i="1"/>
  <c r="AM213" i="1"/>
  <c r="BH213" i="1"/>
  <c r="BA213" i="1"/>
  <c r="AT213" i="1"/>
  <c r="BV213" i="1"/>
  <c r="V218" i="1"/>
  <c r="Y218" i="1" s="1"/>
  <c r="AJ219" i="1"/>
  <c r="AG178" i="1"/>
  <c r="AG182" i="1"/>
  <c r="AG186" i="1"/>
  <c r="AG190" i="1"/>
  <c r="AG194" i="1"/>
  <c r="AG198" i="1"/>
  <c r="BO205" i="1"/>
  <c r="AM205" i="1"/>
  <c r="BH205" i="1"/>
  <c r="BA205" i="1"/>
  <c r="AT205" i="1"/>
  <c r="V205" i="1"/>
  <c r="Y205" i="1" s="1"/>
  <c r="BH206" i="1"/>
  <c r="BA206" i="1"/>
  <c r="BV206" i="1"/>
  <c r="AT206" i="1"/>
  <c r="V207" i="1"/>
  <c r="Y207" i="1" s="1"/>
  <c r="BV208" i="1"/>
  <c r="AT208" i="1"/>
  <c r="BO208" i="1"/>
  <c r="AM208" i="1"/>
  <c r="BH208" i="1"/>
  <c r="BA208" i="1"/>
  <c r="V212" i="1"/>
  <c r="Y212" i="1" s="1"/>
  <c r="BH214" i="1"/>
  <c r="BA214" i="1"/>
  <c r="AT214" i="1"/>
  <c r="AM214" i="1"/>
  <c r="BV214" i="1"/>
  <c r="V214" i="1"/>
  <c r="Y214" i="1" s="1"/>
  <c r="Q219" i="1"/>
  <c r="AG219" i="1"/>
  <c r="V219" i="1"/>
  <c r="Y219" i="1" s="1"/>
  <c r="V220" i="1"/>
  <c r="Y220" i="1" s="1"/>
  <c r="V238" i="1"/>
  <c r="Y238" i="1" s="1"/>
  <c r="BV240" i="1"/>
  <c r="AT240" i="1"/>
  <c r="BO240" i="1"/>
  <c r="AM240" i="1"/>
  <c r="BH240" i="1"/>
  <c r="BA240" i="1"/>
  <c r="AI202" i="1"/>
  <c r="BV205" i="1"/>
  <c r="AM206" i="1"/>
  <c r="V209" i="1"/>
  <c r="Y209" i="1" s="1"/>
  <c r="AH210" i="1"/>
  <c r="BV212" i="1"/>
  <c r="AT212" i="1"/>
  <c r="BO212" i="1"/>
  <c r="AM212" i="1"/>
  <c r="BH212" i="1"/>
  <c r="BA212" i="1"/>
  <c r="BO214" i="1"/>
  <c r="V227" i="1"/>
  <c r="Y227" i="1" s="1"/>
  <c r="AG203" i="1"/>
  <c r="AG207" i="1"/>
  <c r="AG211" i="1"/>
  <c r="AJ213" i="1"/>
  <c r="AI215" i="1"/>
  <c r="AT217" i="1"/>
  <c r="AM218" i="1"/>
  <c r="AH220" i="1"/>
  <c r="V221" i="1"/>
  <c r="Y221" i="1" s="1"/>
  <c r="V224" i="1"/>
  <c r="Y224" i="1" s="1"/>
  <c r="AJ225" i="1"/>
  <c r="V231" i="1"/>
  <c r="Y231" i="1" s="1"/>
  <c r="Q234" i="1"/>
  <c r="AG234" i="1"/>
  <c r="V237" i="1"/>
  <c r="Y237" i="1" s="1"/>
  <c r="BH238" i="1"/>
  <c r="BA238" i="1"/>
  <c r="BV238" i="1"/>
  <c r="AT238" i="1"/>
  <c r="BO238" i="1"/>
  <c r="AM238" i="1"/>
  <c r="V243" i="1"/>
  <c r="Y243" i="1" s="1"/>
  <c r="BA215" i="1"/>
  <c r="BV215" i="1"/>
  <c r="AT215" i="1"/>
  <c r="BO215" i="1"/>
  <c r="AH216" i="1"/>
  <c r="V217" i="1"/>
  <c r="Y217" i="1" s="1"/>
  <c r="BO221" i="1"/>
  <c r="AM221" i="1"/>
  <c r="BH221" i="1"/>
  <c r="BV221" i="1"/>
  <c r="BH222" i="1"/>
  <c r="BA222" i="1"/>
  <c r="BV222" i="1"/>
  <c r="AT222" i="1"/>
  <c r="V223" i="1"/>
  <c r="Y223" i="1" s="1"/>
  <c r="V225" i="1"/>
  <c r="Y225" i="1" s="1"/>
  <c r="AG226" i="1"/>
  <c r="Q226" i="1"/>
  <c r="V230" i="1"/>
  <c r="Y230" i="1" s="1"/>
  <c r="BV232" i="1"/>
  <c r="AT232" i="1"/>
  <c r="BO232" i="1"/>
  <c r="AM232" i="1"/>
  <c r="BH232" i="1"/>
  <c r="V234" i="1"/>
  <c r="Y234" i="1" s="1"/>
  <c r="V235" i="1"/>
  <c r="Y235" i="1" s="1"/>
  <c r="BO217" i="1"/>
  <c r="AM217" i="1"/>
  <c r="BH217" i="1"/>
  <c r="BV217" i="1"/>
  <c r="BH218" i="1"/>
  <c r="BA218" i="1"/>
  <c r="BO218" i="1"/>
  <c r="AI218" i="1"/>
  <c r="AJ218" i="1"/>
  <c r="AH219" i="1"/>
  <c r="AI223" i="1"/>
  <c r="BO225" i="1"/>
  <c r="AM225" i="1"/>
  <c r="BH225" i="1"/>
  <c r="BA225" i="1"/>
  <c r="AT225" i="1"/>
  <c r="V229" i="1"/>
  <c r="Y229" i="1" s="1"/>
  <c r="BH230" i="1"/>
  <c r="BA230" i="1"/>
  <c r="BV230" i="1"/>
  <c r="AT230" i="1"/>
  <c r="BO230" i="1"/>
  <c r="AM230" i="1"/>
  <c r="V239" i="1"/>
  <c r="Y239" i="1" s="1"/>
  <c r="AG223" i="1"/>
  <c r="BO229" i="1"/>
  <c r="AM229" i="1"/>
  <c r="BH229" i="1"/>
  <c r="BA229" i="1"/>
  <c r="AT229" i="1"/>
  <c r="BO237" i="1"/>
  <c r="AM237" i="1"/>
  <c r="BH237" i="1"/>
  <c r="BA237" i="1"/>
  <c r="AT237" i="1"/>
  <c r="V241" i="1"/>
  <c r="Y241" i="1" s="1"/>
  <c r="AG242" i="1"/>
  <c r="AH242" i="1"/>
  <c r="AG216" i="1"/>
  <c r="AG220" i="1"/>
  <c r="AG224" i="1"/>
  <c r="V228" i="1"/>
  <c r="Y228" i="1" s="1"/>
  <c r="BV229" i="1"/>
  <c r="V236" i="1"/>
  <c r="Y236" i="1" s="1"/>
  <c r="BV237" i="1"/>
  <c r="BO241" i="1"/>
  <c r="AM241" i="1"/>
  <c r="BH241" i="1"/>
  <c r="BA241" i="1"/>
  <c r="AT241" i="1"/>
  <c r="BV228" i="1"/>
  <c r="AT228" i="1"/>
  <c r="BO228" i="1"/>
  <c r="AM228" i="1"/>
  <c r="BH228" i="1"/>
  <c r="BA228" i="1"/>
  <c r="AJ229" i="1"/>
  <c r="AH231" i="1"/>
  <c r="V232" i="1"/>
  <c r="Y232" i="1" s="1"/>
  <c r="BO233" i="1"/>
  <c r="AM233" i="1"/>
  <c r="BH233" i="1"/>
  <c r="BA233" i="1"/>
  <c r="AT233" i="1"/>
  <c r="AI233" i="1"/>
  <c r="AJ233" i="1"/>
  <c r="V233" i="1"/>
  <c r="Y233" i="1" s="1"/>
  <c r="AH234" i="1"/>
  <c r="BV236" i="1"/>
  <c r="AT236" i="1"/>
  <c r="BO236" i="1"/>
  <c r="AM236" i="1"/>
  <c r="BH236" i="1"/>
  <c r="BA236" i="1"/>
  <c r="AH239" i="1"/>
  <c r="V240" i="1"/>
  <c r="Y240" i="1" s="1"/>
  <c r="BV241" i="1"/>
  <c r="AG227" i="1"/>
  <c r="AG231" i="1"/>
  <c r="AG235" i="1"/>
  <c r="AG239" i="1"/>
  <c r="AG243" i="1"/>
  <c r="BV224" i="1" l="1"/>
  <c r="AT224" i="1"/>
  <c r="BO224" i="1"/>
  <c r="AM224" i="1"/>
  <c r="BH224" i="1"/>
  <c r="BA224" i="1"/>
  <c r="AA229" i="1"/>
  <c r="AB229" i="1" s="1"/>
  <c r="AE229" i="1"/>
  <c r="AA230" i="1"/>
  <c r="AE230" i="1"/>
  <c r="AB230" i="1"/>
  <c r="BV203" i="1"/>
  <c r="AT203" i="1"/>
  <c r="BO203" i="1"/>
  <c r="AM203" i="1"/>
  <c r="BH203" i="1"/>
  <c r="BA203" i="1"/>
  <c r="AA218" i="1"/>
  <c r="AB218" i="1" s="1"/>
  <c r="AE218" i="1"/>
  <c r="AA210" i="1"/>
  <c r="AE210" i="1"/>
  <c r="AB210" i="1"/>
  <c r="AA194" i="1"/>
  <c r="AB194" i="1" s="1"/>
  <c r="AE194" i="1"/>
  <c r="BV148" i="1"/>
  <c r="AT148" i="1"/>
  <c r="BO148" i="1"/>
  <c r="AM148" i="1"/>
  <c r="BH148" i="1"/>
  <c r="BA148" i="1"/>
  <c r="BH176" i="1"/>
  <c r="BV176" i="1"/>
  <c r="AT176" i="1"/>
  <c r="AM176" i="1"/>
  <c r="BO176" i="1"/>
  <c r="BA176" i="1"/>
  <c r="AB160" i="1"/>
  <c r="AA160" i="1"/>
  <c r="AE160" i="1"/>
  <c r="AA150" i="1"/>
  <c r="AB150" i="1" s="1"/>
  <c r="AE150" i="1"/>
  <c r="BV111" i="1"/>
  <c r="AT111" i="1"/>
  <c r="BO111" i="1"/>
  <c r="AM111" i="1"/>
  <c r="BA111" i="1"/>
  <c r="BH111" i="1"/>
  <c r="BH121" i="1"/>
  <c r="AM121" i="1"/>
  <c r="BA121" i="1"/>
  <c r="BO121" i="1"/>
  <c r="BV121" i="1"/>
  <c r="AT121" i="1"/>
  <c r="BA235" i="1"/>
  <c r="BV235" i="1"/>
  <c r="AT235" i="1"/>
  <c r="BO235" i="1"/>
  <c r="AM235" i="1"/>
  <c r="BH235" i="1"/>
  <c r="AB240" i="1"/>
  <c r="AA240" i="1"/>
  <c r="AE240" i="1"/>
  <c r="AA236" i="1"/>
  <c r="AB236" i="1" s="1"/>
  <c r="AE236" i="1"/>
  <c r="BV220" i="1"/>
  <c r="AT220" i="1"/>
  <c r="BO220" i="1"/>
  <c r="AM220" i="1"/>
  <c r="BA220" i="1"/>
  <c r="BH220" i="1"/>
  <c r="AB241" i="1"/>
  <c r="AA241" i="1"/>
  <c r="AE241" i="1"/>
  <c r="AE239" i="1"/>
  <c r="AB239" i="1"/>
  <c r="AA239" i="1"/>
  <c r="AE235" i="1"/>
  <c r="AA235" i="1"/>
  <c r="AB235" i="1" s="1"/>
  <c r="AA217" i="1"/>
  <c r="AB217" i="1" s="1"/>
  <c r="AE217" i="1"/>
  <c r="AE231" i="1"/>
  <c r="AA231" i="1"/>
  <c r="AB231" i="1" s="1"/>
  <c r="AE227" i="1"/>
  <c r="AB227" i="1"/>
  <c r="AA227" i="1"/>
  <c r="AE220" i="1"/>
  <c r="AA220" i="1"/>
  <c r="AB220" i="1" s="1"/>
  <c r="AA214" i="1"/>
  <c r="AE214" i="1"/>
  <c r="AB214" i="1"/>
  <c r="BV198" i="1"/>
  <c r="AT198" i="1"/>
  <c r="BO198" i="1"/>
  <c r="AM198" i="1"/>
  <c r="BH198" i="1"/>
  <c r="BA198" i="1"/>
  <c r="BV182" i="1"/>
  <c r="AT182" i="1"/>
  <c r="BO182" i="1"/>
  <c r="AM182" i="1"/>
  <c r="BH182" i="1"/>
  <c r="BA182" i="1"/>
  <c r="AB204" i="1"/>
  <c r="AA204" i="1"/>
  <c r="AE204" i="1"/>
  <c r="BH172" i="1"/>
  <c r="BV172" i="1"/>
  <c r="AT172" i="1"/>
  <c r="BO172" i="1"/>
  <c r="BA172" i="1"/>
  <c r="AM172" i="1"/>
  <c r="AE202" i="1"/>
  <c r="AB202" i="1"/>
  <c r="AA202" i="1"/>
  <c r="AB183" i="1"/>
  <c r="AA183" i="1"/>
  <c r="AE183" i="1"/>
  <c r="BV160" i="1"/>
  <c r="AT160" i="1"/>
  <c r="BO160" i="1"/>
  <c r="AM160" i="1"/>
  <c r="BH160" i="1"/>
  <c r="BA160" i="1"/>
  <c r="BV144" i="1"/>
  <c r="AT144" i="1"/>
  <c r="BO144" i="1"/>
  <c r="AM144" i="1"/>
  <c r="BH144" i="1"/>
  <c r="BA144" i="1"/>
  <c r="AA195" i="1"/>
  <c r="AB195" i="1" s="1"/>
  <c r="AE195" i="1"/>
  <c r="BH184" i="1"/>
  <c r="BA184" i="1"/>
  <c r="BV184" i="1"/>
  <c r="AT184" i="1"/>
  <c r="BO184" i="1"/>
  <c r="AM184" i="1"/>
  <c r="BH192" i="1"/>
  <c r="BA192" i="1"/>
  <c r="BV192" i="1"/>
  <c r="AT192" i="1"/>
  <c r="BO192" i="1"/>
  <c r="AM192" i="1"/>
  <c r="AA172" i="1"/>
  <c r="AB172" i="1" s="1"/>
  <c r="AE172" i="1"/>
  <c r="BH158" i="1"/>
  <c r="BA158" i="1"/>
  <c r="BV158" i="1"/>
  <c r="AT158" i="1"/>
  <c r="AM158" i="1"/>
  <c r="BO158" i="1"/>
  <c r="AA144" i="1"/>
  <c r="AB144" i="1" s="1"/>
  <c r="AE144" i="1"/>
  <c r="AE197" i="1"/>
  <c r="AA197" i="1"/>
  <c r="AB197" i="1" s="1"/>
  <c r="AA180" i="1"/>
  <c r="AE180" i="1"/>
  <c r="AB180" i="1"/>
  <c r="AB148" i="1"/>
  <c r="AA148" i="1"/>
  <c r="AE148" i="1"/>
  <c r="BV123" i="1"/>
  <c r="AT123" i="1"/>
  <c r="BO123" i="1"/>
  <c r="AM123" i="1"/>
  <c r="BH123" i="1"/>
  <c r="BA123" i="1"/>
  <c r="AA198" i="1"/>
  <c r="AB198" i="1" s="1"/>
  <c r="AE198" i="1"/>
  <c r="AB164" i="1"/>
  <c r="AA164" i="1"/>
  <c r="AE164" i="1"/>
  <c r="AE215" i="1"/>
  <c r="AB215" i="1"/>
  <c r="AA215" i="1"/>
  <c r="AB168" i="1"/>
  <c r="AA168" i="1"/>
  <c r="AE168" i="1"/>
  <c r="BH150" i="1"/>
  <c r="BA150" i="1"/>
  <c r="BV150" i="1"/>
  <c r="AT150" i="1"/>
  <c r="BO150" i="1"/>
  <c r="AM150" i="1"/>
  <c r="BA135" i="1"/>
  <c r="BO135" i="1"/>
  <c r="BV135" i="1"/>
  <c r="BH135" i="1"/>
  <c r="AM135" i="1"/>
  <c r="AT135" i="1"/>
  <c r="AA206" i="1"/>
  <c r="AE206" i="1"/>
  <c r="AB206" i="1"/>
  <c r="AE181" i="1"/>
  <c r="AA181" i="1"/>
  <c r="AB181" i="1" s="1"/>
  <c r="BV140" i="1"/>
  <c r="AT140" i="1"/>
  <c r="BH140" i="1"/>
  <c r="BA140" i="1"/>
  <c r="AM140" i="1"/>
  <c r="BO140" i="1"/>
  <c r="BH113" i="1"/>
  <c r="AM113" i="1"/>
  <c r="BA113" i="1"/>
  <c r="BO113" i="1"/>
  <c r="BV113" i="1"/>
  <c r="AT113" i="1"/>
  <c r="BA223" i="1"/>
  <c r="BV223" i="1"/>
  <c r="AT223" i="1"/>
  <c r="BO223" i="1"/>
  <c r="AM223" i="1"/>
  <c r="BH223" i="1"/>
  <c r="AE223" i="1"/>
  <c r="AB223" i="1"/>
  <c r="AA223" i="1"/>
  <c r="AB221" i="1"/>
  <c r="AA221" i="1"/>
  <c r="AE221" i="1"/>
  <c r="AA238" i="1"/>
  <c r="AB238" i="1" s="1"/>
  <c r="AE238" i="1"/>
  <c r="BV186" i="1"/>
  <c r="AT186" i="1"/>
  <c r="BO186" i="1"/>
  <c r="AM186" i="1"/>
  <c r="BH186" i="1"/>
  <c r="BA186" i="1"/>
  <c r="AB190" i="1"/>
  <c r="AA190" i="1"/>
  <c r="AE190" i="1"/>
  <c r="BH200" i="1"/>
  <c r="BA200" i="1"/>
  <c r="BV200" i="1"/>
  <c r="AT200" i="1"/>
  <c r="BO200" i="1"/>
  <c r="AM200" i="1"/>
  <c r="AA186" i="1"/>
  <c r="AB186" i="1" s="1"/>
  <c r="AE186" i="1"/>
  <c r="AE173" i="1"/>
  <c r="AA173" i="1"/>
  <c r="AB173" i="1" s="1"/>
  <c r="BV127" i="1"/>
  <c r="AT127" i="1"/>
  <c r="BO127" i="1"/>
  <c r="AM127" i="1"/>
  <c r="BH127" i="1"/>
  <c r="BA127" i="1"/>
  <c r="AA166" i="1"/>
  <c r="AE166" i="1"/>
  <c r="AB166" i="1"/>
  <c r="AE226" i="1"/>
  <c r="AA226" i="1"/>
  <c r="AB226" i="1"/>
  <c r="AA161" i="1"/>
  <c r="AB161" i="1" s="1"/>
  <c r="AE161" i="1"/>
  <c r="BH138" i="1"/>
  <c r="BV138" i="1"/>
  <c r="AT138" i="1"/>
  <c r="AM138" i="1"/>
  <c r="BA138" i="1"/>
  <c r="BO138" i="1"/>
  <c r="AA184" i="1"/>
  <c r="AB184" i="1" s="1"/>
  <c r="AE184" i="1"/>
  <c r="BA231" i="1"/>
  <c r="BV231" i="1"/>
  <c r="AT231" i="1"/>
  <c r="BO231" i="1"/>
  <c r="AM231" i="1"/>
  <c r="BH231" i="1"/>
  <c r="AA233" i="1"/>
  <c r="AB233" i="1" s="1"/>
  <c r="AE233" i="1"/>
  <c r="AB232" i="1"/>
  <c r="AA232" i="1"/>
  <c r="AE232" i="1"/>
  <c r="BV216" i="1"/>
  <c r="AT216" i="1"/>
  <c r="BO216" i="1"/>
  <c r="AM216" i="1"/>
  <c r="BH216" i="1"/>
  <c r="BA216" i="1"/>
  <c r="AA234" i="1"/>
  <c r="AE234" i="1"/>
  <c r="AB234" i="1"/>
  <c r="BH226" i="1"/>
  <c r="BA226" i="1"/>
  <c r="BV226" i="1"/>
  <c r="AT226" i="1"/>
  <c r="BO226" i="1"/>
  <c r="AM226" i="1"/>
  <c r="AB237" i="1"/>
  <c r="AA237" i="1"/>
  <c r="AE237" i="1"/>
  <c r="BA211" i="1"/>
  <c r="BV211" i="1"/>
  <c r="AT211" i="1"/>
  <c r="BO211" i="1"/>
  <c r="AM211" i="1"/>
  <c r="BH211" i="1"/>
  <c r="AA209" i="1"/>
  <c r="AB209" i="1" s="1"/>
  <c r="AE209" i="1"/>
  <c r="AE219" i="1"/>
  <c r="AA219" i="1"/>
  <c r="AB219" i="1" s="1"/>
  <c r="AE207" i="1"/>
  <c r="AB207" i="1"/>
  <c r="AA207" i="1"/>
  <c r="BV194" i="1"/>
  <c r="AT194" i="1"/>
  <c r="BO194" i="1"/>
  <c r="AM194" i="1"/>
  <c r="BH194" i="1"/>
  <c r="BA194" i="1"/>
  <c r="BV178" i="1"/>
  <c r="AT178" i="1"/>
  <c r="BO178" i="1"/>
  <c r="AM178" i="1"/>
  <c r="BH178" i="1"/>
  <c r="BA178" i="1"/>
  <c r="AB216" i="1"/>
  <c r="AA216" i="1"/>
  <c r="AE216" i="1"/>
  <c r="AB203" i="1"/>
  <c r="AE203" i="1"/>
  <c r="AA203" i="1"/>
  <c r="AB187" i="1"/>
  <c r="AA187" i="1"/>
  <c r="AE187" i="1"/>
  <c r="AA213" i="1"/>
  <c r="AB213" i="1" s="1"/>
  <c r="AE213" i="1"/>
  <c r="AB199" i="1"/>
  <c r="AA199" i="1"/>
  <c r="AE199" i="1"/>
  <c r="BV174" i="1"/>
  <c r="AT174" i="1"/>
  <c r="BH174" i="1"/>
  <c r="BO174" i="1"/>
  <c r="BA174" i="1"/>
  <c r="AM174" i="1"/>
  <c r="BV156" i="1"/>
  <c r="AT156" i="1"/>
  <c r="BO156" i="1"/>
  <c r="AM156" i="1"/>
  <c r="BH156" i="1"/>
  <c r="BA156" i="1"/>
  <c r="AA179" i="1"/>
  <c r="AB179" i="1" s="1"/>
  <c r="AE179" i="1"/>
  <c r="AB169" i="1"/>
  <c r="AA169" i="1"/>
  <c r="AE169" i="1"/>
  <c r="BH142" i="1"/>
  <c r="BA142" i="1"/>
  <c r="BV142" i="1"/>
  <c r="AT142" i="1"/>
  <c r="BO142" i="1"/>
  <c r="AM142" i="1"/>
  <c r="AA196" i="1"/>
  <c r="AB196" i="1" s="1"/>
  <c r="AE196" i="1"/>
  <c r="AE175" i="1"/>
  <c r="AA175" i="1"/>
  <c r="AB175" i="1" s="1"/>
  <c r="AE201" i="1"/>
  <c r="AB201" i="1"/>
  <c r="AA201" i="1"/>
  <c r="AB156" i="1"/>
  <c r="AA156" i="1"/>
  <c r="AE156" i="1"/>
  <c r="BV136" i="1"/>
  <c r="AT136" i="1"/>
  <c r="BH136" i="1"/>
  <c r="BO136" i="1"/>
  <c r="BA136" i="1"/>
  <c r="AM136" i="1"/>
  <c r="BV119" i="1"/>
  <c r="AT119" i="1"/>
  <c r="BA119" i="1"/>
  <c r="BO119" i="1"/>
  <c r="AM119" i="1"/>
  <c r="BH119" i="1"/>
  <c r="AA242" i="1"/>
  <c r="AB242" i="1" s="1"/>
  <c r="AE242" i="1"/>
  <c r="BH166" i="1"/>
  <c r="BA166" i="1"/>
  <c r="BV166" i="1"/>
  <c r="AT166" i="1"/>
  <c r="BO166" i="1"/>
  <c r="AM166" i="1"/>
  <c r="AB145" i="1"/>
  <c r="AA145" i="1"/>
  <c r="AE145" i="1"/>
  <c r="AA200" i="1"/>
  <c r="AB200" i="1" s="1"/>
  <c r="AE200" i="1"/>
  <c r="AA174" i="1"/>
  <c r="AB174" i="1" s="1"/>
  <c r="AE174" i="1"/>
  <c r="BH129" i="1"/>
  <c r="BO129" i="1"/>
  <c r="BA129" i="1"/>
  <c r="AM129" i="1"/>
  <c r="BV129" i="1"/>
  <c r="AT129" i="1"/>
  <c r="AA109" i="1"/>
  <c r="G102" i="1"/>
  <c r="AE109" i="1"/>
  <c r="BA239" i="1"/>
  <c r="BV239" i="1"/>
  <c r="AT239" i="1"/>
  <c r="BO239" i="1"/>
  <c r="AM239" i="1"/>
  <c r="BH239" i="1"/>
  <c r="BH242" i="1"/>
  <c r="BA242" i="1"/>
  <c r="BV242" i="1"/>
  <c r="AT242" i="1"/>
  <c r="BO242" i="1"/>
  <c r="AM242" i="1"/>
  <c r="BV164" i="1"/>
  <c r="AT164" i="1"/>
  <c r="BO164" i="1"/>
  <c r="AM164" i="1"/>
  <c r="BH164" i="1"/>
  <c r="BA164" i="1"/>
  <c r="AA188" i="1"/>
  <c r="AE188" i="1"/>
  <c r="AB188" i="1"/>
  <c r="AB165" i="1"/>
  <c r="AA165" i="1"/>
  <c r="AE165" i="1"/>
  <c r="AA152" i="1"/>
  <c r="AB152" i="1" s="1"/>
  <c r="AE152" i="1"/>
  <c r="BA243" i="1"/>
  <c r="BV243" i="1"/>
  <c r="AT243" i="1"/>
  <c r="BO243" i="1"/>
  <c r="AM243" i="1"/>
  <c r="BH243" i="1"/>
  <c r="BA227" i="1"/>
  <c r="BV227" i="1"/>
  <c r="AT227" i="1"/>
  <c r="BO227" i="1"/>
  <c r="AM227" i="1"/>
  <c r="BH227" i="1"/>
  <c r="AB228" i="1"/>
  <c r="AA228" i="1"/>
  <c r="AE228" i="1"/>
  <c r="AA225" i="1"/>
  <c r="AB225" i="1" s="1"/>
  <c r="AE225" i="1"/>
  <c r="AE243" i="1"/>
  <c r="AA243" i="1"/>
  <c r="AB243" i="1" s="1"/>
  <c r="BH234" i="1"/>
  <c r="BA234" i="1"/>
  <c r="BV234" i="1"/>
  <c r="AT234" i="1"/>
  <c r="BO234" i="1"/>
  <c r="AM234" i="1"/>
  <c r="AA224" i="1"/>
  <c r="AB224" i="1" s="1"/>
  <c r="AE224" i="1"/>
  <c r="BA207" i="1"/>
  <c r="BV207" i="1"/>
  <c r="AT207" i="1"/>
  <c r="BO207" i="1"/>
  <c r="AM207" i="1"/>
  <c r="BH207" i="1"/>
  <c r="BA219" i="1"/>
  <c r="BV219" i="1"/>
  <c r="AT219" i="1"/>
  <c r="AM219" i="1"/>
  <c r="BO219" i="1"/>
  <c r="BH219" i="1"/>
  <c r="AB212" i="1"/>
  <c r="AA212" i="1"/>
  <c r="AE212" i="1"/>
  <c r="AA205" i="1"/>
  <c r="AB205" i="1" s="1"/>
  <c r="AE205" i="1"/>
  <c r="BV190" i="1"/>
  <c r="AT190" i="1"/>
  <c r="BO190" i="1"/>
  <c r="AM190" i="1"/>
  <c r="BH190" i="1"/>
  <c r="BA190" i="1"/>
  <c r="AB208" i="1"/>
  <c r="AA208" i="1"/>
  <c r="AE208" i="1"/>
  <c r="AE211" i="1"/>
  <c r="AB211" i="1"/>
  <c r="AA211" i="1"/>
  <c r="AB178" i="1"/>
  <c r="AA178" i="1"/>
  <c r="AE178" i="1"/>
  <c r="BH210" i="1"/>
  <c r="BA210" i="1"/>
  <c r="BV210" i="1"/>
  <c r="AT210" i="1"/>
  <c r="BO210" i="1"/>
  <c r="AM210" i="1"/>
  <c r="BV168" i="1"/>
  <c r="AT168" i="1"/>
  <c r="BO168" i="1"/>
  <c r="AM168" i="1"/>
  <c r="BH168" i="1"/>
  <c r="BA168" i="1"/>
  <c r="BV152" i="1"/>
  <c r="AT152" i="1"/>
  <c r="BO152" i="1"/>
  <c r="AM152" i="1"/>
  <c r="BH152" i="1"/>
  <c r="BA152" i="1"/>
  <c r="BO171" i="1"/>
  <c r="AM171" i="1"/>
  <c r="BA171" i="1"/>
  <c r="AT171" i="1"/>
  <c r="BV171" i="1"/>
  <c r="BH171" i="1"/>
  <c r="AA153" i="1"/>
  <c r="AB153" i="1" s="1"/>
  <c r="AE153" i="1"/>
  <c r="AB191" i="1"/>
  <c r="AA191" i="1"/>
  <c r="AE191" i="1"/>
  <c r="AA157" i="1"/>
  <c r="AB157" i="1" s="1"/>
  <c r="AE157" i="1"/>
  <c r="AE185" i="1"/>
  <c r="AA185" i="1"/>
  <c r="AB185" i="1" s="1"/>
  <c r="AE171" i="1"/>
  <c r="AA171" i="1"/>
  <c r="AB171" i="1" s="1"/>
  <c r="AB149" i="1"/>
  <c r="AA149" i="1"/>
  <c r="AE149" i="1"/>
  <c r="BV131" i="1"/>
  <c r="AT131" i="1"/>
  <c r="BO131" i="1"/>
  <c r="AM131" i="1"/>
  <c r="BH131" i="1"/>
  <c r="BA131" i="1"/>
  <c r="BV115" i="1"/>
  <c r="AT115" i="1"/>
  <c r="BO115" i="1"/>
  <c r="AM115" i="1"/>
  <c r="BA115" i="1"/>
  <c r="BH115" i="1"/>
  <c r="AA182" i="1"/>
  <c r="AB182" i="1" s="1"/>
  <c r="AE182" i="1"/>
  <c r="AA222" i="1"/>
  <c r="AE222" i="1"/>
  <c r="AB222" i="1"/>
  <c r="AE189" i="1"/>
  <c r="AB189" i="1"/>
  <c r="AA189" i="1"/>
  <c r="AA192" i="1"/>
  <c r="AB192" i="1" s="1"/>
  <c r="AE192" i="1"/>
  <c r="BH125" i="1"/>
  <c r="AM125" i="1"/>
  <c r="BA125" i="1"/>
  <c r="BV125" i="1"/>
  <c r="AT125" i="1"/>
  <c r="BO125" i="1"/>
  <c r="G107" i="1"/>
  <c r="G103" i="1" l="1"/>
  <c r="G104" i="1" s="1"/>
  <c r="U102" i="1"/>
  <c r="AB10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J. de Gusmão</author>
    <author>Myrko Araújo Micali</author>
  </authors>
  <commentList>
    <comment ref="U96" authorId="0" shapeId="0" xr:uid="{DCA30998-3AC7-4D2C-8266-6103DA6ABAB9}">
      <text>
        <r>
          <rPr>
            <b/>
            <sz val="9"/>
            <color indexed="81"/>
            <rFont val="Segoe UI"/>
            <family val="2"/>
          </rPr>
          <t>Antonio J. de Gusmão:</t>
        </r>
        <r>
          <rPr>
            <sz val="9"/>
            <color indexed="81"/>
            <rFont val="Segoe UI"/>
            <family val="2"/>
          </rPr>
          <t xml:space="preserve">
Default
65%</t>
        </r>
      </text>
    </comment>
    <comment ref="O102" authorId="0" shapeId="0" xr:uid="{B30DD6FA-7284-4216-86D8-4C98D851C681}">
      <text>
        <r>
          <rPr>
            <b/>
            <sz val="9"/>
            <color indexed="81"/>
            <rFont val="Segoe UI"/>
            <family val="2"/>
          </rPr>
          <t>Antonio J. de Gusmão:</t>
        </r>
        <r>
          <rPr>
            <sz val="9"/>
            <color indexed="81"/>
            <rFont val="Segoe UI"/>
            <family val="2"/>
          </rPr>
          <t xml:space="preserve">
Default 70%
Horas efetivamente trabalhada na execução da tarefas. Considerar aqui, equipe da região, dificuldades de locomoção, rendimento de profissionais. Não considerar aqui as dificuldades de execuçào e dificuldades com relação a segurança.. Estes dois itens são tratados nas celulas V108 e W 108</t>
        </r>
      </text>
    </comment>
    <comment ref="M108" authorId="0" shapeId="0" xr:uid="{6D256BCE-94C3-4CA2-A2B9-EA3B1996A3A3}">
      <text>
        <r>
          <rPr>
            <b/>
            <sz val="9"/>
            <color indexed="81"/>
            <rFont val="Segoe UI"/>
            <family val="2"/>
          </rPr>
          <t>Antonio J. de Gusmão:</t>
        </r>
        <r>
          <rPr>
            <sz val="9"/>
            <color indexed="81"/>
            <rFont val="Segoe UI"/>
            <family val="2"/>
          </rPr>
          <t xml:space="preserve">
fev 2109 ajuste em 14% . Foi o que detectamos estar abaixo, com obras executadas</t>
        </r>
      </text>
    </comment>
    <comment ref="W108" authorId="1" shapeId="0" xr:uid="{5FE68E25-2ECE-419D-A9EA-A0461304ED0E}">
      <text>
        <r>
          <rPr>
            <sz val="9"/>
            <color indexed="81"/>
            <rFont val="Tahoma"/>
            <family val="2"/>
          </rPr>
          <t xml:space="preserve">Fator que deverá ser analisado para cada cliente, esse rendimento aumenta a quantidade de horas para cada serviço.
</t>
        </r>
      </text>
    </comment>
    <comment ref="X108" authorId="1" shapeId="0" xr:uid="{BE4EA408-2661-48A0-9E7E-539EDC6B1505}">
      <text>
        <r>
          <rPr>
            <sz val="9"/>
            <color indexed="81"/>
            <rFont val="Tahoma"/>
            <family val="2"/>
          </rPr>
          <t xml:space="preserve">Fator que deverá ser analisado para cada cliente, esse rendimento aumenta a quantidade de horas para cada serviço.
Dificuldades com normas de segurança. PT demorado, PTA complexa, Dificuldade com equipe Segurança do cliente. Normas excessivas
</t>
        </r>
      </text>
    </comment>
    <comment ref="AQ108" authorId="1" shapeId="0" xr:uid="{475C4319-B813-4427-8FDF-AA928C4422FC}">
      <text>
        <r>
          <rPr>
            <sz val="9"/>
            <color indexed="81"/>
            <rFont val="Tahoma"/>
            <family val="2"/>
          </rPr>
          <t xml:space="preserve">Fator que deverá ser analisado para cada cliente, esse rendimento aumenta a quantidade de horas para cada serviço.
</t>
        </r>
      </text>
    </comment>
    <comment ref="AX108" authorId="1" shapeId="0" xr:uid="{AE5AECA4-18E0-4B9F-879F-7FBB9BFD8F4A}">
      <text>
        <r>
          <rPr>
            <sz val="9"/>
            <color indexed="81"/>
            <rFont val="Tahoma"/>
            <family val="2"/>
          </rPr>
          <t xml:space="preserve">Fator que deverá ser analisado para cada cliente, esse rendimento aumenta a quantidade de horas para cada serviço.
</t>
        </r>
      </text>
    </comment>
    <comment ref="BE108" authorId="1" shapeId="0" xr:uid="{CDE4EC4D-9A08-47D3-A528-779C53ED0B13}">
      <text>
        <r>
          <rPr>
            <sz val="9"/>
            <color indexed="81"/>
            <rFont val="Tahoma"/>
            <family val="2"/>
          </rPr>
          <t xml:space="preserve">Fator que deverá ser analisado para cada cliente, esse rendimento aumenta a quantidade de horas para cada serviço.
</t>
        </r>
      </text>
    </comment>
    <comment ref="BL108" authorId="1" shapeId="0" xr:uid="{A778B6E3-FC8C-4837-947F-9BCFA6355D50}">
      <text>
        <r>
          <rPr>
            <sz val="9"/>
            <color indexed="81"/>
            <rFont val="Tahoma"/>
            <family val="2"/>
          </rPr>
          <t xml:space="preserve">Fator que deverá ser analisado para cada cliente, esse rendimento aumenta a quantidade de horas para cada serviço.
</t>
        </r>
      </text>
    </comment>
    <comment ref="BS108" authorId="1" shapeId="0" xr:uid="{B8A6F94E-756A-481D-BAF2-41E4455C1C30}">
      <text>
        <r>
          <rPr>
            <sz val="9"/>
            <color indexed="81"/>
            <rFont val="Tahoma"/>
            <family val="2"/>
          </rPr>
          <t xml:space="preserve">Fator que deverá ser analisado para cada cliente, esse rendimento aumenta a quantidade de horas para cada serviço.
</t>
        </r>
      </text>
    </comment>
    <comment ref="BZ108" authorId="1" shapeId="0" xr:uid="{E0C4BA39-4417-493C-95CE-22E531E59C22}">
      <text>
        <r>
          <rPr>
            <sz val="9"/>
            <color indexed="81"/>
            <rFont val="Tahoma"/>
            <family val="2"/>
          </rPr>
          <t xml:space="preserve">Fator que deverá ser analisado para cada cliente, esse rendimento aumenta a quantidade de horas para cada serviço.
</t>
        </r>
      </text>
    </comment>
  </commentList>
</comments>
</file>

<file path=xl/sharedStrings.xml><?xml version="1.0" encoding="utf-8"?>
<sst xmlns="http://schemas.openxmlformats.org/spreadsheetml/2006/main" count="2521" uniqueCount="280">
  <si>
    <t>Dias</t>
  </si>
  <si>
    <t>g</t>
  </si>
  <si>
    <t>gl</t>
  </si>
  <si>
    <t>kg</t>
  </si>
  <si>
    <t>L</t>
  </si>
  <si>
    <t>m²</t>
  </si>
  <si>
    <t>m³</t>
  </si>
  <si>
    <t>ml</t>
  </si>
  <si>
    <t>mt</t>
  </si>
  <si>
    <t>pç</t>
  </si>
  <si>
    <t>ton</t>
  </si>
  <si>
    <t>un</t>
  </si>
  <si>
    <t>Profissionais</t>
  </si>
  <si>
    <t>Alta</t>
  </si>
  <si>
    <t>Alta _Leve</t>
  </si>
  <si>
    <t>Extremamente Alta</t>
  </si>
  <si>
    <t>Muito Alta</t>
  </si>
  <si>
    <t>Muito Muito Alta</t>
  </si>
  <si>
    <t>Normal</t>
  </si>
  <si>
    <t>Alta complexidade</t>
  </si>
  <si>
    <t>Critica_Complicada</t>
  </si>
  <si>
    <t>Critica_Rapida</t>
  </si>
  <si>
    <t>Revisão</t>
  </si>
  <si>
    <r>
      <t xml:space="preserve">THEO: </t>
    </r>
    <r>
      <rPr>
        <sz val="14"/>
        <color rgb="FF000000"/>
        <rFont val="Calibri"/>
        <family val="2"/>
        <scheme val="minor"/>
      </rPr>
      <t>Tabela de Horas Estimadas  para Orçamento</t>
    </r>
  </si>
  <si>
    <r>
      <rPr>
        <b/>
        <sz val="22"/>
        <color rgb="FFC00000"/>
        <rFont val="Arial"/>
        <family val="2"/>
      </rPr>
      <t>Controle do Preposto</t>
    </r>
    <r>
      <rPr>
        <b/>
        <sz val="12"/>
        <color rgb="FFC00000"/>
        <rFont val="Arial"/>
        <family val="2"/>
      </rPr>
      <t xml:space="preserve">
Atenção
Tem de ser preenchido para todas as atividades.
NOTA: Se na evolução, você Preposto, detectar que não deverá atingir a META: Pare e fale com o Gerente ou a diretoria.</t>
    </r>
  </si>
  <si>
    <r>
      <rPr>
        <b/>
        <sz val="7"/>
        <color rgb="FFFF0000"/>
        <rFont val="Arial"/>
        <family val="2"/>
      </rPr>
      <t>Notas:</t>
    </r>
    <r>
      <rPr>
        <b/>
        <sz val="7"/>
        <color theme="1"/>
        <rFont val="Arial"/>
        <family val="2"/>
      </rPr>
      <t xml:space="preserve">
1- Atenção a todas as medições. Elas tem de serem rigorosamente controladas pelo preposto. Sempre verifique o que foi definido na meta para ter certeza de que esta sendo produtivo para atingir  o que foi programada.
2- Se caso estiver fazendo duas atividades em uma, como exemplo passando ao mesmo tempo um cabo de 140 mm2 e outro de 240 mm2, o preposto deve julgar e preencher os dois campo de forma matematicamente razoável.
3- Vá ao campo, meça, veja as quantidades executadas, use trena, use contador, mas procure você, preposto, obter este numero com fidelidade. É muito importante é nossa base de dados. 
4- Pode acrescentar Itens, mas tente encaixa-los primeiro nas descrições, se não der , crie no local abaixo da tabela.</t>
    </r>
  </si>
  <si>
    <t>X</t>
  </si>
  <si>
    <t>Grupos</t>
  </si>
  <si>
    <t>Horas Estimadas</t>
  </si>
  <si>
    <r>
      <rPr>
        <b/>
        <sz val="9"/>
        <color theme="1"/>
        <rFont val="Arial"/>
        <family val="2"/>
      </rPr>
      <t>Analisem todos os pontos e votem com segurança.</t>
    </r>
    <r>
      <rPr>
        <b/>
        <sz val="10"/>
        <color theme="1"/>
        <rFont val="Arial"/>
        <family val="2"/>
      </rPr>
      <t xml:space="preserve">
</t>
    </r>
    <r>
      <rPr>
        <sz val="8"/>
        <color theme="1"/>
        <rFont val="Arial"/>
        <family val="2"/>
      </rPr>
      <t>1- Chame pra votar quem trabalhou ou conhece o tema
2- Vote com clareza e não veja o voto do outro
3- Debata o assunto na sala, vote secreto, mas depois do debate</t>
    </r>
  </si>
  <si>
    <t>Horas de trabalho</t>
  </si>
  <si>
    <t>Rendimento do Profissional</t>
  </si>
  <si>
    <t>Valores Estimados Médios R$</t>
  </si>
  <si>
    <t>Últimos 5 Históricos</t>
  </si>
  <si>
    <t>Cliente</t>
  </si>
  <si>
    <t>Região</t>
  </si>
  <si>
    <t>Consumindo total de MOD</t>
  </si>
  <si>
    <t>Tamanho do projeto</t>
  </si>
  <si>
    <t>Ano</t>
  </si>
  <si>
    <t>Disciplina do Projeto</t>
  </si>
  <si>
    <r>
      <rPr>
        <b/>
        <sz val="10"/>
        <color rgb="FFFF0000"/>
        <rFont val="Arial"/>
        <family val="2"/>
      </rPr>
      <t>MOD</t>
    </r>
    <r>
      <rPr>
        <b/>
        <sz val="10"/>
        <color theme="1"/>
        <rFont val="Arial"/>
        <family val="2"/>
      </rPr>
      <t>_ Total Horas THEO</t>
    </r>
  </si>
  <si>
    <t>Valor médio por hora :</t>
  </si>
  <si>
    <r>
      <rPr>
        <b/>
        <sz val="10"/>
        <color rgb="FFFF0000"/>
        <rFont val="Arial"/>
        <family val="2"/>
      </rPr>
      <t>MOD</t>
    </r>
    <r>
      <rPr>
        <b/>
        <sz val="10"/>
        <color theme="1"/>
        <rFont val="Arial"/>
        <family val="2"/>
      </rPr>
      <t>_Horas Ajudantes THEO</t>
    </r>
  </si>
  <si>
    <r>
      <t xml:space="preserve">Fornecimento do </t>
    </r>
    <r>
      <rPr>
        <b/>
        <sz val="8"/>
        <color theme="0"/>
        <rFont val="Arial"/>
        <family val="2"/>
      </rPr>
      <t>MI</t>
    </r>
    <r>
      <rPr>
        <b/>
        <sz val="8"/>
        <color rgb="FFFFFF00"/>
        <rFont val="Arial"/>
        <family val="2"/>
      </rPr>
      <t xml:space="preserve"> </t>
    </r>
    <r>
      <rPr>
        <b/>
        <sz val="6"/>
        <color rgb="FFFFFF00"/>
        <rFont val="Arial"/>
        <family val="2"/>
      </rPr>
      <t xml:space="preserve">(100%) </t>
    </r>
    <r>
      <rPr>
        <b/>
        <sz val="8"/>
        <color rgb="FFFFFF00"/>
        <rFont val="Arial"/>
        <family val="2"/>
      </rPr>
      <t>será do Cliente ??</t>
    </r>
  </si>
  <si>
    <r>
      <rPr>
        <sz val="11"/>
        <color rgb="FF1F24F1"/>
        <rFont val="Arial"/>
        <family val="2"/>
      </rPr>
      <t>Apenas estimativas:</t>
    </r>
    <r>
      <rPr>
        <sz val="7"/>
        <color rgb="FF1F24F1"/>
        <rFont val="Arial"/>
        <family val="2"/>
      </rPr>
      <t xml:space="preserve">
</t>
    </r>
    <r>
      <rPr>
        <sz val="7"/>
        <color theme="1"/>
        <rFont val="Arial"/>
        <family val="2"/>
      </rPr>
      <t xml:space="preserve">
DEBATA E AVALIE COM COLEGAS DA ÁREA E QUE TENHAM CONHECIMENTO NO ASSUNTO
Em caso de dúvida ou grandes propostas, reúna um time e debata Qt de horas na THEO. Aperte a tecla Inicio da Votação e estime tempos
Lembre-se que dificuldades,  são definidas nos campos dedicados a elas. Não mudem a referencia. Apenas Revisem o valore de referencia, depois de um profundo debate.
</t>
    </r>
    <r>
      <rPr>
        <sz val="9"/>
        <color rgb="FFFF0000"/>
        <rFont val="Calibri"/>
        <family val="2"/>
      </rPr>
      <t>Gusmão</t>
    </r>
  </si>
  <si>
    <t>A</t>
  </si>
  <si>
    <t>Sim</t>
  </si>
  <si>
    <r>
      <rPr>
        <b/>
        <sz val="10"/>
        <color rgb="FFFF0000"/>
        <rFont val="Arial"/>
        <family val="2"/>
      </rPr>
      <t>MOD</t>
    </r>
    <r>
      <rPr>
        <b/>
        <sz val="10"/>
        <color theme="1"/>
        <rFont val="Arial"/>
        <family val="2"/>
      </rPr>
      <t>_ Horas de OFICIAIS THEO</t>
    </r>
  </si>
  <si>
    <t>Não</t>
  </si>
  <si>
    <r>
      <rPr>
        <b/>
        <sz val="9"/>
        <color rgb="FFFF0000"/>
        <rFont val="Arial"/>
        <family val="2"/>
      </rPr>
      <t>MOD:</t>
    </r>
    <r>
      <rPr>
        <sz val="9"/>
        <color theme="1"/>
        <rFont val="Arial"/>
        <family val="2"/>
      </rPr>
      <t xml:space="preserve">
Esta planilha é apoio para determinar quantidade de horas  diretas MOD para serem trabalhadas no Histograma.
Atento ao Histograma</t>
    </r>
  </si>
  <si>
    <t>Rendimento Calculado Total</t>
  </si>
  <si>
    <t>Release</t>
  </si>
  <si>
    <t>Qt Vezes Revisado</t>
  </si>
  <si>
    <t>Meta</t>
  </si>
  <si>
    <t>Nome do Preposto</t>
  </si>
  <si>
    <t>Período Medição</t>
  </si>
  <si>
    <t>Segundo Preposto Responsável e assumiu sabendo das medições</t>
  </si>
  <si>
    <t>De:</t>
  </si>
  <si>
    <t>Nota: Não precisa ser continuo  ou seja a data não precisa exatamente igual ao período, pois pode ter havido interrupção</t>
  </si>
  <si>
    <t>REF BASE</t>
  </si>
  <si>
    <t>Serviço</t>
  </si>
  <si>
    <t>Device</t>
  </si>
  <si>
    <t>Função OFICIAL</t>
  </si>
  <si>
    <t>Tarefa</t>
  </si>
  <si>
    <t>DESCRIÇÃO
MATERIAL / EQUIPAMENTO/ SERVIÇO</t>
  </si>
  <si>
    <t>QTD Prevista</t>
  </si>
  <si>
    <t>Voto 1</t>
  </si>
  <si>
    <t>Voto2</t>
  </si>
  <si>
    <t>Voto 3</t>
  </si>
  <si>
    <t>Voto 4</t>
  </si>
  <si>
    <t>Voto 5</t>
  </si>
  <si>
    <t>Ref Ajustada</t>
  </si>
  <si>
    <t>UNID</t>
  </si>
  <si>
    <t>Capacidade por dia</t>
  </si>
  <si>
    <t>Unidade</t>
  </si>
  <si>
    <t>Total
Profissionais</t>
  </si>
  <si>
    <t>Quantidade
Ajudantes</t>
  </si>
  <si>
    <t>Quantidade de oficiais</t>
  </si>
  <si>
    <t>Quantidade de Dias Max</t>
  </si>
  <si>
    <t>Horas Totais</t>
  </si>
  <si>
    <r>
      <t xml:space="preserve">Fator dificuldade na </t>
    </r>
    <r>
      <rPr>
        <b/>
        <sz val="8"/>
        <color rgb="FFFF0000"/>
        <rFont val="Arial"/>
        <family val="2"/>
      </rPr>
      <t xml:space="preserve"> 
Execução da Tarefa</t>
    </r>
  </si>
  <si>
    <r>
      <t>Fator dificuldade relacionada a</t>
    </r>
    <r>
      <rPr>
        <b/>
        <sz val="8"/>
        <color rgb="FFFF0000"/>
        <rFont val="Arial"/>
        <family val="2"/>
      </rPr>
      <t xml:space="preserve"> Segurança</t>
    </r>
  </si>
  <si>
    <t>Horas Totais c/ Fator Dificuldades
Rendimento</t>
  </si>
  <si>
    <t>Porcentagem de Ajudante</t>
  </si>
  <si>
    <t>Total HH de Ajudantes</t>
  </si>
  <si>
    <t>HH de
Oficiais</t>
  </si>
  <si>
    <r>
      <t>QTD Total de itens Previstos na</t>
    </r>
    <r>
      <rPr>
        <b/>
        <sz val="10"/>
        <color rgb="FFC00000"/>
        <rFont val="Arial"/>
        <family val="2"/>
      </rPr>
      <t xml:space="preserve"> Venda</t>
    </r>
  </si>
  <si>
    <r>
      <t xml:space="preserve">Quantidade Total de horas previstas na </t>
    </r>
    <r>
      <rPr>
        <b/>
        <sz val="8"/>
        <color rgb="FFC00000"/>
        <rFont val="Arial"/>
        <family val="2"/>
      </rPr>
      <t>Meta</t>
    </r>
  </si>
  <si>
    <r>
      <t>Qt Total do item</t>
    </r>
    <r>
      <rPr>
        <b/>
        <sz val="8"/>
        <color rgb="FFC00000"/>
        <rFont val="Arial"/>
        <family val="2"/>
      </rPr>
      <t xml:space="preserve"> </t>
    </r>
    <r>
      <rPr>
        <b/>
        <sz val="9"/>
        <color rgb="FFC00000"/>
        <rFont val="Arial"/>
        <family val="2"/>
      </rPr>
      <t>Realizado</t>
    </r>
  </si>
  <si>
    <t>Um</t>
  </si>
  <si>
    <r>
      <t>Quantidade total Horas</t>
    </r>
    <r>
      <rPr>
        <b/>
        <sz val="8"/>
        <color rgb="FFC00000"/>
        <rFont val="Arial"/>
        <family val="2"/>
      </rPr>
      <t xml:space="preserve"> Utilizadas</t>
    </r>
  </si>
  <si>
    <t>Media Total
Ajudantes</t>
  </si>
  <si>
    <t>Media total de oficiais</t>
  </si>
  <si>
    <t>Qt Executada No Período Dos dias trabalhados</t>
  </si>
  <si>
    <t>QT Horas no período</t>
  </si>
  <si>
    <t>Quantidade 
Ajudantes</t>
  </si>
  <si>
    <t>Quantidade oficiais</t>
  </si>
  <si>
    <t>Fator dificuldade</t>
  </si>
  <si>
    <t>Acessórios</t>
  </si>
  <si>
    <t>Montador</t>
  </si>
  <si>
    <t>Montagem</t>
  </si>
  <si>
    <t>Caixa Passagem à Prova de explosão</t>
  </si>
  <si>
    <t>Instrumentos</t>
  </si>
  <si>
    <t>Flexível a prova de explosão Ø 1/2"</t>
  </si>
  <si>
    <t>Ar Comprimido</t>
  </si>
  <si>
    <t>Encaminhamento</t>
  </si>
  <si>
    <t>Tubo Galvanizado NBR 5580 / din 2440 Ø  &gt; 3"</t>
  </si>
  <si>
    <t>Tubo Galvanizado NBR 5580 / din 2440 Ø  1.1/4 ~2"</t>
  </si>
  <si>
    <t>Tubo Galvanizado NBR 5580 / din 2440 Ø  1/2" ~ 1"</t>
  </si>
  <si>
    <t>Tubo Galvanizado NBR 5580 / din 2440 Ø  2.1/2" ~3</t>
  </si>
  <si>
    <t>Aterramento / SPDA</t>
  </si>
  <si>
    <t>Aterramento</t>
  </si>
  <si>
    <t>Barra Chata de Alumínio</t>
  </si>
  <si>
    <t>FC - Eletricista</t>
  </si>
  <si>
    <t>Barra equipotencialização</t>
  </si>
  <si>
    <t>Caixa de Inspeção em PVC</t>
  </si>
  <si>
    <t>Caixa em Poliamida para medição do aterramento</t>
  </si>
  <si>
    <t>Captor aéreo c/ Bandeira e base horizonta– h=200mm</t>
  </si>
  <si>
    <t>Pedreiro</t>
  </si>
  <si>
    <t>Escavação</t>
  </si>
  <si>
    <t>Escavação Manual até H=0,60 mt ( 0,2 m³ Linear)</t>
  </si>
  <si>
    <t>Cravamento</t>
  </si>
  <si>
    <t>Haste de aterramento</t>
  </si>
  <si>
    <t>Eletricista</t>
  </si>
  <si>
    <t>Solda</t>
  </si>
  <si>
    <t>Solda Exotérmica</t>
  </si>
  <si>
    <t>Tampa ferro fundido, aba larga, 300 mm, Termotécnica, TEL-506</t>
  </si>
  <si>
    <t>Cabeamento</t>
  </si>
  <si>
    <t>Motor</t>
  </si>
  <si>
    <t>Lançamento</t>
  </si>
  <si>
    <t>Cabo 0,6/ 1 KV 16 ~ 35mm²</t>
  </si>
  <si>
    <t>Cabo 0,6/ 1 KV 50 ~ 70mm²</t>
  </si>
  <si>
    <t>Cabo 0,6/ 1 KV 95 ~ 120mm²</t>
  </si>
  <si>
    <t>Cabo 0,6/ 1 KV 150 ~ 185mm²</t>
  </si>
  <si>
    <t>Cabo 0,6/ 1 KV 240mm²</t>
  </si>
  <si>
    <t>Cabo 0,6/ 1 KV 300mm²</t>
  </si>
  <si>
    <t>Cabo 0,6/ 1KV 2 x 1,5 ~ 2 x 10mm²</t>
  </si>
  <si>
    <t>Cabo 0,6/ 1KV 3 x 1,5 ~ 3 x 10mm²</t>
  </si>
  <si>
    <t>Cabo 0,6/ 1KV 3 x 16 ~ 3 x 35mm²</t>
  </si>
  <si>
    <t>Cabo 0,6/ 1KV, 3 x 50 ~  3 x 70mm²</t>
  </si>
  <si>
    <t>Cabo 0,6/ 1KV, 3 x 95 ~  3 x 120mm²</t>
  </si>
  <si>
    <t>Cabo 0,6/ 1KV, 4 x 1,5 ~ 4 x 10mm²</t>
  </si>
  <si>
    <t>Cabo 0,6/ 1KV, 4 x 16 ~  4 x 25mm²</t>
  </si>
  <si>
    <t>Cabo 0,6/ 1KV, 4 x 35 ~  4 x 70mm²</t>
  </si>
  <si>
    <t>Cabo 0,6/1 KV, 4 x 95~ 4x120mm²</t>
  </si>
  <si>
    <t>Cabo Média Tensão 16~50mm²</t>
  </si>
  <si>
    <t>Cabo Média Tensão 70~120mm²</t>
  </si>
  <si>
    <t>Cabo Média Tensão 150~300mm²</t>
  </si>
  <si>
    <t>Cabo de Cobre nu, tempera 2A,  16~35 mm²</t>
  </si>
  <si>
    <t>Cabo de cobre nu, tempera 2A, 50~70mm²</t>
  </si>
  <si>
    <t>Cabo de Cobre nu, tempera 2A, 95~120 mm²</t>
  </si>
  <si>
    <t>Cabo de controle 1KV, 5 x 1 mm²</t>
  </si>
  <si>
    <t>Cabo de controle 1KV, 8 x 1 mm²</t>
  </si>
  <si>
    <t>Cabo de controle 1KV, 10 x 1 mm²</t>
  </si>
  <si>
    <t>Cabo de controle 1KV, 20 x 1 mm²</t>
  </si>
  <si>
    <t>Cabo de instrumentação 1 x 2 x 1 mm²</t>
  </si>
  <si>
    <t>Cabo de instrumentação 1 x 3 x 1 mm²</t>
  </si>
  <si>
    <t>Cabo de instrumentação 2 x 2 x 1 mm²</t>
  </si>
  <si>
    <t>Cabo de instrumentação 3 x 2 x 1 mm²</t>
  </si>
  <si>
    <t>Cabo de instrumentação 14 x 2 x 1 mm²</t>
  </si>
  <si>
    <t>Cabo flexível, 1,0 ~ 4 mm² (iluminação/Tomadas)</t>
  </si>
  <si>
    <t>Cabo flexível, 6 ~ 16 mm² (iluminação/ Tomadas)</t>
  </si>
  <si>
    <t>Cabo Industrial UTP 4 pares CAT 5E</t>
  </si>
  <si>
    <t>REDES; CFTV</t>
  </si>
  <si>
    <t>Fibra óptica encaminhamento Subterrâneo</t>
  </si>
  <si>
    <t>Fibra óptica encaminhamento Aéreo</t>
  </si>
  <si>
    <t>Caldeirado</t>
  </si>
  <si>
    <t>Chapa de aço Xadrez 1/4" (53,61 Km/m²)</t>
  </si>
  <si>
    <t>CFTV</t>
  </si>
  <si>
    <t>Câmera CFTV</t>
  </si>
  <si>
    <t>Ligação</t>
  </si>
  <si>
    <t>Encaminhamento Aéreo</t>
  </si>
  <si>
    <t>CCM</t>
  </si>
  <si>
    <t>Barramento blindado</t>
  </si>
  <si>
    <t>Soldador</t>
  </si>
  <si>
    <t>Suportação</t>
  </si>
  <si>
    <t>Cantoneira L em abas iguais  1' ~ 2"</t>
  </si>
  <si>
    <t>Eletrocalhas / Leito 300~500 x 100mm</t>
  </si>
  <si>
    <t>Eletrocalhas / Leito 50~200 x 100mm</t>
  </si>
  <si>
    <t>Eletrocalhas / Leito 600~800 x100mm</t>
  </si>
  <si>
    <t>Eletrodutos c/ Luva NBR 5597 ou 5598 Ø  &gt; 3"</t>
  </si>
  <si>
    <t>Eletrodutos c/ Luva NBR 5597 ou 5598 Ø  1.1/4 ~2"</t>
  </si>
  <si>
    <t>Eletrodutos c/ Luva NBR 5597 ou 5598 Ø  2.1/2" ~3</t>
  </si>
  <si>
    <t>Eletrodutos c/ Luva NBR 5597 ou 5598 Ø  3/4" ~ 1"</t>
  </si>
  <si>
    <t xml:space="preserve">Eletrodutos de PVC Ø. 1" </t>
  </si>
  <si>
    <t>Eletrodutos de PVC Ø. 2"</t>
  </si>
  <si>
    <t>Perfil U de 3" x 1/4" x 6000 mm (6,1 Kg/m)</t>
  </si>
  <si>
    <t>Perfilado perfurado 38 x 38 m</t>
  </si>
  <si>
    <t>Tampa  Eletrocalhas / Leito 50~200 mm</t>
  </si>
  <si>
    <t>Tampa Eletrocalhas / Leito 300~500 mm</t>
  </si>
  <si>
    <t>Tampa Eletrocalhas / Leito &gt; 600mm</t>
  </si>
  <si>
    <t>Encaminhamento Subterraneo</t>
  </si>
  <si>
    <t>Civil</t>
  </si>
  <si>
    <t>Caixa de passagem em concreto até 600x600 x 800</t>
  </si>
  <si>
    <t>Eletrodutos PEAD SW Ø &gt; 4"</t>
  </si>
  <si>
    <t>Eletrodutos PEAD SW Ø 1.1/4 ~3"</t>
  </si>
  <si>
    <t>Eletrodutos PEAD SW Ø 3/4 ~ 1"</t>
  </si>
  <si>
    <t>Força e Controle</t>
  </si>
  <si>
    <t>Gerador</t>
  </si>
  <si>
    <t>Alocação</t>
  </si>
  <si>
    <t>Alocação, Arranjo do Gerador Diesel</t>
  </si>
  <si>
    <t>Painel</t>
  </si>
  <si>
    <t>Alocação, arranjo posicionamento de Painéis - Quadros e JBs</t>
  </si>
  <si>
    <t>Alocação, arranjo posicionamento de Painéis - Quadros e JBs -EX</t>
  </si>
  <si>
    <t>Alocação, arranjo posicionamento de Painéis - PLCs e SDCDs</t>
  </si>
  <si>
    <t>Alocação, arranjo posicionamento de Painéis - Painéis - 3 Colunas</t>
  </si>
  <si>
    <t>Alocação, arranjo posicionamento de Painéis - Painéis - 2 Colunas</t>
  </si>
  <si>
    <t>Alocação, arranjo posicionamento de Painéis - Painéis - 1 Coluna</t>
  </si>
  <si>
    <t>Alocação, arranjo posicionamento de Painéis - Painéis - Cubículo</t>
  </si>
  <si>
    <t>Conectorização de Barramentos - Cubículos e CCMs</t>
  </si>
  <si>
    <t>Instrumentista</t>
  </si>
  <si>
    <t>Conectorização de painel - PLCs/SDCDs/Remotas - Nº Pontos</t>
  </si>
  <si>
    <t>Conectorização no CCM: Motor Ø 1" Potencia 7,5 ~ 15CV</t>
  </si>
  <si>
    <t>Conectorização no CCM: Motor Ø 1.1/2" Potencia 20 ~ 30CV</t>
  </si>
  <si>
    <t>Conectorização no CCM: Motor Ø 1/2" Potencia até 1,5 CV</t>
  </si>
  <si>
    <t>Conectorização no CCM: Motor Ø 2 x 2" Potencia 60 ~ 150CV</t>
  </si>
  <si>
    <t>Conectorização no CCM: Motor Ø 2 x 3" Potencia &gt; 150CV</t>
  </si>
  <si>
    <t>Conectorização no CCM: Motor Ø 2" Potencia 40 ~ 50CV</t>
  </si>
  <si>
    <t>Conectorização no CCM: Motor Ø 3/4" Potencia 2 ~ 5CV</t>
  </si>
  <si>
    <t>Conectorização de painel - QLs e QDs</t>
  </si>
  <si>
    <t>Conectorização de painel - JBs</t>
  </si>
  <si>
    <t>Trafo</t>
  </si>
  <si>
    <t>Alocação, arranjo na locação do Trafo</t>
  </si>
  <si>
    <t>Botoeiras, Acionamento Remoto</t>
  </si>
  <si>
    <t>Motor Ø 1" Potencia 7,5 ~ 15CV</t>
  </si>
  <si>
    <t>Motor Ø 1.1/2" Potencia 20 ~ 30CV</t>
  </si>
  <si>
    <t>Motor Ø 1/2" Potencia até 1,5 CV</t>
  </si>
  <si>
    <t>Motor Ø 2 x 2" Potencia 60 ~ 150CV</t>
  </si>
  <si>
    <t>Motor Ø 2 x 3" Potencia &gt; 150CV</t>
  </si>
  <si>
    <t>Motor Ø 2" Potencia 40 ~ 50CV</t>
  </si>
  <si>
    <t>Motor Ø 3/4" Potencia 2 ~ 5CV</t>
  </si>
  <si>
    <t>Seal tube Ø 1/2 ~1" Potencia 2 ~ 15CV</t>
  </si>
  <si>
    <t>Seal tube Ø 1.1/2" Potencia 20 ~ 30CV</t>
  </si>
  <si>
    <t>Sela tube Ø 2" Potencia 40 ~ 50CV</t>
  </si>
  <si>
    <t>Sela tube Ø 3" Potencia 40 ~ 50CV</t>
  </si>
  <si>
    <t>Geral</t>
  </si>
  <si>
    <t>Campo</t>
  </si>
  <si>
    <t>Geral serviços</t>
  </si>
  <si>
    <t>Serviços de Apoio / Imprevistos</t>
  </si>
  <si>
    <t>Iluminação / Tomadas</t>
  </si>
  <si>
    <t>Luminaria</t>
  </si>
  <si>
    <t>Bloco autônomo de iluminação de emergência</t>
  </si>
  <si>
    <t>Caixa de Tomada p/ Perfilado</t>
  </si>
  <si>
    <t>Luminária a prova de explosão 250W</t>
  </si>
  <si>
    <t>Luminária arandela 30°, blindada, até 160W</t>
  </si>
  <si>
    <t>Luminária fluorescente duas lâmpadas fluorescentes de 36W, com soquetes e prensa cabo</t>
  </si>
  <si>
    <t>Luminária industrial, vapor de sódio 250W</t>
  </si>
  <si>
    <t>Luminária não acendível, vapor metálico 70W</t>
  </si>
  <si>
    <t>Luminária pública fechada, com alojamento 150W</t>
  </si>
  <si>
    <t>Luminária Sobrepor de Emergência Sinalização</t>
  </si>
  <si>
    <t>Poste</t>
  </si>
  <si>
    <t>Poste telecônico curvo simples leve, flangeado, com janela de inspeção, altura útil de 6 metros</t>
  </si>
  <si>
    <t>Poste telecônico reto, flangeado, com janela de inspeção, altura útil de 12 metros</t>
  </si>
  <si>
    <t>Projetor 400W, com alojamento</t>
  </si>
  <si>
    <t>Projetor a prova de  explosão, com lâmpada vapor metálico de 250W</t>
  </si>
  <si>
    <t>Projetor para lâmpada de 250W, com alojamento para equipamentos auxiliares</t>
  </si>
  <si>
    <t>Tomada p/ Perfilado 2P + T NBR 10436</t>
  </si>
  <si>
    <t>Tomada e Interruptor em Condulete</t>
  </si>
  <si>
    <t>Tomada</t>
  </si>
  <si>
    <t>Unidade de Tomada Steck em Caixa 01 (uma) 3P+T 32A</t>
  </si>
  <si>
    <t>Instrumentação</t>
  </si>
  <si>
    <t>JB</t>
  </si>
  <si>
    <t>Caixa de passagem para sinais de instrumentação (JB)</t>
  </si>
  <si>
    <t>Instrumentos; Válvulas; Devices</t>
  </si>
  <si>
    <t>Tubista</t>
  </si>
  <si>
    <t>Tubbing</t>
  </si>
  <si>
    <t>Selagem</t>
  </si>
  <si>
    <t>Motor, Instrumentos</t>
  </si>
  <si>
    <t>Unidade seladora Ø &gt; 3"</t>
  </si>
  <si>
    <t>Unidade seladora Ø 1.1/4 ~ 2.1/2"</t>
  </si>
  <si>
    <t>Unidade seladora Ø 1/2 ~ 1"</t>
  </si>
  <si>
    <t>Teminação</t>
  </si>
  <si>
    <t>Mufla, uso externo até 50 mm²</t>
  </si>
  <si>
    <t>Mufla, uso Interno até 50 mm²</t>
  </si>
  <si>
    <t>Mufla, uso externo acima 50 mm²</t>
  </si>
  <si>
    <t>Mufla, uso Interno acima 50 mm²</t>
  </si>
  <si>
    <t>Caldeireiro</t>
  </si>
  <si>
    <t>Torneiro</t>
  </si>
  <si>
    <t>Mecânico</t>
  </si>
  <si>
    <t>Técnico de válvulas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</si>
</sst>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R$&quot;\ * #,##0.00_-;\-&quot;R$&quot;\ * #,##0.00_-;_-&quot;R$&quot;\ * &quot;-&quot;??_-;_-@_-"/>
    <numFmt numFmtId="43" formatCode="_-* #,##0.00_-;\-* #,##0.00_-;_-* &quot;-&quot;??_-;_-@_-"/>
    <numFmt numFmtId="165" formatCode="0.0%"/>
    <numFmt numFmtId="166" formatCode="0.0\ &quot;dia&quot;"/>
    <numFmt numFmtId="167" formatCode="[$-F400]h:mm:ss\ AM/PM"/>
    <numFmt numFmtId="168" formatCode="#,##0.00_ ;[Red]\-#,##0.00\ "/>
    <numFmt numFmtId="169" formatCode="0.00\ &quot;hrs&quot;"/>
    <numFmt numFmtId="170" formatCode="#,##0\ &quot;hrs&quot;"/>
    <numFmt numFmtId="171" formatCode="hh:mm\ &quot;H&quot;"/>
    <numFmt numFmtId="172" formatCode="_-&quot;R$&quot;\ * #,##0.00_-;\-&quot;R$&quot;\ * #,##0.00_-;_-&quot;R$&quot;\ * &quot;-&quot;??_-;_-@_-\ &quot;/ hr&quot;"/>
    <numFmt numFmtId="173" formatCode="#,##0_ ;[Red]\-#,##0\ "/>
    <numFmt numFmtId="174" formatCode="0.0"/>
    <numFmt numFmtId="175" formatCode="&quot;Capacidade em &quot;h:mm;@"/>
    <numFmt numFmtId="176" formatCode="0\ &quot;hrs&quot;"/>
  </numFmts>
  <fonts count="58" x14ac:knownFonts="1">
    <font>
      <sz val="11"/>
      <color theme="1"/>
      <name val="Calibri"/>
      <family val="2"/>
      <scheme val="minor"/>
    </font>
    <font>
      <sz val="11"/>
      <color theme="1"/>
      <name val="Calibri"/>
      <family val="2"/>
      <scheme val="minor"/>
    </font>
    <font>
      <sz val="8"/>
      <color theme="1"/>
      <name val="Arial"/>
      <family val="2"/>
    </font>
    <font>
      <b/>
      <sz val="8"/>
      <color theme="1"/>
      <name val="Arial"/>
      <family val="2"/>
    </font>
    <font>
      <sz val="9"/>
      <color theme="1"/>
      <name val="Arial"/>
      <family val="2"/>
    </font>
    <font>
      <b/>
      <sz val="8"/>
      <name val="Arial"/>
      <family val="2"/>
    </font>
    <font>
      <b/>
      <sz val="12"/>
      <color theme="1"/>
      <name val="Arial"/>
      <family val="2"/>
    </font>
    <font>
      <b/>
      <sz val="18"/>
      <color rgb="FFFF0000"/>
      <name val="Calibri"/>
      <family val="2"/>
      <scheme val="minor"/>
    </font>
    <font>
      <sz val="14"/>
      <color rgb="FF000000"/>
      <name val="Calibri"/>
      <family val="2"/>
      <scheme val="minor"/>
    </font>
    <font>
      <b/>
      <sz val="10"/>
      <color theme="1"/>
      <name val="Arial"/>
      <family val="2"/>
    </font>
    <font>
      <b/>
      <sz val="12"/>
      <color rgb="FFC00000"/>
      <name val="Arial"/>
      <family val="2"/>
    </font>
    <font>
      <b/>
      <sz val="22"/>
      <color rgb="FFC00000"/>
      <name val="Arial"/>
      <family val="2"/>
    </font>
    <font>
      <b/>
      <sz val="7"/>
      <color theme="1"/>
      <name val="Arial"/>
      <family val="2"/>
    </font>
    <font>
      <b/>
      <sz val="7"/>
      <color rgb="FFFF0000"/>
      <name val="Arial"/>
      <family val="2"/>
    </font>
    <font>
      <sz val="36"/>
      <color theme="1"/>
      <name val="Arial"/>
      <family val="2"/>
    </font>
    <font>
      <b/>
      <sz val="6"/>
      <color rgb="FFFF0000"/>
      <name val="Arial"/>
      <family val="2"/>
    </font>
    <font>
      <b/>
      <sz val="11"/>
      <color theme="1"/>
      <name val="Arial"/>
      <family val="2"/>
    </font>
    <font>
      <b/>
      <sz val="9"/>
      <color theme="1"/>
      <name val="Arial"/>
      <family val="2"/>
    </font>
    <font>
      <b/>
      <sz val="5"/>
      <color theme="1"/>
      <name val="Arial"/>
      <family val="2"/>
    </font>
    <font>
      <sz val="7"/>
      <color theme="1"/>
      <name val="Arial"/>
      <family val="2"/>
    </font>
    <font>
      <b/>
      <sz val="10"/>
      <color rgb="FFFF0000"/>
      <name val="Arial"/>
      <family val="2"/>
    </font>
    <font>
      <b/>
      <sz val="11"/>
      <name val="Calibri"/>
      <family val="2"/>
      <scheme val="minor"/>
    </font>
    <font>
      <b/>
      <sz val="10"/>
      <name val="Arial"/>
      <family val="2"/>
    </font>
    <font>
      <sz val="12"/>
      <color theme="1"/>
      <name val="Arial"/>
      <family val="2"/>
    </font>
    <font>
      <sz val="14"/>
      <color theme="1"/>
      <name val="Arial"/>
      <family val="2"/>
    </font>
    <font>
      <b/>
      <sz val="8"/>
      <color rgb="FFFFFF00"/>
      <name val="Arial"/>
      <family val="2"/>
    </font>
    <font>
      <b/>
      <sz val="8"/>
      <color theme="0"/>
      <name val="Arial"/>
      <family val="2"/>
    </font>
    <font>
      <b/>
      <sz val="6"/>
      <color rgb="FFFFFF00"/>
      <name val="Arial"/>
      <family val="2"/>
    </font>
    <font>
      <sz val="11"/>
      <color rgb="FF1F24F1"/>
      <name val="Arial"/>
      <family val="2"/>
    </font>
    <font>
      <sz val="7"/>
      <color rgb="FF1F24F1"/>
      <name val="Arial"/>
      <family val="2"/>
    </font>
    <font>
      <sz val="9"/>
      <color rgb="FFFF0000"/>
      <name val="Calibri"/>
      <family val="2"/>
    </font>
    <font>
      <sz val="20"/>
      <color theme="1"/>
      <name val="Arial"/>
      <family val="2"/>
    </font>
    <font>
      <b/>
      <sz val="10"/>
      <color rgb="FFFFFF00"/>
      <name val="Arial"/>
      <family val="2"/>
    </font>
    <font>
      <sz val="8"/>
      <color rgb="FFFFC000"/>
      <name val="Arial"/>
      <family val="2"/>
    </font>
    <font>
      <b/>
      <sz val="9"/>
      <color rgb="FFFF0000"/>
      <name val="Arial"/>
      <family val="2"/>
    </font>
    <font>
      <sz val="6"/>
      <color theme="1"/>
      <name val="Arial"/>
      <family val="2"/>
    </font>
    <font>
      <sz val="11"/>
      <color theme="1"/>
      <name val="Arial"/>
      <family val="2"/>
    </font>
    <font>
      <b/>
      <sz val="12"/>
      <name val="Arial"/>
      <family val="2"/>
    </font>
    <font>
      <b/>
      <sz val="10"/>
      <color rgb="FF1F24F1"/>
      <name val="Arial"/>
      <family val="2"/>
    </font>
    <font>
      <sz val="6"/>
      <color theme="1"/>
      <name val="Calibri"/>
      <family val="2"/>
      <scheme val="minor"/>
    </font>
    <font>
      <b/>
      <sz val="8"/>
      <color rgb="FFFF0000"/>
      <name val="Arial"/>
      <family val="2"/>
    </font>
    <font>
      <b/>
      <sz val="10"/>
      <color rgb="FFC00000"/>
      <name val="Arial"/>
      <family val="2"/>
    </font>
    <font>
      <b/>
      <sz val="8"/>
      <color rgb="FFC00000"/>
      <name val="Arial"/>
      <family val="2"/>
    </font>
    <font>
      <b/>
      <sz val="9"/>
      <color rgb="FFC00000"/>
      <name val="Arial"/>
      <family val="2"/>
    </font>
    <font>
      <b/>
      <sz val="8"/>
      <name val="Calibri"/>
      <family val="2"/>
      <scheme val="minor"/>
    </font>
    <font>
      <b/>
      <sz val="9"/>
      <name val="Calibri"/>
      <family val="2"/>
      <scheme val="minor"/>
    </font>
    <font>
      <b/>
      <sz val="8"/>
      <color theme="1"/>
      <name val="Agency FB"/>
      <family val="2"/>
    </font>
    <font>
      <sz val="8"/>
      <name val="Calibri"/>
      <family val="2"/>
      <scheme val="minor"/>
    </font>
    <font>
      <b/>
      <sz val="9"/>
      <name val="Arial Narrow"/>
      <family val="2"/>
    </font>
    <font>
      <sz val="9"/>
      <name val="Calibri"/>
      <family val="2"/>
      <scheme val="minor"/>
    </font>
    <font>
      <sz val="14"/>
      <color theme="0"/>
      <name val="Arial"/>
      <family val="2"/>
    </font>
    <font>
      <b/>
      <sz val="10"/>
      <name val="Calibri"/>
      <family val="2"/>
      <scheme val="minor"/>
    </font>
    <font>
      <sz val="10"/>
      <name val="Calibri"/>
      <family val="2"/>
      <scheme val="minor"/>
    </font>
    <font>
      <sz val="10"/>
      <color theme="1"/>
      <name val="Century Gothic"/>
      <family val="2"/>
    </font>
    <font>
      <sz val="8"/>
      <name val="Arial Narrow"/>
      <family val="2"/>
    </font>
    <font>
      <b/>
      <sz val="9"/>
      <color indexed="81"/>
      <name val="Segoe UI"/>
      <family val="2"/>
    </font>
    <font>
      <sz val="9"/>
      <color indexed="81"/>
      <name val="Segoe UI"/>
      <family val="2"/>
    </font>
    <font>
      <sz val="9"/>
      <color indexed="81"/>
      <name val="Tahoma"/>
      <family val="2"/>
    </font>
  </fonts>
  <fills count="3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gradientFill degree="45">
        <stop position="0">
          <color rgb="FFFFC000"/>
        </stop>
        <stop position="1">
          <color theme="9" tint="0.59999389629810485"/>
        </stop>
      </gradientFill>
    </fill>
    <fill>
      <patternFill patternType="solid">
        <fgColor rgb="FFFFFF00"/>
        <bgColor indexed="64"/>
      </patternFill>
    </fill>
    <fill>
      <patternFill patternType="solid">
        <fgColor rgb="FFFFCC00"/>
        <bgColor indexed="64"/>
      </patternFill>
    </fill>
    <fill>
      <patternFill patternType="solid">
        <fgColor theme="2" tint="-9.9978637043366805E-2"/>
        <bgColor indexed="64"/>
      </patternFill>
    </fill>
    <fill>
      <patternFill patternType="solid">
        <fgColor rgb="FFFFFF00"/>
        <bgColor auto="1"/>
      </patternFill>
    </fill>
    <fill>
      <patternFill patternType="solid">
        <fgColor theme="5" tint="0.59999389629810485"/>
        <bgColor auto="1"/>
      </patternFill>
    </fill>
    <fill>
      <patternFill patternType="solid">
        <fgColor rgb="FFFF0000"/>
        <bgColor indexed="64"/>
      </patternFill>
    </fill>
    <fill>
      <patternFill patternType="solid">
        <fgColor rgb="FFFFC000"/>
        <bgColor indexed="64"/>
      </patternFill>
    </fill>
    <fill>
      <patternFill patternType="solid">
        <fgColor theme="6" tint="0.39997558519241921"/>
        <bgColor auto="1"/>
      </patternFill>
    </fill>
    <fill>
      <patternFill patternType="solid">
        <fgColor theme="1"/>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E9EF9D"/>
        <bgColor indexed="64"/>
      </patternFill>
    </fill>
    <fill>
      <patternFill patternType="solid">
        <fgColor theme="4" tint="0.79998168889431442"/>
        <bgColor indexed="64"/>
      </patternFill>
    </fill>
    <fill>
      <patternFill patternType="lightDown">
        <fgColor rgb="FFFFFF00"/>
        <bgColor rgb="FFFFC000"/>
      </patternFill>
    </fill>
    <fill>
      <patternFill patternType="solid">
        <fgColor rgb="FFFFFFCC"/>
        <bgColor indexed="64"/>
      </patternFill>
    </fill>
    <fill>
      <patternFill patternType="solid">
        <fgColor theme="4" tint="0.59999389629810485"/>
        <bgColor indexed="64"/>
      </patternFill>
    </fill>
    <fill>
      <patternFill patternType="lightGray">
        <fgColor rgb="FF24E61A"/>
        <bgColor theme="6" tint="0.39994506668294322"/>
      </patternFill>
    </fill>
    <fill>
      <patternFill patternType="solid">
        <fgColor theme="8" tint="0.79998168889431442"/>
        <bgColor indexed="64"/>
      </patternFill>
    </fill>
    <fill>
      <patternFill patternType="solid">
        <fgColor theme="5" tint="0.79998168889431442"/>
        <bgColor indexed="64"/>
      </patternFill>
    </fill>
    <fill>
      <gradientFill degree="90">
        <stop position="0">
          <color theme="6" tint="0.80001220740379042"/>
        </stop>
        <stop position="0.5">
          <color theme="0" tint="-0.25098422193060094"/>
        </stop>
        <stop position="1">
          <color theme="6" tint="0.80001220740379042"/>
        </stop>
      </gradientFill>
    </fill>
    <fill>
      <patternFill patternType="lightDown">
        <fgColor rgb="FFFFFF00"/>
        <bgColor theme="6" tint="0.79998168889431442"/>
      </patternFill>
    </fill>
    <fill>
      <patternFill patternType="solid">
        <fgColor theme="6" tint="0.79995117038483843"/>
        <bgColor rgb="FFFFFF00"/>
      </patternFill>
    </fill>
    <fill>
      <gradientFill degree="90">
        <stop position="0">
          <color theme="9" tint="0.80001220740379042"/>
        </stop>
        <stop position="0.5">
          <color theme="4" tint="0.59999389629810485"/>
        </stop>
        <stop position="1">
          <color theme="9" tint="0.80001220740379042"/>
        </stop>
      </gradientFill>
    </fill>
    <fill>
      <patternFill patternType="lightDown">
        <fgColor rgb="FFFFFF00"/>
        <bgColor theme="4" tint="0.79998168889431442"/>
      </patternFill>
    </fill>
    <fill>
      <patternFill patternType="solid">
        <fgColor theme="4" tint="0.79998168889431442"/>
        <bgColor auto="1"/>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double">
        <color indexed="64"/>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uble">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53" fillId="0" borderId="0"/>
  </cellStyleXfs>
  <cellXfs count="216">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right" vertical="center" wrapText="1"/>
    </xf>
    <xf numFmtId="0" fontId="2" fillId="0" borderId="2" xfId="0" applyFont="1" applyBorder="1" applyAlignment="1">
      <alignment horizontal="lef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2" fillId="0" borderId="0" xfId="0" applyFont="1" applyAlignment="1">
      <alignment horizontal="center"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left"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2" fillId="0" borderId="6"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9" fontId="2" fillId="0" borderId="0" xfId="0" applyNumberFormat="1" applyFont="1" applyAlignment="1">
      <alignment vertical="center" wrapText="1"/>
    </xf>
    <xf numFmtId="9" fontId="2" fillId="0" borderId="0" xfId="0" applyNumberFormat="1" applyFont="1" applyAlignment="1">
      <alignment horizontal="center" vertical="center" wrapText="1"/>
    </xf>
    <xf numFmtId="165" fontId="2" fillId="0" borderId="0" xfId="0" applyNumberFormat="1" applyFont="1" applyAlignment="1">
      <alignment horizontal="center" vertical="center" wrapText="1"/>
    </xf>
    <xf numFmtId="166" fontId="2" fillId="0" borderId="0" xfId="0" applyNumberFormat="1" applyFont="1" applyAlignment="1">
      <alignment vertical="center" wrapText="1"/>
    </xf>
    <xf numFmtId="167" fontId="2" fillId="0" borderId="0" xfId="0" applyNumberFormat="1" applyFont="1" applyAlignment="1">
      <alignment vertical="center" wrapText="1"/>
    </xf>
    <xf numFmtId="9" fontId="2" fillId="0" borderId="0" xfId="0" applyNumberFormat="1" applyFont="1" applyAlignment="1">
      <alignment horizontal="right" vertical="center" wrapText="1"/>
    </xf>
    <xf numFmtId="9" fontId="2" fillId="0" borderId="0" xfId="0" applyNumberFormat="1" applyFont="1" applyAlignment="1">
      <alignment horizontal="left" vertical="center" wrapText="1"/>
    </xf>
    <xf numFmtId="0" fontId="2" fillId="0" borderId="7" xfId="0" applyFont="1" applyBorder="1" applyAlignment="1" applyProtection="1">
      <alignment horizontal="center" vertical="center" wrapText="1"/>
      <protection locked="0"/>
    </xf>
    <xf numFmtId="9" fontId="5" fillId="0" borderId="6" xfId="3" applyFont="1" applyFill="1" applyBorder="1" applyAlignment="1" applyProtection="1">
      <alignment horizontal="center" vertical="center" wrapText="1"/>
    </xf>
    <xf numFmtId="0" fontId="6" fillId="0" borderId="6" xfId="0" applyFont="1" applyBorder="1" applyAlignment="1">
      <alignment horizontal="center" vertical="center" wrapText="1"/>
    </xf>
    <xf numFmtId="0" fontId="7" fillId="2" borderId="6" xfId="0" applyFont="1" applyFill="1" applyBorder="1" applyAlignment="1">
      <alignment horizontal="center" vertical="center"/>
    </xf>
    <xf numFmtId="0" fontId="9" fillId="2" borderId="6" xfId="0" applyFont="1" applyFill="1" applyBorder="1" applyAlignment="1">
      <alignment vertical="center" wrapText="1"/>
    </xf>
    <xf numFmtId="0" fontId="9" fillId="2" borderId="8" xfId="0" applyFont="1" applyFill="1" applyBorder="1" applyAlignment="1">
      <alignment vertical="center" wrapText="1"/>
    </xf>
    <xf numFmtId="0" fontId="9" fillId="2" borderId="9" xfId="0" applyFont="1" applyFill="1" applyBorder="1" applyAlignment="1">
      <alignment vertical="center" wrapText="1"/>
    </xf>
    <xf numFmtId="0" fontId="9" fillId="2" borderId="10" xfId="0" applyFont="1" applyFill="1" applyBorder="1" applyAlignment="1">
      <alignment vertical="center" wrapText="1"/>
    </xf>
    <xf numFmtId="0" fontId="9" fillId="0" borderId="0" xfId="0" applyFont="1" applyAlignment="1">
      <alignment vertical="center" wrapText="1"/>
    </xf>
    <xf numFmtId="0" fontId="10" fillId="3" borderId="1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49" fontId="12" fillId="2" borderId="12" xfId="0" applyNumberFormat="1" applyFont="1" applyFill="1" applyBorder="1" applyAlignment="1">
      <alignment horizontal="left" vertical="top" wrapText="1"/>
    </xf>
    <xf numFmtId="49" fontId="12" fillId="2" borderId="13" xfId="0" applyNumberFormat="1" applyFont="1" applyFill="1" applyBorder="1" applyAlignment="1">
      <alignment horizontal="left" vertical="top" wrapText="1"/>
    </xf>
    <xf numFmtId="49" fontId="12" fillId="2" borderId="14" xfId="0" applyNumberFormat="1" applyFont="1" applyFill="1" applyBorder="1" applyAlignment="1">
      <alignment horizontal="left" vertical="top" wrapText="1"/>
    </xf>
    <xf numFmtId="0" fontId="14" fillId="0" borderId="0" xfId="0" applyFont="1" applyAlignment="1">
      <alignment vertical="center" wrapText="1"/>
    </xf>
    <xf numFmtId="43" fontId="15" fillId="0" borderId="6" xfId="0" applyNumberFormat="1" applyFont="1" applyBorder="1" applyAlignment="1">
      <alignment horizontal="center" vertical="center" textRotation="44" wrapText="1"/>
    </xf>
    <xf numFmtId="0" fontId="2" fillId="0" borderId="6" xfId="0" applyFont="1" applyBorder="1" applyAlignment="1">
      <alignment horizontal="center" vertical="center" wrapText="1"/>
    </xf>
    <xf numFmtId="0" fontId="16" fillId="4" borderId="6"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0" borderId="6" xfId="0" applyFont="1" applyBorder="1" applyAlignment="1" applyProtection="1">
      <alignment horizontal="left" vertical="top" wrapText="1"/>
      <protection locked="0"/>
    </xf>
    <xf numFmtId="168" fontId="2" fillId="5" borderId="15" xfId="0" applyNumberFormat="1" applyFont="1" applyFill="1" applyBorder="1" applyAlignment="1">
      <alignment horizontal="center" vertical="center" wrapText="1"/>
    </xf>
    <xf numFmtId="0" fontId="2" fillId="6" borderId="15" xfId="0" applyFont="1" applyFill="1" applyBorder="1" applyAlignment="1">
      <alignment horizontal="center" vertical="center" wrapText="1"/>
    </xf>
    <xf numFmtId="169" fontId="18" fillId="5" borderId="15" xfId="0" applyNumberFormat="1" applyFont="1" applyFill="1" applyBorder="1" applyAlignment="1">
      <alignment horizontal="center" vertical="center" wrapText="1"/>
    </xf>
    <xf numFmtId="166" fontId="18" fillId="5" borderId="15" xfId="0" applyNumberFormat="1" applyFont="1" applyFill="1" applyBorder="1" applyAlignment="1">
      <alignment horizontal="left" vertical="center" wrapText="1"/>
    </xf>
    <xf numFmtId="168" fontId="2" fillId="7" borderId="15" xfId="0" applyNumberFormat="1" applyFont="1" applyFill="1" applyBorder="1" applyAlignment="1">
      <alignment horizontal="center" vertical="center" wrapText="1"/>
    </xf>
    <xf numFmtId="0" fontId="19" fillId="2" borderId="15" xfId="0" applyFont="1" applyFill="1" applyBorder="1" applyAlignment="1">
      <alignment horizontal="center" vertical="center" wrapText="1"/>
    </xf>
    <xf numFmtId="0" fontId="19" fillId="0" borderId="0" xfId="0" applyFont="1" applyAlignment="1">
      <alignment horizontal="center" vertical="center" wrapText="1"/>
    </xf>
    <xf numFmtId="0" fontId="10" fillId="3" borderId="16"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5" xfId="0" applyFont="1" applyFill="1" applyBorder="1" applyAlignment="1">
      <alignment horizontal="center" vertical="center" wrapText="1"/>
    </xf>
    <xf numFmtId="49" fontId="12" fillId="2" borderId="17" xfId="0" applyNumberFormat="1" applyFont="1" applyFill="1" applyBorder="1" applyAlignment="1">
      <alignment horizontal="left" vertical="top" wrapText="1"/>
    </xf>
    <xf numFmtId="49" fontId="12" fillId="2" borderId="0" xfId="0" applyNumberFormat="1" applyFont="1" applyFill="1" applyAlignment="1">
      <alignment horizontal="left" vertical="top" wrapText="1"/>
    </xf>
    <xf numFmtId="49" fontId="12" fillId="2" borderId="18" xfId="0" applyNumberFormat="1" applyFont="1" applyFill="1" applyBorder="1" applyAlignment="1">
      <alignment horizontal="left" vertical="top" wrapText="1"/>
    </xf>
    <xf numFmtId="0" fontId="15" fillId="0" borderId="6" xfId="0" applyFont="1" applyBorder="1" applyAlignment="1">
      <alignment horizontal="center" vertical="center" textRotation="44" wrapText="1"/>
    </xf>
    <xf numFmtId="168" fontId="9" fillId="8" borderId="6" xfId="0" applyNumberFormat="1" applyFont="1" applyFill="1" applyBorder="1" applyAlignment="1">
      <alignment horizontal="right" vertical="center" wrapText="1"/>
    </xf>
    <xf numFmtId="170" fontId="21" fillId="8" borderId="6" xfId="4" applyNumberFormat="1" applyFont="1" applyFill="1" applyBorder="1" applyAlignment="1">
      <alignment horizontal="center" vertical="center"/>
    </xf>
    <xf numFmtId="171" fontId="17" fillId="5" borderId="6" xfId="0" applyNumberFormat="1" applyFont="1" applyFill="1" applyBorder="1" applyAlignment="1">
      <alignment horizontal="center" vertical="center" wrapText="1"/>
    </xf>
    <xf numFmtId="9" fontId="22" fillId="0" borderId="6" xfId="3" applyFont="1" applyFill="1" applyBorder="1" applyAlignment="1" applyProtection="1">
      <alignment vertical="center" wrapText="1"/>
      <protection locked="0"/>
    </xf>
    <xf numFmtId="0" fontId="2" fillId="7" borderId="6" xfId="0" applyFont="1" applyFill="1" applyBorder="1" applyAlignment="1">
      <alignment horizontal="right" vertical="center" wrapText="1"/>
    </xf>
    <xf numFmtId="0" fontId="2" fillId="7" borderId="6" xfId="0" applyFont="1" applyFill="1" applyBorder="1" applyAlignment="1">
      <alignment horizontal="left" vertical="center" wrapText="1"/>
    </xf>
    <xf numFmtId="0" fontId="2" fillId="7" borderId="6" xfId="0" applyFont="1" applyFill="1" applyBorder="1" applyAlignment="1">
      <alignment horizontal="right" vertical="center" wrapText="1"/>
    </xf>
    <xf numFmtId="172" fontId="2" fillId="7" borderId="6" xfId="2" applyNumberFormat="1" applyFont="1" applyFill="1" applyBorder="1" applyAlignment="1" applyProtection="1">
      <alignment horizontal="center" vertical="center" wrapText="1"/>
      <protection locked="0"/>
    </xf>
    <xf numFmtId="44" fontId="3" fillId="7" borderId="6" xfId="2" applyFont="1" applyFill="1" applyBorder="1" applyAlignment="1" applyProtection="1">
      <alignment horizontal="center" vertical="center" wrapText="1"/>
    </xf>
    <xf numFmtId="0" fontId="19" fillId="2" borderId="6" xfId="0" applyFont="1" applyFill="1" applyBorder="1" applyAlignment="1" applyProtection="1">
      <alignment horizontal="center" vertical="center" wrapText="1"/>
      <protection locked="0"/>
    </xf>
    <xf numFmtId="0" fontId="19" fillId="2" borderId="6" xfId="0" applyFont="1" applyFill="1" applyBorder="1" applyAlignment="1" applyProtection="1">
      <alignment vertical="center" wrapText="1"/>
      <protection locked="0"/>
    </xf>
    <xf numFmtId="0" fontId="19" fillId="0" borderId="0" xfId="0" applyFont="1" applyAlignment="1" applyProtection="1">
      <alignment vertical="center" wrapText="1"/>
      <protection locked="0"/>
    </xf>
    <xf numFmtId="0" fontId="23" fillId="0" borderId="0" xfId="0" applyFont="1" applyAlignment="1">
      <alignment vertical="center" wrapText="1"/>
    </xf>
    <xf numFmtId="0" fontId="24" fillId="0" borderId="0" xfId="0" applyFont="1" applyAlignment="1">
      <alignment vertical="center" wrapText="1"/>
    </xf>
    <xf numFmtId="168" fontId="9" fillId="9" borderId="6" xfId="0" applyNumberFormat="1" applyFont="1" applyFill="1" applyBorder="1" applyAlignment="1">
      <alignment horizontal="right" vertical="center" wrapText="1"/>
    </xf>
    <xf numFmtId="170" fontId="21" fillId="9" borderId="6" xfId="4" applyNumberFormat="1" applyFont="1" applyFill="1" applyBorder="1" applyAlignment="1">
      <alignment horizontal="center" vertical="center"/>
    </xf>
    <xf numFmtId="168" fontId="25" fillId="10" borderId="6" xfId="0" applyNumberFormat="1" applyFont="1" applyFill="1" applyBorder="1" applyAlignment="1">
      <alignment horizontal="center" vertical="center" wrapText="1"/>
    </xf>
    <xf numFmtId="0" fontId="19" fillId="11" borderId="6" xfId="0" applyFont="1" applyFill="1" applyBorder="1" applyAlignment="1">
      <alignment horizontal="center" vertical="center" wrapText="1"/>
    </xf>
    <xf numFmtId="9" fontId="12" fillId="2" borderId="6" xfId="3" applyFont="1" applyFill="1" applyBorder="1" applyAlignment="1" applyProtection="1">
      <alignment vertical="center" wrapText="1"/>
      <protection locked="0"/>
    </xf>
    <xf numFmtId="0" fontId="31" fillId="0" borderId="0" xfId="0" applyFont="1" applyAlignment="1">
      <alignment vertical="center" wrapText="1"/>
    </xf>
    <xf numFmtId="168" fontId="9" fillId="12" borderId="6" xfId="0" applyNumberFormat="1" applyFont="1" applyFill="1" applyBorder="1" applyAlignment="1">
      <alignment horizontal="right" vertical="center" wrapText="1"/>
    </xf>
    <xf numFmtId="170" fontId="21" fillId="12" borderId="6" xfId="4" applyNumberFormat="1" applyFont="1" applyFill="1" applyBorder="1" applyAlignment="1">
      <alignment horizontal="center" vertical="center"/>
    </xf>
    <xf numFmtId="0" fontId="32" fillId="13" borderId="6" xfId="0" applyFont="1" applyFill="1" applyBorder="1" applyAlignment="1" applyProtection="1">
      <alignment horizontal="center" vertical="center" wrapText="1"/>
      <protection locked="0"/>
    </xf>
    <xf numFmtId="0" fontId="33" fillId="11" borderId="6" xfId="0" applyFont="1" applyFill="1" applyBorder="1" applyAlignment="1" applyProtection="1">
      <alignment horizontal="center" vertical="center" wrapText="1"/>
      <protection hidden="1"/>
    </xf>
    <xf numFmtId="173" fontId="12" fillId="2" borderId="6" xfId="0" applyNumberFormat="1" applyFont="1" applyFill="1" applyBorder="1" applyAlignment="1" applyProtection="1">
      <alignment vertical="center" wrapText="1"/>
      <protection locked="0"/>
    </xf>
    <xf numFmtId="0" fontId="4" fillId="14" borderId="6" xfId="0" applyFont="1" applyFill="1" applyBorder="1" applyAlignment="1">
      <alignment horizontal="center" vertical="center" wrapText="1"/>
    </xf>
    <xf numFmtId="0" fontId="4" fillId="15" borderId="6" xfId="0" applyFont="1" applyFill="1" applyBorder="1" applyAlignment="1">
      <alignment horizontal="center" vertical="center" wrapText="1"/>
    </xf>
    <xf numFmtId="0" fontId="2" fillId="16" borderId="6" xfId="0" applyFont="1" applyFill="1" applyBorder="1" applyAlignment="1" applyProtection="1">
      <alignment vertical="top" wrapText="1"/>
      <protection locked="0"/>
    </xf>
    <xf numFmtId="0" fontId="2" fillId="11" borderId="6" xfId="0" applyFont="1" applyFill="1" applyBorder="1" applyAlignment="1" applyProtection="1">
      <alignment vertical="top" wrapText="1"/>
      <protection locked="0"/>
    </xf>
    <xf numFmtId="0" fontId="3" fillId="11" borderId="6" xfId="0" applyFont="1" applyFill="1" applyBorder="1" applyAlignment="1">
      <alignment horizontal="center" vertical="center" wrapText="1"/>
    </xf>
    <xf numFmtId="0" fontId="2" fillId="16" borderId="6" xfId="0" applyFont="1" applyFill="1" applyBorder="1" applyAlignment="1" applyProtection="1">
      <alignment horizontal="center" vertical="center" wrapText="1"/>
      <protection locked="0"/>
    </xf>
    <xf numFmtId="174" fontId="19" fillId="2" borderId="6" xfId="0" applyNumberFormat="1" applyFont="1" applyFill="1" applyBorder="1" applyAlignment="1" applyProtection="1">
      <alignment horizontal="center" vertical="center" wrapText="1"/>
      <protection locked="0"/>
    </xf>
    <xf numFmtId="0" fontId="2" fillId="3" borderId="16" xfId="0" applyFont="1" applyFill="1" applyBorder="1" applyAlignment="1">
      <alignment vertical="center" wrapText="1"/>
    </xf>
    <xf numFmtId="0" fontId="19" fillId="3" borderId="0" xfId="0" applyFont="1" applyFill="1" applyAlignment="1" applyProtection="1">
      <alignment vertical="center" wrapText="1"/>
      <protection locked="0"/>
    </xf>
    <xf numFmtId="0" fontId="2" fillId="3" borderId="0" xfId="0" applyFont="1" applyFill="1" applyAlignment="1">
      <alignment vertical="center" wrapText="1"/>
    </xf>
    <xf numFmtId="0" fontId="2" fillId="3" borderId="0" xfId="0" applyFont="1" applyFill="1" applyAlignment="1">
      <alignment horizontal="right" vertical="center" wrapText="1"/>
    </xf>
    <xf numFmtId="0" fontId="0" fillId="3" borderId="0" xfId="0" applyFill="1"/>
    <xf numFmtId="0" fontId="0" fillId="3" borderId="5" xfId="0" applyFill="1" applyBorder="1"/>
    <xf numFmtId="49" fontId="12" fillId="2" borderId="19" xfId="0" applyNumberFormat="1" applyFont="1" applyFill="1" applyBorder="1" applyAlignment="1">
      <alignment horizontal="left" vertical="top" wrapText="1"/>
    </xf>
    <xf numFmtId="49" fontId="12" fillId="2" borderId="20" xfId="0" applyNumberFormat="1" applyFont="1" applyFill="1" applyBorder="1" applyAlignment="1">
      <alignment horizontal="left" vertical="top" wrapText="1"/>
    </xf>
    <xf numFmtId="49" fontId="12" fillId="2" borderId="21" xfId="0" applyNumberFormat="1" applyFont="1" applyFill="1" applyBorder="1" applyAlignment="1">
      <alignment horizontal="left" vertical="top" wrapText="1"/>
    </xf>
    <xf numFmtId="0" fontId="35" fillId="11" borderId="6" xfId="0" applyFont="1" applyFill="1" applyBorder="1" applyAlignment="1">
      <alignment horizontal="center" vertical="top" wrapText="1"/>
    </xf>
    <xf numFmtId="0" fontId="19" fillId="3" borderId="16" xfId="0" applyFont="1" applyFill="1" applyBorder="1" applyAlignment="1" applyProtection="1">
      <alignment vertical="center" wrapText="1"/>
      <protection locked="0"/>
    </xf>
    <xf numFmtId="0" fontId="12" fillId="5" borderId="22" xfId="0" applyFont="1" applyFill="1" applyBorder="1" applyAlignment="1">
      <alignment horizontal="center" vertical="center" wrapText="1"/>
    </xf>
    <xf numFmtId="0" fontId="17" fillId="3" borderId="23" xfId="0" applyFont="1" applyFill="1" applyBorder="1" applyAlignment="1">
      <alignment horizontal="right" vertical="center" wrapText="1"/>
    </xf>
    <xf numFmtId="0" fontId="0" fillId="3" borderId="24" xfId="0" applyFill="1" applyBorder="1" applyAlignment="1" applyProtection="1">
      <alignment horizontal="center"/>
      <protection locked="0"/>
    </xf>
    <xf numFmtId="0" fontId="0" fillId="3" borderId="25" xfId="0" applyFill="1" applyBorder="1" applyAlignment="1" applyProtection="1">
      <alignment horizontal="center"/>
      <protection locked="0"/>
    </xf>
    <xf numFmtId="0" fontId="36" fillId="17" borderId="6" xfId="0" applyFont="1" applyFill="1" applyBorder="1" applyAlignment="1">
      <alignment horizontal="center" vertical="center" wrapText="1"/>
    </xf>
    <xf numFmtId="9" fontId="37" fillId="0" borderId="6" xfId="3" applyFont="1" applyFill="1" applyBorder="1" applyAlignment="1" applyProtection="1">
      <alignment horizontal="center" vertical="center" wrapText="1"/>
      <protection locked="0"/>
    </xf>
    <xf numFmtId="0" fontId="38" fillId="11" borderId="6" xfId="0" applyFont="1" applyFill="1" applyBorder="1" applyAlignment="1" applyProtection="1">
      <alignment horizontal="center" vertical="center" wrapText="1"/>
      <protection locked="0"/>
    </xf>
    <xf numFmtId="0" fontId="19" fillId="3" borderId="26" xfId="0" applyFont="1" applyFill="1" applyBorder="1" applyAlignment="1" applyProtection="1">
      <alignment vertical="center" wrapText="1"/>
      <protection locked="0"/>
    </xf>
    <xf numFmtId="9" fontId="16" fillId="5" borderId="27" xfId="0" applyNumberFormat="1" applyFont="1" applyFill="1" applyBorder="1" applyAlignment="1">
      <alignment horizontal="center" vertical="center" wrapText="1"/>
    </xf>
    <xf numFmtId="0" fontId="12" fillId="3" borderId="28" xfId="0" applyFont="1" applyFill="1" applyBorder="1" applyAlignment="1">
      <alignment horizontal="right" vertical="center" wrapText="1"/>
    </xf>
    <xf numFmtId="0" fontId="0" fillId="3" borderId="29" xfId="0" applyFill="1" applyBorder="1" applyAlignment="1" applyProtection="1">
      <alignment horizontal="center"/>
      <protection locked="0"/>
    </xf>
    <xf numFmtId="0" fontId="0" fillId="3" borderId="30" xfId="0" applyFill="1" applyBorder="1" applyAlignment="1" applyProtection="1">
      <alignment horizontal="center"/>
      <protection locked="0"/>
    </xf>
    <xf numFmtId="166" fontId="23" fillId="5" borderId="6" xfId="0" applyNumberFormat="1" applyFont="1" applyFill="1" applyBorder="1" applyAlignment="1" applyProtection="1">
      <alignment horizontal="center" vertical="center" wrapText="1"/>
      <protection locked="0"/>
    </xf>
    <xf numFmtId="0" fontId="19" fillId="17" borderId="6" xfId="0" applyFont="1" applyFill="1" applyBorder="1" applyAlignment="1" applyProtection="1">
      <alignment horizontal="right" vertical="center" wrapText="1"/>
      <protection locked="0"/>
    </xf>
    <xf numFmtId="14" fontId="4" fillId="5" borderId="6" xfId="0" applyNumberFormat="1" applyFont="1" applyFill="1" applyBorder="1" applyAlignment="1" applyProtection="1">
      <alignment horizontal="center" vertical="center" wrapText="1"/>
      <protection locked="0"/>
    </xf>
    <xf numFmtId="14" fontId="4" fillId="17" borderId="6" xfId="0" applyNumberFormat="1" applyFont="1" applyFill="1" applyBorder="1" applyAlignment="1">
      <alignment horizontal="center" vertical="center" wrapText="1"/>
    </xf>
    <xf numFmtId="0" fontId="39" fillId="17" borderId="6" xfId="0" applyFont="1" applyFill="1" applyBorder="1" applyAlignment="1">
      <alignment horizontal="left" vertical="center" wrapText="1"/>
    </xf>
    <xf numFmtId="0" fontId="3" fillId="18" borderId="6" xfId="0" applyFont="1" applyFill="1" applyBorder="1" applyAlignment="1">
      <alignment horizontal="center" vertical="center" wrapText="1"/>
    </xf>
    <xf numFmtId="175" fontId="3" fillId="19" borderId="6" xfId="1" applyNumberFormat="1" applyFont="1" applyFill="1" applyBorder="1" applyAlignment="1" applyProtection="1">
      <alignment horizontal="center" vertical="center" wrapText="1" shrinkToFit="1"/>
      <protection locked="0"/>
    </xf>
    <xf numFmtId="0" fontId="3" fillId="5" borderId="6" xfId="0" applyFont="1" applyFill="1" applyBorder="1" applyAlignment="1">
      <alignment horizontal="center" vertical="center" wrapText="1"/>
    </xf>
    <xf numFmtId="175" fontId="3" fillId="20" borderId="6" xfId="1" applyNumberFormat="1" applyFont="1" applyFill="1" applyBorder="1" applyAlignment="1" applyProtection="1">
      <alignment horizontal="center" vertical="center" wrapText="1" shrinkToFit="1"/>
    </xf>
    <xf numFmtId="175" fontId="3" fillId="5" borderId="6" xfId="1" applyNumberFormat="1" applyFont="1" applyFill="1" applyBorder="1" applyAlignment="1" applyProtection="1">
      <alignment horizontal="center" vertical="center" wrapText="1" shrinkToFit="1"/>
    </xf>
    <xf numFmtId="0" fontId="3" fillId="21" borderId="6"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3" fillId="22" borderId="6" xfId="0" applyFont="1" applyFill="1" applyBorder="1" applyAlignment="1">
      <alignment horizontal="center" vertical="center" wrapText="1"/>
    </xf>
    <xf numFmtId="0" fontId="3" fillId="23" borderId="6" xfId="0" applyFont="1" applyFill="1" applyBorder="1" applyAlignment="1">
      <alignment horizontal="center" vertical="center" wrapText="1"/>
    </xf>
    <xf numFmtId="0" fontId="12" fillId="22" borderId="6" xfId="0" applyFont="1" applyFill="1" applyBorder="1" applyAlignment="1">
      <alignment horizontal="center" vertical="center" wrapText="1"/>
    </xf>
    <xf numFmtId="0" fontId="12" fillId="0" borderId="0" xfId="0" applyFont="1" applyAlignment="1">
      <alignment horizontal="center" vertical="center" wrapText="1"/>
    </xf>
    <xf numFmtId="0" fontId="3" fillId="18" borderId="31" xfId="0" applyFont="1" applyFill="1" applyBorder="1" applyAlignment="1">
      <alignment horizontal="center" vertical="center" wrapText="1"/>
    </xf>
    <xf numFmtId="0" fontId="5" fillId="11" borderId="32" xfId="0" applyFont="1" applyFill="1" applyBorder="1" applyAlignment="1">
      <alignment horizontal="center" vertical="center" wrapText="1"/>
    </xf>
    <xf numFmtId="0" fontId="3" fillId="18" borderId="33" xfId="0" applyFont="1" applyFill="1" applyBorder="1" applyAlignment="1">
      <alignment horizontal="center" vertical="center" wrapText="1"/>
    </xf>
    <xf numFmtId="0" fontId="3" fillId="14" borderId="33" xfId="0" applyFont="1" applyFill="1" applyBorder="1" applyAlignment="1">
      <alignment horizontal="center" vertical="center" wrapText="1"/>
    </xf>
    <xf numFmtId="0" fontId="3" fillId="14" borderId="34" xfId="0" applyFont="1" applyFill="1" applyBorder="1" applyAlignment="1">
      <alignment horizontal="center" vertical="center" wrapText="1"/>
    </xf>
    <xf numFmtId="0" fontId="14" fillId="0" borderId="0" xfId="0" applyFont="1" applyAlignment="1">
      <alignment horizontal="center" vertical="center" wrapText="1"/>
    </xf>
    <xf numFmtId="173" fontId="44" fillId="24" borderId="6" xfId="4" applyNumberFormat="1" applyFont="1" applyFill="1" applyBorder="1" applyAlignment="1">
      <alignment horizontal="center" vertical="center"/>
    </xf>
    <xf numFmtId="0" fontId="2" fillId="24" borderId="6" xfId="0" applyFont="1" applyFill="1" applyBorder="1" applyAlignment="1">
      <alignment horizontal="right" vertical="center" wrapText="1"/>
    </xf>
    <xf numFmtId="0" fontId="35" fillId="24" borderId="6" xfId="0" applyFont="1" applyFill="1" applyBorder="1" applyAlignment="1" applyProtection="1">
      <alignment horizontal="center" vertical="center" wrapText="1"/>
      <protection locked="0"/>
    </xf>
    <xf numFmtId="0" fontId="2" fillId="24" borderId="6" xfId="0" applyFont="1" applyFill="1" applyBorder="1" applyAlignment="1" applyProtection="1">
      <alignment horizontal="center" vertical="center" wrapText="1"/>
      <protection locked="0"/>
    </xf>
    <xf numFmtId="0" fontId="2" fillId="24" borderId="6" xfId="0" applyFont="1" applyFill="1" applyBorder="1" applyAlignment="1">
      <alignment horizontal="center" vertical="center" wrapText="1"/>
    </xf>
    <xf numFmtId="0" fontId="2" fillId="24" borderId="6" xfId="0" applyFont="1" applyFill="1" applyBorder="1" applyAlignment="1">
      <alignment horizontal="left" vertical="center" wrapText="1"/>
    </xf>
    <xf numFmtId="173" fontId="45" fillId="25" borderId="6" xfId="4" applyNumberFormat="1" applyFont="1" applyFill="1" applyBorder="1" applyAlignment="1" applyProtection="1">
      <alignment horizontal="center" vertical="center"/>
      <protection locked="0"/>
    </xf>
    <xf numFmtId="173" fontId="44" fillId="24" borderId="6" xfId="4" applyNumberFormat="1" applyFont="1" applyFill="1" applyBorder="1" applyAlignment="1" applyProtection="1">
      <alignment horizontal="center" vertical="center"/>
      <protection locked="0"/>
    </xf>
    <xf numFmtId="0" fontId="46" fillId="24" borderId="6" xfId="0" applyFont="1" applyFill="1" applyBorder="1" applyAlignment="1">
      <alignment horizontal="center" vertical="center" wrapText="1"/>
    </xf>
    <xf numFmtId="173" fontId="22" fillId="20" borderId="6" xfId="4" applyNumberFormat="1" applyFont="1" applyFill="1" applyBorder="1" applyAlignment="1">
      <alignment horizontal="center"/>
    </xf>
    <xf numFmtId="173" fontId="47" fillId="24" borderId="6" xfId="4" applyNumberFormat="1" applyFont="1" applyFill="1" applyBorder="1" applyAlignment="1" applyProtection="1">
      <alignment horizontal="center" vertical="center"/>
      <protection hidden="1"/>
    </xf>
    <xf numFmtId="173" fontId="48" fillId="21" borderId="6" xfId="4" applyNumberFormat="1" applyFont="1" applyFill="1" applyBorder="1" applyAlignment="1">
      <alignment horizontal="center" vertical="center"/>
    </xf>
    <xf numFmtId="173" fontId="47" fillId="24" borderId="6" xfId="4" applyNumberFormat="1" applyFont="1" applyFill="1" applyBorder="1" applyAlignment="1">
      <alignment horizontal="center" vertical="center"/>
    </xf>
    <xf numFmtId="9" fontId="2" fillId="0" borderId="6" xfId="0" applyNumberFormat="1" applyFont="1" applyBorder="1" applyAlignment="1" applyProtection="1">
      <alignment horizontal="center" vertical="center" wrapText="1"/>
      <protection locked="0"/>
    </xf>
    <xf numFmtId="176" fontId="44" fillId="5" borderId="6" xfId="4" applyNumberFormat="1" applyFont="1" applyFill="1" applyBorder="1" applyAlignment="1">
      <alignment horizontal="center" vertical="center"/>
    </xf>
    <xf numFmtId="9" fontId="5" fillId="24" borderId="6" xfId="3" applyFont="1" applyFill="1" applyBorder="1" applyAlignment="1" applyProtection="1">
      <alignment horizontal="center" vertical="center" wrapText="1"/>
    </xf>
    <xf numFmtId="176" fontId="44" fillId="24" borderId="6" xfId="4" applyNumberFormat="1" applyFont="1" applyFill="1" applyBorder="1" applyAlignment="1">
      <alignment horizontal="center" vertical="center"/>
    </xf>
    <xf numFmtId="176" fontId="44" fillId="0" borderId="0" xfId="4" applyNumberFormat="1" applyFont="1" applyAlignment="1">
      <alignment horizontal="center" vertical="center"/>
    </xf>
    <xf numFmtId="173" fontId="45" fillId="25" borderId="35" xfId="4" applyNumberFormat="1" applyFont="1" applyFill="1" applyBorder="1" applyAlignment="1">
      <alignment horizontal="center" vertical="center"/>
    </xf>
    <xf numFmtId="176" fontId="44" fillId="11" borderId="21" xfId="4" applyNumberFormat="1" applyFont="1" applyFill="1" applyBorder="1" applyAlignment="1">
      <alignment horizontal="center" vertical="center"/>
    </xf>
    <xf numFmtId="173" fontId="49" fillId="26" borderId="21" xfId="4" applyNumberFormat="1" applyFont="1" applyFill="1" applyBorder="1" applyAlignment="1">
      <alignment horizontal="center" vertical="center"/>
    </xf>
    <xf numFmtId="173" fontId="47" fillId="24" borderId="15" xfId="4" applyNumberFormat="1" applyFont="1" applyFill="1" applyBorder="1" applyAlignment="1" applyProtection="1">
      <alignment horizontal="center" vertical="center"/>
      <protection hidden="1"/>
    </xf>
    <xf numFmtId="168" fontId="47" fillId="24" borderId="15" xfId="4" applyNumberFormat="1" applyFont="1" applyFill="1" applyBorder="1" applyAlignment="1">
      <alignment horizontal="center" vertical="center"/>
    </xf>
    <xf numFmtId="168" fontId="47" fillId="24" borderId="36" xfId="4" applyNumberFormat="1" applyFont="1" applyFill="1" applyBorder="1" applyAlignment="1">
      <alignment horizontal="center" vertical="center"/>
    </xf>
    <xf numFmtId="173" fontId="47" fillId="24" borderId="6" xfId="4" applyNumberFormat="1" applyFont="1" applyFill="1" applyBorder="1" applyAlignment="1" applyProtection="1">
      <alignment horizontal="center" vertical="center"/>
      <protection locked="0" hidden="1"/>
    </xf>
    <xf numFmtId="173" fontId="47" fillId="24" borderId="6" xfId="4" applyNumberFormat="1" applyFont="1" applyFill="1" applyBorder="1" applyAlignment="1" applyProtection="1">
      <alignment horizontal="center" vertical="center"/>
      <protection locked="0"/>
    </xf>
    <xf numFmtId="173" fontId="2" fillId="0" borderId="0" xfId="0" applyNumberFormat="1" applyFont="1" applyAlignment="1">
      <alignment vertical="center" wrapText="1"/>
    </xf>
    <xf numFmtId="0" fontId="50" fillId="0" borderId="0" xfId="0" applyFont="1" applyAlignment="1">
      <alignment horizontal="center" vertical="center" wrapText="1"/>
    </xf>
    <xf numFmtId="1" fontId="2" fillId="0" borderId="0" xfId="0" applyNumberFormat="1" applyFont="1" applyAlignment="1">
      <alignment vertical="center" wrapText="1"/>
    </xf>
    <xf numFmtId="9" fontId="2" fillId="0" borderId="0" xfId="3" applyFont="1" applyFill="1" applyAlignment="1" applyProtection="1">
      <alignment vertical="center" wrapText="1"/>
    </xf>
    <xf numFmtId="173" fontId="44" fillId="27" borderId="6" xfId="4" applyNumberFormat="1" applyFont="1" applyFill="1" applyBorder="1" applyAlignment="1">
      <alignment horizontal="center"/>
    </xf>
    <xf numFmtId="0" fontId="2" fillId="27" borderId="6" xfId="0" applyFont="1" applyFill="1" applyBorder="1" applyAlignment="1">
      <alignment horizontal="right" vertical="center" wrapText="1"/>
    </xf>
    <xf numFmtId="0" fontId="35" fillId="27" borderId="6" xfId="0" applyFont="1" applyFill="1" applyBorder="1" applyAlignment="1" applyProtection="1">
      <alignment horizontal="center" wrapText="1"/>
      <protection locked="0"/>
    </xf>
    <xf numFmtId="0" fontId="2" fillId="27" borderId="6" xfId="0" applyFont="1" applyFill="1" applyBorder="1" applyAlignment="1">
      <alignment horizontal="center" wrapText="1"/>
    </xf>
    <xf numFmtId="0" fontId="2" fillId="27" borderId="6" xfId="0" applyFont="1" applyFill="1" applyBorder="1" applyAlignment="1">
      <alignment horizontal="left" vertical="center" wrapText="1"/>
    </xf>
    <xf numFmtId="173" fontId="51" fillId="27" borderId="6" xfId="4" applyNumberFormat="1" applyFont="1" applyFill="1" applyBorder="1" applyAlignment="1" applyProtection="1">
      <alignment horizontal="center"/>
      <protection locked="0"/>
    </xf>
    <xf numFmtId="0" fontId="46" fillId="27" borderId="6" xfId="0" applyFont="1" applyFill="1" applyBorder="1" applyAlignment="1">
      <alignment horizontal="center" vertical="center" wrapText="1"/>
    </xf>
    <xf numFmtId="173" fontId="52" fillId="27" borderId="6" xfId="4" applyNumberFormat="1" applyFont="1" applyFill="1" applyBorder="1" applyAlignment="1" applyProtection="1">
      <alignment horizontal="center"/>
      <protection hidden="1"/>
    </xf>
    <xf numFmtId="173" fontId="47" fillId="27" borderId="6" xfId="4" applyNumberFormat="1" applyFont="1" applyFill="1" applyBorder="1" applyAlignment="1" applyProtection="1">
      <alignment horizontal="center"/>
      <protection hidden="1"/>
    </xf>
    <xf numFmtId="173" fontId="48" fillId="21" borderId="6" xfId="4" applyNumberFormat="1" applyFont="1" applyFill="1" applyBorder="1" applyAlignment="1">
      <alignment horizontal="center"/>
    </xf>
    <xf numFmtId="173" fontId="49" fillId="27" borderId="6" xfId="4" applyNumberFormat="1" applyFont="1" applyFill="1" applyBorder="1" applyAlignment="1">
      <alignment horizontal="center"/>
    </xf>
    <xf numFmtId="9" fontId="5" fillId="27" borderId="6" xfId="3" applyFont="1" applyFill="1" applyBorder="1" applyAlignment="1" applyProtection="1">
      <alignment horizontal="center" wrapText="1"/>
    </xf>
    <xf numFmtId="176" fontId="44" fillId="27" borderId="6" xfId="4" applyNumberFormat="1" applyFont="1" applyFill="1" applyBorder="1" applyAlignment="1">
      <alignment horizontal="center"/>
    </xf>
    <xf numFmtId="176" fontId="44" fillId="0" borderId="0" xfId="4" applyNumberFormat="1" applyFont="1" applyAlignment="1">
      <alignment horizontal="center"/>
    </xf>
    <xf numFmtId="0" fontId="2" fillId="0" borderId="0" xfId="0" applyFont="1" applyAlignment="1" applyProtection="1">
      <alignment vertical="center" wrapText="1"/>
      <protection locked="0"/>
    </xf>
    <xf numFmtId="173" fontId="49" fillId="27" borderId="6" xfId="4" applyNumberFormat="1" applyFont="1" applyFill="1" applyBorder="1" applyAlignment="1" applyProtection="1">
      <alignment horizontal="center"/>
      <protection locked="0"/>
    </xf>
    <xf numFmtId="0" fontId="2" fillId="27" borderId="6" xfId="0" applyFont="1" applyFill="1" applyBorder="1" applyAlignment="1" applyProtection="1">
      <alignment horizontal="center" vertical="center" wrapText="1"/>
      <protection locked="0"/>
    </xf>
    <xf numFmtId="173" fontId="22" fillId="20" borderId="6" xfId="4" applyNumberFormat="1" applyFont="1" applyFill="1" applyBorder="1" applyAlignment="1">
      <alignment horizontal="center" vertical="center"/>
    </xf>
    <xf numFmtId="0" fontId="2" fillId="27" borderId="6" xfId="0" applyFont="1" applyFill="1" applyBorder="1" applyAlignment="1" applyProtection="1">
      <alignment horizontal="center" wrapText="1"/>
      <protection locked="0"/>
    </xf>
    <xf numFmtId="0" fontId="2" fillId="24" borderId="37" xfId="0" applyFont="1" applyFill="1" applyBorder="1" applyAlignment="1">
      <alignment horizontal="right" vertical="center" wrapText="1"/>
    </xf>
    <xf numFmtId="0" fontId="35" fillId="24" borderId="37" xfId="0" applyFont="1" applyFill="1" applyBorder="1" applyAlignment="1" applyProtection="1">
      <alignment horizontal="center" vertical="center" wrapText="1"/>
      <protection locked="0"/>
    </xf>
    <xf numFmtId="0" fontId="2" fillId="24" borderId="37" xfId="0" applyFont="1" applyFill="1" applyBorder="1" applyAlignment="1" applyProtection="1">
      <alignment horizontal="center" vertical="center" wrapText="1"/>
      <protection locked="0"/>
    </xf>
    <xf numFmtId="0" fontId="2" fillId="24" borderId="37" xfId="0" applyFont="1" applyFill="1" applyBorder="1" applyAlignment="1">
      <alignment horizontal="center" vertical="center" wrapText="1"/>
    </xf>
    <xf numFmtId="0" fontId="2" fillId="24" borderId="37" xfId="0" applyFont="1" applyFill="1" applyBorder="1" applyAlignment="1">
      <alignment horizontal="left" vertical="center" wrapText="1"/>
    </xf>
    <xf numFmtId="173" fontId="45" fillId="25" borderId="38" xfId="4" applyNumberFormat="1" applyFont="1" applyFill="1" applyBorder="1" applyAlignment="1">
      <alignment horizontal="center" vertical="center"/>
    </xf>
    <xf numFmtId="176" fontId="44" fillId="11" borderId="18" xfId="4" applyNumberFormat="1" applyFont="1" applyFill="1" applyBorder="1" applyAlignment="1">
      <alignment horizontal="center" vertical="center"/>
    </xf>
    <xf numFmtId="173" fontId="49" fillId="26" borderId="18" xfId="4" applyNumberFormat="1" applyFont="1" applyFill="1" applyBorder="1" applyAlignment="1">
      <alignment horizontal="center" vertical="center"/>
    </xf>
    <xf numFmtId="173" fontId="47" fillId="24" borderId="39" xfId="4" applyNumberFormat="1" applyFont="1" applyFill="1" applyBorder="1" applyAlignment="1" applyProtection="1">
      <alignment horizontal="center" vertical="center"/>
      <protection hidden="1"/>
    </xf>
    <xf numFmtId="168" fontId="47" fillId="24" borderId="39" xfId="4" applyNumberFormat="1" applyFont="1" applyFill="1" applyBorder="1" applyAlignment="1">
      <alignment horizontal="center" vertical="center"/>
    </xf>
    <xf numFmtId="168" fontId="47" fillId="24" borderId="40" xfId="4" applyNumberFormat="1" applyFont="1" applyFill="1" applyBorder="1" applyAlignment="1">
      <alignment horizontal="center" vertical="center"/>
    </xf>
    <xf numFmtId="0" fontId="2" fillId="24" borderId="37" xfId="0" applyFont="1" applyFill="1" applyBorder="1" applyAlignment="1" applyProtection="1">
      <alignment horizontal="right" vertical="center" wrapText="1"/>
      <protection locked="0"/>
    </xf>
    <xf numFmtId="0" fontId="2" fillId="24" borderId="37" xfId="0" applyFont="1" applyFill="1" applyBorder="1" applyAlignment="1" applyProtection="1">
      <alignment horizontal="left" vertical="center" wrapText="1"/>
      <protection locked="0"/>
    </xf>
    <xf numFmtId="0" fontId="46" fillId="24" borderId="6" xfId="0" applyFont="1" applyFill="1" applyBorder="1" applyAlignment="1" applyProtection="1">
      <alignment horizontal="center" vertical="center" wrapText="1"/>
      <protection locked="0"/>
    </xf>
    <xf numFmtId="173" fontId="22" fillId="20" borderId="6" xfId="4" applyNumberFormat="1" applyFont="1" applyFill="1" applyBorder="1" applyAlignment="1" applyProtection="1">
      <alignment horizontal="center" vertical="center"/>
      <protection locked="0"/>
    </xf>
    <xf numFmtId="173" fontId="44" fillId="21" borderId="6" xfId="4" applyNumberFormat="1" applyFont="1" applyFill="1" applyBorder="1" applyAlignment="1" applyProtection="1">
      <alignment horizontal="center" vertical="center"/>
      <protection locked="0"/>
    </xf>
    <xf numFmtId="176" fontId="44" fillId="5" borderId="6" xfId="4" applyNumberFormat="1" applyFont="1" applyFill="1" applyBorder="1" applyAlignment="1" applyProtection="1">
      <alignment horizontal="center" vertical="center"/>
      <protection locked="0"/>
    </xf>
    <xf numFmtId="9" fontId="5" fillId="24" borderId="6" xfId="3" applyFont="1" applyFill="1" applyBorder="1" applyAlignment="1" applyProtection="1">
      <alignment horizontal="center" vertical="center" wrapText="1"/>
      <protection locked="0"/>
    </xf>
    <xf numFmtId="176" fontId="44" fillId="24" borderId="6" xfId="4" applyNumberFormat="1" applyFont="1" applyFill="1" applyBorder="1" applyAlignment="1" applyProtection="1">
      <alignment horizontal="center" vertical="center"/>
      <protection locked="0"/>
    </xf>
    <xf numFmtId="176" fontId="44" fillId="0" borderId="0" xfId="4" applyNumberFormat="1" applyFont="1" applyAlignment="1" applyProtection="1">
      <alignment horizontal="center" vertical="center"/>
      <protection locked="0"/>
    </xf>
    <xf numFmtId="176" fontId="44" fillId="11" borderId="6" xfId="4" applyNumberFormat="1" applyFont="1" applyFill="1" applyBorder="1" applyAlignment="1" applyProtection="1">
      <alignment horizontal="center" vertical="center"/>
      <protection locked="0"/>
    </xf>
    <xf numFmtId="173" fontId="49" fillId="26" borderId="6" xfId="4" applyNumberFormat="1" applyFont="1" applyFill="1" applyBorder="1" applyAlignment="1" applyProtection="1">
      <alignment horizontal="center" vertical="center"/>
      <protection locked="0"/>
    </xf>
    <xf numFmtId="168" fontId="47" fillId="24" borderId="6" xfId="4" applyNumberFormat="1" applyFont="1" applyFill="1" applyBorder="1" applyAlignment="1" applyProtection="1">
      <alignment horizontal="center" vertical="center"/>
      <protection locked="0"/>
    </xf>
    <xf numFmtId="0" fontId="0" fillId="0" borderId="0" xfId="0" applyProtection="1">
      <protection locked="0"/>
    </xf>
    <xf numFmtId="173" fontId="45" fillId="28" borderId="6" xfId="4" applyNumberFormat="1" applyFont="1" applyFill="1" applyBorder="1" applyAlignment="1" applyProtection="1">
      <alignment horizontal="center" vertical="center"/>
      <protection locked="0"/>
    </xf>
    <xf numFmtId="173" fontId="47" fillId="29" borderId="6" xfId="4" applyNumberFormat="1" applyFont="1" applyFill="1" applyBorder="1" applyAlignment="1" applyProtection="1">
      <alignment horizontal="center" vertical="center"/>
      <protection locked="0" hidden="1"/>
    </xf>
    <xf numFmtId="173" fontId="47" fillId="29" borderId="6" xfId="4" applyNumberFormat="1" applyFont="1" applyFill="1" applyBorder="1" applyAlignment="1" applyProtection="1">
      <alignment horizontal="center" vertical="center"/>
      <protection locked="0"/>
    </xf>
    <xf numFmtId="0" fontId="2" fillId="29" borderId="6" xfId="0" applyFont="1" applyFill="1" applyBorder="1" applyAlignment="1" applyProtection="1">
      <alignment horizontal="center" vertical="center" wrapText="1"/>
      <protection locked="0"/>
    </xf>
    <xf numFmtId="173" fontId="2" fillId="0" borderId="0" xfId="0" applyNumberFormat="1" applyFont="1" applyAlignment="1">
      <alignment horizontal="center" vertical="center" wrapText="1"/>
    </xf>
    <xf numFmtId="0" fontId="54" fillId="0" borderId="0" xfId="5" applyFont="1" applyProtection="1">
      <protection hidden="1"/>
    </xf>
  </cellXfs>
  <cellStyles count="6">
    <cellStyle name="Moeda" xfId="2" builtinId="4"/>
    <cellStyle name="Normal" xfId="0" builtinId="0"/>
    <cellStyle name="Normal 36" xfId="5" xr:uid="{1BF7F8E7-8C91-4DAD-8252-445536EC5A3E}"/>
    <cellStyle name="Normal 4 2" xfId="4" xr:uid="{0DE7BA73-53A4-4D49-8C8E-60DD2FD3893B}"/>
    <cellStyle name="Porcentagem" xfId="3" builtinId="5"/>
    <cellStyle name="Vírgula" xfId="1" builtinId="3"/>
  </cellStyles>
  <dxfs count="62">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b/>
        <i val="0"/>
        <color rgb="FFFFFF00"/>
      </font>
      <fill>
        <patternFill>
          <bgColor rgb="FF00B05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pin" dx="26" fmlaLink="$M$107" max="100" page="1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133493</xdr:colOff>
      <xdr:row>104</xdr:row>
      <xdr:rowOff>84667</xdr:rowOff>
    </xdr:from>
    <xdr:to>
      <xdr:col>13</xdr:col>
      <xdr:colOff>677335</xdr:colOff>
      <xdr:row>106</xdr:row>
      <xdr:rowOff>50797</xdr:rowOff>
    </xdr:to>
    <xdr:sp macro="[1]!Plan36.Reexibir" textlink="">
      <xdr:nvSpPr>
        <xdr:cNvPr id="2" name="Retângulo 1">
          <a:extLst>
            <a:ext uri="{FF2B5EF4-FFF2-40B4-BE49-F238E27FC236}">
              <a16:creationId xmlns:a16="http://schemas.microsoft.com/office/drawing/2014/main" id="{C33EB4EC-F9FC-48DC-A0B6-04DB6077EC79}"/>
            </a:ext>
          </a:extLst>
        </xdr:cNvPr>
        <xdr:cNvSpPr/>
      </xdr:nvSpPr>
      <xdr:spPr>
        <a:xfrm>
          <a:off x="8144018" y="1570567"/>
          <a:ext cx="543842" cy="42333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800" b="1"/>
            <a:t>Inicio</a:t>
          </a:r>
        </a:p>
        <a:p>
          <a:pPr algn="ctr"/>
          <a:r>
            <a:rPr lang="pt-BR" sz="800" b="1"/>
            <a:t>Votação</a:t>
          </a:r>
        </a:p>
      </xdr:txBody>
    </xdr:sp>
    <xdr:clientData/>
  </xdr:twoCellAnchor>
  <xdr:twoCellAnchor>
    <xdr:from>
      <xdr:col>7</xdr:col>
      <xdr:colOff>169336</xdr:colOff>
      <xdr:row>104</xdr:row>
      <xdr:rowOff>135468</xdr:rowOff>
    </xdr:from>
    <xdr:to>
      <xdr:col>10</xdr:col>
      <xdr:colOff>106336</xdr:colOff>
      <xdr:row>106</xdr:row>
      <xdr:rowOff>33868</xdr:rowOff>
    </xdr:to>
    <xdr:sp macro="[1]!Plan36.Fim_Votos" textlink="">
      <xdr:nvSpPr>
        <xdr:cNvPr id="3" name="Retângulo de cantos arredondados 2">
          <a:extLst>
            <a:ext uri="{FF2B5EF4-FFF2-40B4-BE49-F238E27FC236}">
              <a16:creationId xmlns:a16="http://schemas.microsoft.com/office/drawing/2014/main" id="{853FE2BD-B5FF-47DC-83A3-F1E781B759B7}"/>
            </a:ext>
          </a:extLst>
        </xdr:cNvPr>
        <xdr:cNvSpPr>
          <a:spLocks/>
        </xdr:cNvSpPr>
      </xdr:nvSpPr>
      <xdr:spPr>
        <a:xfrm>
          <a:off x="8010525" y="1621368"/>
          <a:ext cx="0" cy="355600"/>
        </a:xfrm>
        <a:prstGeom prst="roundRect">
          <a:avLst/>
        </a:prstGeom>
        <a:solidFill>
          <a:srgbClr val="C0000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pt-BR" sz="1600" b="1"/>
            <a:t>Fim </a:t>
          </a:r>
          <a:r>
            <a:rPr lang="pt-BR" sz="1000" b="1"/>
            <a:t>Votação</a:t>
          </a:r>
          <a:r>
            <a:rPr lang="pt-BR" sz="1600" b="1"/>
            <a:t> </a:t>
          </a:r>
          <a:endParaRPr lang="pt-BR" sz="1100" b="1"/>
        </a:p>
      </xdr:txBody>
    </xdr:sp>
    <xdr:clientData/>
  </xdr:twoCellAnchor>
  <mc:AlternateContent xmlns:mc="http://schemas.openxmlformats.org/markup-compatibility/2006">
    <mc:Choice xmlns:a14="http://schemas.microsoft.com/office/drawing/2010/main" Requires="a14">
      <xdr:twoCellAnchor>
        <xdr:from>
          <xdr:col>11</xdr:col>
          <xdr:colOff>57150</xdr:colOff>
          <xdr:row>104</xdr:row>
          <xdr:rowOff>171450</xdr:rowOff>
        </xdr:from>
        <xdr:to>
          <xdr:col>11</xdr:col>
          <xdr:colOff>247650</xdr:colOff>
          <xdr:row>106</xdr:row>
          <xdr:rowOff>19050</xdr:rowOff>
        </xdr:to>
        <xdr:sp macro="" textlink="">
          <xdr:nvSpPr>
            <xdr:cNvPr id="1025" name="Spinner 1" hidden="1">
              <a:extLst>
                <a:ext uri="{63B3BB69-23CF-44E3-9099-C40C66FF867C}">
                  <a14:compatExt spid="_x0000_s1025"/>
                </a:ext>
                <a:ext uri="{FF2B5EF4-FFF2-40B4-BE49-F238E27FC236}">
                  <a16:creationId xmlns:a16="http://schemas.microsoft.com/office/drawing/2014/main" id="{E1533356-15D5-452C-B511-92A041459B34}"/>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twoCellAnchor editAs="oneCell">
    <xdr:from>
      <xdr:col>2</xdr:col>
      <xdr:colOff>143934</xdr:colOff>
      <xdr:row>102</xdr:row>
      <xdr:rowOff>84666</xdr:rowOff>
    </xdr:from>
    <xdr:to>
      <xdr:col>4</xdr:col>
      <xdr:colOff>777727</xdr:colOff>
      <xdr:row>104</xdr:row>
      <xdr:rowOff>122942</xdr:rowOff>
    </xdr:to>
    <xdr:pic>
      <xdr:nvPicPr>
        <xdr:cNvPr id="4" name="Imagem 3">
          <a:extLst>
            <a:ext uri="{FF2B5EF4-FFF2-40B4-BE49-F238E27FC236}">
              <a16:creationId xmlns:a16="http://schemas.microsoft.com/office/drawing/2014/main" id="{689D3F03-670A-4DD5-BC53-8F80F72FB4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39334" y="1018116"/>
          <a:ext cx="1976818" cy="590726"/>
        </a:xfrm>
        <a:prstGeom prst="rect">
          <a:avLst/>
        </a:prstGeom>
      </xdr:spPr>
    </xdr:pic>
    <xdr:clientData/>
  </xdr:twoCellAnchor>
  <xdr:twoCellAnchor>
    <xdr:from>
      <xdr:col>29</xdr:col>
      <xdr:colOff>32173</xdr:colOff>
      <xdr:row>105</xdr:row>
      <xdr:rowOff>47414</xdr:rowOff>
    </xdr:from>
    <xdr:to>
      <xdr:col>29</xdr:col>
      <xdr:colOff>1041399</xdr:colOff>
      <xdr:row>106</xdr:row>
      <xdr:rowOff>242148</xdr:rowOff>
    </xdr:to>
    <xdr:sp macro="[1]!Plan36.RecolherPreposto1" textlink="">
      <xdr:nvSpPr>
        <xdr:cNvPr id="5" name="Retângulo de cantos arredondados 5">
          <a:extLst>
            <a:ext uri="{FF2B5EF4-FFF2-40B4-BE49-F238E27FC236}">
              <a16:creationId xmlns:a16="http://schemas.microsoft.com/office/drawing/2014/main" id="{862AE56C-F35E-4B66-A363-0C3B88DB676A}"/>
            </a:ext>
          </a:extLst>
        </xdr:cNvPr>
        <xdr:cNvSpPr/>
      </xdr:nvSpPr>
      <xdr:spPr>
        <a:xfrm>
          <a:off x="20139448" y="1761914"/>
          <a:ext cx="1009226" cy="423334"/>
        </a:xfrm>
        <a:prstGeom prst="roundRect">
          <a:avLst/>
        </a:prstGeom>
        <a:solidFill>
          <a:srgbClr val="0066FF"/>
        </a:solidFill>
        <a:ln>
          <a:noFill/>
        </a:ln>
        <a:effectLst/>
        <a:scene3d>
          <a:camera prst="orthographicFront">
            <a:rot lat="0" lon="0" rev="0"/>
          </a:camera>
          <a:lightRig rig="contrasting" dir="t">
            <a:rot lat="0" lon="0" rev="7800000"/>
          </a:lightRig>
        </a:scene3d>
        <a:sp3d>
          <a:bevelT w="139700" h="139700"/>
        </a:sp3d>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pt-BR" sz="1400" b="1" i="0"/>
            <a:t>Preposto</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N:\ENGENHARIA\Clientes\Em%20Andamento\SADA\Eber%20Bio\ATK_102_25_REV02_R3_(SADA_EBER_Montagem%20Processo%20Milho)\Em%20andamento\Administrativo\Planilha%20Mestre%20Engenharia\PD_ATK_102_25_REV02_R3_(SADA_EBER_Montagem%20Processo%20Milho)_Consolidada.xlsb" TargetMode="External"/><Relationship Id="rId2" Type="http://schemas.microsoft.com/office/2019/04/relationships/externalLinkLongPath" Target="/ENGENHARIA/Clientes/Em%20Andamento/SADA/Eber%20Bio/ATK_102_25_REV02_R3_(SADA_EBER_Montagem%20Processo%20Milho)/Em%20andamento/Administrativo/Planilha%20Mestre%20Engenharia/PD_ATK_102_25_REV02_R3_(SADA_EBER_Montagem%20Processo%20Milho)_Consolidada.xlsb?7EF171AD" TargetMode="External"/><Relationship Id="rId1" Type="http://schemas.openxmlformats.org/officeDocument/2006/relationships/externalLinkPath" Target="file:///\\7EF171AD\PD_ATK_102_25_REV02_R3_(SADA_EBER_Montagem%20Processo%20Milho)_Consolidad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edágio e Combustivel_21"/>
      <sheetName val="Custos Fixos 2017"/>
      <sheetName val="2019 DP"/>
      <sheetName val="Encargos"/>
      <sheetName val="Logistica 2020"/>
      <sheetName val="Valores HH 2° tri 25"/>
      <sheetName val="Cálculo Fat"/>
      <sheetName val="FAT_Evolução"/>
      <sheetName val="Típicos"/>
      <sheetName val="Tab Din MI"/>
      <sheetName val="CONDIÇÕES COMERCIAIS"/>
      <sheetName val="TAB DIN Valores"/>
      <sheetName val="ICMS_DIFAL"/>
      <sheetName val="Debitos Impostos"/>
      <sheetName val="Faturamento Direto"/>
      <sheetName val="THEO"/>
      <sheetName val="Avulso HH"/>
      <sheetName val="Fluxo Financeiro Geral"/>
      <sheetName val="Calc Eng"/>
      <sheetName val="Cockpit Retorno"/>
      <sheetName val="Impostos_Taxas_ICMs"/>
      <sheetName val="Apresentação Valores"/>
      <sheetName val="Check List Importante"/>
      <sheetName val="Pendencia CHECK"/>
      <sheetName val="Divisão Venda 2020"/>
      <sheetName val="FAT_22"/>
      <sheetName val="Base custos Fixo"/>
      <sheetName val="MOF"/>
      <sheetName val="PHEA"/>
      <sheetName val="Base Brasil Obras"/>
      <sheetName val="TAB DIN MAT"/>
      <sheetName val="Pareto THEO"/>
      <sheetName val="Preenchimento"/>
      <sheetName val="M&amp;P"/>
      <sheetName val="I_C"/>
      <sheetName val="BDI"/>
      <sheetName val="Suportes"/>
      <sheetName val="THEO Desmontagem"/>
      <sheetName val="Custo MO Impostos Obras"/>
      <sheetName val="Funções THEO"/>
      <sheetName val="Processo Venda Obra"/>
      <sheetName val="HubSpot"/>
      <sheetName val="Resumo_HIA_HIC_HOC "/>
      <sheetName val="HOC_Histograma_Obra"/>
      <sheetName val="Fluxo Eventos"/>
      <sheetName val="Valores médios Ref_Lanches"/>
      <sheetName val="Check nomes"/>
      <sheetName val="Custo Impostos Sobre HH"/>
      <sheetName val="Histograma Numérico"/>
      <sheetName val="compair 23 x 24"/>
      <sheetName val="Cronograma Canteiros"/>
      <sheetName val="Check Canteiro Obra"/>
      <sheetName val="INMET"/>
      <sheetName val="Estação Climática"/>
      <sheetName val="Cidades Feriado"/>
      <sheetName val="Custo Interno"/>
      <sheetName val="Calendário"/>
      <sheetName val="Calculo_Integração"/>
      <sheetName val="HIA_Histograma_Integração_ATM"/>
      <sheetName val="HIC_Histograma_Integra_Cliente"/>
      <sheetName val="HOM_Histograma_Mob e DesmMOB"/>
      <sheetName val="HIP_Periculosidade"/>
      <sheetName val="Turnover Absenteismo Folgas"/>
      <sheetName val="Tabela DP"/>
      <sheetName val="MOB_Obra"/>
      <sheetName val="LOG _Obra"/>
      <sheetName val="Estimativa Casa"/>
      <sheetName val="SSMA_Cliente"/>
      <sheetName val="TESTE_LOG_OBRA"/>
      <sheetName val="Casa Locada_KM"/>
      <sheetName val="Matriz Responsabilidade"/>
      <sheetName val="Pareto Metas"/>
      <sheetName val="Mestre"/>
      <sheetName val="Pareto_Calculo Meta"/>
      <sheetName val="Apoio_BI"/>
      <sheetName val="Planej_Cronograma"/>
      <sheetName val="Planej_Histograma"/>
      <sheetName val="Planej_LOG"/>
      <sheetName val="Valores Vendas HH_D_Km"/>
      <sheetName val="Custos de HH_LOG"/>
      <sheetName val="Planej_Recrutamento"/>
      <sheetName val="DRE_Resumo"/>
      <sheetName val="Separação SSMA"/>
    </sheetNames>
    <definedNames>
      <definedName name="Plan36.Fim_Votos"/>
      <definedName name="Plan36.RecolherPreposto1"/>
      <definedName name="Plan36.Reexibir"/>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B3">
            <v>47.99116721048555</v>
          </cell>
        </row>
        <row r="4">
          <cell r="B4">
            <v>479.91167210485554</v>
          </cell>
        </row>
        <row r="5">
          <cell r="B5">
            <v>250.5</v>
          </cell>
          <cell r="H5">
            <v>0</v>
          </cell>
        </row>
        <row r="6">
          <cell r="B6">
            <v>167</v>
          </cell>
        </row>
        <row r="7">
          <cell r="B7">
            <v>47.8</v>
          </cell>
        </row>
        <row r="8">
          <cell r="B8">
            <v>4.2468182715271316</v>
          </cell>
        </row>
        <row r="9">
          <cell r="B9">
            <v>7.086990675684441</v>
          </cell>
          <cell r="H9">
            <v>0</v>
          </cell>
        </row>
        <row r="10">
          <cell r="H10">
            <v>0</v>
          </cell>
        </row>
        <row r="11">
          <cell r="H11">
            <v>0</v>
          </cell>
        </row>
        <row r="13">
          <cell r="H13">
            <v>0</v>
          </cell>
        </row>
        <row r="14">
          <cell r="R14">
            <v>0</v>
          </cell>
        </row>
        <row r="18">
          <cell r="B18">
            <v>11.56</v>
          </cell>
        </row>
        <row r="23">
          <cell r="B23">
            <v>35</v>
          </cell>
        </row>
        <row r="24">
          <cell r="B24">
            <v>0</v>
          </cell>
        </row>
        <row r="25">
          <cell r="B25">
            <v>0</v>
          </cell>
        </row>
        <row r="28">
          <cell r="B28">
            <v>0</v>
          </cell>
        </row>
        <row r="29">
          <cell r="B29">
            <v>9</v>
          </cell>
        </row>
        <row r="30">
          <cell r="B30">
            <v>0</v>
          </cell>
        </row>
        <row r="31">
          <cell r="B31">
            <v>0</v>
          </cell>
        </row>
        <row r="32">
          <cell r="B32">
            <v>0</v>
          </cell>
        </row>
        <row r="33">
          <cell r="B33">
            <v>19</v>
          </cell>
        </row>
        <row r="34">
          <cell r="B34">
            <v>0</v>
          </cell>
        </row>
        <row r="35">
          <cell r="B35">
            <v>0</v>
          </cell>
        </row>
        <row r="36">
          <cell r="B36">
            <v>0</v>
          </cell>
        </row>
        <row r="37">
          <cell r="B37">
            <v>820</v>
          </cell>
        </row>
        <row r="38">
          <cell r="B38">
            <v>30</v>
          </cell>
        </row>
        <row r="40">
          <cell r="B40">
            <v>0</v>
          </cell>
        </row>
        <row r="41">
          <cell r="B41">
            <v>0</v>
          </cell>
        </row>
        <row r="42">
          <cell r="B42">
            <v>2211.0079460584848</v>
          </cell>
        </row>
        <row r="43">
          <cell r="B43">
            <v>0</v>
          </cell>
        </row>
        <row r="44">
          <cell r="B44">
            <v>2900</v>
          </cell>
          <cell r="Q44">
            <v>0</v>
          </cell>
        </row>
        <row r="45">
          <cell r="B45">
            <v>152.09778185277349</v>
          </cell>
        </row>
        <row r="46">
          <cell r="B46">
            <v>0</v>
          </cell>
        </row>
        <row r="47">
          <cell r="B47">
            <v>0</v>
          </cell>
        </row>
        <row r="48">
          <cell r="B48">
            <v>0</v>
          </cell>
        </row>
        <row r="49">
          <cell r="B49">
            <v>0</v>
          </cell>
        </row>
        <row r="50">
          <cell r="B50">
            <v>0</v>
          </cell>
        </row>
        <row r="51">
          <cell r="B51">
            <v>0</v>
          </cell>
        </row>
        <row r="52">
          <cell r="B52">
            <v>0</v>
          </cell>
          <cell r="O52">
            <v>0</v>
          </cell>
        </row>
        <row r="53">
          <cell r="B53">
            <v>0</v>
          </cell>
          <cell r="L53">
            <v>0</v>
          </cell>
        </row>
        <row r="54">
          <cell r="B54">
            <v>0</v>
          </cell>
        </row>
        <row r="56">
          <cell r="B56">
            <v>0</v>
          </cell>
          <cell r="O56">
            <v>0</v>
          </cell>
        </row>
        <row r="57">
          <cell r="B57">
            <v>0</v>
          </cell>
        </row>
        <row r="59">
          <cell r="B59">
            <v>290</v>
          </cell>
        </row>
        <row r="60">
          <cell r="B60">
            <v>10</v>
          </cell>
          <cell r="G60">
            <v>90</v>
          </cell>
        </row>
        <row r="61">
          <cell r="B61">
            <v>6</v>
          </cell>
        </row>
        <row r="62">
          <cell r="B62">
            <v>220</v>
          </cell>
        </row>
        <row r="63">
          <cell r="B63">
            <v>2</v>
          </cell>
        </row>
        <row r="66">
          <cell r="B66">
            <v>125.06327127962082</v>
          </cell>
        </row>
        <row r="68">
          <cell r="K68">
            <v>0.8</v>
          </cell>
        </row>
        <row r="78">
          <cell r="A78" t="str">
            <v>Sim</v>
          </cell>
        </row>
        <row r="79">
          <cell r="A79" t="str">
            <v>Não</v>
          </cell>
        </row>
        <row r="100">
          <cell r="K100" t="str">
            <v>Não</v>
          </cell>
        </row>
        <row r="101">
          <cell r="I101">
            <v>0</v>
          </cell>
        </row>
        <row r="128">
          <cell r="DA128">
            <v>21</v>
          </cell>
        </row>
        <row r="136">
          <cell r="AB136">
            <v>0</v>
          </cell>
        </row>
        <row r="241">
          <cell r="EZ241">
            <v>186.49079460584849</v>
          </cell>
        </row>
        <row r="242">
          <cell r="EZ242">
            <v>157.36214894342336</v>
          </cell>
        </row>
        <row r="243">
          <cell r="EZ243">
            <v>215.5488497074912</v>
          </cell>
        </row>
        <row r="244">
          <cell r="EZ244">
            <v>189.20440868603464</v>
          </cell>
        </row>
        <row r="245">
          <cell r="EZ245">
            <v>192.98849685975534</v>
          </cell>
        </row>
        <row r="246">
          <cell r="EZ246">
            <v>132.56706755639809</v>
          </cell>
        </row>
        <row r="247">
          <cell r="EZ247">
            <v>125.06327127962082</v>
          </cell>
        </row>
        <row r="248">
          <cell r="EZ248">
            <v>125.06327127962082</v>
          </cell>
        </row>
        <row r="249">
          <cell r="EZ249">
            <v>186.49079460584849</v>
          </cell>
        </row>
        <row r="250">
          <cell r="EZ250">
            <v>152.09778185277349</v>
          </cell>
        </row>
        <row r="251">
          <cell r="EZ251">
            <v>166.28768853768148</v>
          </cell>
        </row>
      </sheetData>
      <sheetData sheetId="19">
        <row r="1">
          <cell r="L1">
            <v>8.6499999999999994E-2</v>
          </cell>
        </row>
        <row r="2">
          <cell r="J2">
            <v>0.16250000000000001</v>
          </cell>
          <cell r="L2">
            <v>8.6499999999999994E-2</v>
          </cell>
        </row>
        <row r="3">
          <cell r="J3">
            <v>0.14250000000000002</v>
          </cell>
        </row>
        <row r="4">
          <cell r="I4">
            <v>8.6499999999999994E-2</v>
          </cell>
        </row>
        <row r="6">
          <cell r="GS6">
            <v>1</v>
          </cell>
        </row>
        <row r="32">
          <cell r="K32">
            <v>861133.63496237982</v>
          </cell>
        </row>
        <row r="34">
          <cell r="C34" t="str">
            <v>Versão Aprovada 12/08/25- F-C-001-36- REV0</v>
          </cell>
        </row>
        <row r="35">
          <cell r="C35">
            <v>0.86646531532069737</v>
          </cell>
        </row>
        <row r="37">
          <cell r="C37">
            <v>206432.20545894993</v>
          </cell>
        </row>
        <row r="38">
          <cell r="C38">
            <v>48951.040000000001</v>
          </cell>
        </row>
        <row r="39">
          <cell r="D39">
            <v>6.7999999999999996E-3</v>
          </cell>
        </row>
        <row r="40">
          <cell r="C40">
            <v>303542.82260587811</v>
          </cell>
          <cell r="D40">
            <v>2.8400338941418239E-2</v>
          </cell>
        </row>
        <row r="41">
          <cell r="C41">
            <v>236642.8542859242</v>
          </cell>
          <cell r="D41">
            <v>2.2140985618069254E-2</v>
          </cell>
        </row>
        <row r="42">
          <cell r="C42">
            <v>448153.94720876933</v>
          </cell>
          <cell r="D42">
            <v>4.1930571408006115E-2</v>
          </cell>
        </row>
        <row r="43">
          <cell r="C43">
            <v>68122.126379999987</v>
          </cell>
        </row>
        <row r="44">
          <cell r="C44">
            <v>213760</v>
          </cell>
          <cell r="K44">
            <v>0.13</v>
          </cell>
        </row>
        <row r="45">
          <cell r="C45">
            <v>160320</v>
          </cell>
        </row>
        <row r="47">
          <cell r="C47">
            <v>9083338.1094628647</v>
          </cell>
        </row>
        <row r="48">
          <cell r="C48">
            <v>5</v>
          </cell>
        </row>
        <row r="50">
          <cell r="D50">
            <v>128935400</v>
          </cell>
        </row>
        <row r="51">
          <cell r="C51">
            <v>11897000</v>
          </cell>
        </row>
        <row r="53">
          <cell r="C53">
            <v>10688000</v>
          </cell>
        </row>
        <row r="54">
          <cell r="C54">
            <v>10688000</v>
          </cell>
        </row>
        <row r="55">
          <cell r="C55">
            <v>10688000</v>
          </cell>
          <cell r="D55">
            <v>9826866.3650376201</v>
          </cell>
        </row>
        <row r="58">
          <cell r="C58">
            <v>0.15</v>
          </cell>
        </row>
        <row r="62">
          <cell r="D62">
            <v>2.4148217903256355E-2</v>
          </cell>
        </row>
        <row r="64">
          <cell r="D64">
            <v>0.1027509040801442</v>
          </cell>
        </row>
        <row r="116">
          <cell r="E116">
            <v>1.4360679844325142E-2</v>
          </cell>
        </row>
        <row r="166">
          <cell r="AEK166">
            <v>116041860</v>
          </cell>
        </row>
        <row r="171">
          <cell r="AFB171">
            <v>1.0500000000000001E-2</v>
          </cell>
        </row>
        <row r="174">
          <cell r="AFB174">
            <v>1.9314390480814927E-2</v>
          </cell>
          <cell r="AFD174">
            <v>2.8400338941418239E-2</v>
          </cell>
          <cell r="AFK174">
            <v>2.2140985618069254E-2</v>
          </cell>
          <cell r="AFR174">
            <v>4.1930571408006115E-2</v>
          </cell>
        </row>
      </sheetData>
      <sheetData sheetId="20">
        <row r="3">
          <cell r="P3">
            <v>0.05</v>
          </cell>
        </row>
        <row r="4">
          <cell r="H4">
            <v>7.0000000000000007E-2</v>
          </cell>
        </row>
        <row r="5">
          <cell r="H5">
            <v>1.6500000000000001E-2</v>
          </cell>
        </row>
        <row r="6">
          <cell r="H6">
            <v>7.5999999999999998E-2</v>
          </cell>
          <cell r="P6">
            <v>7.0000000000000007E-2</v>
          </cell>
        </row>
        <row r="9">
          <cell r="H9">
            <v>1.6500000000000001E-2</v>
          </cell>
        </row>
        <row r="10">
          <cell r="S10">
            <v>0</v>
          </cell>
        </row>
        <row r="13">
          <cell r="H13">
            <v>1.4999999999999999E-2</v>
          </cell>
        </row>
        <row r="14">
          <cell r="H14">
            <v>0.05</v>
          </cell>
        </row>
        <row r="15">
          <cell r="H15">
            <v>6.5000000000000006E-3</v>
          </cell>
        </row>
        <row r="16">
          <cell r="H16">
            <v>0.03</v>
          </cell>
        </row>
        <row r="20">
          <cell r="H20">
            <v>0.05</v>
          </cell>
        </row>
        <row r="24">
          <cell r="H24">
            <v>6.5000000000000006E-3</v>
          </cell>
        </row>
        <row r="25">
          <cell r="K25">
            <v>0.03</v>
          </cell>
        </row>
        <row r="26">
          <cell r="H26">
            <v>0.05</v>
          </cell>
        </row>
        <row r="27">
          <cell r="H27">
            <v>1.2E-2</v>
          </cell>
        </row>
        <row r="28">
          <cell r="H28">
            <v>7.1999999999999998E-3</v>
          </cell>
        </row>
        <row r="30">
          <cell r="H30">
            <v>1.6500000000000001E-2</v>
          </cell>
          <cell r="I30">
            <v>6.5000000000000006E-3</v>
          </cell>
        </row>
        <row r="31">
          <cell r="H31">
            <v>7.5999999999999998E-2</v>
          </cell>
          <cell r="I31">
            <v>0.03</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24">
          <cell r="G24">
            <v>0.45492745341720342</v>
          </cell>
        </row>
      </sheetData>
      <sheetData sheetId="36"/>
      <sheetData sheetId="37"/>
      <sheetData sheetId="38">
        <row r="6">
          <cell r="F6">
            <v>5.0000000000000001E-3</v>
          </cell>
        </row>
      </sheetData>
      <sheetData sheetId="39"/>
      <sheetData sheetId="40"/>
      <sheetData sheetId="41"/>
      <sheetData sheetId="42">
        <row r="6">
          <cell r="E6">
            <v>183202.89407003025</v>
          </cell>
          <cell r="F6">
            <v>0</v>
          </cell>
          <cell r="G6">
            <v>0</v>
          </cell>
          <cell r="Q6">
            <v>0</v>
          </cell>
        </row>
        <row r="7">
          <cell r="E7">
            <v>472580.95291063137</v>
          </cell>
          <cell r="F7">
            <v>8036.1170355025915</v>
          </cell>
          <cell r="G7">
            <v>4270.4494865979414</v>
          </cell>
          <cell r="Q7">
            <v>7579.5806108286133</v>
          </cell>
        </row>
        <row r="8">
          <cell r="E8">
            <v>1745195.8117631448</v>
          </cell>
          <cell r="F8">
            <v>96107.892482854077</v>
          </cell>
          <cell r="G8">
            <v>5056.8705407227681</v>
          </cell>
          <cell r="Q8">
            <v>90647.947907229915</v>
          </cell>
        </row>
        <row r="9">
          <cell r="E9">
            <v>211982.43355324148</v>
          </cell>
        </row>
        <row r="10">
          <cell r="E10">
            <v>31574.432718199823</v>
          </cell>
        </row>
        <row r="11">
          <cell r="L11">
            <v>214525.72520153469</v>
          </cell>
        </row>
        <row r="12">
          <cell r="L12">
            <v>825516.52254036604</v>
          </cell>
        </row>
        <row r="13">
          <cell r="E13">
            <v>1420330.3751407722</v>
          </cell>
          <cell r="F13">
            <v>53424.665959922058</v>
          </cell>
          <cell r="G13">
            <v>2992.3999605728804</v>
          </cell>
        </row>
        <row r="23">
          <cell r="G23">
            <v>56200</v>
          </cell>
        </row>
        <row r="34">
          <cell r="E34">
            <v>0</v>
          </cell>
        </row>
      </sheetData>
      <sheetData sheetId="43">
        <row r="41">
          <cell r="F41">
            <v>74353.5</v>
          </cell>
        </row>
      </sheetData>
      <sheetData sheetId="44"/>
      <sheetData sheetId="45">
        <row r="26">
          <cell r="AI26">
            <v>14.5</v>
          </cell>
        </row>
        <row r="30">
          <cell r="AJ30">
            <v>110.1</v>
          </cell>
        </row>
      </sheetData>
      <sheetData sheetId="46"/>
      <sheetData sheetId="47">
        <row r="34">
          <cell r="B34">
            <v>2.0107595448845492</v>
          </cell>
        </row>
        <row r="35">
          <cell r="B35">
            <v>1.7094383335671313</v>
          </cell>
        </row>
      </sheetData>
      <sheetData sheetId="48"/>
      <sheetData sheetId="49"/>
      <sheetData sheetId="50"/>
      <sheetData sheetId="51"/>
      <sheetData sheetId="52"/>
      <sheetData sheetId="53"/>
      <sheetData sheetId="54"/>
      <sheetData sheetId="55"/>
      <sheetData sheetId="56"/>
      <sheetData sheetId="57"/>
      <sheetData sheetId="58">
        <row r="51">
          <cell r="J51">
            <v>37760.74</v>
          </cell>
        </row>
      </sheetData>
      <sheetData sheetId="59">
        <row r="51">
          <cell r="I51">
            <v>12628.839999999998</v>
          </cell>
        </row>
      </sheetData>
      <sheetData sheetId="60"/>
      <sheetData sheetId="61"/>
      <sheetData sheetId="62">
        <row r="82">
          <cell r="H82">
            <v>6</v>
          </cell>
        </row>
      </sheetData>
      <sheetData sheetId="63"/>
      <sheetData sheetId="64"/>
      <sheetData sheetId="65"/>
      <sheetData sheetId="66"/>
      <sheetData sheetId="67"/>
      <sheetData sheetId="68">
        <row r="38">
          <cell r="J38">
            <v>10</v>
          </cell>
        </row>
      </sheetData>
      <sheetData sheetId="69"/>
      <sheetData sheetId="70"/>
      <sheetData sheetId="71"/>
      <sheetData sheetId="72"/>
      <sheetData sheetId="73"/>
      <sheetData sheetId="74"/>
      <sheetData sheetId="75"/>
      <sheetData sheetId="76"/>
      <sheetData sheetId="77"/>
      <sheetData sheetId="78"/>
      <sheetData sheetId="79">
        <row r="21">
          <cell r="K21">
            <v>21</v>
          </cell>
        </row>
      </sheetData>
      <sheetData sheetId="80"/>
      <sheetData sheetId="81"/>
      <sheetData sheetId="8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35EE7-6470-4479-BD7B-E6B995F3485E}">
  <sheetPr codeName="Plan36">
    <tabColor rgb="FF00B050"/>
    <pageSetUpPr fitToPage="1"/>
  </sheetPr>
  <dimension ref="A1:GX732"/>
  <sheetViews>
    <sheetView showGridLines="0" tabSelected="1" topLeftCell="F100" zoomScale="90" zoomScaleNormal="90" zoomScaleSheetLayoutView="115" workbookViewId="0">
      <selection activeCell="T114" sqref="T114"/>
    </sheetView>
  </sheetViews>
  <sheetFormatPr defaultColWidth="9.140625" defaultRowHeight="15" x14ac:dyDescent="0.25"/>
  <cols>
    <col min="1" max="1" width="9.140625" style="7" hidden="1" customWidth="1"/>
    <col min="2" max="2" width="19.42578125" style="10" customWidth="1"/>
    <col min="3" max="3" width="8.28515625" style="7" customWidth="1"/>
    <col min="4" max="4" width="11.85546875" style="7" customWidth="1"/>
    <col min="5" max="5" width="12.7109375" style="7" customWidth="1"/>
    <col min="6" max="6" width="53.42578125" style="11" customWidth="1"/>
    <col min="7" max="7" width="14.42578125" style="7" customWidth="1"/>
    <col min="8" max="8" width="5.42578125" style="7" hidden="1" customWidth="1"/>
    <col min="9" max="9" width="5.28515625" style="7" hidden="1" customWidth="1"/>
    <col min="10" max="12" width="5.7109375" style="7" hidden="1" customWidth="1"/>
    <col min="13" max="13" width="8.42578125" style="7" hidden="1" customWidth="1"/>
    <col min="14" max="14" width="11" style="9" customWidth="1"/>
    <col min="15" max="15" width="11.28515625" style="8" customWidth="1"/>
    <col min="16" max="16" width="5.7109375" style="8" customWidth="1"/>
    <col min="17" max="17" width="5.42578125" style="12" customWidth="1"/>
    <col min="18" max="18" width="14" style="9" customWidth="1"/>
    <col min="19" max="19" width="9.85546875" style="9" customWidth="1"/>
    <col min="20" max="20" width="14" style="9" customWidth="1"/>
    <col min="21" max="21" width="16.85546875" style="9" customWidth="1"/>
    <col min="22" max="22" width="13.42578125" style="9" customWidth="1"/>
    <col min="23" max="23" width="14.140625" style="9" customWidth="1"/>
    <col min="24" max="24" width="15.85546875" style="9" customWidth="1"/>
    <col min="25" max="25" width="16.7109375" style="7" customWidth="1"/>
    <col min="26" max="26" width="11.28515625" style="7" customWidth="1"/>
    <col min="27" max="27" width="9.140625" style="7" customWidth="1"/>
    <col min="28" max="28" width="11" style="7" customWidth="1"/>
    <col min="29" max="29" width="1.7109375" style="7" customWidth="1"/>
    <col min="30" max="30" width="15.5703125" style="7" customWidth="1"/>
    <col min="31" max="31" width="13.42578125" style="7" customWidth="1"/>
    <col min="32" max="32" width="10" style="7" customWidth="1"/>
    <col min="33" max="33" width="5.7109375" style="8" customWidth="1"/>
    <col min="34" max="34" width="10.7109375" style="8" customWidth="1"/>
    <col min="35" max="35" width="9.85546875" customWidth="1"/>
    <col min="36" max="36" width="10.85546875" customWidth="1"/>
    <col min="37" max="37" width="2.5703125" customWidth="1"/>
    <col min="38" max="38" width="13.42578125" style="7" customWidth="1"/>
    <col min="39" max="39" width="5.7109375" style="8" customWidth="1"/>
    <col min="40" max="40" width="10.7109375" style="8" customWidth="1"/>
    <col min="41" max="41" width="9.85546875" customWidth="1"/>
    <col min="42" max="42" width="10.85546875" customWidth="1"/>
    <col min="43" max="43" width="13.28515625" style="9" customWidth="1"/>
    <col min="44" max="44" width="1.28515625" customWidth="1"/>
    <col min="45" max="45" width="13.42578125" style="7" customWidth="1"/>
    <col min="46" max="46" width="5.7109375" style="8" customWidth="1"/>
    <col min="47" max="47" width="10.7109375" style="8" customWidth="1"/>
    <col min="48" max="48" width="9.85546875" customWidth="1"/>
    <col min="49" max="49" width="10.85546875" customWidth="1"/>
    <col min="50" max="50" width="13.28515625" style="9" customWidth="1"/>
    <col min="51" max="51" width="1.7109375" customWidth="1"/>
    <col min="52" max="52" width="13.42578125" style="7" customWidth="1"/>
    <col min="53" max="53" width="5.7109375" style="8" customWidth="1"/>
    <col min="54" max="54" width="10.7109375" style="8" customWidth="1"/>
    <col min="55" max="55" width="9.85546875" customWidth="1"/>
    <col min="56" max="56" width="10.85546875" customWidth="1"/>
    <col min="57" max="57" width="13.28515625" style="9" customWidth="1"/>
    <col min="58" max="58" width="1.28515625" style="7" customWidth="1"/>
    <col min="59" max="59" width="13.42578125" style="7" customWidth="1"/>
    <col min="60" max="60" width="5.7109375" style="8" customWidth="1"/>
    <col min="61" max="61" width="10.7109375" style="8" customWidth="1"/>
    <col min="62" max="62" width="9.85546875" customWidth="1"/>
    <col min="63" max="63" width="10.85546875" customWidth="1"/>
    <col min="64" max="64" width="13.28515625" style="9" customWidth="1"/>
    <col min="65" max="65" width="2.85546875" style="7" customWidth="1"/>
    <col min="66" max="66" width="13.42578125" style="7" customWidth="1"/>
    <col min="67" max="67" width="5.7109375" style="8" customWidth="1"/>
    <col min="68" max="68" width="10.7109375" style="8" customWidth="1"/>
    <col min="69" max="69" width="9.85546875" customWidth="1"/>
    <col min="70" max="70" width="10.85546875" customWidth="1"/>
    <col min="71" max="71" width="13.28515625" style="9" customWidth="1"/>
    <col min="72" max="72" width="1.42578125" style="7" customWidth="1"/>
    <col min="73" max="73" width="13.42578125" style="7" customWidth="1"/>
    <col min="74" max="74" width="5.7109375" style="8" customWidth="1"/>
    <col min="75" max="75" width="10.7109375" style="8" customWidth="1"/>
    <col min="76" max="76" width="9.85546875" customWidth="1"/>
    <col min="77" max="77" width="10.85546875" customWidth="1"/>
    <col min="78" max="78" width="13.28515625" style="9" customWidth="1"/>
    <col min="79" max="180" width="9.140625" style="7" hidden="1" customWidth="1"/>
    <col min="181" max="388" width="0" style="7" hidden="1" customWidth="1"/>
    <col min="389" max="16384" width="9.140625" style="7"/>
  </cols>
  <sheetData>
    <row r="1" spans="2:78" ht="14.45" hidden="1" customHeight="1" x14ac:dyDescent="0.25">
      <c r="B1" s="1"/>
      <c r="C1" s="1"/>
      <c r="D1" s="2"/>
      <c r="E1" s="2"/>
      <c r="F1" s="3"/>
      <c r="G1" s="2"/>
      <c r="H1" s="2"/>
      <c r="I1" s="2"/>
      <c r="J1" s="2"/>
      <c r="K1" s="2"/>
      <c r="L1" s="2"/>
      <c r="M1" s="2"/>
      <c r="N1" s="4"/>
      <c r="O1" s="5"/>
      <c r="P1" s="5"/>
      <c r="Q1" s="6"/>
      <c r="R1" s="4"/>
      <c r="S1" s="4"/>
      <c r="T1" s="4"/>
      <c r="U1" s="4"/>
      <c r="V1" s="4"/>
      <c r="W1" s="4"/>
      <c r="X1" s="4"/>
      <c r="Y1" s="2"/>
      <c r="Z1" s="2"/>
      <c r="AA1" s="2"/>
      <c r="AB1" s="3"/>
    </row>
    <row r="2" spans="2:78" ht="14.45" hidden="1" customHeight="1" x14ac:dyDescent="0.25">
      <c r="C2" s="10"/>
      <c r="AB2" s="11"/>
    </row>
    <row r="3" spans="2:78" ht="14.45" hidden="1" customHeight="1" x14ac:dyDescent="0.25">
      <c r="C3" s="10"/>
      <c r="AB3" s="11"/>
    </row>
    <row r="4" spans="2:78" ht="14.45" hidden="1" customHeight="1" x14ac:dyDescent="0.25">
      <c r="C4" s="10"/>
      <c r="AB4" s="11"/>
    </row>
    <row r="5" spans="2:78" ht="14.45" hidden="1" customHeight="1" x14ac:dyDescent="0.25">
      <c r="C5" s="10"/>
      <c r="AB5" s="11"/>
    </row>
    <row r="6" spans="2:78" ht="14.45" hidden="1" customHeight="1" x14ac:dyDescent="0.25">
      <c r="C6" s="10"/>
      <c r="AB6" s="11"/>
    </row>
    <row r="7" spans="2:78" ht="14.45" hidden="1" customHeight="1" x14ac:dyDescent="0.25">
      <c r="C7" s="10"/>
      <c r="AB7" s="11"/>
    </row>
    <row r="8" spans="2:78" ht="14.45" hidden="1" customHeight="1" x14ac:dyDescent="0.25">
      <c r="C8" s="10"/>
      <c r="AB8" s="11"/>
    </row>
    <row r="9" spans="2:78" ht="14.45" hidden="1" customHeight="1" x14ac:dyDescent="0.25">
      <c r="C9" s="10"/>
      <c r="W9" s="13" t="s">
        <v>0</v>
      </c>
      <c r="X9" s="14"/>
      <c r="AB9" s="11"/>
      <c r="AQ9" s="13" t="s">
        <v>0</v>
      </c>
      <c r="AX9" s="13" t="s">
        <v>0</v>
      </c>
      <c r="BE9" s="13" t="s">
        <v>0</v>
      </c>
      <c r="BL9" s="13" t="s">
        <v>0</v>
      </c>
      <c r="BS9" s="13" t="s">
        <v>0</v>
      </c>
      <c r="BZ9" s="13" t="s">
        <v>0</v>
      </c>
    </row>
    <row r="10" spans="2:78" ht="14.45" hidden="1" customHeight="1" x14ac:dyDescent="0.25">
      <c r="C10" s="10"/>
      <c r="W10" s="15" t="s">
        <v>1</v>
      </c>
      <c r="AB10" s="11"/>
      <c r="AQ10" s="15" t="s">
        <v>1</v>
      </c>
      <c r="AX10" s="15" t="s">
        <v>1</v>
      </c>
      <c r="BE10" s="15" t="s">
        <v>1</v>
      </c>
      <c r="BL10" s="15" t="s">
        <v>1</v>
      </c>
      <c r="BS10" s="15" t="s">
        <v>1</v>
      </c>
      <c r="BZ10" s="15" t="s">
        <v>1</v>
      </c>
    </row>
    <row r="11" spans="2:78" ht="14.45" hidden="1" customHeight="1" x14ac:dyDescent="0.25">
      <c r="C11" s="10"/>
      <c r="W11" s="15" t="s">
        <v>2</v>
      </c>
      <c r="AB11" s="11"/>
      <c r="AQ11" s="15" t="s">
        <v>2</v>
      </c>
      <c r="AX11" s="15" t="s">
        <v>2</v>
      </c>
      <c r="BE11" s="15" t="s">
        <v>2</v>
      </c>
      <c r="BL11" s="15" t="s">
        <v>2</v>
      </c>
      <c r="BS11" s="15" t="s">
        <v>2</v>
      </c>
      <c r="BZ11" s="15" t="s">
        <v>2</v>
      </c>
    </row>
    <row r="12" spans="2:78" ht="14.45" hidden="1" customHeight="1" x14ac:dyDescent="0.25">
      <c r="C12" s="10"/>
      <c r="W12" s="13" t="s">
        <v>3</v>
      </c>
      <c r="X12" s="14"/>
      <c r="AB12" s="11"/>
      <c r="AQ12" s="13" t="s">
        <v>3</v>
      </c>
      <c r="AX12" s="13" t="s">
        <v>3</v>
      </c>
      <c r="BE12" s="13" t="s">
        <v>3</v>
      </c>
      <c r="BL12" s="13" t="s">
        <v>3</v>
      </c>
      <c r="BS12" s="13" t="s">
        <v>3</v>
      </c>
      <c r="BZ12" s="13" t="s">
        <v>3</v>
      </c>
    </row>
    <row r="13" spans="2:78" ht="14.45" hidden="1" customHeight="1" x14ac:dyDescent="0.25">
      <c r="C13" s="10"/>
      <c r="W13" s="15" t="s">
        <v>4</v>
      </c>
      <c r="AB13" s="11"/>
      <c r="AQ13" s="15" t="s">
        <v>4</v>
      </c>
      <c r="AX13" s="15" t="s">
        <v>4</v>
      </c>
      <c r="BE13" s="15" t="s">
        <v>4</v>
      </c>
      <c r="BL13" s="15" t="s">
        <v>4</v>
      </c>
      <c r="BS13" s="15" t="s">
        <v>4</v>
      </c>
      <c r="BZ13" s="15" t="s">
        <v>4</v>
      </c>
    </row>
    <row r="14" spans="2:78" ht="14.45" hidden="1" customHeight="1" x14ac:dyDescent="0.25">
      <c r="C14" s="10"/>
      <c r="W14" s="16" t="s">
        <v>5</v>
      </c>
      <c r="X14" s="17"/>
      <c r="AB14" s="11"/>
      <c r="AQ14" s="16" t="s">
        <v>5</v>
      </c>
      <c r="AX14" s="16" t="s">
        <v>5</v>
      </c>
      <c r="BE14" s="16" t="s">
        <v>5</v>
      </c>
      <c r="BL14" s="16" t="s">
        <v>5</v>
      </c>
      <c r="BS14" s="16" t="s">
        <v>5</v>
      </c>
      <c r="BZ14" s="16" t="s">
        <v>5</v>
      </c>
    </row>
    <row r="15" spans="2:78" ht="14.45" hidden="1" customHeight="1" x14ac:dyDescent="0.25">
      <c r="C15" s="10"/>
      <c r="W15" s="16" t="s">
        <v>6</v>
      </c>
      <c r="X15" s="17"/>
      <c r="AB15" s="11"/>
      <c r="AQ15" s="16" t="s">
        <v>6</v>
      </c>
      <c r="AX15" s="16" t="s">
        <v>6</v>
      </c>
      <c r="BE15" s="16" t="s">
        <v>6</v>
      </c>
      <c r="BL15" s="16" t="s">
        <v>6</v>
      </c>
      <c r="BS15" s="16" t="s">
        <v>6</v>
      </c>
      <c r="BZ15" s="16" t="s">
        <v>6</v>
      </c>
    </row>
    <row r="16" spans="2:78" ht="14.45" hidden="1" customHeight="1" x14ac:dyDescent="0.25">
      <c r="C16" s="10"/>
      <c r="W16" s="13" t="s">
        <v>7</v>
      </c>
      <c r="X16" s="14"/>
      <c r="AB16" s="11"/>
      <c r="AQ16" s="13" t="s">
        <v>7</v>
      </c>
      <c r="AX16" s="13" t="s">
        <v>7</v>
      </c>
      <c r="BE16" s="13" t="s">
        <v>7</v>
      </c>
      <c r="BL16" s="13" t="s">
        <v>7</v>
      </c>
      <c r="BS16" s="13" t="s">
        <v>7</v>
      </c>
      <c r="BZ16" s="13" t="s">
        <v>7</v>
      </c>
    </row>
    <row r="17" spans="3:78" ht="14.45" hidden="1" customHeight="1" x14ac:dyDescent="0.25">
      <c r="C17" s="10"/>
      <c r="W17" s="13" t="s">
        <v>8</v>
      </c>
      <c r="X17" s="14"/>
      <c r="AB17" s="11"/>
      <c r="AQ17" s="13" t="s">
        <v>8</v>
      </c>
      <c r="AX17" s="13" t="s">
        <v>8</v>
      </c>
      <c r="BE17" s="13" t="s">
        <v>8</v>
      </c>
      <c r="BL17" s="13" t="s">
        <v>8</v>
      </c>
      <c r="BS17" s="13" t="s">
        <v>8</v>
      </c>
      <c r="BZ17" s="13" t="s">
        <v>8</v>
      </c>
    </row>
    <row r="18" spans="3:78" ht="14.45" hidden="1" customHeight="1" x14ac:dyDescent="0.25">
      <c r="C18" s="10"/>
      <c r="W18" s="13" t="s">
        <v>9</v>
      </c>
      <c r="X18" s="14"/>
      <c r="AB18" s="11"/>
      <c r="AQ18" s="13" t="s">
        <v>9</v>
      </c>
      <c r="AX18" s="13" t="s">
        <v>9</v>
      </c>
      <c r="BE18" s="13" t="s">
        <v>9</v>
      </c>
      <c r="BL18" s="13" t="s">
        <v>9</v>
      </c>
      <c r="BS18" s="13" t="s">
        <v>9</v>
      </c>
      <c r="BZ18" s="13" t="s">
        <v>9</v>
      </c>
    </row>
    <row r="19" spans="3:78" ht="14.45" hidden="1" customHeight="1" x14ac:dyDescent="0.25">
      <c r="C19" s="10"/>
      <c r="W19" s="15" t="s">
        <v>10</v>
      </c>
      <c r="AB19" s="11"/>
      <c r="AQ19" s="15" t="s">
        <v>10</v>
      </c>
      <c r="AX19" s="15" t="s">
        <v>10</v>
      </c>
      <c r="BE19" s="15" t="s">
        <v>10</v>
      </c>
      <c r="BL19" s="15" t="s">
        <v>10</v>
      </c>
      <c r="BS19" s="15" t="s">
        <v>10</v>
      </c>
      <c r="BZ19" s="15" t="s">
        <v>10</v>
      </c>
    </row>
    <row r="20" spans="3:78" ht="14.45" hidden="1" customHeight="1" x14ac:dyDescent="0.25">
      <c r="C20" s="10"/>
      <c r="W20" s="15" t="s">
        <v>11</v>
      </c>
      <c r="AB20" s="11"/>
      <c r="AQ20" s="15" t="s">
        <v>11</v>
      </c>
      <c r="AX20" s="15" t="s">
        <v>11</v>
      </c>
      <c r="BE20" s="15" t="s">
        <v>11</v>
      </c>
      <c r="BL20" s="15" t="s">
        <v>11</v>
      </c>
      <c r="BS20" s="15" t="s">
        <v>11</v>
      </c>
      <c r="BZ20" s="15" t="s">
        <v>11</v>
      </c>
    </row>
    <row r="21" spans="3:78" ht="14.45" hidden="1" customHeight="1" x14ac:dyDescent="0.25">
      <c r="C21" s="10"/>
      <c r="AB21" s="11"/>
    </row>
    <row r="22" spans="3:78" ht="14.45" hidden="1" customHeight="1" x14ac:dyDescent="0.25">
      <c r="C22" s="10"/>
      <c r="AB22" s="11"/>
    </row>
    <row r="23" spans="3:78" ht="14.45" hidden="1" customHeight="1" x14ac:dyDescent="0.25">
      <c r="C23" s="10"/>
      <c r="AB23" s="11"/>
    </row>
    <row r="24" spans="3:78" ht="14.45" hidden="1" customHeight="1" x14ac:dyDescent="0.25">
      <c r="C24" s="10"/>
      <c r="AB24" s="11"/>
    </row>
    <row r="25" spans="3:78" ht="14.45" hidden="1" customHeight="1" x14ac:dyDescent="0.25">
      <c r="C25" s="10"/>
      <c r="AB25" s="11"/>
    </row>
    <row r="26" spans="3:78" ht="14.45" hidden="1" customHeight="1" x14ac:dyDescent="0.25">
      <c r="C26" s="10"/>
      <c r="AB26" s="11"/>
    </row>
    <row r="27" spans="3:78" ht="14.45" hidden="1" customHeight="1" x14ac:dyDescent="0.25">
      <c r="C27" s="10"/>
      <c r="AB27" s="11"/>
    </row>
    <row r="28" spans="3:78" ht="14.45" hidden="1" customHeight="1" x14ac:dyDescent="0.25">
      <c r="C28" s="10"/>
      <c r="AB28" s="11"/>
    </row>
    <row r="29" spans="3:78" ht="14.45" hidden="1" customHeight="1" x14ac:dyDescent="0.25">
      <c r="C29" s="10"/>
      <c r="AB29" s="11"/>
    </row>
    <row r="30" spans="3:78" ht="14.45" hidden="1" customHeight="1" x14ac:dyDescent="0.25">
      <c r="C30" s="10"/>
      <c r="AB30" s="11"/>
    </row>
    <row r="31" spans="3:78" ht="14.45" hidden="1" customHeight="1" x14ac:dyDescent="0.25">
      <c r="C31" s="10"/>
      <c r="AB31" s="11"/>
    </row>
    <row r="32" spans="3:78" ht="14.45" hidden="1" customHeight="1" x14ac:dyDescent="0.25">
      <c r="C32" s="10"/>
      <c r="AB32" s="11"/>
    </row>
    <row r="33" spans="3:28" ht="14.45" hidden="1" customHeight="1" x14ac:dyDescent="0.25">
      <c r="C33" s="10"/>
      <c r="AB33" s="11"/>
    </row>
    <row r="34" spans="3:28" ht="14.45" hidden="1" customHeight="1" x14ac:dyDescent="0.25">
      <c r="C34" s="10"/>
      <c r="AB34" s="11"/>
    </row>
    <row r="35" spans="3:28" ht="14.45" hidden="1" customHeight="1" x14ac:dyDescent="0.25">
      <c r="C35" s="10"/>
      <c r="AB35" s="11"/>
    </row>
    <row r="36" spans="3:28" ht="14.45" hidden="1" customHeight="1" x14ac:dyDescent="0.25">
      <c r="C36" s="10"/>
      <c r="AB36" s="11"/>
    </row>
    <row r="37" spans="3:28" ht="14.45" hidden="1" customHeight="1" x14ac:dyDescent="0.25">
      <c r="C37" s="10"/>
      <c r="AB37" s="11"/>
    </row>
    <row r="38" spans="3:28" ht="14.45" hidden="1" customHeight="1" x14ac:dyDescent="0.25">
      <c r="C38" s="10"/>
      <c r="AB38" s="11"/>
    </row>
    <row r="39" spans="3:28" ht="14.45" hidden="1" customHeight="1" x14ac:dyDescent="0.25">
      <c r="C39" s="10"/>
      <c r="AB39" s="11"/>
    </row>
    <row r="40" spans="3:28" ht="14.45" hidden="1" customHeight="1" x14ac:dyDescent="0.25">
      <c r="C40" s="10"/>
      <c r="AB40" s="11"/>
    </row>
    <row r="41" spans="3:28" ht="14.45" hidden="1" customHeight="1" x14ac:dyDescent="0.25">
      <c r="C41" s="10"/>
      <c r="R41" s="9" t="s">
        <v>12</v>
      </c>
      <c r="AB41" s="11"/>
    </row>
    <row r="42" spans="3:28" ht="14.45" hidden="1" customHeight="1" x14ac:dyDescent="0.25">
      <c r="C42" s="10"/>
      <c r="R42" s="9">
        <v>1</v>
      </c>
      <c r="AB42" s="11"/>
    </row>
    <row r="43" spans="3:28" ht="14.45" hidden="1" customHeight="1" x14ac:dyDescent="0.25">
      <c r="C43" s="10"/>
      <c r="R43" s="9">
        <v>1.5</v>
      </c>
      <c r="AB43" s="11"/>
    </row>
    <row r="44" spans="3:28" ht="14.45" hidden="1" customHeight="1" x14ac:dyDescent="0.25">
      <c r="C44" s="10"/>
      <c r="R44" s="9">
        <v>2</v>
      </c>
      <c r="AB44" s="11"/>
    </row>
    <row r="45" spans="3:28" ht="14.45" hidden="1" customHeight="1" x14ac:dyDescent="0.25">
      <c r="C45" s="10"/>
      <c r="R45" s="9">
        <v>2.5</v>
      </c>
      <c r="AB45" s="11"/>
    </row>
    <row r="46" spans="3:28" ht="14.45" hidden="1" customHeight="1" x14ac:dyDescent="0.25">
      <c r="C46" s="10"/>
      <c r="R46" s="9">
        <v>3</v>
      </c>
      <c r="AB46" s="11"/>
    </row>
    <row r="47" spans="3:28" ht="14.45" hidden="1" customHeight="1" x14ac:dyDescent="0.25">
      <c r="C47" s="10"/>
      <c r="R47" s="9">
        <v>4</v>
      </c>
      <c r="AB47" s="11"/>
    </row>
    <row r="48" spans="3:28" ht="14.45" hidden="1" customHeight="1" x14ac:dyDescent="0.25">
      <c r="C48" s="10"/>
      <c r="R48" s="9">
        <v>5</v>
      </c>
      <c r="AB48" s="11"/>
    </row>
    <row r="49" spans="3:31" ht="14.45" hidden="1" customHeight="1" x14ac:dyDescent="0.25">
      <c r="C49" s="10"/>
      <c r="R49" s="9">
        <v>6</v>
      </c>
      <c r="AB49" s="11"/>
    </row>
    <row r="50" spans="3:31" ht="14.45" hidden="1" customHeight="1" x14ac:dyDescent="0.25">
      <c r="C50" s="10"/>
      <c r="R50" s="9">
        <v>7</v>
      </c>
      <c r="AB50" s="11"/>
      <c r="AE50" s="18">
        <v>0</v>
      </c>
    </row>
    <row r="51" spans="3:31" ht="14.45" hidden="1" customHeight="1" x14ac:dyDescent="0.25">
      <c r="C51" s="10"/>
      <c r="R51" s="9">
        <v>8</v>
      </c>
      <c r="AB51" s="11"/>
      <c r="AE51" s="18">
        <v>0.01</v>
      </c>
    </row>
    <row r="52" spans="3:31" ht="14.45" hidden="1" customHeight="1" x14ac:dyDescent="0.25">
      <c r="C52" s="10"/>
      <c r="R52" s="9">
        <v>9</v>
      </c>
      <c r="AB52" s="11"/>
      <c r="AE52" s="18">
        <v>0.02</v>
      </c>
    </row>
    <row r="53" spans="3:31" ht="14.45" hidden="1" customHeight="1" x14ac:dyDescent="0.25">
      <c r="C53" s="10"/>
      <c r="R53" s="9">
        <v>10</v>
      </c>
      <c r="AB53" s="11"/>
      <c r="AE53" s="18">
        <v>0.03</v>
      </c>
    </row>
    <row r="54" spans="3:31" ht="14.45" hidden="1" customHeight="1" x14ac:dyDescent="0.25">
      <c r="C54" s="10"/>
      <c r="R54" s="9">
        <v>11</v>
      </c>
      <c r="AB54" s="11"/>
      <c r="AE54" s="18">
        <v>0.04</v>
      </c>
    </row>
    <row r="55" spans="3:31" ht="14.45" hidden="1" customHeight="1" x14ac:dyDescent="0.25">
      <c r="C55" s="10"/>
      <c r="R55" s="9">
        <v>12</v>
      </c>
      <c r="AB55" s="11"/>
      <c r="AE55" s="18">
        <v>0.05</v>
      </c>
    </row>
    <row r="56" spans="3:31" ht="14.45" hidden="1" customHeight="1" x14ac:dyDescent="0.25">
      <c r="C56" s="10"/>
      <c r="R56" s="9">
        <v>13</v>
      </c>
      <c r="AB56" s="11"/>
      <c r="AE56" s="18">
        <v>0.06</v>
      </c>
    </row>
    <row r="57" spans="3:31" ht="14.45" hidden="1" customHeight="1" x14ac:dyDescent="0.25">
      <c r="C57" s="10"/>
      <c r="R57" s="9">
        <v>14</v>
      </c>
      <c r="AB57" s="11"/>
      <c r="AE57" s="18">
        <v>7.0000000000000007E-2</v>
      </c>
    </row>
    <row r="58" spans="3:31" ht="14.45" hidden="1" customHeight="1" x14ac:dyDescent="0.25">
      <c r="C58" s="10"/>
      <c r="R58" s="9">
        <v>15</v>
      </c>
      <c r="AB58" s="11"/>
      <c r="AE58" s="18">
        <v>0.08</v>
      </c>
    </row>
    <row r="59" spans="3:31" ht="14.45" hidden="1" customHeight="1" x14ac:dyDescent="0.25">
      <c r="C59" s="10"/>
      <c r="R59" s="9">
        <v>16</v>
      </c>
      <c r="AB59" s="11"/>
      <c r="AE59" s="18">
        <v>0.09</v>
      </c>
    </row>
    <row r="60" spans="3:31" ht="14.45" hidden="1" customHeight="1" x14ac:dyDescent="0.25">
      <c r="C60" s="10"/>
      <c r="R60" s="9">
        <v>17</v>
      </c>
      <c r="AB60" s="11"/>
      <c r="AE60" s="18">
        <v>0.1</v>
      </c>
    </row>
    <row r="61" spans="3:31" ht="14.45" hidden="1" customHeight="1" x14ac:dyDescent="0.25">
      <c r="C61" s="10"/>
      <c r="R61" s="9">
        <v>18</v>
      </c>
      <c r="AB61" s="11"/>
      <c r="AE61" s="18">
        <v>0.11</v>
      </c>
    </row>
    <row r="62" spans="3:31" ht="14.45" hidden="1" customHeight="1" x14ac:dyDescent="0.25">
      <c r="C62" s="10"/>
      <c r="R62" s="9">
        <v>19</v>
      </c>
      <c r="AB62" s="11"/>
      <c r="AE62" s="18">
        <v>0.12</v>
      </c>
    </row>
    <row r="63" spans="3:31" ht="14.45" hidden="1" customHeight="1" x14ac:dyDescent="0.25">
      <c r="C63" s="10"/>
      <c r="R63" s="9">
        <v>20</v>
      </c>
      <c r="AB63" s="11"/>
      <c r="AE63" s="18">
        <v>0.13</v>
      </c>
    </row>
    <row r="64" spans="3:31" ht="14.45" hidden="1" customHeight="1" x14ac:dyDescent="0.25">
      <c r="C64" s="10"/>
      <c r="Z64" s="19">
        <v>0</v>
      </c>
      <c r="AB64" s="11"/>
      <c r="AE64" s="18">
        <v>0.14000000000000001</v>
      </c>
    </row>
    <row r="65" spans="3:78" ht="14.45" hidden="1" customHeight="1" x14ac:dyDescent="0.25">
      <c r="C65" s="10"/>
      <c r="Z65" s="19">
        <v>0.05</v>
      </c>
      <c r="AB65" s="11"/>
      <c r="AE65" s="18">
        <v>0.15</v>
      </c>
    </row>
    <row r="66" spans="3:78" ht="14.45" hidden="1" customHeight="1" x14ac:dyDescent="0.25">
      <c r="C66" s="10"/>
      <c r="W66" s="7" t="s">
        <v>13</v>
      </c>
      <c r="X66" s="7"/>
      <c r="Y66" s="20">
        <v>0.125</v>
      </c>
      <c r="Z66" s="19">
        <v>0.1</v>
      </c>
      <c r="AB66" s="11"/>
      <c r="AE66" s="18">
        <v>0.16</v>
      </c>
      <c r="AQ66" s="7" t="s">
        <v>13</v>
      </c>
      <c r="AX66" s="7" t="s">
        <v>13</v>
      </c>
      <c r="BE66" s="7" t="s">
        <v>13</v>
      </c>
      <c r="BL66" s="7" t="s">
        <v>13</v>
      </c>
      <c r="BS66" s="7" t="s">
        <v>13</v>
      </c>
      <c r="BZ66" s="7" t="s">
        <v>13</v>
      </c>
    </row>
    <row r="67" spans="3:78" ht="14.45" hidden="1" customHeight="1" x14ac:dyDescent="0.25">
      <c r="C67" s="10"/>
      <c r="W67" s="7" t="s">
        <v>14</v>
      </c>
      <c r="X67" s="7"/>
      <c r="Y67" s="20">
        <v>7.4999999999999997E-2</v>
      </c>
      <c r="Z67" s="19">
        <v>0.15</v>
      </c>
      <c r="AB67" s="11"/>
      <c r="AE67" s="18">
        <v>0.17</v>
      </c>
      <c r="AL67" s="7">
        <v>0</v>
      </c>
      <c r="AQ67" s="7" t="s">
        <v>14</v>
      </c>
      <c r="AS67" s="7">
        <v>0</v>
      </c>
      <c r="AX67" s="7" t="s">
        <v>14</v>
      </c>
      <c r="AZ67" s="7">
        <v>0</v>
      </c>
      <c r="BE67" s="7" t="s">
        <v>14</v>
      </c>
      <c r="BG67" s="7">
        <v>0</v>
      </c>
      <c r="BL67" s="7" t="s">
        <v>14</v>
      </c>
      <c r="BN67" s="7">
        <v>0</v>
      </c>
      <c r="BS67" s="7" t="s">
        <v>14</v>
      </c>
      <c r="BU67" s="7">
        <v>0</v>
      </c>
      <c r="BZ67" s="7" t="s">
        <v>14</v>
      </c>
    </row>
    <row r="68" spans="3:78" ht="14.45" hidden="1" customHeight="1" x14ac:dyDescent="0.25">
      <c r="C68" s="10"/>
      <c r="W68" s="7" t="s">
        <v>15</v>
      </c>
      <c r="X68" s="7"/>
      <c r="Y68" s="20">
        <v>0.4</v>
      </c>
      <c r="Z68" s="19">
        <v>0.2</v>
      </c>
      <c r="AB68" s="11"/>
      <c r="AE68" s="18">
        <v>0.18</v>
      </c>
      <c r="AL68" s="21">
        <v>0.5</v>
      </c>
      <c r="AQ68" s="7" t="s">
        <v>15</v>
      </c>
      <c r="AS68" s="21">
        <v>0.5</v>
      </c>
      <c r="AX68" s="7" t="s">
        <v>15</v>
      </c>
      <c r="AZ68" s="21">
        <v>0.5</v>
      </c>
      <c r="BE68" s="7" t="s">
        <v>15</v>
      </c>
      <c r="BG68" s="21">
        <v>0.5</v>
      </c>
      <c r="BL68" s="7" t="s">
        <v>15</v>
      </c>
      <c r="BN68" s="21">
        <v>0.5</v>
      </c>
      <c r="BS68" s="7" t="s">
        <v>15</v>
      </c>
      <c r="BU68" s="21">
        <v>0.5</v>
      </c>
      <c r="BZ68" s="7" t="s">
        <v>15</v>
      </c>
    </row>
    <row r="69" spans="3:78" ht="14.45" hidden="1" customHeight="1" x14ac:dyDescent="0.25">
      <c r="C69" s="10"/>
      <c r="W69" s="7" t="s">
        <v>16</v>
      </c>
      <c r="X69" s="7"/>
      <c r="Y69" s="20">
        <v>0.2</v>
      </c>
      <c r="Z69" s="19">
        <v>0.25</v>
      </c>
      <c r="AB69" s="11"/>
      <c r="AE69" s="18">
        <v>0.19</v>
      </c>
      <c r="AL69" s="21">
        <v>1</v>
      </c>
      <c r="AQ69" s="7" t="s">
        <v>16</v>
      </c>
      <c r="AS69" s="21">
        <v>1</v>
      </c>
      <c r="AX69" s="7" t="s">
        <v>16</v>
      </c>
      <c r="AZ69" s="21">
        <v>1</v>
      </c>
      <c r="BE69" s="7" t="s">
        <v>16</v>
      </c>
      <c r="BG69" s="21">
        <v>1</v>
      </c>
      <c r="BL69" s="7" t="s">
        <v>16</v>
      </c>
      <c r="BN69" s="21">
        <v>1</v>
      </c>
      <c r="BS69" s="7" t="s">
        <v>16</v>
      </c>
      <c r="BU69" s="21">
        <v>1</v>
      </c>
      <c r="BZ69" s="7" t="s">
        <v>16</v>
      </c>
    </row>
    <row r="70" spans="3:78" ht="14.45" hidden="1" customHeight="1" x14ac:dyDescent="0.25">
      <c r="C70" s="10"/>
      <c r="W70" s="7" t="s">
        <v>17</v>
      </c>
      <c r="X70" s="7"/>
      <c r="Y70" s="20">
        <v>0.25</v>
      </c>
      <c r="Z70" s="19">
        <v>0.3</v>
      </c>
      <c r="AB70" s="11"/>
      <c r="AE70" s="18">
        <v>0.2</v>
      </c>
      <c r="AL70" s="21">
        <v>1.5</v>
      </c>
      <c r="AQ70" s="7" t="s">
        <v>17</v>
      </c>
      <c r="AS70" s="21">
        <v>1.5</v>
      </c>
      <c r="AX70" s="7" t="s">
        <v>17</v>
      </c>
      <c r="AZ70" s="21">
        <v>1.5</v>
      </c>
      <c r="BE70" s="7" t="s">
        <v>17</v>
      </c>
      <c r="BG70" s="21">
        <v>1.5</v>
      </c>
      <c r="BL70" s="7" t="s">
        <v>17</v>
      </c>
      <c r="BN70" s="21">
        <v>1.5</v>
      </c>
      <c r="BS70" s="7" t="s">
        <v>17</v>
      </c>
      <c r="BU70" s="21">
        <v>1.5</v>
      </c>
      <c r="BZ70" s="7" t="s">
        <v>17</v>
      </c>
    </row>
    <row r="71" spans="3:78" ht="14.45" hidden="1" customHeight="1" x14ac:dyDescent="0.25">
      <c r="C71" s="10"/>
      <c r="W71" s="7" t="s">
        <v>18</v>
      </c>
      <c r="X71" s="7"/>
      <c r="Y71" s="20">
        <v>0</v>
      </c>
      <c r="Z71" s="19">
        <v>0.35</v>
      </c>
      <c r="AB71" s="11"/>
      <c r="AE71" s="18">
        <v>0.21</v>
      </c>
      <c r="AL71" s="21">
        <v>2</v>
      </c>
      <c r="AQ71" s="7" t="s">
        <v>18</v>
      </c>
      <c r="AS71" s="21">
        <v>2</v>
      </c>
      <c r="AX71" s="7" t="s">
        <v>18</v>
      </c>
      <c r="AZ71" s="21">
        <v>2</v>
      </c>
      <c r="BE71" s="7" t="s">
        <v>18</v>
      </c>
      <c r="BG71" s="21">
        <v>2</v>
      </c>
      <c r="BL71" s="7" t="s">
        <v>18</v>
      </c>
      <c r="BN71" s="21">
        <v>2</v>
      </c>
      <c r="BS71" s="7" t="s">
        <v>18</v>
      </c>
      <c r="BU71" s="21">
        <v>2</v>
      </c>
      <c r="BZ71" s="7" t="s">
        <v>18</v>
      </c>
    </row>
    <row r="72" spans="3:78" ht="14.45" hidden="1" customHeight="1" x14ac:dyDescent="0.25">
      <c r="C72" s="10"/>
      <c r="W72" s="19"/>
      <c r="X72" s="19"/>
      <c r="Z72" s="19">
        <v>0.4</v>
      </c>
      <c r="AB72" s="11"/>
      <c r="AE72" s="18">
        <v>0.22</v>
      </c>
      <c r="AL72" s="21">
        <v>2.5</v>
      </c>
      <c r="AQ72" s="19"/>
      <c r="AS72" s="21">
        <v>2.5</v>
      </c>
      <c r="AX72" s="19"/>
      <c r="AZ72" s="21">
        <v>2.5</v>
      </c>
      <c r="BE72" s="19"/>
      <c r="BG72" s="21">
        <v>2.5</v>
      </c>
      <c r="BL72" s="19"/>
      <c r="BN72" s="21">
        <v>2.5</v>
      </c>
      <c r="BS72" s="19"/>
      <c r="BU72" s="21">
        <v>2.5</v>
      </c>
      <c r="BZ72" s="19"/>
    </row>
    <row r="73" spans="3:78" ht="14.45" hidden="1" customHeight="1" x14ac:dyDescent="0.25">
      <c r="C73" s="10"/>
      <c r="W73" s="19"/>
      <c r="X73" s="19" t="s">
        <v>19</v>
      </c>
      <c r="Y73" s="18">
        <v>0.3</v>
      </c>
      <c r="Z73" s="19">
        <v>0.45</v>
      </c>
      <c r="AB73" s="11"/>
      <c r="AE73" s="18">
        <v>0.23</v>
      </c>
      <c r="AL73" s="21">
        <v>3</v>
      </c>
      <c r="AQ73" s="19"/>
      <c r="AS73" s="21">
        <v>3</v>
      </c>
      <c r="AX73" s="19"/>
      <c r="AZ73" s="21">
        <v>3</v>
      </c>
      <c r="BE73" s="19"/>
      <c r="BG73" s="21">
        <v>3</v>
      </c>
      <c r="BL73" s="19"/>
      <c r="BN73" s="21">
        <v>3</v>
      </c>
      <c r="BS73" s="19"/>
      <c r="BU73" s="21">
        <v>3</v>
      </c>
      <c r="BZ73" s="19"/>
    </row>
    <row r="74" spans="3:78" ht="14.45" hidden="1" customHeight="1" x14ac:dyDescent="0.25">
      <c r="C74" s="10"/>
      <c r="W74" s="19"/>
      <c r="X74" s="19" t="s">
        <v>20</v>
      </c>
      <c r="Y74" s="18">
        <v>0.2</v>
      </c>
      <c r="Z74" s="19">
        <v>0.5</v>
      </c>
      <c r="AB74" s="11"/>
      <c r="AE74" s="18">
        <v>0.24</v>
      </c>
      <c r="AL74" s="21">
        <v>4</v>
      </c>
      <c r="AQ74" s="19"/>
      <c r="AS74" s="21">
        <v>4</v>
      </c>
      <c r="AX74" s="19"/>
      <c r="AZ74" s="21">
        <v>4</v>
      </c>
      <c r="BE74" s="19"/>
      <c r="BG74" s="21">
        <v>4</v>
      </c>
      <c r="BL74" s="19"/>
      <c r="BN74" s="21">
        <v>4</v>
      </c>
      <c r="BS74" s="19"/>
      <c r="BU74" s="21">
        <v>4</v>
      </c>
      <c r="BZ74" s="19"/>
    </row>
    <row r="75" spans="3:78" ht="14.45" hidden="1" customHeight="1" x14ac:dyDescent="0.25">
      <c r="C75" s="10"/>
      <c r="W75" s="19"/>
      <c r="X75" s="19" t="s">
        <v>21</v>
      </c>
      <c r="Y75" s="18">
        <v>0.1</v>
      </c>
      <c r="Z75" s="19">
        <v>0.55000000000000004</v>
      </c>
      <c r="AB75" s="11"/>
      <c r="AL75" s="21">
        <v>5</v>
      </c>
      <c r="AQ75" s="19"/>
      <c r="AS75" s="21">
        <v>5</v>
      </c>
      <c r="AX75" s="19"/>
      <c r="AZ75" s="21">
        <v>5</v>
      </c>
      <c r="BE75" s="19"/>
      <c r="BG75" s="21">
        <v>5</v>
      </c>
      <c r="BL75" s="19"/>
      <c r="BN75" s="21">
        <v>5</v>
      </c>
      <c r="BS75" s="19"/>
      <c r="BU75" s="21">
        <v>5</v>
      </c>
      <c r="BZ75" s="19"/>
    </row>
    <row r="76" spans="3:78" ht="14.45" hidden="1" customHeight="1" x14ac:dyDescent="0.25">
      <c r="C76" s="10"/>
      <c r="W76" s="19"/>
      <c r="X76" s="19" t="s">
        <v>18</v>
      </c>
      <c r="Y76" s="18">
        <v>0</v>
      </c>
      <c r="Z76" s="19">
        <v>0.6</v>
      </c>
      <c r="AB76" s="11"/>
      <c r="AL76" s="21">
        <v>6</v>
      </c>
      <c r="AQ76" s="19"/>
      <c r="AS76" s="21">
        <v>6</v>
      </c>
      <c r="AX76" s="19"/>
      <c r="AZ76" s="21">
        <v>6</v>
      </c>
      <c r="BE76" s="19"/>
      <c r="BG76" s="21">
        <v>6</v>
      </c>
      <c r="BL76" s="19"/>
      <c r="BN76" s="21">
        <v>6</v>
      </c>
      <c r="BS76" s="19"/>
      <c r="BU76" s="21">
        <v>6</v>
      </c>
      <c r="BZ76" s="19"/>
    </row>
    <row r="77" spans="3:78" ht="14.45" hidden="1" customHeight="1" x14ac:dyDescent="0.25">
      <c r="C77" s="10"/>
      <c r="Z77" s="19">
        <v>0.65</v>
      </c>
      <c r="AB77" s="11"/>
      <c r="AL77" s="21">
        <v>7</v>
      </c>
      <c r="AS77" s="21">
        <v>7</v>
      </c>
      <c r="AZ77" s="21">
        <v>7</v>
      </c>
      <c r="BG77" s="21">
        <v>7</v>
      </c>
      <c r="BN77" s="21">
        <v>7</v>
      </c>
      <c r="BU77" s="21">
        <v>7</v>
      </c>
    </row>
    <row r="78" spans="3:78" ht="14.45" hidden="1" customHeight="1" x14ac:dyDescent="0.25">
      <c r="C78" s="10"/>
      <c r="Z78" s="19">
        <v>0.7</v>
      </c>
      <c r="AB78" s="11"/>
      <c r="AL78" s="21">
        <v>8</v>
      </c>
      <c r="AS78" s="21">
        <v>8</v>
      </c>
      <c r="AZ78" s="21">
        <v>8</v>
      </c>
      <c r="BG78" s="21">
        <v>8</v>
      </c>
      <c r="BN78" s="21">
        <v>8</v>
      </c>
      <c r="BU78" s="21">
        <v>8</v>
      </c>
    </row>
    <row r="79" spans="3:78" ht="14.45" hidden="1" customHeight="1" x14ac:dyDescent="0.25">
      <c r="C79" s="10"/>
      <c r="N79" s="22">
        <v>0.29166666666666669</v>
      </c>
      <c r="Z79" s="19">
        <v>0.75</v>
      </c>
      <c r="AB79" s="11"/>
      <c r="AL79" s="21">
        <v>9</v>
      </c>
      <c r="AS79" s="21">
        <v>9</v>
      </c>
      <c r="AZ79" s="21">
        <v>9</v>
      </c>
      <c r="BG79" s="21">
        <v>9</v>
      </c>
      <c r="BN79" s="21">
        <v>9</v>
      </c>
      <c r="BU79" s="21">
        <v>9</v>
      </c>
    </row>
    <row r="80" spans="3:78" ht="14.45" hidden="1" customHeight="1" x14ac:dyDescent="0.25">
      <c r="C80" s="10"/>
      <c r="N80" s="22">
        <v>0.3125</v>
      </c>
      <c r="O80" s="23">
        <v>0.55000000000000004</v>
      </c>
      <c r="P80" s="23"/>
      <c r="Q80" s="24"/>
      <c r="Z80" s="19">
        <v>0.8</v>
      </c>
      <c r="AB80" s="11"/>
      <c r="AG80" s="23"/>
      <c r="AH80" s="23"/>
      <c r="AL80" s="21">
        <v>10</v>
      </c>
      <c r="AM80" s="23"/>
      <c r="AN80" s="23"/>
      <c r="AS80" s="21">
        <v>10</v>
      </c>
      <c r="AT80" s="23"/>
      <c r="AU80" s="23"/>
      <c r="AZ80" s="21">
        <v>10</v>
      </c>
      <c r="BA80" s="23"/>
      <c r="BB80" s="23"/>
      <c r="BG80" s="21">
        <v>10</v>
      </c>
      <c r="BH80" s="23"/>
      <c r="BI80" s="23"/>
      <c r="BN80" s="21">
        <v>10</v>
      </c>
      <c r="BO80" s="23"/>
      <c r="BP80" s="23"/>
      <c r="BU80" s="21">
        <v>10</v>
      </c>
      <c r="BV80" s="23"/>
      <c r="BW80" s="23"/>
    </row>
    <row r="81" spans="3:75" ht="14.45" hidden="1" customHeight="1" x14ac:dyDescent="0.25">
      <c r="C81" s="10"/>
      <c r="N81" s="22">
        <v>0.33333333333333298</v>
      </c>
      <c r="O81" s="23">
        <v>0.6</v>
      </c>
      <c r="P81" s="23"/>
      <c r="Q81" s="24"/>
      <c r="Z81" s="19">
        <v>0.85</v>
      </c>
      <c r="AB81" s="11"/>
      <c r="AG81" s="23"/>
      <c r="AH81" s="23"/>
      <c r="AL81" s="21">
        <v>11</v>
      </c>
      <c r="AM81" s="23"/>
      <c r="AN81" s="23"/>
      <c r="AS81" s="21">
        <v>11</v>
      </c>
      <c r="AT81" s="23"/>
      <c r="AU81" s="23"/>
      <c r="AZ81" s="21">
        <v>11</v>
      </c>
      <c r="BA81" s="23"/>
      <c r="BB81" s="23"/>
      <c r="BG81" s="21">
        <v>11</v>
      </c>
      <c r="BH81" s="23"/>
      <c r="BI81" s="23"/>
      <c r="BN81" s="21">
        <v>11</v>
      </c>
      <c r="BO81" s="23"/>
      <c r="BP81" s="23"/>
      <c r="BU81" s="21">
        <v>11</v>
      </c>
      <c r="BV81" s="23"/>
      <c r="BW81" s="23"/>
    </row>
    <row r="82" spans="3:75" ht="14.45" hidden="1" customHeight="1" x14ac:dyDescent="0.25">
      <c r="C82" s="10"/>
      <c r="N82" s="22">
        <v>0.35416666666666602</v>
      </c>
      <c r="O82" s="23">
        <v>0.65</v>
      </c>
      <c r="P82" s="23"/>
      <c r="Q82" s="24"/>
      <c r="Z82" s="19">
        <v>0.9</v>
      </c>
      <c r="AB82" s="11"/>
      <c r="AG82" s="23"/>
      <c r="AH82" s="23"/>
      <c r="AL82" s="21">
        <v>12</v>
      </c>
      <c r="AM82" s="23"/>
      <c r="AN82" s="23"/>
      <c r="AS82" s="21">
        <v>12</v>
      </c>
      <c r="AT82" s="23"/>
      <c r="AU82" s="23"/>
      <c r="AZ82" s="21">
        <v>12</v>
      </c>
      <c r="BA82" s="23"/>
      <c r="BB82" s="23"/>
      <c r="BG82" s="21">
        <v>12</v>
      </c>
      <c r="BH82" s="23"/>
      <c r="BI82" s="23"/>
      <c r="BN82" s="21">
        <v>12</v>
      </c>
      <c r="BO82" s="23"/>
      <c r="BP82" s="23"/>
      <c r="BU82" s="21">
        <v>12</v>
      </c>
      <c r="BV82" s="23"/>
      <c r="BW82" s="23"/>
    </row>
    <row r="83" spans="3:75" ht="14.45" hidden="1" customHeight="1" x14ac:dyDescent="0.25">
      <c r="C83" s="10"/>
      <c r="N83" s="22">
        <v>0.36805555555555558</v>
      </c>
      <c r="O83" s="23">
        <v>0.7</v>
      </c>
      <c r="P83" s="23"/>
      <c r="Q83" s="24"/>
      <c r="Z83" s="19">
        <v>0.95</v>
      </c>
      <c r="AB83" s="11"/>
      <c r="AG83" s="23"/>
      <c r="AH83" s="23"/>
      <c r="AL83" s="21">
        <v>13</v>
      </c>
      <c r="AM83" s="23"/>
      <c r="AN83" s="23"/>
      <c r="AS83" s="21">
        <v>13</v>
      </c>
      <c r="AT83" s="23"/>
      <c r="AU83" s="23"/>
      <c r="AZ83" s="21">
        <v>13</v>
      </c>
      <c r="BA83" s="23"/>
      <c r="BB83" s="23"/>
      <c r="BG83" s="21">
        <v>13</v>
      </c>
      <c r="BH83" s="23"/>
      <c r="BI83" s="23"/>
      <c r="BN83" s="21">
        <v>13</v>
      </c>
      <c r="BO83" s="23"/>
      <c r="BP83" s="23"/>
      <c r="BU83" s="21">
        <v>13</v>
      </c>
      <c r="BV83" s="23"/>
      <c r="BW83" s="23"/>
    </row>
    <row r="84" spans="3:75" ht="14.45" hidden="1" customHeight="1" x14ac:dyDescent="0.25">
      <c r="C84" s="10"/>
      <c r="N84" s="22">
        <v>0.37152777777777773</v>
      </c>
      <c r="O84" s="23">
        <v>0.75</v>
      </c>
      <c r="P84" s="23"/>
      <c r="Q84" s="24"/>
      <c r="Z84" s="19">
        <v>1</v>
      </c>
      <c r="AB84" s="11"/>
      <c r="AG84" s="23"/>
      <c r="AH84" s="23"/>
      <c r="AL84" s="21">
        <v>14</v>
      </c>
      <c r="AM84" s="23"/>
      <c r="AN84" s="23"/>
      <c r="AS84" s="21">
        <v>14</v>
      </c>
      <c r="AT84" s="23"/>
      <c r="AU84" s="23"/>
      <c r="AZ84" s="21">
        <v>14</v>
      </c>
      <c r="BA84" s="23"/>
      <c r="BB84" s="23"/>
      <c r="BG84" s="21">
        <v>14</v>
      </c>
      <c r="BH84" s="23"/>
      <c r="BI84" s="23"/>
      <c r="BN84" s="21">
        <v>14</v>
      </c>
      <c r="BO84" s="23"/>
      <c r="BP84" s="23"/>
      <c r="BU84" s="21">
        <v>14</v>
      </c>
      <c r="BV84" s="23"/>
      <c r="BW84" s="23"/>
    </row>
    <row r="85" spans="3:75" ht="14.45" hidden="1" customHeight="1" x14ac:dyDescent="0.25">
      <c r="C85" s="10"/>
      <c r="N85" s="22">
        <v>0.375</v>
      </c>
      <c r="O85" s="23">
        <v>0.8</v>
      </c>
      <c r="P85" s="23"/>
      <c r="Q85" s="24"/>
      <c r="AB85" s="11"/>
      <c r="AG85" s="23"/>
      <c r="AH85" s="23"/>
      <c r="AL85" s="21">
        <v>15</v>
      </c>
      <c r="AM85" s="23"/>
      <c r="AN85" s="23"/>
      <c r="AS85" s="21">
        <v>15</v>
      </c>
      <c r="AT85" s="23"/>
      <c r="AU85" s="23"/>
      <c r="AZ85" s="21">
        <v>15</v>
      </c>
      <c r="BA85" s="23"/>
      <c r="BB85" s="23"/>
      <c r="BG85" s="21">
        <v>15</v>
      </c>
      <c r="BH85" s="23"/>
      <c r="BI85" s="23"/>
      <c r="BN85" s="21">
        <v>15</v>
      </c>
      <c r="BO85" s="23"/>
      <c r="BP85" s="23"/>
      <c r="BU85" s="21">
        <v>15</v>
      </c>
      <c r="BV85" s="23"/>
      <c r="BW85" s="23"/>
    </row>
    <row r="86" spans="3:75" ht="14.45" hidden="1" customHeight="1" x14ac:dyDescent="0.25">
      <c r="C86" s="10"/>
      <c r="N86" s="22">
        <v>0.38541666666666669</v>
      </c>
      <c r="O86" s="23">
        <v>0.85</v>
      </c>
      <c r="P86" s="23"/>
      <c r="Q86" s="24"/>
      <c r="AB86" s="11"/>
      <c r="AG86" s="23"/>
      <c r="AH86" s="23"/>
      <c r="AL86" s="21">
        <v>16</v>
      </c>
      <c r="AM86" s="23"/>
      <c r="AN86" s="23"/>
      <c r="AS86" s="21">
        <v>16</v>
      </c>
      <c r="AT86" s="23"/>
      <c r="AU86" s="23"/>
      <c r="AZ86" s="21">
        <v>16</v>
      </c>
      <c r="BA86" s="23"/>
      <c r="BB86" s="23"/>
      <c r="BG86" s="21">
        <v>16</v>
      </c>
      <c r="BH86" s="23"/>
      <c r="BI86" s="23"/>
      <c r="BN86" s="21">
        <v>16</v>
      </c>
      <c r="BO86" s="23"/>
      <c r="BP86" s="23"/>
      <c r="BU86" s="21">
        <v>16</v>
      </c>
      <c r="BV86" s="23"/>
      <c r="BW86" s="23"/>
    </row>
    <row r="87" spans="3:75" ht="14.45" hidden="1" customHeight="1" x14ac:dyDescent="0.25">
      <c r="C87" s="10"/>
      <c r="N87" s="22">
        <v>0.39583333333333298</v>
      </c>
      <c r="O87" s="23">
        <v>0.9</v>
      </c>
      <c r="P87" s="23"/>
      <c r="Q87" s="24"/>
      <c r="AB87" s="11"/>
      <c r="AG87" s="23"/>
      <c r="AH87" s="23"/>
      <c r="AL87" s="21">
        <v>17</v>
      </c>
      <c r="AM87" s="23"/>
      <c r="AN87" s="23"/>
      <c r="AS87" s="21">
        <v>17</v>
      </c>
      <c r="AT87" s="23"/>
      <c r="AU87" s="23"/>
      <c r="AZ87" s="21">
        <v>17</v>
      </c>
      <c r="BA87" s="23"/>
      <c r="BB87" s="23"/>
      <c r="BG87" s="21">
        <v>17</v>
      </c>
      <c r="BH87" s="23"/>
      <c r="BI87" s="23"/>
      <c r="BN87" s="21">
        <v>17</v>
      </c>
      <c r="BO87" s="23"/>
      <c r="BP87" s="23"/>
      <c r="BU87" s="21">
        <v>17</v>
      </c>
      <c r="BV87" s="23"/>
      <c r="BW87" s="23"/>
    </row>
    <row r="88" spans="3:75" ht="14.45" hidden="1" customHeight="1" x14ac:dyDescent="0.25">
      <c r="C88" s="10"/>
      <c r="N88" s="22">
        <v>0.40625</v>
      </c>
      <c r="AB88" s="11"/>
      <c r="AL88" s="21">
        <v>18</v>
      </c>
      <c r="AS88" s="21">
        <v>18</v>
      </c>
      <c r="AZ88" s="21">
        <v>18</v>
      </c>
      <c r="BG88" s="21">
        <v>18</v>
      </c>
      <c r="BN88" s="21">
        <v>18</v>
      </c>
      <c r="BU88" s="21">
        <v>18</v>
      </c>
    </row>
    <row r="89" spans="3:75" ht="14.45" hidden="1" customHeight="1" x14ac:dyDescent="0.25">
      <c r="C89" s="10"/>
      <c r="N89" s="22">
        <v>0.41666666666666702</v>
      </c>
      <c r="AB89" s="11"/>
      <c r="AL89" s="21">
        <v>19</v>
      </c>
      <c r="AS89" s="21">
        <v>19</v>
      </c>
      <c r="AZ89" s="21">
        <v>19</v>
      </c>
      <c r="BG89" s="21">
        <v>19</v>
      </c>
      <c r="BN89" s="21">
        <v>19</v>
      </c>
      <c r="BU89" s="21">
        <v>19</v>
      </c>
    </row>
    <row r="90" spans="3:75" ht="14.45" hidden="1" customHeight="1" x14ac:dyDescent="0.25">
      <c r="C90" s="10"/>
      <c r="AB90" s="11"/>
      <c r="AL90" s="21">
        <v>20</v>
      </c>
      <c r="AS90" s="21">
        <v>20</v>
      </c>
      <c r="AZ90" s="21">
        <v>20</v>
      </c>
      <c r="BG90" s="21">
        <v>20</v>
      </c>
      <c r="BN90" s="21">
        <v>20</v>
      </c>
      <c r="BU90" s="21">
        <v>20</v>
      </c>
    </row>
    <row r="91" spans="3:75" ht="14.45" hidden="1" customHeight="1" x14ac:dyDescent="0.25">
      <c r="C91" s="10"/>
      <c r="AB91" s="11"/>
      <c r="AL91" s="21">
        <v>21</v>
      </c>
      <c r="AS91" s="21">
        <v>21</v>
      </c>
      <c r="AZ91" s="21">
        <v>21</v>
      </c>
      <c r="BG91" s="21">
        <v>21</v>
      </c>
      <c r="BN91" s="21">
        <v>21</v>
      </c>
      <c r="BU91" s="21">
        <v>21</v>
      </c>
    </row>
    <row r="92" spans="3:75" ht="14.45" hidden="1" customHeight="1" x14ac:dyDescent="0.25">
      <c r="C92" s="10"/>
      <c r="AB92" s="11"/>
      <c r="AL92" s="21"/>
      <c r="AS92" s="21"/>
      <c r="AZ92" s="21"/>
      <c r="BG92" s="21"/>
      <c r="BN92" s="21"/>
      <c r="BU92" s="21"/>
    </row>
    <row r="93" spans="3:75" ht="14.45" hidden="1" customHeight="1" x14ac:dyDescent="0.25">
      <c r="C93" s="10"/>
      <c r="AB93" s="11"/>
      <c r="AL93" s="21"/>
      <c r="AS93" s="21"/>
      <c r="AZ93" s="21"/>
      <c r="BG93" s="21"/>
      <c r="BN93" s="21"/>
      <c r="BU93" s="21"/>
    </row>
    <row r="94" spans="3:75" ht="14.45" hidden="1" customHeight="1" x14ac:dyDescent="0.25">
      <c r="C94" s="10"/>
      <c r="AB94" s="11"/>
      <c r="AL94" s="21"/>
      <c r="AS94" s="21"/>
      <c r="AZ94" s="21"/>
      <c r="BG94" s="21"/>
      <c r="BN94" s="21"/>
      <c r="BU94" s="21"/>
    </row>
    <row r="95" spans="3:75" ht="14.45" hidden="1" customHeight="1" x14ac:dyDescent="0.25">
      <c r="C95" s="10"/>
      <c r="Q95" s="25">
        <v>66</v>
      </c>
      <c r="AB95" s="11"/>
      <c r="AL95" s="21"/>
      <c r="AS95" s="21"/>
      <c r="AZ95" s="21"/>
      <c r="BG95" s="21"/>
      <c r="BN95" s="21"/>
      <c r="BU95" s="21"/>
    </row>
    <row r="96" spans="3:75" ht="14.45" hidden="1" customHeight="1" x14ac:dyDescent="0.25">
      <c r="C96" s="10"/>
      <c r="U96" s="26"/>
      <c r="AB96" s="11"/>
      <c r="AL96" s="21"/>
      <c r="AS96" s="21"/>
      <c r="AZ96" s="21"/>
      <c r="BG96" s="21"/>
      <c r="BN96" s="21"/>
      <c r="BU96" s="21"/>
    </row>
    <row r="97" spans="1:206" ht="14.45" hidden="1" customHeight="1" x14ac:dyDescent="0.25">
      <c r="C97" s="10"/>
      <c r="AB97" s="11"/>
    </row>
    <row r="98" spans="1:206" ht="14.45" hidden="1" customHeight="1" x14ac:dyDescent="0.25">
      <c r="C98" s="10"/>
      <c r="AB98" s="11"/>
    </row>
    <row r="99" spans="1:206" ht="6.6" hidden="1" customHeight="1" thickBot="1" x14ac:dyDescent="0.3">
      <c r="C99" s="10"/>
      <c r="AB99" s="11"/>
    </row>
    <row r="100" spans="1:206" ht="30" customHeight="1" x14ac:dyDescent="0.25">
      <c r="B100" s="27" t="s">
        <v>22</v>
      </c>
      <c r="C100" s="28" t="s">
        <v>23</v>
      </c>
      <c r="D100" s="28"/>
      <c r="E100" s="28"/>
      <c r="F100" s="28"/>
      <c r="G100" s="29"/>
      <c r="H100" s="29"/>
      <c r="I100" s="29"/>
      <c r="J100" s="29"/>
      <c r="K100" s="29"/>
      <c r="L100" s="29"/>
      <c r="M100" s="30"/>
      <c r="N100" s="30"/>
      <c r="O100" s="31"/>
      <c r="P100" s="31"/>
      <c r="Q100" s="31"/>
      <c r="R100" s="31"/>
      <c r="S100" s="31"/>
      <c r="T100" s="31"/>
      <c r="U100" s="31"/>
      <c r="V100" s="31"/>
      <c r="W100" s="31"/>
      <c r="X100" s="31"/>
      <c r="Y100" s="31"/>
      <c r="Z100" s="31"/>
      <c r="AA100" s="31"/>
      <c r="AB100" s="32"/>
      <c r="AC100" s="33"/>
      <c r="AD100" s="34" t="s">
        <v>24</v>
      </c>
      <c r="AE100" s="35"/>
      <c r="AF100" s="35"/>
      <c r="AG100" s="35"/>
      <c r="AH100" s="35"/>
      <c r="AI100" s="35"/>
      <c r="AJ100" s="36"/>
      <c r="AL100" s="37" t="s">
        <v>25</v>
      </c>
      <c r="AM100" s="38"/>
      <c r="AN100" s="38"/>
      <c r="AO100" s="38"/>
      <c r="AP100" s="38"/>
      <c r="AQ100" s="39"/>
      <c r="AS100" s="37" t="s">
        <v>25</v>
      </c>
      <c r="AT100" s="38"/>
      <c r="AU100" s="38"/>
      <c r="AV100" s="38"/>
      <c r="AW100" s="38"/>
      <c r="AX100" s="39"/>
      <c r="AZ100" s="37" t="s">
        <v>25</v>
      </c>
      <c r="BA100" s="38"/>
      <c r="BB100" s="38"/>
      <c r="BC100" s="38"/>
      <c r="BD100" s="38"/>
      <c r="BE100" s="39"/>
      <c r="BG100" s="37" t="s">
        <v>25</v>
      </c>
      <c r="BH100" s="38"/>
      <c r="BI100" s="38"/>
      <c r="BJ100" s="38"/>
      <c r="BK100" s="38"/>
      <c r="BL100" s="39"/>
      <c r="BN100" s="37" t="s">
        <v>25</v>
      </c>
      <c r="BO100" s="38"/>
      <c r="BP100" s="38"/>
      <c r="BQ100" s="38"/>
      <c r="BR100" s="38"/>
      <c r="BS100" s="39"/>
      <c r="BU100" s="37" t="s">
        <v>25</v>
      </c>
      <c r="BV100" s="38"/>
      <c r="BW100" s="38"/>
      <c r="BX100" s="38"/>
      <c r="BY100" s="38"/>
      <c r="BZ100" s="39"/>
      <c r="FQ100" s="40" t="s">
        <v>26</v>
      </c>
    </row>
    <row r="101" spans="1:206" ht="25.5" x14ac:dyDescent="0.25">
      <c r="B101" s="41" t="str">
        <f>'[1]Cockpit Retorno'!C34</f>
        <v>Versão Aprovada 12/08/25- F-C-001-36- REV0</v>
      </c>
      <c r="C101" s="42"/>
      <c r="D101" s="42"/>
      <c r="E101" s="42"/>
      <c r="F101" s="43" t="s">
        <v>27</v>
      </c>
      <c r="G101" s="44" t="s">
        <v>28</v>
      </c>
      <c r="H101" s="45" t="s">
        <v>29</v>
      </c>
      <c r="I101" s="45"/>
      <c r="J101" s="45"/>
      <c r="K101" s="45"/>
      <c r="L101" s="45"/>
      <c r="M101" s="45"/>
      <c r="N101" s="46" t="s">
        <v>30</v>
      </c>
      <c r="O101" s="47" t="s">
        <v>31</v>
      </c>
      <c r="P101" s="48">
        <f>HOUR(N102)+(MINUTE(N102)/60)</f>
        <v>9</v>
      </c>
      <c r="Q101" s="49">
        <f>P101/9</f>
        <v>1</v>
      </c>
      <c r="R101" s="50" t="s">
        <v>32</v>
      </c>
      <c r="S101" s="50"/>
      <c r="T101" s="50"/>
      <c r="U101" s="50"/>
      <c r="V101" s="51" t="s">
        <v>33</v>
      </c>
      <c r="W101" s="51" t="s">
        <v>34</v>
      </c>
      <c r="X101" s="51" t="s">
        <v>35</v>
      </c>
      <c r="Y101" s="51" t="s">
        <v>36</v>
      </c>
      <c r="Z101" s="51" t="s">
        <v>37</v>
      </c>
      <c r="AA101" s="51" t="s">
        <v>38</v>
      </c>
      <c r="AB101" s="51" t="s">
        <v>39</v>
      </c>
      <c r="AC101" s="52"/>
      <c r="AD101" s="53"/>
      <c r="AE101" s="54"/>
      <c r="AF101" s="54"/>
      <c r="AG101" s="54"/>
      <c r="AH101" s="54"/>
      <c r="AI101" s="54"/>
      <c r="AJ101" s="55"/>
      <c r="AL101" s="56"/>
      <c r="AM101" s="57"/>
      <c r="AN101" s="57"/>
      <c r="AO101" s="57"/>
      <c r="AP101" s="57"/>
      <c r="AQ101" s="58"/>
      <c r="AS101" s="56"/>
      <c r="AT101" s="57"/>
      <c r="AU101" s="57"/>
      <c r="AV101" s="57"/>
      <c r="AW101" s="57"/>
      <c r="AX101" s="58"/>
      <c r="AZ101" s="56"/>
      <c r="BA101" s="57"/>
      <c r="BB101" s="57"/>
      <c r="BC101" s="57"/>
      <c r="BD101" s="57"/>
      <c r="BE101" s="58"/>
      <c r="BG101" s="56"/>
      <c r="BH101" s="57"/>
      <c r="BI101" s="57"/>
      <c r="BJ101" s="57"/>
      <c r="BK101" s="57"/>
      <c r="BL101" s="58"/>
      <c r="BN101" s="56"/>
      <c r="BO101" s="57"/>
      <c r="BP101" s="57"/>
      <c r="BQ101" s="57"/>
      <c r="BR101" s="57"/>
      <c r="BS101" s="58"/>
      <c r="BU101" s="56"/>
      <c r="BV101" s="57"/>
      <c r="BW101" s="57"/>
      <c r="BX101" s="57"/>
      <c r="BY101" s="57"/>
      <c r="BZ101" s="58"/>
    </row>
    <row r="102" spans="1:206" ht="18" x14ac:dyDescent="0.25">
      <c r="B102" s="59"/>
      <c r="C102" s="42"/>
      <c r="D102" s="42"/>
      <c r="E102" s="42"/>
      <c r="F102" s="60" t="s">
        <v>40</v>
      </c>
      <c r="G102" s="61">
        <f>SUM(Y105:Y243)</f>
        <v>0</v>
      </c>
      <c r="H102" s="45"/>
      <c r="I102" s="45"/>
      <c r="J102" s="45"/>
      <c r="K102" s="45"/>
      <c r="L102" s="45"/>
      <c r="M102" s="45"/>
      <c r="N102" s="62">
        <v>0.375</v>
      </c>
      <c r="O102" s="63">
        <v>0.7</v>
      </c>
      <c r="P102" s="64"/>
      <c r="Q102" s="65"/>
      <c r="R102" s="66" t="s">
        <v>41</v>
      </c>
      <c r="S102" s="66"/>
      <c r="T102" s="67">
        <v>30</v>
      </c>
      <c r="U102" s="68">
        <f>G102*T102</f>
        <v>0</v>
      </c>
      <c r="V102" s="69"/>
      <c r="W102" s="69"/>
      <c r="X102" s="69"/>
      <c r="Y102" s="70"/>
      <c r="Z102" s="70"/>
      <c r="AA102" s="70"/>
      <c r="AB102" s="70"/>
      <c r="AC102" s="71"/>
      <c r="AD102" s="53"/>
      <c r="AE102" s="54"/>
      <c r="AF102" s="54"/>
      <c r="AG102" s="54"/>
      <c r="AH102" s="54"/>
      <c r="AI102" s="54"/>
      <c r="AJ102" s="55"/>
      <c r="AL102" s="56"/>
      <c r="AM102" s="57"/>
      <c r="AN102" s="57"/>
      <c r="AO102" s="57"/>
      <c r="AP102" s="57"/>
      <c r="AQ102" s="58"/>
      <c r="AS102" s="56"/>
      <c r="AT102" s="57"/>
      <c r="AU102" s="57"/>
      <c r="AV102" s="57"/>
      <c r="AW102" s="57"/>
      <c r="AX102" s="58"/>
      <c r="AZ102" s="56"/>
      <c r="BA102" s="57"/>
      <c r="BB102" s="57"/>
      <c r="BC102" s="57"/>
      <c r="BD102" s="57"/>
      <c r="BE102" s="58"/>
      <c r="BG102" s="56"/>
      <c r="BH102" s="57"/>
      <c r="BI102" s="57"/>
      <c r="BJ102" s="57"/>
      <c r="BK102" s="57"/>
      <c r="BL102" s="58"/>
      <c r="BN102" s="56"/>
      <c r="BO102" s="57"/>
      <c r="BP102" s="57"/>
      <c r="BQ102" s="57"/>
      <c r="BR102" s="57"/>
      <c r="BS102" s="58"/>
      <c r="BU102" s="56"/>
      <c r="BV102" s="57"/>
      <c r="BW102" s="57"/>
      <c r="BX102" s="57"/>
      <c r="BY102" s="57"/>
      <c r="BZ102" s="58"/>
      <c r="CC102" s="72"/>
      <c r="CD102" s="72"/>
      <c r="CE102" s="72"/>
      <c r="CF102" s="72"/>
      <c r="CG102" s="72"/>
      <c r="CH102" s="72"/>
      <c r="CI102" s="72"/>
      <c r="CJ102" s="72"/>
      <c r="CK102" s="72"/>
      <c r="CL102" s="72"/>
      <c r="CM102" s="72"/>
      <c r="CN102" s="72"/>
      <c r="GW102" s="72"/>
      <c r="GX102" s="73" t="s">
        <v>26</v>
      </c>
    </row>
    <row r="103" spans="1:206" ht="25.5" x14ac:dyDescent="0.25">
      <c r="B103" s="59"/>
      <c r="C103" s="42"/>
      <c r="D103" s="42"/>
      <c r="E103" s="42"/>
      <c r="F103" s="74" t="s">
        <v>42</v>
      </c>
      <c r="G103" s="75">
        <f>SUM(AA105:AA243)</f>
        <v>0</v>
      </c>
      <c r="H103" s="45"/>
      <c r="I103" s="45"/>
      <c r="J103" s="45"/>
      <c r="K103" s="45"/>
      <c r="L103" s="45"/>
      <c r="M103" s="45"/>
      <c r="N103" s="76" t="s">
        <v>43</v>
      </c>
      <c r="O103" s="76"/>
      <c r="P103" s="77" t="s">
        <v>44</v>
      </c>
      <c r="Q103" s="77"/>
      <c r="R103" s="77"/>
      <c r="S103" s="77"/>
      <c r="T103" s="77"/>
      <c r="U103" s="77"/>
      <c r="V103" s="69"/>
      <c r="W103" s="78"/>
      <c r="X103" s="78"/>
      <c r="Y103" s="70"/>
      <c r="Z103" s="70"/>
      <c r="AA103" s="70"/>
      <c r="AB103" s="70"/>
      <c r="AC103" s="71"/>
      <c r="AD103" s="53"/>
      <c r="AE103" s="54"/>
      <c r="AF103" s="54"/>
      <c r="AG103" s="54"/>
      <c r="AH103" s="54"/>
      <c r="AI103" s="54"/>
      <c r="AJ103" s="55"/>
      <c r="AL103" s="56"/>
      <c r="AM103" s="57"/>
      <c r="AN103" s="57"/>
      <c r="AO103" s="57"/>
      <c r="AP103" s="57"/>
      <c r="AQ103" s="58"/>
      <c r="AS103" s="56"/>
      <c r="AT103" s="57"/>
      <c r="AU103" s="57"/>
      <c r="AV103" s="57"/>
      <c r="AW103" s="57"/>
      <c r="AX103" s="58"/>
      <c r="AZ103" s="56"/>
      <c r="BA103" s="57"/>
      <c r="BB103" s="57"/>
      <c r="BC103" s="57"/>
      <c r="BD103" s="57"/>
      <c r="BE103" s="58"/>
      <c r="BG103" s="56"/>
      <c r="BH103" s="57"/>
      <c r="BI103" s="57"/>
      <c r="BJ103" s="57"/>
      <c r="BK103" s="57"/>
      <c r="BL103" s="58"/>
      <c r="BN103" s="56"/>
      <c r="BO103" s="57"/>
      <c r="BP103" s="57"/>
      <c r="BQ103" s="57"/>
      <c r="BR103" s="57"/>
      <c r="BS103" s="58"/>
      <c r="BU103" s="56"/>
      <c r="BV103" s="57"/>
      <c r="BW103" s="57"/>
      <c r="BX103" s="57"/>
      <c r="BY103" s="57"/>
      <c r="BZ103" s="58"/>
      <c r="CC103" s="72"/>
      <c r="CD103" s="72"/>
      <c r="CE103" s="72"/>
      <c r="CF103" s="72"/>
      <c r="CG103" s="72"/>
      <c r="CH103" s="72"/>
      <c r="CI103" s="72"/>
      <c r="CJ103" s="72"/>
      <c r="CK103" s="72"/>
      <c r="CL103" s="72"/>
      <c r="CM103" s="72"/>
      <c r="CN103" s="72"/>
      <c r="FN103" s="79" t="s">
        <v>45</v>
      </c>
      <c r="FS103" s="7" t="s">
        <v>46</v>
      </c>
      <c r="GW103" s="72"/>
      <c r="GX103" s="73" t="s">
        <v>26</v>
      </c>
    </row>
    <row r="104" spans="1:206" ht="18" x14ac:dyDescent="0.25">
      <c r="B104" s="59"/>
      <c r="C104" s="42"/>
      <c r="D104" s="42"/>
      <c r="E104" s="42"/>
      <c r="F104" s="80" t="s">
        <v>47</v>
      </c>
      <c r="G104" s="81">
        <f>G102-G103</f>
        <v>0</v>
      </c>
      <c r="H104" s="45"/>
      <c r="I104" s="45"/>
      <c r="J104" s="45"/>
      <c r="K104" s="45"/>
      <c r="L104" s="45"/>
      <c r="M104" s="45"/>
      <c r="N104" s="82" t="s">
        <v>48</v>
      </c>
      <c r="O104" s="83">
        <f>IF(N104=Sim,1.045,1)</f>
        <v>1</v>
      </c>
      <c r="P104" s="77"/>
      <c r="Q104" s="77"/>
      <c r="R104" s="77"/>
      <c r="S104" s="77"/>
      <c r="T104" s="77"/>
      <c r="U104" s="77"/>
      <c r="V104" s="69"/>
      <c r="W104" s="69"/>
      <c r="X104" s="69"/>
      <c r="Y104" s="84"/>
      <c r="Z104" s="70"/>
      <c r="AA104" s="70"/>
      <c r="AB104" s="70"/>
      <c r="AC104" s="71"/>
      <c r="AD104" s="53"/>
      <c r="AE104" s="54"/>
      <c r="AF104" s="54"/>
      <c r="AG104" s="54"/>
      <c r="AH104" s="54"/>
      <c r="AI104" s="54"/>
      <c r="AJ104" s="55"/>
      <c r="AL104" s="56"/>
      <c r="AM104" s="57"/>
      <c r="AN104" s="57"/>
      <c r="AO104" s="57"/>
      <c r="AP104" s="57"/>
      <c r="AQ104" s="58"/>
      <c r="AS104" s="56"/>
      <c r="AT104" s="57"/>
      <c r="AU104" s="57"/>
      <c r="AV104" s="57"/>
      <c r="AW104" s="57"/>
      <c r="AX104" s="58"/>
      <c r="AZ104" s="56"/>
      <c r="BA104" s="57"/>
      <c r="BB104" s="57"/>
      <c r="BC104" s="57"/>
      <c r="BD104" s="57"/>
      <c r="BE104" s="58"/>
      <c r="BG104" s="56"/>
      <c r="BH104" s="57"/>
      <c r="BI104" s="57"/>
      <c r="BJ104" s="57"/>
      <c r="BK104" s="57"/>
      <c r="BL104" s="58"/>
      <c r="BN104" s="56"/>
      <c r="BO104" s="57"/>
      <c r="BP104" s="57"/>
      <c r="BQ104" s="57"/>
      <c r="BR104" s="57"/>
      <c r="BS104" s="58"/>
      <c r="BU104" s="56"/>
      <c r="BV104" s="57"/>
      <c r="BW104" s="57"/>
      <c r="BX104" s="57"/>
      <c r="BY104" s="57"/>
      <c r="BZ104" s="58"/>
      <c r="CC104" s="72"/>
      <c r="CD104" s="72"/>
      <c r="CE104" s="72"/>
      <c r="CF104" s="72"/>
      <c r="CG104" s="72"/>
      <c r="CH104" s="72"/>
      <c r="CI104" s="72"/>
      <c r="CJ104" s="72"/>
      <c r="CK104" s="72"/>
      <c r="CL104" s="72"/>
      <c r="CM104" s="72"/>
      <c r="CN104" s="72"/>
      <c r="FS104" s="7" t="s">
        <v>48</v>
      </c>
      <c r="GW104" s="72"/>
      <c r="GX104" s="73" t="s">
        <v>26</v>
      </c>
    </row>
    <row r="105" spans="1:206" ht="18" customHeight="1" thickBot="1" x14ac:dyDescent="0.3">
      <c r="B105" s="59"/>
      <c r="C105" s="42"/>
      <c r="D105" s="42"/>
      <c r="E105" s="42"/>
      <c r="F105" s="85" t="s">
        <v>49</v>
      </c>
      <c r="G105" s="86" t="s">
        <v>50</v>
      </c>
      <c r="H105" s="87"/>
      <c r="I105" s="87"/>
      <c r="J105" s="87"/>
      <c r="K105" s="87"/>
      <c r="L105" s="88"/>
      <c r="M105" s="89" t="s">
        <v>51</v>
      </c>
      <c r="N105" s="90"/>
      <c r="O105" s="90"/>
      <c r="P105" s="77"/>
      <c r="Q105" s="77"/>
      <c r="R105" s="77"/>
      <c r="S105" s="77"/>
      <c r="T105" s="77"/>
      <c r="U105" s="77"/>
      <c r="V105" s="91"/>
      <c r="W105" s="69"/>
      <c r="X105" s="69"/>
      <c r="Y105" s="70"/>
      <c r="Z105" s="70"/>
      <c r="AA105" s="70"/>
      <c r="AB105" s="70"/>
      <c r="AC105" s="71"/>
      <c r="AD105" s="92"/>
      <c r="AE105" s="93"/>
      <c r="AF105" s="94"/>
      <c r="AG105" s="95"/>
      <c r="AH105" s="95"/>
      <c r="AI105" s="96"/>
      <c r="AJ105" s="97"/>
      <c r="AL105" s="98"/>
      <c r="AM105" s="99"/>
      <c r="AN105" s="99"/>
      <c r="AO105" s="99"/>
      <c r="AP105" s="99"/>
      <c r="AQ105" s="100"/>
      <c r="AS105" s="98"/>
      <c r="AT105" s="99"/>
      <c r="AU105" s="99"/>
      <c r="AV105" s="99"/>
      <c r="AW105" s="99"/>
      <c r="AX105" s="100"/>
      <c r="AZ105" s="98"/>
      <c r="BA105" s="99"/>
      <c r="BB105" s="99"/>
      <c r="BC105" s="99"/>
      <c r="BD105" s="99"/>
      <c r="BE105" s="100"/>
      <c r="BG105" s="98"/>
      <c r="BH105" s="99"/>
      <c r="BI105" s="99"/>
      <c r="BJ105" s="99"/>
      <c r="BK105" s="99"/>
      <c r="BL105" s="100"/>
      <c r="BN105" s="98"/>
      <c r="BO105" s="99"/>
      <c r="BP105" s="99"/>
      <c r="BQ105" s="99"/>
      <c r="BR105" s="99"/>
      <c r="BS105" s="100"/>
      <c r="BU105" s="98"/>
      <c r="BV105" s="99"/>
      <c r="BW105" s="99"/>
      <c r="BX105" s="99"/>
      <c r="BY105" s="99"/>
      <c r="BZ105" s="100"/>
      <c r="CC105" s="72"/>
      <c r="CD105" s="72"/>
      <c r="CE105" s="72"/>
      <c r="CF105" s="72"/>
      <c r="CG105" s="72"/>
      <c r="CH105" s="72"/>
      <c r="CI105" s="72"/>
      <c r="CJ105" s="72"/>
      <c r="CK105" s="72"/>
      <c r="CL105" s="72"/>
      <c r="CM105" s="72"/>
      <c r="CN105" s="72"/>
      <c r="GW105" s="72"/>
      <c r="GX105" s="73" t="s">
        <v>26</v>
      </c>
    </row>
    <row r="106" spans="1:206" ht="18" x14ac:dyDescent="0.25">
      <c r="B106" s="59"/>
      <c r="C106" s="42"/>
      <c r="D106" s="42"/>
      <c r="E106" s="42"/>
      <c r="F106" s="85"/>
      <c r="G106" s="86"/>
      <c r="H106" s="87"/>
      <c r="I106" s="87"/>
      <c r="J106" s="87"/>
      <c r="K106" s="87"/>
      <c r="L106" s="88"/>
      <c r="M106" s="101" t="s">
        <v>52</v>
      </c>
      <c r="N106" s="90"/>
      <c r="O106" s="90"/>
      <c r="P106" s="77"/>
      <c r="Q106" s="77"/>
      <c r="R106" s="77"/>
      <c r="S106" s="77"/>
      <c r="T106" s="77"/>
      <c r="U106" s="77"/>
      <c r="V106" s="69"/>
      <c r="W106" s="69"/>
      <c r="X106" s="69"/>
      <c r="Y106" s="70"/>
      <c r="Z106" s="70"/>
      <c r="AA106" s="70"/>
      <c r="AB106" s="70"/>
      <c r="AC106" s="71"/>
      <c r="AD106" s="102"/>
      <c r="AE106" s="103" t="s">
        <v>53</v>
      </c>
      <c r="AF106" s="104" t="s">
        <v>54</v>
      </c>
      <c r="AG106" s="104"/>
      <c r="AH106" s="104"/>
      <c r="AI106" s="105"/>
      <c r="AJ106" s="106"/>
      <c r="AL106" s="107" t="s">
        <v>55</v>
      </c>
      <c r="AM106" s="107"/>
      <c r="AN106" s="107"/>
      <c r="AO106" s="107"/>
      <c r="AP106" s="107"/>
      <c r="AQ106" s="107"/>
      <c r="AS106" s="107" t="s">
        <v>55</v>
      </c>
      <c r="AT106" s="107"/>
      <c r="AU106" s="107"/>
      <c r="AV106" s="107"/>
      <c r="AW106" s="107"/>
      <c r="AX106" s="107"/>
      <c r="AZ106" s="107" t="s">
        <v>55</v>
      </c>
      <c r="BA106" s="107"/>
      <c r="BB106" s="107"/>
      <c r="BC106" s="107"/>
      <c r="BD106" s="107"/>
      <c r="BE106" s="107"/>
      <c r="BG106" s="107" t="s">
        <v>55</v>
      </c>
      <c r="BH106" s="107"/>
      <c r="BI106" s="107"/>
      <c r="BJ106" s="107"/>
      <c r="BK106" s="107"/>
      <c r="BL106" s="107"/>
      <c r="BN106" s="107" t="s">
        <v>55</v>
      </c>
      <c r="BO106" s="107"/>
      <c r="BP106" s="107"/>
      <c r="BQ106" s="107"/>
      <c r="BR106" s="107"/>
      <c r="BS106" s="107"/>
      <c r="BU106" s="107" t="s">
        <v>55</v>
      </c>
      <c r="BV106" s="107"/>
      <c r="BW106" s="107"/>
      <c r="BX106" s="107"/>
      <c r="BY106" s="107"/>
      <c r="BZ106" s="107"/>
      <c r="CC106" s="72"/>
      <c r="CD106" s="72"/>
      <c r="CE106" s="72"/>
      <c r="CF106" s="72"/>
      <c r="CG106" s="72"/>
      <c r="CH106" s="72"/>
      <c r="CI106" s="72"/>
      <c r="CJ106" s="72"/>
      <c r="CK106" s="72"/>
      <c r="CL106" s="72"/>
      <c r="CM106" s="72"/>
      <c r="CN106" s="72"/>
      <c r="GW106" s="72"/>
      <c r="GX106" s="73" t="s">
        <v>26</v>
      </c>
    </row>
    <row r="107" spans="1:206" ht="26.25" thickBot="1" x14ac:dyDescent="0.3">
      <c r="B107" s="59"/>
      <c r="C107" s="42"/>
      <c r="D107" s="42"/>
      <c r="E107" s="42"/>
      <c r="F107" s="85"/>
      <c r="G107" s="108">
        <f>IFERROR(SUM(V109:V243)/SUM(Y109:Y243),0)</f>
        <v>0</v>
      </c>
      <c r="H107" s="87"/>
      <c r="I107" s="87"/>
      <c r="J107" s="87"/>
      <c r="K107" s="87"/>
      <c r="L107" s="88"/>
      <c r="M107" s="109">
        <v>1</v>
      </c>
      <c r="N107" s="90"/>
      <c r="O107" s="90"/>
      <c r="P107" s="77"/>
      <c r="Q107" s="77"/>
      <c r="R107" s="77"/>
      <c r="S107" s="77"/>
      <c r="T107" s="77"/>
      <c r="U107" s="77"/>
      <c r="V107" s="69"/>
      <c r="W107" s="69"/>
      <c r="X107" s="69"/>
      <c r="Y107" s="70"/>
      <c r="Z107" s="70"/>
      <c r="AA107" s="70"/>
      <c r="AB107" s="70"/>
      <c r="AC107" s="71"/>
      <c r="AD107" s="110"/>
      <c r="AE107" s="111">
        <v>0.04</v>
      </c>
      <c r="AF107" s="112" t="s">
        <v>56</v>
      </c>
      <c r="AG107" s="112"/>
      <c r="AH107" s="112"/>
      <c r="AI107" s="113"/>
      <c r="AJ107" s="114"/>
      <c r="AL107" s="115">
        <v>17</v>
      </c>
      <c r="AM107" s="116" t="s">
        <v>57</v>
      </c>
      <c r="AN107" s="117">
        <v>43383</v>
      </c>
      <c r="AO107" s="118">
        <f>AL107+AN107</f>
        <v>43400</v>
      </c>
      <c r="AP107" s="119" t="s">
        <v>58</v>
      </c>
      <c r="AQ107" s="119"/>
      <c r="AS107" s="115">
        <v>3</v>
      </c>
      <c r="AT107" s="116" t="s">
        <v>57</v>
      </c>
      <c r="AU107" s="117">
        <v>43383</v>
      </c>
      <c r="AV107" s="118">
        <f>AS107+AU107</f>
        <v>43386</v>
      </c>
      <c r="AW107" s="119" t="s">
        <v>58</v>
      </c>
      <c r="AX107" s="119"/>
      <c r="AZ107" s="115">
        <v>3</v>
      </c>
      <c r="BA107" s="116" t="s">
        <v>57</v>
      </c>
      <c r="BB107" s="117">
        <v>43383</v>
      </c>
      <c r="BC107" s="118">
        <f>AZ107+BB107</f>
        <v>43386</v>
      </c>
      <c r="BD107" s="119" t="s">
        <v>58</v>
      </c>
      <c r="BE107" s="119"/>
      <c r="BG107" s="115">
        <v>0</v>
      </c>
      <c r="BH107" s="116" t="s">
        <v>57</v>
      </c>
      <c r="BI107" s="117">
        <v>43383</v>
      </c>
      <c r="BJ107" s="118">
        <f>BG107+BI107</f>
        <v>43383</v>
      </c>
      <c r="BK107" s="119" t="s">
        <v>58</v>
      </c>
      <c r="BL107" s="119"/>
      <c r="BN107" s="115">
        <v>0</v>
      </c>
      <c r="BO107" s="116" t="s">
        <v>57</v>
      </c>
      <c r="BP107" s="117">
        <v>43383</v>
      </c>
      <c r="BQ107" s="118">
        <f>BN107+BP107</f>
        <v>43383</v>
      </c>
      <c r="BR107" s="119" t="s">
        <v>58</v>
      </c>
      <c r="BS107" s="119"/>
      <c r="BU107" s="115">
        <v>0</v>
      </c>
      <c r="BV107" s="116" t="s">
        <v>57</v>
      </c>
      <c r="BW107" s="117">
        <v>43383</v>
      </c>
      <c r="BX107" s="118">
        <f>BU107+BW107</f>
        <v>43383</v>
      </c>
      <c r="BY107" s="119" t="s">
        <v>58</v>
      </c>
      <c r="BZ107" s="119"/>
      <c r="CC107" s="72"/>
      <c r="CD107" s="72"/>
      <c r="CE107" s="72"/>
      <c r="CF107" s="72"/>
      <c r="CG107" s="72"/>
      <c r="CH107" s="72"/>
      <c r="CI107" s="72"/>
      <c r="CJ107" s="72"/>
      <c r="CK107" s="72"/>
      <c r="CL107" s="72"/>
      <c r="CM107" s="72"/>
      <c r="CN107" s="72"/>
      <c r="GG107" s="79" t="s">
        <v>26</v>
      </c>
      <c r="GW107" s="72"/>
      <c r="GX107" s="73" t="s">
        <v>26</v>
      </c>
    </row>
    <row r="108" spans="1:206" s="9" customFormat="1" ht="45.75" thickBot="1" x14ac:dyDescent="0.3">
      <c r="A108" s="9" t="s">
        <v>59</v>
      </c>
      <c r="B108" s="89" t="s">
        <v>60</v>
      </c>
      <c r="C108" s="89" t="s">
        <v>61</v>
      </c>
      <c r="D108" s="89" t="s">
        <v>62</v>
      </c>
      <c r="E108" s="89" t="s">
        <v>63</v>
      </c>
      <c r="F108" s="89" t="s">
        <v>64</v>
      </c>
      <c r="G108" s="120" t="s">
        <v>65</v>
      </c>
      <c r="H108" s="121" t="s">
        <v>66</v>
      </c>
      <c r="I108" s="121" t="s">
        <v>67</v>
      </c>
      <c r="J108" s="121" t="s">
        <v>68</v>
      </c>
      <c r="K108" s="121" t="s">
        <v>69</v>
      </c>
      <c r="L108" s="121" t="s">
        <v>70</v>
      </c>
      <c r="M108" s="121" t="s">
        <v>71</v>
      </c>
      <c r="N108" s="122" t="s">
        <v>72</v>
      </c>
      <c r="O108" s="123" t="s">
        <v>73</v>
      </c>
      <c r="P108" s="124" t="s">
        <v>74</v>
      </c>
      <c r="Q108" s="124"/>
      <c r="R108" s="125" t="s">
        <v>75</v>
      </c>
      <c r="S108" s="126" t="s">
        <v>76</v>
      </c>
      <c r="T108" s="126" t="s">
        <v>77</v>
      </c>
      <c r="U108" s="127" t="s">
        <v>78</v>
      </c>
      <c r="V108" s="127" t="s">
        <v>79</v>
      </c>
      <c r="W108" s="128" t="s">
        <v>80</v>
      </c>
      <c r="X108" s="128" t="s">
        <v>81</v>
      </c>
      <c r="Y108" s="122" t="s">
        <v>82</v>
      </c>
      <c r="Z108" s="129" t="s">
        <v>83</v>
      </c>
      <c r="AA108" s="129" t="s">
        <v>84</v>
      </c>
      <c r="AB108" s="129" t="s">
        <v>85</v>
      </c>
      <c r="AC108" s="130"/>
      <c r="AD108" s="131" t="s">
        <v>86</v>
      </c>
      <c r="AE108" s="132" t="s">
        <v>87</v>
      </c>
      <c r="AF108" s="133" t="s">
        <v>88</v>
      </c>
      <c r="AG108" s="133" t="s">
        <v>89</v>
      </c>
      <c r="AH108" s="133" t="s">
        <v>90</v>
      </c>
      <c r="AI108" s="134" t="s">
        <v>91</v>
      </c>
      <c r="AJ108" s="135" t="s">
        <v>92</v>
      </c>
      <c r="AL108" s="120" t="s">
        <v>93</v>
      </c>
      <c r="AM108" s="120" t="s">
        <v>74</v>
      </c>
      <c r="AN108" s="120" t="s">
        <v>94</v>
      </c>
      <c r="AO108" s="126" t="s">
        <v>95</v>
      </c>
      <c r="AP108" s="126" t="s">
        <v>96</v>
      </c>
      <c r="AQ108" s="128" t="s">
        <v>97</v>
      </c>
      <c r="AS108" s="120" t="s">
        <v>93</v>
      </c>
      <c r="AT108" s="120" t="s">
        <v>74</v>
      </c>
      <c r="AU108" s="120" t="s">
        <v>94</v>
      </c>
      <c r="AV108" s="126" t="s">
        <v>95</v>
      </c>
      <c r="AW108" s="126" t="s">
        <v>96</v>
      </c>
      <c r="AX108" s="128" t="s">
        <v>97</v>
      </c>
      <c r="AZ108" s="120" t="s">
        <v>93</v>
      </c>
      <c r="BA108" s="120" t="s">
        <v>74</v>
      </c>
      <c r="BB108" s="120" t="s">
        <v>94</v>
      </c>
      <c r="BC108" s="126" t="s">
        <v>95</v>
      </c>
      <c r="BD108" s="126" t="s">
        <v>96</v>
      </c>
      <c r="BE108" s="128" t="s">
        <v>97</v>
      </c>
      <c r="BG108" s="120" t="s">
        <v>93</v>
      </c>
      <c r="BH108" s="120" t="s">
        <v>74</v>
      </c>
      <c r="BI108" s="120" t="s">
        <v>94</v>
      </c>
      <c r="BJ108" s="126" t="s">
        <v>95</v>
      </c>
      <c r="BK108" s="126" t="s">
        <v>96</v>
      </c>
      <c r="BL108" s="128" t="s">
        <v>97</v>
      </c>
      <c r="BN108" s="120" t="s">
        <v>93</v>
      </c>
      <c r="BO108" s="120" t="s">
        <v>74</v>
      </c>
      <c r="BP108" s="120" t="s">
        <v>94</v>
      </c>
      <c r="BQ108" s="126" t="s">
        <v>95</v>
      </c>
      <c r="BR108" s="126" t="s">
        <v>96</v>
      </c>
      <c r="BS108" s="128" t="s">
        <v>97</v>
      </c>
      <c r="BU108" s="120" t="s">
        <v>93</v>
      </c>
      <c r="BV108" s="120" t="s">
        <v>74</v>
      </c>
      <c r="BW108" s="120" t="s">
        <v>94</v>
      </c>
      <c r="BX108" s="126" t="s">
        <v>95</v>
      </c>
      <c r="BY108" s="126" t="s">
        <v>96</v>
      </c>
      <c r="BZ108" s="128" t="s">
        <v>97</v>
      </c>
      <c r="FA108" s="136" t="s">
        <v>26</v>
      </c>
    </row>
    <row r="109" spans="1:206" ht="18" x14ac:dyDescent="0.25">
      <c r="A109" s="137">
        <v>6</v>
      </c>
      <c r="B109" s="138" t="s">
        <v>98</v>
      </c>
      <c r="C109" s="139"/>
      <c r="D109" s="140" t="s">
        <v>99</v>
      </c>
      <c r="E109" s="141" t="s">
        <v>100</v>
      </c>
      <c r="F109" s="142" t="s">
        <v>101</v>
      </c>
      <c r="G109" s="143"/>
      <c r="H109" s="144"/>
      <c r="I109" s="144"/>
      <c r="J109" s="144"/>
      <c r="K109" s="144"/>
      <c r="L109" s="144"/>
      <c r="M109" s="137">
        <f>A109/0.85</f>
        <v>7.0588235294117645</v>
      </c>
      <c r="N109" s="145" t="s">
        <v>9</v>
      </c>
      <c r="O109" s="146">
        <f>IFERROR(AVERAGEIF(H109:M109,"&gt;0"),0)</f>
        <v>7.0588235294117645</v>
      </c>
      <c r="P109" s="147" t="str">
        <f t="shared" ref="P109:P172" si="0">N109</f>
        <v>pç</v>
      </c>
      <c r="Q109" s="147" t="str">
        <f t="shared" ref="Q109:Q172" si="1">IF(P109=$W$9,"","/ dia")</f>
        <v>/ dia</v>
      </c>
      <c r="R109" s="148">
        <v>3</v>
      </c>
      <c r="S109" s="149">
        <v>2</v>
      </c>
      <c r="T109" s="149">
        <f t="shared" ref="T109:T172" si="2">R109-S109</f>
        <v>1</v>
      </c>
      <c r="U109" s="149">
        <f t="shared" ref="U109:U172" si="3">IFERROR(G109/FN109,0)</f>
        <v>0</v>
      </c>
      <c r="V109" s="149">
        <f>U109*R109*$P$101</f>
        <v>0</v>
      </c>
      <c r="W109" s="140" t="s">
        <v>18</v>
      </c>
      <c r="X109" s="150" t="s">
        <v>18</v>
      </c>
      <c r="Y109" s="151">
        <f>(V109*(1+FO109+FP109)/$O$102)*$O$104</f>
        <v>0</v>
      </c>
      <c r="Z109" s="152">
        <f t="shared" ref="Z109:Z172" si="4">S109/R109</f>
        <v>0.66666666666666663</v>
      </c>
      <c r="AA109" s="153">
        <f>Y109*Z109</f>
        <v>0</v>
      </c>
      <c r="AB109" s="153">
        <f>Y109-AA109</f>
        <v>0</v>
      </c>
      <c r="AC109" s="154"/>
      <c r="AD109" s="155">
        <f t="shared" ref="AD109:AD173" si="5">G109</f>
        <v>0</v>
      </c>
      <c r="AE109" s="156">
        <f>IFERROR(Y109*(1-$AE$107),"")</f>
        <v>0</v>
      </c>
      <c r="AF109" s="157">
        <f t="shared" ref="AF109:AF172" si="6">$AL109+$AS109+$AZ109+$BG109+$BN109+$BU109</f>
        <v>0</v>
      </c>
      <c r="AG109" s="158" t="str">
        <f t="shared" ref="AG109:AG172" si="7">P109</f>
        <v>pç</v>
      </c>
      <c r="AH109" s="158">
        <f>SUM($CC109:$CH109)</f>
        <v>0</v>
      </c>
      <c r="AI109" s="159">
        <f>IFERROR(AVERAGEIF(CJ109:CO109,"&gt;0,5"),0)</f>
        <v>0</v>
      </c>
      <c r="AJ109" s="160">
        <f>IFERROR(AVERAGEIF(CQ109:CV109,"&gt;0,5"),0)</f>
        <v>0</v>
      </c>
      <c r="AL109" s="143"/>
      <c r="AM109" s="147" t="str">
        <f>$AG109</f>
        <v>pç</v>
      </c>
      <c r="AN109" s="161"/>
      <c r="AO109" s="162"/>
      <c r="AP109" s="162"/>
      <c r="AQ109" s="140" t="s">
        <v>18</v>
      </c>
      <c r="AS109" s="143"/>
      <c r="AT109" s="147" t="str">
        <f>$AG109</f>
        <v>pç</v>
      </c>
      <c r="AU109" s="161"/>
      <c r="AV109" s="162"/>
      <c r="AW109" s="162"/>
      <c r="AX109" s="140" t="s">
        <v>18</v>
      </c>
      <c r="AZ109" s="143"/>
      <c r="BA109" s="147" t="str">
        <f>$AG109</f>
        <v>pç</v>
      </c>
      <c r="BB109" s="161"/>
      <c r="BC109" s="162"/>
      <c r="BD109" s="162"/>
      <c r="BE109" s="140" t="s">
        <v>18</v>
      </c>
      <c r="BG109" s="143"/>
      <c r="BH109" s="147" t="str">
        <f>$AG109</f>
        <v>pç</v>
      </c>
      <c r="BI109" s="161"/>
      <c r="BJ109" s="162"/>
      <c r="BK109" s="162"/>
      <c r="BL109" s="140" t="s">
        <v>18</v>
      </c>
      <c r="BN109" s="143"/>
      <c r="BO109" s="147" t="str">
        <f>$AG109</f>
        <v>pç</v>
      </c>
      <c r="BP109" s="161"/>
      <c r="BQ109" s="162"/>
      <c r="BR109" s="162"/>
      <c r="BS109" s="140" t="s">
        <v>18</v>
      </c>
      <c r="BU109" s="143"/>
      <c r="BV109" s="147" t="str">
        <f>$AG109</f>
        <v>pç</v>
      </c>
      <c r="BW109" s="161"/>
      <c r="BX109" s="162"/>
      <c r="BY109" s="162"/>
      <c r="BZ109" s="140" t="s">
        <v>18</v>
      </c>
      <c r="CC109" s="163">
        <f>AN109</f>
        <v>0</v>
      </c>
      <c r="CD109" s="163">
        <f>AU109</f>
        <v>0</v>
      </c>
      <c r="CE109" s="163">
        <f>BB109</f>
        <v>0</v>
      </c>
      <c r="CF109" s="163">
        <f>BI109</f>
        <v>0</v>
      </c>
      <c r="CG109" s="163">
        <f>BP109</f>
        <v>0</v>
      </c>
      <c r="CH109" s="163">
        <f>BW109</f>
        <v>0</v>
      </c>
      <c r="CJ109" s="163">
        <f>AO109</f>
        <v>0</v>
      </c>
      <c r="CK109" s="163">
        <f>AV109</f>
        <v>0</v>
      </c>
      <c r="CL109" s="163">
        <f>BC109</f>
        <v>0</v>
      </c>
      <c r="CM109" s="163">
        <f>BJ109</f>
        <v>0</v>
      </c>
      <c r="CN109" s="163">
        <f>BQ109</f>
        <v>0</v>
      </c>
      <c r="CO109" s="163">
        <f>BX109</f>
        <v>0</v>
      </c>
      <c r="CP109" s="163"/>
      <c r="CQ109" s="163">
        <f>AP109</f>
        <v>0</v>
      </c>
      <c r="CR109" s="163">
        <f>AW109</f>
        <v>0</v>
      </c>
      <c r="CS109" s="163">
        <f>BD109</f>
        <v>0</v>
      </c>
      <c r="CT109" s="163">
        <f>BK109</f>
        <v>0</v>
      </c>
      <c r="CU109" s="163">
        <f>BR109</f>
        <v>0</v>
      </c>
      <c r="CV109" s="163">
        <f>BY109</f>
        <v>0</v>
      </c>
      <c r="CW109" s="163"/>
      <c r="CY109" s="164" t="s">
        <v>45</v>
      </c>
      <c r="FN109" s="165">
        <f t="shared" ref="FN109:FN172" si="8">IF(N109=$W$9,1,O109)</f>
        <v>7.0588235294117645</v>
      </c>
      <c r="FO109" s="166">
        <f>VLOOKUP(W109,$W$66:$Y$71,3,1)</f>
        <v>0</v>
      </c>
      <c r="FP109" s="166">
        <f>VLOOKUP(X109,$X$73:$Y$76,2,1)</f>
        <v>0</v>
      </c>
    </row>
    <row r="110" spans="1:206" s="181" customFormat="1" ht="18" x14ac:dyDescent="0.25">
      <c r="A110" s="167">
        <v>30</v>
      </c>
      <c r="B110" s="168" t="s">
        <v>98</v>
      </c>
      <c r="C110" s="169" t="s">
        <v>102</v>
      </c>
      <c r="D110" s="140" t="s">
        <v>99</v>
      </c>
      <c r="E110" s="170" t="s">
        <v>100</v>
      </c>
      <c r="F110" s="171" t="s">
        <v>103</v>
      </c>
      <c r="G110" s="143"/>
      <c r="H110" s="172"/>
      <c r="I110" s="172"/>
      <c r="J110" s="172"/>
      <c r="K110" s="172"/>
      <c r="L110" s="172"/>
      <c r="M110" s="137">
        <f t="shared" ref="M110:M173" si="9">A110/0.85</f>
        <v>35.294117647058826</v>
      </c>
      <c r="N110" s="173" t="s">
        <v>9</v>
      </c>
      <c r="O110" s="146">
        <f t="shared" ref="O110:O173" si="10">IFERROR(AVERAGEIF(H110:M110,"&gt;0"),0)</f>
        <v>35.294117647058826</v>
      </c>
      <c r="P110" s="174" t="str">
        <f t="shared" si="0"/>
        <v>pç</v>
      </c>
      <c r="Q110" s="175" t="str">
        <f t="shared" si="1"/>
        <v>/ dia</v>
      </c>
      <c r="R110" s="176">
        <v>1</v>
      </c>
      <c r="S110" s="177">
        <v>0</v>
      </c>
      <c r="T110" s="177">
        <f t="shared" si="2"/>
        <v>1</v>
      </c>
      <c r="U110" s="149">
        <f t="shared" si="3"/>
        <v>0</v>
      </c>
      <c r="V110" s="149">
        <f t="shared" ref="V110:V173" si="11">U110*R110*$P$101*$O$104</f>
        <v>0</v>
      </c>
      <c r="W110" s="140" t="s">
        <v>18</v>
      </c>
      <c r="X110" s="150" t="s">
        <v>18</v>
      </c>
      <c r="Y110" s="151">
        <f t="shared" ref="Y110:Y173" si="12">(V110*(1+FO110+FP110)/$O$102)</f>
        <v>0</v>
      </c>
      <c r="Z110" s="178">
        <f t="shared" si="4"/>
        <v>0</v>
      </c>
      <c r="AA110" s="179">
        <f t="shared" ref="AA110:AA173" si="13">Y110*Z110</f>
        <v>0</v>
      </c>
      <c r="AB110" s="179">
        <f t="shared" ref="AB110:AB173" si="14">Y110-AA110</f>
        <v>0</v>
      </c>
      <c r="AC110" s="180"/>
      <c r="AD110" s="155">
        <f t="shared" si="5"/>
        <v>0</v>
      </c>
      <c r="AE110" s="156">
        <f t="shared" ref="AE110:AE173" si="15">IFERROR(Y110*(1-$AE$107),"")</f>
        <v>0</v>
      </c>
      <c r="AF110" s="157">
        <f t="shared" si="6"/>
        <v>0</v>
      </c>
      <c r="AG110" s="158" t="str">
        <f t="shared" si="7"/>
        <v>pç</v>
      </c>
      <c r="AH110" s="158">
        <f t="shared" ref="AH110:AH173" si="16">SUM($CC110:$CH110)</f>
        <v>0</v>
      </c>
      <c r="AI110" s="159">
        <f t="shared" ref="AI110:AI173" si="17">IFERROR(AVERAGEIF(CJ110:CO110,"&gt;0,5"),0)</f>
        <v>0</v>
      </c>
      <c r="AJ110" s="160">
        <f t="shared" ref="AJ110:AJ173" si="18">IFERROR(AVERAGEIF(CQ110:CV110,"&gt;0,5"),0)</f>
        <v>0</v>
      </c>
      <c r="AL110" s="143"/>
      <c r="AM110" s="147" t="str">
        <f t="shared" ref="AM110:AM173" si="19">$AG110</f>
        <v>pç</v>
      </c>
      <c r="AN110" s="161"/>
      <c r="AO110" s="182"/>
      <c r="AP110" s="182"/>
      <c r="AQ110" s="183" t="s">
        <v>18</v>
      </c>
      <c r="AS110" s="143"/>
      <c r="AT110" s="147" t="str">
        <f t="shared" ref="AT110:AT173" si="20">$AG110</f>
        <v>pç</v>
      </c>
      <c r="AU110" s="161"/>
      <c r="AV110" s="182"/>
      <c r="AW110" s="182"/>
      <c r="AX110" s="183" t="s">
        <v>18</v>
      </c>
      <c r="AZ110" s="143"/>
      <c r="BA110" s="147" t="str">
        <f t="shared" ref="BA110:BA173" si="21">$AG110</f>
        <v>pç</v>
      </c>
      <c r="BB110" s="161"/>
      <c r="BC110" s="182"/>
      <c r="BD110" s="182"/>
      <c r="BE110" s="183" t="s">
        <v>18</v>
      </c>
      <c r="BF110" s="7"/>
      <c r="BG110" s="143"/>
      <c r="BH110" s="147" t="str">
        <f t="shared" ref="BH110:BH173" si="22">$AG110</f>
        <v>pç</v>
      </c>
      <c r="BI110" s="161"/>
      <c r="BJ110" s="182"/>
      <c r="BK110" s="182"/>
      <c r="BL110" s="183" t="s">
        <v>18</v>
      </c>
      <c r="BM110" s="7"/>
      <c r="BN110" s="143"/>
      <c r="BO110" s="147" t="str">
        <f t="shared" ref="BO110:BO173" si="23">$AG110</f>
        <v>pç</v>
      </c>
      <c r="BP110" s="161"/>
      <c r="BQ110" s="182"/>
      <c r="BR110" s="182"/>
      <c r="BS110" s="183" t="s">
        <v>18</v>
      </c>
      <c r="BT110" s="7"/>
      <c r="BU110" s="143"/>
      <c r="BV110" s="147" t="str">
        <f t="shared" ref="BV110:BV173" si="24">$AG110</f>
        <v>pç</v>
      </c>
      <c r="BW110" s="161"/>
      <c r="BX110" s="182"/>
      <c r="BY110" s="182"/>
      <c r="BZ110" s="183" t="s">
        <v>18</v>
      </c>
      <c r="CA110" s="7"/>
      <c r="CB110" s="7"/>
      <c r="CC110" s="163">
        <f t="shared" ref="CC110:CC173" si="25">AN110</f>
        <v>0</v>
      </c>
      <c r="CD110" s="163">
        <f t="shared" ref="CD110:CD173" si="26">AU110</f>
        <v>0</v>
      </c>
      <c r="CE110" s="163">
        <f t="shared" ref="CE110:CE173" si="27">BB110</f>
        <v>0</v>
      </c>
      <c r="CF110" s="163">
        <f t="shared" ref="CF110:CF173" si="28">BI110</f>
        <v>0</v>
      </c>
      <c r="CG110" s="163">
        <f t="shared" ref="CG110:CG173" si="29">BP110</f>
        <v>0</v>
      </c>
      <c r="CH110" s="163">
        <f t="shared" ref="CH110:CH173" si="30">BW110</f>
        <v>0</v>
      </c>
      <c r="CI110" s="7"/>
      <c r="CJ110" s="163">
        <f t="shared" ref="CJ110:CJ173" si="31">AO110</f>
        <v>0</v>
      </c>
      <c r="CK110" s="163">
        <f t="shared" ref="CK110:CK173" si="32">AV110</f>
        <v>0</v>
      </c>
      <c r="CL110" s="163">
        <f t="shared" ref="CL110:CL173" si="33">BC110</f>
        <v>0</v>
      </c>
      <c r="CM110" s="163">
        <f t="shared" ref="CM110:CM173" si="34">BJ110</f>
        <v>0</v>
      </c>
      <c r="CN110" s="163">
        <f t="shared" ref="CN110:CN173" si="35">BQ110</f>
        <v>0</v>
      </c>
      <c r="CO110" s="163">
        <f t="shared" ref="CO110:CO173" si="36">BX110</f>
        <v>0</v>
      </c>
      <c r="CP110" s="163"/>
      <c r="CQ110" s="163">
        <f t="shared" ref="CQ110:CQ173" si="37">AP110</f>
        <v>0</v>
      </c>
      <c r="CR110" s="163">
        <f t="shared" ref="CR110:CR173" si="38">AW110</f>
        <v>0</v>
      </c>
      <c r="CS110" s="163">
        <f t="shared" ref="CS110:CS173" si="39">BD110</f>
        <v>0</v>
      </c>
      <c r="CT110" s="163">
        <f t="shared" ref="CT110:CT173" si="40">BK110</f>
        <v>0</v>
      </c>
      <c r="CU110" s="163">
        <f t="shared" ref="CU110:CU173" si="41">BR110</f>
        <v>0</v>
      </c>
      <c r="CV110" s="163">
        <f t="shared" ref="CV110:CV173" si="42">BY110</f>
        <v>0</v>
      </c>
      <c r="CY110" s="164" t="s">
        <v>45</v>
      </c>
      <c r="FN110" s="165">
        <f t="shared" si="8"/>
        <v>35.294117647058826</v>
      </c>
      <c r="FO110" s="166">
        <f t="shared" ref="FO110:FO173" si="43">VLOOKUP(W110,$W$66:$Y$71,3,1)</f>
        <v>0</v>
      </c>
      <c r="FP110" s="166">
        <f t="shared" ref="FP110:FP173" si="44">VLOOKUP(X110,$X$73:$Y$76,2,1)</f>
        <v>0</v>
      </c>
      <c r="FQ110" s="7"/>
      <c r="FR110" s="7"/>
      <c r="FS110" s="7"/>
      <c r="FT110" s="7"/>
      <c r="FU110" s="7"/>
      <c r="FV110" s="7"/>
    </row>
    <row r="111" spans="1:206" s="181" customFormat="1" ht="18" x14ac:dyDescent="0.25">
      <c r="A111" s="137">
        <v>50</v>
      </c>
      <c r="B111" s="138" t="s">
        <v>104</v>
      </c>
      <c r="C111" s="139"/>
      <c r="D111" s="140" t="s">
        <v>99</v>
      </c>
      <c r="E111" s="141" t="s">
        <v>105</v>
      </c>
      <c r="F111" s="142" t="s">
        <v>106</v>
      </c>
      <c r="G111" s="143"/>
      <c r="H111" s="144"/>
      <c r="I111" s="144"/>
      <c r="J111" s="144"/>
      <c r="K111" s="144"/>
      <c r="L111" s="144"/>
      <c r="M111" s="137">
        <f t="shared" si="9"/>
        <v>58.82352941176471</v>
      </c>
      <c r="N111" s="145" t="s">
        <v>8</v>
      </c>
      <c r="O111" s="184">
        <f t="shared" si="10"/>
        <v>58.82352941176471</v>
      </c>
      <c r="P111" s="147" t="str">
        <f t="shared" si="0"/>
        <v>mt</v>
      </c>
      <c r="Q111" s="147" t="str">
        <f t="shared" si="1"/>
        <v>/ dia</v>
      </c>
      <c r="R111" s="148">
        <v>2</v>
      </c>
      <c r="S111" s="149">
        <v>1</v>
      </c>
      <c r="T111" s="149">
        <f t="shared" si="2"/>
        <v>1</v>
      </c>
      <c r="U111" s="149">
        <f t="shared" si="3"/>
        <v>0</v>
      </c>
      <c r="V111" s="149">
        <f t="shared" si="11"/>
        <v>0</v>
      </c>
      <c r="W111" s="140" t="s">
        <v>18</v>
      </c>
      <c r="X111" s="150" t="s">
        <v>18</v>
      </c>
      <c r="Y111" s="151">
        <f t="shared" si="12"/>
        <v>0</v>
      </c>
      <c r="Z111" s="152">
        <f t="shared" si="4"/>
        <v>0.5</v>
      </c>
      <c r="AA111" s="153">
        <f t="shared" si="13"/>
        <v>0</v>
      </c>
      <c r="AB111" s="153">
        <f t="shared" si="14"/>
        <v>0</v>
      </c>
      <c r="AC111" s="154"/>
      <c r="AD111" s="155">
        <f t="shared" si="5"/>
        <v>0</v>
      </c>
      <c r="AE111" s="156">
        <f t="shared" si="15"/>
        <v>0</v>
      </c>
      <c r="AF111" s="157">
        <f t="shared" si="6"/>
        <v>0</v>
      </c>
      <c r="AG111" s="158" t="str">
        <f t="shared" si="7"/>
        <v>mt</v>
      </c>
      <c r="AH111" s="158">
        <f t="shared" si="16"/>
        <v>0</v>
      </c>
      <c r="AI111" s="159">
        <f t="shared" si="17"/>
        <v>0</v>
      </c>
      <c r="AJ111" s="160">
        <f t="shared" si="18"/>
        <v>0</v>
      </c>
      <c r="AL111" s="143"/>
      <c r="AM111" s="147" t="str">
        <f t="shared" si="19"/>
        <v>mt</v>
      </c>
      <c r="AN111" s="161"/>
      <c r="AO111" s="162"/>
      <c r="AP111" s="162"/>
      <c r="AQ111" s="140" t="s">
        <v>18</v>
      </c>
      <c r="AS111" s="143"/>
      <c r="AT111" s="147" t="str">
        <f t="shared" si="20"/>
        <v>mt</v>
      </c>
      <c r="AU111" s="161"/>
      <c r="AV111" s="162"/>
      <c r="AW111" s="162"/>
      <c r="AX111" s="140" t="s">
        <v>18</v>
      </c>
      <c r="AZ111" s="143"/>
      <c r="BA111" s="147" t="str">
        <f t="shared" si="21"/>
        <v>mt</v>
      </c>
      <c r="BB111" s="161"/>
      <c r="BC111" s="162"/>
      <c r="BD111" s="162"/>
      <c r="BE111" s="140" t="s">
        <v>18</v>
      </c>
      <c r="BF111" s="7"/>
      <c r="BG111" s="143"/>
      <c r="BH111" s="147" t="str">
        <f t="shared" si="22"/>
        <v>mt</v>
      </c>
      <c r="BI111" s="161"/>
      <c r="BJ111" s="162"/>
      <c r="BK111" s="162"/>
      <c r="BL111" s="140" t="s">
        <v>18</v>
      </c>
      <c r="BM111" s="7"/>
      <c r="BN111" s="143"/>
      <c r="BO111" s="147" t="str">
        <f t="shared" si="23"/>
        <v>mt</v>
      </c>
      <c r="BP111" s="161"/>
      <c r="BQ111" s="162"/>
      <c r="BR111" s="162"/>
      <c r="BS111" s="140" t="s">
        <v>18</v>
      </c>
      <c r="BT111" s="7"/>
      <c r="BU111" s="143"/>
      <c r="BV111" s="147" t="str">
        <f t="shared" si="24"/>
        <v>mt</v>
      </c>
      <c r="BW111" s="161"/>
      <c r="BX111" s="162"/>
      <c r="BY111" s="162"/>
      <c r="BZ111" s="140" t="s">
        <v>18</v>
      </c>
      <c r="CA111" s="7"/>
      <c r="CB111" s="7"/>
      <c r="CC111" s="163">
        <f t="shared" si="25"/>
        <v>0</v>
      </c>
      <c r="CD111" s="163">
        <f t="shared" si="26"/>
        <v>0</v>
      </c>
      <c r="CE111" s="163">
        <f t="shared" si="27"/>
        <v>0</v>
      </c>
      <c r="CF111" s="163">
        <f t="shared" si="28"/>
        <v>0</v>
      </c>
      <c r="CG111" s="163">
        <f t="shared" si="29"/>
        <v>0</v>
      </c>
      <c r="CH111" s="163">
        <f t="shared" si="30"/>
        <v>0</v>
      </c>
      <c r="CI111" s="7"/>
      <c r="CJ111" s="163">
        <f t="shared" si="31"/>
        <v>0</v>
      </c>
      <c r="CK111" s="163">
        <f t="shared" si="32"/>
        <v>0</v>
      </c>
      <c r="CL111" s="163">
        <f t="shared" si="33"/>
        <v>0</v>
      </c>
      <c r="CM111" s="163">
        <f t="shared" si="34"/>
        <v>0</v>
      </c>
      <c r="CN111" s="163">
        <f t="shared" si="35"/>
        <v>0</v>
      </c>
      <c r="CO111" s="163">
        <f t="shared" si="36"/>
        <v>0</v>
      </c>
      <c r="CP111" s="163"/>
      <c r="CQ111" s="163">
        <f t="shared" si="37"/>
        <v>0</v>
      </c>
      <c r="CR111" s="163">
        <f t="shared" si="38"/>
        <v>0</v>
      </c>
      <c r="CS111" s="163">
        <f t="shared" si="39"/>
        <v>0</v>
      </c>
      <c r="CT111" s="163">
        <f t="shared" si="40"/>
        <v>0</v>
      </c>
      <c r="CU111" s="163">
        <f t="shared" si="41"/>
        <v>0</v>
      </c>
      <c r="CV111" s="163">
        <f t="shared" si="42"/>
        <v>0</v>
      </c>
      <c r="CY111" s="164" t="s">
        <v>45</v>
      </c>
      <c r="FN111" s="165">
        <f t="shared" si="8"/>
        <v>58.82352941176471</v>
      </c>
      <c r="FO111" s="166">
        <f t="shared" si="43"/>
        <v>0</v>
      </c>
      <c r="FP111" s="166">
        <f t="shared" si="44"/>
        <v>0</v>
      </c>
      <c r="FQ111" s="7"/>
      <c r="FR111" s="7"/>
      <c r="FS111" s="7"/>
      <c r="FT111" s="7"/>
      <c r="FU111" s="7"/>
      <c r="FV111" s="7"/>
    </row>
    <row r="112" spans="1:206" s="181" customFormat="1" ht="18" x14ac:dyDescent="0.25">
      <c r="A112" s="167">
        <v>50</v>
      </c>
      <c r="B112" s="168" t="s">
        <v>104</v>
      </c>
      <c r="C112" s="169"/>
      <c r="D112" s="140" t="s">
        <v>99</v>
      </c>
      <c r="E112" s="170" t="s">
        <v>105</v>
      </c>
      <c r="F112" s="171" t="s">
        <v>107</v>
      </c>
      <c r="G112" s="143"/>
      <c r="H112" s="172"/>
      <c r="I112" s="172"/>
      <c r="J112" s="172"/>
      <c r="K112" s="172"/>
      <c r="L112" s="172"/>
      <c r="M112" s="137">
        <f t="shared" si="9"/>
        <v>58.82352941176471</v>
      </c>
      <c r="N112" s="173" t="s">
        <v>8</v>
      </c>
      <c r="O112" s="146">
        <f t="shared" si="10"/>
        <v>58.82352941176471</v>
      </c>
      <c r="P112" s="174" t="str">
        <f t="shared" si="0"/>
        <v>mt</v>
      </c>
      <c r="Q112" s="175" t="str">
        <f t="shared" si="1"/>
        <v>/ dia</v>
      </c>
      <c r="R112" s="176">
        <v>2</v>
      </c>
      <c r="S112" s="177">
        <v>1</v>
      </c>
      <c r="T112" s="177">
        <f t="shared" si="2"/>
        <v>1</v>
      </c>
      <c r="U112" s="149">
        <f t="shared" si="3"/>
        <v>0</v>
      </c>
      <c r="V112" s="149">
        <f t="shared" si="11"/>
        <v>0</v>
      </c>
      <c r="W112" s="140" t="s">
        <v>18</v>
      </c>
      <c r="X112" s="150" t="s">
        <v>18</v>
      </c>
      <c r="Y112" s="151">
        <f t="shared" si="12"/>
        <v>0</v>
      </c>
      <c r="Z112" s="178">
        <f t="shared" si="4"/>
        <v>0.5</v>
      </c>
      <c r="AA112" s="179">
        <f t="shared" si="13"/>
        <v>0</v>
      </c>
      <c r="AB112" s="179">
        <f t="shared" si="14"/>
        <v>0</v>
      </c>
      <c r="AC112" s="180"/>
      <c r="AD112" s="155">
        <f t="shared" si="5"/>
        <v>0</v>
      </c>
      <c r="AE112" s="156">
        <f t="shared" si="15"/>
        <v>0</v>
      </c>
      <c r="AF112" s="157">
        <f t="shared" si="6"/>
        <v>0</v>
      </c>
      <c r="AG112" s="158" t="str">
        <f t="shared" si="7"/>
        <v>mt</v>
      </c>
      <c r="AH112" s="158">
        <f t="shared" si="16"/>
        <v>0</v>
      </c>
      <c r="AI112" s="159">
        <f t="shared" si="17"/>
        <v>0</v>
      </c>
      <c r="AJ112" s="160">
        <f t="shared" si="18"/>
        <v>0</v>
      </c>
      <c r="AL112" s="143"/>
      <c r="AM112" s="147" t="str">
        <f t="shared" si="19"/>
        <v>mt</v>
      </c>
      <c r="AN112" s="161"/>
      <c r="AO112" s="182"/>
      <c r="AP112" s="182"/>
      <c r="AQ112" s="183" t="s">
        <v>18</v>
      </c>
      <c r="AS112" s="143"/>
      <c r="AT112" s="147" t="str">
        <f t="shared" si="20"/>
        <v>mt</v>
      </c>
      <c r="AU112" s="161"/>
      <c r="AV112" s="182"/>
      <c r="AW112" s="182"/>
      <c r="AX112" s="183" t="s">
        <v>18</v>
      </c>
      <c r="AZ112" s="143"/>
      <c r="BA112" s="147" t="str">
        <f t="shared" si="21"/>
        <v>mt</v>
      </c>
      <c r="BB112" s="161"/>
      <c r="BC112" s="182"/>
      <c r="BD112" s="182"/>
      <c r="BE112" s="183" t="s">
        <v>18</v>
      </c>
      <c r="BF112" s="7"/>
      <c r="BG112" s="143"/>
      <c r="BH112" s="147" t="str">
        <f t="shared" si="22"/>
        <v>mt</v>
      </c>
      <c r="BI112" s="161"/>
      <c r="BJ112" s="182"/>
      <c r="BK112" s="182"/>
      <c r="BL112" s="183" t="s">
        <v>18</v>
      </c>
      <c r="BM112" s="7"/>
      <c r="BN112" s="143"/>
      <c r="BO112" s="147" t="str">
        <f t="shared" si="23"/>
        <v>mt</v>
      </c>
      <c r="BP112" s="161"/>
      <c r="BQ112" s="182"/>
      <c r="BR112" s="182"/>
      <c r="BS112" s="183" t="s">
        <v>18</v>
      </c>
      <c r="BT112" s="7"/>
      <c r="BU112" s="143"/>
      <c r="BV112" s="147" t="str">
        <f t="shared" si="24"/>
        <v>mt</v>
      </c>
      <c r="BW112" s="161"/>
      <c r="BX112" s="182"/>
      <c r="BY112" s="182"/>
      <c r="BZ112" s="183" t="s">
        <v>18</v>
      </c>
      <c r="CA112" s="7"/>
      <c r="CB112" s="7"/>
      <c r="CC112" s="163">
        <f t="shared" si="25"/>
        <v>0</v>
      </c>
      <c r="CD112" s="163">
        <f t="shared" si="26"/>
        <v>0</v>
      </c>
      <c r="CE112" s="163">
        <f t="shared" si="27"/>
        <v>0</v>
      </c>
      <c r="CF112" s="163">
        <f t="shared" si="28"/>
        <v>0</v>
      </c>
      <c r="CG112" s="163">
        <f t="shared" si="29"/>
        <v>0</v>
      </c>
      <c r="CH112" s="163">
        <f t="shared" si="30"/>
        <v>0</v>
      </c>
      <c r="CI112" s="7"/>
      <c r="CJ112" s="163">
        <f t="shared" si="31"/>
        <v>0</v>
      </c>
      <c r="CK112" s="163">
        <f t="shared" si="32"/>
        <v>0</v>
      </c>
      <c r="CL112" s="163">
        <f t="shared" si="33"/>
        <v>0</v>
      </c>
      <c r="CM112" s="163">
        <f t="shared" si="34"/>
        <v>0</v>
      </c>
      <c r="CN112" s="163">
        <f t="shared" si="35"/>
        <v>0</v>
      </c>
      <c r="CO112" s="163">
        <f t="shared" si="36"/>
        <v>0</v>
      </c>
      <c r="CP112" s="163"/>
      <c r="CQ112" s="163">
        <f t="shared" si="37"/>
        <v>0</v>
      </c>
      <c r="CR112" s="163">
        <f t="shared" si="38"/>
        <v>0</v>
      </c>
      <c r="CS112" s="163">
        <f t="shared" si="39"/>
        <v>0</v>
      </c>
      <c r="CT112" s="163">
        <f t="shared" si="40"/>
        <v>0</v>
      </c>
      <c r="CU112" s="163">
        <f t="shared" si="41"/>
        <v>0</v>
      </c>
      <c r="CV112" s="163">
        <f t="shared" si="42"/>
        <v>0</v>
      </c>
      <c r="CY112" s="164" t="s">
        <v>45</v>
      </c>
      <c r="FN112" s="165">
        <f t="shared" si="8"/>
        <v>58.82352941176471</v>
      </c>
      <c r="FO112" s="166">
        <f t="shared" si="43"/>
        <v>0</v>
      </c>
      <c r="FP112" s="166">
        <f t="shared" si="44"/>
        <v>0</v>
      </c>
      <c r="FQ112" s="7"/>
      <c r="FR112" s="7"/>
      <c r="FS112" s="7"/>
      <c r="FT112" s="7"/>
      <c r="FU112" s="7"/>
      <c r="FV112" s="7"/>
    </row>
    <row r="113" spans="1:178" s="181" customFormat="1" ht="18" x14ac:dyDescent="0.25">
      <c r="A113" s="137">
        <v>50</v>
      </c>
      <c r="B113" s="138" t="s">
        <v>104</v>
      </c>
      <c r="C113" s="139"/>
      <c r="D113" s="140" t="s">
        <v>99</v>
      </c>
      <c r="E113" s="141" t="s">
        <v>105</v>
      </c>
      <c r="F113" s="142" t="s">
        <v>108</v>
      </c>
      <c r="G113" s="143"/>
      <c r="H113" s="144"/>
      <c r="I113" s="144"/>
      <c r="J113" s="144"/>
      <c r="K113" s="144"/>
      <c r="L113" s="144"/>
      <c r="M113" s="137">
        <f t="shared" si="9"/>
        <v>58.82352941176471</v>
      </c>
      <c r="N113" s="145" t="s">
        <v>8</v>
      </c>
      <c r="O113" s="184">
        <f t="shared" si="10"/>
        <v>58.82352941176471</v>
      </c>
      <c r="P113" s="147" t="str">
        <f t="shared" si="0"/>
        <v>mt</v>
      </c>
      <c r="Q113" s="147" t="str">
        <f t="shared" si="1"/>
        <v>/ dia</v>
      </c>
      <c r="R113" s="148">
        <v>2</v>
      </c>
      <c r="S113" s="149">
        <v>1</v>
      </c>
      <c r="T113" s="149">
        <f t="shared" si="2"/>
        <v>1</v>
      </c>
      <c r="U113" s="149">
        <f t="shared" si="3"/>
        <v>0</v>
      </c>
      <c r="V113" s="149">
        <f t="shared" si="11"/>
        <v>0</v>
      </c>
      <c r="W113" s="140" t="s">
        <v>18</v>
      </c>
      <c r="X113" s="150" t="s">
        <v>18</v>
      </c>
      <c r="Y113" s="151">
        <f t="shared" si="12"/>
        <v>0</v>
      </c>
      <c r="Z113" s="152">
        <f t="shared" si="4"/>
        <v>0.5</v>
      </c>
      <c r="AA113" s="153">
        <f t="shared" si="13"/>
        <v>0</v>
      </c>
      <c r="AB113" s="153">
        <f t="shared" si="14"/>
        <v>0</v>
      </c>
      <c r="AC113" s="154"/>
      <c r="AD113" s="155">
        <f t="shared" si="5"/>
        <v>0</v>
      </c>
      <c r="AE113" s="156">
        <f t="shared" si="15"/>
        <v>0</v>
      </c>
      <c r="AF113" s="157">
        <f t="shared" si="6"/>
        <v>0</v>
      </c>
      <c r="AG113" s="158" t="str">
        <f t="shared" si="7"/>
        <v>mt</v>
      </c>
      <c r="AH113" s="158">
        <f t="shared" si="16"/>
        <v>0</v>
      </c>
      <c r="AI113" s="159">
        <f t="shared" si="17"/>
        <v>0</v>
      </c>
      <c r="AJ113" s="160">
        <f t="shared" si="18"/>
        <v>0</v>
      </c>
      <c r="AL113" s="143"/>
      <c r="AM113" s="147" t="str">
        <f t="shared" si="19"/>
        <v>mt</v>
      </c>
      <c r="AN113" s="161"/>
      <c r="AO113" s="162"/>
      <c r="AP113" s="162"/>
      <c r="AQ113" s="140" t="s">
        <v>18</v>
      </c>
      <c r="AS113" s="143"/>
      <c r="AT113" s="147" t="str">
        <f t="shared" si="20"/>
        <v>mt</v>
      </c>
      <c r="AU113" s="161"/>
      <c r="AV113" s="162"/>
      <c r="AW113" s="162"/>
      <c r="AX113" s="140" t="s">
        <v>18</v>
      </c>
      <c r="AZ113" s="143"/>
      <c r="BA113" s="147" t="str">
        <f t="shared" si="21"/>
        <v>mt</v>
      </c>
      <c r="BB113" s="161"/>
      <c r="BC113" s="162"/>
      <c r="BD113" s="162"/>
      <c r="BE113" s="140" t="s">
        <v>18</v>
      </c>
      <c r="BF113" s="7"/>
      <c r="BG113" s="143"/>
      <c r="BH113" s="147" t="str">
        <f t="shared" si="22"/>
        <v>mt</v>
      </c>
      <c r="BI113" s="161"/>
      <c r="BJ113" s="162"/>
      <c r="BK113" s="162"/>
      <c r="BL113" s="140" t="s">
        <v>18</v>
      </c>
      <c r="BM113" s="7"/>
      <c r="BN113" s="143"/>
      <c r="BO113" s="147" t="str">
        <f t="shared" si="23"/>
        <v>mt</v>
      </c>
      <c r="BP113" s="161"/>
      <c r="BQ113" s="162"/>
      <c r="BR113" s="162"/>
      <c r="BS113" s="140" t="s">
        <v>18</v>
      </c>
      <c r="BT113" s="7"/>
      <c r="BU113" s="143"/>
      <c r="BV113" s="147" t="str">
        <f t="shared" si="24"/>
        <v>mt</v>
      </c>
      <c r="BW113" s="161"/>
      <c r="BX113" s="162"/>
      <c r="BY113" s="162"/>
      <c r="BZ113" s="140" t="s">
        <v>18</v>
      </c>
      <c r="CA113" s="7"/>
      <c r="CB113" s="7"/>
      <c r="CC113" s="163">
        <f t="shared" si="25"/>
        <v>0</v>
      </c>
      <c r="CD113" s="163">
        <f t="shared" si="26"/>
        <v>0</v>
      </c>
      <c r="CE113" s="163">
        <f t="shared" si="27"/>
        <v>0</v>
      </c>
      <c r="CF113" s="163">
        <f t="shared" si="28"/>
        <v>0</v>
      </c>
      <c r="CG113" s="163">
        <f t="shared" si="29"/>
        <v>0</v>
      </c>
      <c r="CH113" s="163">
        <f t="shared" si="30"/>
        <v>0</v>
      </c>
      <c r="CI113" s="7"/>
      <c r="CJ113" s="163">
        <f t="shared" si="31"/>
        <v>0</v>
      </c>
      <c r="CK113" s="163">
        <f t="shared" si="32"/>
        <v>0</v>
      </c>
      <c r="CL113" s="163">
        <f t="shared" si="33"/>
        <v>0</v>
      </c>
      <c r="CM113" s="163">
        <f t="shared" si="34"/>
        <v>0</v>
      </c>
      <c r="CN113" s="163">
        <f t="shared" si="35"/>
        <v>0</v>
      </c>
      <c r="CO113" s="163">
        <f t="shared" si="36"/>
        <v>0</v>
      </c>
      <c r="CP113" s="163"/>
      <c r="CQ113" s="163">
        <f t="shared" si="37"/>
        <v>0</v>
      </c>
      <c r="CR113" s="163">
        <f t="shared" si="38"/>
        <v>0</v>
      </c>
      <c r="CS113" s="163">
        <f t="shared" si="39"/>
        <v>0</v>
      </c>
      <c r="CT113" s="163">
        <f t="shared" si="40"/>
        <v>0</v>
      </c>
      <c r="CU113" s="163">
        <f t="shared" si="41"/>
        <v>0</v>
      </c>
      <c r="CV113" s="163">
        <f t="shared" si="42"/>
        <v>0</v>
      </c>
      <c r="CY113" s="164" t="s">
        <v>45</v>
      </c>
      <c r="FN113" s="165">
        <f t="shared" si="8"/>
        <v>58.82352941176471</v>
      </c>
      <c r="FO113" s="166">
        <f t="shared" si="43"/>
        <v>0</v>
      </c>
      <c r="FP113" s="166">
        <f t="shared" si="44"/>
        <v>0</v>
      </c>
      <c r="FQ113" s="7"/>
      <c r="FR113" s="7"/>
      <c r="FS113" s="7"/>
      <c r="FT113" s="7"/>
      <c r="FU113" s="7"/>
      <c r="FV113" s="7"/>
    </row>
    <row r="114" spans="1:178" s="181" customFormat="1" ht="18" x14ac:dyDescent="0.25">
      <c r="A114" s="167">
        <v>50</v>
      </c>
      <c r="B114" s="168" t="s">
        <v>104</v>
      </c>
      <c r="C114" s="169"/>
      <c r="D114" s="140" t="s">
        <v>99</v>
      </c>
      <c r="E114" s="170" t="s">
        <v>105</v>
      </c>
      <c r="F114" s="171" t="s">
        <v>109</v>
      </c>
      <c r="G114" s="143"/>
      <c r="H114" s="172"/>
      <c r="I114" s="172"/>
      <c r="J114" s="172"/>
      <c r="K114" s="172"/>
      <c r="L114" s="172"/>
      <c r="M114" s="137">
        <f t="shared" si="9"/>
        <v>58.82352941176471</v>
      </c>
      <c r="N114" s="173" t="s">
        <v>8</v>
      </c>
      <c r="O114" s="146">
        <f t="shared" si="10"/>
        <v>58.82352941176471</v>
      </c>
      <c r="P114" s="174" t="str">
        <f t="shared" si="0"/>
        <v>mt</v>
      </c>
      <c r="Q114" s="175" t="str">
        <f t="shared" si="1"/>
        <v>/ dia</v>
      </c>
      <c r="R114" s="176">
        <v>2</v>
      </c>
      <c r="S114" s="177">
        <v>1</v>
      </c>
      <c r="T114" s="177">
        <f t="shared" si="2"/>
        <v>1</v>
      </c>
      <c r="U114" s="149">
        <f t="shared" si="3"/>
        <v>0</v>
      </c>
      <c r="V114" s="149">
        <f t="shared" si="11"/>
        <v>0</v>
      </c>
      <c r="W114" s="140" t="s">
        <v>18</v>
      </c>
      <c r="X114" s="150" t="s">
        <v>18</v>
      </c>
      <c r="Y114" s="151">
        <f t="shared" si="12"/>
        <v>0</v>
      </c>
      <c r="Z114" s="178">
        <f t="shared" si="4"/>
        <v>0.5</v>
      </c>
      <c r="AA114" s="179">
        <f t="shared" si="13"/>
        <v>0</v>
      </c>
      <c r="AB114" s="179">
        <f t="shared" si="14"/>
        <v>0</v>
      </c>
      <c r="AC114" s="180"/>
      <c r="AD114" s="155">
        <f t="shared" si="5"/>
        <v>0</v>
      </c>
      <c r="AE114" s="156">
        <f t="shared" si="15"/>
        <v>0</v>
      </c>
      <c r="AF114" s="157">
        <f t="shared" si="6"/>
        <v>0</v>
      </c>
      <c r="AG114" s="158" t="str">
        <f t="shared" si="7"/>
        <v>mt</v>
      </c>
      <c r="AH114" s="158">
        <f t="shared" si="16"/>
        <v>0</v>
      </c>
      <c r="AI114" s="159">
        <f t="shared" si="17"/>
        <v>0</v>
      </c>
      <c r="AJ114" s="160">
        <f t="shared" si="18"/>
        <v>0</v>
      </c>
      <c r="AL114" s="143"/>
      <c r="AM114" s="147" t="str">
        <f t="shared" si="19"/>
        <v>mt</v>
      </c>
      <c r="AN114" s="161"/>
      <c r="AO114" s="182"/>
      <c r="AP114" s="182"/>
      <c r="AQ114" s="183" t="s">
        <v>18</v>
      </c>
      <c r="AS114" s="143"/>
      <c r="AT114" s="147" t="str">
        <f t="shared" si="20"/>
        <v>mt</v>
      </c>
      <c r="AU114" s="161"/>
      <c r="AV114" s="182"/>
      <c r="AW114" s="182"/>
      <c r="AX114" s="183" t="s">
        <v>18</v>
      </c>
      <c r="AZ114" s="143"/>
      <c r="BA114" s="147" t="str">
        <f t="shared" si="21"/>
        <v>mt</v>
      </c>
      <c r="BB114" s="161"/>
      <c r="BC114" s="182"/>
      <c r="BD114" s="182"/>
      <c r="BE114" s="183" t="s">
        <v>18</v>
      </c>
      <c r="BF114" s="7"/>
      <c r="BG114" s="143"/>
      <c r="BH114" s="147" t="str">
        <f t="shared" si="22"/>
        <v>mt</v>
      </c>
      <c r="BI114" s="161"/>
      <c r="BJ114" s="182"/>
      <c r="BK114" s="182"/>
      <c r="BL114" s="183" t="s">
        <v>18</v>
      </c>
      <c r="BM114" s="7"/>
      <c r="BN114" s="143"/>
      <c r="BO114" s="147" t="str">
        <f t="shared" si="23"/>
        <v>mt</v>
      </c>
      <c r="BP114" s="161"/>
      <c r="BQ114" s="182"/>
      <c r="BR114" s="182"/>
      <c r="BS114" s="183" t="s">
        <v>18</v>
      </c>
      <c r="BT114" s="7"/>
      <c r="BU114" s="143"/>
      <c r="BV114" s="147" t="str">
        <f t="shared" si="24"/>
        <v>mt</v>
      </c>
      <c r="BW114" s="161"/>
      <c r="BX114" s="182"/>
      <c r="BY114" s="182"/>
      <c r="BZ114" s="183" t="s">
        <v>18</v>
      </c>
      <c r="CA114" s="7"/>
      <c r="CB114" s="7"/>
      <c r="CC114" s="163">
        <f t="shared" si="25"/>
        <v>0</v>
      </c>
      <c r="CD114" s="163">
        <f t="shared" si="26"/>
        <v>0</v>
      </c>
      <c r="CE114" s="163">
        <f t="shared" si="27"/>
        <v>0</v>
      </c>
      <c r="CF114" s="163">
        <f t="shared" si="28"/>
        <v>0</v>
      </c>
      <c r="CG114" s="163">
        <f t="shared" si="29"/>
        <v>0</v>
      </c>
      <c r="CH114" s="163">
        <f t="shared" si="30"/>
        <v>0</v>
      </c>
      <c r="CI114" s="7"/>
      <c r="CJ114" s="163">
        <f t="shared" si="31"/>
        <v>0</v>
      </c>
      <c r="CK114" s="163">
        <f t="shared" si="32"/>
        <v>0</v>
      </c>
      <c r="CL114" s="163">
        <f t="shared" si="33"/>
        <v>0</v>
      </c>
      <c r="CM114" s="163">
        <f t="shared" si="34"/>
        <v>0</v>
      </c>
      <c r="CN114" s="163">
        <f t="shared" si="35"/>
        <v>0</v>
      </c>
      <c r="CO114" s="163">
        <f t="shared" si="36"/>
        <v>0</v>
      </c>
      <c r="CP114" s="163"/>
      <c r="CQ114" s="163">
        <f t="shared" si="37"/>
        <v>0</v>
      </c>
      <c r="CR114" s="163">
        <f t="shared" si="38"/>
        <v>0</v>
      </c>
      <c r="CS114" s="163">
        <f t="shared" si="39"/>
        <v>0</v>
      </c>
      <c r="CT114" s="163">
        <f t="shared" si="40"/>
        <v>0</v>
      </c>
      <c r="CU114" s="163">
        <f t="shared" si="41"/>
        <v>0</v>
      </c>
      <c r="CV114" s="163">
        <f t="shared" si="42"/>
        <v>0</v>
      </c>
      <c r="CY114" s="164" t="s">
        <v>45</v>
      </c>
      <c r="FN114" s="165">
        <f t="shared" si="8"/>
        <v>58.82352941176471</v>
      </c>
      <c r="FO114" s="166">
        <f t="shared" si="43"/>
        <v>0</v>
      </c>
      <c r="FP114" s="166">
        <f t="shared" si="44"/>
        <v>0</v>
      </c>
      <c r="FQ114" s="7"/>
      <c r="FR114" s="7"/>
      <c r="FS114" s="7"/>
      <c r="FT114" s="7"/>
      <c r="FU114" s="7"/>
      <c r="FV114" s="7"/>
    </row>
    <row r="115" spans="1:178" s="181" customFormat="1" ht="18" x14ac:dyDescent="0.25">
      <c r="A115" s="137">
        <v>125</v>
      </c>
      <c r="B115" s="138" t="s">
        <v>110</v>
      </c>
      <c r="C115" s="139" t="s">
        <v>111</v>
      </c>
      <c r="D115" s="140" t="s">
        <v>99</v>
      </c>
      <c r="E115" s="141" t="s">
        <v>100</v>
      </c>
      <c r="F115" s="142" t="s">
        <v>112</v>
      </c>
      <c r="G115" s="143"/>
      <c r="H115" s="144"/>
      <c r="I115" s="144"/>
      <c r="J115" s="144"/>
      <c r="K115" s="144"/>
      <c r="L115" s="144"/>
      <c r="M115" s="137">
        <f t="shared" si="9"/>
        <v>147.05882352941177</v>
      </c>
      <c r="N115" s="145" t="s">
        <v>8</v>
      </c>
      <c r="O115" s="184">
        <f t="shared" si="10"/>
        <v>147.05882352941177</v>
      </c>
      <c r="P115" s="147" t="str">
        <f t="shared" si="0"/>
        <v>mt</v>
      </c>
      <c r="Q115" s="147" t="str">
        <f t="shared" si="1"/>
        <v>/ dia</v>
      </c>
      <c r="R115" s="148">
        <v>2</v>
      </c>
      <c r="S115" s="149">
        <v>1</v>
      </c>
      <c r="T115" s="149">
        <f t="shared" si="2"/>
        <v>1</v>
      </c>
      <c r="U115" s="149">
        <f t="shared" si="3"/>
        <v>0</v>
      </c>
      <c r="V115" s="149">
        <f t="shared" si="11"/>
        <v>0</v>
      </c>
      <c r="W115" s="140" t="s">
        <v>18</v>
      </c>
      <c r="X115" s="150" t="s">
        <v>18</v>
      </c>
      <c r="Y115" s="151">
        <f t="shared" si="12"/>
        <v>0</v>
      </c>
      <c r="Z115" s="152">
        <f t="shared" si="4"/>
        <v>0.5</v>
      </c>
      <c r="AA115" s="153">
        <f t="shared" si="13"/>
        <v>0</v>
      </c>
      <c r="AB115" s="153">
        <f t="shared" si="14"/>
        <v>0</v>
      </c>
      <c r="AC115" s="154"/>
      <c r="AD115" s="155">
        <f t="shared" si="5"/>
        <v>0</v>
      </c>
      <c r="AE115" s="156">
        <f t="shared" si="15"/>
        <v>0</v>
      </c>
      <c r="AF115" s="157">
        <f t="shared" si="6"/>
        <v>0</v>
      </c>
      <c r="AG115" s="158" t="str">
        <f t="shared" si="7"/>
        <v>mt</v>
      </c>
      <c r="AH115" s="158">
        <f t="shared" si="16"/>
        <v>0</v>
      </c>
      <c r="AI115" s="159">
        <f t="shared" si="17"/>
        <v>0</v>
      </c>
      <c r="AJ115" s="160">
        <f t="shared" si="18"/>
        <v>0</v>
      </c>
      <c r="AL115" s="143"/>
      <c r="AM115" s="147" t="str">
        <f t="shared" si="19"/>
        <v>mt</v>
      </c>
      <c r="AN115" s="161"/>
      <c r="AO115" s="162"/>
      <c r="AP115" s="162"/>
      <c r="AQ115" s="140" t="s">
        <v>18</v>
      </c>
      <c r="AS115" s="143"/>
      <c r="AT115" s="147" t="str">
        <f t="shared" si="20"/>
        <v>mt</v>
      </c>
      <c r="AU115" s="161"/>
      <c r="AV115" s="162"/>
      <c r="AW115" s="162"/>
      <c r="AX115" s="140" t="s">
        <v>18</v>
      </c>
      <c r="AZ115" s="143"/>
      <c r="BA115" s="147" t="str">
        <f t="shared" si="21"/>
        <v>mt</v>
      </c>
      <c r="BB115" s="161"/>
      <c r="BC115" s="162"/>
      <c r="BD115" s="162"/>
      <c r="BE115" s="140" t="s">
        <v>18</v>
      </c>
      <c r="BF115" s="7"/>
      <c r="BG115" s="143"/>
      <c r="BH115" s="147" t="str">
        <f t="shared" si="22"/>
        <v>mt</v>
      </c>
      <c r="BI115" s="161"/>
      <c r="BJ115" s="162"/>
      <c r="BK115" s="162"/>
      <c r="BL115" s="140" t="s">
        <v>18</v>
      </c>
      <c r="BM115" s="7"/>
      <c r="BN115" s="143"/>
      <c r="BO115" s="147" t="str">
        <f t="shared" si="23"/>
        <v>mt</v>
      </c>
      <c r="BP115" s="161"/>
      <c r="BQ115" s="162"/>
      <c r="BR115" s="162"/>
      <c r="BS115" s="140" t="s">
        <v>18</v>
      </c>
      <c r="BT115" s="7"/>
      <c r="BU115" s="143"/>
      <c r="BV115" s="147" t="str">
        <f t="shared" si="24"/>
        <v>mt</v>
      </c>
      <c r="BW115" s="161"/>
      <c r="BX115" s="162"/>
      <c r="BY115" s="162"/>
      <c r="BZ115" s="140" t="s">
        <v>18</v>
      </c>
      <c r="CA115" s="7"/>
      <c r="CB115" s="7"/>
      <c r="CC115" s="163">
        <f t="shared" si="25"/>
        <v>0</v>
      </c>
      <c r="CD115" s="163">
        <f t="shared" si="26"/>
        <v>0</v>
      </c>
      <c r="CE115" s="163">
        <f t="shared" si="27"/>
        <v>0</v>
      </c>
      <c r="CF115" s="163">
        <f t="shared" si="28"/>
        <v>0</v>
      </c>
      <c r="CG115" s="163">
        <f t="shared" si="29"/>
        <v>0</v>
      </c>
      <c r="CH115" s="163">
        <f t="shared" si="30"/>
        <v>0</v>
      </c>
      <c r="CI115" s="7"/>
      <c r="CJ115" s="163">
        <f t="shared" si="31"/>
        <v>0</v>
      </c>
      <c r="CK115" s="163">
        <f t="shared" si="32"/>
        <v>0</v>
      </c>
      <c r="CL115" s="163">
        <f t="shared" si="33"/>
        <v>0</v>
      </c>
      <c r="CM115" s="163">
        <f t="shared" si="34"/>
        <v>0</v>
      </c>
      <c r="CN115" s="163">
        <f t="shared" si="35"/>
        <v>0</v>
      </c>
      <c r="CO115" s="163">
        <f t="shared" si="36"/>
        <v>0</v>
      </c>
      <c r="CP115" s="163"/>
      <c r="CQ115" s="163">
        <f t="shared" si="37"/>
        <v>0</v>
      </c>
      <c r="CR115" s="163">
        <f t="shared" si="38"/>
        <v>0</v>
      </c>
      <c r="CS115" s="163">
        <f t="shared" si="39"/>
        <v>0</v>
      </c>
      <c r="CT115" s="163">
        <f t="shared" si="40"/>
        <v>0</v>
      </c>
      <c r="CU115" s="163">
        <f t="shared" si="41"/>
        <v>0</v>
      </c>
      <c r="CV115" s="163">
        <f t="shared" si="42"/>
        <v>0</v>
      </c>
      <c r="CY115" s="164" t="s">
        <v>45</v>
      </c>
      <c r="FN115" s="165">
        <f t="shared" si="8"/>
        <v>147.05882352941177</v>
      </c>
      <c r="FO115" s="166">
        <f t="shared" si="43"/>
        <v>0</v>
      </c>
      <c r="FP115" s="166">
        <f t="shared" si="44"/>
        <v>0</v>
      </c>
      <c r="FQ115" s="7"/>
      <c r="FR115" s="7"/>
      <c r="FS115" s="7"/>
      <c r="FT115" s="7"/>
      <c r="FU115" s="7"/>
      <c r="FV115" s="7"/>
    </row>
    <row r="116" spans="1:178" s="181" customFormat="1" ht="18" x14ac:dyDescent="0.25">
      <c r="A116" s="167">
        <v>4</v>
      </c>
      <c r="B116" s="168" t="s">
        <v>110</v>
      </c>
      <c r="C116" s="169" t="s">
        <v>111</v>
      </c>
      <c r="D116" s="185" t="s">
        <v>113</v>
      </c>
      <c r="E116" s="170" t="s">
        <v>100</v>
      </c>
      <c r="F116" s="171" t="s">
        <v>114</v>
      </c>
      <c r="G116" s="143"/>
      <c r="H116" s="172"/>
      <c r="I116" s="172"/>
      <c r="J116" s="172"/>
      <c r="K116" s="172"/>
      <c r="L116" s="172"/>
      <c r="M116" s="137">
        <f t="shared" si="9"/>
        <v>4.7058823529411766</v>
      </c>
      <c r="N116" s="173" t="s">
        <v>9</v>
      </c>
      <c r="O116" s="146">
        <f t="shared" si="10"/>
        <v>4.7058823529411766</v>
      </c>
      <c r="P116" s="174" t="str">
        <f t="shared" si="0"/>
        <v>pç</v>
      </c>
      <c r="Q116" s="175" t="str">
        <f t="shared" si="1"/>
        <v>/ dia</v>
      </c>
      <c r="R116" s="176">
        <v>2</v>
      </c>
      <c r="S116" s="177">
        <v>1</v>
      </c>
      <c r="T116" s="177">
        <f t="shared" si="2"/>
        <v>1</v>
      </c>
      <c r="U116" s="149">
        <f t="shared" si="3"/>
        <v>0</v>
      </c>
      <c r="V116" s="149">
        <f t="shared" si="11"/>
        <v>0</v>
      </c>
      <c r="W116" s="140" t="s">
        <v>18</v>
      </c>
      <c r="X116" s="150" t="s">
        <v>18</v>
      </c>
      <c r="Y116" s="151">
        <f t="shared" si="12"/>
        <v>0</v>
      </c>
      <c r="Z116" s="178">
        <f t="shared" si="4"/>
        <v>0.5</v>
      </c>
      <c r="AA116" s="179">
        <f t="shared" si="13"/>
        <v>0</v>
      </c>
      <c r="AB116" s="179">
        <f t="shared" si="14"/>
        <v>0</v>
      </c>
      <c r="AC116" s="180"/>
      <c r="AD116" s="155">
        <f t="shared" si="5"/>
        <v>0</v>
      </c>
      <c r="AE116" s="156">
        <f t="shared" si="15"/>
        <v>0</v>
      </c>
      <c r="AF116" s="157">
        <f t="shared" si="6"/>
        <v>0</v>
      </c>
      <c r="AG116" s="158" t="str">
        <f t="shared" si="7"/>
        <v>pç</v>
      </c>
      <c r="AH116" s="158">
        <f t="shared" si="16"/>
        <v>0</v>
      </c>
      <c r="AI116" s="159">
        <f t="shared" si="17"/>
        <v>0</v>
      </c>
      <c r="AJ116" s="160">
        <f t="shared" si="18"/>
        <v>0</v>
      </c>
      <c r="AL116" s="143"/>
      <c r="AM116" s="147" t="str">
        <f t="shared" si="19"/>
        <v>pç</v>
      </c>
      <c r="AN116" s="161"/>
      <c r="AO116" s="182"/>
      <c r="AP116" s="182"/>
      <c r="AQ116" s="183" t="s">
        <v>18</v>
      </c>
      <c r="AS116" s="143"/>
      <c r="AT116" s="147" t="str">
        <f t="shared" si="20"/>
        <v>pç</v>
      </c>
      <c r="AU116" s="161"/>
      <c r="AV116" s="182"/>
      <c r="AW116" s="182"/>
      <c r="AX116" s="183" t="s">
        <v>18</v>
      </c>
      <c r="AZ116" s="143"/>
      <c r="BA116" s="147" t="str">
        <f t="shared" si="21"/>
        <v>pç</v>
      </c>
      <c r="BB116" s="161"/>
      <c r="BC116" s="182"/>
      <c r="BD116" s="182"/>
      <c r="BE116" s="183" t="s">
        <v>18</v>
      </c>
      <c r="BF116" s="7"/>
      <c r="BG116" s="143"/>
      <c r="BH116" s="147" t="str">
        <f t="shared" si="22"/>
        <v>pç</v>
      </c>
      <c r="BI116" s="161"/>
      <c r="BJ116" s="182"/>
      <c r="BK116" s="182"/>
      <c r="BL116" s="183" t="s">
        <v>18</v>
      </c>
      <c r="BM116" s="7"/>
      <c r="BN116" s="143"/>
      <c r="BO116" s="147" t="str">
        <f t="shared" si="23"/>
        <v>pç</v>
      </c>
      <c r="BP116" s="161"/>
      <c r="BQ116" s="182"/>
      <c r="BR116" s="182"/>
      <c r="BS116" s="183" t="s">
        <v>18</v>
      </c>
      <c r="BT116" s="7"/>
      <c r="BU116" s="143"/>
      <c r="BV116" s="147" t="str">
        <f t="shared" si="24"/>
        <v>pç</v>
      </c>
      <c r="BW116" s="161"/>
      <c r="BX116" s="182"/>
      <c r="BY116" s="182"/>
      <c r="BZ116" s="183" t="s">
        <v>18</v>
      </c>
      <c r="CA116" s="7"/>
      <c r="CB116" s="7"/>
      <c r="CC116" s="163">
        <f t="shared" si="25"/>
        <v>0</v>
      </c>
      <c r="CD116" s="163">
        <f t="shared" si="26"/>
        <v>0</v>
      </c>
      <c r="CE116" s="163">
        <f t="shared" si="27"/>
        <v>0</v>
      </c>
      <c r="CF116" s="163">
        <f t="shared" si="28"/>
        <v>0</v>
      </c>
      <c r="CG116" s="163">
        <f t="shared" si="29"/>
        <v>0</v>
      </c>
      <c r="CH116" s="163">
        <f t="shared" si="30"/>
        <v>0</v>
      </c>
      <c r="CI116" s="7"/>
      <c r="CJ116" s="163">
        <f t="shared" si="31"/>
        <v>0</v>
      </c>
      <c r="CK116" s="163">
        <f t="shared" si="32"/>
        <v>0</v>
      </c>
      <c r="CL116" s="163">
        <f t="shared" si="33"/>
        <v>0</v>
      </c>
      <c r="CM116" s="163">
        <f t="shared" si="34"/>
        <v>0</v>
      </c>
      <c r="CN116" s="163">
        <f t="shared" si="35"/>
        <v>0</v>
      </c>
      <c r="CO116" s="163">
        <f t="shared" si="36"/>
        <v>0</v>
      </c>
      <c r="CP116" s="163"/>
      <c r="CQ116" s="163">
        <f t="shared" si="37"/>
        <v>0</v>
      </c>
      <c r="CR116" s="163">
        <f t="shared" si="38"/>
        <v>0</v>
      </c>
      <c r="CS116" s="163">
        <f t="shared" si="39"/>
        <v>0</v>
      </c>
      <c r="CT116" s="163">
        <f t="shared" si="40"/>
        <v>0</v>
      </c>
      <c r="CU116" s="163">
        <f t="shared" si="41"/>
        <v>0</v>
      </c>
      <c r="CV116" s="163">
        <f t="shared" si="42"/>
        <v>0</v>
      </c>
      <c r="CY116" s="164" t="s">
        <v>45</v>
      </c>
      <c r="FN116" s="165">
        <f t="shared" si="8"/>
        <v>4.7058823529411766</v>
      </c>
      <c r="FO116" s="166">
        <f t="shared" si="43"/>
        <v>0</v>
      </c>
      <c r="FP116" s="166">
        <f t="shared" si="44"/>
        <v>0</v>
      </c>
      <c r="FQ116" s="7"/>
      <c r="FR116" s="7"/>
      <c r="FS116" s="7"/>
      <c r="FT116" s="7"/>
      <c r="FU116" s="7"/>
      <c r="FV116" s="7"/>
    </row>
    <row r="117" spans="1:178" s="181" customFormat="1" ht="18" x14ac:dyDescent="0.25">
      <c r="A117" s="137">
        <v>21</v>
      </c>
      <c r="B117" s="138" t="s">
        <v>110</v>
      </c>
      <c r="C117" s="139" t="s">
        <v>111</v>
      </c>
      <c r="D117" s="140" t="s">
        <v>99</v>
      </c>
      <c r="E117" s="141" t="s">
        <v>100</v>
      </c>
      <c r="F117" s="142" t="s">
        <v>115</v>
      </c>
      <c r="G117" s="143"/>
      <c r="H117" s="144"/>
      <c r="I117" s="144"/>
      <c r="J117" s="144"/>
      <c r="K117" s="144"/>
      <c r="L117" s="144"/>
      <c r="M117" s="137">
        <f t="shared" si="9"/>
        <v>24.705882352941178</v>
      </c>
      <c r="N117" s="145" t="s">
        <v>9</v>
      </c>
      <c r="O117" s="184">
        <f t="shared" si="10"/>
        <v>24.705882352941178</v>
      </c>
      <c r="P117" s="147" t="str">
        <f t="shared" si="0"/>
        <v>pç</v>
      </c>
      <c r="Q117" s="147" t="str">
        <f t="shared" si="1"/>
        <v>/ dia</v>
      </c>
      <c r="R117" s="148">
        <v>2</v>
      </c>
      <c r="S117" s="149">
        <v>1</v>
      </c>
      <c r="T117" s="149">
        <f t="shared" si="2"/>
        <v>1</v>
      </c>
      <c r="U117" s="149">
        <f t="shared" si="3"/>
        <v>0</v>
      </c>
      <c r="V117" s="149">
        <f t="shared" si="11"/>
        <v>0</v>
      </c>
      <c r="W117" s="140" t="s">
        <v>18</v>
      </c>
      <c r="X117" s="150" t="s">
        <v>18</v>
      </c>
      <c r="Y117" s="151">
        <f t="shared" si="12"/>
        <v>0</v>
      </c>
      <c r="Z117" s="152">
        <f t="shared" si="4"/>
        <v>0.5</v>
      </c>
      <c r="AA117" s="153">
        <f t="shared" si="13"/>
        <v>0</v>
      </c>
      <c r="AB117" s="153">
        <f t="shared" si="14"/>
        <v>0</v>
      </c>
      <c r="AC117" s="154"/>
      <c r="AD117" s="155">
        <f t="shared" si="5"/>
        <v>0</v>
      </c>
      <c r="AE117" s="156">
        <f t="shared" si="15"/>
        <v>0</v>
      </c>
      <c r="AF117" s="157">
        <f t="shared" si="6"/>
        <v>0</v>
      </c>
      <c r="AG117" s="158" t="str">
        <f t="shared" si="7"/>
        <v>pç</v>
      </c>
      <c r="AH117" s="158">
        <f t="shared" si="16"/>
        <v>0</v>
      </c>
      <c r="AI117" s="159">
        <f t="shared" si="17"/>
        <v>0</v>
      </c>
      <c r="AJ117" s="160">
        <f t="shared" si="18"/>
        <v>0</v>
      </c>
      <c r="AL117" s="143"/>
      <c r="AM117" s="147" t="str">
        <f t="shared" si="19"/>
        <v>pç</v>
      </c>
      <c r="AN117" s="161"/>
      <c r="AO117" s="162"/>
      <c r="AP117" s="162"/>
      <c r="AQ117" s="140" t="s">
        <v>18</v>
      </c>
      <c r="AS117" s="143"/>
      <c r="AT117" s="147" t="str">
        <f t="shared" si="20"/>
        <v>pç</v>
      </c>
      <c r="AU117" s="161"/>
      <c r="AV117" s="162"/>
      <c r="AW117" s="162"/>
      <c r="AX117" s="140" t="s">
        <v>18</v>
      </c>
      <c r="AZ117" s="143"/>
      <c r="BA117" s="147" t="str">
        <f t="shared" si="21"/>
        <v>pç</v>
      </c>
      <c r="BB117" s="161"/>
      <c r="BC117" s="162"/>
      <c r="BD117" s="162"/>
      <c r="BE117" s="140" t="s">
        <v>18</v>
      </c>
      <c r="BF117" s="7"/>
      <c r="BG117" s="143"/>
      <c r="BH117" s="147" t="str">
        <f t="shared" si="22"/>
        <v>pç</v>
      </c>
      <c r="BI117" s="161"/>
      <c r="BJ117" s="162"/>
      <c r="BK117" s="162"/>
      <c r="BL117" s="140" t="s">
        <v>18</v>
      </c>
      <c r="BM117" s="7"/>
      <c r="BN117" s="143"/>
      <c r="BO117" s="147" t="str">
        <f t="shared" si="23"/>
        <v>pç</v>
      </c>
      <c r="BP117" s="161"/>
      <c r="BQ117" s="162"/>
      <c r="BR117" s="162"/>
      <c r="BS117" s="140" t="s">
        <v>18</v>
      </c>
      <c r="BT117" s="7"/>
      <c r="BU117" s="143"/>
      <c r="BV117" s="147" t="str">
        <f t="shared" si="24"/>
        <v>pç</v>
      </c>
      <c r="BW117" s="161"/>
      <c r="BX117" s="162"/>
      <c r="BY117" s="162"/>
      <c r="BZ117" s="140" t="s">
        <v>18</v>
      </c>
      <c r="CA117" s="7"/>
      <c r="CB117" s="7"/>
      <c r="CC117" s="163">
        <f t="shared" si="25"/>
        <v>0</v>
      </c>
      <c r="CD117" s="163">
        <f t="shared" si="26"/>
        <v>0</v>
      </c>
      <c r="CE117" s="163">
        <f t="shared" si="27"/>
        <v>0</v>
      </c>
      <c r="CF117" s="163">
        <f t="shared" si="28"/>
        <v>0</v>
      </c>
      <c r="CG117" s="163">
        <f t="shared" si="29"/>
        <v>0</v>
      </c>
      <c r="CH117" s="163">
        <f t="shared" si="30"/>
        <v>0</v>
      </c>
      <c r="CI117" s="7"/>
      <c r="CJ117" s="163">
        <f t="shared" si="31"/>
        <v>0</v>
      </c>
      <c r="CK117" s="163">
        <f t="shared" si="32"/>
        <v>0</v>
      </c>
      <c r="CL117" s="163">
        <f t="shared" si="33"/>
        <v>0</v>
      </c>
      <c r="CM117" s="163">
        <f t="shared" si="34"/>
        <v>0</v>
      </c>
      <c r="CN117" s="163">
        <f t="shared" si="35"/>
        <v>0</v>
      </c>
      <c r="CO117" s="163">
        <f t="shared" si="36"/>
        <v>0</v>
      </c>
      <c r="CP117" s="163"/>
      <c r="CQ117" s="163">
        <f t="shared" si="37"/>
        <v>0</v>
      </c>
      <c r="CR117" s="163">
        <f t="shared" si="38"/>
        <v>0</v>
      </c>
      <c r="CS117" s="163">
        <f t="shared" si="39"/>
        <v>0</v>
      </c>
      <c r="CT117" s="163">
        <f t="shared" si="40"/>
        <v>0</v>
      </c>
      <c r="CU117" s="163">
        <f t="shared" si="41"/>
        <v>0</v>
      </c>
      <c r="CV117" s="163">
        <f t="shared" si="42"/>
        <v>0</v>
      </c>
      <c r="CY117" s="164" t="s">
        <v>45</v>
      </c>
      <c r="FN117" s="165">
        <f t="shared" si="8"/>
        <v>24.705882352941178</v>
      </c>
      <c r="FO117" s="166">
        <f t="shared" si="43"/>
        <v>0</v>
      </c>
      <c r="FP117" s="166">
        <f t="shared" si="44"/>
        <v>0</v>
      </c>
      <c r="FQ117" s="7"/>
      <c r="FR117" s="7"/>
      <c r="FS117" s="7"/>
      <c r="FT117" s="7"/>
      <c r="FU117" s="7"/>
      <c r="FV117" s="7"/>
    </row>
    <row r="118" spans="1:178" s="181" customFormat="1" ht="18" x14ac:dyDescent="0.25">
      <c r="A118" s="167">
        <v>24</v>
      </c>
      <c r="B118" s="168" t="s">
        <v>110</v>
      </c>
      <c r="C118" s="169"/>
      <c r="D118" s="140" t="s">
        <v>99</v>
      </c>
      <c r="E118" s="170" t="s">
        <v>100</v>
      </c>
      <c r="F118" s="171" t="s">
        <v>116</v>
      </c>
      <c r="G118" s="143"/>
      <c r="H118" s="172"/>
      <c r="I118" s="172"/>
      <c r="J118" s="172"/>
      <c r="K118" s="172"/>
      <c r="L118" s="172"/>
      <c r="M118" s="137">
        <f t="shared" si="9"/>
        <v>28.235294117647058</v>
      </c>
      <c r="N118" s="173" t="s">
        <v>9</v>
      </c>
      <c r="O118" s="146">
        <f t="shared" si="10"/>
        <v>28.235294117647058</v>
      </c>
      <c r="P118" s="174" t="str">
        <f t="shared" si="0"/>
        <v>pç</v>
      </c>
      <c r="Q118" s="175" t="str">
        <f t="shared" si="1"/>
        <v>/ dia</v>
      </c>
      <c r="R118" s="176">
        <v>2</v>
      </c>
      <c r="S118" s="177">
        <v>1</v>
      </c>
      <c r="T118" s="177">
        <f t="shared" si="2"/>
        <v>1</v>
      </c>
      <c r="U118" s="149">
        <f t="shared" si="3"/>
        <v>0</v>
      </c>
      <c r="V118" s="149">
        <f t="shared" si="11"/>
        <v>0</v>
      </c>
      <c r="W118" s="140" t="s">
        <v>18</v>
      </c>
      <c r="X118" s="150" t="s">
        <v>18</v>
      </c>
      <c r="Y118" s="151">
        <f t="shared" si="12"/>
        <v>0</v>
      </c>
      <c r="Z118" s="178">
        <f t="shared" si="4"/>
        <v>0.5</v>
      </c>
      <c r="AA118" s="179">
        <f t="shared" si="13"/>
        <v>0</v>
      </c>
      <c r="AB118" s="179">
        <f t="shared" si="14"/>
        <v>0</v>
      </c>
      <c r="AC118" s="180"/>
      <c r="AD118" s="155">
        <f t="shared" si="5"/>
        <v>0</v>
      </c>
      <c r="AE118" s="156">
        <f t="shared" si="15"/>
        <v>0</v>
      </c>
      <c r="AF118" s="157">
        <f t="shared" si="6"/>
        <v>0</v>
      </c>
      <c r="AG118" s="158" t="str">
        <f t="shared" si="7"/>
        <v>pç</v>
      </c>
      <c r="AH118" s="158">
        <f t="shared" si="16"/>
        <v>0</v>
      </c>
      <c r="AI118" s="159">
        <f t="shared" si="17"/>
        <v>0</v>
      </c>
      <c r="AJ118" s="160">
        <f t="shared" si="18"/>
        <v>0</v>
      </c>
      <c r="AL118" s="143"/>
      <c r="AM118" s="147" t="str">
        <f t="shared" si="19"/>
        <v>pç</v>
      </c>
      <c r="AN118" s="161"/>
      <c r="AO118" s="182"/>
      <c r="AP118" s="182"/>
      <c r="AQ118" s="183" t="s">
        <v>18</v>
      </c>
      <c r="AS118" s="143"/>
      <c r="AT118" s="147" t="str">
        <f t="shared" si="20"/>
        <v>pç</v>
      </c>
      <c r="AU118" s="161"/>
      <c r="AV118" s="182"/>
      <c r="AW118" s="182"/>
      <c r="AX118" s="183" t="s">
        <v>18</v>
      </c>
      <c r="AZ118" s="143"/>
      <c r="BA118" s="147" t="str">
        <f t="shared" si="21"/>
        <v>pç</v>
      </c>
      <c r="BB118" s="161"/>
      <c r="BC118" s="182"/>
      <c r="BD118" s="182"/>
      <c r="BE118" s="183" t="s">
        <v>18</v>
      </c>
      <c r="BF118" s="7"/>
      <c r="BG118" s="143"/>
      <c r="BH118" s="147" t="str">
        <f t="shared" si="22"/>
        <v>pç</v>
      </c>
      <c r="BI118" s="161"/>
      <c r="BJ118" s="182"/>
      <c r="BK118" s="182"/>
      <c r="BL118" s="183" t="s">
        <v>18</v>
      </c>
      <c r="BM118" s="7"/>
      <c r="BN118" s="143"/>
      <c r="BO118" s="147" t="str">
        <f t="shared" si="23"/>
        <v>pç</v>
      </c>
      <c r="BP118" s="161"/>
      <c r="BQ118" s="182"/>
      <c r="BR118" s="182"/>
      <c r="BS118" s="183" t="s">
        <v>18</v>
      </c>
      <c r="BT118" s="7"/>
      <c r="BU118" s="143"/>
      <c r="BV118" s="147" t="str">
        <f t="shared" si="24"/>
        <v>pç</v>
      </c>
      <c r="BW118" s="161"/>
      <c r="BX118" s="182"/>
      <c r="BY118" s="182"/>
      <c r="BZ118" s="183" t="s">
        <v>18</v>
      </c>
      <c r="CA118" s="7"/>
      <c r="CB118" s="7"/>
      <c r="CC118" s="163">
        <f t="shared" si="25"/>
        <v>0</v>
      </c>
      <c r="CD118" s="163">
        <f t="shared" si="26"/>
        <v>0</v>
      </c>
      <c r="CE118" s="163">
        <f t="shared" si="27"/>
        <v>0</v>
      </c>
      <c r="CF118" s="163">
        <f t="shared" si="28"/>
        <v>0</v>
      </c>
      <c r="CG118" s="163">
        <f t="shared" si="29"/>
        <v>0</v>
      </c>
      <c r="CH118" s="163">
        <f t="shared" si="30"/>
        <v>0</v>
      </c>
      <c r="CI118" s="7"/>
      <c r="CJ118" s="163">
        <f t="shared" si="31"/>
        <v>0</v>
      </c>
      <c r="CK118" s="163">
        <f t="shared" si="32"/>
        <v>0</v>
      </c>
      <c r="CL118" s="163">
        <f t="shared" si="33"/>
        <v>0</v>
      </c>
      <c r="CM118" s="163">
        <f t="shared" si="34"/>
        <v>0</v>
      </c>
      <c r="CN118" s="163">
        <f t="shared" si="35"/>
        <v>0</v>
      </c>
      <c r="CO118" s="163">
        <f t="shared" si="36"/>
        <v>0</v>
      </c>
      <c r="CP118" s="163"/>
      <c r="CQ118" s="163">
        <f t="shared" si="37"/>
        <v>0</v>
      </c>
      <c r="CR118" s="163">
        <f t="shared" si="38"/>
        <v>0</v>
      </c>
      <c r="CS118" s="163">
        <f t="shared" si="39"/>
        <v>0</v>
      </c>
      <c r="CT118" s="163">
        <f t="shared" si="40"/>
        <v>0</v>
      </c>
      <c r="CU118" s="163">
        <f t="shared" si="41"/>
        <v>0</v>
      </c>
      <c r="CV118" s="163">
        <f t="shared" si="42"/>
        <v>0</v>
      </c>
      <c r="CY118" s="164" t="s">
        <v>45</v>
      </c>
      <c r="FN118" s="165">
        <f t="shared" si="8"/>
        <v>28.235294117647058</v>
      </c>
      <c r="FO118" s="166">
        <f t="shared" si="43"/>
        <v>0</v>
      </c>
      <c r="FP118" s="166">
        <f t="shared" si="44"/>
        <v>0</v>
      </c>
      <c r="FQ118" s="7"/>
      <c r="FR118" s="7"/>
      <c r="FS118" s="7"/>
      <c r="FT118" s="7"/>
      <c r="FU118" s="7"/>
      <c r="FV118" s="7"/>
    </row>
    <row r="119" spans="1:178" s="181" customFormat="1" ht="18" x14ac:dyDescent="0.25">
      <c r="A119" s="137">
        <v>64</v>
      </c>
      <c r="B119" s="138" t="s">
        <v>110</v>
      </c>
      <c r="C119" s="139"/>
      <c r="D119" s="140" t="s">
        <v>113</v>
      </c>
      <c r="E119" s="141" t="s">
        <v>100</v>
      </c>
      <c r="F119" s="142" t="s">
        <v>117</v>
      </c>
      <c r="G119" s="143"/>
      <c r="H119" s="144"/>
      <c r="I119" s="144"/>
      <c r="J119" s="144"/>
      <c r="K119" s="144"/>
      <c r="L119" s="144"/>
      <c r="M119" s="137">
        <f t="shared" si="9"/>
        <v>75.294117647058826</v>
      </c>
      <c r="N119" s="145" t="s">
        <v>9</v>
      </c>
      <c r="O119" s="184">
        <f t="shared" si="10"/>
        <v>75.294117647058826</v>
      </c>
      <c r="P119" s="147" t="str">
        <f t="shared" si="0"/>
        <v>pç</v>
      </c>
      <c r="Q119" s="147" t="str">
        <f t="shared" si="1"/>
        <v>/ dia</v>
      </c>
      <c r="R119" s="148">
        <v>2</v>
      </c>
      <c r="S119" s="149">
        <v>1</v>
      </c>
      <c r="T119" s="149">
        <f t="shared" si="2"/>
        <v>1</v>
      </c>
      <c r="U119" s="149">
        <f t="shared" si="3"/>
        <v>0</v>
      </c>
      <c r="V119" s="149">
        <f t="shared" si="11"/>
        <v>0</v>
      </c>
      <c r="W119" s="140" t="s">
        <v>18</v>
      </c>
      <c r="X119" s="150" t="s">
        <v>18</v>
      </c>
      <c r="Y119" s="151">
        <f t="shared" si="12"/>
        <v>0</v>
      </c>
      <c r="Z119" s="152">
        <f t="shared" si="4"/>
        <v>0.5</v>
      </c>
      <c r="AA119" s="153">
        <f t="shared" si="13"/>
        <v>0</v>
      </c>
      <c r="AB119" s="153">
        <f t="shared" si="14"/>
        <v>0</v>
      </c>
      <c r="AC119" s="154"/>
      <c r="AD119" s="155">
        <f t="shared" si="5"/>
        <v>0</v>
      </c>
      <c r="AE119" s="156">
        <f t="shared" si="15"/>
        <v>0</v>
      </c>
      <c r="AF119" s="157">
        <f t="shared" si="6"/>
        <v>0</v>
      </c>
      <c r="AG119" s="158" t="str">
        <f t="shared" si="7"/>
        <v>pç</v>
      </c>
      <c r="AH119" s="158">
        <f t="shared" si="16"/>
        <v>0</v>
      </c>
      <c r="AI119" s="159">
        <f t="shared" si="17"/>
        <v>0</v>
      </c>
      <c r="AJ119" s="160">
        <f t="shared" si="18"/>
        <v>0</v>
      </c>
      <c r="AL119" s="143"/>
      <c r="AM119" s="147" t="str">
        <f t="shared" si="19"/>
        <v>pç</v>
      </c>
      <c r="AN119" s="161"/>
      <c r="AO119" s="162"/>
      <c r="AP119" s="162"/>
      <c r="AQ119" s="140" t="s">
        <v>18</v>
      </c>
      <c r="AS119" s="143"/>
      <c r="AT119" s="147" t="str">
        <f t="shared" si="20"/>
        <v>pç</v>
      </c>
      <c r="AU119" s="161"/>
      <c r="AV119" s="162"/>
      <c r="AW119" s="162"/>
      <c r="AX119" s="140" t="s">
        <v>18</v>
      </c>
      <c r="AZ119" s="143"/>
      <c r="BA119" s="147" t="str">
        <f t="shared" si="21"/>
        <v>pç</v>
      </c>
      <c r="BB119" s="161"/>
      <c r="BC119" s="162"/>
      <c r="BD119" s="162"/>
      <c r="BE119" s="140" t="s">
        <v>18</v>
      </c>
      <c r="BF119" s="7"/>
      <c r="BG119" s="143"/>
      <c r="BH119" s="147" t="str">
        <f t="shared" si="22"/>
        <v>pç</v>
      </c>
      <c r="BI119" s="161"/>
      <c r="BJ119" s="162"/>
      <c r="BK119" s="162"/>
      <c r="BL119" s="140" t="s">
        <v>18</v>
      </c>
      <c r="BM119" s="7"/>
      <c r="BN119" s="143"/>
      <c r="BO119" s="147" t="str">
        <f t="shared" si="23"/>
        <v>pç</v>
      </c>
      <c r="BP119" s="161"/>
      <c r="BQ119" s="162"/>
      <c r="BR119" s="162"/>
      <c r="BS119" s="140" t="s">
        <v>18</v>
      </c>
      <c r="BT119" s="7"/>
      <c r="BU119" s="143"/>
      <c r="BV119" s="147" t="str">
        <f t="shared" si="24"/>
        <v>pç</v>
      </c>
      <c r="BW119" s="161"/>
      <c r="BX119" s="162"/>
      <c r="BY119" s="162"/>
      <c r="BZ119" s="140" t="s">
        <v>18</v>
      </c>
      <c r="CA119" s="7"/>
      <c r="CB119" s="7"/>
      <c r="CC119" s="163">
        <f t="shared" si="25"/>
        <v>0</v>
      </c>
      <c r="CD119" s="163">
        <f t="shared" si="26"/>
        <v>0</v>
      </c>
      <c r="CE119" s="163">
        <f t="shared" si="27"/>
        <v>0</v>
      </c>
      <c r="CF119" s="163">
        <f t="shared" si="28"/>
        <v>0</v>
      </c>
      <c r="CG119" s="163">
        <f t="shared" si="29"/>
        <v>0</v>
      </c>
      <c r="CH119" s="163">
        <f t="shared" si="30"/>
        <v>0</v>
      </c>
      <c r="CI119" s="7"/>
      <c r="CJ119" s="163">
        <f t="shared" si="31"/>
        <v>0</v>
      </c>
      <c r="CK119" s="163">
        <f t="shared" si="32"/>
        <v>0</v>
      </c>
      <c r="CL119" s="163">
        <f t="shared" si="33"/>
        <v>0</v>
      </c>
      <c r="CM119" s="163">
        <f t="shared" si="34"/>
        <v>0</v>
      </c>
      <c r="CN119" s="163">
        <f t="shared" si="35"/>
        <v>0</v>
      </c>
      <c r="CO119" s="163">
        <f t="shared" si="36"/>
        <v>0</v>
      </c>
      <c r="CP119" s="163"/>
      <c r="CQ119" s="163">
        <f t="shared" si="37"/>
        <v>0</v>
      </c>
      <c r="CR119" s="163">
        <f t="shared" si="38"/>
        <v>0</v>
      </c>
      <c r="CS119" s="163">
        <f t="shared" si="39"/>
        <v>0</v>
      </c>
      <c r="CT119" s="163">
        <f t="shared" si="40"/>
        <v>0</v>
      </c>
      <c r="CU119" s="163">
        <f t="shared" si="41"/>
        <v>0</v>
      </c>
      <c r="CV119" s="163">
        <f t="shared" si="42"/>
        <v>0</v>
      </c>
      <c r="CY119" s="164" t="s">
        <v>45</v>
      </c>
      <c r="FN119" s="165">
        <f t="shared" si="8"/>
        <v>75.294117647058826</v>
      </c>
      <c r="FO119" s="166">
        <f t="shared" si="43"/>
        <v>0</v>
      </c>
      <c r="FP119" s="166">
        <f t="shared" si="44"/>
        <v>0</v>
      </c>
      <c r="FQ119" s="7"/>
      <c r="FR119" s="7"/>
      <c r="FS119" s="7"/>
      <c r="FT119" s="7"/>
      <c r="FU119" s="7"/>
      <c r="FV119" s="7"/>
    </row>
    <row r="120" spans="1:178" s="181" customFormat="1" ht="18" x14ac:dyDescent="0.25">
      <c r="A120" s="167">
        <v>350</v>
      </c>
      <c r="B120" s="168" t="s">
        <v>110</v>
      </c>
      <c r="C120" s="169"/>
      <c r="D120" s="140" t="s">
        <v>118</v>
      </c>
      <c r="E120" s="170" t="s">
        <v>119</v>
      </c>
      <c r="F120" s="171" t="s">
        <v>120</v>
      </c>
      <c r="G120" s="143"/>
      <c r="H120" s="172"/>
      <c r="I120" s="172"/>
      <c r="J120" s="172"/>
      <c r="K120" s="172"/>
      <c r="L120" s="172"/>
      <c r="M120" s="137">
        <f t="shared" si="9"/>
        <v>411.76470588235293</v>
      </c>
      <c r="N120" s="173" t="s">
        <v>7</v>
      </c>
      <c r="O120" s="146">
        <f t="shared" si="10"/>
        <v>411.76470588235293</v>
      </c>
      <c r="P120" s="174" t="str">
        <f t="shared" si="0"/>
        <v>ml</v>
      </c>
      <c r="Q120" s="175" t="str">
        <f t="shared" si="1"/>
        <v>/ dia</v>
      </c>
      <c r="R120" s="176">
        <v>2</v>
      </c>
      <c r="S120" s="177">
        <v>2</v>
      </c>
      <c r="T120" s="177">
        <f t="shared" si="2"/>
        <v>0</v>
      </c>
      <c r="U120" s="149">
        <f t="shared" si="3"/>
        <v>0</v>
      </c>
      <c r="V120" s="149">
        <f t="shared" si="11"/>
        <v>0</v>
      </c>
      <c r="W120" s="140" t="s">
        <v>18</v>
      </c>
      <c r="X120" s="150" t="s">
        <v>18</v>
      </c>
      <c r="Y120" s="151">
        <f t="shared" si="12"/>
        <v>0</v>
      </c>
      <c r="Z120" s="178">
        <f t="shared" si="4"/>
        <v>1</v>
      </c>
      <c r="AA120" s="179">
        <f t="shared" si="13"/>
        <v>0</v>
      </c>
      <c r="AB120" s="179">
        <f t="shared" si="14"/>
        <v>0</v>
      </c>
      <c r="AC120" s="180"/>
      <c r="AD120" s="155">
        <f t="shared" si="5"/>
        <v>0</v>
      </c>
      <c r="AE120" s="156">
        <f t="shared" si="15"/>
        <v>0</v>
      </c>
      <c r="AF120" s="157">
        <f t="shared" si="6"/>
        <v>0</v>
      </c>
      <c r="AG120" s="158" t="str">
        <f t="shared" si="7"/>
        <v>ml</v>
      </c>
      <c r="AH120" s="158">
        <f t="shared" si="16"/>
        <v>0</v>
      </c>
      <c r="AI120" s="159">
        <f t="shared" si="17"/>
        <v>0</v>
      </c>
      <c r="AJ120" s="160">
        <f t="shared" si="18"/>
        <v>0</v>
      </c>
      <c r="AL120" s="143"/>
      <c r="AM120" s="147" t="str">
        <f t="shared" si="19"/>
        <v>ml</v>
      </c>
      <c r="AN120" s="161"/>
      <c r="AO120" s="182"/>
      <c r="AP120" s="182"/>
      <c r="AQ120" s="183" t="s">
        <v>18</v>
      </c>
      <c r="AS120" s="143"/>
      <c r="AT120" s="147" t="str">
        <f t="shared" si="20"/>
        <v>ml</v>
      </c>
      <c r="AU120" s="161"/>
      <c r="AV120" s="182"/>
      <c r="AW120" s="182"/>
      <c r="AX120" s="183" t="s">
        <v>18</v>
      </c>
      <c r="AZ120" s="143"/>
      <c r="BA120" s="147" t="str">
        <f t="shared" si="21"/>
        <v>ml</v>
      </c>
      <c r="BB120" s="161"/>
      <c r="BC120" s="182"/>
      <c r="BD120" s="182"/>
      <c r="BE120" s="183" t="s">
        <v>18</v>
      </c>
      <c r="BF120" s="7"/>
      <c r="BG120" s="143"/>
      <c r="BH120" s="147" t="str">
        <f t="shared" si="22"/>
        <v>ml</v>
      </c>
      <c r="BI120" s="161"/>
      <c r="BJ120" s="182"/>
      <c r="BK120" s="182"/>
      <c r="BL120" s="183" t="s">
        <v>18</v>
      </c>
      <c r="BM120" s="7"/>
      <c r="BN120" s="143"/>
      <c r="BO120" s="147" t="str">
        <f t="shared" si="23"/>
        <v>ml</v>
      </c>
      <c r="BP120" s="161"/>
      <c r="BQ120" s="182"/>
      <c r="BR120" s="182"/>
      <c r="BS120" s="183" t="s">
        <v>18</v>
      </c>
      <c r="BT120" s="7"/>
      <c r="BU120" s="143"/>
      <c r="BV120" s="147" t="str">
        <f t="shared" si="24"/>
        <v>ml</v>
      </c>
      <c r="BW120" s="161"/>
      <c r="BX120" s="182"/>
      <c r="BY120" s="182"/>
      <c r="BZ120" s="183" t="s">
        <v>18</v>
      </c>
      <c r="CA120" s="7"/>
      <c r="CB120" s="7"/>
      <c r="CC120" s="163">
        <f t="shared" si="25"/>
        <v>0</v>
      </c>
      <c r="CD120" s="163">
        <f t="shared" si="26"/>
        <v>0</v>
      </c>
      <c r="CE120" s="163">
        <f t="shared" si="27"/>
        <v>0</v>
      </c>
      <c r="CF120" s="163">
        <f t="shared" si="28"/>
        <v>0</v>
      </c>
      <c r="CG120" s="163">
        <f t="shared" si="29"/>
        <v>0</v>
      </c>
      <c r="CH120" s="163">
        <f t="shared" si="30"/>
        <v>0</v>
      </c>
      <c r="CI120" s="7"/>
      <c r="CJ120" s="163">
        <f t="shared" si="31"/>
        <v>0</v>
      </c>
      <c r="CK120" s="163">
        <f t="shared" si="32"/>
        <v>0</v>
      </c>
      <c r="CL120" s="163">
        <f t="shared" si="33"/>
        <v>0</v>
      </c>
      <c r="CM120" s="163">
        <f t="shared" si="34"/>
        <v>0</v>
      </c>
      <c r="CN120" s="163">
        <f t="shared" si="35"/>
        <v>0</v>
      </c>
      <c r="CO120" s="163">
        <f t="shared" si="36"/>
        <v>0</v>
      </c>
      <c r="CP120" s="163"/>
      <c r="CQ120" s="163">
        <f t="shared" si="37"/>
        <v>0</v>
      </c>
      <c r="CR120" s="163">
        <f t="shared" si="38"/>
        <v>0</v>
      </c>
      <c r="CS120" s="163">
        <f t="shared" si="39"/>
        <v>0</v>
      </c>
      <c r="CT120" s="163">
        <f t="shared" si="40"/>
        <v>0</v>
      </c>
      <c r="CU120" s="163">
        <f t="shared" si="41"/>
        <v>0</v>
      </c>
      <c r="CV120" s="163">
        <f t="shared" si="42"/>
        <v>0</v>
      </c>
      <c r="CY120" s="164" t="s">
        <v>45</v>
      </c>
      <c r="FN120" s="165">
        <f t="shared" si="8"/>
        <v>411.76470588235293</v>
      </c>
      <c r="FO120" s="166">
        <f t="shared" si="43"/>
        <v>0</v>
      </c>
      <c r="FP120" s="166">
        <f t="shared" si="44"/>
        <v>0</v>
      </c>
      <c r="FQ120" s="7"/>
      <c r="FR120" s="7"/>
      <c r="FS120" s="7"/>
      <c r="FT120" s="7"/>
      <c r="FU120" s="7"/>
      <c r="FV120" s="7"/>
    </row>
    <row r="121" spans="1:178" s="181" customFormat="1" ht="18" x14ac:dyDescent="0.2">
      <c r="A121" s="137">
        <v>33</v>
      </c>
      <c r="B121" s="138" t="s">
        <v>110</v>
      </c>
      <c r="C121" s="139"/>
      <c r="D121" s="185" t="s">
        <v>99</v>
      </c>
      <c r="E121" s="141" t="s">
        <v>121</v>
      </c>
      <c r="F121" s="142" t="s">
        <v>122</v>
      </c>
      <c r="G121" s="143"/>
      <c r="H121" s="144"/>
      <c r="I121" s="144"/>
      <c r="J121" s="144"/>
      <c r="K121" s="144"/>
      <c r="L121" s="144"/>
      <c r="M121" s="137">
        <f t="shared" si="9"/>
        <v>38.82352941176471</v>
      </c>
      <c r="N121" s="145" t="s">
        <v>9</v>
      </c>
      <c r="O121" s="184">
        <f t="shared" si="10"/>
        <v>38.82352941176471</v>
      </c>
      <c r="P121" s="147" t="str">
        <f t="shared" si="0"/>
        <v>pç</v>
      </c>
      <c r="Q121" s="147" t="str">
        <f t="shared" si="1"/>
        <v>/ dia</v>
      </c>
      <c r="R121" s="148">
        <v>1</v>
      </c>
      <c r="S121" s="149">
        <v>1</v>
      </c>
      <c r="T121" s="149">
        <f t="shared" si="2"/>
        <v>0</v>
      </c>
      <c r="U121" s="149">
        <f t="shared" si="3"/>
        <v>0</v>
      </c>
      <c r="V121" s="149">
        <f t="shared" si="11"/>
        <v>0</v>
      </c>
      <c r="W121" s="140" t="s">
        <v>18</v>
      </c>
      <c r="X121" s="150" t="s">
        <v>18</v>
      </c>
      <c r="Y121" s="151">
        <f t="shared" si="12"/>
        <v>0</v>
      </c>
      <c r="Z121" s="152">
        <f t="shared" si="4"/>
        <v>1</v>
      </c>
      <c r="AA121" s="153">
        <f t="shared" si="13"/>
        <v>0</v>
      </c>
      <c r="AB121" s="153">
        <f t="shared" si="14"/>
        <v>0</v>
      </c>
      <c r="AC121" s="154"/>
      <c r="AD121" s="155">
        <f t="shared" si="5"/>
        <v>0</v>
      </c>
      <c r="AE121" s="156">
        <f t="shared" si="15"/>
        <v>0</v>
      </c>
      <c r="AF121" s="157">
        <f t="shared" si="6"/>
        <v>0</v>
      </c>
      <c r="AG121" s="158" t="str">
        <f t="shared" si="7"/>
        <v>pç</v>
      </c>
      <c r="AH121" s="158">
        <f t="shared" si="16"/>
        <v>0</v>
      </c>
      <c r="AI121" s="159">
        <f t="shared" si="17"/>
        <v>0</v>
      </c>
      <c r="AJ121" s="160">
        <f t="shared" si="18"/>
        <v>0</v>
      </c>
      <c r="AL121" s="143"/>
      <c r="AM121" s="147" t="str">
        <f t="shared" si="19"/>
        <v>pç</v>
      </c>
      <c r="AN121" s="161"/>
      <c r="AO121" s="162"/>
      <c r="AP121" s="162"/>
      <c r="AQ121" s="140" t="s">
        <v>18</v>
      </c>
      <c r="AS121" s="143"/>
      <c r="AT121" s="147" t="str">
        <f t="shared" si="20"/>
        <v>pç</v>
      </c>
      <c r="AU121" s="161"/>
      <c r="AV121" s="162"/>
      <c r="AW121" s="162"/>
      <c r="AX121" s="140" t="s">
        <v>18</v>
      </c>
      <c r="AZ121" s="143"/>
      <c r="BA121" s="147" t="str">
        <f t="shared" si="21"/>
        <v>pç</v>
      </c>
      <c r="BB121" s="161"/>
      <c r="BC121" s="162"/>
      <c r="BD121" s="162"/>
      <c r="BE121" s="140" t="s">
        <v>18</v>
      </c>
      <c r="BF121" s="7"/>
      <c r="BG121" s="143"/>
      <c r="BH121" s="147" t="str">
        <f t="shared" si="22"/>
        <v>pç</v>
      </c>
      <c r="BI121" s="161"/>
      <c r="BJ121" s="162"/>
      <c r="BK121" s="162"/>
      <c r="BL121" s="140" t="s">
        <v>18</v>
      </c>
      <c r="BM121" s="7"/>
      <c r="BN121" s="143"/>
      <c r="BO121" s="147" t="str">
        <f t="shared" si="23"/>
        <v>pç</v>
      </c>
      <c r="BP121" s="161"/>
      <c r="BQ121" s="162"/>
      <c r="BR121" s="162"/>
      <c r="BS121" s="140" t="s">
        <v>18</v>
      </c>
      <c r="BT121" s="7"/>
      <c r="BU121" s="143"/>
      <c r="BV121" s="147" t="str">
        <f t="shared" si="24"/>
        <v>pç</v>
      </c>
      <c r="BW121" s="161"/>
      <c r="BX121" s="162"/>
      <c r="BY121" s="162"/>
      <c r="BZ121" s="140" t="s">
        <v>18</v>
      </c>
      <c r="CA121" s="7"/>
      <c r="CB121" s="7"/>
      <c r="CC121" s="163">
        <f t="shared" si="25"/>
        <v>0</v>
      </c>
      <c r="CD121" s="163">
        <f t="shared" si="26"/>
        <v>0</v>
      </c>
      <c r="CE121" s="163">
        <f t="shared" si="27"/>
        <v>0</v>
      </c>
      <c r="CF121" s="163">
        <f t="shared" si="28"/>
        <v>0</v>
      </c>
      <c r="CG121" s="163">
        <f t="shared" si="29"/>
        <v>0</v>
      </c>
      <c r="CH121" s="163">
        <f t="shared" si="30"/>
        <v>0</v>
      </c>
      <c r="CI121" s="7"/>
      <c r="CJ121" s="163">
        <f t="shared" si="31"/>
        <v>0</v>
      </c>
      <c r="CK121" s="163">
        <f t="shared" si="32"/>
        <v>0</v>
      </c>
      <c r="CL121" s="163">
        <f t="shared" si="33"/>
        <v>0</v>
      </c>
      <c r="CM121" s="163">
        <f t="shared" si="34"/>
        <v>0</v>
      </c>
      <c r="CN121" s="163">
        <f t="shared" si="35"/>
        <v>0</v>
      </c>
      <c r="CO121" s="163">
        <f t="shared" si="36"/>
        <v>0</v>
      </c>
      <c r="CP121" s="163"/>
      <c r="CQ121" s="163">
        <f t="shared" si="37"/>
        <v>0</v>
      </c>
      <c r="CR121" s="163">
        <f t="shared" si="38"/>
        <v>0</v>
      </c>
      <c r="CS121" s="163">
        <f t="shared" si="39"/>
        <v>0</v>
      </c>
      <c r="CT121" s="163">
        <f t="shared" si="40"/>
        <v>0</v>
      </c>
      <c r="CU121" s="163">
        <f t="shared" si="41"/>
        <v>0</v>
      </c>
      <c r="CV121" s="163">
        <f t="shared" si="42"/>
        <v>0</v>
      </c>
      <c r="CY121" s="164" t="s">
        <v>45</v>
      </c>
      <c r="FN121" s="165">
        <f t="shared" si="8"/>
        <v>38.82352941176471</v>
      </c>
      <c r="FO121" s="166">
        <f t="shared" si="43"/>
        <v>0</v>
      </c>
      <c r="FP121" s="166">
        <f t="shared" si="44"/>
        <v>0</v>
      </c>
      <c r="FQ121" s="7"/>
      <c r="FR121" s="7"/>
      <c r="FS121" s="7"/>
      <c r="FT121" s="7"/>
      <c r="FU121" s="7"/>
      <c r="FV121" s="7"/>
    </row>
    <row r="122" spans="1:178" s="181" customFormat="1" ht="18" x14ac:dyDescent="0.25">
      <c r="A122" s="167">
        <v>34.75</v>
      </c>
      <c r="B122" s="168" t="s">
        <v>110</v>
      </c>
      <c r="C122" s="169"/>
      <c r="D122" s="140" t="s">
        <v>123</v>
      </c>
      <c r="E122" s="170" t="s">
        <v>124</v>
      </c>
      <c r="F122" s="171" t="s">
        <v>125</v>
      </c>
      <c r="G122" s="143"/>
      <c r="H122" s="172"/>
      <c r="I122" s="172"/>
      <c r="J122" s="172"/>
      <c r="K122" s="172"/>
      <c r="L122" s="172"/>
      <c r="M122" s="137">
        <f t="shared" si="9"/>
        <v>40.882352941176471</v>
      </c>
      <c r="N122" s="173" t="s">
        <v>9</v>
      </c>
      <c r="O122" s="146">
        <f t="shared" si="10"/>
        <v>40.882352941176471</v>
      </c>
      <c r="P122" s="174" t="str">
        <f t="shared" si="0"/>
        <v>pç</v>
      </c>
      <c r="Q122" s="175" t="str">
        <f t="shared" si="1"/>
        <v>/ dia</v>
      </c>
      <c r="R122" s="176">
        <v>2</v>
      </c>
      <c r="S122" s="177">
        <v>1</v>
      </c>
      <c r="T122" s="177">
        <f t="shared" si="2"/>
        <v>1</v>
      </c>
      <c r="U122" s="149">
        <f t="shared" si="3"/>
        <v>0</v>
      </c>
      <c r="V122" s="149">
        <f t="shared" si="11"/>
        <v>0</v>
      </c>
      <c r="W122" s="140" t="s">
        <v>18</v>
      </c>
      <c r="X122" s="150" t="s">
        <v>18</v>
      </c>
      <c r="Y122" s="151">
        <f t="shared" si="12"/>
        <v>0</v>
      </c>
      <c r="Z122" s="178">
        <f t="shared" si="4"/>
        <v>0.5</v>
      </c>
      <c r="AA122" s="179">
        <f t="shared" si="13"/>
        <v>0</v>
      </c>
      <c r="AB122" s="179">
        <f t="shared" si="14"/>
        <v>0</v>
      </c>
      <c r="AC122" s="180"/>
      <c r="AD122" s="155">
        <f t="shared" si="5"/>
        <v>0</v>
      </c>
      <c r="AE122" s="156">
        <f t="shared" si="15"/>
        <v>0</v>
      </c>
      <c r="AF122" s="157">
        <f t="shared" si="6"/>
        <v>0</v>
      </c>
      <c r="AG122" s="158" t="str">
        <f t="shared" si="7"/>
        <v>pç</v>
      </c>
      <c r="AH122" s="158">
        <f t="shared" si="16"/>
        <v>0</v>
      </c>
      <c r="AI122" s="159">
        <f t="shared" si="17"/>
        <v>0</v>
      </c>
      <c r="AJ122" s="160">
        <f t="shared" si="18"/>
        <v>0</v>
      </c>
      <c r="AL122" s="143"/>
      <c r="AM122" s="147" t="str">
        <f t="shared" si="19"/>
        <v>pç</v>
      </c>
      <c r="AN122" s="161"/>
      <c r="AO122" s="182"/>
      <c r="AP122" s="182"/>
      <c r="AQ122" s="183" t="s">
        <v>18</v>
      </c>
      <c r="AS122" s="143"/>
      <c r="AT122" s="147" t="str">
        <f t="shared" si="20"/>
        <v>pç</v>
      </c>
      <c r="AU122" s="161"/>
      <c r="AV122" s="182"/>
      <c r="AW122" s="182"/>
      <c r="AX122" s="183" t="s">
        <v>18</v>
      </c>
      <c r="AZ122" s="143"/>
      <c r="BA122" s="147" t="str">
        <f t="shared" si="21"/>
        <v>pç</v>
      </c>
      <c r="BB122" s="161"/>
      <c r="BC122" s="182"/>
      <c r="BD122" s="182"/>
      <c r="BE122" s="183" t="s">
        <v>18</v>
      </c>
      <c r="BF122" s="7"/>
      <c r="BG122" s="143"/>
      <c r="BH122" s="147" t="str">
        <f t="shared" si="22"/>
        <v>pç</v>
      </c>
      <c r="BI122" s="161"/>
      <c r="BJ122" s="182"/>
      <c r="BK122" s="182"/>
      <c r="BL122" s="183" t="s">
        <v>18</v>
      </c>
      <c r="BM122" s="7"/>
      <c r="BN122" s="143"/>
      <c r="BO122" s="147" t="str">
        <f t="shared" si="23"/>
        <v>pç</v>
      </c>
      <c r="BP122" s="161"/>
      <c r="BQ122" s="182"/>
      <c r="BR122" s="182"/>
      <c r="BS122" s="183" t="s">
        <v>18</v>
      </c>
      <c r="BT122" s="7"/>
      <c r="BU122" s="143"/>
      <c r="BV122" s="147" t="str">
        <f t="shared" si="24"/>
        <v>pç</v>
      </c>
      <c r="BW122" s="161"/>
      <c r="BX122" s="182"/>
      <c r="BY122" s="182"/>
      <c r="BZ122" s="183" t="s">
        <v>18</v>
      </c>
      <c r="CA122" s="7"/>
      <c r="CB122" s="7"/>
      <c r="CC122" s="163">
        <f t="shared" si="25"/>
        <v>0</v>
      </c>
      <c r="CD122" s="163">
        <f t="shared" si="26"/>
        <v>0</v>
      </c>
      <c r="CE122" s="163">
        <f t="shared" si="27"/>
        <v>0</v>
      </c>
      <c r="CF122" s="163">
        <f t="shared" si="28"/>
        <v>0</v>
      </c>
      <c r="CG122" s="163">
        <f t="shared" si="29"/>
        <v>0</v>
      </c>
      <c r="CH122" s="163">
        <f t="shared" si="30"/>
        <v>0</v>
      </c>
      <c r="CI122" s="7"/>
      <c r="CJ122" s="163">
        <f t="shared" si="31"/>
        <v>0</v>
      </c>
      <c r="CK122" s="163">
        <f t="shared" si="32"/>
        <v>0</v>
      </c>
      <c r="CL122" s="163">
        <f t="shared" si="33"/>
        <v>0</v>
      </c>
      <c r="CM122" s="163">
        <f t="shared" si="34"/>
        <v>0</v>
      </c>
      <c r="CN122" s="163">
        <f t="shared" si="35"/>
        <v>0</v>
      </c>
      <c r="CO122" s="163">
        <f t="shared" si="36"/>
        <v>0</v>
      </c>
      <c r="CP122" s="163"/>
      <c r="CQ122" s="163">
        <f t="shared" si="37"/>
        <v>0</v>
      </c>
      <c r="CR122" s="163">
        <f t="shared" si="38"/>
        <v>0</v>
      </c>
      <c r="CS122" s="163">
        <f t="shared" si="39"/>
        <v>0</v>
      </c>
      <c r="CT122" s="163">
        <f t="shared" si="40"/>
        <v>0</v>
      </c>
      <c r="CU122" s="163">
        <f t="shared" si="41"/>
        <v>0</v>
      </c>
      <c r="CV122" s="163">
        <f t="shared" si="42"/>
        <v>0</v>
      </c>
      <c r="CY122" s="164" t="s">
        <v>45</v>
      </c>
      <c r="FN122" s="165">
        <f t="shared" si="8"/>
        <v>40.882352941176471</v>
      </c>
      <c r="FO122" s="166">
        <f t="shared" si="43"/>
        <v>0</v>
      </c>
      <c r="FP122" s="166">
        <f t="shared" si="44"/>
        <v>0</v>
      </c>
      <c r="FQ122" s="7"/>
      <c r="FR122" s="7"/>
      <c r="FS122" s="7"/>
      <c r="FT122" s="7"/>
      <c r="FU122" s="7"/>
      <c r="FV122" s="7"/>
    </row>
    <row r="123" spans="1:178" s="181" customFormat="1" ht="18" x14ac:dyDescent="0.2">
      <c r="A123" s="137">
        <v>40.4</v>
      </c>
      <c r="B123" s="138" t="s">
        <v>110</v>
      </c>
      <c r="C123" s="139"/>
      <c r="D123" s="185" t="s">
        <v>99</v>
      </c>
      <c r="E123" s="141" t="s">
        <v>100</v>
      </c>
      <c r="F123" s="142" t="s">
        <v>126</v>
      </c>
      <c r="G123" s="143"/>
      <c r="H123" s="144"/>
      <c r="I123" s="144"/>
      <c r="J123" s="144"/>
      <c r="K123" s="144"/>
      <c r="L123" s="144"/>
      <c r="M123" s="137">
        <f t="shared" si="9"/>
        <v>47.529411764705884</v>
      </c>
      <c r="N123" s="145" t="s">
        <v>9</v>
      </c>
      <c r="O123" s="184">
        <f t="shared" si="10"/>
        <v>47.529411764705884</v>
      </c>
      <c r="P123" s="147" t="str">
        <f t="shared" si="0"/>
        <v>pç</v>
      </c>
      <c r="Q123" s="147" t="str">
        <f t="shared" si="1"/>
        <v>/ dia</v>
      </c>
      <c r="R123" s="148">
        <v>1</v>
      </c>
      <c r="S123" s="149">
        <v>0</v>
      </c>
      <c r="T123" s="149">
        <f t="shared" si="2"/>
        <v>1</v>
      </c>
      <c r="U123" s="149">
        <f t="shared" si="3"/>
        <v>0</v>
      </c>
      <c r="V123" s="149">
        <f t="shared" si="11"/>
        <v>0</v>
      </c>
      <c r="W123" s="140" t="s">
        <v>18</v>
      </c>
      <c r="X123" s="150" t="s">
        <v>18</v>
      </c>
      <c r="Y123" s="151">
        <f t="shared" si="12"/>
        <v>0</v>
      </c>
      <c r="Z123" s="152">
        <f t="shared" si="4"/>
        <v>0</v>
      </c>
      <c r="AA123" s="153">
        <f t="shared" si="13"/>
        <v>0</v>
      </c>
      <c r="AB123" s="153">
        <f t="shared" si="14"/>
        <v>0</v>
      </c>
      <c r="AC123" s="154"/>
      <c r="AD123" s="155">
        <f t="shared" si="5"/>
        <v>0</v>
      </c>
      <c r="AE123" s="156">
        <f t="shared" si="15"/>
        <v>0</v>
      </c>
      <c r="AF123" s="157">
        <f t="shared" si="6"/>
        <v>0</v>
      </c>
      <c r="AG123" s="158" t="str">
        <f t="shared" si="7"/>
        <v>pç</v>
      </c>
      <c r="AH123" s="158">
        <f t="shared" si="16"/>
        <v>0</v>
      </c>
      <c r="AI123" s="159">
        <f t="shared" si="17"/>
        <v>0</v>
      </c>
      <c r="AJ123" s="160">
        <f t="shared" si="18"/>
        <v>0</v>
      </c>
      <c r="AL123" s="143"/>
      <c r="AM123" s="147" t="str">
        <f t="shared" si="19"/>
        <v>pç</v>
      </c>
      <c r="AN123" s="161"/>
      <c r="AO123" s="162"/>
      <c r="AP123" s="162"/>
      <c r="AQ123" s="140" t="s">
        <v>18</v>
      </c>
      <c r="AS123" s="143"/>
      <c r="AT123" s="147" t="str">
        <f t="shared" si="20"/>
        <v>pç</v>
      </c>
      <c r="AU123" s="161"/>
      <c r="AV123" s="162"/>
      <c r="AW123" s="162"/>
      <c r="AX123" s="140" t="s">
        <v>18</v>
      </c>
      <c r="AZ123" s="143"/>
      <c r="BA123" s="147" t="str">
        <f t="shared" si="21"/>
        <v>pç</v>
      </c>
      <c r="BB123" s="161"/>
      <c r="BC123" s="162"/>
      <c r="BD123" s="162"/>
      <c r="BE123" s="140" t="s">
        <v>18</v>
      </c>
      <c r="BF123" s="7"/>
      <c r="BG123" s="143"/>
      <c r="BH123" s="147" t="str">
        <f t="shared" si="22"/>
        <v>pç</v>
      </c>
      <c r="BI123" s="161"/>
      <c r="BJ123" s="162"/>
      <c r="BK123" s="162"/>
      <c r="BL123" s="140" t="s">
        <v>18</v>
      </c>
      <c r="BM123" s="7"/>
      <c r="BN123" s="143"/>
      <c r="BO123" s="147" t="str">
        <f t="shared" si="23"/>
        <v>pç</v>
      </c>
      <c r="BP123" s="161"/>
      <c r="BQ123" s="162"/>
      <c r="BR123" s="162"/>
      <c r="BS123" s="140" t="s">
        <v>18</v>
      </c>
      <c r="BT123" s="7"/>
      <c r="BU123" s="143"/>
      <c r="BV123" s="147" t="str">
        <f t="shared" si="24"/>
        <v>pç</v>
      </c>
      <c r="BW123" s="161"/>
      <c r="BX123" s="162"/>
      <c r="BY123" s="162"/>
      <c r="BZ123" s="140" t="s">
        <v>18</v>
      </c>
      <c r="CA123" s="7"/>
      <c r="CB123" s="7"/>
      <c r="CC123" s="163">
        <f t="shared" si="25"/>
        <v>0</v>
      </c>
      <c r="CD123" s="163">
        <f t="shared" si="26"/>
        <v>0</v>
      </c>
      <c r="CE123" s="163">
        <f t="shared" si="27"/>
        <v>0</v>
      </c>
      <c r="CF123" s="163">
        <f t="shared" si="28"/>
        <v>0</v>
      </c>
      <c r="CG123" s="163">
        <f t="shared" si="29"/>
        <v>0</v>
      </c>
      <c r="CH123" s="163">
        <f t="shared" si="30"/>
        <v>0</v>
      </c>
      <c r="CI123" s="7"/>
      <c r="CJ123" s="163">
        <f t="shared" si="31"/>
        <v>0</v>
      </c>
      <c r="CK123" s="163">
        <f t="shared" si="32"/>
        <v>0</v>
      </c>
      <c r="CL123" s="163">
        <f t="shared" si="33"/>
        <v>0</v>
      </c>
      <c r="CM123" s="163">
        <f t="shared" si="34"/>
        <v>0</v>
      </c>
      <c r="CN123" s="163">
        <f t="shared" si="35"/>
        <v>0</v>
      </c>
      <c r="CO123" s="163">
        <f t="shared" si="36"/>
        <v>0</v>
      </c>
      <c r="CP123" s="163"/>
      <c r="CQ123" s="163">
        <f t="shared" si="37"/>
        <v>0</v>
      </c>
      <c r="CR123" s="163">
        <f t="shared" si="38"/>
        <v>0</v>
      </c>
      <c r="CS123" s="163">
        <f t="shared" si="39"/>
        <v>0</v>
      </c>
      <c r="CT123" s="163">
        <f t="shared" si="40"/>
        <v>0</v>
      </c>
      <c r="CU123" s="163">
        <f t="shared" si="41"/>
        <v>0</v>
      </c>
      <c r="CV123" s="163">
        <f t="shared" si="42"/>
        <v>0</v>
      </c>
      <c r="CY123" s="164" t="s">
        <v>45</v>
      </c>
      <c r="FN123" s="165">
        <f t="shared" si="8"/>
        <v>47.529411764705884</v>
      </c>
      <c r="FO123" s="166">
        <f t="shared" si="43"/>
        <v>0</v>
      </c>
      <c r="FP123" s="166">
        <f t="shared" si="44"/>
        <v>0</v>
      </c>
      <c r="FQ123" s="7"/>
      <c r="FR123" s="7"/>
      <c r="FS123" s="7"/>
      <c r="FT123" s="7"/>
      <c r="FU123" s="7"/>
      <c r="FV123" s="7"/>
    </row>
    <row r="124" spans="1:178" s="181" customFormat="1" ht="18" x14ac:dyDescent="0.25">
      <c r="A124" s="167">
        <v>683.33333333333337</v>
      </c>
      <c r="B124" s="168" t="s">
        <v>127</v>
      </c>
      <c r="C124" s="169" t="s">
        <v>128</v>
      </c>
      <c r="D124" s="185" t="s">
        <v>99</v>
      </c>
      <c r="E124" s="170" t="s">
        <v>129</v>
      </c>
      <c r="F124" s="171" t="s">
        <v>130</v>
      </c>
      <c r="G124" s="143"/>
      <c r="H124" s="172"/>
      <c r="I124" s="172"/>
      <c r="J124" s="172"/>
      <c r="K124" s="172"/>
      <c r="L124" s="172"/>
      <c r="M124" s="137">
        <f t="shared" si="9"/>
        <v>803.92156862745105</v>
      </c>
      <c r="N124" s="173" t="s">
        <v>8</v>
      </c>
      <c r="O124" s="146">
        <f t="shared" si="10"/>
        <v>803.92156862745105</v>
      </c>
      <c r="P124" s="174" t="str">
        <f t="shared" si="0"/>
        <v>mt</v>
      </c>
      <c r="Q124" s="175" t="str">
        <f t="shared" si="1"/>
        <v>/ dia</v>
      </c>
      <c r="R124" s="176">
        <v>2</v>
      </c>
      <c r="S124" s="177">
        <v>1</v>
      </c>
      <c r="T124" s="177">
        <f t="shared" si="2"/>
        <v>1</v>
      </c>
      <c r="U124" s="149">
        <f t="shared" si="3"/>
        <v>0</v>
      </c>
      <c r="V124" s="149">
        <f t="shared" si="11"/>
        <v>0</v>
      </c>
      <c r="W124" s="140" t="s">
        <v>18</v>
      </c>
      <c r="X124" s="150" t="s">
        <v>18</v>
      </c>
      <c r="Y124" s="151">
        <f t="shared" si="12"/>
        <v>0</v>
      </c>
      <c r="Z124" s="178">
        <f t="shared" si="4"/>
        <v>0.5</v>
      </c>
      <c r="AA124" s="179">
        <f t="shared" si="13"/>
        <v>0</v>
      </c>
      <c r="AB124" s="179">
        <f t="shared" si="14"/>
        <v>0</v>
      </c>
      <c r="AC124" s="180"/>
      <c r="AD124" s="155">
        <f t="shared" si="5"/>
        <v>0</v>
      </c>
      <c r="AE124" s="156">
        <f t="shared" si="15"/>
        <v>0</v>
      </c>
      <c r="AF124" s="157">
        <f t="shared" si="6"/>
        <v>0</v>
      </c>
      <c r="AG124" s="158" t="str">
        <f t="shared" si="7"/>
        <v>mt</v>
      </c>
      <c r="AH124" s="158">
        <f t="shared" si="16"/>
        <v>0</v>
      </c>
      <c r="AI124" s="159">
        <f t="shared" si="17"/>
        <v>0</v>
      </c>
      <c r="AJ124" s="160">
        <f t="shared" si="18"/>
        <v>0</v>
      </c>
      <c r="AL124" s="143"/>
      <c r="AM124" s="147" t="str">
        <f t="shared" si="19"/>
        <v>mt</v>
      </c>
      <c r="AN124" s="161"/>
      <c r="AO124" s="182"/>
      <c r="AP124" s="182"/>
      <c r="AQ124" s="183" t="s">
        <v>18</v>
      </c>
      <c r="AS124" s="143"/>
      <c r="AT124" s="147" t="str">
        <f t="shared" si="20"/>
        <v>mt</v>
      </c>
      <c r="AU124" s="161"/>
      <c r="AV124" s="182"/>
      <c r="AW124" s="182"/>
      <c r="AX124" s="183" t="s">
        <v>18</v>
      </c>
      <c r="AZ124" s="143"/>
      <c r="BA124" s="147" t="str">
        <f t="shared" si="21"/>
        <v>mt</v>
      </c>
      <c r="BB124" s="161"/>
      <c r="BC124" s="182"/>
      <c r="BD124" s="182"/>
      <c r="BE124" s="183" t="s">
        <v>18</v>
      </c>
      <c r="BF124" s="7"/>
      <c r="BG124" s="143"/>
      <c r="BH124" s="147" t="str">
        <f t="shared" si="22"/>
        <v>mt</v>
      </c>
      <c r="BI124" s="161"/>
      <c r="BJ124" s="182"/>
      <c r="BK124" s="182"/>
      <c r="BL124" s="183" t="s">
        <v>18</v>
      </c>
      <c r="BM124" s="7"/>
      <c r="BN124" s="143"/>
      <c r="BO124" s="147" t="str">
        <f t="shared" si="23"/>
        <v>mt</v>
      </c>
      <c r="BP124" s="161"/>
      <c r="BQ124" s="182"/>
      <c r="BR124" s="182"/>
      <c r="BS124" s="183" t="s">
        <v>18</v>
      </c>
      <c r="BT124" s="7"/>
      <c r="BU124" s="143"/>
      <c r="BV124" s="147" t="str">
        <f t="shared" si="24"/>
        <v>mt</v>
      </c>
      <c r="BW124" s="161"/>
      <c r="BX124" s="182"/>
      <c r="BY124" s="182"/>
      <c r="BZ124" s="183" t="s">
        <v>18</v>
      </c>
      <c r="CA124" s="7"/>
      <c r="CB124" s="7"/>
      <c r="CC124" s="163">
        <f t="shared" si="25"/>
        <v>0</v>
      </c>
      <c r="CD124" s="163">
        <f t="shared" si="26"/>
        <v>0</v>
      </c>
      <c r="CE124" s="163">
        <f t="shared" si="27"/>
        <v>0</v>
      </c>
      <c r="CF124" s="163">
        <f t="shared" si="28"/>
        <v>0</v>
      </c>
      <c r="CG124" s="163">
        <f t="shared" si="29"/>
        <v>0</v>
      </c>
      <c r="CH124" s="163">
        <f t="shared" si="30"/>
        <v>0</v>
      </c>
      <c r="CI124" s="7"/>
      <c r="CJ124" s="163">
        <f t="shared" si="31"/>
        <v>0</v>
      </c>
      <c r="CK124" s="163">
        <f t="shared" si="32"/>
        <v>0</v>
      </c>
      <c r="CL124" s="163">
        <f t="shared" si="33"/>
        <v>0</v>
      </c>
      <c r="CM124" s="163">
        <f t="shared" si="34"/>
        <v>0</v>
      </c>
      <c r="CN124" s="163">
        <f t="shared" si="35"/>
        <v>0</v>
      </c>
      <c r="CO124" s="163">
        <f t="shared" si="36"/>
        <v>0</v>
      </c>
      <c r="CP124" s="163"/>
      <c r="CQ124" s="163">
        <f t="shared" si="37"/>
        <v>0</v>
      </c>
      <c r="CR124" s="163">
        <f t="shared" si="38"/>
        <v>0</v>
      </c>
      <c r="CS124" s="163">
        <f t="shared" si="39"/>
        <v>0</v>
      </c>
      <c r="CT124" s="163">
        <f t="shared" si="40"/>
        <v>0</v>
      </c>
      <c r="CU124" s="163">
        <f t="shared" si="41"/>
        <v>0</v>
      </c>
      <c r="CV124" s="163">
        <f t="shared" si="42"/>
        <v>0</v>
      </c>
      <c r="CY124" s="164" t="s">
        <v>45</v>
      </c>
      <c r="FN124" s="165">
        <f t="shared" si="8"/>
        <v>803.92156862745105</v>
      </c>
      <c r="FO124" s="166">
        <f t="shared" si="43"/>
        <v>0</v>
      </c>
      <c r="FP124" s="166">
        <f t="shared" si="44"/>
        <v>0</v>
      </c>
      <c r="FQ124" s="7"/>
      <c r="FR124" s="7"/>
      <c r="FS124" s="7"/>
      <c r="FT124" s="7"/>
      <c r="FU124" s="7"/>
      <c r="FV124" s="7"/>
    </row>
    <row r="125" spans="1:178" s="181" customFormat="1" ht="18" x14ac:dyDescent="0.2">
      <c r="A125" s="137">
        <v>433.33333333333331</v>
      </c>
      <c r="B125" s="138" t="s">
        <v>127</v>
      </c>
      <c r="C125" s="139" t="s">
        <v>128</v>
      </c>
      <c r="D125" s="185" t="s">
        <v>99</v>
      </c>
      <c r="E125" s="141" t="s">
        <v>129</v>
      </c>
      <c r="F125" s="142" t="s">
        <v>131</v>
      </c>
      <c r="G125" s="143"/>
      <c r="H125" s="144"/>
      <c r="I125" s="144"/>
      <c r="J125" s="144"/>
      <c r="K125" s="144"/>
      <c r="L125" s="144"/>
      <c r="M125" s="137">
        <f t="shared" si="9"/>
        <v>509.80392156862746</v>
      </c>
      <c r="N125" s="145" t="s">
        <v>8</v>
      </c>
      <c r="O125" s="184">
        <f t="shared" si="10"/>
        <v>509.80392156862746</v>
      </c>
      <c r="P125" s="147" t="str">
        <f t="shared" si="0"/>
        <v>mt</v>
      </c>
      <c r="Q125" s="147" t="str">
        <f t="shared" si="1"/>
        <v>/ dia</v>
      </c>
      <c r="R125" s="148">
        <v>3</v>
      </c>
      <c r="S125" s="149">
        <v>2</v>
      </c>
      <c r="T125" s="149">
        <f t="shared" si="2"/>
        <v>1</v>
      </c>
      <c r="U125" s="149">
        <f t="shared" si="3"/>
        <v>0</v>
      </c>
      <c r="V125" s="149">
        <f t="shared" si="11"/>
        <v>0</v>
      </c>
      <c r="W125" s="140" t="s">
        <v>18</v>
      </c>
      <c r="X125" s="150" t="s">
        <v>18</v>
      </c>
      <c r="Y125" s="151">
        <f t="shared" si="12"/>
        <v>0</v>
      </c>
      <c r="Z125" s="152">
        <f t="shared" si="4"/>
        <v>0.66666666666666663</v>
      </c>
      <c r="AA125" s="153">
        <f t="shared" si="13"/>
        <v>0</v>
      </c>
      <c r="AB125" s="153">
        <f t="shared" si="14"/>
        <v>0</v>
      </c>
      <c r="AC125" s="154"/>
      <c r="AD125" s="155">
        <f t="shared" si="5"/>
        <v>0</v>
      </c>
      <c r="AE125" s="156">
        <f t="shared" si="15"/>
        <v>0</v>
      </c>
      <c r="AF125" s="157">
        <f t="shared" si="6"/>
        <v>0</v>
      </c>
      <c r="AG125" s="158" t="str">
        <f t="shared" si="7"/>
        <v>mt</v>
      </c>
      <c r="AH125" s="158">
        <f t="shared" si="16"/>
        <v>0</v>
      </c>
      <c r="AI125" s="159">
        <f t="shared" si="17"/>
        <v>0</v>
      </c>
      <c r="AJ125" s="160">
        <f t="shared" si="18"/>
        <v>0</v>
      </c>
      <c r="AL125" s="143"/>
      <c r="AM125" s="147" t="str">
        <f t="shared" si="19"/>
        <v>mt</v>
      </c>
      <c r="AN125" s="161"/>
      <c r="AO125" s="162"/>
      <c r="AP125" s="162"/>
      <c r="AQ125" s="140" t="s">
        <v>18</v>
      </c>
      <c r="AS125" s="143"/>
      <c r="AT125" s="147" t="str">
        <f t="shared" si="20"/>
        <v>mt</v>
      </c>
      <c r="AU125" s="161"/>
      <c r="AV125" s="162"/>
      <c r="AW125" s="162"/>
      <c r="AX125" s="140" t="s">
        <v>18</v>
      </c>
      <c r="AZ125" s="143"/>
      <c r="BA125" s="147" t="str">
        <f t="shared" si="21"/>
        <v>mt</v>
      </c>
      <c r="BB125" s="161"/>
      <c r="BC125" s="162"/>
      <c r="BD125" s="162"/>
      <c r="BE125" s="140" t="s">
        <v>18</v>
      </c>
      <c r="BF125" s="7"/>
      <c r="BG125" s="143"/>
      <c r="BH125" s="147" t="str">
        <f t="shared" si="22"/>
        <v>mt</v>
      </c>
      <c r="BI125" s="161"/>
      <c r="BJ125" s="162"/>
      <c r="BK125" s="162"/>
      <c r="BL125" s="140" t="s">
        <v>18</v>
      </c>
      <c r="BM125" s="7"/>
      <c r="BN125" s="143"/>
      <c r="BO125" s="147" t="str">
        <f t="shared" si="23"/>
        <v>mt</v>
      </c>
      <c r="BP125" s="161"/>
      <c r="BQ125" s="162"/>
      <c r="BR125" s="162"/>
      <c r="BS125" s="140" t="s">
        <v>18</v>
      </c>
      <c r="BT125" s="7"/>
      <c r="BU125" s="143"/>
      <c r="BV125" s="147" t="str">
        <f t="shared" si="24"/>
        <v>mt</v>
      </c>
      <c r="BW125" s="161"/>
      <c r="BX125" s="162"/>
      <c r="BY125" s="162"/>
      <c r="BZ125" s="140" t="s">
        <v>18</v>
      </c>
      <c r="CA125" s="7"/>
      <c r="CB125" s="7"/>
      <c r="CC125" s="163">
        <f t="shared" si="25"/>
        <v>0</v>
      </c>
      <c r="CD125" s="163">
        <f t="shared" si="26"/>
        <v>0</v>
      </c>
      <c r="CE125" s="163">
        <f t="shared" si="27"/>
        <v>0</v>
      </c>
      <c r="CF125" s="163">
        <f t="shared" si="28"/>
        <v>0</v>
      </c>
      <c r="CG125" s="163">
        <f t="shared" si="29"/>
        <v>0</v>
      </c>
      <c r="CH125" s="163">
        <f t="shared" si="30"/>
        <v>0</v>
      </c>
      <c r="CI125" s="7"/>
      <c r="CJ125" s="163">
        <f t="shared" si="31"/>
        <v>0</v>
      </c>
      <c r="CK125" s="163">
        <f t="shared" si="32"/>
        <v>0</v>
      </c>
      <c r="CL125" s="163">
        <f t="shared" si="33"/>
        <v>0</v>
      </c>
      <c r="CM125" s="163">
        <f t="shared" si="34"/>
        <v>0</v>
      </c>
      <c r="CN125" s="163">
        <f t="shared" si="35"/>
        <v>0</v>
      </c>
      <c r="CO125" s="163">
        <f t="shared" si="36"/>
        <v>0</v>
      </c>
      <c r="CP125" s="163"/>
      <c r="CQ125" s="163">
        <f t="shared" si="37"/>
        <v>0</v>
      </c>
      <c r="CR125" s="163">
        <f t="shared" si="38"/>
        <v>0</v>
      </c>
      <c r="CS125" s="163">
        <f t="shared" si="39"/>
        <v>0</v>
      </c>
      <c r="CT125" s="163">
        <f t="shared" si="40"/>
        <v>0</v>
      </c>
      <c r="CU125" s="163">
        <f t="shared" si="41"/>
        <v>0</v>
      </c>
      <c r="CV125" s="163">
        <f t="shared" si="42"/>
        <v>0</v>
      </c>
      <c r="CY125" s="164" t="s">
        <v>45</v>
      </c>
      <c r="FN125" s="165">
        <f t="shared" si="8"/>
        <v>509.80392156862746</v>
      </c>
      <c r="FO125" s="166">
        <f t="shared" si="43"/>
        <v>0</v>
      </c>
      <c r="FP125" s="166">
        <f t="shared" si="44"/>
        <v>0</v>
      </c>
      <c r="FQ125" s="7"/>
      <c r="FR125" s="7"/>
      <c r="FS125" s="7"/>
      <c r="FT125" s="7"/>
      <c r="FU125" s="7"/>
      <c r="FV125" s="7"/>
    </row>
    <row r="126" spans="1:178" s="181" customFormat="1" ht="18" x14ac:dyDescent="0.25">
      <c r="A126" s="167">
        <v>550</v>
      </c>
      <c r="B126" s="168" t="s">
        <v>127</v>
      </c>
      <c r="C126" s="169" t="s">
        <v>128</v>
      </c>
      <c r="D126" s="185" t="s">
        <v>99</v>
      </c>
      <c r="E126" s="170" t="s">
        <v>129</v>
      </c>
      <c r="F126" s="171" t="s">
        <v>132</v>
      </c>
      <c r="G126" s="143"/>
      <c r="H126" s="172"/>
      <c r="I126" s="172"/>
      <c r="J126" s="172"/>
      <c r="K126" s="172"/>
      <c r="L126" s="172"/>
      <c r="M126" s="137">
        <f t="shared" si="9"/>
        <v>647.05882352941182</v>
      </c>
      <c r="N126" s="173" t="s">
        <v>8</v>
      </c>
      <c r="O126" s="146">
        <f t="shared" si="10"/>
        <v>647.05882352941182</v>
      </c>
      <c r="P126" s="174" t="str">
        <f t="shared" si="0"/>
        <v>mt</v>
      </c>
      <c r="Q126" s="175" t="str">
        <f t="shared" si="1"/>
        <v>/ dia</v>
      </c>
      <c r="R126" s="176">
        <v>3</v>
      </c>
      <c r="S126" s="177">
        <v>2</v>
      </c>
      <c r="T126" s="177">
        <f t="shared" si="2"/>
        <v>1</v>
      </c>
      <c r="U126" s="149">
        <f t="shared" si="3"/>
        <v>0</v>
      </c>
      <c r="V126" s="149">
        <f t="shared" si="11"/>
        <v>0</v>
      </c>
      <c r="W126" s="140" t="s">
        <v>18</v>
      </c>
      <c r="X126" s="150" t="s">
        <v>18</v>
      </c>
      <c r="Y126" s="151">
        <f t="shared" si="12"/>
        <v>0</v>
      </c>
      <c r="Z126" s="178">
        <f t="shared" si="4"/>
        <v>0.66666666666666663</v>
      </c>
      <c r="AA126" s="179">
        <f t="shared" si="13"/>
        <v>0</v>
      </c>
      <c r="AB126" s="179">
        <f t="shared" si="14"/>
        <v>0</v>
      </c>
      <c r="AC126" s="180"/>
      <c r="AD126" s="155">
        <f t="shared" si="5"/>
        <v>0</v>
      </c>
      <c r="AE126" s="156">
        <f t="shared" si="15"/>
        <v>0</v>
      </c>
      <c r="AF126" s="157">
        <f t="shared" si="6"/>
        <v>0</v>
      </c>
      <c r="AG126" s="158" t="str">
        <f t="shared" si="7"/>
        <v>mt</v>
      </c>
      <c r="AH126" s="158">
        <f t="shared" si="16"/>
        <v>0</v>
      </c>
      <c r="AI126" s="159">
        <f t="shared" si="17"/>
        <v>0</v>
      </c>
      <c r="AJ126" s="160">
        <f t="shared" si="18"/>
        <v>0</v>
      </c>
      <c r="AL126" s="143"/>
      <c r="AM126" s="147" t="str">
        <f t="shared" si="19"/>
        <v>mt</v>
      </c>
      <c r="AN126" s="161"/>
      <c r="AO126" s="182"/>
      <c r="AP126" s="182"/>
      <c r="AQ126" s="183" t="s">
        <v>18</v>
      </c>
      <c r="AS126" s="143"/>
      <c r="AT126" s="147" t="str">
        <f t="shared" si="20"/>
        <v>mt</v>
      </c>
      <c r="AU126" s="161"/>
      <c r="AV126" s="182"/>
      <c r="AW126" s="182"/>
      <c r="AX126" s="183" t="s">
        <v>18</v>
      </c>
      <c r="AZ126" s="143"/>
      <c r="BA126" s="147" t="str">
        <f t="shared" si="21"/>
        <v>mt</v>
      </c>
      <c r="BB126" s="161"/>
      <c r="BC126" s="182"/>
      <c r="BD126" s="182"/>
      <c r="BE126" s="183" t="s">
        <v>18</v>
      </c>
      <c r="BF126" s="7"/>
      <c r="BG126" s="143"/>
      <c r="BH126" s="147" t="str">
        <f t="shared" si="22"/>
        <v>mt</v>
      </c>
      <c r="BI126" s="161"/>
      <c r="BJ126" s="182"/>
      <c r="BK126" s="182"/>
      <c r="BL126" s="183" t="s">
        <v>18</v>
      </c>
      <c r="BM126" s="7"/>
      <c r="BN126" s="143"/>
      <c r="BO126" s="147" t="str">
        <f t="shared" si="23"/>
        <v>mt</v>
      </c>
      <c r="BP126" s="161"/>
      <c r="BQ126" s="182"/>
      <c r="BR126" s="182"/>
      <c r="BS126" s="183" t="s">
        <v>18</v>
      </c>
      <c r="BT126" s="7"/>
      <c r="BU126" s="143"/>
      <c r="BV126" s="147" t="str">
        <f t="shared" si="24"/>
        <v>mt</v>
      </c>
      <c r="BW126" s="161"/>
      <c r="BX126" s="182"/>
      <c r="BY126" s="182"/>
      <c r="BZ126" s="183" t="s">
        <v>18</v>
      </c>
      <c r="CA126" s="7"/>
      <c r="CB126" s="7"/>
      <c r="CC126" s="163">
        <f t="shared" si="25"/>
        <v>0</v>
      </c>
      <c r="CD126" s="163">
        <f t="shared" si="26"/>
        <v>0</v>
      </c>
      <c r="CE126" s="163">
        <f t="shared" si="27"/>
        <v>0</v>
      </c>
      <c r="CF126" s="163">
        <f t="shared" si="28"/>
        <v>0</v>
      </c>
      <c r="CG126" s="163">
        <f t="shared" si="29"/>
        <v>0</v>
      </c>
      <c r="CH126" s="163">
        <f t="shared" si="30"/>
        <v>0</v>
      </c>
      <c r="CI126" s="7"/>
      <c r="CJ126" s="163">
        <f t="shared" si="31"/>
        <v>0</v>
      </c>
      <c r="CK126" s="163">
        <f t="shared" si="32"/>
        <v>0</v>
      </c>
      <c r="CL126" s="163">
        <f t="shared" si="33"/>
        <v>0</v>
      </c>
      <c r="CM126" s="163">
        <f t="shared" si="34"/>
        <v>0</v>
      </c>
      <c r="CN126" s="163">
        <f t="shared" si="35"/>
        <v>0</v>
      </c>
      <c r="CO126" s="163">
        <f t="shared" si="36"/>
        <v>0</v>
      </c>
      <c r="CP126" s="163"/>
      <c r="CQ126" s="163">
        <f t="shared" si="37"/>
        <v>0</v>
      </c>
      <c r="CR126" s="163">
        <f t="shared" si="38"/>
        <v>0</v>
      </c>
      <c r="CS126" s="163">
        <f t="shared" si="39"/>
        <v>0</v>
      </c>
      <c r="CT126" s="163">
        <f t="shared" si="40"/>
        <v>0</v>
      </c>
      <c r="CU126" s="163">
        <f t="shared" si="41"/>
        <v>0</v>
      </c>
      <c r="CV126" s="163">
        <f t="shared" si="42"/>
        <v>0</v>
      </c>
      <c r="CY126" s="164" t="s">
        <v>45</v>
      </c>
      <c r="FN126" s="165">
        <f t="shared" si="8"/>
        <v>647.05882352941182</v>
      </c>
      <c r="FO126" s="166">
        <f t="shared" si="43"/>
        <v>0</v>
      </c>
      <c r="FP126" s="166">
        <f t="shared" si="44"/>
        <v>0</v>
      </c>
      <c r="FQ126" s="7"/>
      <c r="FR126" s="7"/>
      <c r="FS126" s="7"/>
      <c r="FT126" s="7"/>
      <c r="FU126" s="7"/>
      <c r="FV126" s="7"/>
    </row>
    <row r="127" spans="1:178" ht="18" x14ac:dyDescent="0.25">
      <c r="A127" s="137">
        <v>600</v>
      </c>
      <c r="B127" s="138" t="s">
        <v>127</v>
      </c>
      <c r="C127" s="139" t="s">
        <v>128</v>
      </c>
      <c r="D127" s="185" t="s">
        <v>99</v>
      </c>
      <c r="E127" s="141" t="s">
        <v>129</v>
      </c>
      <c r="F127" s="142" t="s">
        <v>133</v>
      </c>
      <c r="G127" s="143"/>
      <c r="H127" s="144"/>
      <c r="I127" s="144"/>
      <c r="J127" s="144"/>
      <c r="K127" s="144"/>
      <c r="L127" s="144"/>
      <c r="M127" s="137">
        <f t="shared" si="9"/>
        <v>705.88235294117646</v>
      </c>
      <c r="N127" s="145" t="s">
        <v>8</v>
      </c>
      <c r="O127" s="184">
        <f t="shared" si="10"/>
        <v>705.88235294117646</v>
      </c>
      <c r="P127" s="147" t="str">
        <f t="shared" si="0"/>
        <v>mt</v>
      </c>
      <c r="Q127" s="147" t="str">
        <f t="shared" si="1"/>
        <v>/ dia</v>
      </c>
      <c r="R127" s="148">
        <v>6</v>
      </c>
      <c r="S127" s="149">
        <v>5</v>
      </c>
      <c r="T127" s="149">
        <f t="shared" si="2"/>
        <v>1</v>
      </c>
      <c r="U127" s="149">
        <f t="shared" si="3"/>
        <v>0</v>
      </c>
      <c r="V127" s="149">
        <f t="shared" si="11"/>
        <v>0</v>
      </c>
      <c r="W127" s="140" t="s">
        <v>18</v>
      </c>
      <c r="X127" s="150" t="s">
        <v>18</v>
      </c>
      <c r="Y127" s="151">
        <f t="shared" si="12"/>
        <v>0</v>
      </c>
      <c r="Z127" s="152">
        <f t="shared" si="4"/>
        <v>0.83333333333333337</v>
      </c>
      <c r="AA127" s="153">
        <f t="shared" si="13"/>
        <v>0</v>
      </c>
      <c r="AB127" s="153">
        <f t="shared" si="14"/>
        <v>0</v>
      </c>
      <c r="AC127" s="154"/>
      <c r="AD127" s="155">
        <f t="shared" si="5"/>
        <v>0</v>
      </c>
      <c r="AE127" s="156">
        <f t="shared" si="15"/>
        <v>0</v>
      </c>
      <c r="AF127" s="157">
        <f t="shared" si="6"/>
        <v>0</v>
      </c>
      <c r="AG127" s="158" t="str">
        <f t="shared" si="7"/>
        <v>mt</v>
      </c>
      <c r="AH127" s="158">
        <f t="shared" si="16"/>
        <v>0</v>
      </c>
      <c r="AI127" s="159">
        <f t="shared" si="17"/>
        <v>0</v>
      </c>
      <c r="AJ127" s="160">
        <f t="shared" si="18"/>
        <v>0</v>
      </c>
      <c r="AL127" s="143"/>
      <c r="AM127" s="147" t="str">
        <f t="shared" si="19"/>
        <v>mt</v>
      </c>
      <c r="AN127" s="161"/>
      <c r="AO127" s="162"/>
      <c r="AP127" s="162"/>
      <c r="AQ127" s="140" t="s">
        <v>18</v>
      </c>
      <c r="AS127" s="143"/>
      <c r="AT127" s="147" t="str">
        <f t="shared" si="20"/>
        <v>mt</v>
      </c>
      <c r="AU127" s="161"/>
      <c r="AV127" s="162"/>
      <c r="AW127" s="162"/>
      <c r="AX127" s="140" t="s">
        <v>18</v>
      </c>
      <c r="AZ127" s="143"/>
      <c r="BA127" s="147" t="str">
        <f t="shared" si="21"/>
        <v>mt</v>
      </c>
      <c r="BB127" s="161"/>
      <c r="BC127" s="162"/>
      <c r="BD127" s="162"/>
      <c r="BE127" s="140" t="s">
        <v>18</v>
      </c>
      <c r="BG127" s="143"/>
      <c r="BH127" s="147" t="str">
        <f t="shared" si="22"/>
        <v>mt</v>
      </c>
      <c r="BI127" s="161"/>
      <c r="BJ127" s="162"/>
      <c r="BK127" s="162"/>
      <c r="BL127" s="140" t="s">
        <v>18</v>
      </c>
      <c r="BN127" s="143"/>
      <c r="BO127" s="147" t="str">
        <f t="shared" si="23"/>
        <v>mt</v>
      </c>
      <c r="BP127" s="161"/>
      <c r="BQ127" s="162"/>
      <c r="BR127" s="162"/>
      <c r="BS127" s="140" t="s">
        <v>18</v>
      </c>
      <c r="BU127" s="143"/>
      <c r="BV127" s="147" t="str">
        <f t="shared" si="24"/>
        <v>mt</v>
      </c>
      <c r="BW127" s="161"/>
      <c r="BX127" s="162"/>
      <c r="BY127" s="162"/>
      <c r="BZ127" s="140" t="s">
        <v>18</v>
      </c>
      <c r="CC127" s="163">
        <f t="shared" si="25"/>
        <v>0</v>
      </c>
      <c r="CD127" s="163">
        <f t="shared" si="26"/>
        <v>0</v>
      </c>
      <c r="CE127" s="163">
        <f t="shared" si="27"/>
        <v>0</v>
      </c>
      <c r="CF127" s="163">
        <f t="shared" si="28"/>
        <v>0</v>
      </c>
      <c r="CG127" s="163">
        <f t="shared" si="29"/>
        <v>0</v>
      </c>
      <c r="CH127" s="163">
        <f t="shared" si="30"/>
        <v>0</v>
      </c>
      <c r="CJ127" s="163">
        <f t="shared" si="31"/>
        <v>0</v>
      </c>
      <c r="CK127" s="163">
        <f t="shared" si="32"/>
        <v>0</v>
      </c>
      <c r="CL127" s="163">
        <f t="shared" si="33"/>
        <v>0</v>
      </c>
      <c r="CM127" s="163">
        <f t="shared" si="34"/>
        <v>0</v>
      </c>
      <c r="CN127" s="163">
        <f t="shared" si="35"/>
        <v>0</v>
      </c>
      <c r="CO127" s="163">
        <f t="shared" si="36"/>
        <v>0</v>
      </c>
      <c r="CP127" s="163"/>
      <c r="CQ127" s="163">
        <f t="shared" si="37"/>
        <v>0</v>
      </c>
      <c r="CR127" s="163">
        <f t="shared" si="38"/>
        <v>0</v>
      </c>
      <c r="CS127" s="163">
        <f t="shared" si="39"/>
        <v>0</v>
      </c>
      <c r="CT127" s="163">
        <f t="shared" si="40"/>
        <v>0</v>
      </c>
      <c r="CU127" s="163">
        <f t="shared" si="41"/>
        <v>0</v>
      </c>
      <c r="CV127" s="163">
        <f t="shared" si="42"/>
        <v>0</v>
      </c>
      <c r="CY127" s="164" t="s">
        <v>45</v>
      </c>
      <c r="FN127" s="165">
        <f t="shared" si="8"/>
        <v>705.88235294117646</v>
      </c>
      <c r="FO127" s="166">
        <f t="shared" si="43"/>
        <v>0</v>
      </c>
      <c r="FP127" s="166">
        <f t="shared" si="44"/>
        <v>0</v>
      </c>
    </row>
    <row r="128" spans="1:178" ht="18" x14ac:dyDescent="0.25">
      <c r="A128" s="167">
        <v>475</v>
      </c>
      <c r="B128" s="168" t="s">
        <v>127</v>
      </c>
      <c r="C128" s="169" t="s">
        <v>128</v>
      </c>
      <c r="D128" s="185" t="s">
        <v>99</v>
      </c>
      <c r="E128" s="170" t="s">
        <v>129</v>
      </c>
      <c r="F128" s="171" t="s">
        <v>134</v>
      </c>
      <c r="G128" s="143"/>
      <c r="H128" s="172"/>
      <c r="I128" s="172"/>
      <c r="J128" s="172"/>
      <c r="K128" s="172"/>
      <c r="L128" s="172"/>
      <c r="M128" s="137">
        <f t="shared" si="9"/>
        <v>558.82352941176475</v>
      </c>
      <c r="N128" s="173" t="s">
        <v>8</v>
      </c>
      <c r="O128" s="146">
        <f t="shared" si="10"/>
        <v>558.82352941176475</v>
      </c>
      <c r="P128" s="174" t="str">
        <f t="shared" si="0"/>
        <v>mt</v>
      </c>
      <c r="Q128" s="175" t="str">
        <f t="shared" si="1"/>
        <v>/ dia</v>
      </c>
      <c r="R128" s="176">
        <v>6</v>
      </c>
      <c r="S128" s="177">
        <v>5</v>
      </c>
      <c r="T128" s="177">
        <f t="shared" si="2"/>
        <v>1</v>
      </c>
      <c r="U128" s="149">
        <f t="shared" si="3"/>
        <v>0</v>
      </c>
      <c r="V128" s="149">
        <f t="shared" si="11"/>
        <v>0</v>
      </c>
      <c r="W128" s="140" t="s">
        <v>18</v>
      </c>
      <c r="X128" s="150" t="s">
        <v>18</v>
      </c>
      <c r="Y128" s="151">
        <f t="shared" si="12"/>
        <v>0</v>
      </c>
      <c r="Z128" s="178">
        <f t="shared" si="4"/>
        <v>0.83333333333333337</v>
      </c>
      <c r="AA128" s="179">
        <f t="shared" si="13"/>
        <v>0</v>
      </c>
      <c r="AB128" s="179">
        <f t="shared" si="14"/>
        <v>0</v>
      </c>
      <c r="AC128" s="180"/>
      <c r="AD128" s="155">
        <f t="shared" si="5"/>
        <v>0</v>
      </c>
      <c r="AE128" s="156">
        <f t="shared" si="15"/>
        <v>0</v>
      </c>
      <c r="AF128" s="157">
        <f t="shared" si="6"/>
        <v>0</v>
      </c>
      <c r="AG128" s="158" t="str">
        <f t="shared" si="7"/>
        <v>mt</v>
      </c>
      <c r="AH128" s="158">
        <f t="shared" si="16"/>
        <v>0</v>
      </c>
      <c r="AI128" s="159">
        <f t="shared" si="17"/>
        <v>0</v>
      </c>
      <c r="AJ128" s="160">
        <f t="shared" si="18"/>
        <v>0</v>
      </c>
      <c r="AL128" s="143"/>
      <c r="AM128" s="147" t="str">
        <f t="shared" si="19"/>
        <v>mt</v>
      </c>
      <c r="AN128" s="161"/>
      <c r="AO128" s="182"/>
      <c r="AP128" s="182"/>
      <c r="AQ128" s="183" t="s">
        <v>18</v>
      </c>
      <c r="AS128" s="143"/>
      <c r="AT128" s="147" t="str">
        <f t="shared" si="20"/>
        <v>mt</v>
      </c>
      <c r="AU128" s="161"/>
      <c r="AV128" s="182"/>
      <c r="AW128" s="182"/>
      <c r="AX128" s="183" t="s">
        <v>18</v>
      </c>
      <c r="AZ128" s="143"/>
      <c r="BA128" s="147" t="str">
        <f t="shared" si="21"/>
        <v>mt</v>
      </c>
      <c r="BB128" s="161"/>
      <c r="BC128" s="182"/>
      <c r="BD128" s="182"/>
      <c r="BE128" s="183" t="s">
        <v>18</v>
      </c>
      <c r="BG128" s="143"/>
      <c r="BH128" s="147" t="str">
        <f t="shared" si="22"/>
        <v>mt</v>
      </c>
      <c r="BI128" s="161"/>
      <c r="BJ128" s="182"/>
      <c r="BK128" s="182"/>
      <c r="BL128" s="183" t="s">
        <v>18</v>
      </c>
      <c r="BN128" s="143"/>
      <c r="BO128" s="147" t="str">
        <f t="shared" si="23"/>
        <v>mt</v>
      </c>
      <c r="BP128" s="161"/>
      <c r="BQ128" s="182"/>
      <c r="BR128" s="182"/>
      <c r="BS128" s="183" t="s">
        <v>18</v>
      </c>
      <c r="BU128" s="143"/>
      <c r="BV128" s="147" t="str">
        <f t="shared" si="24"/>
        <v>mt</v>
      </c>
      <c r="BW128" s="161"/>
      <c r="BX128" s="182"/>
      <c r="BY128" s="182"/>
      <c r="BZ128" s="183" t="s">
        <v>18</v>
      </c>
      <c r="CC128" s="163">
        <f t="shared" si="25"/>
        <v>0</v>
      </c>
      <c r="CD128" s="163">
        <f t="shared" si="26"/>
        <v>0</v>
      </c>
      <c r="CE128" s="163">
        <f t="shared" si="27"/>
        <v>0</v>
      </c>
      <c r="CF128" s="163">
        <f t="shared" si="28"/>
        <v>0</v>
      </c>
      <c r="CG128" s="163">
        <f t="shared" si="29"/>
        <v>0</v>
      </c>
      <c r="CH128" s="163">
        <f t="shared" si="30"/>
        <v>0</v>
      </c>
      <c r="CJ128" s="163">
        <f t="shared" si="31"/>
        <v>0</v>
      </c>
      <c r="CK128" s="163">
        <f t="shared" si="32"/>
        <v>0</v>
      </c>
      <c r="CL128" s="163">
        <f t="shared" si="33"/>
        <v>0</v>
      </c>
      <c r="CM128" s="163">
        <f t="shared" si="34"/>
        <v>0</v>
      </c>
      <c r="CN128" s="163">
        <f t="shared" si="35"/>
        <v>0</v>
      </c>
      <c r="CO128" s="163">
        <f t="shared" si="36"/>
        <v>0</v>
      </c>
      <c r="CP128" s="163"/>
      <c r="CQ128" s="163">
        <f t="shared" si="37"/>
        <v>0</v>
      </c>
      <c r="CR128" s="163">
        <f t="shared" si="38"/>
        <v>0</v>
      </c>
      <c r="CS128" s="163">
        <f t="shared" si="39"/>
        <v>0</v>
      </c>
      <c r="CT128" s="163">
        <f t="shared" si="40"/>
        <v>0</v>
      </c>
      <c r="CU128" s="163">
        <f t="shared" si="41"/>
        <v>0</v>
      </c>
      <c r="CV128" s="163">
        <f t="shared" si="42"/>
        <v>0</v>
      </c>
      <c r="CY128" s="164" t="s">
        <v>45</v>
      </c>
      <c r="FN128" s="165">
        <f t="shared" si="8"/>
        <v>558.82352941176475</v>
      </c>
      <c r="FO128" s="166">
        <f t="shared" si="43"/>
        <v>0</v>
      </c>
      <c r="FP128" s="166">
        <f t="shared" si="44"/>
        <v>0</v>
      </c>
    </row>
    <row r="129" spans="1:172" ht="18" x14ac:dyDescent="0.25">
      <c r="A129" s="137">
        <v>400</v>
      </c>
      <c r="B129" s="138" t="s">
        <v>127</v>
      </c>
      <c r="C129" s="139" t="s">
        <v>128</v>
      </c>
      <c r="D129" s="185" t="s">
        <v>99</v>
      </c>
      <c r="E129" s="141" t="s">
        <v>129</v>
      </c>
      <c r="F129" s="142" t="s">
        <v>135</v>
      </c>
      <c r="G129" s="143"/>
      <c r="H129" s="144"/>
      <c r="I129" s="144"/>
      <c r="J129" s="144"/>
      <c r="K129" s="144"/>
      <c r="L129" s="144"/>
      <c r="M129" s="137">
        <f t="shared" si="9"/>
        <v>470.58823529411768</v>
      </c>
      <c r="N129" s="145" t="s">
        <v>8</v>
      </c>
      <c r="O129" s="184">
        <f t="shared" si="10"/>
        <v>470.58823529411768</v>
      </c>
      <c r="P129" s="147" t="str">
        <f t="shared" si="0"/>
        <v>mt</v>
      </c>
      <c r="Q129" s="147" t="str">
        <f t="shared" si="1"/>
        <v>/ dia</v>
      </c>
      <c r="R129" s="148">
        <v>6</v>
      </c>
      <c r="S129" s="149">
        <v>5</v>
      </c>
      <c r="T129" s="149">
        <f t="shared" si="2"/>
        <v>1</v>
      </c>
      <c r="U129" s="149">
        <f t="shared" si="3"/>
        <v>0</v>
      </c>
      <c r="V129" s="149">
        <f t="shared" si="11"/>
        <v>0</v>
      </c>
      <c r="W129" s="140" t="s">
        <v>18</v>
      </c>
      <c r="X129" s="150" t="s">
        <v>18</v>
      </c>
      <c r="Y129" s="151">
        <f t="shared" si="12"/>
        <v>0</v>
      </c>
      <c r="Z129" s="152">
        <f t="shared" si="4"/>
        <v>0.83333333333333337</v>
      </c>
      <c r="AA129" s="153">
        <f t="shared" si="13"/>
        <v>0</v>
      </c>
      <c r="AB129" s="153">
        <f t="shared" si="14"/>
        <v>0</v>
      </c>
      <c r="AC129" s="154"/>
      <c r="AD129" s="155">
        <f t="shared" si="5"/>
        <v>0</v>
      </c>
      <c r="AE129" s="156">
        <f t="shared" si="15"/>
        <v>0</v>
      </c>
      <c r="AF129" s="157">
        <f t="shared" si="6"/>
        <v>0</v>
      </c>
      <c r="AG129" s="158" t="str">
        <f t="shared" si="7"/>
        <v>mt</v>
      </c>
      <c r="AH129" s="158">
        <f t="shared" si="16"/>
        <v>0</v>
      </c>
      <c r="AI129" s="159">
        <f t="shared" si="17"/>
        <v>0</v>
      </c>
      <c r="AJ129" s="160">
        <f t="shared" si="18"/>
        <v>0</v>
      </c>
      <c r="AL129" s="143"/>
      <c r="AM129" s="147" t="str">
        <f t="shared" si="19"/>
        <v>mt</v>
      </c>
      <c r="AN129" s="161"/>
      <c r="AO129" s="162"/>
      <c r="AP129" s="162"/>
      <c r="AQ129" s="140" t="s">
        <v>18</v>
      </c>
      <c r="AS129" s="143"/>
      <c r="AT129" s="147" t="str">
        <f t="shared" si="20"/>
        <v>mt</v>
      </c>
      <c r="AU129" s="161"/>
      <c r="AV129" s="162"/>
      <c r="AW129" s="162"/>
      <c r="AX129" s="140" t="s">
        <v>18</v>
      </c>
      <c r="AZ129" s="143"/>
      <c r="BA129" s="147" t="str">
        <f t="shared" si="21"/>
        <v>mt</v>
      </c>
      <c r="BB129" s="161"/>
      <c r="BC129" s="162"/>
      <c r="BD129" s="162"/>
      <c r="BE129" s="140" t="s">
        <v>18</v>
      </c>
      <c r="BG129" s="143"/>
      <c r="BH129" s="147" t="str">
        <f t="shared" si="22"/>
        <v>mt</v>
      </c>
      <c r="BI129" s="161"/>
      <c r="BJ129" s="162"/>
      <c r="BK129" s="162"/>
      <c r="BL129" s="140" t="s">
        <v>18</v>
      </c>
      <c r="BN129" s="143"/>
      <c r="BO129" s="147" t="str">
        <f t="shared" si="23"/>
        <v>mt</v>
      </c>
      <c r="BP129" s="161"/>
      <c r="BQ129" s="162"/>
      <c r="BR129" s="162"/>
      <c r="BS129" s="140" t="s">
        <v>18</v>
      </c>
      <c r="BU129" s="143"/>
      <c r="BV129" s="147" t="str">
        <f t="shared" si="24"/>
        <v>mt</v>
      </c>
      <c r="BW129" s="161"/>
      <c r="BX129" s="162"/>
      <c r="BY129" s="162"/>
      <c r="BZ129" s="140" t="s">
        <v>18</v>
      </c>
      <c r="CC129" s="163">
        <f t="shared" si="25"/>
        <v>0</v>
      </c>
      <c r="CD129" s="163">
        <f t="shared" si="26"/>
        <v>0</v>
      </c>
      <c r="CE129" s="163">
        <f t="shared" si="27"/>
        <v>0</v>
      </c>
      <c r="CF129" s="163">
        <f t="shared" si="28"/>
        <v>0</v>
      </c>
      <c r="CG129" s="163">
        <f t="shared" si="29"/>
        <v>0</v>
      </c>
      <c r="CH129" s="163">
        <f t="shared" si="30"/>
        <v>0</v>
      </c>
      <c r="CJ129" s="163">
        <f t="shared" si="31"/>
        <v>0</v>
      </c>
      <c r="CK129" s="163">
        <f t="shared" si="32"/>
        <v>0</v>
      </c>
      <c r="CL129" s="163">
        <f t="shared" si="33"/>
        <v>0</v>
      </c>
      <c r="CM129" s="163">
        <f t="shared" si="34"/>
        <v>0</v>
      </c>
      <c r="CN129" s="163">
        <f t="shared" si="35"/>
        <v>0</v>
      </c>
      <c r="CO129" s="163">
        <f t="shared" si="36"/>
        <v>0</v>
      </c>
      <c r="CP129" s="163"/>
      <c r="CQ129" s="163">
        <f t="shared" si="37"/>
        <v>0</v>
      </c>
      <c r="CR129" s="163">
        <f t="shared" si="38"/>
        <v>0</v>
      </c>
      <c r="CS129" s="163">
        <f t="shared" si="39"/>
        <v>0</v>
      </c>
      <c r="CT129" s="163">
        <f t="shared" si="40"/>
        <v>0</v>
      </c>
      <c r="CU129" s="163">
        <f t="shared" si="41"/>
        <v>0</v>
      </c>
      <c r="CV129" s="163">
        <f t="shared" si="42"/>
        <v>0</v>
      </c>
      <c r="CY129" s="164" t="s">
        <v>45</v>
      </c>
      <c r="FN129" s="165">
        <f t="shared" si="8"/>
        <v>470.58823529411768</v>
      </c>
      <c r="FO129" s="166">
        <f t="shared" si="43"/>
        <v>0</v>
      </c>
      <c r="FP129" s="166">
        <f t="shared" si="44"/>
        <v>0</v>
      </c>
    </row>
    <row r="130" spans="1:172" ht="18" x14ac:dyDescent="0.25">
      <c r="A130" s="167">
        <v>1100</v>
      </c>
      <c r="B130" s="168" t="s">
        <v>127</v>
      </c>
      <c r="C130" s="169" t="s">
        <v>128</v>
      </c>
      <c r="D130" s="185" t="s">
        <v>99</v>
      </c>
      <c r="E130" s="170" t="s">
        <v>129</v>
      </c>
      <c r="F130" s="171" t="s">
        <v>136</v>
      </c>
      <c r="G130" s="143"/>
      <c r="H130" s="172"/>
      <c r="I130" s="172"/>
      <c r="J130" s="172"/>
      <c r="K130" s="172"/>
      <c r="L130" s="172"/>
      <c r="M130" s="137">
        <f t="shared" si="9"/>
        <v>1294.1176470588236</v>
      </c>
      <c r="N130" s="173" t="s">
        <v>8</v>
      </c>
      <c r="O130" s="146">
        <f t="shared" si="10"/>
        <v>1294.1176470588236</v>
      </c>
      <c r="P130" s="174" t="str">
        <f t="shared" si="0"/>
        <v>mt</v>
      </c>
      <c r="Q130" s="175" t="str">
        <f t="shared" si="1"/>
        <v>/ dia</v>
      </c>
      <c r="R130" s="176">
        <v>3</v>
      </c>
      <c r="S130" s="177">
        <v>2</v>
      </c>
      <c r="T130" s="177">
        <f t="shared" si="2"/>
        <v>1</v>
      </c>
      <c r="U130" s="149">
        <f t="shared" si="3"/>
        <v>0</v>
      </c>
      <c r="V130" s="149">
        <f t="shared" si="11"/>
        <v>0</v>
      </c>
      <c r="W130" s="140" t="s">
        <v>18</v>
      </c>
      <c r="X130" s="150" t="s">
        <v>18</v>
      </c>
      <c r="Y130" s="151">
        <f t="shared" si="12"/>
        <v>0</v>
      </c>
      <c r="Z130" s="178">
        <f t="shared" si="4"/>
        <v>0.66666666666666663</v>
      </c>
      <c r="AA130" s="179">
        <f t="shared" si="13"/>
        <v>0</v>
      </c>
      <c r="AB130" s="179">
        <f t="shared" si="14"/>
        <v>0</v>
      </c>
      <c r="AC130" s="180"/>
      <c r="AD130" s="155">
        <f t="shared" si="5"/>
        <v>0</v>
      </c>
      <c r="AE130" s="156">
        <f t="shared" si="15"/>
        <v>0</v>
      </c>
      <c r="AF130" s="157">
        <f t="shared" si="6"/>
        <v>0</v>
      </c>
      <c r="AG130" s="158" t="str">
        <f t="shared" si="7"/>
        <v>mt</v>
      </c>
      <c r="AH130" s="158">
        <f t="shared" si="16"/>
        <v>0</v>
      </c>
      <c r="AI130" s="159">
        <f t="shared" si="17"/>
        <v>0</v>
      </c>
      <c r="AJ130" s="160">
        <f t="shared" si="18"/>
        <v>0</v>
      </c>
      <c r="AL130" s="143"/>
      <c r="AM130" s="147" t="str">
        <f t="shared" si="19"/>
        <v>mt</v>
      </c>
      <c r="AN130" s="161"/>
      <c r="AO130" s="182"/>
      <c r="AP130" s="182"/>
      <c r="AQ130" s="183" t="s">
        <v>18</v>
      </c>
      <c r="AS130" s="143"/>
      <c r="AT130" s="147" t="str">
        <f t="shared" si="20"/>
        <v>mt</v>
      </c>
      <c r="AU130" s="161"/>
      <c r="AV130" s="182"/>
      <c r="AW130" s="182"/>
      <c r="AX130" s="183" t="s">
        <v>18</v>
      </c>
      <c r="AZ130" s="143"/>
      <c r="BA130" s="147" t="str">
        <f t="shared" si="21"/>
        <v>mt</v>
      </c>
      <c r="BB130" s="161"/>
      <c r="BC130" s="182"/>
      <c r="BD130" s="182"/>
      <c r="BE130" s="183" t="s">
        <v>18</v>
      </c>
      <c r="BG130" s="143"/>
      <c r="BH130" s="147" t="str">
        <f t="shared" si="22"/>
        <v>mt</v>
      </c>
      <c r="BI130" s="161"/>
      <c r="BJ130" s="182"/>
      <c r="BK130" s="182"/>
      <c r="BL130" s="183" t="s">
        <v>18</v>
      </c>
      <c r="BN130" s="143"/>
      <c r="BO130" s="147" t="str">
        <f t="shared" si="23"/>
        <v>mt</v>
      </c>
      <c r="BP130" s="161"/>
      <c r="BQ130" s="182"/>
      <c r="BR130" s="182"/>
      <c r="BS130" s="183" t="s">
        <v>18</v>
      </c>
      <c r="BU130" s="143"/>
      <c r="BV130" s="147" t="str">
        <f t="shared" si="24"/>
        <v>mt</v>
      </c>
      <c r="BW130" s="161"/>
      <c r="BX130" s="182"/>
      <c r="BY130" s="182"/>
      <c r="BZ130" s="183" t="s">
        <v>18</v>
      </c>
      <c r="CC130" s="163">
        <f t="shared" si="25"/>
        <v>0</v>
      </c>
      <c r="CD130" s="163">
        <f t="shared" si="26"/>
        <v>0</v>
      </c>
      <c r="CE130" s="163">
        <f t="shared" si="27"/>
        <v>0</v>
      </c>
      <c r="CF130" s="163">
        <f t="shared" si="28"/>
        <v>0</v>
      </c>
      <c r="CG130" s="163">
        <f t="shared" si="29"/>
        <v>0</v>
      </c>
      <c r="CH130" s="163">
        <f t="shared" si="30"/>
        <v>0</v>
      </c>
      <c r="CJ130" s="163">
        <f t="shared" si="31"/>
        <v>0</v>
      </c>
      <c r="CK130" s="163">
        <f t="shared" si="32"/>
        <v>0</v>
      </c>
      <c r="CL130" s="163">
        <f t="shared" si="33"/>
        <v>0</v>
      </c>
      <c r="CM130" s="163">
        <f t="shared" si="34"/>
        <v>0</v>
      </c>
      <c r="CN130" s="163">
        <f t="shared" si="35"/>
        <v>0</v>
      </c>
      <c r="CO130" s="163">
        <f t="shared" si="36"/>
        <v>0</v>
      </c>
      <c r="CP130" s="163"/>
      <c r="CQ130" s="163">
        <f t="shared" si="37"/>
        <v>0</v>
      </c>
      <c r="CR130" s="163">
        <f t="shared" si="38"/>
        <v>0</v>
      </c>
      <c r="CS130" s="163">
        <f t="shared" si="39"/>
        <v>0</v>
      </c>
      <c r="CT130" s="163">
        <f t="shared" si="40"/>
        <v>0</v>
      </c>
      <c r="CU130" s="163">
        <f t="shared" si="41"/>
        <v>0</v>
      </c>
      <c r="CV130" s="163">
        <f t="shared" si="42"/>
        <v>0</v>
      </c>
      <c r="CY130" s="164" t="s">
        <v>45</v>
      </c>
      <c r="FN130" s="165">
        <f t="shared" si="8"/>
        <v>1294.1176470588236</v>
      </c>
      <c r="FO130" s="166">
        <f t="shared" si="43"/>
        <v>0</v>
      </c>
      <c r="FP130" s="166">
        <f t="shared" si="44"/>
        <v>0</v>
      </c>
    </row>
    <row r="131" spans="1:172" ht="18" x14ac:dyDescent="0.25">
      <c r="A131" s="137">
        <v>783.33333333333337</v>
      </c>
      <c r="B131" s="138" t="s">
        <v>127</v>
      </c>
      <c r="C131" s="139" t="s">
        <v>128</v>
      </c>
      <c r="D131" s="185" t="s">
        <v>99</v>
      </c>
      <c r="E131" s="141" t="s">
        <v>129</v>
      </c>
      <c r="F131" s="142" t="s">
        <v>137</v>
      </c>
      <c r="G131" s="143"/>
      <c r="H131" s="144"/>
      <c r="I131" s="144"/>
      <c r="J131" s="144"/>
      <c r="K131" s="144"/>
      <c r="L131" s="144"/>
      <c r="M131" s="137">
        <f t="shared" si="9"/>
        <v>921.56862745098044</v>
      </c>
      <c r="N131" s="145" t="s">
        <v>8</v>
      </c>
      <c r="O131" s="184">
        <f t="shared" si="10"/>
        <v>921.56862745098044</v>
      </c>
      <c r="P131" s="147" t="str">
        <f t="shared" si="0"/>
        <v>mt</v>
      </c>
      <c r="Q131" s="147" t="str">
        <f t="shared" si="1"/>
        <v>/ dia</v>
      </c>
      <c r="R131" s="148">
        <v>3</v>
      </c>
      <c r="S131" s="149">
        <v>2</v>
      </c>
      <c r="T131" s="149">
        <f t="shared" si="2"/>
        <v>1</v>
      </c>
      <c r="U131" s="149">
        <f t="shared" si="3"/>
        <v>0</v>
      </c>
      <c r="V131" s="149">
        <f t="shared" si="11"/>
        <v>0</v>
      </c>
      <c r="W131" s="140" t="s">
        <v>18</v>
      </c>
      <c r="X131" s="150" t="s">
        <v>18</v>
      </c>
      <c r="Y131" s="151">
        <f t="shared" si="12"/>
        <v>0</v>
      </c>
      <c r="Z131" s="152">
        <f t="shared" si="4"/>
        <v>0.66666666666666663</v>
      </c>
      <c r="AA131" s="153">
        <f t="shared" si="13"/>
        <v>0</v>
      </c>
      <c r="AB131" s="153">
        <f t="shared" si="14"/>
        <v>0</v>
      </c>
      <c r="AC131" s="154"/>
      <c r="AD131" s="155">
        <f t="shared" si="5"/>
        <v>0</v>
      </c>
      <c r="AE131" s="156">
        <f t="shared" si="15"/>
        <v>0</v>
      </c>
      <c r="AF131" s="157">
        <f t="shared" si="6"/>
        <v>0</v>
      </c>
      <c r="AG131" s="158" t="str">
        <f t="shared" si="7"/>
        <v>mt</v>
      </c>
      <c r="AH131" s="158">
        <f t="shared" si="16"/>
        <v>0</v>
      </c>
      <c r="AI131" s="159">
        <f t="shared" si="17"/>
        <v>0</v>
      </c>
      <c r="AJ131" s="160">
        <f t="shared" si="18"/>
        <v>0</v>
      </c>
      <c r="AL131" s="143"/>
      <c r="AM131" s="147" t="str">
        <f t="shared" si="19"/>
        <v>mt</v>
      </c>
      <c r="AN131" s="161"/>
      <c r="AO131" s="162"/>
      <c r="AP131" s="162"/>
      <c r="AQ131" s="140" t="s">
        <v>18</v>
      </c>
      <c r="AS131" s="143"/>
      <c r="AT131" s="147" t="str">
        <f t="shared" si="20"/>
        <v>mt</v>
      </c>
      <c r="AU131" s="161"/>
      <c r="AV131" s="162"/>
      <c r="AW131" s="162"/>
      <c r="AX131" s="140" t="s">
        <v>18</v>
      </c>
      <c r="AZ131" s="143"/>
      <c r="BA131" s="147" t="str">
        <f t="shared" si="21"/>
        <v>mt</v>
      </c>
      <c r="BB131" s="161"/>
      <c r="BC131" s="162"/>
      <c r="BD131" s="162"/>
      <c r="BE131" s="140" t="s">
        <v>18</v>
      </c>
      <c r="BG131" s="143"/>
      <c r="BH131" s="147" t="str">
        <f t="shared" si="22"/>
        <v>mt</v>
      </c>
      <c r="BI131" s="161"/>
      <c r="BJ131" s="162"/>
      <c r="BK131" s="162"/>
      <c r="BL131" s="140" t="s">
        <v>18</v>
      </c>
      <c r="BN131" s="143"/>
      <c r="BO131" s="147" t="str">
        <f t="shared" si="23"/>
        <v>mt</v>
      </c>
      <c r="BP131" s="161"/>
      <c r="BQ131" s="162"/>
      <c r="BR131" s="162"/>
      <c r="BS131" s="140" t="s">
        <v>18</v>
      </c>
      <c r="BU131" s="143"/>
      <c r="BV131" s="147" t="str">
        <f t="shared" si="24"/>
        <v>mt</v>
      </c>
      <c r="BW131" s="161"/>
      <c r="BX131" s="162"/>
      <c r="BY131" s="162"/>
      <c r="BZ131" s="140" t="s">
        <v>18</v>
      </c>
      <c r="CC131" s="163">
        <f t="shared" si="25"/>
        <v>0</v>
      </c>
      <c r="CD131" s="163">
        <f t="shared" si="26"/>
        <v>0</v>
      </c>
      <c r="CE131" s="163">
        <f t="shared" si="27"/>
        <v>0</v>
      </c>
      <c r="CF131" s="163">
        <f t="shared" si="28"/>
        <v>0</v>
      </c>
      <c r="CG131" s="163">
        <f t="shared" si="29"/>
        <v>0</v>
      </c>
      <c r="CH131" s="163">
        <f t="shared" si="30"/>
        <v>0</v>
      </c>
      <c r="CJ131" s="163">
        <f t="shared" si="31"/>
        <v>0</v>
      </c>
      <c r="CK131" s="163">
        <f t="shared" si="32"/>
        <v>0</v>
      </c>
      <c r="CL131" s="163">
        <f t="shared" si="33"/>
        <v>0</v>
      </c>
      <c r="CM131" s="163">
        <f t="shared" si="34"/>
        <v>0</v>
      </c>
      <c r="CN131" s="163">
        <f t="shared" si="35"/>
        <v>0</v>
      </c>
      <c r="CO131" s="163">
        <f t="shared" si="36"/>
        <v>0</v>
      </c>
      <c r="CP131" s="163"/>
      <c r="CQ131" s="163">
        <f t="shared" si="37"/>
        <v>0</v>
      </c>
      <c r="CR131" s="163">
        <f t="shared" si="38"/>
        <v>0</v>
      </c>
      <c r="CS131" s="163">
        <f t="shared" si="39"/>
        <v>0</v>
      </c>
      <c r="CT131" s="163">
        <f t="shared" si="40"/>
        <v>0</v>
      </c>
      <c r="CU131" s="163">
        <f t="shared" si="41"/>
        <v>0</v>
      </c>
      <c r="CV131" s="163">
        <f t="shared" si="42"/>
        <v>0</v>
      </c>
      <c r="CY131" s="164" t="s">
        <v>45</v>
      </c>
      <c r="FN131" s="165">
        <f t="shared" si="8"/>
        <v>921.56862745098044</v>
      </c>
      <c r="FO131" s="166">
        <f t="shared" si="43"/>
        <v>0</v>
      </c>
      <c r="FP131" s="166">
        <f t="shared" si="44"/>
        <v>0</v>
      </c>
    </row>
    <row r="132" spans="1:172" ht="18" x14ac:dyDescent="0.25">
      <c r="A132" s="167">
        <v>600</v>
      </c>
      <c r="B132" s="168" t="s">
        <v>127</v>
      </c>
      <c r="C132" s="169" t="s">
        <v>128</v>
      </c>
      <c r="D132" s="185" t="s">
        <v>99</v>
      </c>
      <c r="E132" s="170" t="s">
        <v>129</v>
      </c>
      <c r="F132" s="171" t="s">
        <v>138</v>
      </c>
      <c r="G132" s="143"/>
      <c r="H132" s="172"/>
      <c r="I132" s="172"/>
      <c r="J132" s="172"/>
      <c r="K132" s="172"/>
      <c r="L132" s="172"/>
      <c r="M132" s="137">
        <f t="shared" si="9"/>
        <v>705.88235294117646</v>
      </c>
      <c r="N132" s="173" t="s">
        <v>8</v>
      </c>
      <c r="O132" s="146">
        <f t="shared" si="10"/>
        <v>705.88235294117646</v>
      </c>
      <c r="P132" s="174" t="str">
        <f t="shared" si="0"/>
        <v>mt</v>
      </c>
      <c r="Q132" s="175" t="str">
        <f t="shared" si="1"/>
        <v>/ dia</v>
      </c>
      <c r="R132" s="176">
        <v>3</v>
      </c>
      <c r="S132" s="177">
        <v>2</v>
      </c>
      <c r="T132" s="177">
        <f t="shared" si="2"/>
        <v>1</v>
      </c>
      <c r="U132" s="149">
        <f t="shared" si="3"/>
        <v>0</v>
      </c>
      <c r="V132" s="149">
        <f t="shared" si="11"/>
        <v>0</v>
      </c>
      <c r="W132" s="140" t="s">
        <v>18</v>
      </c>
      <c r="X132" s="150" t="s">
        <v>18</v>
      </c>
      <c r="Y132" s="151">
        <f t="shared" si="12"/>
        <v>0</v>
      </c>
      <c r="Z132" s="178">
        <f t="shared" si="4"/>
        <v>0.66666666666666663</v>
      </c>
      <c r="AA132" s="179">
        <f t="shared" si="13"/>
        <v>0</v>
      </c>
      <c r="AB132" s="179">
        <f t="shared" si="14"/>
        <v>0</v>
      </c>
      <c r="AC132" s="180"/>
      <c r="AD132" s="155">
        <f t="shared" si="5"/>
        <v>0</v>
      </c>
      <c r="AE132" s="156">
        <f t="shared" si="15"/>
        <v>0</v>
      </c>
      <c r="AF132" s="157">
        <f t="shared" si="6"/>
        <v>0</v>
      </c>
      <c r="AG132" s="158" t="str">
        <f t="shared" si="7"/>
        <v>mt</v>
      </c>
      <c r="AH132" s="158">
        <f t="shared" si="16"/>
        <v>0</v>
      </c>
      <c r="AI132" s="159">
        <f t="shared" si="17"/>
        <v>0</v>
      </c>
      <c r="AJ132" s="160">
        <f t="shared" si="18"/>
        <v>0</v>
      </c>
      <c r="AL132" s="143"/>
      <c r="AM132" s="147" t="str">
        <f t="shared" si="19"/>
        <v>mt</v>
      </c>
      <c r="AN132" s="161"/>
      <c r="AO132" s="182"/>
      <c r="AP132" s="182"/>
      <c r="AQ132" s="183" t="s">
        <v>18</v>
      </c>
      <c r="AS132" s="143"/>
      <c r="AT132" s="147" t="str">
        <f t="shared" si="20"/>
        <v>mt</v>
      </c>
      <c r="AU132" s="161"/>
      <c r="AV132" s="182"/>
      <c r="AW132" s="182"/>
      <c r="AX132" s="183" t="s">
        <v>18</v>
      </c>
      <c r="AZ132" s="143"/>
      <c r="BA132" s="147" t="str">
        <f t="shared" si="21"/>
        <v>mt</v>
      </c>
      <c r="BB132" s="161"/>
      <c r="BC132" s="182"/>
      <c r="BD132" s="182"/>
      <c r="BE132" s="183" t="s">
        <v>18</v>
      </c>
      <c r="BG132" s="143"/>
      <c r="BH132" s="147" t="str">
        <f t="shared" si="22"/>
        <v>mt</v>
      </c>
      <c r="BI132" s="161"/>
      <c r="BJ132" s="182"/>
      <c r="BK132" s="182"/>
      <c r="BL132" s="183" t="s">
        <v>18</v>
      </c>
      <c r="BN132" s="143"/>
      <c r="BO132" s="147" t="str">
        <f t="shared" si="23"/>
        <v>mt</v>
      </c>
      <c r="BP132" s="161"/>
      <c r="BQ132" s="182"/>
      <c r="BR132" s="182"/>
      <c r="BS132" s="183" t="s">
        <v>18</v>
      </c>
      <c r="BU132" s="143"/>
      <c r="BV132" s="147" t="str">
        <f t="shared" si="24"/>
        <v>mt</v>
      </c>
      <c r="BW132" s="161"/>
      <c r="BX132" s="182"/>
      <c r="BY132" s="182"/>
      <c r="BZ132" s="183" t="s">
        <v>18</v>
      </c>
      <c r="CC132" s="163">
        <f t="shared" si="25"/>
        <v>0</v>
      </c>
      <c r="CD132" s="163">
        <f t="shared" si="26"/>
        <v>0</v>
      </c>
      <c r="CE132" s="163">
        <f t="shared" si="27"/>
        <v>0</v>
      </c>
      <c r="CF132" s="163">
        <f t="shared" si="28"/>
        <v>0</v>
      </c>
      <c r="CG132" s="163">
        <f t="shared" si="29"/>
        <v>0</v>
      </c>
      <c r="CH132" s="163">
        <f t="shared" si="30"/>
        <v>0</v>
      </c>
      <c r="CJ132" s="163">
        <f t="shared" si="31"/>
        <v>0</v>
      </c>
      <c r="CK132" s="163">
        <f t="shared" si="32"/>
        <v>0</v>
      </c>
      <c r="CL132" s="163">
        <f t="shared" si="33"/>
        <v>0</v>
      </c>
      <c r="CM132" s="163">
        <f t="shared" si="34"/>
        <v>0</v>
      </c>
      <c r="CN132" s="163">
        <f t="shared" si="35"/>
        <v>0</v>
      </c>
      <c r="CO132" s="163">
        <f t="shared" si="36"/>
        <v>0</v>
      </c>
      <c r="CP132" s="163"/>
      <c r="CQ132" s="163">
        <f t="shared" si="37"/>
        <v>0</v>
      </c>
      <c r="CR132" s="163">
        <f t="shared" si="38"/>
        <v>0</v>
      </c>
      <c r="CS132" s="163">
        <f t="shared" si="39"/>
        <v>0</v>
      </c>
      <c r="CT132" s="163">
        <f t="shared" si="40"/>
        <v>0</v>
      </c>
      <c r="CU132" s="163">
        <f t="shared" si="41"/>
        <v>0</v>
      </c>
      <c r="CV132" s="163">
        <f t="shared" si="42"/>
        <v>0</v>
      </c>
      <c r="CY132" s="164" t="s">
        <v>45</v>
      </c>
      <c r="FN132" s="165">
        <f t="shared" si="8"/>
        <v>705.88235294117646</v>
      </c>
      <c r="FO132" s="166">
        <f t="shared" si="43"/>
        <v>0</v>
      </c>
      <c r="FP132" s="166">
        <f t="shared" si="44"/>
        <v>0</v>
      </c>
    </row>
    <row r="133" spans="1:172" ht="18" x14ac:dyDescent="0.25">
      <c r="A133" s="137">
        <v>600</v>
      </c>
      <c r="B133" s="138" t="s">
        <v>127</v>
      </c>
      <c r="C133" s="139" t="s">
        <v>128</v>
      </c>
      <c r="D133" s="185" t="s">
        <v>99</v>
      </c>
      <c r="E133" s="141" t="s">
        <v>129</v>
      </c>
      <c r="F133" s="142" t="s">
        <v>139</v>
      </c>
      <c r="G133" s="143"/>
      <c r="H133" s="144"/>
      <c r="I133" s="144"/>
      <c r="J133" s="144"/>
      <c r="K133" s="144"/>
      <c r="L133" s="144"/>
      <c r="M133" s="137">
        <f t="shared" si="9"/>
        <v>705.88235294117646</v>
      </c>
      <c r="N133" s="145" t="s">
        <v>8</v>
      </c>
      <c r="O133" s="184">
        <f t="shared" si="10"/>
        <v>705.88235294117646</v>
      </c>
      <c r="P133" s="147" t="str">
        <f t="shared" si="0"/>
        <v>mt</v>
      </c>
      <c r="Q133" s="147" t="str">
        <f t="shared" si="1"/>
        <v>/ dia</v>
      </c>
      <c r="R133" s="148">
        <v>6</v>
      </c>
      <c r="S133" s="149">
        <v>5</v>
      </c>
      <c r="T133" s="149">
        <f t="shared" si="2"/>
        <v>1</v>
      </c>
      <c r="U133" s="149">
        <f t="shared" si="3"/>
        <v>0</v>
      </c>
      <c r="V133" s="149">
        <f t="shared" si="11"/>
        <v>0</v>
      </c>
      <c r="W133" s="140" t="s">
        <v>18</v>
      </c>
      <c r="X133" s="150" t="s">
        <v>18</v>
      </c>
      <c r="Y133" s="151">
        <f t="shared" si="12"/>
        <v>0</v>
      </c>
      <c r="Z133" s="152">
        <f t="shared" si="4"/>
        <v>0.83333333333333337</v>
      </c>
      <c r="AA133" s="153">
        <f t="shared" si="13"/>
        <v>0</v>
      </c>
      <c r="AB133" s="153">
        <f t="shared" si="14"/>
        <v>0</v>
      </c>
      <c r="AC133" s="154"/>
      <c r="AD133" s="155">
        <f t="shared" si="5"/>
        <v>0</v>
      </c>
      <c r="AE133" s="156">
        <f t="shared" si="15"/>
        <v>0</v>
      </c>
      <c r="AF133" s="157">
        <f t="shared" si="6"/>
        <v>0</v>
      </c>
      <c r="AG133" s="158" t="str">
        <f t="shared" si="7"/>
        <v>mt</v>
      </c>
      <c r="AH133" s="158">
        <f t="shared" si="16"/>
        <v>0</v>
      </c>
      <c r="AI133" s="159">
        <f t="shared" si="17"/>
        <v>0</v>
      </c>
      <c r="AJ133" s="160">
        <f t="shared" si="18"/>
        <v>0</v>
      </c>
      <c r="AL133" s="143"/>
      <c r="AM133" s="147" t="str">
        <f t="shared" si="19"/>
        <v>mt</v>
      </c>
      <c r="AN133" s="161"/>
      <c r="AO133" s="162"/>
      <c r="AP133" s="162"/>
      <c r="AQ133" s="140" t="s">
        <v>18</v>
      </c>
      <c r="AS133" s="143"/>
      <c r="AT133" s="147" t="str">
        <f t="shared" si="20"/>
        <v>mt</v>
      </c>
      <c r="AU133" s="161"/>
      <c r="AV133" s="162"/>
      <c r="AW133" s="162"/>
      <c r="AX133" s="140" t="s">
        <v>18</v>
      </c>
      <c r="AZ133" s="143"/>
      <c r="BA133" s="147" t="str">
        <f t="shared" si="21"/>
        <v>mt</v>
      </c>
      <c r="BB133" s="161"/>
      <c r="BC133" s="162"/>
      <c r="BD133" s="162"/>
      <c r="BE133" s="140" t="s">
        <v>18</v>
      </c>
      <c r="BG133" s="143"/>
      <c r="BH133" s="147" t="str">
        <f t="shared" si="22"/>
        <v>mt</v>
      </c>
      <c r="BI133" s="161"/>
      <c r="BJ133" s="162"/>
      <c r="BK133" s="162"/>
      <c r="BL133" s="140" t="s">
        <v>18</v>
      </c>
      <c r="BN133" s="143"/>
      <c r="BO133" s="147" t="str">
        <f t="shared" si="23"/>
        <v>mt</v>
      </c>
      <c r="BP133" s="161"/>
      <c r="BQ133" s="162"/>
      <c r="BR133" s="162"/>
      <c r="BS133" s="140" t="s">
        <v>18</v>
      </c>
      <c r="BU133" s="143"/>
      <c r="BV133" s="147" t="str">
        <f t="shared" si="24"/>
        <v>mt</v>
      </c>
      <c r="BW133" s="161"/>
      <c r="BX133" s="162"/>
      <c r="BY133" s="162"/>
      <c r="BZ133" s="140" t="s">
        <v>18</v>
      </c>
      <c r="CC133" s="163">
        <f t="shared" si="25"/>
        <v>0</v>
      </c>
      <c r="CD133" s="163">
        <f t="shared" si="26"/>
        <v>0</v>
      </c>
      <c r="CE133" s="163">
        <f t="shared" si="27"/>
        <v>0</v>
      </c>
      <c r="CF133" s="163">
        <f t="shared" si="28"/>
        <v>0</v>
      </c>
      <c r="CG133" s="163">
        <f t="shared" si="29"/>
        <v>0</v>
      </c>
      <c r="CH133" s="163">
        <f t="shared" si="30"/>
        <v>0</v>
      </c>
      <c r="CJ133" s="163">
        <f t="shared" si="31"/>
        <v>0</v>
      </c>
      <c r="CK133" s="163">
        <f t="shared" si="32"/>
        <v>0</v>
      </c>
      <c r="CL133" s="163">
        <f t="shared" si="33"/>
        <v>0</v>
      </c>
      <c r="CM133" s="163">
        <f t="shared" si="34"/>
        <v>0</v>
      </c>
      <c r="CN133" s="163">
        <f t="shared" si="35"/>
        <v>0</v>
      </c>
      <c r="CO133" s="163">
        <f t="shared" si="36"/>
        <v>0</v>
      </c>
      <c r="CP133" s="163"/>
      <c r="CQ133" s="163">
        <f t="shared" si="37"/>
        <v>0</v>
      </c>
      <c r="CR133" s="163">
        <f t="shared" si="38"/>
        <v>0</v>
      </c>
      <c r="CS133" s="163">
        <f t="shared" si="39"/>
        <v>0</v>
      </c>
      <c r="CT133" s="163">
        <f t="shared" si="40"/>
        <v>0</v>
      </c>
      <c r="CU133" s="163">
        <f t="shared" si="41"/>
        <v>0</v>
      </c>
      <c r="CV133" s="163">
        <f t="shared" si="42"/>
        <v>0</v>
      </c>
      <c r="CY133" s="164" t="s">
        <v>45</v>
      </c>
      <c r="FN133" s="165">
        <f t="shared" si="8"/>
        <v>705.88235294117646</v>
      </c>
      <c r="FO133" s="166">
        <f t="shared" si="43"/>
        <v>0</v>
      </c>
      <c r="FP133" s="166">
        <f t="shared" si="44"/>
        <v>0</v>
      </c>
    </row>
    <row r="134" spans="1:172" ht="18" x14ac:dyDescent="0.25">
      <c r="A134" s="167">
        <v>600</v>
      </c>
      <c r="B134" s="168" t="s">
        <v>127</v>
      </c>
      <c r="C134" s="169" t="s">
        <v>128</v>
      </c>
      <c r="D134" s="185" t="s">
        <v>99</v>
      </c>
      <c r="E134" s="170" t="s">
        <v>129</v>
      </c>
      <c r="F134" s="171" t="s">
        <v>140</v>
      </c>
      <c r="G134" s="143"/>
      <c r="H134" s="172"/>
      <c r="I134" s="172"/>
      <c r="J134" s="172"/>
      <c r="K134" s="172"/>
      <c r="L134" s="172"/>
      <c r="M134" s="137">
        <f t="shared" si="9"/>
        <v>705.88235294117646</v>
      </c>
      <c r="N134" s="173" t="s">
        <v>8</v>
      </c>
      <c r="O134" s="146">
        <f t="shared" si="10"/>
        <v>705.88235294117646</v>
      </c>
      <c r="P134" s="174" t="str">
        <f t="shared" si="0"/>
        <v>mt</v>
      </c>
      <c r="Q134" s="175" t="str">
        <f t="shared" si="1"/>
        <v>/ dia</v>
      </c>
      <c r="R134" s="176">
        <v>6</v>
      </c>
      <c r="S134" s="177">
        <v>5</v>
      </c>
      <c r="T134" s="177">
        <f t="shared" si="2"/>
        <v>1</v>
      </c>
      <c r="U134" s="149">
        <f t="shared" si="3"/>
        <v>0</v>
      </c>
      <c r="V134" s="149">
        <f t="shared" si="11"/>
        <v>0</v>
      </c>
      <c r="W134" s="140" t="s">
        <v>18</v>
      </c>
      <c r="X134" s="150" t="s">
        <v>18</v>
      </c>
      <c r="Y134" s="151">
        <f t="shared" si="12"/>
        <v>0</v>
      </c>
      <c r="Z134" s="178">
        <f t="shared" si="4"/>
        <v>0.83333333333333337</v>
      </c>
      <c r="AA134" s="179">
        <f t="shared" si="13"/>
        <v>0</v>
      </c>
      <c r="AB134" s="179">
        <f t="shared" si="14"/>
        <v>0</v>
      </c>
      <c r="AC134" s="180"/>
      <c r="AD134" s="155">
        <f t="shared" si="5"/>
        <v>0</v>
      </c>
      <c r="AE134" s="156">
        <f t="shared" si="15"/>
        <v>0</v>
      </c>
      <c r="AF134" s="157">
        <f t="shared" si="6"/>
        <v>0</v>
      </c>
      <c r="AG134" s="158" t="str">
        <f t="shared" si="7"/>
        <v>mt</v>
      </c>
      <c r="AH134" s="158">
        <f t="shared" si="16"/>
        <v>0</v>
      </c>
      <c r="AI134" s="159">
        <f t="shared" si="17"/>
        <v>0</v>
      </c>
      <c r="AJ134" s="160">
        <f t="shared" si="18"/>
        <v>0</v>
      </c>
      <c r="AL134" s="143"/>
      <c r="AM134" s="147" t="str">
        <f t="shared" si="19"/>
        <v>mt</v>
      </c>
      <c r="AN134" s="161"/>
      <c r="AO134" s="182"/>
      <c r="AP134" s="182"/>
      <c r="AQ134" s="183" t="s">
        <v>18</v>
      </c>
      <c r="AS134" s="143"/>
      <c r="AT134" s="147" t="str">
        <f t="shared" si="20"/>
        <v>mt</v>
      </c>
      <c r="AU134" s="161"/>
      <c r="AV134" s="182"/>
      <c r="AW134" s="182"/>
      <c r="AX134" s="183" t="s">
        <v>18</v>
      </c>
      <c r="AZ134" s="143"/>
      <c r="BA134" s="147" t="str">
        <f t="shared" si="21"/>
        <v>mt</v>
      </c>
      <c r="BB134" s="161"/>
      <c r="BC134" s="182"/>
      <c r="BD134" s="182"/>
      <c r="BE134" s="183" t="s">
        <v>18</v>
      </c>
      <c r="BG134" s="143"/>
      <c r="BH134" s="147" t="str">
        <f t="shared" si="22"/>
        <v>mt</v>
      </c>
      <c r="BI134" s="161"/>
      <c r="BJ134" s="182"/>
      <c r="BK134" s="182"/>
      <c r="BL134" s="183" t="s">
        <v>18</v>
      </c>
      <c r="BN134" s="143"/>
      <c r="BO134" s="147" t="str">
        <f t="shared" si="23"/>
        <v>mt</v>
      </c>
      <c r="BP134" s="161"/>
      <c r="BQ134" s="182"/>
      <c r="BR134" s="182"/>
      <c r="BS134" s="183" t="s">
        <v>18</v>
      </c>
      <c r="BU134" s="143"/>
      <c r="BV134" s="147" t="str">
        <f t="shared" si="24"/>
        <v>mt</v>
      </c>
      <c r="BW134" s="161"/>
      <c r="BX134" s="182"/>
      <c r="BY134" s="182"/>
      <c r="BZ134" s="183" t="s">
        <v>18</v>
      </c>
      <c r="CC134" s="163">
        <f t="shared" si="25"/>
        <v>0</v>
      </c>
      <c r="CD134" s="163">
        <f t="shared" si="26"/>
        <v>0</v>
      </c>
      <c r="CE134" s="163">
        <f t="shared" si="27"/>
        <v>0</v>
      </c>
      <c r="CF134" s="163">
        <f t="shared" si="28"/>
        <v>0</v>
      </c>
      <c r="CG134" s="163">
        <f t="shared" si="29"/>
        <v>0</v>
      </c>
      <c r="CH134" s="163">
        <f t="shared" si="30"/>
        <v>0</v>
      </c>
      <c r="CJ134" s="163">
        <f t="shared" si="31"/>
        <v>0</v>
      </c>
      <c r="CK134" s="163">
        <f t="shared" si="32"/>
        <v>0</v>
      </c>
      <c r="CL134" s="163">
        <f t="shared" si="33"/>
        <v>0</v>
      </c>
      <c r="CM134" s="163">
        <f t="shared" si="34"/>
        <v>0</v>
      </c>
      <c r="CN134" s="163">
        <f t="shared" si="35"/>
        <v>0</v>
      </c>
      <c r="CO134" s="163">
        <f t="shared" si="36"/>
        <v>0</v>
      </c>
      <c r="CP134" s="163"/>
      <c r="CQ134" s="163">
        <f t="shared" si="37"/>
        <v>0</v>
      </c>
      <c r="CR134" s="163">
        <f t="shared" si="38"/>
        <v>0</v>
      </c>
      <c r="CS134" s="163">
        <f t="shared" si="39"/>
        <v>0</v>
      </c>
      <c r="CT134" s="163">
        <f t="shared" si="40"/>
        <v>0</v>
      </c>
      <c r="CU134" s="163">
        <f t="shared" si="41"/>
        <v>0</v>
      </c>
      <c r="CV134" s="163">
        <f t="shared" si="42"/>
        <v>0</v>
      </c>
      <c r="CY134" s="164" t="s">
        <v>45</v>
      </c>
      <c r="FN134" s="165">
        <f t="shared" si="8"/>
        <v>705.88235294117646</v>
      </c>
      <c r="FO134" s="166">
        <f t="shared" si="43"/>
        <v>0</v>
      </c>
      <c r="FP134" s="166">
        <f t="shared" si="44"/>
        <v>0</v>
      </c>
    </row>
    <row r="135" spans="1:172" ht="18" x14ac:dyDescent="0.25">
      <c r="A135" s="137">
        <v>700</v>
      </c>
      <c r="B135" s="138" t="s">
        <v>127</v>
      </c>
      <c r="C135" s="139" t="s">
        <v>128</v>
      </c>
      <c r="D135" s="185" t="s">
        <v>99</v>
      </c>
      <c r="E135" s="141" t="s">
        <v>129</v>
      </c>
      <c r="F135" s="142" t="s">
        <v>141</v>
      </c>
      <c r="G135" s="143"/>
      <c r="H135" s="144"/>
      <c r="I135" s="144"/>
      <c r="J135" s="144"/>
      <c r="K135" s="144"/>
      <c r="L135" s="144"/>
      <c r="M135" s="137">
        <f t="shared" si="9"/>
        <v>823.52941176470586</v>
      </c>
      <c r="N135" s="145" t="s">
        <v>8</v>
      </c>
      <c r="O135" s="184">
        <f t="shared" si="10"/>
        <v>823.52941176470586</v>
      </c>
      <c r="P135" s="147" t="str">
        <f t="shared" si="0"/>
        <v>mt</v>
      </c>
      <c r="Q135" s="147" t="str">
        <f t="shared" si="1"/>
        <v>/ dia</v>
      </c>
      <c r="R135" s="148">
        <v>3</v>
      </c>
      <c r="S135" s="149">
        <v>2</v>
      </c>
      <c r="T135" s="149">
        <f t="shared" si="2"/>
        <v>1</v>
      </c>
      <c r="U135" s="149">
        <f t="shared" si="3"/>
        <v>0</v>
      </c>
      <c r="V135" s="149">
        <f t="shared" si="11"/>
        <v>0</v>
      </c>
      <c r="W135" s="140" t="s">
        <v>18</v>
      </c>
      <c r="X135" s="150" t="s">
        <v>18</v>
      </c>
      <c r="Y135" s="151">
        <f t="shared" si="12"/>
        <v>0</v>
      </c>
      <c r="Z135" s="152">
        <f t="shared" si="4"/>
        <v>0.66666666666666663</v>
      </c>
      <c r="AA135" s="153">
        <f t="shared" si="13"/>
        <v>0</v>
      </c>
      <c r="AB135" s="153">
        <f t="shared" si="14"/>
        <v>0</v>
      </c>
      <c r="AC135" s="154"/>
      <c r="AD135" s="155">
        <f t="shared" si="5"/>
        <v>0</v>
      </c>
      <c r="AE135" s="156">
        <f t="shared" si="15"/>
        <v>0</v>
      </c>
      <c r="AF135" s="157">
        <f t="shared" si="6"/>
        <v>0</v>
      </c>
      <c r="AG135" s="158" t="str">
        <f t="shared" si="7"/>
        <v>mt</v>
      </c>
      <c r="AH135" s="158">
        <f t="shared" si="16"/>
        <v>0</v>
      </c>
      <c r="AI135" s="159">
        <f t="shared" si="17"/>
        <v>0</v>
      </c>
      <c r="AJ135" s="160">
        <f t="shared" si="18"/>
        <v>0</v>
      </c>
      <c r="AL135" s="143"/>
      <c r="AM135" s="147" t="str">
        <f t="shared" si="19"/>
        <v>mt</v>
      </c>
      <c r="AN135" s="161"/>
      <c r="AO135" s="162"/>
      <c r="AP135" s="162"/>
      <c r="AQ135" s="140" t="s">
        <v>18</v>
      </c>
      <c r="AS135" s="143"/>
      <c r="AT135" s="147" t="str">
        <f t="shared" si="20"/>
        <v>mt</v>
      </c>
      <c r="AU135" s="161"/>
      <c r="AV135" s="162"/>
      <c r="AW135" s="162"/>
      <c r="AX135" s="140" t="s">
        <v>18</v>
      </c>
      <c r="AZ135" s="143"/>
      <c r="BA135" s="147" t="str">
        <f t="shared" si="21"/>
        <v>mt</v>
      </c>
      <c r="BB135" s="161"/>
      <c r="BC135" s="162"/>
      <c r="BD135" s="162"/>
      <c r="BE135" s="140" t="s">
        <v>18</v>
      </c>
      <c r="BG135" s="143"/>
      <c r="BH135" s="147" t="str">
        <f t="shared" si="22"/>
        <v>mt</v>
      </c>
      <c r="BI135" s="161"/>
      <c r="BJ135" s="162"/>
      <c r="BK135" s="162"/>
      <c r="BL135" s="140" t="s">
        <v>18</v>
      </c>
      <c r="BN135" s="143"/>
      <c r="BO135" s="147" t="str">
        <f t="shared" si="23"/>
        <v>mt</v>
      </c>
      <c r="BP135" s="161"/>
      <c r="BQ135" s="162"/>
      <c r="BR135" s="162"/>
      <c r="BS135" s="140" t="s">
        <v>18</v>
      </c>
      <c r="BU135" s="143"/>
      <c r="BV135" s="147" t="str">
        <f t="shared" si="24"/>
        <v>mt</v>
      </c>
      <c r="BW135" s="161"/>
      <c r="BX135" s="162"/>
      <c r="BY135" s="162"/>
      <c r="BZ135" s="140" t="s">
        <v>18</v>
      </c>
      <c r="CC135" s="163">
        <f t="shared" si="25"/>
        <v>0</v>
      </c>
      <c r="CD135" s="163">
        <f t="shared" si="26"/>
        <v>0</v>
      </c>
      <c r="CE135" s="163">
        <f t="shared" si="27"/>
        <v>0</v>
      </c>
      <c r="CF135" s="163">
        <f t="shared" si="28"/>
        <v>0</v>
      </c>
      <c r="CG135" s="163">
        <f t="shared" si="29"/>
        <v>0</v>
      </c>
      <c r="CH135" s="163">
        <f t="shared" si="30"/>
        <v>0</v>
      </c>
      <c r="CJ135" s="163">
        <f t="shared" si="31"/>
        <v>0</v>
      </c>
      <c r="CK135" s="163">
        <f t="shared" si="32"/>
        <v>0</v>
      </c>
      <c r="CL135" s="163">
        <f t="shared" si="33"/>
        <v>0</v>
      </c>
      <c r="CM135" s="163">
        <f t="shared" si="34"/>
        <v>0</v>
      </c>
      <c r="CN135" s="163">
        <f t="shared" si="35"/>
        <v>0</v>
      </c>
      <c r="CO135" s="163">
        <f t="shared" si="36"/>
        <v>0</v>
      </c>
      <c r="CP135" s="163"/>
      <c r="CQ135" s="163">
        <f t="shared" si="37"/>
        <v>0</v>
      </c>
      <c r="CR135" s="163">
        <f t="shared" si="38"/>
        <v>0</v>
      </c>
      <c r="CS135" s="163">
        <f t="shared" si="39"/>
        <v>0</v>
      </c>
      <c r="CT135" s="163">
        <f t="shared" si="40"/>
        <v>0</v>
      </c>
      <c r="CU135" s="163">
        <f t="shared" si="41"/>
        <v>0</v>
      </c>
      <c r="CV135" s="163">
        <f t="shared" si="42"/>
        <v>0</v>
      </c>
      <c r="CY135" s="164" t="s">
        <v>45</v>
      </c>
      <c r="FN135" s="165">
        <f t="shared" si="8"/>
        <v>823.52941176470586</v>
      </c>
      <c r="FO135" s="166">
        <f t="shared" si="43"/>
        <v>0</v>
      </c>
      <c r="FP135" s="166">
        <f t="shared" si="44"/>
        <v>0</v>
      </c>
    </row>
    <row r="136" spans="1:172" ht="18" x14ac:dyDescent="0.25">
      <c r="A136" s="167">
        <v>650</v>
      </c>
      <c r="B136" s="168" t="s">
        <v>127</v>
      </c>
      <c r="C136" s="169" t="s">
        <v>128</v>
      </c>
      <c r="D136" s="185" t="s">
        <v>99</v>
      </c>
      <c r="E136" s="170" t="s">
        <v>129</v>
      </c>
      <c r="F136" s="171" t="s">
        <v>142</v>
      </c>
      <c r="G136" s="143"/>
      <c r="H136" s="172"/>
      <c r="I136" s="172"/>
      <c r="J136" s="172"/>
      <c r="K136" s="172"/>
      <c r="L136" s="172"/>
      <c r="M136" s="137">
        <f t="shared" si="9"/>
        <v>764.70588235294122</v>
      </c>
      <c r="N136" s="173" t="s">
        <v>8</v>
      </c>
      <c r="O136" s="146">
        <f t="shared" si="10"/>
        <v>764.70588235294122</v>
      </c>
      <c r="P136" s="174" t="str">
        <f t="shared" si="0"/>
        <v>mt</v>
      </c>
      <c r="Q136" s="175" t="str">
        <f t="shared" si="1"/>
        <v>/ dia</v>
      </c>
      <c r="R136" s="176">
        <v>3</v>
      </c>
      <c r="S136" s="177">
        <v>2</v>
      </c>
      <c r="T136" s="177">
        <f t="shared" si="2"/>
        <v>1</v>
      </c>
      <c r="U136" s="149">
        <f t="shared" si="3"/>
        <v>0</v>
      </c>
      <c r="V136" s="149">
        <f t="shared" si="11"/>
        <v>0</v>
      </c>
      <c r="W136" s="140" t="s">
        <v>18</v>
      </c>
      <c r="X136" s="150" t="s">
        <v>18</v>
      </c>
      <c r="Y136" s="151">
        <f t="shared" si="12"/>
        <v>0</v>
      </c>
      <c r="Z136" s="178">
        <f t="shared" si="4"/>
        <v>0.66666666666666663</v>
      </c>
      <c r="AA136" s="179">
        <f t="shared" si="13"/>
        <v>0</v>
      </c>
      <c r="AB136" s="179">
        <f t="shared" si="14"/>
        <v>0</v>
      </c>
      <c r="AC136" s="180"/>
      <c r="AD136" s="155">
        <f t="shared" si="5"/>
        <v>0</v>
      </c>
      <c r="AE136" s="156">
        <f t="shared" si="15"/>
        <v>0</v>
      </c>
      <c r="AF136" s="157">
        <f t="shared" si="6"/>
        <v>0</v>
      </c>
      <c r="AG136" s="158" t="str">
        <f t="shared" si="7"/>
        <v>mt</v>
      </c>
      <c r="AH136" s="158">
        <f t="shared" si="16"/>
        <v>0</v>
      </c>
      <c r="AI136" s="159">
        <f t="shared" si="17"/>
        <v>0</v>
      </c>
      <c r="AJ136" s="160">
        <f t="shared" si="18"/>
        <v>0</v>
      </c>
      <c r="AL136" s="143"/>
      <c r="AM136" s="147" t="str">
        <f t="shared" si="19"/>
        <v>mt</v>
      </c>
      <c r="AN136" s="161"/>
      <c r="AO136" s="182"/>
      <c r="AP136" s="182"/>
      <c r="AQ136" s="183" t="s">
        <v>18</v>
      </c>
      <c r="AS136" s="143"/>
      <c r="AT136" s="147" t="str">
        <f t="shared" si="20"/>
        <v>mt</v>
      </c>
      <c r="AU136" s="161"/>
      <c r="AV136" s="182"/>
      <c r="AW136" s="182"/>
      <c r="AX136" s="183" t="s">
        <v>18</v>
      </c>
      <c r="AZ136" s="143"/>
      <c r="BA136" s="147" t="str">
        <f t="shared" si="21"/>
        <v>mt</v>
      </c>
      <c r="BB136" s="161"/>
      <c r="BC136" s="182"/>
      <c r="BD136" s="182"/>
      <c r="BE136" s="183" t="s">
        <v>18</v>
      </c>
      <c r="BG136" s="143"/>
      <c r="BH136" s="147" t="str">
        <f t="shared" si="22"/>
        <v>mt</v>
      </c>
      <c r="BI136" s="161"/>
      <c r="BJ136" s="182"/>
      <c r="BK136" s="182"/>
      <c r="BL136" s="183" t="s">
        <v>18</v>
      </c>
      <c r="BN136" s="143"/>
      <c r="BO136" s="147" t="str">
        <f t="shared" si="23"/>
        <v>mt</v>
      </c>
      <c r="BP136" s="161"/>
      <c r="BQ136" s="182"/>
      <c r="BR136" s="182"/>
      <c r="BS136" s="183" t="s">
        <v>18</v>
      </c>
      <c r="BU136" s="143"/>
      <c r="BV136" s="147" t="str">
        <f t="shared" si="24"/>
        <v>mt</v>
      </c>
      <c r="BW136" s="161"/>
      <c r="BX136" s="182"/>
      <c r="BY136" s="182"/>
      <c r="BZ136" s="183" t="s">
        <v>18</v>
      </c>
      <c r="CC136" s="163">
        <f t="shared" si="25"/>
        <v>0</v>
      </c>
      <c r="CD136" s="163">
        <f t="shared" si="26"/>
        <v>0</v>
      </c>
      <c r="CE136" s="163">
        <f t="shared" si="27"/>
        <v>0</v>
      </c>
      <c r="CF136" s="163">
        <f t="shared" si="28"/>
        <v>0</v>
      </c>
      <c r="CG136" s="163">
        <f t="shared" si="29"/>
        <v>0</v>
      </c>
      <c r="CH136" s="163">
        <f t="shared" si="30"/>
        <v>0</v>
      </c>
      <c r="CJ136" s="163">
        <f t="shared" si="31"/>
        <v>0</v>
      </c>
      <c r="CK136" s="163">
        <f t="shared" si="32"/>
        <v>0</v>
      </c>
      <c r="CL136" s="163">
        <f t="shared" si="33"/>
        <v>0</v>
      </c>
      <c r="CM136" s="163">
        <f t="shared" si="34"/>
        <v>0</v>
      </c>
      <c r="CN136" s="163">
        <f t="shared" si="35"/>
        <v>0</v>
      </c>
      <c r="CO136" s="163">
        <f t="shared" si="36"/>
        <v>0</v>
      </c>
      <c r="CP136" s="163"/>
      <c r="CQ136" s="163">
        <f t="shared" si="37"/>
        <v>0</v>
      </c>
      <c r="CR136" s="163">
        <f t="shared" si="38"/>
        <v>0</v>
      </c>
      <c r="CS136" s="163">
        <f t="shared" si="39"/>
        <v>0</v>
      </c>
      <c r="CT136" s="163">
        <f t="shared" si="40"/>
        <v>0</v>
      </c>
      <c r="CU136" s="163">
        <f t="shared" si="41"/>
        <v>0</v>
      </c>
      <c r="CV136" s="163">
        <f t="shared" si="42"/>
        <v>0</v>
      </c>
      <c r="CY136" s="164" t="s">
        <v>45</v>
      </c>
      <c r="FN136" s="165">
        <f t="shared" si="8"/>
        <v>764.70588235294122</v>
      </c>
      <c r="FO136" s="166">
        <f t="shared" si="43"/>
        <v>0</v>
      </c>
      <c r="FP136" s="166">
        <f t="shared" si="44"/>
        <v>0</v>
      </c>
    </row>
    <row r="137" spans="1:172" ht="18" x14ac:dyDescent="0.25">
      <c r="A137" s="137">
        <v>600</v>
      </c>
      <c r="B137" s="138" t="s">
        <v>127</v>
      </c>
      <c r="C137" s="139" t="s">
        <v>128</v>
      </c>
      <c r="D137" s="185" t="s">
        <v>99</v>
      </c>
      <c r="E137" s="141" t="s">
        <v>129</v>
      </c>
      <c r="F137" s="142" t="s">
        <v>143</v>
      </c>
      <c r="G137" s="143"/>
      <c r="H137" s="144"/>
      <c r="I137" s="144"/>
      <c r="J137" s="144"/>
      <c r="K137" s="144"/>
      <c r="L137" s="144"/>
      <c r="M137" s="137">
        <f t="shared" si="9"/>
        <v>705.88235294117646</v>
      </c>
      <c r="N137" s="145" t="s">
        <v>8</v>
      </c>
      <c r="O137" s="184">
        <f t="shared" si="10"/>
        <v>705.88235294117646</v>
      </c>
      <c r="P137" s="147" t="str">
        <f t="shared" si="0"/>
        <v>mt</v>
      </c>
      <c r="Q137" s="147" t="str">
        <f t="shared" si="1"/>
        <v>/ dia</v>
      </c>
      <c r="R137" s="148">
        <v>3</v>
      </c>
      <c r="S137" s="149">
        <v>2</v>
      </c>
      <c r="T137" s="149">
        <f t="shared" si="2"/>
        <v>1</v>
      </c>
      <c r="U137" s="149">
        <f t="shared" si="3"/>
        <v>0</v>
      </c>
      <c r="V137" s="149">
        <f t="shared" si="11"/>
        <v>0</v>
      </c>
      <c r="W137" s="140" t="s">
        <v>18</v>
      </c>
      <c r="X137" s="150" t="s">
        <v>18</v>
      </c>
      <c r="Y137" s="151">
        <f t="shared" si="12"/>
        <v>0</v>
      </c>
      <c r="Z137" s="152">
        <f t="shared" si="4"/>
        <v>0.66666666666666663</v>
      </c>
      <c r="AA137" s="153">
        <f t="shared" si="13"/>
        <v>0</v>
      </c>
      <c r="AB137" s="153">
        <f t="shared" si="14"/>
        <v>0</v>
      </c>
      <c r="AC137" s="154"/>
      <c r="AD137" s="155">
        <f t="shared" si="5"/>
        <v>0</v>
      </c>
      <c r="AE137" s="156">
        <f t="shared" si="15"/>
        <v>0</v>
      </c>
      <c r="AF137" s="157">
        <f t="shared" si="6"/>
        <v>0</v>
      </c>
      <c r="AG137" s="158" t="str">
        <f t="shared" si="7"/>
        <v>mt</v>
      </c>
      <c r="AH137" s="158">
        <f t="shared" si="16"/>
        <v>0</v>
      </c>
      <c r="AI137" s="159">
        <f t="shared" si="17"/>
        <v>0</v>
      </c>
      <c r="AJ137" s="160">
        <f t="shared" si="18"/>
        <v>0</v>
      </c>
      <c r="AL137" s="143"/>
      <c r="AM137" s="147" t="str">
        <f t="shared" si="19"/>
        <v>mt</v>
      </c>
      <c r="AN137" s="161"/>
      <c r="AO137" s="162"/>
      <c r="AP137" s="162"/>
      <c r="AQ137" s="140" t="s">
        <v>18</v>
      </c>
      <c r="AS137" s="143"/>
      <c r="AT137" s="147" t="str">
        <f t="shared" si="20"/>
        <v>mt</v>
      </c>
      <c r="AU137" s="161"/>
      <c r="AV137" s="162"/>
      <c r="AW137" s="162"/>
      <c r="AX137" s="140" t="s">
        <v>18</v>
      </c>
      <c r="AZ137" s="143"/>
      <c r="BA137" s="147" t="str">
        <f t="shared" si="21"/>
        <v>mt</v>
      </c>
      <c r="BB137" s="161"/>
      <c r="BC137" s="162"/>
      <c r="BD137" s="162"/>
      <c r="BE137" s="140" t="s">
        <v>18</v>
      </c>
      <c r="BG137" s="143"/>
      <c r="BH137" s="147" t="str">
        <f t="shared" si="22"/>
        <v>mt</v>
      </c>
      <c r="BI137" s="161"/>
      <c r="BJ137" s="162"/>
      <c r="BK137" s="162"/>
      <c r="BL137" s="140" t="s">
        <v>18</v>
      </c>
      <c r="BN137" s="143"/>
      <c r="BO137" s="147" t="str">
        <f t="shared" si="23"/>
        <v>mt</v>
      </c>
      <c r="BP137" s="161"/>
      <c r="BQ137" s="162"/>
      <c r="BR137" s="162"/>
      <c r="BS137" s="140" t="s">
        <v>18</v>
      </c>
      <c r="BU137" s="143"/>
      <c r="BV137" s="147" t="str">
        <f t="shared" si="24"/>
        <v>mt</v>
      </c>
      <c r="BW137" s="161"/>
      <c r="BX137" s="162"/>
      <c r="BY137" s="162"/>
      <c r="BZ137" s="140" t="s">
        <v>18</v>
      </c>
      <c r="CC137" s="163">
        <f t="shared" si="25"/>
        <v>0</v>
      </c>
      <c r="CD137" s="163">
        <f t="shared" si="26"/>
        <v>0</v>
      </c>
      <c r="CE137" s="163">
        <f t="shared" si="27"/>
        <v>0</v>
      </c>
      <c r="CF137" s="163">
        <f t="shared" si="28"/>
        <v>0</v>
      </c>
      <c r="CG137" s="163">
        <f t="shared" si="29"/>
        <v>0</v>
      </c>
      <c r="CH137" s="163">
        <f t="shared" si="30"/>
        <v>0</v>
      </c>
      <c r="CJ137" s="163">
        <f t="shared" si="31"/>
        <v>0</v>
      </c>
      <c r="CK137" s="163">
        <f t="shared" si="32"/>
        <v>0</v>
      </c>
      <c r="CL137" s="163">
        <f t="shared" si="33"/>
        <v>0</v>
      </c>
      <c r="CM137" s="163">
        <f t="shared" si="34"/>
        <v>0</v>
      </c>
      <c r="CN137" s="163">
        <f t="shared" si="35"/>
        <v>0</v>
      </c>
      <c r="CO137" s="163">
        <f t="shared" si="36"/>
        <v>0</v>
      </c>
      <c r="CP137" s="163"/>
      <c r="CQ137" s="163">
        <f t="shared" si="37"/>
        <v>0</v>
      </c>
      <c r="CR137" s="163">
        <f t="shared" si="38"/>
        <v>0</v>
      </c>
      <c r="CS137" s="163">
        <f t="shared" si="39"/>
        <v>0</v>
      </c>
      <c r="CT137" s="163">
        <f t="shared" si="40"/>
        <v>0</v>
      </c>
      <c r="CU137" s="163">
        <f t="shared" si="41"/>
        <v>0</v>
      </c>
      <c r="CV137" s="163">
        <f t="shared" si="42"/>
        <v>0</v>
      </c>
      <c r="CY137" s="164" t="s">
        <v>45</v>
      </c>
      <c r="FN137" s="165">
        <f t="shared" si="8"/>
        <v>705.88235294117646</v>
      </c>
      <c r="FO137" s="166">
        <f t="shared" si="43"/>
        <v>0</v>
      </c>
      <c r="FP137" s="166">
        <f t="shared" si="44"/>
        <v>0</v>
      </c>
    </row>
    <row r="138" spans="1:172" ht="18" x14ac:dyDescent="0.25">
      <c r="A138" s="167">
        <v>600</v>
      </c>
      <c r="B138" s="168" t="s">
        <v>127</v>
      </c>
      <c r="C138" s="169" t="s">
        <v>128</v>
      </c>
      <c r="D138" s="185" t="s">
        <v>99</v>
      </c>
      <c r="E138" s="170" t="s">
        <v>129</v>
      </c>
      <c r="F138" s="171" t="s">
        <v>144</v>
      </c>
      <c r="G138" s="143"/>
      <c r="H138" s="172"/>
      <c r="I138" s="172"/>
      <c r="J138" s="172"/>
      <c r="K138" s="172"/>
      <c r="L138" s="172"/>
      <c r="M138" s="137">
        <f t="shared" si="9"/>
        <v>705.88235294117646</v>
      </c>
      <c r="N138" s="173" t="s">
        <v>8</v>
      </c>
      <c r="O138" s="146">
        <f t="shared" si="10"/>
        <v>705.88235294117646</v>
      </c>
      <c r="P138" s="174" t="str">
        <f t="shared" si="0"/>
        <v>mt</v>
      </c>
      <c r="Q138" s="175" t="str">
        <f t="shared" si="1"/>
        <v>/ dia</v>
      </c>
      <c r="R138" s="176">
        <v>6</v>
      </c>
      <c r="S138" s="177">
        <v>5</v>
      </c>
      <c r="T138" s="177">
        <f t="shared" si="2"/>
        <v>1</v>
      </c>
      <c r="U138" s="149">
        <f t="shared" si="3"/>
        <v>0</v>
      </c>
      <c r="V138" s="149">
        <f t="shared" si="11"/>
        <v>0</v>
      </c>
      <c r="W138" s="140" t="s">
        <v>18</v>
      </c>
      <c r="X138" s="150" t="s">
        <v>18</v>
      </c>
      <c r="Y138" s="151">
        <f t="shared" si="12"/>
        <v>0</v>
      </c>
      <c r="Z138" s="178">
        <f t="shared" si="4"/>
        <v>0.83333333333333337</v>
      </c>
      <c r="AA138" s="179">
        <f t="shared" si="13"/>
        <v>0</v>
      </c>
      <c r="AB138" s="179">
        <f t="shared" si="14"/>
        <v>0</v>
      </c>
      <c r="AC138" s="180"/>
      <c r="AD138" s="155">
        <f t="shared" si="5"/>
        <v>0</v>
      </c>
      <c r="AE138" s="156">
        <f t="shared" si="15"/>
        <v>0</v>
      </c>
      <c r="AF138" s="157">
        <f t="shared" si="6"/>
        <v>0</v>
      </c>
      <c r="AG138" s="158" t="str">
        <f t="shared" si="7"/>
        <v>mt</v>
      </c>
      <c r="AH138" s="158">
        <f t="shared" si="16"/>
        <v>0</v>
      </c>
      <c r="AI138" s="159">
        <f t="shared" si="17"/>
        <v>0</v>
      </c>
      <c r="AJ138" s="160">
        <f t="shared" si="18"/>
        <v>0</v>
      </c>
      <c r="AL138" s="143"/>
      <c r="AM138" s="147" t="str">
        <f t="shared" si="19"/>
        <v>mt</v>
      </c>
      <c r="AN138" s="161"/>
      <c r="AO138" s="182"/>
      <c r="AP138" s="182"/>
      <c r="AQ138" s="183" t="s">
        <v>18</v>
      </c>
      <c r="AS138" s="143"/>
      <c r="AT138" s="147" t="str">
        <f t="shared" si="20"/>
        <v>mt</v>
      </c>
      <c r="AU138" s="161"/>
      <c r="AV138" s="182"/>
      <c r="AW138" s="182"/>
      <c r="AX138" s="183" t="s">
        <v>18</v>
      </c>
      <c r="AZ138" s="143"/>
      <c r="BA138" s="147" t="str">
        <f t="shared" si="21"/>
        <v>mt</v>
      </c>
      <c r="BB138" s="161"/>
      <c r="BC138" s="182"/>
      <c r="BD138" s="182"/>
      <c r="BE138" s="183" t="s">
        <v>18</v>
      </c>
      <c r="BG138" s="143"/>
      <c r="BH138" s="147" t="str">
        <f t="shared" si="22"/>
        <v>mt</v>
      </c>
      <c r="BI138" s="161"/>
      <c r="BJ138" s="182"/>
      <c r="BK138" s="182"/>
      <c r="BL138" s="183" t="s">
        <v>18</v>
      </c>
      <c r="BN138" s="143"/>
      <c r="BO138" s="147" t="str">
        <f t="shared" si="23"/>
        <v>mt</v>
      </c>
      <c r="BP138" s="161"/>
      <c r="BQ138" s="182"/>
      <c r="BR138" s="182"/>
      <c r="BS138" s="183" t="s">
        <v>18</v>
      </c>
      <c r="BU138" s="143"/>
      <c r="BV138" s="147" t="str">
        <f t="shared" si="24"/>
        <v>mt</v>
      </c>
      <c r="BW138" s="161"/>
      <c r="BX138" s="182"/>
      <c r="BY138" s="182"/>
      <c r="BZ138" s="183" t="s">
        <v>18</v>
      </c>
      <c r="CC138" s="163">
        <f t="shared" si="25"/>
        <v>0</v>
      </c>
      <c r="CD138" s="163">
        <f t="shared" si="26"/>
        <v>0</v>
      </c>
      <c r="CE138" s="163">
        <f t="shared" si="27"/>
        <v>0</v>
      </c>
      <c r="CF138" s="163">
        <f t="shared" si="28"/>
        <v>0</v>
      </c>
      <c r="CG138" s="163">
        <f t="shared" si="29"/>
        <v>0</v>
      </c>
      <c r="CH138" s="163">
        <f t="shared" si="30"/>
        <v>0</v>
      </c>
      <c r="CJ138" s="163">
        <f t="shared" si="31"/>
        <v>0</v>
      </c>
      <c r="CK138" s="163">
        <f t="shared" si="32"/>
        <v>0</v>
      </c>
      <c r="CL138" s="163">
        <f t="shared" si="33"/>
        <v>0</v>
      </c>
      <c r="CM138" s="163">
        <f t="shared" si="34"/>
        <v>0</v>
      </c>
      <c r="CN138" s="163">
        <f t="shared" si="35"/>
        <v>0</v>
      </c>
      <c r="CO138" s="163">
        <f t="shared" si="36"/>
        <v>0</v>
      </c>
      <c r="CP138" s="163"/>
      <c r="CQ138" s="163">
        <f t="shared" si="37"/>
        <v>0</v>
      </c>
      <c r="CR138" s="163">
        <f t="shared" si="38"/>
        <v>0</v>
      </c>
      <c r="CS138" s="163">
        <f t="shared" si="39"/>
        <v>0</v>
      </c>
      <c r="CT138" s="163">
        <f t="shared" si="40"/>
        <v>0</v>
      </c>
      <c r="CU138" s="163">
        <f t="shared" si="41"/>
        <v>0</v>
      </c>
      <c r="CV138" s="163">
        <f t="shared" si="42"/>
        <v>0</v>
      </c>
      <c r="CY138" s="164" t="s">
        <v>45</v>
      </c>
      <c r="FN138" s="165">
        <f t="shared" si="8"/>
        <v>705.88235294117646</v>
      </c>
      <c r="FO138" s="166">
        <f t="shared" si="43"/>
        <v>0</v>
      </c>
      <c r="FP138" s="166">
        <f t="shared" si="44"/>
        <v>0</v>
      </c>
    </row>
    <row r="139" spans="1:172" ht="18" x14ac:dyDescent="0.25">
      <c r="A139" s="137">
        <v>450</v>
      </c>
      <c r="B139" s="138" t="s">
        <v>127</v>
      </c>
      <c r="C139" s="139" t="s">
        <v>128</v>
      </c>
      <c r="D139" s="185" t="s">
        <v>99</v>
      </c>
      <c r="E139" s="141" t="s">
        <v>129</v>
      </c>
      <c r="F139" s="142" t="s">
        <v>145</v>
      </c>
      <c r="G139" s="143"/>
      <c r="H139" s="144"/>
      <c r="I139" s="144"/>
      <c r="J139" s="144"/>
      <c r="K139" s="144"/>
      <c r="L139" s="144"/>
      <c r="M139" s="137">
        <f t="shared" si="9"/>
        <v>529.41176470588232</v>
      </c>
      <c r="N139" s="145" t="s">
        <v>8</v>
      </c>
      <c r="O139" s="184">
        <f t="shared" si="10"/>
        <v>529.41176470588232</v>
      </c>
      <c r="P139" s="147" t="str">
        <f t="shared" si="0"/>
        <v>mt</v>
      </c>
      <c r="Q139" s="147" t="str">
        <f t="shared" si="1"/>
        <v>/ dia</v>
      </c>
      <c r="R139" s="148">
        <v>6</v>
      </c>
      <c r="S139" s="149">
        <v>5</v>
      </c>
      <c r="T139" s="149">
        <f t="shared" si="2"/>
        <v>1</v>
      </c>
      <c r="U139" s="149">
        <f t="shared" si="3"/>
        <v>0</v>
      </c>
      <c r="V139" s="149">
        <f t="shared" si="11"/>
        <v>0</v>
      </c>
      <c r="W139" s="140" t="s">
        <v>18</v>
      </c>
      <c r="X139" s="150" t="s">
        <v>18</v>
      </c>
      <c r="Y139" s="151">
        <f t="shared" si="12"/>
        <v>0</v>
      </c>
      <c r="Z139" s="152">
        <f t="shared" si="4"/>
        <v>0.83333333333333337</v>
      </c>
      <c r="AA139" s="153">
        <f t="shared" si="13"/>
        <v>0</v>
      </c>
      <c r="AB139" s="153">
        <f t="shared" si="14"/>
        <v>0</v>
      </c>
      <c r="AC139" s="154"/>
      <c r="AD139" s="155">
        <f t="shared" si="5"/>
        <v>0</v>
      </c>
      <c r="AE139" s="156">
        <f t="shared" si="15"/>
        <v>0</v>
      </c>
      <c r="AF139" s="157">
        <f t="shared" si="6"/>
        <v>0</v>
      </c>
      <c r="AG139" s="158" t="str">
        <f t="shared" si="7"/>
        <v>mt</v>
      </c>
      <c r="AH139" s="158">
        <f t="shared" si="16"/>
        <v>0</v>
      </c>
      <c r="AI139" s="159">
        <f t="shared" si="17"/>
        <v>0</v>
      </c>
      <c r="AJ139" s="160">
        <f t="shared" si="18"/>
        <v>0</v>
      </c>
      <c r="AL139" s="143"/>
      <c r="AM139" s="147" t="str">
        <f t="shared" si="19"/>
        <v>mt</v>
      </c>
      <c r="AN139" s="161"/>
      <c r="AO139" s="162"/>
      <c r="AP139" s="162"/>
      <c r="AQ139" s="140" t="s">
        <v>18</v>
      </c>
      <c r="AS139" s="143"/>
      <c r="AT139" s="147" t="str">
        <f t="shared" si="20"/>
        <v>mt</v>
      </c>
      <c r="AU139" s="161"/>
      <c r="AV139" s="162"/>
      <c r="AW139" s="162"/>
      <c r="AX139" s="140" t="s">
        <v>18</v>
      </c>
      <c r="AZ139" s="143"/>
      <c r="BA139" s="147" t="str">
        <f t="shared" si="21"/>
        <v>mt</v>
      </c>
      <c r="BB139" s="161"/>
      <c r="BC139" s="162"/>
      <c r="BD139" s="162"/>
      <c r="BE139" s="140" t="s">
        <v>18</v>
      </c>
      <c r="BG139" s="143"/>
      <c r="BH139" s="147" t="str">
        <f t="shared" si="22"/>
        <v>mt</v>
      </c>
      <c r="BI139" s="161"/>
      <c r="BJ139" s="162"/>
      <c r="BK139" s="162"/>
      <c r="BL139" s="140" t="s">
        <v>18</v>
      </c>
      <c r="BN139" s="143"/>
      <c r="BO139" s="147" t="str">
        <f t="shared" si="23"/>
        <v>mt</v>
      </c>
      <c r="BP139" s="161"/>
      <c r="BQ139" s="162"/>
      <c r="BR139" s="162"/>
      <c r="BS139" s="140" t="s">
        <v>18</v>
      </c>
      <c r="BU139" s="143"/>
      <c r="BV139" s="147" t="str">
        <f t="shared" si="24"/>
        <v>mt</v>
      </c>
      <c r="BW139" s="161"/>
      <c r="BX139" s="162"/>
      <c r="BY139" s="162"/>
      <c r="BZ139" s="140" t="s">
        <v>18</v>
      </c>
      <c r="CC139" s="163">
        <f t="shared" si="25"/>
        <v>0</v>
      </c>
      <c r="CD139" s="163">
        <f t="shared" si="26"/>
        <v>0</v>
      </c>
      <c r="CE139" s="163">
        <f t="shared" si="27"/>
        <v>0</v>
      </c>
      <c r="CF139" s="163">
        <f t="shared" si="28"/>
        <v>0</v>
      </c>
      <c r="CG139" s="163">
        <f t="shared" si="29"/>
        <v>0</v>
      </c>
      <c r="CH139" s="163">
        <f t="shared" si="30"/>
        <v>0</v>
      </c>
      <c r="CJ139" s="163">
        <f t="shared" si="31"/>
        <v>0</v>
      </c>
      <c r="CK139" s="163">
        <f t="shared" si="32"/>
        <v>0</v>
      </c>
      <c r="CL139" s="163">
        <f t="shared" si="33"/>
        <v>0</v>
      </c>
      <c r="CM139" s="163">
        <f t="shared" si="34"/>
        <v>0</v>
      </c>
      <c r="CN139" s="163">
        <f t="shared" si="35"/>
        <v>0</v>
      </c>
      <c r="CO139" s="163">
        <f t="shared" si="36"/>
        <v>0</v>
      </c>
      <c r="CP139" s="163"/>
      <c r="CQ139" s="163">
        <f t="shared" si="37"/>
        <v>0</v>
      </c>
      <c r="CR139" s="163">
        <f t="shared" si="38"/>
        <v>0</v>
      </c>
      <c r="CS139" s="163">
        <f t="shared" si="39"/>
        <v>0</v>
      </c>
      <c r="CT139" s="163">
        <f t="shared" si="40"/>
        <v>0</v>
      </c>
      <c r="CU139" s="163">
        <f t="shared" si="41"/>
        <v>0</v>
      </c>
      <c r="CV139" s="163">
        <f t="shared" si="42"/>
        <v>0</v>
      </c>
      <c r="CY139" s="164" t="s">
        <v>45</v>
      </c>
      <c r="FN139" s="165">
        <f t="shared" si="8"/>
        <v>529.41176470588232</v>
      </c>
      <c r="FO139" s="166">
        <f t="shared" si="43"/>
        <v>0</v>
      </c>
      <c r="FP139" s="166">
        <f t="shared" si="44"/>
        <v>0</v>
      </c>
    </row>
    <row r="140" spans="1:172" ht="18" x14ac:dyDescent="0.25">
      <c r="A140" s="167">
        <v>437.5</v>
      </c>
      <c r="B140" s="168" t="s">
        <v>127</v>
      </c>
      <c r="C140" s="169" t="s">
        <v>128</v>
      </c>
      <c r="D140" s="185" t="s">
        <v>99</v>
      </c>
      <c r="E140" s="170" t="s">
        <v>129</v>
      </c>
      <c r="F140" s="171" t="s">
        <v>146</v>
      </c>
      <c r="G140" s="143"/>
      <c r="H140" s="172"/>
      <c r="I140" s="172"/>
      <c r="J140" s="172"/>
      <c r="K140" s="172"/>
      <c r="L140" s="172"/>
      <c r="M140" s="137">
        <f t="shared" si="9"/>
        <v>514.70588235294122</v>
      </c>
      <c r="N140" s="173" t="s">
        <v>8</v>
      </c>
      <c r="O140" s="146">
        <f t="shared" si="10"/>
        <v>514.70588235294122</v>
      </c>
      <c r="P140" s="174" t="str">
        <f t="shared" si="0"/>
        <v>mt</v>
      </c>
      <c r="Q140" s="175" t="str">
        <f t="shared" si="1"/>
        <v>/ dia</v>
      </c>
      <c r="R140" s="176">
        <v>6</v>
      </c>
      <c r="S140" s="177">
        <v>5</v>
      </c>
      <c r="T140" s="177">
        <f t="shared" si="2"/>
        <v>1</v>
      </c>
      <c r="U140" s="149">
        <f t="shared" si="3"/>
        <v>0</v>
      </c>
      <c r="V140" s="149">
        <f t="shared" si="11"/>
        <v>0</v>
      </c>
      <c r="W140" s="140" t="s">
        <v>18</v>
      </c>
      <c r="X140" s="150" t="s">
        <v>18</v>
      </c>
      <c r="Y140" s="151">
        <f t="shared" si="12"/>
        <v>0</v>
      </c>
      <c r="Z140" s="178">
        <f t="shared" si="4"/>
        <v>0.83333333333333337</v>
      </c>
      <c r="AA140" s="179">
        <f t="shared" si="13"/>
        <v>0</v>
      </c>
      <c r="AB140" s="179">
        <f t="shared" si="14"/>
        <v>0</v>
      </c>
      <c r="AC140" s="180"/>
      <c r="AD140" s="155">
        <f t="shared" si="5"/>
        <v>0</v>
      </c>
      <c r="AE140" s="156">
        <f t="shared" si="15"/>
        <v>0</v>
      </c>
      <c r="AF140" s="157">
        <f t="shared" si="6"/>
        <v>0</v>
      </c>
      <c r="AG140" s="158" t="str">
        <f t="shared" si="7"/>
        <v>mt</v>
      </c>
      <c r="AH140" s="158">
        <f t="shared" si="16"/>
        <v>0</v>
      </c>
      <c r="AI140" s="159">
        <f t="shared" si="17"/>
        <v>0</v>
      </c>
      <c r="AJ140" s="160">
        <f t="shared" si="18"/>
        <v>0</v>
      </c>
      <c r="AL140" s="143"/>
      <c r="AM140" s="147" t="str">
        <f t="shared" si="19"/>
        <v>mt</v>
      </c>
      <c r="AN140" s="161"/>
      <c r="AO140" s="182"/>
      <c r="AP140" s="182"/>
      <c r="AQ140" s="183" t="s">
        <v>18</v>
      </c>
      <c r="AS140" s="143"/>
      <c r="AT140" s="147" t="str">
        <f t="shared" si="20"/>
        <v>mt</v>
      </c>
      <c r="AU140" s="161"/>
      <c r="AV140" s="182"/>
      <c r="AW140" s="182"/>
      <c r="AX140" s="183" t="s">
        <v>18</v>
      </c>
      <c r="AZ140" s="143"/>
      <c r="BA140" s="147" t="str">
        <f t="shared" si="21"/>
        <v>mt</v>
      </c>
      <c r="BB140" s="161"/>
      <c r="BC140" s="182"/>
      <c r="BD140" s="182"/>
      <c r="BE140" s="183" t="s">
        <v>18</v>
      </c>
      <c r="BG140" s="143"/>
      <c r="BH140" s="147" t="str">
        <f t="shared" si="22"/>
        <v>mt</v>
      </c>
      <c r="BI140" s="161"/>
      <c r="BJ140" s="182"/>
      <c r="BK140" s="182"/>
      <c r="BL140" s="183" t="s">
        <v>18</v>
      </c>
      <c r="BN140" s="143"/>
      <c r="BO140" s="147" t="str">
        <f t="shared" si="23"/>
        <v>mt</v>
      </c>
      <c r="BP140" s="161"/>
      <c r="BQ140" s="182"/>
      <c r="BR140" s="182"/>
      <c r="BS140" s="183" t="s">
        <v>18</v>
      </c>
      <c r="BU140" s="143"/>
      <c r="BV140" s="147" t="str">
        <f t="shared" si="24"/>
        <v>mt</v>
      </c>
      <c r="BW140" s="161"/>
      <c r="BX140" s="182"/>
      <c r="BY140" s="182"/>
      <c r="BZ140" s="183" t="s">
        <v>18</v>
      </c>
      <c r="CC140" s="163">
        <f t="shared" si="25"/>
        <v>0</v>
      </c>
      <c r="CD140" s="163">
        <f t="shared" si="26"/>
        <v>0</v>
      </c>
      <c r="CE140" s="163">
        <f t="shared" si="27"/>
        <v>0</v>
      </c>
      <c r="CF140" s="163">
        <f t="shared" si="28"/>
        <v>0</v>
      </c>
      <c r="CG140" s="163">
        <f t="shared" si="29"/>
        <v>0</v>
      </c>
      <c r="CH140" s="163">
        <f t="shared" si="30"/>
        <v>0</v>
      </c>
      <c r="CJ140" s="163">
        <f t="shared" si="31"/>
        <v>0</v>
      </c>
      <c r="CK140" s="163">
        <f t="shared" si="32"/>
        <v>0</v>
      </c>
      <c r="CL140" s="163">
        <f t="shared" si="33"/>
        <v>0</v>
      </c>
      <c r="CM140" s="163">
        <f t="shared" si="34"/>
        <v>0</v>
      </c>
      <c r="CN140" s="163">
        <f t="shared" si="35"/>
        <v>0</v>
      </c>
      <c r="CO140" s="163">
        <f t="shared" si="36"/>
        <v>0</v>
      </c>
      <c r="CP140" s="163"/>
      <c r="CQ140" s="163">
        <f t="shared" si="37"/>
        <v>0</v>
      </c>
      <c r="CR140" s="163">
        <f t="shared" si="38"/>
        <v>0</v>
      </c>
      <c r="CS140" s="163">
        <f t="shared" si="39"/>
        <v>0</v>
      </c>
      <c r="CT140" s="163">
        <f t="shared" si="40"/>
        <v>0</v>
      </c>
      <c r="CU140" s="163">
        <f t="shared" si="41"/>
        <v>0</v>
      </c>
      <c r="CV140" s="163">
        <f t="shared" si="42"/>
        <v>0</v>
      </c>
      <c r="CY140" s="164" t="s">
        <v>45</v>
      </c>
      <c r="FN140" s="165">
        <f t="shared" si="8"/>
        <v>514.70588235294122</v>
      </c>
      <c r="FO140" s="166">
        <f t="shared" si="43"/>
        <v>0</v>
      </c>
      <c r="FP140" s="166">
        <f t="shared" si="44"/>
        <v>0</v>
      </c>
    </row>
    <row r="141" spans="1:172" ht="18" x14ac:dyDescent="0.25">
      <c r="A141" s="137">
        <v>475</v>
      </c>
      <c r="B141" s="138" t="s">
        <v>127</v>
      </c>
      <c r="C141" s="139" t="s">
        <v>128</v>
      </c>
      <c r="D141" s="185" t="s">
        <v>99</v>
      </c>
      <c r="E141" s="141" t="s">
        <v>129</v>
      </c>
      <c r="F141" s="142" t="s">
        <v>147</v>
      </c>
      <c r="G141" s="143"/>
      <c r="H141" s="144"/>
      <c r="I141" s="144"/>
      <c r="J141" s="144"/>
      <c r="K141" s="144"/>
      <c r="L141" s="144"/>
      <c r="M141" s="137">
        <f t="shared" si="9"/>
        <v>558.82352941176475</v>
      </c>
      <c r="N141" s="145" t="s">
        <v>8</v>
      </c>
      <c r="O141" s="184">
        <f t="shared" si="10"/>
        <v>558.82352941176475</v>
      </c>
      <c r="P141" s="147" t="str">
        <f t="shared" si="0"/>
        <v>mt</v>
      </c>
      <c r="Q141" s="147" t="str">
        <f t="shared" si="1"/>
        <v>/ dia</v>
      </c>
      <c r="R141" s="148">
        <v>6</v>
      </c>
      <c r="S141" s="149">
        <v>5</v>
      </c>
      <c r="T141" s="149">
        <f t="shared" si="2"/>
        <v>1</v>
      </c>
      <c r="U141" s="149">
        <f t="shared" si="3"/>
        <v>0</v>
      </c>
      <c r="V141" s="149">
        <f t="shared" si="11"/>
        <v>0</v>
      </c>
      <c r="W141" s="140" t="s">
        <v>18</v>
      </c>
      <c r="X141" s="150" t="s">
        <v>18</v>
      </c>
      <c r="Y141" s="151">
        <f t="shared" si="12"/>
        <v>0</v>
      </c>
      <c r="Z141" s="152">
        <f t="shared" si="4"/>
        <v>0.83333333333333337</v>
      </c>
      <c r="AA141" s="153">
        <f t="shared" si="13"/>
        <v>0</v>
      </c>
      <c r="AB141" s="153">
        <f t="shared" si="14"/>
        <v>0</v>
      </c>
      <c r="AC141" s="154"/>
      <c r="AD141" s="155">
        <f t="shared" si="5"/>
        <v>0</v>
      </c>
      <c r="AE141" s="156">
        <f t="shared" si="15"/>
        <v>0</v>
      </c>
      <c r="AF141" s="157">
        <f t="shared" si="6"/>
        <v>0</v>
      </c>
      <c r="AG141" s="158" t="str">
        <f t="shared" si="7"/>
        <v>mt</v>
      </c>
      <c r="AH141" s="158">
        <f t="shared" si="16"/>
        <v>0</v>
      </c>
      <c r="AI141" s="159">
        <f t="shared" si="17"/>
        <v>0</v>
      </c>
      <c r="AJ141" s="160">
        <f t="shared" si="18"/>
        <v>0</v>
      </c>
      <c r="AL141" s="143"/>
      <c r="AM141" s="147" t="str">
        <f t="shared" si="19"/>
        <v>mt</v>
      </c>
      <c r="AN141" s="161"/>
      <c r="AO141" s="162"/>
      <c r="AP141" s="162"/>
      <c r="AQ141" s="140" t="s">
        <v>18</v>
      </c>
      <c r="AS141" s="143"/>
      <c r="AT141" s="147" t="str">
        <f t="shared" si="20"/>
        <v>mt</v>
      </c>
      <c r="AU141" s="161"/>
      <c r="AV141" s="162"/>
      <c r="AW141" s="162"/>
      <c r="AX141" s="140" t="s">
        <v>18</v>
      </c>
      <c r="AZ141" s="143"/>
      <c r="BA141" s="147" t="str">
        <f t="shared" si="21"/>
        <v>mt</v>
      </c>
      <c r="BB141" s="161"/>
      <c r="BC141" s="162"/>
      <c r="BD141" s="162"/>
      <c r="BE141" s="140" t="s">
        <v>18</v>
      </c>
      <c r="BG141" s="143"/>
      <c r="BH141" s="147" t="str">
        <f t="shared" si="22"/>
        <v>mt</v>
      </c>
      <c r="BI141" s="161"/>
      <c r="BJ141" s="162"/>
      <c r="BK141" s="162"/>
      <c r="BL141" s="140" t="s">
        <v>18</v>
      </c>
      <c r="BN141" s="143"/>
      <c r="BO141" s="147" t="str">
        <f t="shared" si="23"/>
        <v>mt</v>
      </c>
      <c r="BP141" s="161"/>
      <c r="BQ141" s="162"/>
      <c r="BR141" s="162"/>
      <c r="BS141" s="140" t="s">
        <v>18</v>
      </c>
      <c r="BU141" s="143"/>
      <c r="BV141" s="147" t="str">
        <f t="shared" si="24"/>
        <v>mt</v>
      </c>
      <c r="BW141" s="161"/>
      <c r="BX141" s="162"/>
      <c r="BY141" s="162"/>
      <c r="BZ141" s="140" t="s">
        <v>18</v>
      </c>
      <c r="CC141" s="163">
        <f t="shared" si="25"/>
        <v>0</v>
      </c>
      <c r="CD141" s="163">
        <f t="shared" si="26"/>
        <v>0</v>
      </c>
      <c r="CE141" s="163">
        <f t="shared" si="27"/>
        <v>0</v>
      </c>
      <c r="CF141" s="163">
        <f t="shared" si="28"/>
        <v>0</v>
      </c>
      <c r="CG141" s="163">
        <f t="shared" si="29"/>
        <v>0</v>
      </c>
      <c r="CH141" s="163">
        <f t="shared" si="30"/>
        <v>0</v>
      </c>
      <c r="CJ141" s="163">
        <f t="shared" si="31"/>
        <v>0</v>
      </c>
      <c r="CK141" s="163">
        <f t="shared" si="32"/>
        <v>0</v>
      </c>
      <c r="CL141" s="163">
        <f t="shared" si="33"/>
        <v>0</v>
      </c>
      <c r="CM141" s="163">
        <f t="shared" si="34"/>
        <v>0</v>
      </c>
      <c r="CN141" s="163">
        <f t="shared" si="35"/>
        <v>0</v>
      </c>
      <c r="CO141" s="163">
        <f t="shared" si="36"/>
        <v>0</v>
      </c>
      <c r="CP141" s="163"/>
      <c r="CQ141" s="163">
        <f t="shared" si="37"/>
        <v>0</v>
      </c>
      <c r="CR141" s="163">
        <f t="shared" si="38"/>
        <v>0</v>
      </c>
      <c r="CS141" s="163">
        <f t="shared" si="39"/>
        <v>0</v>
      </c>
      <c r="CT141" s="163">
        <f t="shared" si="40"/>
        <v>0</v>
      </c>
      <c r="CU141" s="163">
        <f t="shared" si="41"/>
        <v>0</v>
      </c>
      <c r="CV141" s="163">
        <f t="shared" si="42"/>
        <v>0</v>
      </c>
      <c r="CY141" s="164" t="s">
        <v>45</v>
      </c>
      <c r="FN141" s="165">
        <f t="shared" si="8"/>
        <v>558.82352941176475</v>
      </c>
      <c r="FO141" s="166">
        <f t="shared" si="43"/>
        <v>0</v>
      </c>
      <c r="FP141" s="166">
        <f t="shared" si="44"/>
        <v>0</v>
      </c>
    </row>
    <row r="142" spans="1:172" ht="18" x14ac:dyDescent="0.25">
      <c r="A142" s="167">
        <v>617</v>
      </c>
      <c r="B142" s="168" t="s">
        <v>127</v>
      </c>
      <c r="C142" s="169" t="s">
        <v>111</v>
      </c>
      <c r="D142" s="185" t="s">
        <v>99</v>
      </c>
      <c r="E142" s="170" t="s">
        <v>129</v>
      </c>
      <c r="F142" s="171" t="s">
        <v>148</v>
      </c>
      <c r="G142" s="143"/>
      <c r="H142" s="172"/>
      <c r="I142" s="172"/>
      <c r="J142" s="172"/>
      <c r="K142" s="172"/>
      <c r="L142" s="172"/>
      <c r="M142" s="137">
        <f t="shared" si="9"/>
        <v>725.88235294117646</v>
      </c>
      <c r="N142" s="173" t="s">
        <v>8</v>
      </c>
      <c r="O142" s="146">
        <f t="shared" si="10"/>
        <v>725.88235294117646</v>
      </c>
      <c r="P142" s="174" t="str">
        <f t="shared" si="0"/>
        <v>mt</v>
      </c>
      <c r="Q142" s="175" t="str">
        <f t="shared" si="1"/>
        <v>/ dia</v>
      </c>
      <c r="R142" s="176">
        <v>3</v>
      </c>
      <c r="S142" s="177">
        <v>2</v>
      </c>
      <c r="T142" s="177">
        <f t="shared" si="2"/>
        <v>1</v>
      </c>
      <c r="U142" s="149">
        <f t="shared" si="3"/>
        <v>0</v>
      </c>
      <c r="V142" s="149">
        <f t="shared" si="11"/>
        <v>0</v>
      </c>
      <c r="W142" s="140" t="s">
        <v>18</v>
      </c>
      <c r="X142" s="150" t="s">
        <v>18</v>
      </c>
      <c r="Y142" s="151">
        <f t="shared" si="12"/>
        <v>0</v>
      </c>
      <c r="Z142" s="178">
        <f t="shared" si="4"/>
        <v>0.66666666666666663</v>
      </c>
      <c r="AA142" s="179">
        <f t="shared" si="13"/>
        <v>0</v>
      </c>
      <c r="AB142" s="179">
        <f t="shared" si="14"/>
        <v>0</v>
      </c>
      <c r="AC142" s="180"/>
      <c r="AD142" s="155">
        <f t="shared" si="5"/>
        <v>0</v>
      </c>
      <c r="AE142" s="156">
        <f t="shared" si="15"/>
        <v>0</v>
      </c>
      <c r="AF142" s="157">
        <f t="shared" si="6"/>
        <v>0</v>
      </c>
      <c r="AG142" s="158" t="str">
        <f t="shared" si="7"/>
        <v>mt</v>
      </c>
      <c r="AH142" s="158">
        <f t="shared" si="16"/>
        <v>0</v>
      </c>
      <c r="AI142" s="159">
        <f t="shared" si="17"/>
        <v>0</v>
      </c>
      <c r="AJ142" s="160">
        <f t="shared" si="18"/>
        <v>0</v>
      </c>
      <c r="AL142" s="143"/>
      <c r="AM142" s="147" t="str">
        <f t="shared" si="19"/>
        <v>mt</v>
      </c>
      <c r="AN142" s="161"/>
      <c r="AO142" s="182"/>
      <c r="AP142" s="182"/>
      <c r="AQ142" s="183" t="s">
        <v>18</v>
      </c>
      <c r="AS142" s="143"/>
      <c r="AT142" s="147" t="str">
        <f t="shared" si="20"/>
        <v>mt</v>
      </c>
      <c r="AU142" s="161"/>
      <c r="AV142" s="182"/>
      <c r="AW142" s="182"/>
      <c r="AX142" s="183" t="s">
        <v>18</v>
      </c>
      <c r="AZ142" s="143"/>
      <c r="BA142" s="147" t="str">
        <f t="shared" si="21"/>
        <v>mt</v>
      </c>
      <c r="BB142" s="161"/>
      <c r="BC142" s="182"/>
      <c r="BD142" s="182"/>
      <c r="BE142" s="183" t="s">
        <v>18</v>
      </c>
      <c r="BG142" s="143"/>
      <c r="BH142" s="147" t="str">
        <f t="shared" si="22"/>
        <v>mt</v>
      </c>
      <c r="BI142" s="161"/>
      <c r="BJ142" s="182"/>
      <c r="BK142" s="182"/>
      <c r="BL142" s="183" t="s">
        <v>18</v>
      </c>
      <c r="BN142" s="143"/>
      <c r="BO142" s="147" t="str">
        <f t="shared" si="23"/>
        <v>mt</v>
      </c>
      <c r="BP142" s="161"/>
      <c r="BQ142" s="182"/>
      <c r="BR142" s="182"/>
      <c r="BS142" s="183" t="s">
        <v>18</v>
      </c>
      <c r="BU142" s="143"/>
      <c r="BV142" s="147" t="str">
        <f t="shared" si="24"/>
        <v>mt</v>
      </c>
      <c r="BW142" s="161"/>
      <c r="BX142" s="182"/>
      <c r="BY142" s="182"/>
      <c r="BZ142" s="183" t="s">
        <v>18</v>
      </c>
      <c r="CC142" s="163">
        <f t="shared" si="25"/>
        <v>0</v>
      </c>
      <c r="CD142" s="163">
        <f t="shared" si="26"/>
        <v>0</v>
      </c>
      <c r="CE142" s="163">
        <f t="shared" si="27"/>
        <v>0</v>
      </c>
      <c r="CF142" s="163">
        <f t="shared" si="28"/>
        <v>0</v>
      </c>
      <c r="CG142" s="163">
        <f t="shared" si="29"/>
        <v>0</v>
      </c>
      <c r="CH142" s="163">
        <f t="shared" si="30"/>
        <v>0</v>
      </c>
      <c r="CJ142" s="163">
        <f t="shared" si="31"/>
        <v>0</v>
      </c>
      <c r="CK142" s="163">
        <f t="shared" si="32"/>
        <v>0</v>
      </c>
      <c r="CL142" s="163">
        <f t="shared" si="33"/>
        <v>0</v>
      </c>
      <c r="CM142" s="163">
        <f t="shared" si="34"/>
        <v>0</v>
      </c>
      <c r="CN142" s="163">
        <f t="shared" si="35"/>
        <v>0</v>
      </c>
      <c r="CO142" s="163">
        <f t="shared" si="36"/>
        <v>0</v>
      </c>
      <c r="CP142" s="163"/>
      <c r="CQ142" s="163">
        <f t="shared" si="37"/>
        <v>0</v>
      </c>
      <c r="CR142" s="163">
        <f t="shared" si="38"/>
        <v>0</v>
      </c>
      <c r="CS142" s="163">
        <f t="shared" si="39"/>
        <v>0</v>
      </c>
      <c r="CT142" s="163">
        <f t="shared" si="40"/>
        <v>0</v>
      </c>
      <c r="CU142" s="163">
        <f t="shared" si="41"/>
        <v>0</v>
      </c>
      <c r="CV142" s="163">
        <f t="shared" si="42"/>
        <v>0</v>
      </c>
      <c r="CY142" s="164" t="s">
        <v>45</v>
      </c>
      <c r="FN142" s="165">
        <f t="shared" si="8"/>
        <v>725.88235294117646</v>
      </c>
      <c r="FO142" s="166">
        <f t="shared" si="43"/>
        <v>0</v>
      </c>
      <c r="FP142" s="166">
        <f t="shared" si="44"/>
        <v>0</v>
      </c>
    </row>
    <row r="143" spans="1:172" ht="18" x14ac:dyDescent="0.25">
      <c r="A143" s="137">
        <v>616.66666666666663</v>
      </c>
      <c r="B143" s="138" t="s">
        <v>127</v>
      </c>
      <c r="C143" s="139" t="s">
        <v>111</v>
      </c>
      <c r="D143" s="185" t="s">
        <v>99</v>
      </c>
      <c r="E143" s="141" t="s">
        <v>129</v>
      </c>
      <c r="F143" s="142" t="s">
        <v>149</v>
      </c>
      <c r="G143" s="143"/>
      <c r="H143" s="144"/>
      <c r="I143" s="144"/>
      <c r="J143" s="144"/>
      <c r="K143" s="144"/>
      <c r="L143" s="144"/>
      <c r="M143" s="137">
        <f t="shared" si="9"/>
        <v>725.49019607843138</v>
      </c>
      <c r="N143" s="145" t="s">
        <v>8</v>
      </c>
      <c r="O143" s="184">
        <f t="shared" si="10"/>
        <v>725.49019607843138</v>
      </c>
      <c r="P143" s="147" t="str">
        <f t="shared" si="0"/>
        <v>mt</v>
      </c>
      <c r="Q143" s="147" t="str">
        <f t="shared" si="1"/>
        <v>/ dia</v>
      </c>
      <c r="R143" s="148">
        <v>3</v>
      </c>
      <c r="S143" s="149">
        <v>2</v>
      </c>
      <c r="T143" s="149">
        <f t="shared" si="2"/>
        <v>1</v>
      </c>
      <c r="U143" s="149">
        <f t="shared" si="3"/>
        <v>0</v>
      </c>
      <c r="V143" s="149">
        <f t="shared" si="11"/>
        <v>0</v>
      </c>
      <c r="W143" s="140" t="s">
        <v>18</v>
      </c>
      <c r="X143" s="150" t="s">
        <v>18</v>
      </c>
      <c r="Y143" s="151">
        <f t="shared" si="12"/>
        <v>0</v>
      </c>
      <c r="Z143" s="152">
        <f t="shared" si="4"/>
        <v>0.66666666666666663</v>
      </c>
      <c r="AA143" s="153">
        <f t="shared" si="13"/>
        <v>0</v>
      </c>
      <c r="AB143" s="153">
        <f t="shared" si="14"/>
        <v>0</v>
      </c>
      <c r="AC143" s="154"/>
      <c r="AD143" s="155">
        <f t="shared" si="5"/>
        <v>0</v>
      </c>
      <c r="AE143" s="156">
        <f t="shared" si="15"/>
        <v>0</v>
      </c>
      <c r="AF143" s="157">
        <f t="shared" si="6"/>
        <v>0</v>
      </c>
      <c r="AG143" s="158" t="str">
        <f t="shared" si="7"/>
        <v>mt</v>
      </c>
      <c r="AH143" s="158">
        <f t="shared" si="16"/>
        <v>0</v>
      </c>
      <c r="AI143" s="159">
        <f t="shared" si="17"/>
        <v>0</v>
      </c>
      <c r="AJ143" s="160">
        <f t="shared" si="18"/>
        <v>0</v>
      </c>
      <c r="AL143" s="143"/>
      <c r="AM143" s="147" t="str">
        <f t="shared" si="19"/>
        <v>mt</v>
      </c>
      <c r="AN143" s="161"/>
      <c r="AO143" s="162"/>
      <c r="AP143" s="162"/>
      <c r="AQ143" s="140" t="s">
        <v>18</v>
      </c>
      <c r="AS143" s="143"/>
      <c r="AT143" s="147" t="str">
        <f t="shared" si="20"/>
        <v>mt</v>
      </c>
      <c r="AU143" s="161"/>
      <c r="AV143" s="162"/>
      <c r="AW143" s="162"/>
      <c r="AX143" s="140" t="s">
        <v>18</v>
      </c>
      <c r="AZ143" s="143"/>
      <c r="BA143" s="147" t="str">
        <f t="shared" si="21"/>
        <v>mt</v>
      </c>
      <c r="BB143" s="161"/>
      <c r="BC143" s="162"/>
      <c r="BD143" s="162"/>
      <c r="BE143" s="140" t="s">
        <v>18</v>
      </c>
      <c r="BG143" s="143"/>
      <c r="BH143" s="147" t="str">
        <f t="shared" si="22"/>
        <v>mt</v>
      </c>
      <c r="BI143" s="161"/>
      <c r="BJ143" s="162"/>
      <c r="BK143" s="162"/>
      <c r="BL143" s="140" t="s">
        <v>18</v>
      </c>
      <c r="BN143" s="143"/>
      <c r="BO143" s="147" t="str">
        <f t="shared" si="23"/>
        <v>mt</v>
      </c>
      <c r="BP143" s="161"/>
      <c r="BQ143" s="162"/>
      <c r="BR143" s="162"/>
      <c r="BS143" s="140" t="s">
        <v>18</v>
      </c>
      <c r="BU143" s="143"/>
      <c r="BV143" s="147" t="str">
        <f t="shared" si="24"/>
        <v>mt</v>
      </c>
      <c r="BW143" s="161"/>
      <c r="BX143" s="162"/>
      <c r="BY143" s="162"/>
      <c r="BZ143" s="140" t="s">
        <v>18</v>
      </c>
      <c r="CC143" s="163">
        <f t="shared" si="25"/>
        <v>0</v>
      </c>
      <c r="CD143" s="163">
        <f t="shared" si="26"/>
        <v>0</v>
      </c>
      <c r="CE143" s="163">
        <f t="shared" si="27"/>
        <v>0</v>
      </c>
      <c r="CF143" s="163">
        <f t="shared" si="28"/>
        <v>0</v>
      </c>
      <c r="CG143" s="163">
        <f t="shared" si="29"/>
        <v>0</v>
      </c>
      <c r="CH143" s="163">
        <f t="shared" si="30"/>
        <v>0</v>
      </c>
      <c r="CJ143" s="163">
        <f t="shared" si="31"/>
        <v>0</v>
      </c>
      <c r="CK143" s="163">
        <f t="shared" si="32"/>
        <v>0</v>
      </c>
      <c r="CL143" s="163">
        <f t="shared" si="33"/>
        <v>0</v>
      </c>
      <c r="CM143" s="163">
        <f t="shared" si="34"/>
        <v>0</v>
      </c>
      <c r="CN143" s="163">
        <f t="shared" si="35"/>
        <v>0</v>
      </c>
      <c r="CO143" s="163">
        <f t="shared" si="36"/>
        <v>0</v>
      </c>
      <c r="CP143" s="163"/>
      <c r="CQ143" s="163">
        <f t="shared" si="37"/>
        <v>0</v>
      </c>
      <c r="CR143" s="163">
        <f t="shared" si="38"/>
        <v>0</v>
      </c>
      <c r="CS143" s="163">
        <f t="shared" si="39"/>
        <v>0</v>
      </c>
      <c r="CT143" s="163">
        <f t="shared" si="40"/>
        <v>0</v>
      </c>
      <c r="CU143" s="163">
        <f t="shared" si="41"/>
        <v>0</v>
      </c>
      <c r="CV143" s="163">
        <f t="shared" si="42"/>
        <v>0</v>
      </c>
      <c r="CY143" s="164" t="s">
        <v>45</v>
      </c>
      <c r="FN143" s="165">
        <f t="shared" si="8"/>
        <v>725.49019607843138</v>
      </c>
      <c r="FO143" s="166">
        <f t="shared" si="43"/>
        <v>0</v>
      </c>
      <c r="FP143" s="166">
        <f t="shared" si="44"/>
        <v>0</v>
      </c>
    </row>
    <row r="144" spans="1:172" ht="18" x14ac:dyDescent="0.25">
      <c r="A144" s="167">
        <v>617</v>
      </c>
      <c r="B144" s="168" t="s">
        <v>127</v>
      </c>
      <c r="C144" s="169" t="s">
        <v>111</v>
      </c>
      <c r="D144" s="185" t="s">
        <v>99</v>
      </c>
      <c r="E144" s="170" t="s">
        <v>129</v>
      </c>
      <c r="F144" s="171" t="s">
        <v>150</v>
      </c>
      <c r="G144" s="143"/>
      <c r="H144" s="172"/>
      <c r="I144" s="172"/>
      <c r="J144" s="172"/>
      <c r="K144" s="172"/>
      <c r="L144" s="172"/>
      <c r="M144" s="137">
        <f t="shared" si="9"/>
        <v>725.88235294117646</v>
      </c>
      <c r="N144" s="173" t="s">
        <v>8</v>
      </c>
      <c r="O144" s="146">
        <f t="shared" si="10"/>
        <v>725.88235294117646</v>
      </c>
      <c r="P144" s="174" t="str">
        <f t="shared" si="0"/>
        <v>mt</v>
      </c>
      <c r="Q144" s="175" t="str">
        <f t="shared" si="1"/>
        <v>/ dia</v>
      </c>
      <c r="R144" s="176">
        <v>3</v>
      </c>
      <c r="S144" s="177">
        <v>2</v>
      </c>
      <c r="T144" s="177">
        <f t="shared" si="2"/>
        <v>1</v>
      </c>
      <c r="U144" s="149">
        <f t="shared" si="3"/>
        <v>0</v>
      </c>
      <c r="V144" s="149">
        <f t="shared" si="11"/>
        <v>0</v>
      </c>
      <c r="W144" s="140" t="s">
        <v>18</v>
      </c>
      <c r="X144" s="150" t="s">
        <v>18</v>
      </c>
      <c r="Y144" s="151">
        <f t="shared" si="12"/>
        <v>0</v>
      </c>
      <c r="Z144" s="178">
        <f t="shared" si="4"/>
        <v>0.66666666666666663</v>
      </c>
      <c r="AA144" s="179">
        <f t="shared" si="13"/>
        <v>0</v>
      </c>
      <c r="AB144" s="179">
        <f t="shared" si="14"/>
        <v>0</v>
      </c>
      <c r="AC144" s="180"/>
      <c r="AD144" s="155">
        <f t="shared" si="5"/>
        <v>0</v>
      </c>
      <c r="AE144" s="156">
        <f t="shared" si="15"/>
        <v>0</v>
      </c>
      <c r="AF144" s="157">
        <f t="shared" si="6"/>
        <v>0</v>
      </c>
      <c r="AG144" s="158" t="str">
        <f t="shared" si="7"/>
        <v>mt</v>
      </c>
      <c r="AH144" s="158">
        <f t="shared" si="16"/>
        <v>0</v>
      </c>
      <c r="AI144" s="159">
        <f t="shared" si="17"/>
        <v>0</v>
      </c>
      <c r="AJ144" s="160">
        <f t="shared" si="18"/>
        <v>0</v>
      </c>
      <c r="AL144" s="143"/>
      <c r="AM144" s="147" t="str">
        <f t="shared" si="19"/>
        <v>mt</v>
      </c>
      <c r="AN144" s="161"/>
      <c r="AO144" s="182"/>
      <c r="AP144" s="182"/>
      <c r="AQ144" s="183" t="s">
        <v>18</v>
      </c>
      <c r="AS144" s="143"/>
      <c r="AT144" s="147" t="str">
        <f t="shared" si="20"/>
        <v>mt</v>
      </c>
      <c r="AU144" s="161"/>
      <c r="AV144" s="182"/>
      <c r="AW144" s="182"/>
      <c r="AX144" s="183" t="s">
        <v>18</v>
      </c>
      <c r="AZ144" s="143"/>
      <c r="BA144" s="147" t="str">
        <f t="shared" si="21"/>
        <v>mt</v>
      </c>
      <c r="BB144" s="161"/>
      <c r="BC144" s="182"/>
      <c r="BD144" s="182"/>
      <c r="BE144" s="183" t="s">
        <v>18</v>
      </c>
      <c r="BG144" s="143"/>
      <c r="BH144" s="147" t="str">
        <f t="shared" si="22"/>
        <v>mt</v>
      </c>
      <c r="BI144" s="161"/>
      <c r="BJ144" s="182"/>
      <c r="BK144" s="182"/>
      <c r="BL144" s="183" t="s">
        <v>18</v>
      </c>
      <c r="BN144" s="143"/>
      <c r="BO144" s="147" t="str">
        <f t="shared" si="23"/>
        <v>mt</v>
      </c>
      <c r="BP144" s="161"/>
      <c r="BQ144" s="182"/>
      <c r="BR144" s="182"/>
      <c r="BS144" s="183" t="s">
        <v>18</v>
      </c>
      <c r="BU144" s="143"/>
      <c r="BV144" s="147" t="str">
        <f t="shared" si="24"/>
        <v>mt</v>
      </c>
      <c r="BW144" s="161"/>
      <c r="BX144" s="182"/>
      <c r="BY144" s="182"/>
      <c r="BZ144" s="183" t="s">
        <v>18</v>
      </c>
      <c r="CC144" s="163">
        <f t="shared" si="25"/>
        <v>0</v>
      </c>
      <c r="CD144" s="163">
        <f t="shared" si="26"/>
        <v>0</v>
      </c>
      <c r="CE144" s="163">
        <f t="shared" si="27"/>
        <v>0</v>
      </c>
      <c r="CF144" s="163">
        <f t="shared" si="28"/>
        <v>0</v>
      </c>
      <c r="CG144" s="163">
        <f t="shared" si="29"/>
        <v>0</v>
      </c>
      <c r="CH144" s="163">
        <f t="shared" si="30"/>
        <v>0</v>
      </c>
      <c r="CJ144" s="163">
        <f t="shared" si="31"/>
        <v>0</v>
      </c>
      <c r="CK144" s="163">
        <f t="shared" si="32"/>
        <v>0</v>
      </c>
      <c r="CL144" s="163">
        <f t="shared" si="33"/>
        <v>0</v>
      </c>
      <c r="CM144" s="163">
        <f t="shared" si="34"/>
        <v>0</v>
      </c>
      <c r="CN144" s="163">
        <f t="shared" si="35"/>
        <v>0</v>
      </c>
      <c r="CO144" s="163">
        <f t="shared" si="36"/>
        <v>0</v>
      </c>
      <c r="CP144" s="163"/>
      <c r="CQ144" s="163">
        <f t="shared" si="37"/>
        <v>0</v>
      </c>
      <c r="CR144" s="163">
        <f t="shared" si="38"/>
        <v>0</v>
      </c>
      <c r="CS144" s="163">
        <f t="shared" si="39"/>
        <v>0</v>
      </c>
      <c r="CT144" s="163">
        <f t="shared" si="40"/>
        <v>0</v>
      </c>
      <c r="CU144" s="163">
        <f t="shared" si="41"/>
        <v>0</v>
      </c>
      <c r="CV144" s="163">
        <f t="shared" si="42"/>
        <v>0</v>
      </c>
      <c r="CY144" s="164" t="s">
        <v>45</v>
      </c>
      <c r="FN144" s="165">
        <f t="shared" si="8"/>
        <v>725.88235294117646</v>
      </c>
      <c r="FO144" s="166">
        <f t="shared" si="43"/>
        <v>0</v>
      </c>
      <c r="FP144" s="166">
        <f t="shared" si="44"/>
        <v>0</v>
      </c>
    </row>
    <row r="145" spans="1:172" ht="18" x14ac:dyDescent="0.25">
      <c r="A145" s="137">
        <v>1100</v>
      </c>
      <c r="B145" s="138" t="s">
        <v>127</v>
      </c>
      <c r="C145" s="139" t="s">
        <v>128</v>
      </c>
      <c r="D145" s="185" t="s">
        <v>99</v>
      </c>
      <c r="E145" s="141" t="s">
        <v>129</v>
      </c>
      <c r="F145" s="142" t="s">
        <v>151</v>
      </c>
      <c r="G145" s="143"/>
      <c r="H145" s="144"/>
      <c r="I145" s="144"/>
      <c r="J145" s="144"/>
      <c r="K145" s="144"/>
      <c r="L145" s="144"/>
      <c r="M145" s="137">
        <f t="shared" si="9"/>
        <v>1294.1176470588236</v>
      </c>
      <c r="N145" s="145" t="s">
        <v>8</v>
      </c>
      <c r="O145" s="184">
        <f t="shared" si="10"/>
        <v>1294.1176470588236</v>
      </c>
      <c r="P145" s="147" t="str">
        <f t="shared" si="0"/>
        <v>mt</v>
      </c>
      <c r="Q145" s="147" t="str">
        <f t="shared" si="1"/>
        <v>/ dia</v>
      </c>
      <c r="R145" s="148">
        <v>2</v>
      </c>
      <c r="S145" s="149">
        <v>1</v>
      </c>
      <c r="T145" s="149">
        <f t="shared" si="2"/>
        <v>1</v>
      </c>
      <c r="U145" s="149">
        <f t="shared" si="3"/>
        <v>0</v>
      </c>
      <c r="V145" s="149">
        <f t="shared" si="11"/>
        <v>0</v>
      </c>
      <c r="W145" s="140" t="s">
        <v>18</v>
      </c>
      <c r="X145" s="150" t="s">
        <v>18</v>
      </c>
      <c r="Y145" s="151">
        <f t="shared" si="12"/>
        <v>0</v>
      </c>
      <c r="Z145" s="152">
        <f t="shared" si="4"/>
        <v>0.5</v>
      </c>
      <c r="AA145" s="153">
        <f t="shared" si="13"/>
        <v>0</v>
      </c>
      <c r="AB145" s="153">
        <f t="shared" si="14"/>
        <v>0</v>
      </c>
      <c r="AC145" s="154"/>
      <c r="AD145" s="155">
        <f t="shared" si="5"/>
        <v>0</v>
      </c>
      <c r="AE145" s="156">
        <f t="shared" si="15"/>
        <v>0</v>
      </c>
      <c r="AF145" s="157">
        <f t="shared" si="6"/>
        <v>0</v>
      </c>
      <c r="AG145" s="158" t="str">
        <f t="shared" si="7"/>
        <v>mt</v>
      </c>
      <c r="AH145" s="158">
        <f t="shared" si="16"/>
        <v>0</v>
      </c>
      <c r="AI145" s="159">
        <f t="shared" si="17"/>
        <v>0</v>
      </c>
      <c r="AJ145" s="160">
        <f t="shared" si="18"/>
        <v>0</v>
      </c>
      <c r="AL145" s="143"/>
      <c r="AM145" s="147" t="str">
        <f t="shared" si="19"/>
        <v>mt</v>
      </c>
      <c r="AN145" s="161"/>
      <c r="AO145" s="162"/>
      <c r="AP145" s="162"/>
      <c r="AQ145" s="140" t="s">
        <v>18</v>
      </c>
      <c r="AS145" s="143"/>
      <c r="AT145" s="147" t="str">
        <f t="shared" si="20"/>
        <v>mt</v>
      </c>
      <c r="AU145" s="161"/>
      <c r="AV145" s="162"/>
      <c r="AW145" s="162"/>
      <c r="AX145" s="140" t="s">
        <v>18</v>
      </c>
      <c r="AZ145" s="143"/>
      <c r="BA145" s="147" t="str">
        <f t="shared" si="21"/>
        <v>mt</v>
      </c>
      <c r="BB145" s="161"/>
      <c r="BC145" s="162"/>
      <c r="BD145" s="162"/>
      <c r="BE145" s="140" t="s">
        <v>18</v>
      </c>
      <c r="BG145" s="143"/>
      <c r="BH145" s="147" t="str">
        <f t="shared" si="22"/>
        <v>mt</v>
      </c>
      <c r="BI145" s="161"/>
      <c r="BJ145" s="162"/>
      <c r="BK145" s="162"/>
      <c r="BL145" s="140" t="s">
        <v>18</v>
      </c>
      <c r="BN145" s="143"/>
      <c r="BO145" s="147" t="str">
        <f t="shared" si="23"/>
        <v>mt</v>
      </c>
      <c r="BP145" s="161"/>
      <c r="BQ145" s="162"/>
      <c r="BR145" s="162"/>
      <c r="BS145" s="140" t="s">
        <v>18</v>
      </c>
      <c r="BU145" s="143"/>
      <c r="BV145" s="147" t="str">
        <f t="shared" si="24"/>
        <v>mt</v>
      </c>
      <c r="BW145" s="161"/>
      <c r="BX145" s="162"/>
      <c r="BY145" s="162"/>
      <c r="BZ145" s="140" t="s">
        <v>18</v>
      </c>
      <c r="CC145" s="163">
        <f t="shared" si="25"/>
        <v>0</v>
      </c>
      <c r="CD145" s="163">
        <f t="shared" si="26"/>
        <v>0</v>
      </c>
      <c r="CE145" s="163">
        <f t="shared" si="27"/>
        <v>0</v>
      </c>
      <c r="CF145" s="163">
        <f t="shared" si="28"/>
        <v>0</v>
      </c>
      <c r="CG145" s="163">
        <f t="shared" si="29"/>
        <v>0</v>
      </c>
      <c r="CH145" s="163">
        <f t="shared" si="30"/>
        <v>0</v>
      </c>
      <c r="CJ145" s="163">
        <f t="shared" si="31"/>
        <v>0</v>
      </c>
      <c r="CK145" s="163">
        <f t="shared" si="32"/>
        <v>0</v>
      </c>
      <c r="CL145" s="163">
        <f t="shared" si="33"/>
        <v>0</v>
      </c>
      <c r="CM145" s="163">
        <f t="shared" si="34"/>
        <v>0</v>
      </c>
      <c r="CN145" s="163">
        <f t="shared" si="35"/>
        <v>0</v>
      </c>
      <c r="CO145" s="163">
        <f t="shared" si="36"/>
        <v>0</v>
      </c>
      <c r="CP145" s="163"/>
      <c r="CQ145" s="163">
        <f t="shared" si="37"/>
        <v>0</v>
      </c>
      <c r="CR145" s="163">
        <f t="shared" si="38"/>
        <v>0</v>
      </c>
      <c r="CS145" s="163">
        <f t="shared" si="39"/>
        <v>0</v>
      </c>
      <c r="CT145" s="163">
        <f t="shared" si="40"/>
        <v>0</v>
      </c>
      <c r="CU145" s="163">
        <f t="shared" si="41"/>
        <v>0</v>
      </c>
      <c r="CV145" s="163">
        <f t="shared" si="42"/>
        <v>0</v>
      </c>
      <c r="CY145" s="164" t="s">
        <v>45</v>
      </c>
      <c r="FN145" s="165">
        <f t="shared" si="8"/>
        <v>1294.1176470588236</v>
      </c>
      <c r="FO145" s="166">
        <f t="shared" si="43"/>
        <v>0</v>
      </c>
      <c r="FP145" s="166">
        <f t="shared" si="44"/>
        <v>0</v>
      </c>
    </row>
    <row r="146" spans="1:172" ht="18" x14ac:dyDescent="0.25">
      <c r="A146" s="167">
        <v>1100</v>
      </c>
      <c r="B146" s="168" t="s">
        <v>127</v>
      </c>
      <c r="C146" s="169" t="s">
        <v>128</v>
      </c>
      <c r="D146" s="185" t="s">
        <v>99</v>
      </c>
      <c r="E146" s="170" t="s">
        <v>129</v>
      </c>
      <c r="F146" s="171" t="s">
        <v>152</v>
      </c>
      <c r="G146" s="143"/>
      <c r="H146" s="172"/>
      <c r="I146" s="172"/>
      <c r="J146" s="172"/>
      <c r="K146" s="172"/>
      <c r="L146" s="172"/>
      <c r="M146" s="137">
        <f t="shared" si="9"/>
        <v>1294.1176470588236</v>
      </c>
      <c r="N146" s="173" t="s">
        <v>8</v>
      </c>
      <c r="O146" s="146">
        <f t="shared" si="10"/>
        <v>1294.1176470588236</v>
      </c>
      <c r="P146" s="174" t="str">
        <f t="shared" si="0"/>
        <v>mt</v>
      </c>
      <c r="Q146" s="175" t="str">
        <f t="shared" si="1"/>
        <v>/ dia</v>
      </c>
      <c r="R146" s="176">
        <v>2</v>
      </c>
      <c r="S146" s="177">
        <v>1</v>
      </c>
      <c r="T146" s="177">
        <f t="shared" si="2"/>
        <v>1</v>
      </c>
      <c r="U146" s="149">
        <f t="shared" si="3"/>
        <v>0</v>
      </c>
      <c r="V146" s="149">
        <f t="shared" si="11"/>
        <v>0</v>
      </c>
      <c r="W146" s="140" t="s">
        <v>18</v>
      </c>
      <c r="X146" s="150" t="s">
        <v>18</v>
      </c>
      <c r="Y146" s="151">
        <f t="shared" si="12"/>
        <v>0</v>
      </c>
      <c r="Z146" s="178">
        <f t="shared" si="4"/>
        <v>0.5</v>
      </c>
      <c r="AA146" s="179">
        <f t="shared" si="13"/>
        <v>0</v>
      </c>
      <c r="AB146" s="179">
        <f t="shared" si="14"/>
        <v>0</v>
      </c>
      <c r="AC146" s="180"/>
      <c r="AD146" s="155">
        <f t="shared" si="5"/>
        <v>0</v>
      </c>
      <c r="AE146" s="156">
        <f t="shared" si="15"/>
        <v>0</v>
      </c>
      <c r="AF146" s="157">
        <f t="shared" si="6"/>
        <v>0</v>
      </c>
      <c r="AG146" s="158" t="str">
        <f t="shared" si="7"/>
        <v>mt</v>
      </c>
      <c r="AH146" s="158">
        <f t="shared" si="16"/>
        <v>0</v>
      </c>
      <c r="AI146" s="159">
        <f t="shared" si="17"/>
        <v>0</v>
      </c>
      <c r="AJ146" s="160">
        <f t="shared" si="18"/>
        <v>0</v>
      </c>
      <c r="AL146" s="143"/>
      <c r="AM146" s="147" t="str">
        <f t="shared" si="19"/>
        <v>mt</v>
      </c>
      <c r="AN146" s="161"/>
      <c r="AO146" s="182"/>
      <c r="AP146" s="182"/>
      <c r="AQ146" s="183" t="s">
        <v>18</v>
      </c>
      <c r="AS146" s="143"/>
      <c r="AT146" s="147" t="str">
        <f t="shared" si="20"/>
        <v>mt</v>
      </c>
      <c r="AU146" s="161"/>
      <c r="AV146" s="182"/>
      <c r="AW146" s="182"/>
      <c r="AX146" s="183" t="s">
        <v>18</v>
      </c>
      <c r="AZ146" s="143"/>
      <c r="BA146" s="147" t="str">
        <f t="shared" si="21"/>
        <v>mt</v>
      </c>
      <c r="BB146" s="161"/>
      <c r="BC146" s="182"/>
      <c r="BD146" s="182"/>
      <c r="BE146" s="183" t="s">
        <v>18</v>
      </c>
      <c r="BG146" s="143"/>
      <c r="BH146" s="147" t="str">
        <f t="shared" si="22"/>
        <v>mt</v>
      </c>
      <c r="BI146" s="161"/>
      <c r="BJ146" s="182"/>
      <c r="BK146" s="182"/>
      <c r="BL146" s="183" t="s">
        <v>18</v>
      </c>
      <c r="BN146" s="143"/>
      <c r="BO146" s="147" t="str">
        <f t="shared" si="23"/>
        <v>mt</v>
      </c>
      <c r="BP146" s="161"/>
      <c r="BQ146" s="182"/>
      <c r="BR146" s="182"/>
      <c r="BS146" s="183" t="s">
        <v>18</v>
      </c>
      <c r="BU146" s="143"/>
      <c r="BV146" s="147" t="str">
        <f t="shared" si="24"/>
        <v>mt</v>
      </c>
      <c r="BW146" s="161"/>
      <c r="BX146" s="182"/>
      <c r="BY146" s="182"/>
      <c r="BZ146" s="183" t="s">
        <v>18</v>
      </c>
      <c r="CC146" s="163">
        <f t="shared" si="25"/>
        <v>0</v>
      </c>
      <c r="CD146" s="163">
        <f t="shared" si="26"/>
        <v>0</v>
      </c>
      <c r="CE146" s="163">
        <f t="shared" si="27"/>
        <v>0</v>
      </c>
      <c r="CF146" s="163">
        <f t="shared" si="28"/>
        <v>0</v>
      </c>
      <c r="CG146" s="163">
        <f t="shared" si="29"/>
        <v>0</v>
      </c>
      <c r="CH146" s="163">
        <f t="shared" si="30"/>
        <v>0</v>
      </c>
      <c r="CJ146" s="163">
        <f t="shared" si="31"/>
        <v>0</v>
      </c>
      <c r="CK146" s="163">
        <f t="shared" si="32"/>
        <v>0</v>
      </c>
      <c r="CL146" s="163">
        <f t="shared" si="33"/>
        <v>0</v>
      </c>
      <c r="CM146" s="163">
        <f t="shared" si="34"/>
        <v>0</v>
      </c>
      <c r="CN146" s="163">
        <f t="shared" si="35"/>
        <v>0</v>
      </c>
      <c r="CO146" s="163">
        <f t="shared" si="36"/>
        <v>0</v>
      </c>
      <c r="CP146" s="163"/>
      <c r="CQ146" s="163">
        <f t="shared" si="37"/>
        <v>0</v>
      </c>
      <c r="CR146" s="163">
        <f t="shared" si="38"/>
        <v>0</v>
      </c>
      <c r="CS146" s="163">
        <f t="shared" si="39"/>
        <v>0</v>
      </c>
      <c r="CT146" s="163">
        <f t="shared" si="40"/>
        <v>0</v>
      </c>
      <c r="CU146" s="163">
        <f t="shared" si="41"/>
        <v>0</v>
      </c>
      <c r="CV146" s="163">
        <f t="shared" si="42"/>
        <v>0</v>
      </c>
      <c r="CY146" s="164" t="s">
        <v>45</v>
      </c>
      <c r="FN146" s="165">
        <f t="shared" si="8"/>
        <v>1294.1176470588236</v>
      </c>
      <c r="FO146" s="166">
        <f t="shared" si="43"/>
        <v>0</v>
      </c>
      <c r="FP146" s="166">
        <f t="shared" si="44"/>
        <v>0</v>
      </c>
    </row>
    <row r="147" spans="1:172" ht="18" x14ac:dyDescent="0.25">
      <c r="A147" s="137">
        <v>1100</v>
      </c>
      <c r="B147" s="138" t="s">
        <v>127</v>
      </c>
      <c r="C147" s="139" t="s">
        <v>128</v>
      </c>
      <c r="D147" s="185" t="s">
        <v>99</v>
      </c>
      <c r="E147" s="141" t="s">
        <v>129</v>
      </c>
      <c r="F147" s="142" t="s">
        <v>153</v>
      </c>
      <c r="G147" s="143"/>
      <c r="H147" s="144"/>
      <c r="I147" s="144"/>
      <c r="J147" s="144"/>
      <c r="K147" s="144"/>
      <c r="L147" s="144"/>
      <c r="M147" s="137">
        <f t="shared" si="9"/>
        <v>1294.1176470588236</v>
      </c>
      <c r="N147" s="145" t="s">
        <v>8</v>
      </c>
      <c r="O147" s="184">
        <f t="shared" si="10"/>
        <v>1294.1176470588236</v>
      </c>
      <c r="P147" s="147" t="str">
        <f t="shared" si="0"/>
        <v>mt</v>
      </c>
      <c r="Q147" s="147" t="str">
        <f t="shared" si="1"/>
        <v>/ dia</v>
      </c>
      <c r="R147" s="148">
        <v>2</v>
      </c>
      <c r="S147" s="149">
        <v>1</v>
      </c>
      <c r="T147" s="149">
        <f t="shared" si="2"/>
        <v>1</v>
      </c>
      <c r="U147" s="149">
        <f t="shared" si="3"/>
        <v>0</v>
      </c>
      <c r="V147" s="149">
        <f t="shared" si="11"/>
        <v>0</v>
      </c>
      <c r="W147" s="140" t="s">
        <v>18</v>
      </c>
      <c r="X147" s="150" t="s">
        <v>18</v>
      </c>
      <c r="Y147" s="151">
        <f t="shared" si="12"/>
        <v>0</v>
      </c>
      <c r="Z147" s="152">
        <f t="shared" si="4"/>
        <v>0.5</v>
      </c>
      <c r="AA147" s="153">
        <f t="shared" si="13"/>
        <v>0</v>
      </c>
      <c r="AB147" s="153">
        <f t="shared" si="14"/>
        <v>0</v>
      </c>
      <c r="AC147" s="154"/>
      <c r="AD147" s="155">
        <f t="shared" si="5"/>
        <v>0</v>
      </c>
      <c r="AE147" s="156">
        <f t="shared" si="15"/>
        <v>0</v>
      </c>
      <c r="AF147" s="157">
        <f t="shared" si="6"/>
        <v>0</v>
      </c>
      <c r="AG147" s="158" t="str">
        <f t="shared" si="7"/>
        <v>mt</v>
      </c>
      <c r="AH147" s="158">
        <f t="shared" si="16"/>
        <v>0</v>
      </c>
      <c r="AI147" s="159">
        <f t="shared" si="17"/>
        <v>0</v>
      </c>
      <c r="AJ147" s="160">
        <f t="shared" si="18"/>
        <v>0</v>
      </c>
      <c r="AL147" s="143"/>
      <c r="AM147" s="147" t="str">
        <f t="shared" si="19"/>
        <v>mt</v>
      </c>
      <c r="AN147" s="161"/>
      <c r="AO147" s="162"/>
      <c r="AP147" s="162"/>
      <c r="AQ147" s="140" t="s">
        <v>18</v>
      </c>
      <c r="AS147" s="143"/>
      <c r="AT147" s="147" t="str">
        <f t="shared" si="20"/>
        <v>mt</v>
      </c>
      <c r="AU147" s="161"/>
      <c r="AV147" s="162"/>
      <c r="AW147" s="162"/>
      <c r="AX147" s="140" t="s">
        <v>18</v>
      </c>
      <c r="AZ147" s="143"/>
      <c r="BA147" s="147" t="str">
        <f t="shared" si="21"/>
        <v>mt</v>
      </c>
      <c r="BB147" s="161"/>
      <c r="BC147" s="162"/>
      <c r="BD147" s="162"/>
      <c r="BE147" s="140" t="s">
        <v>18</v>
      </c>
      <c r="BG147" s="143"/>
      <c r="BH147" s="147" t="str">
        <f t="shared" si="22"/>
        <v>mt</v>
      </c>
      <c r="BI147" s="161"/>
      <c r="BJ147" s="162"/>
      <c r="BK147" s="162"/>
      <c r="BL147" s="140" t="s">
        <v>18</v>
      </c>
      <c r="BN147" s="143"/>
      <c r="BO147" s="147" t="str">
        <f t="shared" si="23"/>
        <v>mt</v>
      </c>
      <c r="BP147" s="161"/>
      <c r="BQ147" s="162"/>
      <c r="BR147" s="162"/>
      <c r="BS147" s="140" t="s">
        <v>18</v>
      </c>
      <c r="BU147" s="143"/>
      <c r="BV147" s="147" t="str">
        <f t="shared" si="24"/>
        <v>mt</v>
      </c>
      <c r="BW147" s="161"/>
      <c r="BX147" s="162"/>
      <c r="BY147" s="162"/>
      <c r="BZ147" s="140" t="s">
        <v>18</v>
      </c>
      <c r="CC147" s="163">
        <f t="shared" si="25"/>
        <v>0</v>
      </c>
      <c r="CD147" s="163">
        <f t="shared" si="26"/>
        <v>0</v>
      </c>
      <c r="CE147" s="163">
        <f t="shared" si="27"/>
        <v>0</v>
      </c>
      <c r="CF147" s="163">
        <f t="shared" si="28"/>
        <v>0</v>
      </c>
      <c r="CG147" s="163">
        <f t="shared" si="29"/>
        <v>0</v>
      </c>
      <c r="CH147" s="163">
        <f t="shared" si="30"/>
        <v>0</v>
      </c>
      <c r="CJ147" s="163">
        <f t="shared" si="31"/>
        <v>0</v>
      </c>
      <c r="CK147" s="163">
        <f t="shared" si="32"/>
        <v>0</v>
      </c>
      <c r="CL147" s="163">
        <f t="shared" si="33"/>
        <v>0</v>
      </c>
      <c r="CM147" s="163">
        <f t="shared" si="34"/>
        <v>0</v>
      </c>
      <c r="CN147" s="163">
        <f t="shared" si="35"/>
        <v>0</v>
      </c>
      <c r="CO147" s="163">
        <f t="shared" si="36"/>
        <v>0</v>
      </c>
      <c r="CP147" s="163"/>
      <c r="CQ147" s="163">
        <f t="shared" si="37"/>
        <v>0</v>
      </c>
      <c r="CR147" s="163">
        <f t="shared" si="38"/>
        <v>0</v>
      </c>
      <c r="CS147" s="163">
        <f t="shared" si="39"/>
        <v>0</v>
      </c>
      <c r="CT147" s="163">
        <f t="shared" si="40"/>
        <v>0</v>
      </c>
      <c r="CU147" s="163">
        <f t="shared" si="41"/>
        <v>0</v>
      </c>
      <c r="CV147" s="163">
        <f t="shared" si="42"/>
        <v>0</v>
      </c>
      <c r="CY147" s="164" t="s">
        <v>45</v>
      </c>
      <c r="FN147" s="165">
        <f t="shared" si="8"/>
        <v>1294.1176470588236</v>
      </c>
      <c r="FO147" s="166">
        <f t="shared" si="43"/>
        <v>0</v>
      </c>
      <c r="FP147" s="166">
        <f t="shared" si="44"/>
        <v>0</v>
      </c>
    </row>
    <row r="148" spans="1:172" ht="18" x14ac:dyDescent="0.25">
      <c r="A148" s="167">
        <v>1100</v>
      </c>
      <c r="B148" s="168" t="s">
        <v>127</v>
      </c>
      <c r="C148" s="169" t="s">
        <v>128</v>
      </c>
      <c r="D148" s="185" t="s">
        <v>99</v>
      </c>
      <c r="E148" s="170" t="s">
        <v>129</v>
      </c>
      <c r="F148" s="171" t="s">
        <v>154</v>
      </c>
      <c r="G148" s="143"/>
      <c r="H148" s="172"/>
      <c r="I148" s="172"/>
      <c r="J148" s="172"/>
      <c r="K148" s="172"/>
      <c r="L148" s="172"/>
      <c r="M148" s="137">
        <f t="shared" si="9"/>
        <v>1294.1176470588236</v>
      </c>
      <c r="N148" s="173" t="s">
        <v>8</v>
      </c>
      <c r="O148" s="146">
        <f t="shared" si="10"/>
        <v>1294.1176470588236</v>
      </c>
      <c r="P148" s="174" t="str">
        <f t="shared" si="0"/>
        <v>mt</v>
      </c>
      <c r="Q148" s="175" t="str">
        <f t="shared" si="1"/>
        <v>/ dia</v>
      </c>
      <c r="R148" s="176">
        <v>2</v>
      </c>
      <c r="S148" s="177">
        <v>1</v>
      </c>
      <c r="T148" s="177">
        <f t="shared" si="2"/>
        <v>1</v>
      </c>
      <c r="U148" s="149">
        <f t="shared" si="3"/>
        <v>0</v>
      </c>
      <c r="V148" s="149">
        <f t="shared" si="11"/>
        <v>0</v>
      </c>
      <c r="W148" s="140" t="s">
        <v>18</v>
      </c>
      <c r="X148" s="150" t="s">
        <v>18</v>
      </c>
      <c r="Y148" s="151">
        <f t="shared" si="12"/>
        <v>0</v>
      </c>
      <c r="Z148" s="178">
        <f t="shared" si="4"/>
        <v>0.5</v>
      </c>
      <c r="AA148" s="179">
        <f t="shared" si="13"/>
        <v>0</v>
      </c>
      <c r="AB148" s="179">
        <f t="shared" si="14"/>
        <v>0</v>
      </c>
      <c r="AC148" s="180"/>
      <c r="AD148" s="155">
        <f t="shared" si="5"/>
        <v>0</v>
      </c>
      <c r="AE148" s="156">
        <f t="shared" si="15"/>
        <v>0</v>
      </c>
      <c r="AF148" s="157">
        <f t="shared" si="6"/>
        <v>0</v>
      </c>
      <c r="AG148" s="158" t="str">
        <f t="shared" si="7"/>
        <v>mt</v>
      </c>
      <c r="AH148" s="158">
        <f t="shared" si="16"/>
        <v>0</v>
      </c>
      <c r="AI148" s="159">
        <f t="shared" si="17"/>
        <v>0</v>
      </c>
      <c r="AJ148" s="160">
        <f t="shared" si="18"/>
        <v>0</v>
      </c>
      <c r="AL148" s="143"/>
      <c r="AM148" s="147" t="str">
        <f t="shared" si="19"/>
        <v>mt</v>
      </c>
      <c r="AN148" s="161"/>
      <c r="AO148" s="182"/>
      <c r="AP148" s="182"/>
      <c r="AQ148" s="183" t="s">
        <v>18</v>
      </c>
      <c r="AS148" s="143"/>
      <c r="AT148" s="147" t="str">
        <f t="shared" si="20"/>
        <v>mt</v>
      </c>
      <c r="AU148" s="161"/>
      <c r="AV148" s="182"/>
      <c r="AW148" s="182"/>
      <c r="AX148" s="183" t="s">
        <v>18</v>
      </c>
      <c r="AZ148" s="143"/>
      <c r="BA148" s="147" t="str">
        <f t="shared" si="21"/>
        <v>mt</v>
      </c>
      <c r="BB148" s="161"/>
      <c r="BC148" s="182"/>
      <c r="BD148" s="182"/>
      <c r="BE148" s="183" t="s">
        <v>18</v>
      </c>
      <c r="BG148" s="143"/>
      <c r="BH148" s="147" t="str">
        <f t="shared" si="22"/>
        <v>mt</v>
      </c>
      <c r="BI148" s="161"/>
      <c r="BJ148" s="182"/>
      <c r="BK148" s="182"/>
      <c r="BL148" s="183" t="s">
        <v>18</v>
      </c>
      <c r="BN148" s="143"/>
      <c r="BO148" s="147" t="str">
        <f t="shared" si="23"/>
        <v>mt</v>
      </c>
      <c r="BP148" s="161"/>
      <c r="BQ148" s="182"/>
      <c r="BR148" s="182"/>
      <c r="BS148" s="183" t="s">
        <v>18</v>
      </c>
      <c r="BU148" s="143"/>
      <c r="BV148" s="147" t="str">
        <f t="shared" si="24"/>
        <v>mt</v>
      </c>
      <c r="BW148" s="161"/>
      <c r="BX148" s="182"/>
      <c r="BY148" s="182"/>
      <c r="BZ148" s="183" t="s">
        <v>18</v>
      </c>
      <c r="CC148" s="163">
        <f t="shared" si="25"/>
        <v>0</v>
      </c>
      <c r="CD148" s="163">
        <f t="shared" si="26"/>
        <v>0</v>
      </c>
      <c r="CE148" s="163">
        <f t="shared" si="27"/>
        <v>0</v>
      </c>
      <c r="CF148" s="163">
        <f t="shared" si="28"/>
        <v>0</v>
      </c>
      <c r="CG148" s="163">
        <f t="shared" si="29"/>
        <v>0</v>
      </c>
      <c r="CH148" s="163">
        <f t="shared" si="30"/>
        <v>0</v>
      </c>
      <c r="CJ148" s="163">
        <f t="shared" si="31"/>
        <v>0</v>
      </c>
      <c r="CK148" s="163">
        <f t="shared" si="32"/>
        <v>0</v>
      </c>
      <c r="CL148" s="163">
        <f t="shared" si="33"/>
        <v>0</v>
      </c>
      <c r="CM148" s="163">
        <f t="shared" si="34"/>
        <v>0</v>
      </c>
      <c r="CN148" s="163">
        <f t="shared" si="35"/>
        <v>0</v>
      </c>
      <c r="CO148" s="163">
        <f t="shared" si="36"/>
        <v>0</v>
      </c>
      <c r="CP148" s="163"/>
      <c r="CQ148" s="163">
        <f t="shared" si="37"/>
        <v>0</v>
      </c>
      <c r="CR148" s="163">
        <f t="shared" si="38"/>
        <v>0</v>
      </c>
      <c r="CS148" s="163">
        <f t="shared" si="39"/>
        <v>0</v>
      </c>
      <c r="CT148" s="163">
        <f t="shared" si="40"/>
        <v>0</v>
      </c>
      <c r="CU148" s="163">
        <f t="shared" si="41"/>
        <v>0</v>
      </c>
      <c r="CV148" s="163">
        <f t="shared" si="42"/>
        <v>0</v>
      </c>
      <c r="CY148" s="164" t="s">
        <v>45</v>
      </c>
      <c r="FN148" s="165">
        <f t="shared" si="8"/>
        <v>1294.1176470588236</v>
      </c>
      <c r="FO148" s="166">
        <f t="shared" si="43"/>
        <v>0</v>
      </c>
      <c r="FP148" s="166">
        <f t="shared" si="44"/>
        <v>0</v>
      </c>
    </row>
    <row r="149" spans="1:172" ht="18" x14ac:dyDescent="0.25">
      <c r="A149" s="137">
        <v>1100</v>
      </c>
      <c r="B149" s="138" t="s">
        <v>127</v>
      </c>
      <c r="C149" s="139" t="s">
        <v>128</v>
      </c>
      <c r="D149" s="185" t="s">
        <v>99</v>
      </c>
      <c r="E149" s="141" t="s">
        <v>129</v>
      </c>
      <c r="F149" s="142" t="s">
        <v>155</v>
      </c>
      <c r="G149" s="143"/>
      <c r="H149" s="144"/>
      <c r="I149" s="144"/>
      <c r="J149" s="144"/>
      <c r="K149" s="144"/>
      <c r="L149" s="144"/>
      <c r="M149" s="137">
        <f t="shared" si="9"/>
        <v>1294.1176470588236</v>
      </c>
      <c r="N149" s="145" t="s">
        <v>8</v>
      </c>
      <c r="O149" s="184">
        <f t="shared" si="10"/>
        <v>1294.1176470588236</v>
      </c>
      <c r="P149" s="147" t="str">
        <f t="shared" si="0"/>
        <v>mt</v>
      </c>
      <c r="Q149" s="147" t="str">
        <f t="shared" si="1"/>
        <v>/ dia</v>
      </c>
      <c r="R149" s="148">
        <v>3</v>
      </c>
      <c r="S149" s="149">
        <v>2</v>
      </c>
      <c r="T149" s="149">
        <f t="shared" si="2"/>
        <v>1</v>
      </c>
      <c r="U149" s="149">
        <f t="shared" si="3"/>
        <v>0</v>
      </c>
      <c r="V149" s="149">
        <f t="shared" si="11"/>
        <v>0</v>
      </c>
      <c r="W149" s="140" t="s">
        <v>18</v>
      </c>
      <c r="X149" s="150" t="s">
        <v>18</v>
      </c>
      <c r="Y149" s="151">
        <f t="shared" si="12"/>
        <v>0</v>
      </c>
      <c r="Z149" s="152">
        <f t="shared" si="4"/>
        <v>0.66666666666666663</v>
      </c>
      <c r="AA149" s="153">
        <f t="shared" si="13"/>
        <v>0</v>
      </c>
      <c r="AB149" s="153">
        <f t="shared" si="14"/>
        <v>0</v>
      </c>
      <c r="AC149" s="154"/>
      <c r="AD149" s="155">
        <f t="shared" si="5"/>
        <v>0</v>
      </c>
      <c r="AE149" s="156">
        <f t="shared" si="15"/>
        <v>0</v>
      </c>
      <c r="AF149" s="157">
        <f t="shared" si="6"/>
        <v>0</v>
      </c>
      <c r="AG149" s="158" t="str">
        <f t="shared" si="7"/>
        <v>mt</v>
      </c>
      <c r="AH149" s="158">
        <f t="shared" si="16"/>
        <v>0</v>
      </c>
      <c r="AI149" s="159">
        <f t="shared" si="17"/>
        <v>0</v>
      </c>
      <c r="AJ149" s="160">
        <f t="shared" si="18"/>
        <v>0</v>
      </c>
      <c r="AL149" s="143"/>
      <c r="AM149" s="147" t="str">
        <f t="shared" si="19"/>
        <v>mt</v>
      </c>
      <c r="AN149" s="161"/>
      <c r="AO149" s="162"/>
      <c r="AP149" s="162"/>
      <c r="AQ149" s="140" t="s">
        <v>18</v>
      </c>
      <c r="AS149" s="143"/>
      <c r="AT149" s="147" t="str">
        <f t="shared" si="20"/>
        <v>mt</v>
      </c>
      <c r="AU149" s="161"/>
      <c r="AV149" s="162"/>
      <c r="AW149" s="162"/>
      <c r="AX149" s="140" t="s">
        <v>18</v>
      </c>
      <c r="AZ149" s="143"/>
      <c r="BA149" s="147" t="str">
        <f t="shared" si="21"/>
        <v>mt</v>
      </c>
      <c r="BB149" s="161"/>
      <c r="BC149" s="162"/>
      <c r="BD149" s="162"/>
      <c r="BE149" s="140" t="s">
        <v>18</v>
      </c>
      <c r="BG149" s="143"/>
      <c r="BH149" s="147" t="str">
        <f t="shared" si="22"/>
        <v>mt</v>
      </c>
      <c r="BI149" s="161"/>
      <c r="BJ149" s="162"/>
      <c r="BK149" s="162"/>
      <c r="BL149" s="140" t="s">
        <v>18</v>
      </c>
      <c r="BN149" s="143"/>
      <c r="BO149" s="147" t="str">
        <f t="shared" si="23"/>
        <v>mt</v>
      </c>
      <c r="BP149" s="161"/>
      <c r="BQ149" s="162"/>
      <c r="BR149" s="162"/>
      <c r="BS149" s="140" t="s">
        <v>18</v>
      </c>
      <c r="BU149" s="143"/>
      <c r="BV149" s="147" t="str">
        <f t="shared" si="24"/>
        <v>mt</v>
      </c>
      <c r="BW149" s="161"/>
      <c r="BX149" s="162"/>
      <c r="BY149" s="162"/>
      <c r="BZ149" s="140" t="s">
        <v>18</v>
      </c>
      <c r="CC149" s="163">
        <f t="shared" si="25"/>
        <v>0</v>
      </c>
      <c r="CD149" s="163">
        <f t="shared" si="26"/>
        <v>0</v>
      </c>
      <c r="CE149" s="163">
        <f t="shared" si="27"/>
        <v>0</v>
      </c>
      <c r="CF149" s="163">
        <f t="shared" si="28"/>
        <v>0</v>
      </c>
      <c r="CG149" s="163">
        <f t="shared" si="29"/>
        <v>0</v>
      </c>
      <c r="CH149" s="163">
        <f t="shared" si="30"/>
        <v>0</v>
      </c>
      <c r="CJ149" s="163">
        <f t="shared" si="31"/>
        <v>0</v>
      </c>
      <c r="CK149" s="163">
        <f t="shared" si="32"/>
        <v>0</v>
      </c>
      <c r="CL149" s="163">
        <f t="shared" si="33"/>
        <v>0</v>
      </c>
      <c r="CM149" s="163">
        <f t="shared" si="34"/>
        <v>0</v>
      </c>
      <c r="CN149" s="163">
        <f t="shared" si="35"/>
        <v>0</v>
      </c>
      <c r="CO149" s="163">
        <f t="shared" si="36"/>
        <v>0</v>
      </c>
      <c r="CP149" s="163"/>
      <c r="CQ149" s="163">
        <f t="shared" si="37"/>
        <v>0</v>
      </c>
      <c r="CR149" s="163">
        <f t="shared" si="38"/>
        <v>0</v>
      </c>
      <c r="CS149" s="163">
        <f t="shared" si="39"/>
        <v>0</v>
      </c>
      <c r="CT149" s="163">
        <f t="shared" si="40"/>
        <v>0</v>
      </c>
      <c r="CU149" s="163">
        <f t="shared" si="41"/>
        <v>0</v>
      </c>
      <c r="CV149" s="163">
        <f t="shared" si="42"/>
        <v>0</v>
      </c>
      <c r="CY149" s="164" t="s">
        <v>45</v>
      </c>
      <c r="FN149" s="165">
        <f t="shared" si="8"/>
        <v>1294.1176470588236</v>
      </c>
      <c r="FO149" s="166">
        <f t="shared" si="43"/>
        <v>0</v>
      </c>
      <c r="FP149" s="166">
        <f t="shared" si="44"/>
        <v>0</v>
      </c>
    </row>
    <row r="150" spans="1:172" ht="18" x14ac:dyDescent="0.25">
      <c r="A150" s="167">
        <v>1100</v>
      </c>
      <c r="B150" s="168" t="s">
        <v>127</v>
      </c>
      <c r="C150" s="169" t="s">
        <v>128</v>
      </c>
      <c r="D150" s="185" t="s">
        <v>99</v>
      </c>
      <c r="E150" s="170" t="s">
        <v>129</v>
      </c>
      <c r="F150" s="171" t="s">
        <v>156</v>
      </c>
      <c r="G150" s="143"/>
      <c r="H150" s="172"/>
      <c r="I150" s="172"/>
      <c r="J150" s="172"/>
      <c r="K150" s="172"/>
      <c r="L150" s="172"/>
      <c r="M150" s="137">
        <f t="shared" si="9"/>
        <v>1294.1176470588236</v>
      </c>
      <c r="N150" s="173" t="s">
        <v>8</v>
      </c>
      <c r="O150" s="146">
        <f t="shared" si="10"/>
        <v>1294.1176470588236</v>
      </c>
      <c r="P150" s="174" t="str">
        <f t="shared" si="0"/>
        <v>mt</v>
      </c>
      <c r="Q150" s="175" t="str">
        <f t="shared" si="1"/>
        <v>/ dia</v>
      </c>
      <c r="R150" s="176">
        <v>3</v>
      </c>
      <c r="S150" s="177">
        <v>2</v>
      </c>
      <c r="T150" s="177">
        <f t="shared" si="2"/>
        <v>1</v>
      </c>
      <c r="U150" s="149">
        <f t="shared" si="3"/>
        <v>0</v>
      </c>
      <c r="V150" s="149">
        <f t="shared" si="11"/>
        <v>0</v>
      </c>
      <c r="W150" s="140" t="s">
        <v>18</v>
      </c>
      <c r="X150" s="150" t="s">
        <v>18</v>
      </c>
      <c r="Y150" s="151">
        <f t="shared" si="12"/>
        <v>0</v>
      </c>
      <c r="Z150" s="178">
        <f t="shared" si="4"/>
        <v>0.66666666666666663</v>
      </c>
      <c r="AA150" s="179">
        <f t="shared" si="13"/>
        <v>0</v>
      </c>
      <c r="AB150" s="179">
        <f t="shared" si="14"/>
        <v>0</v>
      </c>
      <c r="AC150" s="180"/>
      <c r="AD150" s="155">
        <f t="shared" si="5"/>
        <v>0</v>
      </c>
      <c r="AE150" s="156">
        <f t="shared" si="15"/>
        <v>0</v>
      </c>
      <c r="AF150" s="157">
        <f t="shared" si="6"/>
        <v>0</v>
      </c>
      <c r="AG150" s="158" t="str">
        <f t="shared" si="7"/>
        <v>mt</v>
      </c>
      <c r="AH150" s="158">
        <f t="shared" si="16"/>
        <v>0</v>
      </c>
      <c r="AI150" s="159">
        <f t="shared" si="17"/>
        <v>0</v>
      </c>
      <c r="AJ150" s="160">
        <f t="shared" si="18"/>
        <v>0</v>
      </c>
      <c r="AL150" s="143"/>
      <c r="AM150" s="147" t="str">
        <f t="shared" si="19"/>
        <v>mt</v>
      </c>
      <c r="AN150" s="161"/>
      <c r="AO150" s="182"/>
      <c r="AP150" s="182"/>
      <c r="AQ150" s="183" t="s">
        <v>18</v>
      </c>
      <c r="AS150" s="143"/>
      <c r="AT150" s="147" t="str">
        <f t="shared" si="20"/>
        <v>mt</v>
      </c>
      <c r="AU150" s="161"/>
      <c r="AV150" s="182"/>
      <c r="AW150" s="182"/>
      <c r="AX150" s="183" t="s">
        <v>18</v>
      </c>
      <c r="AZ150" s="143"/>
      <c r="BA150" s="147" t="str">
        <f t="shared" si="21"/>
        <v>mt</v>
      </c>
      <c r="BB150" s="161"/>
      <c r="BC150" s="182"/>
      <c r="BD150" s="182"/>
      <c r="BE150" s="183" t="s">
        <v>18</v>
      </c>
      <c r="BG150" s="143"/>
      <c r="BH150" s="147" t="str">
        <f t="shared" si="22"/>
        <v>mt</v>
      </c>
      <c r="BI150" s="161"/>
      <c r="BJ150" s="182"/>
      <c r="BK150" s="182"/>
      <c r="BL150" s="183" t="s">
        <v>18</v>
      </c>
      <c r="BN150" s="143"/>
      <c r="BO150" s="147" t="str">
        <f t="shared" si="23"/>
        <v>mt</v>
      </c>
      <c r="BP150" s="161"/>
      <c r="BQ150" s="182"/>
      <c r="BR150" s="182"/>
      <c r="BS150" s="183" t="s">
        <v>18</v>
      </c>
      <c r="BU150" s="143"/>
      <c r="BV150" s="147" t="str">
        <f t="shared" si="24"/>
        <v>mt</v>
      </c>
      <c r="BW150" s="161"/>
      <c r="BX150" s="182"/>
      <c r="BY150" s="182"/>
      <c r="BZ150" s="183" t="s">
        <v>18</v>
      </c>
      <c r="CC150" s="163">
        <f t="shared" si="25"/>
        <v>0</v>
      </c>
      <c r="CD150" s="163">
        <f t="shared" si="26"/>
        <v>0</v>
      </c>
      <c r="CE150" s="163">
        <f t="shared" si="27"/>
        <v>0</v>
      </c>
      <c r="CF150" s="163">
        <f t="shared" si="28"/>
        <v>0</v>
      </c>
      <c r="CG150" s="163">
        <f t="shared" si="29"/>
        <v>0</v>
      </c>
      <c r="CH150" s="163">
        <f t="shared" si="30"/>
        <v>0</v>
      </c>
      <c r="CJ150" s="163">
        <f t="shared" si="31"/>
        <v>0</v>
      </c>
      <c r="CK150" s="163">
        <f t="shared" si="32"/>
        <v>0</v>
      </c>
      <c r="CL150" s="163">
        <f t="shared" si="33"/>
        <v>0</v>
      </c>
      <c r="CM150" s="163">
        <f t="shared" si="34"/>
        <v>0</v>
      </c>
      <c r="CN150" s="163">
        <f t="shared" si="35"/>
        <v>0</v>
      </c>
      <c r="CO150" s="163">
        <f t="shared" si="36"/>
        <v>0</v>
      </c>
      <c r="CP150" s="163"/>
      <c r="CQ150" s="163">
        <f t="shared" si="37"/>
        <v>0</v>
      </c>
      <c r="CR150" s="163">
        <f t="shared" si="38"/>
        <v>0</v>
      </c>
      <c r="CS150" s="163">
        <f t="shared" si="39"/>
        <v>0</v>
      </c>
      <c r="CT150" s="163">
        <f t="shared" si="40"/>
        <v>0</v>
      </c>
      <c r="CU150" s="163">
        <f t="shared" si="41"/>
        <v>0</v>
      </c>
      <c r="CV150" s="163">
        <f t="shared" si="42"/>
        <v>0</v>
      </c>
      <c r="CY150" s="164" t="s">
        <v>45</v>
      </c>
      <c r="FN150" s="165">
        <f t="shared" si="8"/>
        <v>1294.1176470588236</v>
      </c>
      <c r="FO150" s="166">
        <f t="shared" si="43"/>
        <v>0</v>
      </c>
      <c r="FP150" s="166">
        <f t="shared" si="44"/>
        <v>0</v>
      </c>
    </row>
    <row r="151" spans="1:172" ht="18" x14ac:dyDescent="0.25">
      <c r="A151" s="137">
        <v>1100</v>
      </c>
      <c r="B151" s="138" t="s">
        <v>127</v>
      </c>
      <c r="C151" s="139" t="s">
        <v>128</v>
      </c>
      <c r="D151" s="185" t="s">
        <v>99</v>
      </c>
      <c r="E151" s="141" t="s">
        <v>129</v>
      </c>
      <c r="F151" s="142" t="s">
        <v>157</v>
      </c>
      <c r="G151" s="143"/>
      <c r="H151" s="144"/>
      <c r="I151" s="144"/>
      <c r="J151" s="144"/>
      <c r="K151" s="144"/>
      <c r="L151" s="144"/>
      <c r="M151" s="137">
        <f t="shared" si="9"/>
        <v>1294.1176470588236</v>
      </c>
      <c r="N151" s="145" t="s">
        <v>8</v>
      </c>
      <c r="O151" s="184">
        <f t="shared" si="10"/>
        <v>1294.1176470588236</v>
      </c>
      <c r="P151" s="147" t="str">
        <f t="shared" si="0"/>
        <v>mt</v>
      </c>
      <c r="Q151" s="147" t="str">
        <f t="shared" si="1"/>
        <v>/ dia</v>
      </c>
      <c r="R151" s="148">
        <v>3</v>
      </c>
      <c r="S151" s="149">
        <v>2</v>
      </c>
      <c r="T151" s="149">
        <f t="shared" si="2"/>
        <v>1</v>
      </c>
      <c r="U151" s="149">
        <f t="shared" si="3"/>
        <v>0</v>
      </c>
      <c r="V151" s="149">
        <f t="shared" si="11"/>
        <v>0</v>
      </c>
      <c r="W151" s="140" t="s">
        <v>18</v>
      </c>
      <c r="X151" s="150" t="s">
        <v>18</v>
      </c>
      <c r="Y151" s="151">
        <f t="shared" si="12"/>
        <v>0</v>
      </c>
      <c r="Z151" s="152">
        <f t="shared" si="4"/>
        <v>0.66666666666666663</v>
      </c>
      <c r="AA151" s="153">
        <f t="shared" si="13"/>
        <v>0</v>
      </c>
      <c r="AB151" s="153">
        <f t="shared" si="14"/>
        <v>0</v>
      </c>
      <c r="AC151" s="154"/>
      <c r="AD151" s="155">
        <f t="shared" si="5"/>
        <v>0</v>
      </c>
      <c r="AE151" s="156">
        <f t="shared" si="15"/>
        <v>0</v>
      </c>
      <c r="AF151" s="157">
        <f t="shared" si="6"/>
        <v>0</v>
      </c>
      <c r="AG151" s="158" t="str">
        <f t="shared" si="7"/>
        <v>mt</v>
      </c>
      <c r="AH151" s="158">
        <f t="shared" si="16"/>
        <v>0</v>
      </c>
      <c r="AI151" s="159">
        <f t="shared" si="17"/>
        <v>0</v>
      </c>
      <c r="AJ151" s="160">
        <f t="shared" si="18"/>
        <v>0</v>
      </c>
      <c r="AL151" s="143"/>
      <c r="AM151" s="147" t="str">
        <f t="shared" si="19"/>
        <v>mt</v>
      </c>
      <c r="AN151" s="161"/>
      <c r="AO151" s="162"/>
      <c r="AP151" s="162"/>
      <c r="AQ151" s="140" t="s">
        <v>18</v>
      </c>
      <c r="AS151" s="143"/>
      <c r="AT151" s="147" t="str">
        <f t="shared" si="20"/>
        <v>mt</v>
      </c>
      <c r="AU151" s="161"/>
      <c r="AV151" s="162"/>
      <c r="AW151" s="162"/>
      <c r="AX151" s="140" t="s">
        <v>18</v>
      </c>
      <c r="AZ151" s="143"/>
      <c r="BA151" s="147" t="str">
        <f t="shared" si="21"/>
        <v>mt</v>
      </c>
      <c r="BB151" s="161"/>
      <c r="BC151" s="162"/>
      <c r="BD151" s="162"/>
      <c r="BE151" s="140" t="s">
        <v>18</v>
      </c>
      <c r="BG151" s="143"/>
      <c r="BH151" s="147" t="str">
        <f t="shared" si="22"/>
        <v>mt</v>
      </c>
      <c r="BI151" s="161"/>
      <c r="BJ151" s="162"/>
      <c r="BK151" s="162"/>
      <c r="BL151" s="140" t="s">
        <v>18</v>
      </c>
      <c r="BN151" s="143"/>
      <c r="BO151" s="147" t="str">
        <f t="shared" si="23"/>
        <v>mt</v>
      </c>
      <c r="BP151" s="161"/>
      <c r="BQ151" s="162"/>
      <c r="BR151" s="162"/>
      <c r="BS151" s="140" t="s">
        <v>18</v>
      </c>
      <c r="BU151" s="143"/>
      <c r="BV151" s="147" t="str">
        <f t="shared" si="24"/>
        <v>mt</v>
      </c>
      <c r="BW151" s="161"/>
      <c r="BX151" s="162"/>
      <c r="BY151" s="162"/>
      <c r="BZ151" s="140" t="s">
        <v>18</v>
      </c>
      <c r="CC151" s="163">
        <f t="shared" si="25"/>
        <v>0</v>
      </c>
      <c r="CD151" s="163">
        <f t="shared" si="26"/>
        <v>0</v>
      </c>
      <c r="CE151" s="163">
        <f t="shared" si="27"/>
        <v>0</v>
      </c>
      <c r="CF151" s="163">
        <f t="shared" si="28"/>
        <v>0</v>
      </c>
      <c r="CG151" s="163">
        <f t="shared" si="29"/>
        <v>0</v>
      </c>
      <c r="CH151" s="163">
        <f t="shared" si="30"/>
        <v>0</v>
      </c>
      <c r="CJ151" s="163">
        <f t="shared" si="31"/>
        <v>0</v>
      </c>
      <c r="CK151" s="163">
        <f t="shared" si="32"/>
        <v>0</v>
      </c>
      <c r="CL151" s="163">
        <f t="shared" si="33"/>
        <v>0</v>
      </c>
      <c r="CM151" s="163">
        <f t="shared" si="34"/>
        <v>0</v>
      </c>
      <c r="CN151" s="163">
        <f t="shared" si="35"/>
        <v>0</v>
      </c>
      <c r="CO151" s="163">
        <f t="shared" si="36"/>
        <v>0</v>
      </c>
      <c r="CP151" s="163"/>
      <c r="CQ151" s="163">
        <f t="shared" si="37"/>
        <v>0</v>
      </c>
      <c r="CR151" s="163">
        <f t="shared" si="38"/>
        <v>0</v>
      </c>
      <c r="CS151" s="163">
        <f t="shared" si="39"/>
        <v>0</v>
      </c>
      <c r="CT151" s="163">
        <f t="shared" si="40"/>
        <v>0</v>
      </c>
      <c r="CU151" s="163">
        <f t="shared" si="41"/>
        <v>0</v>
      </c>
      <c r="CV151" s="163">
        <f t="shared" si="42"/>
        <v>0</v>
      </c>
      <c r="CY151" s="164" t="s">
        <v>45</v>
      </c>
      <c r="FN151" s="165">
        <f t="shared" si="8"/>
        <v>1294.1176470588236</v>
      </c>
      <c r="FO151" s="166">
        <f t="shared" si="43"/>
        <v>0</v>
      </c>
      <c r="FP151" s="166">
        <f t="shared" si="44"/>
        <v>0</v>
      </c>
    </row>
    <row r="152" spans="1:172" ht="18" x14ac:dyDescent="0.25">
      <c r="A152" s="167">
        <v>1100</v>
      </c>
      <c r="B152" s="168" t="s">
        <v>127</v>
      </c>
      <c r="C152" s="169" t="s">
        <v>128</v>
      </c>
      <c r="D152" s="185" t="s">
        <v>99</v>
      </c>
      <c r="E152" s="170" t="s">
        <v>129</v>
      </c>
      <c r="F152" s="171" t="s">
        <v>158</v>
      </c>
      <c r="G152" s="143"/>
      <c r="H152" s="172"/>
      <c r="I152" s="172"/>
      <c r="J152" s="172"/>
      <c r="K152" s="172"/>
      <c r="L152" s="172"/>
      <c r="M152" s="137">
        <f t="shared" si="9"/>
        <v>1294.1176470588236</v>
      </c>
      <c r="N152" s="173" t="s">
        <v>8</v>
      </c>
      <c r="O152" s="146">
        <f t="shared" si="10"/>
        <v>1294.1176470588236</v>
      </c>
      <c r="P152" s="174" t="str">
        <f t="shared" si="0"/>
        <v>mt</v>
      </c>
      <c r="Q152" s="175" t="str">
        <f t="shared" si="1"/>
        <v>/ dia</v>
      </c>
      <c r="R152" s="176">
        <v>3</v>
      </c>
      <c r="S152" s="177">
        <v>2</v>
      </c>
      <c r="T152" s="177">
        <f t="shared" si="2"/>
        <v>1</v>
      </c>
      <c r="U152" s="149">
        <f t="shared" si="3"/>
        <v>0</v>
      </c>
      <c r="V152" s="149">
        <f t="shared" si="11"/>
        <v>0</v>
      </c>
      <c r="W152" s="140" t="s">
        <v>18</v>
      </c>
      <c r="X152" s="150" t="s">
        <v>18</v>
      </c>
      <c r="Y152" s="151">
        <f t="shared" si="12"/>
        <v>0</v>
      </c>
      <c r="Z152" s="178">
        <f t="shared" si="4"/>
        <v>0.66666666666666663</v>
      </c>
      <c r="AA152" s="179">
        <f t="shared" si="13"/>
        <v>0</v>
      </c>
      <c r="AB152" s="179">
        <f t="shared" si="14"/>
        <v>0</v>
      </c>
      <c r="AC152" s="180"/>
      <c r="AD152" s="155">
        <f t="shared" si="5"/>
        <v>0</v>
      </c>
      <c r="AE152" s="156">
        <f t="shared" si="15"/>
        <v>0</v>
      </c>
      <c r="AF152" s="157">
        <f t="shared" si="6"/>
        <v>0</v>
      </c>
      <c r="AG152" s="158" t="str">
        <f t="shared" si="7"/>
        <v>mt</v>
      </c>
      <c r="AH152" s="158">
        <f t="shared" si="16"/>
        <v>0</v>
      </c>
      <c r="AI152" s="159">
        <f t="shared" si="17"/>
        <v>0</v>
      </c>
      <c r="AJ152" s="160">
        <f t="shared" si="18"/>
        <v>0</v>
      </c>
      <c r="AL152" s="143"/>
      <c r="AM152" s="147" t="str">
        <f t="shared" si="19"/>
        <v>mt</v>
      </c>
      <c r="AN152" s="161"/>
      <c r="AO152" s="182"/>
      <c r="AP152" s="182"/>
      <c r="AQ152" s="183" t="s">
        <v>18</v>
      </c>
      <c r="AS152" s="143"/>
      <c r="AT152" s="147" t="str">
        <f t="shared" si="20"/>
        <v>mt</v>
      </c>
      <c r="AU152" s="161"/>
      <c r="AV152" s="182"/>
      <c r="AW152" s="182"/>
      <c r="AX152" s="183" t="s">
        <v>18</v>
      </c>
      <c r="AZ152" s="143"/>
      <c r="BA152" s="147" t="str">
        <f t="shared" si="21"/>
        <v>mt</v>
      </c>
      <c r="BB152" s="161"/>
      <c r="BC152" s="182"/>
      <c r="BD152" s="182"/>
      <c r="BE152" s="183" t="s">
        <v>18</v>
      </c>
      <c r="BG152" s="143"/>
      <c r="BH152" s="147" t="str">
        <f t="shared" si="22"/>
        <v>mt</v>
      </c>
      <c r="BI152" s="161"/>
      <c r="BJ152" s="182"/>
      <c r="BK152" s="182"/>
      <c r="BL152" s="183" t="s">
        <v>18</v>
      </c>
      <c r="BN152" s="143"/>
      <c r="BO152" s="147" t="str">
        <f t="shared" si="23"/>
        <v>mt</v>
      </c>
      <c r="BP152" s="161"/>
      <c r="BQ152" s="182"/>
      <c r="BR152" s="182"/>
      <c r="BS152" s="183" t="s">
        <v>18</v>
      </c>
      <c r="BU152" s="143"/>
      <c r="BV152" s="147" t="str">
        <f t="shared" si="24"/>
        <v>mt</v>
      </c>
      <c r="BW152" s="161"/>
      <c r="BX152" s="182"/>
      <c r="BY152" s="182"/>
      <c r="BZ152" s="183" t="s">
        <v>18</v>
      </c>
      <c r="CC152" s="163">
        <f t="shared" si="25"/>
        <v>0</v>
      </c>
      <c r="CD152" s="163">
        <f t="shared" si="26"/>
        <v>0</v>
      </c>
      <c r="CE152" s="163">
        <f t="shared" si="27"/>
        <v>0</v>
      </c>
      <c r="CF152" s="163">
        <f t="shared" si="28"/>
        <v>0</v>
      </c>
      <c r="CG152" s="163">
        <f t="shared" si="29"/>
        <v>0</v>
      </c>
      <c r="CH152" s="163">
        <f t="shared" si="30"/>
        <v>0</v>
      </c>
      <c r="CJ152" s="163">
        <f t="shared" si="31"/>
        <v>0</v>
      </c>
      <c r="CK152" s="163">
        <f t="shared" si="32"/>
        <v>0</v>
      </c>
      <c r="CL152" s="163">
        <f t="shared" si="33"/>
        <v>0</v>
      </c>
      <c r="CM152" s="163">
        <f t="shared" si="34"/>
        <v>0</v>
      </c>
      <c r="CN152" s="163">
        <f t="shared" si="35"/>
        <v>0</v>
      </c>
      <c r="CO152" s="163">
        <f t="shared" si="36"/>
        <v>0</v>
      </c>
      <c r="CP152" s="163"/>
      <c r="CQ152" s="163">
        <f t="shared" si="37"/>
        <v>0</v>
      </c>
      <c r="CR152" s="163">
        <f t="shared" si="38"/>
        <v>0</v>
      </c>
      <c r="CS152" s="163">
        <f t="shared" si="39"/>
        <v>0</v>
      </c>
      <c r="CT152" s="163">
        <f t="shared" si="40"/>
        <v>0</v>
      </c>
      <c r="CU152" s="163">
        <f t="shared" si="41"/>
        <v>0</v>
      </c>
      <c r="CV152" s="163">
        <f t="shared" si="42"/>
        <v>0</v>
      </c>
      <c r="CY152" s="164" t="s">
        <v>45</v>
      </c>
      <c r="FN152" s="165">
        <f t="shared" si="8"/>
        <v>1294.1176470588236</v>
      </c>
      <c r="FO152" s="166">
        <f t="shared" si="43"/>
        <v>0</v>
      </c>
      <c r="FP152" s="166">
        <f t="shared" si="44"/>
        <v>0</v>
      </c>
    </row>
    <row r="153" spans="1:172" ht="18" x14ac:dyDescent="0.25">
      <c r="A153" s="137">
        <v>1100</v>
      </c>
      <c r="B153" s="138" t="s">
        <v>127</v>
      </c>
      <c r="C153" s="139" t="s">
        <v>128</v>
      </c>
      <c r="D153" s="140" t="s">
        <v>99</v>
      </c>
      <c r="E153" s="141" t="s">
        <v>129</v>
      </c>
      <c r="F153" s="142" t="s">
        <v>159</v>
      </c>
      <c r="G153" s="143"/>
      <c r="H153" s="144"/>
      <c r="I153" s="144"/>
      <c r="J153" s="144"/>
      <c r="K153" s="144"/>
      <c r="L153" s="144"/>
      <c r="M153" s="137">
        <f t="shared" si="9"/>
        <v>1294.1176470588236</v>
      </c>
      <c r="N153" s="145" t="s">
        <v>8</v>
      </c>
      <c r="O153" s="184">
        <f t="shared" si="10"/>
        <v>1294.1176470588236</v>
      </c>
      <c r="P153" s="147" t="str">
        <f t="shared" si="0"/>
        <v>mt</v>
      </c>
      <c r="Q153" s="147" t="str">
        <f t="shared" si="1"/>
        <v>/ dia</v>
      </c>
      <c r="R153" s="148">
        <v>2</v>
      </c>
      <c r="S153" s="149">
        <v>1</v>
      </c>
      <c r="T153" s="149">
        <f t="shared" si="2"/>
        <v>1</v>
      </c>
      <c r="U153" s="149">
        <f t="shared" si="3"/>
        <v>0</v>
      </c>
      <c r="V153" s="149">
        <f t="shared" si="11"/>
        <v>0</v>
      </c>
      <c r="W153" s="140" t="s">
        <v>18</v>
      </c>
      <c r="X153" s="150" t="s">
        <v>18</v>
      </c>
      <c r="Y153" s="151">
        <f t="shared" si="12"/>
        <v>0</v>
      </c>
      <c r="Z153" s="152">
        <f t="shared" si="4"/>
        <v>0.5</v>
      </c>
      <c r="AA153" s="153">
        <f t="shared" si="13"/>
        <v>0</v>
      </c>
      <c r="AB153" s="153">
        <f t="shared" si="14"/>
        <v>0</v>
      </c>
      <c r="AC153" s="154"/>
      <c r="AD153" s="155">
        <f t="shared" si="5"/>
        <v>0</v>
      </c>
      <c r="AE153" s="156">
        <f t="shared" si="15"/>
        <v>0</v>
      </c>
      <c r="AF153" s="157">
        <f t="shared" si="6"/>
        <v>0</v>
      </c>
      <c r="AG153" s="158" t="str">
        <f t="shared" si="7"/>
        <v>mt</v>
      </c>
      <c r="AH153" s="158">
        <f t="shared" si="16"/>
        <v>0</v>
      </c>
      <c r="AI153" s="159">
        <f t="shared" si="17"/>
        <v>0</v>
      </c>
      <c r="AJ153" s="160">
        <f t="shared" si="18"/>
        <v>0</v>
      </c>
      <c r="AL153" s="143"/>
      <c r="AM153" s="147" t="str">
        <f t="shared" si="19"/>
        <v>mt</v>
      </c>
      <c r="AN153" s="161"/>
      <c r="AO153" s="162"/>
      <c r="AP153" s="162"/>
      <c r="AQ153" s="140" t="s">
        <v>18</v>
      </c>
      <c r="AS153" s="143"/>
      <c r="AT153" s="147" t="str">
        <f t="shared" si="20"/>
        <v>mt</v>
      </c>
      <c r="AU153" s="161"/>
      <c r="AV153" s="162"/>
      <c r="AW153" s="162"/>
      <c r="AX153" s="140" t="s">
        <v>18</v>
      </c>
      <c r="AZ153" s="143"/>
      <c r="BA153" s="147" t="str">
        <f t="shared" si="21"/>
        <v>mt</v>
      </c>
      <c r="BB153" s="161"/>
      <c r="BC153" s="162"/>
      <c r="BD153" s="162"/>
      <c r="BE153" s="140" t="s">
        <v>18</v>
      </c>
      <c r="BG153" s="143"/>
      <c r="BH153" s="147" t="str">
        <f t="shared" si="22"/>
        <v>mt</v>
      </c>
      <c r="BI153" s="161"/>
      <c r="BJ153" s="162"/>
      <c r="BK153" s="162"/>
      <c r="BL153" s="140" t="s">
        <v>18</v>
      </c>
      <c r="BN153" s="143"/>
      <c r="BO153" s="147" t="str">
        <f t="shared" si="23"/>
        <v>mt</v>
      </c>
      <c r="BP153" s="161"/>
      <c r="BQ153" s="162"/>
      <c r="BR153" s="162"/>
      <c r="BS153" s="140" t="s">
        <v>18</v>
      </c>
      <c r="BU153" s="143"/>
      <c r="BV153" s="147" t="str">
        <f t="shared" si="24"/>
        <v>mt</v>
      </c>
      <c r="BW153" s="161"/>
      <c r="BX153" s="162"/>
      <c r="BY153" s="162"/>
      <c r="BZ153" s="140" t="s">
        <v>18</v>
      </c>
      <c r="CC153" s="163">
        <f t="shared" si="25"/>
        <v>0</v>
      </c>
      <c r="CD153" s="163">
        <f t="shared" si="26"/>
        <v>0</v>
      </c>
      <c r="CE153" s="163">
        <f t="shared" si="27"/>
        <v>0</v>
      </c>
      <c r="CF153" s="163">
        <f t="shared" si="28"/>
        <v>0</v>
      </c>
      <c r="CG153" s="163">
        <f t="shared" si="29"/>
        <v>0</v>
      </c>
      <c r="CH153" s="163">
        <f t="shared" si="30"/>
        <v>0</v>
      </c>
      <c r="CJ153" s="163">
        <f t="shared" si="31"/>
        <v>0</v>
      </c>
      <c r="CK153" s="163">
        <f t="shared" si="32"/>
        <v>0</v>
      </c>
      <c r="CL153" s="163">
        <f t="shared" si="33"/>
        <v>0</v>
      </c>
      <c r="CM153" s="163">
        <f t="shared" si="34"/>
        <v>0</v>
      </c>
      <c r="CN153" s="163">
        <f t="shared" si="35"/>
        <v>0</v>
      </c>
      <c r="CO153" s="163">
        <f t="shared" si="36"/>
        <v>0</v>
      </c>
      <c r="CP153" s="163"/>
      <c r="CQ153" s="163">
        <f t="shared" si="37"/>
        <v>0</v>
      </c>
      <c r="CR153" s="163">
        <f t="shared" si="38"/>
        <v>0</v>
      </c>
      <c r="CS153" s="163">
        <f t="shared" si="39"/>
        <v>0</v>
      </c>
      <c r="CT153" s="163">
        <f t="shared" si="40"/>
        <v>0</v>
      </c>
      <c r="CU153" s="163">
        <f t="shared" si="41"/>
        <v>0</v>
      </c>
      <c r="CV153" s="163">
        <f t="shared" si="42"/>
        <v>0</v>
      </c>
      <c r="CY153" s="164" t="s">
        <v>45</v>
      </c>
      <c r="FN153" s="165">
        <f t="shared" si="8"/>
        <v>1294.1176470588236</v>
      </c>
      <c r="FO153" s="166">
        <f t="shared" si="43"/>
        <v>0</v>
      </c>
      <c r="FP153" s="166">
        <f t="shared" si="44"/>
        <v>0</v>
      </c>
    </row>
    <row r="154" spans="1:172" ht="18" x14ac:dyDescent="0.25">
      <c r="A154" s="167">
        <v>1333.3333333333333</v>
      </c>
      <c r="B154" s="168" t="s">
        <v>127</v>
      </c>
      <c r="C154" s="169" t="s">
        <v>128</v>
      </c>
      <c r="D154" s="185" t="s">
        <v>99</v>
      </c>
      <c r="E154" s="170" t="s">
        <v>129</v>
      </c>
      <c r="F154" s="171" t="s">
        <v>160</v>
      </c>
      <c r="G154" s="143"/>
      <c r="H154" s="172"/>
      <c r="I154" s="172"/>
      <c r="J154" s="172"/>
      <c r="K154" s="172"/>
      <c r="L154" s="172"/>
      <c r="M154" s="137">
        <f t="shared" si="9"/>
        <v>1568.627450980392</v>
      </c>
      <c r="N154" s="173" t="s">
        <v>8</v>
      </c>
      <c r="O154" s="146">
        <f t="shared" si="10"/>
        <v>1568.627450980392</v>
      </c>
      <c r="P154" s="174" t="str">
        <f t="shared" si="0"/>
        <v>mt</v>
      </c>
      <c r="Q154" s="175" t="str">
        <f t="shared" si="1"/>
        <v>/ dia</v>
      </c>
      <c r="R154" s="176">
        <v>2</v>
      </c>
      <c r="S154" s="177">
        <v>1</v>
      </c>
      <c r="T154" s="177">
        <f t="shared" si="2"/>
        <v>1</v>
      </c>
      <c r="U154" s="149">
        <f t="shared" si="3"/>
        <v>0</v>
      </c>
      <c r="V154" s="149">
        <f t="shared" si="11"/>
        <v>0</v>
      </c>
      <c r="W154" s="140" t="s">
        <v>18</v>
      </c>
      <c r="X154" s="150" t="s">
        <v>18</v>
      </c>
      <c r="Y154" s="151">
        <f t="shared" si="12"/>
        <v>0</v>
      </c>
      <c r="Z154" s="178">
        <f t="shared" si="4"/>
        <v>0.5</v>
      </c>
      <c r="AA154" s="179">
        <f t="shared" si="13"/>
        <v>0</v>
      </c>
      <c r="AB154" s="179">
        <f t="shared" si="14"/>
        <v>0</v>
      </c>
      <c r="AC154" s="180"/>
      <c r="AD154" s="155">
        <f t="shared" si="5"/>
        <v>0</v>
      </c>
      <c r="AE154" s="156">
        <f t="shared" si="15"/>
        <v>0</v>
      </c>
      <c r="AF154" s="157">
        <f t="shared" si="6"/>
        <v>0</v>
      </c>
      <c r="AG154" s="158" t="str">
        <f t="shared" si="7"/>
        <v>mt</v>
      </c>
      <c r="AH154" s="158">
        <f t="shared" si="16"/>
        <v>0</v>
      </c>
      <c r="AI154" s="159">
        <f t="shared" si="17"/>
        <v>0</v>
      </c>
      <c r="AJ154" s="160">
        <f t="shared" si="18"/>
        <v>0</v>
      </c>
      <c r="AL154" s="143"/>
      <c r="AM154" s="147" t="str">
        <f t="shared" si="19"/>
        <v>mt</v>
      </c>
      <c r="AN154" s="161"/>
      <c r="AO154" s="182"/>
      <c r="AP154" s="182"/>
      <c r="AQ154" s="183" t="s">
        <v>18</v>
      </c>
      <c r="AS154" s="143"/>
      <c r="AT154" s="147" t="str">
        <f t="shared" si="20"/>
        <v>mt</v>
      </c>
      <c r="AU154" s="161"/>
      <c r="AV154" s="182"/>
      <c r="AW154" s="182"/>
      <c r="AX154" s="183" t="s">
        <v>18</v>
      </c>
      <c r="AZ154" s="143"/>
      <c r="BA154" s="147" t="str">
        <f t="shared" si="21"/>
        <v>mt</v>
      </c>
      <c r="BB154" s="161"/>
      <c r="BC154" s="182"/>
      <c r="BD154" s="182"/>
      <c r="BE154" s="183" t="s">
        <v>18</v>
      </c>
      <c r="BG154" s="143"/>
      <c r="BH154" s="147" t="str">
        <f t="shared" si="22"/>
        <v>mt</v>
      </c>
      <c r="BI154" s="161"/>
      <c r="BJ154" s="182"/>
      <c r="BK154" s="182"/>
      <c r="BL154" s="183" t="s">
        <v>18</v>
      </c>
      <c r="BN154" s="143"/>
      <c r="BO154" s="147" t="str">
        <f t="shared" si="23"/>
        <v>mt</v>
      </c>
      <c r="BP154" s="161"/>
      <c r="BQ154" s="182"/>
      <c r="BR154" s="182"/>
      <c r="BS154" s="183" t="s">
        <v>18</v>
      </c>
      <c r="BU154" s="143"/>
      <c r="BV154" s="147" t="str">
        <f t="shared" si="24"/>
        <v>mt</v>
      </c>
      <c r="BW154" s="161"/>
      <c r="BX154" s="182"/>
      <c r="BY154" s="182"/>
      <c r="BZ154" s="183" t="s">
        <v>18</v>
      </c>
      <c r="CC154" s="163">
        <f t="shared" si="25"/>
        <v>0</v>
      </c>
      <c r="CD154" s="163">
        <f t="shared" si="26"/>
        <v>0</v>
      </c>
      <c r="CE154" s="163">
        <f t="shared" si="27"/>
        <v>0</v>
      </c>
      <c r="CF154" s="163">
        <f t="shared" si="28"/>
        <v>0</v>
      </c>
      <c r="CG154" s="163">
        <f t="shared" si="29"/>
        <v>0</v>
      </c>
      <c r="CH154" s="163">
        <f t="shared" si="30"/>
        <v>0</v>
      </c>
      <c r="CJ154" s="163">
        <f t="shared" si="31"/>
        <v>0</v>
      </c>
      <c r="CK154" s="163">
        <f t="shared" si="32"/>
        <v>0</v>
      </c>
      <c r="CL154" s="163">
        <f t="shared" si="33"/>
        <v>0</v>
      </c>
      <c r="CM154" s="163">
        <f t="shared" si="34"/>
        <v>0</v>
      </c>
      <c r="CN154" s="163">
        <f t="shared" si="35"/>
        <v>0</v>
      </c>
      <c r="CO154" s="163">
        <f t="shared" si="36"/>
        <v>0</v>
      </c>
      <c r="CP154" s="163"/>
      <c r="CQ154" s="163">
        <f t="shared" si="37"/>
        <v>0</v>
      </c>
      <c r="CR154" s="163">
        <f t="shared" si="38"/>
        <v>0</v>
      </c>
      <c r="CS154" s="163">
        <f t="shared" si="39"/>
        <v>0</v>
      </c>
      <c r="CT154" s="163">
        <f t="shared" si="40"/>
        <v>0</v>
      </c>
      <c r="CU154" s="163">
        <f t="shared" si="41"/>
        <v>0</v>
      </c>
      <c r="CV154" s="163">
        <f t="shared" si="42"/>
        <v>0</v>
      </c>
      <c r="CY154" s="164" t="s">
        <v>45</v>
      </c>
      <c r="FN154" s="165">
        <f t="shared" si="8"/>
        <v>1568.627450980392</v>
      </c>
      <c r="FO154" s="166">
        <f t="shared" si="43"/>
        <v>0</v>
      </c>
      <c r="FP154" s="166">
        <f t="shared" si="44"/>
        <v>0</v>
      </c>
    </row>
    <row r="155" spans="1:172" ht="18" x14ac:dyDescent="0.25">
      <c r="A155" s="137">
        <v>800</v>
      </c>
      <c r="B155" s="138" t="s">
        <v>127</v>
      </c>
      <c r="C155" s="139" t="s">
        <v>128</v>
      </c>
      <c r="D155" s="185" t="s">
        <v>99</v>
      </c>
      <c r="E155" s="141" t="s">
        <v>129</v>
      </c>
      <c r="F155" s="142" t="s">
        <v>161</v>
      </c>
      <c r="G155" s="143"/>
      <c r="H155" s="144"/>
      <c r="I155" s="144"/>
      <c r="J155" s="144"/>
      <c r="K155" s="144"/>
      <c r="L155" s="144"/>
      <c r="M155" s="137">
        <f t="shared" si="9"/>
        <v>941.17647058823536</v>
      </c>
      <c r="N155" s="145" t="s">
        <v>8</v>
      </c>
      <c r="O155" s="184">
        <f t="shared" si="10"/>
        <v>941.17647058823536</v>
      </c>
      <c r="P155" s="147" t="str">
        <f t="shared" si="0"/>
        <v>mt</v>
      </c>
      <c r="Q155" s="147" t="str">
        <f t="shared" si="1"/>
        <v>/ dia</v>
      </c>
      <c r="R155" s="148">
        <v>2</v>
      </c>
      <c r="S155" s="149">
        <v>1</v>
      </c>
      <c r="T155" s="149">
        <f t="shared" si="2"/>
        <v>1</v>
      </c>
      <c r="U155" s="149">
        <f t="shared" si="3"/>
        <v>0</v>
      </c>
      <c r="V155" s="149">
        <f t="shared" si="11"/>
        <v>0</v>
      </c>
      <c r="W155" s="140" t="s">
        <v>18</v>
      </c>
      <c r="X155" s="150" t="s">
        <v>18</v>
      </c>
      <c r="Y155" s="151">
        <f t="shared" si="12"/>
        <v>0</v>
      </c>
      <c r="Z155" s="152">
        <f t="shared" si="4"/>
        <v>0.5</v>
      </c>
      <c r="AA155" s="153">
        <f t="shared" si="13"/>
        <v>0</v>
      </c>
      <c r="AB155" s="153">
        <f t="shared" si="14"/>
        <v>0</v>
      </c>
      <c r="AC155" s="154"/>
      <c r="AD155" s="155">
        <f t="shared" si="5"/>
        <v>0</v>
      </c>
      <c r="AE155" s="156">
        <f t="shared" si="15"/>
        <v>0</v>
      </c>
      <c r="AF155" s="157">
        <f t="shared" si="6"/>
        <v>0</v>
      </c>
      <c r="AG155" s="158" t="str">
        <f t="shared" si="7"/>
        <v>mt</v>
      </c>
      <c r="AH155" s="158">
        <f t="shared" si="16"/>
        <v>0</v>
      </c>
      <c r="AI155" s="159">
        <f t="shared" si="17"/>
        <v>0</v>
      </c>
      <c r="AJ155" s="160">
        <f t="shared" si="18"/>
        <v>0</v>
      </c>
      <c r="AL155" s="143"/>
      <c r="AM155" s="147" t="str">
        <f t="shared" si="19"/>
        <v>mt</v>
      </c>
      <c r="AN155" s="161"/>
      <c r="AO155" s="162"/>
      <c r="AP155" s="162"/>
      <c r="AQ155" s="140" t="s">
        <v>18</v>
      </c>
      <c r="AS155" s="143"/>
      <c r="AT155" s="147" t="str">
        <f t="shared" si="20"/>
        <v>mt</v>
      </c>
      <c r="AU155" s="161"/>
      <c r="AV155" s="162"/>
      <c r="AW155" s="162"/>
      <c r="AX155" s="140" t="s">
        <v>18</v>
      </c>
      <c r="AZ155" s="143"/>
      <c r="BA155" s="147" t="str">
        <f t="shared" si="21"/>
        <v>mt</v>
      </c>
      <c r="BB155" s="161"/>
      <c r="BC155" s="162"/>
      <c r="BD155" s="162"/>
      <c r="BE155" s="140" t="s">
        <v>18</v>
      </c>
      <c r="BG155" s="143"/>
      <c r="BH155" s="147" t="str">
        <f t="shared" si="22"/>
        <v>mt</v>
      </c>
      <c r="BI155" s="161"/>
      <c r="BJ155" s="162"/>
      <c r="BK155" s="162"/>
      <c r="BL155" s="140" t="s">
        <v>18</v>
      </c>
      <c r="BN155" s="143"/>
      <c r="BO155" s="147" t="str">
        <f t="shared" si="23"/>
        <v>mt</v>
      </c>
      <c r="BP155" s="161"/>
      <c r="BQ155" s="162"/>
      <c r="BR155" s="162"/>
      <c r="BS155" s="140" t="s">
        <v>18</v>
      </c>
      <c r="BU155" s="143"/>
      <c r="BV155" s="147" t="str">
        <f t="shared" si="24"/>
        <v>mt</v>
      </c>
      <c r="BW155" s="161"/>
      <c r="BX155" s="162"/>
      <c r="BY155" s="162"/>
      <c r="BZ155" s="140" t="s">
        <v>18</v>
      </c>
      <c r="CC155" s="163">
        <f t="shared" si="25"/>
        <v>0</v>
      </c>
      <c r="CD155" s="163">
        <f t="shared" si="26"/>
        <v>0</v>
      </c>
      <c r="CE155" s="163">
        <f t="shared" si="27"/>
        <v>0</v>
      </c>
      <c r="CF155" s="163">
        <f t="shared" si="28"/>
        <v>0</v>
      </c>
      <c r="CG155" s="163">
        <f t="shared" si="29"/>
        <v>0</v>
      </c>
      <c r="CH155" s="163">
        <f t="shared" si="30"/>
        <v>0</v>
      </c>
      <c r="CJ155" s="163">
        <f t="shared" si="31"/>
        <v>0</v>
      </c>
      <c r="CK155" s="163">
        <f t="shared" si="32"/>
        <v>0</v>
      </c>
      <c r="CL155" s="163">
        <f t="shared" si="33"/>
        <v>0</v>
      </c>
      <c r="CM155" s="163">
        <f t="shared" si="34"/>
        <v>0</v>
      </c>
      <c r="CN155" s="163">
        <f t="shared" si="35"/>
        <v>0</v>
      </c>
      <c r="CO155" s="163">
        <f t="shared" si="36"/>
        <v>0</v>
      </c>
      <c r="CP155" s="163"/>
      <c r="CQ155" s="163">
        <f t="shared" si="37"/>
        <v>0</v>
      </c>
      <c r="CR155" s="163">
        <f t="shared" si="38"/>
        <v>0</v>
      </c>
      <c r="CS155" s="163">
        <f t="shared" si="39"/>
        <v>0</v>
      </c>
      <c r="CT155" s="163">
        <f t="shared" si="40"/>
        <v>0</v>
      </c>
      <c r="CU155" s="163">
        <f t="shared" si="41"/>
        <v>0</v>
      </c>
      <c r="CV155" s="163">
        <f t="shared" si="42"/>
        <v>0</v>
      </c>
      <c r="CY155" s="164" t="s">
        <v>45</v>
      </c>
      <c r="FN155" s="165">
        <f t="shared" si="8"/>
        <v>941.17647058823536</v>
      </c>
      <c r="FO155" s="166">
        <f t="shared" si="43"/>
        <v>0</v>
      </c>
      <c r="FP155" s="166">
        <f t="shared" si="44"/>
        <v>0</v>
      </c>
    </row>
    <row r="156" spans="1:172" ht="18" x14ac:dyDescent="0.25">
      <c r="A156" s="167">
        <v>533.33333333333337</v>
      </c>
      <c r="B156" s="168" t="s">
        <v>127</v>
      </c>
      <c r="C156" s="169" t="s">
        <v>128</v>
      </c>
      <c r="D156" s="185" t="s">
        <v>99</v>
      </c>
      <c r="E156" s="170" t="s">
        <v>129</v>
      </c>
      <c r="F156" s="171" t="s">
        <v>162</v>
      </c>
      <c r="G156" s="143"/>
      <c r="H156" s="172"/>
      <c r="I156" s="172"/>
      <c r="J156" s="172"/>
      <c r="K156" s="172"/>
      <c r="L156" s="172"/>
      <c r="M156" s="137">
        <f t="shared" si="9"/>
        <v>627.45098039215691</v>
      </c>
      <c r="N156" s="173" t="s">
        <v>8</v>
      </c>
      <c r="O156" s="146">
        <f t="shared" si="10"/>
        <v>627.45098039215691</v>
      </c>
      <c r="P156" s="174" t="str">
        <f t="shared" si="0"/>
        <v>mt</v>
      </c>
      <c r="Q156" s="175" t="str">
        <f t="shared" si="1"/>
        <v>/ dia</v>
      </c>
      <c r="R156" s="176">
        <v>2</v>
      </c>
      <c r="S156" s="177">
        <v>1</v>
      </c>
      <c r="T156" s="177">
        <f t="shared" si="2"/>
        <v>1</v>
      </c>
      <c r="U156" s="149">
        <f t="shared" si="3"/>
        <v>0</v>
      </c>
      <c r="V156" s="149">
        <f t="shared" si="11"/>
        <v>0</v>
      </c>
      <c r="W156" s="140" t="s">
        <v>18</v>
      </c>
      <c r="X156" s="150" t="s">
        <v>18</v>
      </c>
      <c r="Y156" s="151">
        <f t="shared" si="12"/>
        <v>0</v>
      </c>
      <c r="Z156" s="178">
        <f t="shared" si="4"/>
        <v>0.5</v>
      </c>
      <c r="AA156" s="179">
        <f t="shared" si="13"/>
        <v>0</v>
      </c>
      <c r="AB156" s="179">
        <f t="shared" si="14"/>
        <v>0</v>
      </c>
      <c r="AC156" s="180"/>
      <c r="AD156" s="155">
        <f t="shared" si="5"/>
        <v>0</v>
      </c>
      <c r="AE156" s="156">
        <f t="shared" si="15"/>
        <v>0</v>
      </c>
      <c r="AF156" s="157">
        <f t="shared" si="6"/>
        <v>0</v>
      </c>
      <c r="AG156" s="158" t="str">
        <f t="shared" si="7"/>
        <v>mt</v>
      </c>
      <c r="AH156" s="158">
        <f t="shared" si="16"/>
        <v>0</v>
      </c>
      <c r="AI156" s="159">
        <f t="shared" si="17"/>
        <v>0</v>
      </c>
      <c r="AJ156" s="160">
        <f t="shared" si="18"/>
        <v>0</v>
      </c>
      <c r="AL156" s="143"/>
      <c r="AM156" s="147" t="str">
        <f t="shared" si="19"/>
        <v>mt</v>
      </c>
      <c r="AN156" s="161"/>
      <c r="AO156" s="182"/>
      <c r="AP156" s="182"/>
      <c r="AQ156" s="183" t="s">
        <v>18</v>
      </c>
      <c r="AS156" s="143"/>
      <c r="AT156" s="147" t="str">
        <f t="shared" si="20"/>
        <v>mt</v>
      </c>
      <c r="AU156" s="161"/>
      <c r="AV156" s="182"/>
      <c r="AW156" s="182"/>
      <c r="AX156" s="183" t="s">
        <v>18</v>
      </c>
      <c r="AZ156" s="143"/>
      <c r="BA156" s="147" t="str">
        <f t="shared" si="21"/>
        <v>mt</v>
      </c>
      <c r="BB156" s="161"/>
      <c r="BC156" s="182"/>
      <c r="BD156" s="182"/>
      <c r="BE156" s="183" t="s">
        <v>18</v>
      </c>
      <c r="BG156" s="143"/>
      <c r="BH156" s="147" t="str">
        <f t="shared" si="22"/>
        <v>mt</v>
      </c>
      <c r="BI156" s="161"/>
      <c r="BJ156" s="182"/>
      <c r="BK156" s="182"/>
      <c r="BL156" s="183" t="s">
        <v>18</v>
      </c>
      <c r="BN156" s="143"/>
      <c r="BO156" s="147" t="str">
        <f t="shared" si="23"/>
        <v>mt</v>
      </c>
      <c r="BP156" s="161"/>
      <c r="BQ156" s="182"/>
      <c r="BR156" s="182"/>
      <c r="BS156" s="183" t="s">
        <v>18</v>
      </c>
      <c r="BU156" s="143"/>
      <c r="BV156" s="147" t="str">
        <f t="shared" si="24"/>
        <v>mt</v>
      </c>
      <c r="BW156" s="161"/>
      <c r="BX156" s="182"/>
      <c r="BY156" s="182"/>
      <c r="BZ156" s="183" t="s">
        <v>18</v>
      </c>
      <c r="CC156" s="163">
        <f t="shared" si="25"/>
        <v>0</v>
      </c>
      <c r="CD156" s="163">
        <f t="shared" si="26"/>
        <v>0</v>
      </c>
      <c r="CE156" s="163">
        <f t="shared" si="27"/>
        <v>0</v>
      </c>
      <c r="CF156" s="163">
        <f t="shared" si="28"/>
        <v>0</v>
      </c>
      <c r="CG156" s="163">
        <f t="shared" si="29"/>
        <v>0</v>
      </c>
      <c r="CH156" s="163">
        <f t="shared" si="30"/>
        <v>0</v>
      </c>
      <c r="CJ156" s="163">
        <f t="shared" si="31"/>
        <v>0</v>
      </c>
      <c r="CK156" s="163">
        <f t="shared" si="32"/>
        <v>0</v>
      </c>
      <c r="CL156" s="163">
        <f t="shared" si="33"/>
        <v>0</v>
      </c>
      <c r="CM156" s="163">
        <f t="shared" si="34"/>
        <v>0</v>
      </c>
      <c r="CN156" s="163">
        <f t="shared" si="35"/>
        <v>0</v>
      </c>
      <c r="CO156" s="163">
        <f t="shared" si="36"/>
        <v>0</v>
      </c>
      <c r="CP156" s="163"/>
      <c r="CQ156" s="163">
        <f t="shared" si="37"/>
        <v>0</v>
      </c>
      <c r="CR156" s="163">
        <f t="shared" si="38"/>
        <v>0</v>
      </c>
      <c r="CS156" s="163">
        <f t="shared" si="39"/>
        <v>0</v>
      </c>
      <c r="CT156" s="163">
        <f t="shared" si="40"/>
        <v>0</v>
      </c>
      <c r="CU156" s="163">
        <f t="shared" si="41"/>
        <v>0</v>
      </c>
      <c r="CV156" s="163">
        <f t="shared" si="42"/>
        <v>0</v>
      </c>
      <c r="CY156" s="164" t="s">
        <v>45</v>
      </c>
      <c r="FN156" s="165">
        <f t="shared" si="8"/>
        <v>627.45098039215691</v>
      </c>
      <c r="FO156" s="166">
        <f t="shared" si="43"/>
        <v>0</v>
      </c>
      <c r="FP156" s="166">
        <f t="shared" si="44"/>
        <v>0</v>
      </c>
    </row>
    <row r="157" spans="1:172" ht="18" x14ac:dyDescent="0.25">
      <c r="A157" s="137">
        <v>800</v>
      </c>
      <c r="B157" s="138" t="s">
        <v>127</v>
      </c>
      <c r="C157" s="139" t="s">
        <v>163</v>
      </c>
      <c r="D157" s="185" t="s">
        <v>99</v>
      </c>
      <c r="E157" s="141" t="s">
        <v>129</v>
      </c>
      <c r="F157" s="142" t="s">
        <v>164</v>
      </c>
      <c r="G157" s="143"/>
      <c r="H157" s="144"/>
      <c r="I157" s="144"/>
      <c r="J157" s="144"/>
      <c r="K157" s="144"/>
      <c r="L157" s="144"/>
      <c r="M157" s="137">
        <f t="shared" si="9"/>
        <v>941.17647058823536</v>
      </c>
      <c r="N157" s="145" t="s">
        <v>8</v>
      </c>
      <c r="O157" s="184">
        <f t="shared" si="10"/>
        <v>941.17647058823536</v>
      </c>
      <c r="P157" s="147" t="str">
        <f t="shared" si="0"/>
        <v>mt</v>
      </c>
      <c r="Q157" s="147" t="str">
        <f t="shared" si="1"/>
        <v>/ dia</v>
      </c>
      <c r="R157" s="148">
        <v>3</v>
      </c>
      <c r="S157" s="149">
        <v>2</v>
      </c>
      <c r="T157" s="149">
        <f t="shared" si="2"/>
        <v>1</v>
      </c>
      <c r="U157" s="149">
        <f t="shared" si="3"/>
        <v>0</v>
      </c>
      <c r="V157" s="149">
        <f t="shared" si="11"/>
        <v>0</v>
      </c>
      <c r="W157" s="140" t="s">
        <v>18</v>
      </c>
      <c r="X157" s="150" t="s">
        <v>18</v>
      </c>
      <c r="Y157" s="151">
        <f t="shared" si="12"/>
        <v>0</v>
      </c>
      <c r="Z157" s="152">
        <f t="shared" si="4"/>
        <v>0.66666666666666663</v>
      </c>
      <c r="AA157" s="153">
        <f t="shared" si="13"/>
        <v>0</v>
      </c>
      <c r="AB157" s="153">
        <f t="shared" si="14"/>
        <v>0</v>
      </c>
      <c r="AC157" s="154"/>
      <c r="AD157" s="155">
        <f t="shared" si="5"/>
        <v>0</v>
      </c>
      <c r="AE157" s="156">
        <f t="shared" si="15"/>
        <v>0</v>
      </c>
      <c r="AF157" s="157">
        <f t="shared" si="6"/>
        <v>0</v>
      </c>
      <c r="AG157" s="158" t="str">
        <f t="shared" si="7"/>
        <v>mt</v>
      </c>
      <c r="AH157" s="158">
        <f t="shared" si="16"/>
        <v>0</v>
      </c>
      <c r="AI157" s="159">
        <f t="shared" si="17"/>
        <v>0</v>
      </c>
      <c r="AJ157" s="160">
        <f t="shared" si="18"/>
        <v>0</v>
      </c>
      <c r="AL157" s="143"/>
      <c r="AM157" s="147" t="str">
        <f t="shared" si="19"/>
        <v>mt</v>
      </c>
      <c r="AN157" s="161"/>
      <c r="AO157" s="162"/>
      <c r="AP157" s="162"/>
      <c r="AQ157" s="140" t="s">
        <v>18</v>
      </c>
      <c r="AS157" s="143"/>
      <c r="AT157" s="147" t="str">
        <f t="shared" si="20"/>
        <v>mt</v>
      </c>
      <c r="AU157" s="161"/>
      <c r="AV157" s="162"/>
      <c r="AW157" s="162"/>
      <c r="AX157" s="140" t="s">
        <v>18</v>
      </c>
      <c r="AZ157" s="143"/>
      <c r="BA157" s="147" t="str">
        <f t="shared" si="21"/>
        <v>mt</v>
      </c>
      <c r="BB157" s="161"/>
      <c r="BC157" s="162"/>
      <c r="BD157" s="162"/>
      <c r="BE157" s="140" t="s">
        <v>18</v>
      </c>
      <c r="BG157" s="143"/>
      <c r="BH157" s="147" t="str">
        <f t="shared" si="22"/>
        <v>mt</v>
      </c>
      <c r="BI157" s="161"/>
      <c r="BJ157" s="162"/>
      <c r="BK157" s="162"/>
      <c r="BL157" s="140" t="s">
        <v>18</v>
      </c>
      <c r="BN157" s="143"/>
      <c r="BO157" s="147" t="str">
        <f t="shared" si="23"/>
        <v>mt</v>
      </c>
      <c r="BP157" s="161"/>
      <c r="BQ157" s="162"/>
      <c r="BR157" s="162"/>
      <c r="BS157" s="140" t="s">
        <v>18</v>
      </c>
      <c r="BU157" s="143"/>
      <c r="BV157" s="147" t="str">
        <f t="shared" si="24"/>
        <v>mt</v>
      </c>
      <c r="BW157" s="161"/>
      <c r="BX157" s="162"/>
      <c r="BY157" s="162"/>
      <c r="BZ157" s="140" t="s">
        <v>18</v>
      </c>
      <c r="CC157" s="163">
        <f t="shared" si="25"/>
        <v>0</v>
      </c>
      <c r="CD157" s="163">
        <f t="shared" si="26"/>
        <v>0</v>
      </c>
      <c r="CE157" s="163">
        <f t="shared" si="27"/>
        <v>0</v>
      </c>
      <c r="CF157" s="163">
        <f t="shared" si="28"/>
        <v>0</v>
      </c>
      <c r="CG157" s="163">
        <f t="shared" si="29"/>
        <v>0</v>
      </c>
      <c r="CH157" s="163">
        <f t="shared" si="30"/>
        <v>0</v>
      </c>
      <c r="CJ157" s="163">
        <f t="shared" si="31"/>
        <v>0</v>
      </c>
      <c r="CK157" s="163">
        <f t="shared" si="32"/>
        <v>0</v>
      </c>
      <c r="CL157" s="163">
        <f t="shared" si="33"/>
        <v>0</v>
      </c>
      <c r="CM157" s="163">
        <f t="shared" si="34"/>
        <v>0</v>
      </c>
      <c r="CN157" s="163">
        <f t="shared" si="35"/>
        <v>0</v>
      </c>
      <c r="CO157" s="163">
        <f t="shared" si="36"/>
        <v>0</v>
      </c>
      <c r="CP157" s="163"/>
      <c r="CQ157" s="163">
        <f t="shared" si="37"/>
        <v>0</v>
      </c>
      <c r="CR157" s="163">
        <f t="shared" si="38"/>
        <v>0</v>
      </c>
      <c r="CS157" s="163">
        <f t="shared" si="39"/>
        <v>0</v>
      </c>
      <c r="CT157" s="163">
        <f t="shared" si="40"/>
        <v>0</v>
      </c>
      <c r="CU157" s="163">
        <f t="shared" si="41"/>
        <v>0</v>
      </c>
      <c r="CV157" s="163">
        <f t="shared" si="42"/>
        <v>0</v>
      </c>
      <c r="CY157" s="164" t="s">
        <v>45</v>
      </c>
      <c r="FN157" s="165">
        <f t="shared" si="8"/>
        <v>941.17647058823536</v>
      </c>
      <c r="FO157" s="166">
        <f t="shared" si="43"/>
        <v>0</v>
      </c>
      <c r="FP157" s="166">
        <f t="shared" si="44"/>
        <v>0</v>
      </c>
    </row>
    <row r="158" spans="1:172" ht="18" x14ac:dyDescent="0.25">
      <c r="A158" s="167">
        <v>500</v>
      </c>
      <c r="B158" s="168" t="s">
        <v>127</v>
      </c>
      <c r="C158" s="169" t="s">
        <v>163</v>
      </c>
      <c r="D158" s="185" t="s">
        <v>99</v>
      </c>
      <c r="E158" s="170" t="s">
        <v>129</v>
      </c>
      <c r="F158" s="171" t="s">
        <v>165</v>
      </c>
      <c r="G158" s="143"/>
      <c r="H158" s="172"/>
      <c r="I158" s="172"/>
      <c r="J158" s="172"/>
      <c r="K158" s="172"/>
      <c r="L158" s="172"/>
      <c r="M158" s="137">
        <f t="shared" si="9"/>
        <v>588.23529411764707</v>
      </c>
      <c r="N158" s="173" t="s">
        <v>8</v>
      </c>
      <c r="O158" s="146">
        <f t="shared" si="10"/>
        <v>588.23529411764707</v>
      </c>
      <c r="P158" s="174" t="str">
        <f t="shared" si="0"/>
        <v>mt</v>
      </c>
      <c r="Q158" s="175" t="str">
        <f t="shared" si="1"/>
        <v>/ dia</v>
      </c>
      <c r="R158" s="176">
        <v>3</v>
      </c>
      <c r="S158" s="177">
        <v>2</v>
      </c>
      <c r="T158" s="177">
        <f t="shared" si="2"/>
        <v>1</v>
      </c>
      <c r="U158" s="149">
        <f t="shared" si="3"/>
        <v>0</v>
      </c>
      <c r="V158" s="149">
        <f t="shared" si="11"/>
        <v>0</v>
      </c>
      <c r="W158" s="140" t="s">
        <v>18</v>
      </c>
      <c r="X158" s="150" t="s">
        <v>18</v>
      </c>
      <c r="Y158" s="151">
        <f t="shared" si="12"/>
        <v>0</v>
      </c>
      <c r="Z158" s="178">
        <f t="shared" si="4"/>
        <v>0.66666666666666663</v>
      </c>
      <c r="AA158" s="179">
        <f t="shared" si="13"/>
        <v>0</v>
      </c>
      <c r="AB158" s="179">
        <f t="shared" si="14"/>
        <v>0</v>
      </c>
      <c r="AC158" s="180"/>
      <c r="AD158" s="155">
        <f t="shared" si="5"/>
        <v>0</v>
      </c>
      <c r="AE158" s="156">
        <f t="shared" si="15"/>
        <v>0</v>
      </c>
      <c r="AF158" s="157">
        <f t="shared" si="6"/>
        <v>0</v>
      </c>
      <c r="AG158" s="158" t="str">
        <f t="shared" si="7"/>
        <v>mt</v>
      </c>
      <c r="AH158" s="158">
        <f t="shared" si="16"/>
        <v>0</v>
      </c>
      <c r="AI158" s="159">
        <f t="shared" si="17"/>
        <v>0</v>
      </c>
      <c r="AJ158" s="160">
        <f t="shared" si="18"/>
        <v>0</v>
      </c>
      <c r="AL158" s="143"/>
      <c r="AM158" s="147" t="str">
        <f t="shared" si="19"/>
        <v>mt</v>
      </c>
      <c r="AN158" s="161"/>
      <c r="AO158" s="182"/>
      <c r="AP158" s="182"/>
      <c r="AQ158" s="183" t="s">
        <v>18</v>
      </c>
      <c r="AS158" s="143"/>
      <c r="AT158" s="147" t="str">
        <f t="shared" si="20"/>
        <v>mt</v>
      </c>
      <c r="AU158" s="161"/>
      <c r="AV158" s="182"/>
      <c r="AW158" s="182"/>
      <c r="AX158" s="183" t="s">
        <v>18</v>
      </c>
      <c r="AZ158" s="143"/>
      <c r="BA158" s="147" t="str">
        <f t="shared" si="21"/>
        <v>mt</v>
      </c>
      <c r="BB158" s="161"/>
      <c r="BC158" s="182"/>
      <c r="BD158" s="182"/>
      <c r="BE158" s="183" t="s">
        <v>18</v>
      </c>
      <c r="BG158" s="143"/>
      <c r="BH158" s="147" t="str">
        <f t="shared" si="22"/>
        <v>mt</v>
      </c>
      <c r="BI158" s="161"/>
      <c r="BJ158" s="182"/>
      <c r="BK158" s="182"/>
      <c r="BL158" s="183" t="s">
        <v>18</v>
      </c>
      <c r="BN158" s="143"/>
      <c r="BO158" s="147" t="str">
        <f t="shared" si="23"/>
        <v>mt</v>
      </c>
      <c r="BP158" s="161"/>
      <c r="BQ158" s="182"/>
      <c r="BR158" s="182"/>
      <c r="BS158" s="183" t="s">
        <v>18</v>
      </c>
      <c r="BU158" s="143"/>
      <c r="BV158" s="147" t="str">
        <f t="shared" si="24"/>
        <v>mt</v>
      </c>
      <c r="BW158" s="161"/>
      <c r="BX158" s="182"/>
      <c r="BY158" s="182"/>
      <c r="BZ158" s="183" t="s">
        <v>18</v>
      </c>
      <c r="CC158" s="163">
        <f t="shared" si="25"/>
        <v>0</v>
      </c>
      <c r="CD158" s="163">
        <f t="shared" si="26"/>
        <v>0</v>
      </c>
      <c r="CE158" s="163">
        <f t="shared" si="27"/>
        <v>0</v>
      </c>
      <c r="CF158" s="163">
        <f t="shared" si="28"/>
        <v>0</v>
      </c>
      <c r="CG158" s="163">
        <f t="shared" si="29"/>
        <v>0</v>
      </c>
      <c r="CH158" s="163">
        <f t="shared" si="30"/>
        <v>0</v>
      </c>
      <c r="CJ158" s="163">
        <f t="shared" si="31"/>
        <v>0</v>
      </c>
      <c r="CK158" s="163">
        <f t="shared" si="32"/>
        <v>0</v>
      </c>
      <c r="CL158" s="163">
        <f t="shared" si="33"/>
        <v>0</v>
      </c>
      <c r="CM158" s="163">
        <f t="shared" si="34"/>
        <v>0</v>
      </c>
      <c r="CN158" s="163">
        <f t="shared" si="35"/>
        <v>0</v>
      </c>
      <c r="CO158" s="163">
        <f t="shared" si="36"/>
        <v>0</v>
      </c>
      <c r="CP158" s="163"/>
      <c r="CQ158" s="163">
        <f t="shared" si="37"/>
        <v>0</v>
      </c>
      <c r="CR158" s="163">
        <f t="shared" si="38"/>
        <v>0</v>
      </c>
      <c r="CS158" s="163">
        <f t="shared" si="39"/>
        <v>0</v>
      </c>
      <c r="CT158" s="163">
        <f t="shared" si="40"/>
        <v>0</v>
      </c>
      <c r="CU158" s="163">
        <f t="shared" si="41"/>
        <v>0</v>
      </c>
      <c r="CV158" s="163">
        <f t="shared" si="42"/>
        <v>0</v>
      </c>
      <c r="CY158" s="164" t="s">
        <v>45</v>
      </c>
      <c r="FN158" s="165">
        <f t="shared" si="8"/>
        <v>588.23529411764707</v>
      </c>
      <c r="FO158" s="166">
        <f t="shared" si="43"/>
        <v>0</v>
      </c>
      <c r="FP158" s="166">
        <f t="shared" si="44"/>
        <v>0</v>
      </c>
    </row>
    <row r="159" spans="1:172" ht="18" x14ac:dyDescent="0.25">
      <c r="A159" s="137">
        <v>90.213333333333324</v>
      </c>
      <c r="B159" s="138" t="s">
        <v>166</v>
      </c>
      <c r="C159" s="139"/>
      <c r="D159" s="185" t="s">
        <v>99</v>
      </c>
      <c r="E159" s="141" t="s">
        <v>100</v>
      </c>
      <c r="F159" s="142" t="s">
        <v>167</v>
      </c>
      <c r="G159" s="143"/>
      <c r="H159" s="144"/>
      <c r="I159" s="144"/>
      <c r="J159" s="144"/>
      <c r="K159" s="144"/>
      <c r="L159" s="144"/>
      <c r="M159" s="137">
        <f t="shared" si="9"/>
        <v>106.13333333333333</v>
      </c>
      <c r="N159" s="145" t="s">
        <v>3</v>
      </c>
      <c r="O159" s="184">
        <f t="shared" si="10"/>
        <v>106.13333333333333</v>
      </c>
      <c r="P159" s="147" t="str">
        <f t="shared" si="0"/>
        <v>kg</v>
      </c>
      <c r="Q159" s="147" t="str">
        <f t="shared" si="1"/>
        <v>/ dia</v>
      </c>
      <c r="R159" s="148">
        <v>3</v>
      </c>
      <c r="S159" s="149">
        <v>2</v>
      </c>
      <c r="T159" s="149">
        <f t="shared" si="2"/>
        <v>1</v>
      </c>
      <c r="U159" s="149">
        <f t="shared" si="3"/>
        <v>0</v>
      </c>
      <c r="V159" s="149">
        <f t="shared" si="11"/>
        <v>0</v>
      </c>
      <c r="W159" s="140" t="s">
        <v>18</v>
      </c>
      <c r="X159" s="150" t="s">
        <v>18</v>
      </c>
      <c r="Y159" s="151">
        <f t="shared" si="12"/>
        <v>0</v>
      </c>
      <c r="Z159" s="152">
        <f t="shared" si="4"/>
        <v>0.66666666666666663</v>
      </c>
      <c r="AA159" s="153">
        <f t="shared" si="13"/>
        <v>0</v>
      </c>
      <c r="AB159" s="153">
        <f t="shared" si="14"/>
        <v>0</v>
      </c>
      <c r="AC159" s="154"/>
      <c r="AD159" s="155">
        <f t="shared" si="5"/>
        <v>0</v>
      </c>
      <c r="AE159" s="156">
        <f t="shared" si="15"/>
        <v>0</v>
      </c>
      <c r="AF159" s="157">
        <f t="shared" si="6"/>
        <v>0</v>
      </c>
      <c r="AG159" s="158" t="str">
        <f t="shared" si="7"/>
        <v>kg</v>
      </c>
      <c r="AH159" s="158">
        <f t="shared" si="16"/>
        <v>0</v>
      </c>
      <c r="AI159" s="159">
        <f t="shared" si="17"/>
        <v>0</v>
      </c>
      <c r="AJ159" s="160">
        <f t="shared" si="18"/>
        <v>0</v>
      </c>
      <c r="AL159" s="143"/>
      <c r="AM159" s="147" t="str">
        <f t="shared" si="19"/>
        <v>kg</v>
      </c>
      <c r="AN159" s="161"/>
      <c r="AO159" s="162"/>
      <c r="AP159" s="162"/>
      <c r="AQ159" s="140" t="s">
        <v>18</v>
      </c>
      <c r="AS159" s="143"/>
      <c r="AT159" s="147" t="str">
        <f t="shared" si="20"/>
        <v>kg</v>
      </c>
      <c r="AU159" s="161"/>
      <c r="AV159" s="162"/>
      <c r="AW159" s="162"/>
      <c r="AX159" s="140" t="s">
        <v>18</v>
      </c>
      <c r="AZ159" s="143"/>
      <c r="BA159" s="147" t="str">
        <f t="shared" si="21"/>
        <v>kg</v>
      </c>
      <c r="BB159" s="161"/>
      <c r="BC159" s="162"/>
      <c r="BD159" s="162"/>
      <c r="BE159" s="140" t="s">
        <v>18</v>
      </c>
      <c r="BG159" s="143"/>
      <c r="BH159" s="147" t="str">
        <f t="shared" si="22"/>
        <v>kg</v>
      </c>
      <c r="BI159" s="161"/>
      <c r="BJ159" s="162"/>
      <c r="BK159" s="162"/>
      <c r="BL159" s="140" t="s">
        <v>18</v>
      </c>
      <c r="BN159" s="143"/>
      <c r="BO159" s="147" t="str">
        <f t="shared" si="23"/>
        <v>kg</v>
      </c>
      <c r="BP159" s="161"/>
      <c r="BQ159" s="162"/>
      <c r="BR159" s="162"/>
      <c r="BS159" s="140" t="s">
        <v>18</v>
      </c>
      <c r="BU159" s="143"/>
      <c r="BV159" s="147" t="str">
        <f t="shared" si="24"/>
        <v>kg</v>
      </c>
      <c r="BW159" s="161"/>
      <c r="BX159" s="162"/>
      <c r="BY159" s="162"/>
      <c r="BZ159" s="140" t="s">
        <v>18</v>
      </c>
      <c r="CC159" s="163">
        <f t="shared" si="25"/>
        <v>0</v>
      </c>
      <c r="CD159" s="163">
        <f t="shared" si="26"/>
        <v>0</v>
      </c>
      <c r="CE159" s="163">
        <f t="shared" si="27"/>
        <v>0</v>
      </c>
      <c r="CF159" s="163">
        <f t="shared" si="28"/>
        <v>0</v>
      </c>
      <c r="CG159" s="163">
        <f t="shared" si="29"/>
        <v>0</v>
      </c>
      <c r="CH159" s="163">
        <f t="shared" si="30"/>
        <v>0</v>
      </c>
      <c r="CJ159" s="163">
        <f t="shared" si="31"/>
        <v>0</v>
      </c>
      <c r="CK159" s="163">
        <f t="shared" si="32"/>
        <v>0</v>
      </c>
      <c r="CL159" s="163">
        <f t="shared" si="33"/>
        <v>0</v>
      </c>
      <c r="CM159" s="163">
        <f t="shared" si="34"/>
        <v>0</v>
      </c>
      <c r="CN159" s="163">
        <f t="shared" si="35"/>
        <v>0</v>
      </c>
      <c r="CO159" s="163">
        <f t="shared" si="36"/>
        <v>0</v>
      </c>
      <c r="CP159" s="163"/>
      <c r="CQ159" s="163">
        <f t="shared" si="37"/>
        <v>0</v>
      </c>
      <c r="CR159" s="163">
        <f t="shared" si="38"/>
        <v>0</v>
      </c>
      <c r="CS159" s="163">
        <f t="shared" si="39"/>
        <v>0</v>
      </c>
      <c r="CT159" s="163">
        <f t="shared" si="40"/>
        <v>0</v>
      </c>
      <c r="CU159" s="163">
        <f t="shared" si="41"/>
        <v>0</v>
      </c>
      <c r="CV159" s="163">
        <f t="shared" si="42"/>
        <v>0</v>
      </c>
      <c r="CY159" s="164" t="s">
        <v>45</v>
      </c>
      <c r="FN159" s="165">
        <f t="shared" si="8"/>
        <v>106.13333333333333</v>
      </c>
      <c r="FO159" s="166">
        <f t="shared" si="43"/>
        <v>0</v>
      </c>
      <c r="FP159" s="166">
        <f t="shared" si="44"/>
        <v>0</v>
      </c>
    </row>
    <row r="160" spans="1:172" ht="18" x14ac:dyDescent="0.25">
      <c r="A160" s="167">
        <v>10</v>
      </c>
      <c r="B160" s="168" t="s">
        <v>168</v>
      </c>
      <c r="C160" s="169"/>
      <c r="D160" s="185" t="s">
        <v>99</v>
      </c>
      <c r="E160" s="170" t="s">
        <v>100</v>
      </c>
      <c r="F160" s="171" t="s">
        <v>169</v>
      </c>
      <c r="G160" s="143"/>
      <c r="H160" s="172"/>
      <c r="I160" s="172"/>
      <c r="J160" s="172"/>
      <c r="K160" s="172"/>
      <c r="L160" s="172"/>
      <c r="M160" s="137">
        <f t="shared" si="9"/>
        <v>11.764705882352942</v>
      </c>
      <c r="N160" s="173" t="s">
        <v>9</v>
      </c>
      <c r="O160" s="146">
        <f t="shared" si="10"/>
        <v>11.764705882352942</v>
      </c>
      <c r="P160" s="174" t="str">
        <f t="shared" si="0"/>
        <v>pç</v>
      </c>
      <c r="Q160" s="175" t="str">
        <f t="shared" si="1"/>
        <v>/ dia</v>
      </c>
      <c r="R160" s="176">
        <v>2</v>
      </c>
      <c r="S160" s="177">
        <v>1</v>
      </c>
      <c r="T160" s="177">
        <f t="shared" si="2"/>
        <v>1</v>
      </c>
      <c r="U160" s="149">
        <f t="shared" si="3"/>
        <v>0</v>
      </c>
      <c r="V160" s="149">
        <f t="shared" si="11"/>
        <v>0</v>
      </c>
      <c r="W160" s="140" t="s">
        <v>18</v>
      </c>
      <c r="X160" s="150" t="s">
        <v>18</v>
      </c>
      <c r="Y160" s="151">
        <f t="shared" si="12"/>
        <v>0</v>
      </c>
      <c r="Z160" s="178">
        <f t="shared" si="4"/>
        <v>0.5</v>
      </c>
      <c r="AA160" s="179">
        <f t="shared" si="13"/>
        <v>0</v>
      </c>
      <c r="AB160" s="179">
        <f t="shared" si="14"/>
        <v>0</v>
      </c>
      <c r="AC160" s="180"/>
      <c r="AD160" s="155">
        <f t="shared" si="5"/>
        <v>0</v>
      </c>
      <c r="AE160" s="156">
        <f t="shared" si="15"/>
        <v>0</v>
      </c>
      <c r="AF160" s="157">
        <f t="shared" si="6"/>
        <v>0</v>
      </c>
      <c r="AG160" s="158" t="str">
        <f t="shared" si="7"/>
        <v>pç</v>
      </c>
      <c r="AH160" s="158">
        <f t="shared" si="16"/>
        <v>0</v>
      </c>
      <c r="AI160" s="159">
        <f t="shared" si="17"/>
        <v>0</v>
      </c>
      <c r="AJ160" s="160">
        <f t="shared" si="18"/>
        <v>0</v>
      </c>
      <c r="AL160" s="143"/>
      <c r="AM160" s="147" t="str">
        <f t="shared" si="19"/>
        <v>pç</v>
      </c>
      <c r="AN160" s="161"/>
      <c r="AO160" s="182"/>
      <c r="AP160" s="182"/>
      <c r="AQ160" s="183" t="s">
        <v>18</v>
      </c>
      <c r="AS160" s="143"/>
      <c r="AT160" s="147" t="str">
        <f t="shared" si="20"/>
        <v>pç</v>
      </c>
      <c r="AU160" s="161"/>
      <c r="AV160" s="182"/>
      <c r="AW160" s="182"/>
      <c r="AX160" s="183" t="s">
        <v>18</v>
      </c>
      <c r="AZ160" s="143"/>
      <c r="BA160" s="147" t="str">
        <f t="shared" si="21"/>
        <v>pç</v>
      </c>
      <c r="BB160" s="161"/>
      <c r="BC160" s="182"/>
      <c r="BD160" s="182"/>
      <c r="BE160" s="183" t="s">
        <v>18</v>
      </c>
      <c r="BG160" s="143"/>
      <c r="BH160" s="147" t="str">
        <f t="shared" si="22"/>
        <v>pç</v>
      </c>
      <c r="BI160" s="161"/>
      <c r="BJ160" s="182"/>
      <c r="BK160" s="182"/>
      <c r="BL160" s="183" t="s">
        <v>18</v>
      </c>
      <c r="BN160" s="143"/>
      <c r="BO160" s="147" t="str">
        <f t="shared" si="23"/>
        <v>pç</v>
      </c>
      <c r="BP160" s="161"/>
      <c r="BQ160" s="182"/>
      <c r="BR160" s="182"/>
      <c r="BS160" s="183" t="s">
        <v>18</v>
      </c>
      <c r="BU160" s="143"/>
      <c r="BV160" s="147" t="str">
        <f t="shared" si="24"/>
        <v>pç</v>
      </c>
      <c r="BW160" s="161"/>
      <c r="BX160" s="182"/>
      <c r="BY160" s="182"/>
      <c r="BZ160" s="183" t="s">
        <v>18</v>
      </c>
      <c r="CC160" s="163">
        <f t="shared" si="25"/>
        <v>0</v>
      </c>
      <c r="CD160" s="163">
        <f t="shared" si="26"/>
        <v>0</v>
      </c>
      <c r="CE160" s="163">
        <f t="shared" si="27"/>
        <v>0</v>
      </c>
      <c r="CF160" s="163">
        <f t="shared" si="28"/>
        <v>0</v>
      </c>
      <c r="CG160" s="163">
        <f t="shared" si="29"/>
        <v>0</v>
      </c>
      <c r="CH160" s="163">
        <f t="shared" si="30"/>
        <v>0</v>
      </c>
      <c r="CJ160" s="163">
        <f t="shared" si="31"/>
        <v>0</v>
      </c>
      <c r="CK160" s="163">
        <f t="shared" si="32"/>
        <v>0</v>
      </c>
      <c r="CL160" s="163">
        <f t="shared" si="33"/>
        <v>0</v>
      </c>
      <c r="CM160" s="163">
        <f t="shared" si="34"/>
        <v>0</v>
      </c>
      <c r="CN160" s="163">
        <f t="shared" si="35"/>
        <v>0</v>
      </c>
      <c r="CO160" s="163">
        <f t="shared" si="36"/>
        <v>0</v>
      </c>
      <c r="CP160" s="163"/>
      <c r="CQ160" s="163">
        <f t="shared" si="37"/>
        <v>0</v>
      </c>
      <c r="CR160" s="163">
        <f t="shared" si="38"/>
        <v>0</v>
      </c>
      <c r="CS160" s="163">
        <f t="shared" si="39"/>
        <v>0</v>
      </c>
      <c r="CT160" s="163">
        <f t="shared" si="40"/>
        <v>0</v>
      </c>
      <c r="CU160" s="163">
        <f t="shared" si="41"/>
        <v>0</v>
      </c>
      <c r="CV160" s="163">
        <f t="shared" si="42"/>
        <v>0</v>
      </c>
      <c r="CY160" s="164" t="s">
        <v>45</v>
      </c>
      <c r="FN160" s="165">
        <f t="shared" si="8"/>
        <v>11.764705882352942</v>
      </c>
      <c r="FO160" s="166">
        <f t="shared" si="43"/>
        <v>0</v>
      </c>
      <c r="FP160" s="166">
        <f t="shared" si="44"/>
        <v>0</v>
      </c>
    </row>
    <row r="161" spans="1:172" ht="18" x14ac:dyDescent="0.25">
      <c r="A161" s="137">
        <v>10</v>
      </c>
      <c r="B161" s="138" t="s">
        <v>168</v>
      </c>
      <c r="C161" s="139"/>
      <c r="D161" s="140" t="s">
        <v>123</v>
      </c>
      <c r="E161" s="141" t="s">
        <v>170</v>
      </c>
      <c r="F161" s="142" t="s">
        <v>169</v>
      </c>
      <c r="G161" s="143"/>
      <c r="H161" s="144"/>
      <c r="I161" s="144"/>
      <c r="J161" s="144"/>
      <c r="K161" s="144"/>
      <c r="L161" s="144"/>
      <c r="M161" s="137">
        <f t="shared" si="9"/>
        <v>11.764705882352942</v>
      </c>
      <c r="N161" s="145" t="s">
        <v>9</v>
      </c>
      <c r="O161" s="184">
        <f t="shared" si="10"/>
        <v>11.764705882352942</v>
      </c>
      <c r="P161" s="147" t="str">
        <f t="shared" si="0"/>
        <v>pç</v>
      </c>
      <c r="Q161" s="147" t="str">
        <f t="shared" si="1"/>
        <v>/ dia</v>
      </c>
      <c r="R161" s="148">
        <v>1</v>
      </c>
      <c r="S161" s="149">
        <v>0</v>
      </c>
      <c r="T161" s="149">
        <f t="shared" si="2"/>
        <v>1</v>
      </c>
      <c r="U161" s="149">
        <f t="shared" si="3"/>
        <v>0</v>
      </c>
      <c r="V161" s="149">
        <f t="shared" si="11"/>
        <v>0</v>
      </c>
      <c r="W161" s="140" t="s">
        <v>18</v>
      </c>
      <c r="X161" s="150" t="s">
        <v>18</v>
      </c>
      <c r="Y161" s="151">
        <f t="shared" si="12"/>
        <v>0</v>
      </c>
      <c r="Z161" s="152">
        <f t="shared" si="4"/>
        <v>0</v>
      </c>
      <c r="AA161" s="153">
        <f t="shared" si="13"/>
        <v>0</v>
      </c>
      <c r="AB161" s="153">
        <f t="shared" si="14"/>
        <v>0</v>
      </c>
      <c r="AC161" s="154"/>
      <c r="AD161" s="155">
        <f t="shared" si="5"/>
        <v>0</v>
      </c>
      <c r="AE161" s="156">
        <f t="shared" si="15"/>
        <v>0</v>
      </c>
      <c r="AF161" s="157">
        <f t="shared" si="6"/>
        <v>0</v>
      </c>
      <c r="AG161" s="158" t="str">
        <f t="shared" si="7"/>
        <v>pç</v>
      </c>
      <c r="AH161" s="158">
        <f t="shared" si="16"/>
        <v>0</v>
      </c>
      <c r="AI161" s="159">
        <f t="shared" si="17"/>
        <v>0</v>
      </c>
      <c r="AJ161" s="160">
        <f t="shared" si="18"/>
        <v>0</v>
      </c>
      <c r="AL161" s="143"/>
      <c r="AM161" s="147" t="str">
        <f t="shared" si="19"/>
        <v>pç</v>
      </c>
      <c r="AN161" s="161"/>
      <c r="AO161" s="162"/>
      <c r="AP161" s="162"/>
      <c r="AQ161" s="140" t="s">
        <v>18</v>
      </c>
      <c r="AS161" s="143"/>
      <c r="AT161" s="147" t="str">
        <f t="shared" si="20"/>
        <v>pç</v>
      </c>
      <c r="AU161" s="161"/>
      <c r="AV161" s="162"/>
      <c r="AW161" s="162"/>
      <c r="AX161" s="140" t="s">
        <v>18</v>
      </c>
      <c r="AZ161" s="143"/>
      <c r="BA161" s="147" t="str">
        <f t="shared" si="21"/>
        <v>pç</v>
      </c>
      <c r="BB161" s="161"/>
      <c r="BC161" s="162"/>
      <c r="BD161" s="162"/>
      <c r="BE161" s="140" t="s">
        <v>18</v>
      </c>
      <c r="BG161" s="143"/>
      <c r="BH161" s="147" t="str">
        <f t="shared" si="22"/>
        <v>pç</v>
      </c>
      <c r="BI161" s="161"/>
      <c r="BJ161" s="162"/>
      <c r="BK161" s="162"/>
      <c r="BL161" s="140" t="s">
        <v>18</v>
      </c>
      <c r="BN161" s="143"/>
      <c r="BO161" s="147" t="str">
        <f t="shared" si="23"/>
        <v>pç</v>
      </c>
      <c r="BP161" s="161"/>
      <c r="BQ161" s="162"/>
      <c r="BR161" s="162"/>
      <c r="BS161" s="140" t="s">
        <v>18</v>
      </c>
      <c r="BU161" s="143"/>
      <c r="BV161" s="147" t="str">
        <f t="shared" si="24"/>
        <v>pç</v>
      </c>
      <c r="BW161" s="161"/>
      <c r="BX161" s="162"/>
      <c r="BY161" s="162"/>
      <c r="BZ161" s="140" t="s">
        <v>18</v>
      </c>
      <c r="CC161" s="163">
        <f t="shared" si="25"/>
        <v>0</v>
      </c>
      <c r="CD161" s="163">
        <f t="shared" si="26"/>
        <v>0</v>
      </c>
      <c r="CE161" s="163">
        <f t="shared" si="27"/>
        <v>0</v>
      </c>
      <c r="CF161" s="163">
        <f t="shared" si="28"/>
        <v>0</v>
      </c>
      <c r="CG161" s="163">
        <f t="shared" si="29"/>
        <v>0</v>
      </c>
      <c r="CH161" s="163">
        <f t="shared" si="30"/>
        <v>0</v>
      </c>
      <c r="CJ161" s="163">
        <f t="shared" si="31"/>
        <v>0</v>
      </c>
      <c r="CK161" s="163">
        <f t="shared" si="32"/>
        <v>0</v>
      </c>
      <c r="CL161" s="163">
        <f t="shared" si="33"/>
        <v>0</v>
      </c>
      <c r="CM161" s="163">
        <f t="shared" si="34"/>
        <v>0</v>
      </c>
      <c r="CN161" s="163">
        <f t="shared" si="35"/>
        <v>0</v>
      </c>
      <c r="CO161" s="163">
        <f t="shared" si="36"/>
        <v>0</v>
      </c>
      <c r="CP161" s="163"/>
      <c r="CQ161" s="163">
        <f t="shared" si="37"/>
        <v>0</v>
      </c>
      <c r="CR161" s="163">
        <f t="shared" si="38"/>
        <v>0</v>
      </c>
      <c r="CS161" s="163">
        <f t="shared" si="39"/>
        <v>0</v>
      </c>
      <c r="CT161" s="163">
        <f t="shared" si="40"/>
        <v>0</v>
      </c>
      <c r="CU161" s="163">
        <f t="shared" si="41"/>
        <v>0</v>
      </c>
      <c r="CV161" s="163">
        <f t="shared" si="42"/>
        <v>0</v>
      </c>
      <c r="CY161" s="164" t="s">
        <v>45</v>
      </c>
      <c r="FN161" s="165">
        <f t="shared" si="8"/>
        <v>11.764705882352942</v>
      </c>
      <c r="FO161" s="166">
        <f t="shared" si="43"/>
        <v>0</v>
      </c>
      <c r="FP161" s="166">
        <f t="shared" si="44"/>
        <v>0</v>
      </c>
    </row>
    <row r="162" spans="1:172" ht="18" x14ac:dyDescent="0.25">
      <c r="A162" s="167">
        <v>17</v>
      </c>
      <c r="B162" s="168" t="s">
        <v>171</v>
      </c>
      <c r="C162" s="169" t="s">
        <v>172</v>
      </c>
      <c r="D162" s="185" t="s">
        <v>113</v>
      </c>
      <c r="E162" s="170" t="s">
        <v>100</v>
      </c>
      <c r="F162" s="171" t="s">
        <v>173</v>
      </c>
      <c r="G162" s="143"/>
      <c r="H162" s="172"/>
      <c r="I162" s="172"/>
      <c r="J162" s="172"/>
      <c r="K162" s="172"/>
      <c r="L162" s="172"/>
      <c r="M162" s="137">
        <f t="shared" si="9"/>
        <v>20</v>
      </c>
      <c r="N162" s="173" t="s">
        <v>8</v>
      </c>
      <c r="O162" s="146">
        <f t="shared" si="10"/>
        <v>20</v>
      </c>
      <c r="P162" s="174" t="str">
        <f t="shared" si="0"/>
        <v>mt</v>
      </c>
      <c r="Q162" s="175" t="str">
        <f t="shared" si="1"/>
        <v>/ dia</v>
      </c>
      <c r="R162" s="176">
        <v>4</v>
      </c>
      <c r="S162" s="177">
        <v>2</v>
      </c>
      <c r="T162" s="177">
        <f t="shared" si="2"/>
        <v>2</v>
      </c>
      <c r="U162" s="149">
        <f t="shared" si="3"/>
        <v>0</v>
      </c>
      <c r="V162" s="149">
        <f t="shared" si="11"/>
        <v>0</v>
      </c>
      <c r="W162" s="140" t="s">
        <v>18</v>
      </c>
      <c r="X162" s="150" t="s">
        <v>18</v>
      </c>
      <c r="Y162" s="151">
        <f t="shared" si="12"/>
        <v>0</v>
      </c>
      <c r="Z162" s="178">
        <f t="shared" si="4"/>
        <v>0.5</v>
      </c>
      <c r="AA162" s="179">
        <f t="shared" si="13"/>
        <v>0</v>
      </c>
      <c r="AB162" s="179">
        <f t="shared" si="14"/>
        <v>0</v>
      </c>
      <c r="AC162" s="180"/>
      <c r="AD162" s="155">
        <f t="shared" si="5"/>
        <v>0</v>
      </c>
      <c r="AE162" s="156">
        <f t="shared" si="15"/>
        <v>0</v>
      </c>
      <c r="AF162" s="157">
        <f t="shared" si="6"/>
        <v>0</v>
      </c>
      <c r="AG162" s="158" t="str">
        <f t="shared" si="7"/>
        <v>mt</v>
      </c>
      <c r="AH162" s="158">
        <f t="shared" si="16"/>
        <v>0</v>
      </c>
      <c r="AI162" s="159">
        <f t="shared" si="17"/>
        <v>0</v>
      </c>
      <c r="AJ162" s="160">
        <f t="shared" si="18"/>
        <v>0</v>
      </c>
      <c r="AL162" s="143"/>
      <c r="AM162" s="147" t="str">
        <f t="shared" si="19"/>
        <v>mt</v>
      </c>
      <c r="AN162" s="161"/>
      <c r="AO162" s="182"/>
      <c r="AP162" s="182"/>
      <c r="AQ162" s="183" t="s">
        <v>18</v>
      </c>
      <c r="AS162" s="143"/>
      <c r="AT162" s="147" t="str">
        <f t="shared" si="20"/>
        <v>mt</v>
      </c>
      <c r="AU162" s="161"/>
      <c r="AV162" s="182"/>
      <c r="AW162" s="182"/>
      <c r="AX162" s="183" t="s">
        <v>18</v>
      </c>
      <c r="AZ162" s="143"/>
      <c r="BA162" s="147" t="str">
        <f t="shared" si="21"/>
        <v>mt</v>
      </c>
      <c r="BB162" s="161"/>
      <c r="BC162" s="182"/>
      <c r="BD162" s="182"/>
      <c r="BE162" s="183" t="s">
        <v>18</v>
      </c>
      <c r="BG162" s="143"/>
      <c r="BH162" s="147" t="str">
        <f t="shared" si="22"/>
        <v>mt</v>
      </c>
      <c r="BI162" s="161"/>
      <c r="BJ162" s="182"/>
      <c r="BK162" s="182"/>
      <c r="BL162" s="183" t="s">
        <v>18</v>
      </c>
      <c r="BN162" s="143"/>
      <c r="BO162" s="147" t="str">
        <f t="shared" si="23"/>
        <v>mt</v>
      </c>
      <c r="BP162" s="161"/>
      <c r="BQ162" s="182"/>
      <c r="BR162" s="182"/>
      <c r="BS162" s="183" t="s">
        <v>18</v>
      </c>
      <c r="BU162" s="143"/>
      <c r="BV162" s="147" t="str">
        <f t="shared" si="24"/>
        <v>mt</v>
      </c>
      <c r="BW162" s="161"/>
      <c r="BX162" s="182"/>
      <c r="BY162" s="182"/>
      <c r="BZ162" s="183" t="s">
        <v>18</v>
      </c>
      <c r="CC162" s="163">
        <f t="shared" si="25"/>
        <v>0</v>
      </c>
      <c r="CD162" s="163">
        <f t="shared" si="26"/>
        <v>0</v>
      </c>
      <c r="CE162" s="163">
        <f t="shared" si="27"/>
        <v>0</v>
      </c>
      <c r="CF162" s="163">
        <f t="shared" si="28"/>
        <v>0</v>
      </c>
      <c r="CG162" s="163">
        <f t="shared" si="29"/>
        <v>0</v>
      </c>
      <c r="CH162" s="163">
        <f t="shared" si="30"/>
        <v>0</v>
      </c>
      <c r="CJ162" s="163">
        <f t="shared" si="31"/>
        <v>0</v>
      </c>
      <c r="CK162" s="163">
        <f t="shared" si="32"/>
        <v>0</v>
      </c>
      <c r="CL162" s="163">
        <f t="shared" si="33"/>
        <v>0</v>
      </c>
      <c r="CM162" s="163">
        <f t="shared" si="34"/>
        <v>0</v>
      </c>
      <c r="CN162" s="163">
        <f t="shared" si="35"/>
        <v>0</v>
      </c>
      <c r="CO162" s="163">
        <f t="shared" si="36"/>
        <v>0</v>
      </c>
      <c r="CP162" s="163"/>
      <c r="CQ162" s="163">
        <f t="shared" si="37"/>
        <v>0</v>
      </c>
      <c r="CR162" s="163">
        <f t="shared" si="38"/>
        <v>0</v>
      </c>
      <c r="CS162" s="163">
        <f t="shared" si="39"/>
        <v>0</v>
      </c>
      <c r="CT162" s="163">
        <f t="shared" si="40"/>
        <v>0</v>
      </c>
      <c r="CU162" s="163">
        <f t="shared" si="41"/>
        <v>0</v>
      </c>
      <c r="CV162" s="163">
        <f t="shared" si="42"/>
        <v>0</v>
      </c>
      <c r="CY162" s="164" t="s">
        <v>45</v>
      </c>
      <c r="FN162" s="165">
        <f t="shared" si="8"/>
        <v>20</v>
      </c>
      <c r="FO162" s="166">
        <f t="shared" si="43"/>
        <v>0</v>
      </c>
      <c r="FP162" s="166">
        <f t="shared" si="44"/>
        <v>0</v>
      </c>
    </row>
    <row r="163" spans="1:172" ht="18" x14ac:dyDescent="0.25">
      <c r="A163" s="137">
        <v>145.98857142857142</v>
      </c>
      <c r="B163" s="138" t="s">
        <v>171</v>
      </c>
      <c r="C163" s="139"/>
      <c r="D163" s="140" t="s">
        <v>174</v>
      </c>
      <c r="E163" s="141" t="s">
        <v>175</v>
      </c>
      <c r="F163" s="142" t="s">
        <v>176</v>
      </c>
      <c r="G163" s="143"/>
      <c r="H163" s="144"/>
      <c r="I163" s="144"/>
      <c r="J163" s="144"/>
      <c r="K163" s="144"/>
      <c r="L163" s="144"/>
      <c r="M163" s="137">
        <f t="shared" si="9"/>
        <v>171.75126050420167</v>
      </c>
      <c r="N163" s="145" t="s">
        <v>3</v>
      </c>
      <c r="O163" s="184">
        <f t="shared" si="10"/>
        <v>171.75126050420167</v>
      </c>
      <c r="P163" s="147" t="str">
        <f t="shared" si="0"/>
        <v>kg</v>
      </c>
      <c r="Q163" s="147" t="str">
        <f t="shared" si="1"/>
        <v>/ dia</v>
      </c>
      <c r="R163" s="148">
        <v>2</v>
      </c>
      <c r="S163" s="149">
        <v>1</v>
      </c>
      <c r="T163" s="149">
        <f t="shared" si="2"/>
        <v>1</v>
      </c>
      <c r="U163" s="149">
        <f t="shared" si="3"/>
        <v>0</v>
      </c>
      <c r="V163" s="149">
        <f t="shared" si="11"/>
        <v>0</v>
      </c>
      <c r="W163" s="140" t="s">
        <v>18</v>
      </c>
      <c r="X163" s="150" t="s">
        <v>18</v>
      </c>
      <c r="Y163" s="151">
        <f t="shared" si="12"/>
        <v>0</v>
      </c>
      <c r="Z163" s="152">
        <f t="shared" si="4"/>
        <v>0.5</v>
      </c>
      <c r="AA163" s="153">
        <f t="shared" si="13"/>
        <v>0</v>
      </c>
      <c r="AB163" s="153">
        <f t="shared" si="14"/>
        <v>0</v>
      </c>
      <c r="AC163" s="154"/>
      <c r="AD163" s="155">
        <f t="shared" si="5"/>
        <v>0</v>
      </c>
      <c r="AE163" s="156">
        <f t="shared" si="15"/>
        <v>0</v>
      </c>
      <c r="AF163" s="157">
        <f t="shared" si="6"/>
        <v>0</v>
      </c>
      <c r="AG163" s="158" t="str">
        <f t="shared" si="7"/>
        <v>kg</v>
      </c>
      <c r="AH163" s="158">
        <f t="shared" si="16"/>
        <v>0</v>
      </c>
      <c r="AI163" s="159">
        <f t="shared" si="17"/>
        <v>0</v>
      </c>
      <c r="AJ163" s="160">
        <f t="shared" si="18"/>
        <v>0</v>
      </c>
      <c r="AL163" s="143"/>
      <c r="AM163" s="147" t="str">
        <f t="shared" si="19"/>
        <v>kg</v>
      </c>
      <c r="AN163" s="161"/>
      <c r="AO163" s="162"/>
      <c r="AP163" s="162"/>
      <c r="AQ163" s="140" t="s">
        <v>18</v>
      </c>
      <c r="AS163" s="143"/>
      <c r="AT163" s="147" t="str">
        <f t="shared" si="20"/>
        <v>kg</v>
      </c>
      <c r="AU163" s="161"/>
      <c r="AV163" s="162"/>
      <c r="AW163" s="162"/>
      <c r="AX163" s="140" t="s">
        <v>18</v>
      </c>
      <c r="AZ163" s="143"/>
      <c r="BA163" s="147" t="str">
        <f t="shared" si="21"/>
        <v>kg</v>
      </c>
      <c r="BB163" s="161"/>
      <c r="BC163" s="162"/>
      <c r="BD163" s="162"/>
      <c r="BE163" s="140" t="s">
        <v>18</v>
      </c>
      <c r="BG163" s="143"/>
      <c r="BH163" s="147" t="str">
        <f t="shared" si="22"/>
        <v>kg</v>
      </c>
      <c r="BI163" s="161"/>
      <c r="BJ163" s="162"/>
      <c r="BK163" s="162"/>
      <c r="BL163" s="140" t="s">
        <v>18</v>
      </c>
      <c r="BN163" s="143"/>
      <c r="BO163" s="147" t="str">
        <f t="shared" si="23"/>
        <v>kg</v>
      </c>
      <c r="BP163" s="161"/>
      <c r="BQ163" s="162"/>
      <c r="BR163" s="162"/>
      <c r="BS163" s="140" t="s">
        <v>18</v>
      </c>
      <c r="BU163" s="143"/>
      <c r="BV163" s="147" t="str">
        <f t="shared" si="24"/>
        <v>kg</v>
      </c>
      <c r="BW163" s="161"/>
      <c r="BX163" s="162"/>
      <c r="BY163" s="162"/>
      <c r="BZ163" s="140" t="s">
        <v>18</v>
      </c>
      <c r="CC163" s="163">
        <f t="shared" si="25"/>
        <v>0</v>
      </c>
      <c r="CD163" s="163">
        <f t="shared" si="26"/>
        <v>0</v>
      </c>
      <c r="CE163" s="163">
        <f t="shared" si="27"/>
        <v>0</v>
      </c>
      <c r="CF163" s="163">
        <f t="shared" si="28"/>
        <v>0</v>
      </c>
      <c r="CG163" s="163">
        <f t="shared" si="29"/>
        <v>0</v>
      </c>
      <c r="CH163" s="163">
        <f t="shared" si="30"/>
        <v>0</v>
      </c>
      <c r="CJ163" s="163">
        <f t="shared" si="31"/>
        <v>0</v>
      </c>
      <c r="CK163" s="163">
        <f t="shared" si="32"/>
        <v>0</v>
      </c>
      <c r="CL163" s="163">
        <f t="shared" si="33"/>
        <v>0</v>
      </c>
      <c r="CM163" s="163">
        <f t="shared" si="34"/>
        <v>0</v>
      </c>
      <c r="CN163" s="163">
        <f t="shared" si="35"/>
        <v>0</v>
      </c>
      <c r="CO163" s="163">
        <f t="shared" si="36"/>
        <v>0</v>
      </c>
      <c r="CP163" s="163"/>
      <c r="CQ163" s="163">
        <f t="shared" si="37"/>
        <v>0</v>
      </c>
      <c r="CR163" s="163">
        <f t="shared" si="38"/>
        <v>0</v>
      </c>
      <c r="CS163" s="163">
        <f t="shared" si="39"/>
        <v>0</v>
      </c>
      <c r="CT163" s="163">
        <f t="shared" si="40"/>
        <v>0</v>
      </c>
      <c r="CU163" s="163">
        <f t="shared" si="41"/>
        <v>0</v>
      </c>
      <c r="CV163" s="163">
        <f t="shared" si="42"/>
        <v>0</v>
      </c>
      <c r="CY163" s="164" t="s">
        <v>45</v>
      </c>
      <c r="FN163" s="165">
        <f t="shared" si="8"/>
        <v>171.75126050420167</v>
      </c>
      <c r="FO163" s="166">
        <f t="shared" si="43"/>
        <v>0</v>
      </c>
      <c r="FP163" s="166">
        <f t="shared" si="44"/>
        <v>0</v>
      </c>
    </row>
    <row r="164" spans="1:172" ht="18" x14ac:dyDescent="0.25">
      <c r="A164" s="167">
        <v>76.5</v>
      </c>
      <c r="B164" s="168" t="s">
        <v>171</v>
      </c>
      <c r="C164" s="169"/>
      <c r="D164" s="140" t="s">
        <v>99</v>
      </c>
      <c r="E164" s="170" t="s">
        <v>100</v>
      </c>
      <c r="F164" s="171" t="s">
        <v>177</v>
      </c>
      <c r="G164" s="143"/>
      <c r="H164" s="172"/>
      <c r="I164" s="172"/>
      <c r="J164" s="172"/>
      <c r="K164" s="172"/>
      <c r="L164" s="172"/>
      <c r="M164" s="137">
        <f t="shared" si="9"/>
        <v>90</v>
      </c>
      <c r="N164" s="173" t="s">
        <v>8</v>
      </c>
      <c r="O164" s="146">
        <f t="shared" si="10"/>
        <v>90</v>
      </c>
      <c r="P164" s="174" t="str">
        <f t="shared" si="0"/>
        <v>mt</v>
      </c>
      <c r="Q164" s="175" t="str">
        <f t="shared" si="1"/>
        <v>/ dia</v>
      </c>
      <c r="R164" s="176">
        <v>2</v>
      </c>
      <c r="S164" s="177">
        <v>1</v>
      </c>
      <c r="T164" s="177">
        <f t="shared" si="2"/>
        <v>1</v>
      </c>
      <c r="U164" s="149">
        <f t="shared" si="3"/>
        <v>0</v>
      </c>
      <c r="V164" s="149">
        <f t="shared" si="11"/>
        <v>0</v>
      </c>
      <c r="W164" s="140" t="s">
        <v>18</v>
      </c>
      <c r="X164" s="150" t="s">
        <v>18</v>
      </c>
      <c r="Y164" s="151">
        <f t="shared" si="12"/>
        <v>0</v>
      </c>
      <c r="Z164" s="178">
        <f t="shared" si="4"/>
        <v>0.5</v>
      </c>
      <c r="AA164" s="179">
        <f t="shared" si="13"/>
        <v>0</v>
      </c>
      <c r="AB164" s="179">
        <f t="shared" si="14"/>
        <v>0</v>
      </c>
      <c r="AC164" s="180"/>
      <c r="AD164" s="155">
        <f t="shared" si="5"/>
        <v>0</v>
      </c>
      <c r="AE164" s="156">
        <f t="shared" si="15"/>
        <v>0</v>
      </c>
      <c r="AF164" s="157">
        <f t="shared" si="6"/>
        <v>0</v>
      </c>
      <c r="AG164" s="158" t="str">
        <f t="shared" si="7"/>
        <v>mt</v>
      </c>
      <c r="AH164" s="158">
        <f t="shared" si="16"/>
        <v>0</v>
      </c>
      <c r="AI164" s="159">
        <f t="shared" si="17"/>
        <v>0</v>
      </c>
      <c r="AJ164" s="160">
        <f t="shared" si="18"/>
        <v>0</v>
      </c>
      <c r="AL164" s="143"/>
      <c r="AM164" s="147" t="str">
        <f t="shared" si="19"/>
        <v>mt</v>
      </c>
      <c r="AN164" s="161"/>
      <c r="AO164" s="182"/>
      <c r="AP164" s="182"/>
      <c r="AQ164" s="183" t="s">
        <v>18</v>
      </c>
      <c r="AS164" s="143"/>
      <c r="AT164" s="147" t="str">
        <f t="shared" si="20"/>
        <v>mt</v>
      </c>
      <c r="AU164" s="161"/>
      <c r="AV164" s="182"/>
      <c r="AW164" s="182"/>
      <c r="AX164" s="183" t="s">
        <v>18</v>
      </c>
      <c r="AZ164" s="143"/>
      <c r="BA164" s="147" t="str">
        <f t="shared" si="21"/>
        <v>mt</v>
      </c>
      <c r="BB164" s="161"/>
      <c r="BC164" s="182"/>
      <c r="BD164" s="182"/>
      <c r="BE164" s="183" t="s">
        <v>18</v>
      </c>
      <c r="BG164" s="143"/>
      <c r="BH164" s="147" t="str">
        <f t="shared" si="22"/>
        <v>mt</v>
      </c>
      <c r="BI164" s="161"/>
      <c r="BJ164" s="182"/>
      <c r="BK164" s="182"/>
      <c r="BL164" s="183" t="s">
        <v>18</v>
      </c>
      <c r="BN164" s="143"/>
      <c r="BO164" s="147" t="str">
        <f t="shared" si="23"/>
        <v>mt</v>
      </c>
      <c r="BP164" s="161"/>
      <c r="BQ164" s="182"/>
      <c r="BR164" s="182"/>
      <c r="BS164" s="183" t="s">
        <v>18</v>
      </c>
      <c r="BU164" s="143"/>
      <c r="BV164" s="147" t="str">
        <f t="shared" si="24"/>
        <v>mt</v>
      </c>
      <c r="BW164" s="161"/>
      <c r="BX164" s="182"/>
      <c r="BY164" s="182"/>
      <c r="BZ164" s="183" t="s">
        <v>18</v>
      </c>
      <c r="CC164" s="163">
        <f t="shared" si="25"/>
        <v>0</v>
      </c>
      <c r="CD164" s="163">
        <f t="shared" si="26"/>
        <v>0</v>
      </c>
      <c r="CE164" s="163">
        <f t="shared" si="27"/>
        <v>0</v>
      </c>
      <c r="CF164" s="163">
        <f t="shared" si="28"/>
        <v>0</v>
      </c>
      <c r="CG164" s="163">
        <f t="shared" si="29"/>
        <v>0</v>
      </c>
      <c r="CH164" s="163">
        <f t="shared" si="30"/>
        <v>0</v>
      </c>
      <c r="CJ164" s="163">
        <f t="shared" si="31"/>
        <v>0</v>
      </c>
      <c r="CK164" s="163">
        <f t="shared" si="32"/>
        <v>0</v>
      </c>
      <c r="CL164" s="163">
        <f t="shared" si="33"/>
        <v>0</v>
      </c>
      <c r="CM164" s="163">
        <f t="shared" si="34"/>
        <v>0</v>
      </c>
      <c r="CN164" s="163">
        <f t="shared" si="35"/>
        <v>0</v>
      </c>
      <c r="CO164" s="163">
        <f t="shared" si="36"/>
        <v>0</v>
      </c>
      <c r="CP164" s="163"/>
      <c r="CQ164" s="163">
        <f t="shared" si="37"/>
        <v>0</v>
      </c>
      <c r="CR164" s="163">
        <f t="shared" si="38"/>
        <v>0</v>
      </c>
      <c r="CS164" s="163">
        <f t="shared" si="39"/>
        <v>0</v>
      </c>
      <c r="CT164" s="163">
        <f t="shared" si="40"/>
        <v>0</v>
      </c>
      <c r="CU164" s="163">
        <f t="shared" si="41"/>
        <v>0</v>
      </c>
      <c r="CV164" s="163">
        <f t="shared" si="42"/>
        <v>0</v>
      </c>
      <c r="CY164" s="164" t="s">
        <v>45</v>
      </c>
      <c r="FN164" s="165">
        <f t="shared" si="8"/>
        <v>90</v>
      </c>
      <c r="FO164" s="166">
        <f t="shared" si="43"/>
        <v>0</v>
      </c>
      <c r="FP164" s="166">
        <f t="shared" si="44"/>
        <v>0</v>
      </c>
    </row>
    <row r="165" spans="1:172" ht="18" x14ac:dyDescent="0.25">
      <c r="A165" s="137">
        <v>59.625</v>
      </c>
      <c r="B165" s="138" t="s">
        <v>171</v>
      </c>
      <c r="C165" s="139"/>
      <c r="D165" s="140" t="s">
        <v>99</v>
      </c>
      <c r="E165" s="141" t="s">
        <v>100</v>
      </c>
      <c r="F165" s="142" t="s">
        <v>178</v>
      </c>
      <c r="G165" s="143"/>
      <c r="H165" s="144"/>
      <c r="I165" s="144"/>
      <c r="J165" s="144"/>
      <c r="K165" s="144"/>
      <c r="L165" s="144"/>
      <c r="M165" s="137">
        <f t="shared" si="9"/>
        <v>70.14705882352942</v>
      </c>
      <c r="N165" s="145" t="s">
        <v>8</v>
      </c>
      <c r="O165" s="184">
        <f t="shared" si="10"/>
        <v>70.14705882352942</v>
      </c>
      <c r="P165" s="147" t="str">
        <f t="shared" si="0"/>
        <v>mt</v>
      </c>
      <c r="Q165" s="147" t="str">
        <f t="shared" si="1"/>
        <v>/ dia</v>
      </c>
      <c r="R165" s="148">
        <v>2</v>
      </c>
      <c r="S165" s="149">
        <v>1</v>
      </c>
      <c r="T165" s="149">
        <f t="shared" si="2"/>
        <v>1</v>
      </c>
      <c r="U165" s="149">
        <f t="shared" si="3"/>
        <v>0</v>
      </c>
      <c r="V165" s="149">
        <f t="shared" si="11"/>
        <v>0</v>
      </c>
      <c r="W165" s="140" t="s">
        <v>18</v>
      </c>
      <c r="X165" s="150" t="s">
        <v>18</v>
      </c>
      <c r="Y165" s="151">
        <f t="shared" si="12"/>
        <v>0</v>
      </c>
      <c r="Z165" s="152">
        <f t="shared" si="4"/>
        <v>0.5</v>
      </c>
      <c r="AA165" s="153">
        <f t="shared" si="13"/>
        <v>0</v>
      </c>
      <c r="AB165" s="153">
        <f t="shared" si="14"/>
        <v>0</v>
      </c>
      <c r="AC165" s="154"/>
      <c r="AD165" s="155">
        <f t="shared" si="5"/>
        <v>0</v>
      </c>
      <c r="AE165" s="156">
        <f t="shared" si="15"/>
        <v>0</v>
      </c>
      <c r="AF165" s="157">
        <f t="shared" si="6"/>
        <v>0</v>
      </c>
      <c r="AG165" s="158" t="str">
        <f t="shared" si="7"/>
        <v>mt</v>
      </c>
      <c r="AH165" s="158">
        <f t="shared" si="16"/>
        <v>0</v>
      </c>
      <c r="AI165" s="159">
        <f t="shared" si="17"/>
        <v>0</v>
      </c>
      <c r="AJ165" s="160">
        <f t="shared" si="18"/>
        <v>0</v>
      </c>
      <c r="AL165" s="143"/>
      <c r="AM165" s="147" t="str">
        <f t="shared" si="19"/>
        <v>mt</v>
      </c>
      <c r="AN165" s="161"/>
      <c r="AO165" s="162"/>
      <c r="AP165" s="162"/>
      <c r="AQ165" s="140" t="s">
        <v>18</v>
      </c>
      <c r="AS165" s="143"/>
      <c r="AT165" s="147" t="str">
        <f t="shared" si="20"/>
        <v>mt</v>
      </c>
      <c r="AU165" s="161"/>
      <c r="AV165" s="162"/>
      <c r="AW165" s="162"/>
      <c r="AX165" s="140" t="s">
        <v>18</v>
      </c>
      <c r="AZ165" s="143"/>
      <c r="BA165" s="147" t="str">
        <f t="shared" si="21"/>
        <v>mt</v>
      </c>
      <c r="BB165" s="161"/>
      <c r="BC165" s="162"/>
      <c r="BD165" s="162"/>
      <c r="BE165" s="140" t="s">
        <v>18</v>
      </c>
      <c r="BG165" s="143"/>
      <c r="BH165" s="147" t="str">
        <f t="shared" si="22"/>
        <v>mt</v>
      </c>
      <c r="BI165" s="161"/>
      <c r="BJ165" s="162"/>
      <c r="BK165" s="162"/>
      <c r="BL165" s="140" t="s">
        <v>18</v>
      </c>
      <c r="BN165" s="143"/>
      <c r="BO165" s="147" t="str">
        <f t="shared" si="23"/>
        <v>mt</v>
      </c>
      <c r="BP165" s="161"/>
      <c r="BQ165" s="162"/>
      <c r="BR165" s="162"/>
      <c r="BS165" s="140" t="s">
        <v>18</v>
      </c>
      <c r="BU165" s="143"/>
      <c r="BV165" s="147" t="str">
        <f t="shared" si="24"/>
        <v>mt</v>
      </c>
      <c r="BW165" s="161"/>
      <c r="BX165" s="162"/>
      <c r="BY165" s="162"/>
      <c r="BZ165" s="140" t="s">
        <v>18</v>
      </c>
      <c r="CC165" s="163">
        <f t="shared" si="25"/>
        <v>0</v>
      </c>
      <c r="CD165" s="163">
        <f t="shared" si="26"/>
        <v>0</v>
      </c>
      <c r="CE165" s="163">
        <f t="shared" si="27"/>
        <v>0</v>
      </c>
      <c r="CF165" s="163">
        <f t="shared" si="28"/>
        <v>0</v>
      </c>
      <c r="CG165" s="163">
        <f t="shared" si="29"/>
        <v>0</v>
      </c>
      <c r="CH165" s="163">
        <f t="shared" si="30"/>
        <v>0</v>
      </c>
      <c r="CJ165" s="163">
        <f t="shared" si="31"/>
        <v>0</v>
      </c>
      <c r="CK165" s="163">
        <f t="shared" si="32"/>
        <v>0</v>
      </c>
      <c r="CL165" s="163">
        <f t="shared" si="33"/>
        <v>0</v>
      </c>
      <c r="CM165" s="163">
        <f t="shared" si="34"/>
        <v>0</v>
      </c>
      <c r="CN165" s="163">
        <f t="shared" si="35"/>
        <v>0</v>
      </c>
      <c r="CO165" s="163">
        <f t="shared" si="36"/>
        <v>0</v>
      </c>
      <c r="CP165" s="163"/>
      <c r="CQ165" s="163">
        <f t="shared" si="37"/>
        <v>0</v>
      </c>
      <c r="CR165" s="163">
        <f t="shared" si="38"/>
        <v>0</v>
      </c>
      <c r="CS165" s="163">
        <f t="shared" si="39"/>
        <v>0</v>
      </c>
      <c r="CT165" s="163">
        <f t="shared" si="40"/>
        <v>0</v>
      </c>
      <c r="CU165" s="163">
        <f t="shared" si="41"/>
        <v>0</v>
      </c>
      <c r="CV165" s="163">
        <f t="shared" si="42"/>
        <v>0</v>
      </c>
      <c r="CY165" s="164" t="s">
        <v>45</v>
      </c>
      <c r="FN165" s="165">
        <f t="shared" si="8"/>
        <v>70.14705882352942</v>
      </c>
      <c r="FO165" s="166">
        <f t="shared" si="43"/>
        <v>0</v>
      </c>
      <c r="FP165" s="166">
        <f t="shared" si="44"/>
        <v>0</v>
      </c>
    </row>
    <row r="166" spans="1:172" ht="18" x14ac:dyDescent="0.25">
      <c r="A166" s="167">
        <v>47.333333333333336</v>
      </c>
      <c r="B166" s="168" t="s">
        <v>171</v>
      </c>
      <c r="C166" s="169"/>
      <c r="D166" s="140" t="s">
        <v>99</v>
      </c>
      <c r="E166" s="170" t="s">
        <v>100</v>
      </c>
      <c r="F166" s="171" t="s">
        <v>179</v>
      </c>
      <c r="G166" s="143"/>
      <c r="H166" s="172"/>
      <c r="I166" s="172"/>
      <c r="J166" s="172"/>
      <c r="K166" s="172"/>
      <c r="L166" s="172"/>
      <c r="M166" s="137">
        <f t="shared" si="9"/>
        <v>55.686274509803923</v>
      </c>
      <c r="N166" s="173" t="s">
        <v>8</v>
      </c>
      <c r="O166" s="146">
        <f t="shared" si="10"/>
        <v>55.686274509803923</v>
      </c>
      <c r="P166" s="174" t="str">
        <f t="shared" si="0"/>
        <v>mt</v>
      </c>
      <c r="Q166" s="175" t="str">
        <f t="shared" si="1"/>
        <v>/ dia</v>
      </c>
      <c r="R166" s="176">
        <v>2</v>
      </c>
      <c r="S166" s="177">
        <v>1</v>
      </c>
      <c r="T166" s="177">
        <f t="shared" si="2"/>
        <v>1</v>
      </c>
      <c r="U166" s="149">
        <f t="shared" si="3"/>
        <v>0</v>
      </c>
      <c r="V166" s="149">
        <f t="shared" si="11"/>
        <v>0</v>
      </c>
      <c r="W166" s="140" t="s">
        <v>18</v>
      </c>
      <c r="X166" s="150" t="s">
        <v>18</v>
      </c>
      <c r="Y166" s="151">
        <f t="shared" si="12"/>
        <v>0</v>
      </c>
      <c r="Z166" s="178">
        <f t="shared" si="4"/>
        <v>0.5</v>
      </c>
      <c r="AA166" s="179">
        <f t="shared" si="13"/>
        <v>0</v>
      </c>
      <c r="AB166" s="179">
        <f t="shared" si="14"/>
        <v>0</v>
      </c>
      <c r="AC166" s="180"/>
      <c r="AD166" s="155">
        <f t="shared" si="5"/>
        <v>0</v>
      </c>
      <c r="AE166" s="156">
        <f t="shared" si="15"/>
        <v>0</v>
      </c>
      <c r="AF166" s="157">
        <f t="shared" si="6"/>
        <v>0</v>
      </c>
      <c r="AG166" s="158" t="str">
        <f t="shared" si="7"/>
        <v>mt</v>
      </c>
      <c r="AH166" s="158">
        <f t="shared" si="16"/>
        <v>0</v>
      </c>
      <c r="AI166" s="159">
        <f t="shared" si="17"/>
        <v>0</v>
      </c>
      <c r="AJ166" s="160">
        <f t="shared" si="18"/>
        <v>0</v>
      </c>
      <c r="AL166" s="143"/>
      <c r="AM166" s="147" t="str">
        <f t="shared" si="19"/>
        <v>mt</v>
      </c>
      <c r="AN166" s="161"/>
      <c r="AO166" s="182"/>
      <c r="AP166" s="182"/>
      <c r="AQ166" s="183" t="s">
        <v>18</v>
      </c>
      <c r="AS166" s="143"/>
      <c r="AT166" s="147" t="str">
        <f t="shared" si="20"/>
        <v>mt</v>
      </c>
      <c r="AU166" s="161"/>
      <c r="AV166" s="182"/>
      <c r="AW166" s="182"/>
      <c r="AX166" s="183" t="s">
        <v>18</v>
      </c>
      <c r="AZ166" s="143"/>
      <c r="BA166" s="147" t="str">
        <f t="shared" si="21"/>
        <v>mt</v>
      </c>
      <c r="BB166" s="161"/>
      <c r="BC166" s="182"/>
      <c r="BD166" s="182"/>
      <c r="BE166" s="183" t="s">
        <v>18</v>
      </c>
      <c r="BG166" s="143"/>
      <c r="BH166" s="147" t="str">
        <f t="shared" si="22"/>
        <v>mt</v>
      </c>
      <c r="BI166" s="161"/>
      <c r="BJ166" s="182"/>
      <c r="BK166" s="182"/>
      <c r="BL166" s="183" t="s">
        <v>18</v>
      </c>
      <c r="BN166" s="143"/>
      <c r="BO166" s="147" t="str">
        <f t="shared" si="23"/>
        <v>mt</v>
      </c>
      <c r="BP166" s="161"/>
      <c r="BQ166" s="182"/>
      <c r="BR166" s="182"/>
      <c r="BS166" s="183" t="s">
        <v>18</v>
      </c>
      <c r="BU166" s="143"/>
      <c r="BV166" s="147" t="str">
        <f t="shared" si="24"/>
        <v>mt</v>
      </c>
      <c r="BW166" s="161"/>
      <c r="BX166" s="182"/>
      <c r="BY166" s="182"/>
      <c r="BZ166" s="183" t="s">
        <v>18</v>
      </c>
      <c r="CC166" s="163">
        <f t="shared" si="25"/>
        <v>0</v>
      </c>
      <c r="CD166" s="163">
        <f t="shared" si="26"/>
        <v>0</v>
      </c>
      <c r="CE166" s="163">
        <f t="shared" si="27"/>
        <v>0</v>
      </c>
      <c r="CF166" s="163">
        <f t="shared" si="28"/>
        <v>0</v>
      </c>
      <c r="CG166" s="163">
        <f t="shared" si="29"/>
        <v>0</v>
      </c>
      <c r="CH166" s="163">
        <f t="shared" si="30"/>
        <v>0</v>
      </c>
      <c r="CJ166" s="163">
        <f t="shared" si="31"/>
        <v>0</v>
      </c>
      <c r="CK166" s="163">
        <f t="shared" si="32"/>
        <v>0</v>
      </c>
      <c r="CL166" s="163">
        <f t="shared" si="33"/>
        <v>0</v>
      </c>
      <c r="CM166" s="163">
        <f t="shared" si="34"/>
        <v>0</v>
      </c>
      <c r="CN166" s="163">
        <f t="shared" si="35"/>
        <v>0</v>
      </c>
      <c r="CO166" s="163">
        <f t="shared" si="36"/>
        <v>0</v>
      </c>
      <c r="CP166" s="163"/>
      <c r="CQ166" s="163">
        <f t="shared" si="37"/>
        <v>0</v>
      </c>
      <c r="CR166" s="163">
        <f t="shared" si="38"/>
        <v>0</v>
      </c>
      <c r="CS166" s="163">
        <f t="shared" si="39"/>
        <v>0</v>
      </c>
      <c r="CT166" s="163">
        <f t="shared" si="40"/>
        <v>0</v>
      </c>
      <c r="CU166" s="163">
        <f t="shared" si="41"/>
        <v>0</v>
      </c>
      <c r="CV166" s="163">
        <f t="shared" si="42"/>
        <v>0</v>
      </c>
      <c r="CY166" s="164" t="s">
        <v>45</v>
      </c>
      <c r="FN166" s="165">
        <f t="shared" si="8"/>
        <v>55.686274509803923</v>
      </c>
      <c r="FO166" s="166">
        <f t="shared" si="43"/>
        <v>0</v>
      </c>
      <c r="FP166" s="166">
        <f t="shared" si="44"/>
        <v>0</v>
      </c>
    </row>
    <row r="167" spans="1:172" ht="18" x14ac:dyDescent="0.25">
      <c r="A167" s="137">
        <v>36</v>
      </c>
      <c r="B167" s="138" t="s">
        <v>171</v>
      </c>
      <c r="C167" s="139"/>
      <c r="D167" s="140" t="s">
        <v>99</v>
      </c>
      <c r="E167" s="141" t="s">
        <v>100</v>
      </c>
      <c r="F167" s="142" t="s">
        <v>180</v>
      </c>
      <c r="G167" s="143"/>
      <c r="H167" s="144"/>
      <c r="I167" s="144"/>
      <c r="J167" s="144"/>
      <c r="K167" s="144"/>
      <c r="L167" s="144"/>
      <c r="M167" s="137">
        <f t="shared" si="9"/>
        <v>42.352941176470587</v>
      </c>
      <c r="N167" s="145" t="s">
        <v>8</v>
      </c>
      <c r="O167" s="184">
        <f t="shared" si="10"/>
        <v>42.352941176470587</v>
      </c>
      <c r="P167" s="147" t="str">
        <f t="shared" si="0"/>
        <v>mt</v>
      </c>
      <c r="Q167" s="147" t="str">
        <f t="shared" si="1"/>
        <v>/ dia</v>
      </c>
      <c r="R167" s="148">
        <v>2</v>
      </c>
      <c r="S167" s="149">
        <v>1</v>
      </c>
      <c r="T167" s="149">
        <f t="shared" si="2"/>
        <v>1</v>
      </c>
      <c r="U167" s="149">
        <f t="shared" si="3"/>
        <v>0</v>
      </c>
      <c r="V167" s="149">
        <f t="shared" si="11"/>
        <v>0</v>
      </c>
      <c r="W167" s="140" t="s">
        <v>18</v>
      </c>
      <c r="X167" s="150" t="s">
        <v>18</v>
      </c>
      <c r="Y167" s="151">
        <f t="shared" si="12"/>
        <v>0</v>
      </c>
      <c r="Z167" s="152">
        <f t="shared" si="4"/>
        <v>0.5</v>
      </c>
      <c r="AA167" s="153">
        <f t="shared" si="13"/>
        <v>0</v>
      </c>
      <c r="AB167" s="153">
        <f t="shared" si="14"/>
        <v>0</v>
      </c>
      <c r="AC167" s="154"/>
      <c r="AD167" s="155">
        <f t="shared" si="5"/>
        <v>0</v>
      </c>
      <c r="AE167" s="156">
        <f t="shared" si="15"/>
        <v>0</v>
      </c>
      <c r="AF167" s="157">
        <f t="shared" si="6"/>
        <v>0</v>
      </c>
      <c r="AG167" s="158" t="str">
        <f t="shared" si="7"/>
        <v>mt</v>
      </c>
      <c r="AH167" s="158">
        <f t="shared" si="16"/>
        <v>0</v>
      </c>
      <c r="AI167" s="159">
        <f t="shared" si="17"/>
        <v>0</v>
      </c>
      <c r="AJ167" s="160">
        <f t="shared" si="18"/>
        <v>0</v>
      </c>
      <c r="AL167" s="143"/>
      <c r="AM167" s="147" t="str">
        <f t="shared" si="19"/>
        <v>mt</v>
      </c>
      <c r="AN167" s="161"/>
      <c r="AO167" s="162"/>
      <c r="AP167" s="162"/>
      <c r="AQ167" s="140" t="s">
        <v>18</v>
      </c>
      <c r="AS167" s="143"/>
      <c r="AT167" s="147" t="str">
        <f t="shared" si="20"/>
        <v>mt</v>
      </c>
      <c r="AU167" s="161"/>
      <c r="AV167" s="162"/>
      <c r="AW167" s="162"/>
      <c r="AX167" s="140" t="s">
        <v>18</v>
      </c>
      <c r="AZ167" s="143"/>
      <c r="BA167" s="147" t="str">
        <f t="shared" si="21"/>
        <v>mt</v>
      </c>
      <c r="BB167" s="161"/>
      <c r="BC167" s="162"/>
      <c r="BD167" s="162"/>
      <c r="BE167" s="140" t="s">
        <v>18</v>
      </c>
      <c r="BG167" s="143"/>
      <c r="BH167" s="147" t="str">
        <f t="shared" si="22"/>
        <v>mt</v>
      </c>
      <c r="BI167" s="161"/>
      <c r="BJ167" s="162"/>
      <c r="BK167" s="162"/>
      <c r="BL167" s="140" t="s">
        <v>18</v>
      </c>
      <c r="BN167" s="143"/>
      <c r="BO167" s="147" t="str">
        <f t="shared" si="23"/>
        <v>mt</v>
      </c>
      <c r="BP167" s="161"/>
      <c r="BQ167" s="162"/>
      <c r="BR167" s="162"/>
      <c r="BS167" s="140" t="s">
        <v>18</v>
      </c>
      <c r="BU167" s="143"/>
      <c r="BV167" s="147" t="str">
        <f t="shared" si="24"/>
        <v>mt</v>
      </c>
      <c r="BW167" s="161"/>
      <c r="BX167" s="162"/>
      <c r="BY167" s="162"/>
      <c r="BZ167" s="140" t="s">
        <v>18</v>
      </c>
      <c r="CC167" s="163">
        <f t="shared" si="25"/>
        <v>0</v>
      </c>
      <c r="CD167" s="163">
        <f t="shared" si="26"/>
        <v>0</v>
      </c>
      <c r="CE167" s="163">
        <f t="shared" si="27"/>
        <v>0</v>
      </c>
      <c r="CF167" s="163">
        <f t="shared" si="28"/>
        <v>0</v>
      </c>
      <c r="CG167" s="163">
        <f t="shared" si="29"/>
        <v>0</v>
      </c>
      <c r="CH167" s="163">
        <f t="shared" si="30"/>
        <v>0</v>
      </c>
      <c r="CJ167" s="163">
        <f t="shared" si="31"/>
        <v>0</v>
      </c>
      <c r="CK167" s="163">
        <f t="shared" si="32"/>
        <v>0</v>
      </c>
      <c r="CL167" s="163">
        <f t="shared" si="33"/>
        <v>0</v>
      </c>
      <c r="CM167" s="163">
        <f t="shared" si="34"/>
        <v>0</v>
      </c>
      <c r="CN167" s="163">
        <f t="shared" si="35"/>
        <v>0</v>
      </c>
      <c r="CO167" s="163">
        <f t="shared" si="36"/>
        <v>0</v>
      </c>
      <c r="CP167" s="163"/>
      <c r="CQ167" s="163">
        <f t="shared" si="37"/>
        <v>0</v>
      </c>
      <c r="CR167" s="163">
        <f t="shared" si="38"/>
        <v>0</v>
      </c>
      <c r="CS167" s="163">
        <f t="shared" si="39"/>
        <v>0</v>
      </c>
      <c r="CT167" s="163">
        <f t="shared" si="40"/>
        <v>0</v>
      </c>
      <c r="CU167" s="163">
        <f t="shared" si="41"/>
        <v>0</v>
      </c>
      <c r="CV167" s="163">
        <f t="shared" si="42"/>
        <v>0</v>
      </c>
      <c r="CY167" s="164" t="s">
        <v>45</v>
      </c>
      <c r="FN167" s="165">
        <f t="shared" si="8"/>
        <v>42.352941176470587</v>
      </c>
      <c r="FO167" s="166">
        <f t="shared" si="43"/>
        <v>0</v>
      </c>
      <c r="FP167" s="166">
        <f t="shared" si="44"/>
        <v>0</v>
      </c>
    </row>
    <row r="168" spans="1:172" ht="18" x14ac:dyDescent="0.25">
      <c r="A168" s="167">
        <v>48.230769230769234</v>
      </c>
      <c r="B168" s="168" t="s">
        <v>171</v>
      </c>
      <c r="C168" s="169"/>
      <c r="D168" s="140" t="s">
        <v>99</v>
      </c>
      <c r="E168" s="170" t="s">
        <v>100</v>
      </c>
      <c r="F168" s="171" t="s">
        <v>181</v>
      </c>
      <c r="G168" s="143"/>
      <c r="H168" s="172"/>
      <c r="I168" s="172"/>
      <c r="J168" s="172"/>
      <c r="K168" s="172"/>
      <c r="L168" s="172"/>
      <c r="M168" s="137">
        <f t="shared" si="9"/>
        <v>56.742081447963805</v>
      </c>
      <c r="N168" s="173" t="s">
        <v>8</v>
      </c>
      <c r="O168" s="146">
        <f t="shared" si="10"/>
        <v>56.742081447963805</v>
      </c>
      <c r="P168" s="174" t="str">
        <f t="shared" si="0"/>
        <v>mt</v>
      </c>
      <c r="Q168" s="175" t="str">
        <f t="shared" si="1"/>
        <v>/ dia</v>
      </c>
      <c r="R168" s="176">
        <v>2</v>
      </c>
      <c r="S168" s="177">
        <v>1</v>
      </c>
      <c r="T168" s="177">
        <f t="shared" si="2"/>
        <v>1</v>
      </c>
      <c r="U168" s="149">
        <f t="shared" si="3"/>
        <v>0</v>
      </c>
      <c r="V168" s="149">
        <f t="shared" si="11"/>
        <v>0</v>
      </c>
      <c r="W168" s="140" t="s">
        <v>18</v>
      </c>
      <c r="X168" s="150" t="s">
        <v>18</v>
      </c>
      <c r="Y168" s="151">
        <f t="shared" si="12"/>
        <v>0</v>
      </c>
      <c r="Z168" s="178">
        <f t="shared" si="4"/>
        <v>0.5</v>
      </c>
      <c r="AA168" s="179">
        <f t="shared" si="13"/>
        <v>0</v>
      </c>
      <c r="AB168" s="179">
        <f t="shared" si="14"/>
        <v>0</v>
      </c>
      <c r="AC168" s="180"/>
      <c r="AD168" s="155">
        <f t="shared" si="5"/>
        <v>0</v>
      </c>
      <c r="AE168" s="156">
        <f t="shared" si="15"/>
        <v>0</v>
      </c>
      <c r="AF168" s="157">
        <f t="shared" si="6"/>
        <v>0</v>
      </c>
      <c r="AG168" s="158" t="str">
        <f t="shared" si="7"/>
        <v>mt</v>
      </c>
      <c r="AH168" s="158">
        <f t="shared" si="16"/>
        <v>0</v>
      </c>
      <c r="AI168" s="159">
        <f t="shared" si="17"/>
        <v>0</v>
      </c>
      <c r="AJ168" s="160">
        <f t="shared" si="18"/>
        <v>0</v>
      </c>
      <c r="AL168" s="143"/>
      <c r="AM168" s="147" t="str">
        <f t="shared" si="19"/>
        <v>mt</v>
      </c>
      <c r="AN168" s="161"/>
      <c r="AO168" s="182"/>
      <c r="AP168" s="182"/>
      <c r="AQ168" s="183" t="s">
        <v>18</v>
      </c>
      <c r="AS168" s="143"/>
      <c r="AT168" s="147" t="str">
        <f t="shared" si="20"/>
        <v>mt</v>
      </c>
      <c r="AU168" s="161"/>
      <c r="AV168" s="182"/>
      <c r="AW168" s="182"/>
      <c r="AX168" s="183" t="s">
        <v>18</v>
      </c>
      <c r="AZ168" s="143"/>
      <c r="BA168" s="147" t="str">
        <f t="shared" si="21"/>
        <v>mt</v>
      </c>
      <c r="BB168" s="161"/>
      <c r="BC168" s="182"/>
      <c r="BD168" s="182"/>
      <c r="BE168" s="183" t="s">
        <v>18</v>
      </c>
      <c r="BG168" s="143"/>
      <c r="BH168" s="147" t="str">
        <f t="shared" si="22"/>
        <v>mt</v>
      </c>
      <c r="BI168" s="161"/>
      <c r="BJ168" s="182"/>
      <c r="BK168" s="182"/>
      <c r="BL168" s="183" t="s">
        <v>18</v>
      </c>
      <c r="BN168" s="143"/>
      <c r="BO168" s="147" t="str">
        <f t="shared" si="23"/>
        <v>mt</v>
      </c>
      <c r="BP168" s="161"/>
      <c r="BQ168" s="182"/>
      <c r="BR168" s="182"/>
      <c r="BS168" s="183" t="s">
        <v>18</v>
      </c>
      <c r="BU168" s="143"/>
      <c r="BV168" s="147" t="str">
        <f t="shared" si="24"/>
        <v>mt</v>
      </c>
      <c r="BW168" s="161"/>
      <c r="BX168" s="182"/>
      <c r="BY168" s="182"/>
      <c r="BZ168" s="183" t="s">
        <v>18</v>
      </c>
      <c r="CC168" s="163">
        <f t="shared" si="25"/>
        <v>0</v>
      </c>
      <c r="CD168" s="163">
        <f t="shared" si="26"/>
        <v>0</v>
      </c>
      <c r="CE168" s="163">
        <f t="shared" si="27"/>
        <v>0</v>
      </c>
      <c r="CF168" s="163">
        <f t="shared" si="28"/>
        <v>0</v>
      </c>
      <c r="CG168" s="163">
        <f t="shared" si="29"/>
        <v>0</v>
      </c>
      <c r="CH168" s="163">
        <f t="shared" si="30"/>
        <v>0</v>
      </c>
      <c r="CJ168" s="163">
        <f t="shared" si="31"/>
        <v>0</v>
      </c>
      <c r="CK168" s="163">
        <f t="shared" si="32"/>
        <v>0</v>
      </c>
      <c r="CL168" s="163">
        <f t="shared" si="33"/>
        <v>0</v>
      </c>
      <c r="CM168" s="163">
        <f t="shared" si="34"/>
        <v>0</v>
      </c>
      <c r="CN168" s="163">
        <f t="shared" si="35"/>
        <v>0</v>
      </c>
      <c r="CO168" s="163">
        <f t="shared" si="36"/>
        <v>0</v>
      </c>
      <c r="CP168" s="163"/>
      <c r="CQ168" s="163">
        <f t="shared" si="37"/>
        <v>0</v>
      </c>
      <c r="CR168" s="163">
        <f t="shared" si="38"/>
        <v>0</v>
      </c>
      <c r="CS168" s="163">
        <f t="shared" si="39"/>
        <v>0</v>
      </c>
      <c r="CT168" s="163">
        <f t="shared" si="40"/>
        <v>0</v>
      </c>
      <c r="CU168" s="163">
        <f t="shared" si="41"/>
        <v>0</v>
      </c>
      <c r="CV168" s="163">
        <f t="shared" si="42"/>
        <v>0</v>
      </c>
      <c r="CY168" s="164" t="s">
        <v>45</v>
      </c>
      <c r="FN168" s="165">
        <f t="shared" si="8"/>
        <v>56.742081447963805</v>
      </c>
      <c r="FO168" s="166">
        <f t="shared" si="43"/>
        <v>0</v>
      </c>
      <c r="FP168" s="166">
        <f t="shared" si="44"/>
        <v>0</v>
      </c>
    </row>
    <row r="169" spans="1:172" ht="18" x14ac:dyDescent="0.25">
      <c r="A169" s="137">
        <v>97.625</v>
      </c>
      <c r="B169" s="138" t="s">
        <v>171</v>
      </c>
      <c r="C169" s="139"/>
      <c r="D169" s="140" t="s">
        <v>99</v>
      </c>
      <c r="E169" s="141" t="s">
        <v>100</v>
      </c>
      <c r="F169" s="142" t="s">
        <v>182</v>
      </c>
      <c r="G169" s="143"/>
      <c r="H169" s="144"/>
      <c r="I169" s="144"/>
      <c r="J169" s="144"/>
      <c r="K169" s="144"/>
      <c r="L169" s="144"/>
      <c r="M169" s="137">
        <f t="shared" si="9"/>
        <v>114.85294117647059</v>
      </c>
      <c r="N169" s="145" t="s">
        <v>8</v>
      </c>
      <c r="O169" s="184">
        <f t="shared" si="10"/>
        <v>114.85294117647059</v>
      </c>
      <c r="P169" s="147" t="str">
        <f t="shared" si="0"/>
        <v>mt</v>
      </c>
      <c r="Q169" s="147" t="str">
        <f t="shared" si="1"/>
        <v>/ dia</v>
      </c>
      <c r="R169" s="148">
        <v>2</v>
      </c>
      <c r="S169" s="149">
        <v>1</v>
      </c>
      <c r="T169" s="149">
        <f t="shared" si="2"/>
        <v>1</v>
      </c>
      <c r="U169" s="149">
        <f t="shared" si="3"/>
        <v>0</v>
      </c>
      <c r="V169" s="149">
        <f t="shared" si="11"/>
        <v>0</v>
      </c>
      <c r="W169" s="140" t="s">
        <v>18</v>
      </c>
      <c r="X169" s="150" t="s">
        <v>18</v>
      </c>
      <c r="Y169" s="151">
        <f t="shared" si="12"/>
        <v>0</v>
      </c>
      <c r="Z169" s="152">
        <f t="shared" si="4"/>
        <v>0.5</v>
      </c>
      <c r="AA169" s="153">
        <f t="shared" si="13"/>
        <v>0</v>
      </c>
      <c r="AB169" s="153">
        <f t="shared" si="14"/>
        <v>0</v>
      </c>
      <c r="AC169" s="154"/>
      <c r="AD169" s="155">
        <f t="shared" si="5"/>
        <v>0</v>
      </c>
      <c r="AE169" s="156">
        <f t="shared" si="15"/>
        <v>0</v>
      </c>
      <c r="AF169" s="157">
        <f t="shared" si="6"/>
        <v>0</v>
      </c>
      <c r="AG169" s="158" t="str">
        <f t="shared" si="7"/>
        <v>mt</v>
      </c>
      <c r="AH169" s="158">
        <f t="shared" si="16"/>
        <v>0</v>
      </c>
      <c r="AI169" s="159">
        <f t="shared" si="17"/>
        <v>0</v>
      </c>
      <c r="AJ169" s="160">
        <f t="shared" si="18"/>
        <v>0</v>
      </c>
      <c r="AL169" s="143"/>
      <c r="AM169" s="147" t="str">
        <f t="shared" si="19"/>
        <v>mt</v>
      </c>
      <c r="AN169" s="161"/>
      <c r="AO169" s="162"/>
      <c r="AP169" s="162"/>
      <c r="AQ169" s="140" t="s">
        <v>18</v>
      </c>
      <c r="AS169" s="143"/>
      <c r="AT169" s="147" t="str">
        <f t="shared" si="20"/>
        <v>mt</v>
      </c>
      <c r="AU169" s="161"/>
      <c r="AV169" s="162"/>
      <c r="AW169" s="162"/>
      <c r="AX169" s="140" t="s">
        <v>18</v>
      </c>
      <c r="AZ169" s="143"/>
      <c r="BA169" s="147" t="str">
        <f t="shared" si="21"/>
        <v>mt</v>
      </c>
      <c r="BB169" s="161"/>
      <c r="BC169" s="162"/>
      <c r="BD169" s="162"/>
      <c r="BE169" s="140" t="s">
        <v>18</v>
      </c>
      <c r="BG169" s="143"/>
      <c r="BH169" s="147" t="str">
        <f t="shared" si="22"/>
        <v>mt</v>
      </c>
      <c r="BI169" s="161"/>
      <c r="BJ169" s="162"/>
      <c r="BK169" s="162"/>
      <c r="BL169" s="140" t="s">
        <v>18</v>
      </c>
      <c r="BN169" s="143"/>
      <c r="BO169" s="147" t="str">
        <f t="shared" si="23"/>
        <v>mt</v>
      </c>
      <c r="BP169" s="161"/>
      <c r="BQ169" s="162"/>
      <c r="BR169" s="162"/>
      <c r="BS169" s="140" t="s">
        <v>18</v>
      </c>
      <c r="BU169" s="143"/>
      <c r="BV169" s="147" t="str">
        <f t="shared" si="24"/>
        <v>mt</v>
      </c>
      <c r="BW169" s="161"/>
      <c r="BX169" s="162"/>
      <c r="BY169" s="162"/>
      <c r="BZ169" s="140" t="s">
        <v>18</v>
      </c>
      <c r="CC169" s="163">
        <f t="shared" si="25"/>
        <v>0</v>
      </c>
      <c r="CD169" s="163">
        <f t="shared" si="26"/>
        <v>0</v>
      </c>
      <c r="CE169" s="163">
        <f t="shared" si="27"/>
        <v>0</v>
      </c>
      <c r="CF169" s="163">
        <f t="shared" si="28"/>
        <v>0</v>
      </c>
      <c r="CG169" s="163">
        <f t="shared" si="29"/>
        <v>0</v>
      </c>
      <c r="CH169" s="163">
        <f t="shared" si="30"/>
        <v>0</v>
      </c>
      <c r="CJ169" s="163">
        <f t="shared" si="31"/>
        <v>0</v>
      </c>
      <c r="CK169" s="163">
        <f t="shared" si="32"/>
        <v>0</v>
      </c>
      <c r="CL169" s="163">
        <f t="shared" si="33"/>
        <v>0</v>
      </c>
      <c r="CM169" s="163">
        <f t="shared" si="34"/>
        <v>0</v>
      </c>
      <c r="CN169" s="163">
        <f t="shared" si="35"/>
        <v>0</v>
      </c>
      <c r="CO169" s="163">
        <f t="shared" si="36"/>
        <v>0</v>
      </c>
      <c r="CP169" s="163"/>
      <c r="CQ169" s="163">
        <f t="shared" si="37"/>
        <v>0</v>
      </c>
      <c r="CR169" s="163">
        <f t="shared" si="38"/>
        <v>0</v>
      </c>
      <c r="CS169" s="163">
        <f t="shared" si="39"/>
        <v>0</v>
      </c>
      <c r="CT169" s="163">
        <f t="shared" si="40"/>
        <v>0</v>
      </c>
      <c r="CU169" s="163">
        <f t="shared" si="41"/>
        <v>0</v>
      </c>
      <c r="CV169" s="163">
        <f t="shared" si="42"/>
        <v>0</v>
      </c>
      <c r="CY169" s="164" t="s">
        <v>45</v>
      </c>
      <c r="FN169" s="165">
        <f t="shared" si="8"/>
        <v>114.85294117647059</v>
      </c>
      <c r="FO169" s="166">
        <f t="shared" si="43"/>
        <v>0</v>
      </c>
      <c r="FP169" s="166">
        <f t="shared" si="44"/>
        <v>0</v>
      </c>
    </row>
    <row r="170" spans="1:172" ht="18" x14ac:dyDescent="0.25">
      <c r="A170" s="167">
        <v>58.375</v>
      </c>
      <c r="B170" s="168" t="s">
        <v>171</v>
      </c>
      <c r="C170" s="169"/>
      <c r="D170" s="140" t="s">
        <v>99</v>
      </c>
      <c r="E170" s="170" t="s">
        <v>100</v>
      </c>
      <c r="F170" s="171" t="s">
        <v>183</v>
      </c>
      <c r="G170" s="143"/>
      <c r="H170" s="172"/>
      <c r="I170" s="172"/>
      <c r="J170" s="172"/>
      <c r="K170" s="172"/>
      <c r="L170" s="172"/>
      <c r="M170" s="137">
        <f t="shared" si="9"/>
        <v>68.67647058823529</v>
      </c>
      <c r="N170" s="173" t="s">
        <v>8</v>
      </c>
      <c r="O170" s="146">
        <f t="shared" si="10"/>
        <v>68.67647058823529</v>
      </c>
      <c r="P170" s="174" t="str">
        <f t="shared" si="0"/>
        <v>mt</v>
      </c>
      <c r="Q170" s="175" t="str">
        <f t="shared" si="1"/>
        <v>/ dia</v>
      </c>
      <c r="R170" s="176">
        <v>2</v>
      </c>
      <c r="S170" s="177">
        <v>1</v>
      </c>
      <c r="T170" s="177">
        <f t="shared" si="2"/>
        <v>1</v>
      </c>
      <c r="U170" s="149">
        <f t="shared" si="3"/>
        <v>0</v>
      </c>
      <c r="V170" s="149">
        <f t="shared" si="11"/>
        <v>0</v>
      </c>
      <c r="W170" s="140" t="s">
        <v>18</v>
      </c>
      <c r="X170" s="150" t="s">
        <v>18</v>
      </c>
      <c r="Y170" s="151">
        <f t="shared" si="12"/>
        <v>0</v>
      </c>
      <c r="Z170" s="178">
        <f t="shared" si="4"/>
        <v>0.5</v>
      </c>
      <c r="AA170" s="179">
        <f t="shared" si="13"/>
        <v>0</v>
      </c>
      <c r="AB170" s="179">
        <f t="shared" si="14"/>
        <v>0</v>
      </c>
      <c r="AC170" s="180"/>
      <c r="AD170" s="155">
        <f t="shared" si="5"/>
        <v>0</v>
      </c>
      <c r="AE170" s="156">
        <f t="shared" si="15"/>
        <v>0</v>
      </c>
      <c r="AF170" s="157">
        <f t="shared" si="6"/>
        <v>0</v>
      </c>
      <c r="AG170" s="158" t="str">
        <f t="shared" si="7"/>
        <v>mt</v>
      </c>
      <c r="AH170" s="158">
        <f t="shared" si="16"/>
        <v>0</v>
      </c>
      <c r="AI170" s="159">
        <f t="shared" si="17"/>
        <v>0</v>
      </c>
      <c r="AJ170" s="160">
        <f t="shared" si="18"/>
        <v>0</v>
      </c>
      <c r="AL170" s="143"/>
      <c r="AM170" s="147" t="str">
        <f t="shared" si="19"/>
        <v>mt</v>
      </c>
      <c r="AN170" s="161"/>
      <c r="AO170" s="182"/>
      <c r="AP170" s="182"/>
      <c r="AQ170" s="183" t="s">
        <v>18</v>
      </c>
      <c r="AS170" s="143"/>
      <c r="AT170" s="147" t="str">
        <f t="shared" si="20"/>
        <v>mt</v>
      </c>
      <c r="AU170" s="161"/>
      <c r="AV170" s="182"/>
      <c r="AW170" s="182"/>
      <c r="AX170" s="183" t="s">
        <v>18</v>
      </c>
      <c r="AZ170" s="143"/>
      <c r="BA170" s="147" t="str">
        <f t="shared" si="21"/>
        <v>mt</v>
      </c>
      <c r="BB170" s="161"/>
      <c r="BC170" s="182"/>
      <c r="BD170" s="182"/>
      <c r="BE170" s="183" t="s">
        <v>18</v>
      </c>
      <c r="BG170" s="143"/>
      <c r="BH170" s="147" t="str">
        <f t="shared" si="22"/>
        <v>mt</v>
      </c>
      <c r="BI170" s="161"/>
      <c r="BJ170" s="182"/>
      <c r="BK170" s="182"/>
      <c r="BL170" s="183" t="s">
        <v>18</v>
      </c>
      <c r="BN170" s="143"/>
      <c r="BO170" s="147" t="str">
        <f t="shared" si="23"/>
        <v>mt</v>
      </c>
      <c r="BP170" s="161"/>
      <c r="BQ170" s="182"/>
      <c r="BR170" s="182"/>
      <c r="BS170" s="183" t="s">
        <v>18</v>
      </c>
      <c r="BU170" s="143"/>
      <c r="BV170" s="147" t="str">
        <f t="shared" si="24"/>
        <v>mt</v>
      </c>
      <c r="BW170" s="161"/>
      <c r="BX170" s="182"/>
      <c r="BY170" s="182"/>
      <c r="BZ170" s="183" t="s">
        <v>18</v>
      </c>
      <c r="CC170" s="163">
        <f t="shared" si="25"/>
        <v>0</v>
      </c>
      <c r="CD170" s="163">
        <f t="shared" si="26"/>
        <v>0</v>
      </c>
      <c r="CE170" s="163">
        <f t="shared" si="27"/>
        <v>0</v>
      </c>
      <c r="CF170" s="163">
        <f t="shared" si="28"/>
        <v>0</v>
      </c>
      <c r="CG170" s="163">
        <f t="shared" si="29"/>
        <v>0</v>
      </c>
      <c r="CH170" s="163">
        <f t="shared" si="30"/>
        <v>0</v>
      </c>
      <c r="CJ170" s="163">
        <f t="shared" si="31"/>
        <v>0</v>
      </c>
      <c r="CK170" s="163">
        <f t="shared" si="32"/>
        <v>0</v>
      </c>
      <c r="CL170" s="163">
        <f t="shared" si="33"/>
        <v>0</v>
      </c>
      <c r="CM170" s="163">
        <f t="shared" si="34"/>
        <v>0</v>
      </c>
      <c r="CN170" s="163">
        <f t="shared" si="35"/>
        <v>0</v>
      </c>
      <c r="CO170" s="163">
        <f t="shared" si="36"/>
        <v>0</v>
      </c>
      <c r="CP170" s="163"/>
      <c r="CQ170" s="163">
        <f t="shared" si="37"/>
        <v>0</v>
      </c>
      <c r="CR170" s="163">
        <f t="shared" si="38"/>
        <v>0</v>
      </c>
      <c r="CS170" s="163">
        <f t="shared" si="39"/>
        <v>0</v>
      </c>
      <c r="CT170" s="163">
        <f t="shared" si="40"/>
        <v>0</v>
      </c>
      <c r="CU170" s="163">
        <f t="shared" si="41"/>
        <v>0</v>
      </c>
      <c r="CV170" s="163">
        <f t="shared" si="42"/>
        <v>0</v>
      </c>
      <c r="CY170" s="164" t="s">
        <v>45</v>
      </c>
      <c r="FN170" s="165">
        <f t="shared" si="8"/>
        <v>68.67647058823529</v>
      </c>
      <c r="FO170" s="166">
        <f t="shared" si="43"/>
        <v>0</v>
      </c>
      <c r="FP170" s="166">
        <f t="shared" si="44"/>
        <v>0</v>
      </c>
    </row>
    <row r="171" spans="1:172" ht="18" x14ac:dyDescent="0.25">
      <c r="A171" s="137">
        <v>57</v>
      </c>
      <c r="B171" s="138" t="s">
        <v>171</v>
      </c>
      <c r="C171" s="139"/>
      <c r="D171" s="140" t="s">
        <v>99</v>
      </c>
      <c r="E171" s="141" t="s">
        <v>100</v>
      </c>
      <c r="F171" s="142" t="s">
        <v>184</v>
      </c>
      <c r="G171" s="143"/>
      <c r="H171" s="144"/>
      <c r="I171" s="144"/>
      <c r="J171" s="144"/>
      <c r="K171" s="144"/>
      <c r="L171" s="144"/>
      <c r="M171" s="137">
        <f t="shared" si="9"/>
        <v>67.058823529411768</v>
      </c>
      <c r="N171" s="145" t="s">
        <v>8</v>
      </c>
      <c r="O171" s="184">
        <f t="shared" si="10"/>
        <v>67.058823529411768</v>
      </c>
      <c r="P171" s="147" t="str">
        <f t="shared" si="0"/>
        <v>mt</v>
      </c>
      <c r="Q171" s="147" t="str">
        <f t="shared" si="1"/>
        <v>/ dia</v>
      </c>
      <c r="R171" s="148">
        <v>2</v>
      </c>
      <c r="S171" s="149">
        <v>1</v>
      </c>
      <c r="T171" s="149">
        <f t="shared" si="2"/>
        <v>1</v>
      </c>
      <c r="U171" s="149">
        <f t="shared" si="3"/>
        <v>0</v>
      </c>
      <c r="V171" s="149">
        <f t="shared" si="11"/>
        <v>0</v>
      </c>
      <c r="W171" s="140" t="s">
        <v>18</v>
      </c>
      <c r="X171" s="150" t="s">
        <v>18</v>
      </c>
      <c r="Y171" s="151">
        <f t="shared" si="12"/>
        <v>0</v>
      </c>
      <c r="Z171" s="152">
        <f t="shared" si="4"/>
        <v>0.5</v>
      </c>
      <c r="AA171" s="153">
        <f t="shared" si="13"/>
        <v>0</v>
      </c>
      <c r="AB171" s="153">
        <f t="shared" si="14"/>
        <v>0</v>
      </c>
      <c r="AC171" s="154"/>
      <c r="AD171" s="155">
        <f t="shared" si="5"/>
        <v>0</v>
      </c>
      <c r="AE171" s="156">
        <f t="shared" si="15"/>
        <v>0</v>
      </c>
      <c r="AF171" s="157">
        <f t="shared" si="6"/>
        <v>0</v>
      </c>
      <c r="AG171" s="158" t="str">
        <f t="shared" si="7"/>
        <v>mt</v>
      </c>
      <c r="AH171" s="158">
        <f t="shared" si="16"/>
        <v>0</v>
      </c>
      <c r="AI171" s="159">
        <f t="shared" si="17"/>
        <v>0</v>
      </c>
      <c r="AJ171" s="160">
        <f t="shared" si="18"/>
        <v>0</v>
      </c>
      <c r="AL171" s="143"/>
      <c r="AM171" s="147" t="str">
        <f t="shared" si="19"/>
        <v>mt</v>
      </c>
      <c r="AN171" s="161"/>
      <c r="AO171" s="162"/>
      <c r="AP171" s="162"/>
      <c r="AQ171" s="140" t="s">
        <v>18</v>
      </c>
      <c r="AS171" s="143"/>
      <c r="AT171" s="147" t="str">
        <f t="shared" si="20"/>
        <v>mt</v>
      </c>
      <c r="AU171" s="161"/>
      <c r="AV171" s="162"/>
      <c r="AW171" s="162"/>
      <c r="AX171" s="140" t="s">
        <v>18</v>
      </c>
      <c r="AZ171" s="143"/>
      <c r="BA171" s="147" t="str">
        <f t="shared" si="21"/>
        <v>mt</v>
      </c>
      <c r="BB171" s="161"/>
      <c r="BC171" s="162"/>
      <c r="BD171" s="162"/>
      <c r="BE171" s="140" t="s">
        <v>18</v>
      </c>
      <c r="BG171" s="143"/>
      <c r="BH171" s="147" t="str">
        <f t="shared" si="22"/>
        <v>mt</v>
      </c>
      <c r="BI171" s="161"/>
      <c r="BJ171" s="162"/>
      <c r="BK171" s="162"/>
      <c r="BL171" s="140" t="s">
        <v>18</v>
      </c>
      <c r="BN171" s="143"/>
      <c r="BO171" s="147" t="str">
        <f t="shared" si="23"/>
        <v>mt</v>
      </c>
      <c r="BP171" s="161"/>
      <c r="BQ171" s="162"/>
      <c r="BR171" s="162"/>
      <c r="BS171" s="140" t="s">
        <v>18</v>
      </c>
      <c r="BU171" s="143"/>
      <c r="BV171" s="147" t="str">
        <f t="shared" si="24"/>
        <v>mt</v>
      </c>
      <c r="BW171" s="161"/>
      <c r="BX171" s="162"/>
      <c r="BY171" s="162"/>
      <c r="BZ171" s="140" t="s">
        <v>18</v>
      </c>
      <c r="CC171" s="163">
        <f t="shared" si="25"/>
        <v>0</v>
      </c>
      <c r="CD171" s="163">
        <f t="shared" si="26"/>
        <v>0</v>
      </c>
      <c r="CE171" s="163">
        <f t="shared" si="27"/>
        <v>0</v>
      </c>
      <c r="CF171" s="163">
        <f t="shared" si="28"/>
        <v>0</v>
      </c>
      <c r="CG171" s="163">
        <f t="shared" si="29"/>
        <v>0</v>
      </c>
      <c r="CH171" s="163">
        <f t="shared" si="30"/>
        <v>0</v>
      </c>
      <c r="CJ171" s="163">
        <f t="shared" si="31"/>
        <v>0</v>
      </c>
      <c r="CK171" s="163">
        <f t="shared" si="32"/>
        <v>0</v>
      </c>
      <c r="CL171" s="163">
        <f t="shared" si="33"/>
        <v>0</v>
      </c>
      <c r="CM171" s="163">
        <f t="shared" si="34"/>
        <v>0</v>
      </c>
      <c r="CN171" s="163">
        <f t="shared" si="35"/>
        <v>0</v>
      </c>
      <c r="CO171" s="163">
        <f t="shared" si="36"/>
        <v>0</v>
      </c>
      <c r="CP171" s="163"/>
      <c r="CQ171" s="163">
        <f t="shared" si="37"/>
        <v>0</v>
      </c>
      <c r="CR171" s="163">
        <f t="shared" si="38"/>
        <v>0</v>
      </c>
      <c r="CS171" s="163">
        <f t="shared" si="39"/>
        <v>0</v>
      </c>
      <c r="CT171" s="163">
        <f t="shared" si="40"/>
        <v>0</v>
      </c>
      <c r="CU171" s="163">
        <f t="shared" si="41"/>
        <v>0</v>
      </c>
      <c r="CV171" s="163">
        <f t="shared" si="42"/>
        <v>0</v>
      </c>
      <c r="CY171" s="164" t="s">
        <v>45</v>
      </c>
      <c r="FN171" s="165">
        <f t="shared" si="8"/>
        <v>67.058823529411768</v>
      </c>
      <c r="FO171" s="166">
        <f t="shared" si="43"/>
        <v>0</v>
      </c>
      <c r="FP171" s="166">
        <f t="shared" si="44"/>
        <v>0</v>
      </c>
    </row>
    <row r="172" spans="1:172" ht="18" x14ac:dyDescent="0.25">
      <c r="A172" s="167">
        <v>57</v>
      </c>
      <c r="B172" s="168" t="s">
        <v>171</v>
      </c>
      <c r="C172" s="169"/>
      <c r="D172" s="140" t="s">
        <v>99</v>
      </c>
      <c r="E172" s="170" t="s">
        <v>100</v>
      </c>
      <c r="F172" s="171" t="s">
        <v>185</v>
      </c>
      <c r="G172" s="143"/>
      <c r="H172" s="172"/>
      <c r="I172" s="172"/>
      <c r="J172" s="172"/>
      <c r="K172" s="172"/>
      <c r="L172" s="172"/>
      <c r="M172" s="137">
        <f t="shared" si="9"/>
        <v>67.058823529411768</v>
      </c>
      <c r="N172" s="173" t="s">
        <v>8</v>
      </c>
      <c r="O172" s="146">
        <f t="shared" si="10"/>
        <v>67.058823529411768</v>
      </c>
      <c r="P172" s="174" t="str">
        <f t="shared" si="0"/>
        <v>mt</v>
      </c>
      <c r="Q172" s="175" t="str">
        <f t="shared" si="1"/>
        <v>/ dia</v>
      </c>
      <c r="R172" s="176">
        <v>2</v>
      </c>
      <c r="S172" s="177">
        <v>1</v>
      </c>
      <c r="T172" s="177">
        <f t="shared" si="2"/>
        <v>1</v>
      </c>
      <c r="U172" s="149">
        <f t="shared" si="3"/>
        <v>0</v>
      </c>
      <c r="V172" s="149">
        <f t="shared" si="11"/>
        <v>0</v>
      </c>
      <c r="W172" s="140" t="s">
        <v>18</v>
      </c>
      <c r="X172" s="150" t="s">
        <v>18</v>
      </c>
      <c r="Y172" s="151">
        <f t="shared" si="12"/>
        <v>0</v>
      </c>
      <c r="Z172" s="178">
        <f t="shared" si="4"/>
        <v>0.5</v>
      </c>
      <c r="AA172" s="179">
        <f t="shared" si="13"/>
        <v>0</v>
      </c>
      <c r="AB172" s="179">
        <f t="shared" si="14"/>
        <v>0</v>
      </c>
      <c r="AC172" s="180"/>
      <c r="AD172" s="155">
        <f t="shared" si="5"/>
        <v>0</v>
      </c>
      <c r="AE172" s="156">
        <f t="shared" si="15"/>
        <v>0</v>
      </c>
      <c r="AF172" s="157">
        <f t="shared" si="6"/>
        <v>0</v>
      </c>
      <c r="AG172" s="158" t="str">
        <f t="shared" si="7"/>
        <v>mt</v>
      </c>
      <c r="AH172" s="158">
        <f t="shared" si="16"/>
        <v>0</v>
      </c>
      <c r="AI172" s="159">
        <f t="shared" si="17"/>
        <v>0</v>
      </c>
      <c r="AJ172" s="160">
        <f t="shared" si="18"/>
        <v>0</v>
      </c>
      <c r="AL172" s="143"/>
      <c r="AM172" s="147" t="str">
        <f t="shared" si="19"/>
        <v>mt</v>
      </c>
      <c r="AN172" s="161"/>
      <c r="AO172" s="182"/>
      <c r="AP172" s="182"/>
      <c r="AQ172" s="183" t="s">
        <v>18</v>
      </c>
      <c r="AS172" s="143"/>
      <c r="AT172" s="147" t="str">
        <f t="shared" si="20"/>
        <v>mt</v>
      </c>
      <c r="AU172" s="161"/>
      <c r="AV172" s="182"/>
      <c r="AW172" s="182"/>
      <c r="AX172" s="183" t="s">
        <v>18</v>
      </c>
      <c r="AZ172" s="143"/>
      <c r="BA172" s="147" t="str">
        <f t="shared" si="21"/>
        <v>mt</v>
      </c>
      <c r="BB172" s="161"/>
      <c r="BC172" s="182"/>
      <c r="BD172" s="182"/>
      <c r="BE172" s="183" t="s">
        <v>18</v>
      </c>
      <c r="BG172" s="143"/>
      <c r="BH172" s="147" t="str">
        <f t="shared" si="22"/>
        <v>mt</v>
      </c>
      <c r="BI172" s="161"/>
      <c r="BJ172" s="182"/>
      <c r="BK172" s="182"/>
      <c r="BL172" s="183" t="s">
        <v>18</v>
      </c>
      <c r="BN172" s="143"/>
      <c r="BO172" s="147" t="str">
        <f t="shared" si="23"/>
        <v>mt</v>
      </c>
      <c r="BP172" s="161"/>
      <c r="BQ172" s="182"/>
      <c r="BR172" s="182"/>
      <c r="BS172" s="183" t="s">
        <v>18</v>
      </c>
      <c r="BU172" s="143"/>
      <c r="BV172" s="147" t="str">
        <f t="shared" si="24"/>
        <v>mt</v>
      </c>
      <c r="BW172" s="161"/>
      <c r="BX172" s="182"/>
      <c r="BY172" s="182"/>
      <c r="BZ172" s="183" t="s">
        <v>18</v>
      </c>
      <c r="CC172" s="163">
        <f t="shared" si="25"/>
        <v>0</v>
      </c>
      <c r="CD172" s="163">
        <f t="shared" si="26"/>
        <v>0</v>
      </c>
      <c r="CE172" s="163">
        <f t="shared" si="27"/>
        <v>0</v>
      </c>
      <c r="CF172" s="163">
        <f t="shared" si="28"/>
        <v>0</v>
      </c>
      <c r="CG172" s="163">
        <f t="shared" si="29"/>
        <v>0</v>
      </c>
      <c r="CH172" s="163">
        <f t="shared" si="30"/>
        <v>0</v>
      </c>
      <c r="CJ172" s="163">
        <f t="shared" si="31"/>
        <v>0</v>
      </c>
      <c r="CK172" s="163">
        <f t="shared" si="32"/>
        <v>0</v>
      </c>
      <c r="CL172" s="163">
        <f t="shared" si="33"/>
        <v>0</v>
      </c>
      <c r="CM172" s="163">
        <f t="shared" si="34"/>
        <v>0</v>
      </c>
      <c r="CN172" s="163">
        <f t="shared" si="35"/>
        <v>0</v>
      </c>
      <c r="CO172" s="163">
        <f t="shared" si="36"/>
        <v>0</v>
      </c>
      <c r="CP172" s="163"/>
      <c r="CQ172" s="163">
        <f t="shared" si="37"/>
        <v>0</v>
      </c>
      <c r="CR172" s="163">
        <f t="shared" si="38"/>
        <v>0</v>
      </c>
      <c r="CS172" s="163">
        <f t="shared" si="39"/>
        <v>0</v>
      </c>
      <c r="CT172" s="163">
        <f t="shared" si="40"/>
        <v>0</v>
      </c>
      <c r="CU172" s="163">
        <f t="shared" si="41"/>
        <v>0</v>
      </c>
      <c r="CV172" s="163">
        <f t="shared" si="42"/>
        <v>0</v>
      </c>
      <c r="CY172" s="164" t="s">
        <v>45</v>
      </c>
      <c r="FN172" s="165">
        <f t="shared" si="8"/>
        <v>67.058823529411768</v>
      </c>
      <c r="FO172" s="166">
        <f t="shared" si="43"/>
        <v>0</v>
      </c>
      <c r="FP172" s="166">
        <f t="shared" si="44"/>
        <v>0</v>
      </c>
    </row>
    <row r="173" spans="1:172" ht="18" x14ac:dyDescent="0.25">
      <c r="A173" s="137">
        <v>140.21333333333334</v>
      </c>
      <c r="B173" s="138" t="s">
        <v>171</v>
      </c>
      <c r="C173" s="139"/>
      <c r="D173" s="185" t="s">
        <v>174</v>
      </c>
      <c r="E173" s="141" t="s">
        <v>175</v>
      </c>
      <c r="F173" s="142" t="s">
        <v>186</v>
      </c>
      <c r="G173" s="143"/>
      <c r="H173" s="144"/>
      <c r="I173" s="144"/>
      <c r="J173" s="144"/>
      <c r="K173" s="144"/>
      <c r="L173" s="144"/>
      <c r="M173" s="137">
        <f t="shared" si="9"/>
        <v>164.95686274509805</v>
      </c>
      <c r="N173" s="145" t="s">
        <v>3</v>
      </c>
      <c r="O173" s="184">
        <f t="shared" si="10"/>
        <v>164.95686274509805</v>
      </c>
      <c r="P173" s="147" t="str">
        <f t="shared" ref="P173:P236" si="45">N173</f>
        <v>kg</v>
      </c>
      <c r="Q173" s="147" t="str">
        <f t="shared" ref="Q173:Q236" si="46">IF(P173=$W$9,"","/ dia")</f>
        <v>/ dia</v>
      </c>
      <c r="R173" s="148">
        <v>2</v>
      </c>
      <c r="S173" s="149">
        <v>1</v>
      </c>
      <c r="T173" s="149">
        <f t="shared" ref="T173:T236" si="47">R173-S173</f>
        <v>1</v>
      </c>
      <c r="U173" s="149">
        <f t="shared" ref="U173:U236" si="48">IFERROR(G173/FN173,0)</f>
        <v>0</v>
      </c>
      <c r="V173" s="149">
        <f t="shared" si="11"/>
        <v>0</v>
      </c>
      <c r="W173" s="140" t="s">
        <v>18</v>
      </c>
      <c r="X173" s="150" t="s">
        <v>18</v>
      </c>
      <c r="Y173" s="151">
        <f t="shared" si="12"/>
        <v>0</v>
      </c>
      <c r="Z173" s="152">
        <f t="shared" ref="Z173:Z236" si="49">S173/R173</f>
        <v>0.5</v>
      </c>
      <c r="AA173" s="153">
        <f t="shared" si="13"/>
        <v>0</v>
      </c>
      <c r="AB173" s="153">
        <f t="shared" si="14"/>
        <v>0</v>
      </c>
      <c r="AC173" s="154"/>
      <c r="AD173" s="155">
        <f t="shared" si="5"/>
        <v>0</v>
      </c>
      <c r="AE173" s="156">
        <f t="shared" si="15"/>
        <v>0</v>
      </c>
      <c r="AF173" s="157">
        <f t="shared" ref="AF173:AF236" si="50">$AL173+$AS173+$AZ173+$BG173+$BN173+$BU173</f>
        <v>0</v>
      </c>
      <c r="AG173" s="158" t="str">
        <f t="shared" ref="AG173:AG236" si="51">P173</f>
        <v>kg</v>
      </c>
      <c r="AH173" s="158">
        <f t="shared" si="16"/>
        <v>0</v>
      </c>
      <c r="AI173" s="159">
        <f t="shared" si="17"/>
        <v>0</v>
      </c>
      <c r="AJ173" s="160">
        <f t="shared" si="18"/>
        <v>0</v>
      </c>
      <c r="AL173" s="143"/>
      <c r="AM173" s="147" t="str">
        <f t="shared" si="19"/>
        <v>kg</v>
      </c>
      <c r="AN173" s="161"/>
      <c r="AO173" s="162"/>
      <c r="AP173" s="162"/>
      <c r="AQ173" s="140" t="s">
        <v>18</v>
      </c>
      <c r="AS173" s="143"/>
      <c r="AT173" s="147" t="str">
        <f t="shared" si="20"/>
        <v>kg</v>
      </c>
      <c r="AU173" s="161"/>
      <c r="AV173" s="162"/>
      <c r="AW173" s="162"/>
      <c r="AX173" s="140" t="s">
        <v>18</v>
      </c>
      <c r="AZ173" s="143"/>
      <c r="BA173" s="147" t="str">
        <f t="shared" si="21"/>
        <v>kg</v>
      </c>
      <c r="BB173" s="161"/>
      <c r="BC173" s="162"/>
      <c r="BD173" s="162"/>
      <c r="BE173" s="140" t="s">
        <v>18</v>
      </c>
      <c r="BG173" s="143"/>
      <c r="BH173" s="147" t="str">
        <f t="shared" si="22"/>
        <v>kg</v>
      </c>
      <c r="BI173" s="161"/>
      <c r="BJ173" s="162"/>
      <c r="BK173" s="162"/>
      <c r="BL173" s="140" t="s">
        <v>18</v>
      </c>
      <c r="BN173" s="143"/>
      <c r="BO173" s="147" t="str">
        <f t="shared" si="23"/>
        <v>kg</v>
      </c>
      <c r="BP173" s="161"/>
      <c r="BQ173" s="162"/>
      <c r="BR173" s="162"/>
      <c r="BS173" s="140" t="s">
        <v>18</v>
      </c>
      <c r="BU173" s="143"/>
      <c r="BV173" s="147" t="str">
        <f t="shared" si="24"/>
        <v>kg</v>
      </c>
      <c r="BW173" s="161"/>
      <c r="BX173" s="162"/>
      <c r="BY173" s="162"/>
      <c r="BZ173" s="140" t="s">
        <v>18</v>
      </c>
      <c r="CC173" s="163">
        <f t="shared" si="25"/>
        <v>0</v>
      </c>
      <c r="CD173" s="163">
        <f t="shared" si="26"/>
        <v>0</v>
      </c>
      <c r="CE173" s="163">
        <f t="shared" si="27"/>
        <v>0</v>
      </c>
      <c r="CF173" s="163">
        <f t="shared" si="28"/>
        <v>0</v>
      </c>
      <c r="CG173" s="163">
        <f t="shared" si="29"/>
        <v>0</v>
      </c>
      <c r="CH173" s="163">
        <f t="shared" si="30"/>
        <v>0</v>
      </c>
      <c r="CJ173" s="163">
        <f t="shared" si="31"/>
        <v>0</v>
      </c>
      <c r="CK173" s="163">
        <f t="shared" si="32"/>
        <v>0</v>
      </c>
      <c r="CL173" s="163">
        <f t="shared" si="33"/>
        <v>0</v>
      </c>
      <c r="CM173" s="163">
        <f t="shared" si="34"/>
        <v>0</v>
      </c>
      <c r="CN173" s="163">
        <f t="shared" si="35"/>
        <v>0</v>
      </c>
      <c r="CO173" s="163">
        <f t="shared" si="36"/>
        <v>0</v>
      </c>
      <c r="CP173" s="163"/>
      <c r="CQ173" s="163">
        <f t="shared" si="37"/>
        <v>0</v>
      </c>
      <c r="CR173" s="163">
        <f t="shared" si="38"/>
        <v>0</v>
      </c>
      <c r="CS173" s="163">
        <f t="shared" si="39"/>
        <v>0</v>
      </c>
      <c r="CT173" s="163">
        <f t="shared" si="40"/>
        <v>0</v>
      </c>
      <c r="CU173" s="163">
        <f t="shared" si="41"/>
        <v>0</v>
      </c>
      <c r="CV173" s="163">
        <f t="shared" si="42"/>
        <v>0</v>
      </c>
      <c r="CY173" s="164" t="s">
        <v>45</v>
      </c>
      <c r="FN173" s="165">
        <f t="shared" ref="FN173:FN236" si="52">IF(N173=$W$9,1,O173)</f>
        <v>164.95686274509805</v>
      </c>
      <c r="FO173" s="166">
        <f t="shared" si="43"/>
        <v>0</v>
      </c>
      <c r="FP173" s="166">
        <f t="shared" si="44"/>
        <v>0</v>
      </c>
    </row>
    <row r="174" spans="1:172" ht="18" x14ac:dyDescent="0.25">
      <c r="A174" s="167">
        <v>73.1875</v>
      </c>
      <c r="B174" s="168" t="s">
        <v>171</v>
      </c>
      <c r="C174" s="169"/>
      <c r="D174" s="140" t="s">
        <v>99</v>
      </c>
      <c r="E174" s="170" t="s">
        <v>100</v>
      </c>
      <c r="F174" s="171" t="s">
        <v>187</v>
      </c>
      <c r="G174" s="143"/>
      <c r="H174" s="172"/>
      <c r="I174" s="172"/>
      <c r="J174" s="172"/>
      <c r="K174" s="172"/>
      <c r="L174" s="172"/>
      <c r="M174" s="137">
        <f t="shared" ref="M174:M237" si="53">A174/0.85</f>
        <v>86.102941176470594</v>
      </c>
      <c r="N174" s="173" t="s">
        <v>8</v>
      </c>
      <c r="O174" s="146">
        <f t="shared" ref="O174:O237" si="54">IFERROR(AVERAGEIF(H174:M174,"&gt;0"),0)</f>
        <v>86.102941176470594</v>
      </c>
      <c r="P174" s="174" t="str">
        <f t="shared" si="45"/>
        <v>mt</v>
      </c>
      <c r="Q174" s="175" t="str">
        <f t="shared" si="46"/>
        <v>/ dia</v>
      </c>
      <c r="R174" s="176">
        <v>2</v>
      </c>
      <c r="S174" s="177">
        <v>1</v>
      </c>
      <c r="T174" s="177">
        <f t="shared" si="47"/>
        <v>1</v>
      </c>
      <c r="U174" s="149">
        <f t="shared" si="48"/>
        <v>0</v>
      </c>
      <c r="V174" s="149">
        <f t="shared" ref="V174:V237" si="55">U174*R174*$P$101*$O$104</f>
        <v>0</v>
      </c>
      <c r="W174" s="140" t="s">
        <v>18</v>
      </c>
      <c r="X174" s="150" t="s">
        <v>18</v>
      </c>
      <c r="Y174" s="151">
        <f t="shared" ref="Y174:Y237" si="56">(V174*(1+FO174+FP174)/$O$102)</f>
        <v>0</v>
      </c>
      <c r="Z174" s="178">
        <f t="shared" si="49"/>
        <v>0.5</v>
      </c>
      <c r="AA174" s="179">
        <f t="shared" ref="AA174:AA237" si="57">Y174*Z174</f>
        <v>0</v>
      </c>
      <c r="AB174" s="179">
        <f t="shared" ref="AB174:AB237" si="58">Y174-AA174</f>
        <v>0</v>
      </c>
      <c r="AC174" s="180"/>
      <c r="AD174" s="155">
        <f t="shared" ref="AD174:AD237" si="59">G174</f>
        <v>0</v>
      </c>
      <c r="AE174" s="156">
        <f t="shared" ref="AE174:AE237" si="60">IFERROR(Y174*(1-$AE$107),"")</f>
        <v>0</v>
      </c>
      <c r="AF174" s="157">
        <f t="shared" si="50"/>
        <v>0</v>
      </c>
      <c r="AG174" s="158" t="str">
        <f t="shared" si="51"/>
        <v>mt</v>
      </c>
      <c r="AH174" s="158">
        <f t="shared" ref="AH174:AH237" si="61">SUM($CC174:$CH174)</f>
        <v>0</v>
      </c>
      <c r="AI174" s="159">
        <f t="shared" ref="AI174:AI237" si="62">IFERROR(AVERAGEIF(CJ174:CO174,"&gt;0,5"),0)</f>
        <v>0</v>
      </c>
      <c r="AJ174" s="160">
        <f t="shared" ref="AJ174:AJ237" si="63">IFERROR(AVERAGEIF(CQ174:CV174,"&gt;0,5"),0)</f>
        <v>0</v>
      </c>
      <c r="AL174" s="143"/>
      <c r="AM174" s="147" t="str">
        <f t="shared" ref="AM174:AM237" si="64">$AG174</f>
        <v>mt</v>
      </c>
      <c r="AN174" s="161"/>
      <c r="AO174" s="182"/>
      <c r="AP174" s="182"/>
      <c r="AQ174" s="183" t="s">
        <v>18</v>
      </c>
      <c r="AS174" s="143"/>
      <c r="AT174" s="147" t="str">
        <f t="shared" ref="AT174:AT237" si="65">$AG174</f>
        <v>mt</v>
      </c>
      <c r="AU174" s="161"/>
      <c r="AV174" s="182"/>
      <c r="AW174" s="182"/>
      <c r="AX174" s="183" t="s">
        <v>18</v>
      </c>
      <c r="AZ174" s="143"/>
      <c r="BA174" s="147" t="str">
        <f t="shared" ref="BA174:BA237" si="66">$AG174</f>
        <v>mt</v>
      </c>
      <c r="BB174" s="161"/>
      <c r="BC174" s="182"/>
      <c r="BD174" s="182"/>
      <c r="BE174" s="183" t="s">
        <v>18</v>
      </c>
      <c r="BG174" s="143"/>
      <c r="BH174" s="147" t="str">
        <f t="shared" ref="BH174:BH237" si="67">$AG174</f>
        <v>mt</v>
      </c>
      <c r="BI174" s="161"/>
      <c r="BJ174" s="182"/>
      <c r="BK174" s="182"/>
      <c r="BL174" s="183" t="s">
        <v>18</v>
      </c>
      <c r="BN174" s="143"/>
      <c r="BO174" s="147" t="str">
        <f t="shared" ref="BO174:BO237" si="68">$AG174</f>
        <v>mt</v>
      </c>
      <c r="BP174" s="161"/>
      <c r="BQ174" s="182"/>
      <c r="BR174" s="182"/>
      <c r="BS174" s="183" t="s">
        <v>18</v>
      </c>
      <c r="BU174" s="143"/>
      <c r="BV174" s="147" t="str">
        <f t="shared" ref="BV174:BV237" si="69">$AG174</f>
        <v>mt</v>
      </c>
      <c r="BW174" s="161"/>
      <c r="BX174" s="182"/>
      <c r="BY174" s="182"/>
      <c r="BZ174" s="183" t="s">
        <v>18</v>
      </c>
      <c r="CC174" s="163">
        <f t="shared" ref="CC174:CC237" si="70">AN174</f>
        <v>0</v>
      </c>
      <c r="CD174" s="163">
        <f t="shared" ref="CD174:CD237" si="71">AU174</f>
        <v>0</v>
      </c>
      <c r="CE174" s="163">
        <f t="shared" ref="CE174:CE237" si="72">BB174</f>
        <v>0</v>
      </c>
      <c r="CF174" s="163">
        <f t="shared" ref="CF174:CF237" si="73">BI174</f>
        <v>0</v>
      </c>
      <c r="CG174" s="163">
        <f t="shared" ref="CG174:CG237" si="74">BP174</f>
        <v>0</v>
      </c>
      <c r="CH174" s="163">
        <f t="shared" ref="CH174:CH237" si="75">BW174</f>
        <v>0</v>
      </c>
      <c r="CJ174" s="163">
        <f t="shared" ref="CJ174:CJ237" si="76">AO174</f>
        <v>0</v>
      </c>
      <c r="CK174" s="163">
        <f t="shared" ref="CK174:CK237" si="77">AV174</f>
        <v>0</v>
      </c>
      <c r="CL174" s="163">
        <f t="shared" ref="CL174:CL237" si="78">BC174</f>
        <v>0</v>
      </c>
      <c r="CM174" s="163">
        <f t="shared" ref="CM174:CM237" si="79">BJ174</f>
        <v>0</v>
      </c>
      <c r="CN174" s="163">
        <f t="shared" ref="CN174:CN237" si="80">BQ174</f>
        <v>0</v>
      </c>
      <c r="CO174" s="163">
        <f t="shared" ref="CO174:CO237" si="81">BX174</f>
        <v>0</v>
      </c>
      <c r="CP174" s="163"/>
      <c r="CQ174" s="163">
        <f t="shared" ref="CQ174:CQ237" si="82">AP174</f>
        <v>0</v>
      </c>
      <c r="CR174" s="163">
        <f t="shared" ref="CR174:CR237" si="83">AW174</f>
        <v>0</v>
      </c>
      <c r="CS174" s="163">
        <f t="shared" ref="CS174:CS237" si="84">BD174</f>
        <v>0</v>
      </c>
      <c r="CT174" s="163">
        <f t="shared" ref="CT174:CT237" si="85">BK174</f>
        <v>0</v>
      </c>
      <c r="CU174" s="163">
        <f t="shared" ref="CU174:CU237" si="86">BR174</f>
        <v>0</v>
      </c>
      <c r="CV174" s="163">
        <f t="shared" ref="CV174:CV237" si="87">BY174</f>
        <v>0</v>
      </c>
      <c r="CY174" s="164" t="s">
        <v>45</v>
      </c>
      <c r="FN174" s="165">
        <f t="shared" si="52"/>
        <v>86.102941176470594</v>
      </c>
      <c r="FO174" s="166">
        <f t="shared" ref="FO174:FO237" si="88">VLOOKUP(W174,$W$66:$Y$71,3,1)</f>
        <v>0</v>
      </c>
      <c r="FP174" s="166">
        <f t="shared" ref="FP174:FP237" si="89">VLOOKUP(X174,$X$73:$Y$76,2,1)</f>
        <v>0</v>
      </c>
    </row>
    <row r="175" spans="1:172" ht="18" x14ac:dyDescent="0.25">
      <c r="A175" s="137">
        <v>100</v>
      </c>
      <c r="B175" s="138" t="s">
        <v>171</v>
      </c>
      <c r="C175" s="139"/>
      <c r="D175" s="140" t="s">
        <v>99</v>
      </c>
      <c r="E175" s="141" t="s">
        <v>100</v>
      </c>
      <c r="F175" s="142" t="s">
        <v>188</v>
      </c>
      <c r="G175" s="143"/>
      <c r="H175" s="144"/>
      <c r="I175" s="144"/>
      <c r="J175" s="144"/>
      <c r="K175" s="144"/>
      <c r="L175" s="144"/>
      <c r="M175" s="137">
        <f t="shared" si="53"/>
        <v>117.64705882352942</v>
      </c>
      <c r="N175" s="145" t="s">
        <v>8</v>
      </c>
      <c r="O175" s="184">
        <f t="shared" si="54"/>
        <v>117.64705882352942</v>
      </c>
      <c r="P175" s="147" t="str">
        <f t="shared" si="45"/>
        <v>mt</v>
      </c>
      <c r="Q175" s="147" t="str">
        <f t="shared" si="46"/>
        <v>/ dia</v>
      </c>
      <c r="R175" s="148">
        <v>3</v>
      </c>
      <c r="S175" s="149">
        <v>2</v>
      </c>
      <c r="T175" s="149">
        <f t="shared" si="47"/>
        <v>1</v>
      </c>
      <c r="U175" s="149">
        <f t="shared" si="48"/>
        <v>0</v>
      </c>
      <c r="V175" s="149">
        <f t="shared" si="55"/>
        <v>0</v>
      </c>
      <c r="W175" s="140" t="s">
        <v>18</v>
      </c>
      <c r="X175" s="150" t="s">
        <v>18</v>
      </c>
      <c r="Y175" s="151">
        <f t="shared" si="56"/>
        <v>0</v>
      </c>
      <c r="Z175" s="152">
        <f t="shared" si="49"/>
        <v>0.66666666666666663</v>
      </c>
      <c r="AA175" s="153">
        <f t="shared" si="57"/>
        <v>0</v>
      </c>
      <c r="AB175" s="153">
        <f t="shared" si="58"/>
        <v>0</v>
      </c>
      <c r="AC175" s="154"/>
      <c r="AD175" s="155">
        <f t="shared" si="59"/>
        <v>0</v>
      </c>
      <c r="AE175" s="156">
        <f t="shared" si="60"/>
        <v>0</v>
      </c>
      <c r="AF175" s="157">
        <f t="shared" si="50"/>
        <v>0</v>
      </c>
      <c r="AG175" s="158" t="str">
        <f t="shared" si="51"/>
        <v>mt</v>
      </c>
      <c r="AH175" s="158">
        <f t="shared" si="61"/>
        <v>0</v>
      </c>
      <c r="AI175" s="159">
        <f t="shared" si="62"/>
        <v>0</v>
      </c>
      <c r="AJ175" s="160">
        <f t="shared" si="63"/>
        <v>0</v>
      </c>
      <c r="AL175" s="143"/>
      <c r="AM175" s="147" t="str">
        <f t="shared" si="64"/>
        <v>mt</v>
      </c>
      <c r="AN175" s="161"/>
      <c r="AO175" s="162"/>
      <c r="AP175" s="162"/>
      <c r="AQ175" s="140" t="s">
        <v>18</v>
      </c>
      <c r="AS175" s="143"/>
      <c r="AT175" s="147" t="str">
        <f t="shared" si="65"/>
        <v>mt</v>
      </c>
      <c r="AU175" s="161"/>
      <c r="AV175" s="162"/>
      <c r="AW175" s="162"/>
      <c r="AX175" s="140" t="s">
        <v>18</v>
      </c>
      <c r="AZ175" s="143"/>
      <c r="BA175" s="147" t="str">
        <f t="shared" si="66"/>
        <v>mt</v>
      </c>
      <c r="BB175" s="161"/>
      <c r="BC175" s="162"/>
      <c r="BD175" s="162"/>
      <c r="BE175" s="140" t="s">
        <v>18</v>
      </c>
      <c r="BG175" s="143"/>
      <c r="BH175" s="147" t="str">
        <f t="shared" si="67"/>
        <v>mt</v>
      </c>
      <c r="BI175" s="161"/>
      <c r="BJ175" s="162"/>
      <c r="BK175" s="162"/>
      <c r="BL175" s="140" t="s">
        <v>18</v>
      </c>
      <c r="BN175" s="143"/>
      <c r="BO175" s="147" t="str">
        <f t="shared" si="68"/>
        <v>mt</v>
      </c>
      <c r="BP175" s="161"/>
      <c r="BQ175" s="162"/>
      <c r="BR175" s="162"/>
      <c r="BS175" s="140" t="s">
        <v>18</v>
      </c>
      <c r="BU175" s="143"/>
      <c r="BV175" s="147" t="str">
        <f t="shared" si="69"/>
        <v>mt</v>
      </c>
      <c r="BW175" s="161"/>
      <c r="BX175" s="162"/>
      <c r="BY175" s="162"/>
      <c r="BZ175" s="140" t="s">
        <v>18</v>
      </c>
      <c r="CC175" s="163">
        <f t="shared" si="70"/>
        <v>0</v>
      </c>
      <c r="CD175" s="163">
        <f t="shared" si="71"/>
        <v>0</v>
      </c>
      <c r="CE175" s="163">
        <f t="shared" si="72"/>
        <v>0</v>
      </c>
      <c r="CF175" s="163">
        <f t="shared" si="73"/>
        <v>0</v>
      </c>
      <c r="CG175" s="163">
        <f t="shared" si="74"/>
        <v>0</v>
      </c>
      <c r="CH175" s="163">
        <f t="shared" si="75"/>
        <v>0</v>
      </c>
      <c r="CJ175" s="163">
        <f t="shared" si="76"/>
        <v>0</v>
      </c>
      <c r="CK175" s="163">
        <f t="shared" si="77"/>
        <v>0</v>
      </c>
      <c r="CL175" s="163">
        <f t="shared" si="78"/>
        <v>0</v>
      </c>
      <c r="CM175" s="163">
        <f t="shared" si="79"/>
        <v>0</v>
      </c>
      <c r="CN175" s="163">
        <f t="shared" si="80"/>
        <v>0</v>
      </c>
      <c r="CO175" s="163">
        <f t="shared" si="81"/>
        <v>0</v>
      </c>
      <c r="CP175" s="163"/>
      <c r="CQ175" s="163">
        <f t="shared" si="82"/>
        <v>0</v>
      </c>
      <c r="CR175" s="163">
        <f t="shared" si="83"/>
        <v>0</v>
      </c>
      <c r="CS175" s="163">
        <f t="shared" si="84"/>
        <v>0</v>
      </c>
      <c r="CT175" s="163">
        <f t="shared" si="85"/>
        <v>0</v>
      </c>
      <c r="CU175" s="163">
        <f t="shared" si="86"/>
        <v>0</v>
      </c>
      <c r="CV175" s="163">
        <f t="shared" si="87"/>
        <v>0</v>
      </c>
      <c r="CY175" s="164" t="s">
        <v>45</v>
      </c>
      <c r="FN175" s="165">
        <f t="shared" si="52"/>
        <v>117.64705882352942</v>
      </c>
      <c r="FO175" s="166">
        <f t="shared" si="88"/>
        <v>0</v>
      </c>
      <c r="FP175" s="166">
        <f t="shared" si="89"/>
        <v>0</v>
      </c>
    </row>
    <row r="176" spans="1:172" ht="18" x14ac:dyDescent="0.25">
      <c r="A176" s="167">
        <v>100</v>
      </c>
      <c r="B176" s="168" t="s">
        <v>171</v>
      </c>
      <c r="C176" s="169"/>
      <c r="D176" s="140" t="s">
        <v>99</v>
      </c>
      <c r="E176" s="170" t="s">
        <v>100</v>
      </c>
      <c r="F176" s="171" t="s">
        <v>189</v>
      </c>
      <c r="G176" s="143"/>
      <c r="H176" s="172"/>
      <c r="I176" s="172"/>
      <c r="J176" s="172"/>
      <c r="K176" s="172"/>
      <c r="L176" s="172"/>
      <c r="M176" s="137">
        <f t="shared" si="53"/>
        <v>117.64705882352942</v>
      </c>
      <c r="N176" s="173" t="s">
        <v>8</v>
      </c>
      <c r="O176" s="146">
        <f t="shared" si="54"/>
        <v>117.64705882352942</v>
      </c>
      <c r="P176" s="174" t="str">
        <f t="shared" si="45"/>
        <v>mt</v>
      </c>
      <c r="Q176" s="175" t="str">
        <f t="shared" si="46"/>
        <v>/ dia</v>
      </c>
      <c r="R176" s="176">
        <v>3</v>
      </c>
      <c r="S176" s="177">
        <v>2</v>
      </c>
      <c r="T176" s="177">
        <f t="shared" si="47"/>
        <v>1</v>
      </c>
      <c r="U176" s="149">
        <f t="shared" si="48"/>
        <v>0</v>
      </c>
      <c r="V176" s="149">
        <f t="shared" si="55"/>
        <v>0</v>
      </c>
      <c r="W176" s="140" t="s">
        <v>18</v>
      </c>
      <c r="X176" s="150" t="s">
        <v>18</v>
      </c>
      <c r="Y176" s="151">
        <f t="shared" si="56"/>
        <v>0</v>
      </c>
      <c r="Z176" s="178">
        <f t="shared" si="49"/>
        <v>0.66666666666666663</v>
      </c>
      <c r="AA176" s="179">
        <f t="shared" si="57"/>
        <v>0</v>
      </c>
      <c r="AB176" s="179">
        <f t="shared" si="58"/>
        <v>0</v>
      </c>
      <c r="AC176" s="180"/>
      <c r="AD176" s="155">
        <f t="shared" si="59"/>
        <v>0</v>
      </c>
      <c r="AE176" s="156">
        <f t="shared" si="60"/>
        <v>0</v>
      </c>
      <c r="AF176" s="157">
        <f t="shared" si="50"/>
        <v>0</v>
      </c>
      <c r="AG176" s="158" t="str">
        <f t="shared" si="51"/>
        <v>mt</v>
      </c>
      <c r="AH176" s="158">
        <f t="shared" si="61"/>
        <v>0</v>
      </c>
      <c r="AI176" s="159">
        <f t="shared" si="62"/>
        <v>0</v>
      </c>
      <c r="AJ176" s="160">
        <f t="shared" si="63"/>
        <v>0</v>
      </c>
      <c r="AL176" s="143"/>
      <c r="AM176" s="147" t="str">
        <f t="shared" si="64"/>
        <v>mt</v>
      </c>
      <c r="AN176" s="161"/>
      <c r="AO176" s="182"/>
      <c r="AP176" s="182"/>
      <c r="AQ176" s="183" t="s">
        <v>18</v>
      </c>
      <c r="AS176" s="143"/>
      <c r="AT176" s="147" t="str">
        <f t="shared" si="65"/>
        <v>mt</v>
      </c>
      <c r="AU176" s="161"/>
      <c r="AV176" s="182"/>
      <c r="AW176" s="182"/>
      <c r="AX176" s="183" t="s">
        <v>18</v>
      </c>
      <c r="AZ176" s="143"/>
      <c r="BA176" s="147" t="str">
        <f t="shared" si="66"/>
        <v>mt</v>
      </c>
      <c r="BB176" s="161"/>
      <c r="BC176" s="182"/>
      <c r="BD176" s="182"/>
      <c r="BE176" s="183" t="s">
        <v>18</v>
      </c>
      <c r="BG176" s="143"/>
      <c r="BH176" s="147" t="str">
        <f t="shared" si="67"/>
        <v>mt</v>
      </c>
      <c r="BI176" s="161"/>
      <c r="BJ176" s="182"/>
      <c r="BK176" s="182"/>
      <c r="BL176" s="183" t="s">
        <v>18</v>
      </c>
      <c r="BN176" s="143"/>
      <c r="BO176" s="147" t="str">
        <f t="shared" si="68"/>
        <v>mt</v>
      </c>
      <c r="BP176" s="161"/>
      <c r="BQ176" s="182"/>
      <c r="BR176" s="182"/>
      <c r="BS176" s="183" t="s">
        <v>18</v>
      </c>
      <c r="BU176" s="143"/>
      <c r="BV176" s="147" t="str">
        <f t="shared" si="69"/>
        <v>mt</v>
      </c>
      <c r="BW176" s="161"/>
      <c r="BX176" s="182"/>
      <c r="BY176" s="182"/>
      <c r="BZ176" s="183" t="s">
        <v>18</v>
      </c>
      <c r="CC176" s="163">
        <f t="shared" si="70"/>
        <v>0</v>
      </c>
      <c r="CD176" s="163">
        <f t="shared" si="71"/>
        <v>0</v>
      </c>
      <c r="CE176" s="163">
        <f t="shared" si="72"/>
        <v>0</v>
      </c>
      <c r="CF176" s="163">
        <f t="shared" si="73"/>
        <v>0</v>
      </c>
      <c r="CG176" s="163">
        <f t="shared" si="74"/>
        <v>0</v>
      </c>
      <c r="CH176" s="163">
        <f t="shared" si="75"/>
        <v>0</v>
      </c>
      <c r="CJ176" s="163">
        <f t="shared" si="76"/>
        <v>0</v>
      </c>
      <c r="CK176" s="163">
        <f t="shared" si="77"/>
        <v>0</v>
      </c>
      <c r="CL176" s="163">
        <f t="shared" si="78"/>
        <v>0</v>
      </c>
      <c r="CM176" s="163">
        <f t="shared" si="79"/>
        <v>0</v>
      </c>
      <c r="CN176" s="163">
        <f t="shared" si="80"/>
        <v>0</v>
      </c>
      <c r="CO176" s="163">
        <f t="shared" si="81"/>
        <v>0</v>
      </c>
      <c r="CP176" s="163"/>
      <c r="CQ176" s="163">
        <f t="shared" si="82"/>
        <v>0</v>
      </c>
      <c r="CR176" s="163">
        <f t="shared" si="83"/>
        <v>0</v>
      </c>
      <c r="CS176" s="163">
        <f t="shared" si="84"/>
        <v>0</v>
      </c>
      <c r="CT176" s="163">
        <f t="shared" si="85"/>
        <v>0</v>
      </c>
      <c r="CU176" s="163">
        <f t="shared" si="86"/>
        <v>0</v>
      </c>
      <c r="CV176" s="163">
        <f t="shared" si="87"/>
        <v>0</v>
      </c>
      <c r="CY176" s="164" t="s">
        <v>45</v>
      </c>
      <c r="FN176" s="165">
        <f t="shared" si="52"/>
        <v>117.64705882352942</v>
      </c>
      <c r="FO176" s="166">
        <f t="shared" si="88"/>
        <v>0</v>
      </c>
      <c r="FP176" s="166">
        <f t="shared" si="89"/>
        <v>0</v>
      </c>
    </row>
    <row r="177" spans="1:178" ht="18" x14ac:dyDescent="0.25">
      <c r="A177" s="137">
        <v>106.66666666666667</v>
      </c>
      <c r="B177" s="138" t="s">
        <v>171</v>
      </c>
      <c r="C177" s="139"/>
      <c r="D177" s="140" t="s">
        <v>99</v>
      </c>
      <c r="E177" s="141" t="s">
        <v>100</v>
      </c>
      <c r="F177" s="142" t="s">
        <v>190</v>
      </c>
      <c r="G177" s="143"/>
      <c r="H177" s="144"/>
      <c r="I177" s="144"/>
      <c r="J177" s="144"/>
      <c r="K177" s="144"/>
      <c r="L177" s="144"/>
      <c r="M177" s="137">
        <f t="shared" si="53"/>
        <v>125.49019607843138</v>
      </c>
      <c r="N177" s="145" t="s">
        <v>8</v>
      </c>
      <c r="O177" s="184">
        <f t="shared" si="54"/>
        <v>125.49019607843138</v>
      </c>
      <c r="P177" s="147" t="str">
        <f t="shared" si="45"/>
        <v>mt</v>
      </c>
      <c r="Q177" s="147" t="str">
        <f t="shared" si="46"/>
        <v>/ dia</v>
      </c>
      <c r="R177" s="148">
        <v>3</v>
      </c>
      <c r="S177" s="149">
        <v>2</v>
      </c>
      <c r="T177" s="149">
        <f t="shared" si="47"/>
        <v>1</v>
      </c>
      <c r="U177" s="149">
        <f t="shared" si="48"/>
        <v>0</v>
      </c>
      <c r="V177" s="149">
        <f t="shared" si="55"/>
        <v>0</v>
      </c>
      <c r="W177" s="140" t="s">
        <v>18</v>
      </c>
      <c r="X177" s="150" t="s">
        <v>18</v>
      </c>
      <c r="Y177" s="151">
        <f t="shared" si="56"/>
        <v>0</v>
      </c>
      <c r="Z177" s="152">
        <f t="shared" si="49"/>
        <v>0.66666666666666663</v>
      </c>
      <c r="AA177" s="153">
        <f t="shared" si="57"/>
        <v>0</v>
      </c>
      <c r="AB177" s="153">
        <f t="shared" si="58"/>
        <v>0</v>
      </c>
      <c r="AC177" s="154"/>
      <c r="AD177" s="155">
        <f t="shared" si="59"/>
        <v>0</v>
      </c>
      <c r="AE177" s="156">
        <f t="shared" si="60"/>
        <v>0</v>
      </c>
      <c r="AF177" s="157">
        <f t="shared" si="50"/>
        <v>0</v>
      </c>
      <c r="AG177" s="158" t="str">
        <f t="shared" si="51"/>
        <v>mt</v>
      </c>
      <c r="AH177" s="158">
        <f t="shared" si="61"/>
        <v>0</v>
      </c>
      <c r="AI177" s="159">
        <f t="shared" si="62"/>
        <v>0</v>
      </c>
      <c r="AJ177" s="160">
        <f t="shared" si="63"/>
        <v>0</v>
      </c>
      <c r="AL177" s="143"/>
      <c r="AM177" s="147" t="str">
        <f t="shared" si="64"/>
        <v>mt</v>
      </c>
      <c r="AN177" s="161"/>
      <c r="AO177" s="162"/>
      <c r="AP177" s="162"/>
      <c r="AQ177" s="140" t="s">
        <v>18</v>
      </c>
      <c r="AS177" s="143"/>
      <c r="AT177" s="147" t="str">
        <f t="shared" si="65"/>
        <v>mt</v>
      </c>
      <c r="AU177" s="161"/>
      <c r="AV177" s="162"/>
      <c r="AW177" s="162"/>
      <c r="AX177" s="140" t="s">
        <v>18</v>
      </c>
      <c r="AZ177" s="143"/>
      <c r="BA177" s="147" t="str">
        <f t="shared" si="66"/>
        <v>mt</v>
      </c>
      <c r="BB177" s="161"/>
      <c r="BC177" s="162"/>
      <c r="BD177" s="162"/>
      <c r="BE177" s="140" t="s">
        <v>18</v>
      </c>
      <c r="BG177" s="143"/>
      <c r="BH177" s="147" t="str">
        <f t="shared" si="67"/>
        <v>mt</v>
      </c>
      <c r="BI177" s="161"/>
      <c r="BJ177" s="162"/>
      <c r="BK177" s="162"/>
      <c r="BL177" s="140" t="s">
        <v>18</v>
      </c>
      <c r="BN177" s="143"/>
      <c r="BO177" s="147" t="str">
        <f t="shared" si="68"/>
        <v>mt</v>
      </c>
      <c r="BP177" s="161"/>
      <c r="BQ177" s="162"/>
      <c r="BR177" s="162"/>
      <c r="BS177" s="140" t="s">
        <v>18</v>
      </c>
      <c r="BU177" s="143"/>
      <c r="BV177" s="147" t="str">
        <f t="shared" si="69"/>
        <v>mt</v>
      </c>
      <c r="BW177" s="161"/>
      <c r="BX177" s="162"/>
      <c r="BY177" s="162"/>
      <c r="BZ177" s="140" t="s">
        <v>18</v>
      </c>
      <c r="CC177" s="163">
        <f t="shared" si="70"/>
        <v>0</v>
      </c>
      <c r="CD177" s="163">
        <f t="shared" si="71"/>
        <v>0</v>
      </c>
      <c r="CE177" s="163">
        <f t="shared" si="72"/>
        <v>0</v>
      </c>
      <c r="CF177" s="163">
        <f t="shared" si="73"/>
        <v>0</v>
      </c>
      <c r="CG177" s="163">
        <f t="shared" si="74"/>
        <v>0</v>
      </c>
      <c r="CH177" s="163">
        <f t="shared" si="75"/>
        <v>0</v>
      </c>
      <c r="CJ177" s="163">
        <f t="shared" si="76"/>
        <v>0</v>
      </c>
      <c r="CK177" s="163">
        <f t="shared" si="77"/>
        <v>0</v>
      </c>
      <c r="CL177" s="163">
        <f t="shared" si="78"/>
        <v>0</v>
      </c>
      <c r="CM177" s="163">
        <f t="shared" si="79"/>
        <v>0</v>
      </c>
      <c r="CN177" s="163">
        <f t="shared" si="80"/>
        <v>0</v>
      </c>
      <c r="CO177" s="163">
        <f t="shared" si="81"/>
        <v>0</v>
      </c>
      <c r="CP177" s="163"/>
      <c r="CQ177" s="163">
        <f t="shared" si="82"/>
        <v>0</v>
      </c>
      <c r="CR177" s="163">
        <f t="shared" si="83"/>
        <v>0</v>
      </c>
      <c r="CS177" s="163">
        <f t="shared" si="84"/>
        <v>0</v>
      </c>
      <c r="CT177" s="163">
        <f t="shared" si="85"/>
        <v>0</v>
      </c>
      <c r="CU177" s="163">
        <f t="shared" si="86"/>
        <v>0</v>
      </c>
      <c r="CV177" s="163">
        <f t="shared" si="87"/>
        <v>0</v>
      </c>
      <c r="CY177" s="164" t="s">
        <v>45</v>
      </c>
      <c r="FN177" s="165">
        <f t="shared" si="52"/>
        <v>125.49019607843138</v>
      </c>
      <c r="FO177" s="166">
        <f t="shared" si="88"/>
        <v>0</v>
      </c>
      <c r="FP177" s="166">
        <f t="shared" si="89"/>
        <v>0</v>
      </c>
    </row>
    <row r="178" spans="1:178" ht="22.5" x14ac:dyDescent="0.25">
      <c r="A178" s="167">
        <v>6</v>
      </c>
      <c r="B178" s="168" t="s">
        <v>191</v>
      </c>
      <c r="C178" s="169"/>
      <c r="D178" s="140" t="s">
        <v>99</v>
      </c>
      <c r="E178" s="170" t="s">
        <v>192</v>
      </c>
      <c r="F178" s="171" t="s">
        <v>193</v>
      </c>
      <c r="G178" s="143"/>
      <c r="H178" s="172"/>
      <c r="I178" s="172"/>
      <c r="J178" s="172"/>
      <c r="K178" s="172"/>
      <c r="L178" s="172"/>
      <c r="M178" s="137">
        <f t="shared" si="53"/>
        <v>7.0588235294117645</v>
      </c>
      <c r="N178" s="173" t="s">
        <v>9</v>
      </c>
      <c r="O178" s="146">
        <f t="shared" si="54"/>
        <v>7.0588235294117645</v>
      </c>
      <c r="P178" s="174" t="str">
        <f t="shared" si="45"/>
        <v>pç</v>
      </c>
      <c r="Q178" s="175" t="str">
        <f t="shared" si="46"/>
        <v>/ dia</v>
      </c>
      <c r="R178" s="176">
        <v>3</v>
      </c>
      <c r="S178" s="177">
        <v>2</v>
      </c>
      <c r="T178" s="177">
        <f t="shared" si="47"/>
        <v>1</v>
      </c>
      <c r="U178" s="149">
        <f t="shared" si="48"/>
        <v>0</v>
      </c>
      <c r="V178" s="149">
        <f t="shared" si="55"/>
        <v>0</v>
      </c>
      <c r="W178" s="140" t="s">
        <v>18</v>
      </c>
      <c r="X178" s="150" t="s">
        <v>18</v>
      </c>
      <c r="Y178" s="151">
        <f t="shared" si="56"/>
        <v>0</v>
      </c>
      <c r="Z178" s="178">
        <f t="shared" si="49"/>
        <v>0.66666666666666663</v>
      </c>
      <c r="AA178" s="179">
        <f t="shared" si="57"/>
        <v>0</v>
      </c>
      <c r="AB178" s="179">
        <f t="shared" si="58"/>
        <v>0</v>
      </c>
      <c r="AC178" s="180"/>
      <c r="AD178" s="155">
        <f t="shared" si="59"/>
        <v>0</v>
      </c>
      <c r="AE178" s="156">
        <f t="shared" si="60"/>
        <v>0</v>
      </c>
      <c r="AF178" s="157">
        <f t="shared" si="50"/>
        <v>0</v>
      </c>
      <c r="AG178" s="158" t="str">
        <f t="shared" si="51"/>
        <v>pç</v>
      </c>
      <c r="AH178" s="158">
        <f t="shared" si="61"/>
        <v>0</v>
      </c>
      <c r="AI178" s="159">
        <f t="shared" si="62"/>
        <v>0</v>
      </c>
      <c r="AJ178" s="160">
        <f t="shared" si="63"/>
        <v>0</v>
      </c>
      <c r="AL178" s="143"/>
      <c r="AM178" s="147" t="str">
        <f t="shared" si="64"/>
        <v>pç</v>
      </c>
      <c r="AN178" s="161"/>
      <c r="AO178" s="182"/>
      <c r="AP178" s="182"/>
      <c r="AQ178" s="183" t="s">
        <v>18</v>
      </c>
      <c r="AS178" s="143"/>
      <c r="AT178" s="147" t="str">
        <f t="shared" si="65"/>
        <v>pç</v>
      </c>
      <c r="AU178" s="161"/>
      <c r="AV178" s="182"/>
      <c r="AW178" s="182"/>
      <c r="AX178" s="183" t="s">
        <v>18</v>
      </c>
      <c r="AZ178" s="143"/>
      <c r="BA178" s="147" t="str">
        <f t="shared" si="66"/>
        <v>pç</v>
      </c>
      <c r="BB178" s="161"/>
      <c r="BC178" s="182"/>
      <c r="BD178" s="182"/>
      <c r="BE178" s="183" t="s">
        <v>18</v>
      </c>
      <c r="BG178" s="143"/>
      <c r="BH178" s="147" t="str">
        <f t="shared" si="67"/>
        <v>pç</v>
      </c>
      <c r="BI178" s="161"/>
      <c r="BJ178" s="182"/>
      <c r="BK178" s="182"/>
      <c r="BL178" s="183" t="s">
        <v>18</v>
      </c>
      <c r="BN178" s="143"/>
      <c r="BO178" s="147" t="str">
        <f t="shared" si="68"/>
        <v>pç</v>
      </c>
      <c r="BP178" s="161"/>
      <c r="BQ178" s="182"/>
      <c r="BR178" s="182"/>
      <c r="BS178" s="183" t="s">
        <v>18</v>
      </c>
      <c r="BU178" s="143"/>
      <c r="BV178" s="147" t="str">
        <f t="shared" si="69"/>
        <v>pç</v>
      </c>
      <c r="BW178" s="161"/>
      <c r="BX178" s="182"/>
      <c r="BY178" s="182"/>
      <c r="BZ178" s="183" t="s">
        <v>18</v>
      </c>
      <c r="CC178" s="163">
        <f t="shared" si="70"/>
        <v>0</v>
      </c>
      <c r="CD178" s="163">
        <f t="shared" si="71"/>
        <v>0</v>
      </c>
      <c r="CE178" s="163">
        <f t="shared" si="72"/>
        <v>0</v>
      </c>
      <c r="CF178" s="163">
        <f t="shared" si="73"/>
        <v>0</v>
      </c>
      <c r="CG178" s="163">
        <f t="shared" si="74"/>
        <v>0</v>
      </c>
      <c r="CH178" s="163">
        <f t="shared" si="75"/>
        <v>0</v>
      </c>
      <c r="CJ178" s="163">
        <f t="shared" si="76"/>
        <v>0</v>
      </c>
      <c r="CK178" s="163">
        <f t="shared" si="77"/>
        <v>0</v>
      </c>
      <c r="CL178" s="163">
        <f t="shared" si="78"/>
        <v>0</v>
      </c>
      <c r="CM178" s="163">
        <f t="shared" si="79"/>
        <v>0</v>
      </c>
      <c r="CN178" s="163">
        <f t="shared" si="80"/>
        <v>0</v>
      </c>
      <c r="CO178" s="163">
        <f t="shared" si="81"/>
        <v>0</v>
      </c>
      <c r="CP178" s="163"/>
      <c r="CQ178" s="163">
        <f t="shared" si="82"/>
        <v>0</v>
      </c>
      <c r="CR178" s="163">
        <f t="shared" si="83"/>
        <v>0</v>
      </c>
      <c r="CS178" s="163">
        <f t="shared" si="84"/>
        <v>0</v>
      </c>
      <c r="CT178" s="163">
        <f t="shared" si="85"/>
        <v>0</v>
      </c>
      <c r="CU178" s="163">
        <f t="shared" si="86"/>
        <v>0</v>
      </c>
      <c r="CV178" s="163">
        <f t="shared" si="87"/>
        <v>0</v>
      </c>
      <c r="CY178" s="164" t="s">
        <v>45</v>
      </c>
      <c r="FN178" s="165">
        <f t="shared" si="52"/>
        <v>7.0588235294117645</v>
      </c>
      <c r="FO178" s="166">
        <f t="shared" si="88"/>
        <v>0</v>
      </c>
      <c r="FP178" s="166">
        <f t="shared" si="89"/>
        <v>0</v>
      </c>
    </row>
    <row r="179" spans="1:178" ht="22.5" x14ac:dyDescent="0.25">
      <c r="A179" s="137">
        <v>390</v>
      </c>
      <c r="B179" s="138" t="s">
        <v>191</v>
      </c>
      <c r="C179" s="139"/>
      <c r="D179" s="140" t="s">
        <v>99</v>
      </c>
      <c r="E179" s="141" t="s">
        <v>129</v>
      </c>
      <c r="F179" s="142" t="s">
        <v>194</v>
      </c>
      <c r="G179" s="143"/>
      <c r="H179" s="144"/>
      <c r="I179" s="144"/>
      <c r="J179" s="144"/>
      <c r="K179" s="144"/>
      <c r="L179" s="144"/>
      <c r="M179" s="137">
        <f t="shared" si="53"/>
        <v>458.8235294117647</v>
      </c>
      <c r="N179" s="145" t="s">
        <v>8</v>
      </c>
      <c r="O179" s="184">
        <f t="shared" si="54"/>
        <v>458.8235294117647</v>
      </c>
      <c r="P179" s="147" t="str">
        <f t="shared" si="45"/>
        <v>mt</v>
      </c>
      <c r="Q179" s="147" t="str">
        <f t="shared" si="46"/>
        <v>/ dia</v>
      </c>
      <c r="R179" s="148">
        <v>2</v>
      </c>
      <c r="S179" s="149">
        <v>1</v>
      </c>
      <c r="T179" s="149">
        <f t="shared" si="47"/>
        <v>1</v>
      </c>
      <c r="U179" s="149">
        <f t="shared" si="48"/>
        <v>0</v>
      </c>
      <c r="V179" s="149">
        <f t="shared" si="55"/>
        <v>0</v>
      </c>
      <c r="W179" s="140" t="s">
        <v>18</v>
      </c>
      <c r="X179" s="150" t="s">
        <v>18</v>
      </c>
      <c r="Y179" s="151">
        <f t="shared" si="56"/>
        <v>0</v>
      </c>
      <c r="Z179" s="152">
        <f t="shared" si="49"/>
        <v>0.5</v>
      </c>
      <c r="AA179" s="153">
        <f t="shared" si="57"/>
        <v>0</v>
      </c>
      <c r="AB179" s="153">
        <f t="shared" si="58"/>
        <v>0</v>
      </c>
      <c r="AC179" s="154"/>
      <c r="AD179" s="155">
        <f t="shared" si="59"/>
        <v>0</v>
      </c>
      <c r="AE179" s="156">
        <f t="shared" si="60"/>
        <v>0</v>
      </c>
      <c r="AF179" s="157">
        <f t="shared" si="50"/>
        <v>0</v>
      </c>
      <c r="AG179" s="158" t="str">
        <f t="shared" si="51"/>
        <v>mt</v>
      </c>
      <c r="AH179" s="158">
        <f t="shared" si="61"/>
        <v>0</v>
      </c>
      <c r="AI179" s="159">
        <f t="shared" si="62"/>
        <v>0</v>
      </c>
      <c r="AJ179" s="160">
        <f t="shared" si="63"/>
        <v>0</v>
      </c>
      <c r="AL179" s="143"/>
      <c r="AM179" s="147" t="str">
        <f t="shared" si="64"/>
        <v>mt</v>
      </c>
      <c r="AN179" s="161"/>
      <c r="AO179" s="162"/>
      <c r="AP179" s="162"/>
      <c r="AQ179" s="140" t="s">
        <v>18</v>
      </c>
      <c r="AS179" s="143"/>
      <c r="AT179" s="147" t="str">
        <f t="shared" si="65"/>
        <v>mt</v>
      </c>
      <c r="AU179" s="161"/>
      <c r="AV179" s="162"/>
      <c r="AW179" s="162"/>
      <c r="AX179" s="140" t="s">
        <v>18</v>
      </c>
      <c r="AZ179" s="143"/>
      <c r="BA179" s="147" t="str">
        <f t="shared" si="66"/>
        <v>mt</v>
      </c>
      <c r="BB179" s="161"/>
      <c r="BC179" s="162"/>
      <c r="BD179" s="162"/>
      <c r="BE179" s="140" t="s">
        <v>18</v>
      </c>
      <c r="BG179" s="143"/>
      <c r="BH179" s="147" t="str">
        <f t="shared" si="67"/>
        <v>mt</v>
      </c>
      <c r="BI179" s="161"/>
      <c r="BJ179" s="162"/>
      <c r="BK179" s="162"/>
      <c r="BL179" s="140" t="s">
        <v>18</v>
      </c>
      <c r="BN179" s="143"/>
      <c r="BO179" s="147" t="str">
        <f t="shared" si="68"/>
        <v>mt</v>
      </c>
      <c r="BP179" s="161"/>
      <c r="BQ179" s="162"/>
      <c r="BR179" s="162"/>
      <c r="BS179" s="140" t="s">
        <v>18</v>
      </c>
      <c r="BU179" s="143"/>
      <c r="BV179" s="147" t="str">
        <f t="shared" si="69"/>
        <v>mt</v>
      </c>
      <c r="BW179" s="161"/>
      <c r="BX179" s="162"/>
      <c r="BY179" s="162"/>
      <c r="BZ179" s="140" t="s">
        <v>18</v>
      </c>
      <c r="CC179" s="163">
        <f t="shared" si="70"/>
        <v>0</v>
      </c>
      <c r="CD179" s="163">
        <f t="shared" si="71"/>
        <v>0</v>
      </c>
      <c r="CE179" s="163">
        <f t="shared" si="72"/>
        <v>0</v>
      </c>
      <c r="CF179" s="163">
        <f t="shared" si="73"/>
        <v>0</v>
      </c>
      <c r="CG179" s="163">
        <f t="shared" si="74"/>
        <v>0</v>
      </c>
      <c r="CH179" s="163">
        <f t="shared" si="75"/>
        <v>0</v>
      </c>
      <c r="CJ179" s="163">
        <f t="shared" si="76"/>
        <v>0</v>
      </c>
      <c r="CK179" s="163">
        <f t="shared" si="77"/>
        <v>0</v>
      </c>
      <c r="CL179" s="163">
        <f t="shared" si="78"/>
        <v>0</v>
      </c>
      <c r="CM179" s="163">
        <f t="shared" si="79"/>
        <v>0</v>
      </c>
      <c r="CN179" s="163">
        <f t="shared" si="80"/>
        <v>0</v>
      </c>
      <c r="CO179" s="163">
        <f t="shared" si="81"/>
        <v>0</v>
      </c>
      <c r="CP179" s="163"/>
      <c r="CQ179" s="163">
        <f t="shared" si="82"/>
        <v>0</v>
      </c>
      <c r="CR179" s="163">
        <f t="shared" si="83"/>
        <v>0</v>
      </c>
      <c r="CS179" s="163">
        <f t="shared" si="84"/>
        <v>0</v>
      </c>
      <c r="CT179" s="163">
        <f t="shared" si="85"/>
        <v>0</v>
      </c>
      <c r="CU179" s="163">
        <f t="shared" si="86"/>
        <v>0</v>
      </c>
      <c r="CV179" s="163">
        <f t="shared" si="87"/>
        <v>0</v>
      </c>
      <c r="CY179" s="164" t="s">
        <v>45</v>
      </c>
      <c r="FN179" s="165">
        <f t="shared" si="52"/>
        <v>458.8235294117647</v>
      </c>
      <c r="FO179" s="166">
        <f t="shared" si="88"/>
        <v>0</v>
      </c>
      <c r="FP179" s="166">
        <f t="shared" si="89"/>
        <v>0</v>
      </c>
    </row>
    <row r="180" spans="1:178" ht="22.5" x14ac:dyDescent="0.25">
      <c r="A180" s="167">
        <v>578.57142857142856</v>
      </c>
      <c r="B180" s="168" t="s">
        <v>191</v>
      </c>
      <c r="C180" s="169"/>
      <c r="D180" s="140" t="s">
        <v>99</v>
      </c>
      <c r="E180" s="170" t="s">
        <v>129</v>
      </c>
      <c r="F180" s="171" t="s">
        <v>195</v>
      </c>
      <c r="G180" s="143"/>
      <c r="H180" s="172"/>
      <c r="I180" s="172"/>
      <c r="J180" s="172"/>
      <c r="K180" s="172"/>
      <c r="L180" s="172"/>
      <c r="M180" s="137">
        <f t="shared" si="53"/>
        <v>680.67226890756308</v>
      </c>
      <c r="N180" s="173" t="s">
        <v>8</v>
      </c>
      <c r="O180" s="146">
        <f t="shared" si="54"/>
        <v>680.67226890756308</v>
      </c>
      <c r="P180" s="174" t="str">
        <f t="shared" si="45"/>
        <v>mt</v>
      </c>
      <c r="Q180" s="175" t="str">
        <f t="shared" si="46"/>
        <v>/ dia</v>
      </c>
      <c r="R180" s="176">
        <v>2</v>
      </c>
      <c r="S180" s="177">
        <v>1</v>
      </c>
      <c r="T180" s="177">
        <f t="shared" si="47"/>
        <v>1</v>
      </c>
      <c r="U180" s="149">
        <f t="shared" si="48"/>
        <v>0</v>
      </c>
      <c r="V180" s="149">
        <f t="shared" si="55"/>
        <v>0</v>
      </c>
      <c r="W180" s="140" t="s">
        <v>18</v>
      </c>
      <c r="X180" s="150" t="s">
        <v>18</v>
      </c>
      <c r="Y180" s="151">
        <f t="shared" si="56"/>
        <v>0</v>
      </c>
      <c r="Z180" s="178">
        <f t="shared" si="49"/>
        <v>0.5</v>
      </c>
      <c r="AA180" s="179">
        <f t="shared" si="57"/>
        <v>0</v>
      </c>
      <c r="AB180" s="179">
        <f t="shared" si="58"/>
        <v>0</v>
      </c>
      <c r="AC180" s="180"/>
      <c r="AD180" s="155">
        <f t="shared" si="59"/>
        <v>0</v>
      </c>
      <c r="AE180" s="156">
        <f t="shared" si="60"/>
        <v>0</v>
      </c>
      <c r="AF180" s="157">
        <f t="shared" si="50"/>
        <v>0</v>
      </c>
      <c r="AG180" s="158" t="str">
        <f t="shared" si="51"/>
        <v>mt</v>
      </c>
      <c r="AH180" s="158">
        <f t="shared" si="61"/>
        <v>0</v>
      </c>
      <c r="AI180" s="159">
        <f t="shared" si="62"/>
        <v>0</v>
      </c>
      <c r="AJ180" s="160">
        <f t="shared" si="63"/>
        <v>0</v>
      </c>
      <c r="AL180" s="143"/>
      <c r="AM180" s="147" t="str">
        <f t="shared" si="64"/>
        <v>mt</v>
      </c>
      <c r="AN180" s="161"/>
      <c r="AO180" s="182"/>
      <c r="AP180" s="182"/>
      <c r="AQ180" s="183" t="s">
        <v>18</v>
      </c>
      <c r="AS180" s="143"/>
      <c r="AT180" s="147" t="str">
        <f t="shared" si="65"/>
        <v>mt</v>
      </c>
      <c r="AU180" s="161"/>
      <c r="AV180" s="182"/>
      <c r="AW180" s="182"/>
      <c r="AX180" s="183" t="s">
        <v>18</v>
      </c>
      <c r="AZ180" s="143"/>
      <c r="BA180" s="147" t="str">
        <f t="shared" si="66"/>
        <v>mt</v>
      </c>
      <c r="BB180" s="161"/>
      <c r="BC180" s="182"/>
      <c r="BD180" s="182"/>
      <c r="BE180" s="183" t="s">
        <v>18</v>
      </c>
      <c r="BG180" s="143"/>
      <c r="BH180" s="147" t="str">
        <f t="shared" si="67"/>
        <v>mt</v>
      </c>
      <c r="BI180" s="161"/>
      <c r="BJ180" s="182"/>
      <c r="BK180" s="182"/>
      <c r="BL180" s="183" t="s">
        <v>18</v>
      </c>
      <c r="BN180" s="143"/>
      <c r="BO180" s="147" t="str">
        <f t="shared" si="68"/>
        <v>mt</v>
      </c>
      <c r="BP180" s="161"/>
      <c r="BQ180" s="182"/>
      <c r="BR180" s="182"/>
      <c r="BS180" s="183" t="s">
        <v>18</v>
      </c>
      <c r="BU180" s="143"/>
      <c r="BV180" s="147" t="str">
        <f t="shared" si="69"/>
        <v>mt</v>
      </c>
      <c r="BW180" s="161"/>
      <c r="BX180" s="182"/>
      <c r="BY180" s="182"/>
      <c r="BZ180" s="183" t="s">
        <v>18</v>
      </c>
      <c r="CC180" s="163">
        <f t="shared" si="70"/>
        <v>0</v>
      </c>
      <c r="CD180" s="163">
        <f t="shared" si="71"/>
        <v>0</v>
      </c>
      <c r="CE180" s="163">
        <f t="shared" si="72"/>
        <v>0</v>
      </c>
      <c r="CF180" s="163">
        <f t="shared" si="73"/>
        <v>0</v>
      </c>
      <c r="CG180" s="163">
        <f t="shared" si="74"/>
        <v>0</v>
      </c>
      <c r="CH180" s="163">
        <f t="shared" si="75"/>
        <v>0</v>
      </c>
      <c r="CJ180" s="163">
        <f t="shared" si="76"/>
        <v>0</v>
      </c>
      <c r="CK180" s="163">
        <f t="shared" si="77"/>
        <v>0</v>
      </c>
      <c r="CL180" s="163">
        <f t="shared" si="78"/>
        <v>0</v>
      </c>
      <c r="CM180" s="163">
        <f t="shared" si="79"/>
        <v>0</v>
      </c>
      <c r="CN180" s="163">
        <f t="shared" si="80"/>
        <v>0</v>
      </c>
      <c r="CO180" s="163">
        <f t="shared" si="81"/>
        <v>0</v>
      </c>
      <c r="CP180" s="163"/>
      <c r="CQ180" s="163">
        <f t="shared" si="82"/>
        <v>0</v>
      </c>
      <c r="CR180" s="163">
        <f t="shared" si="83"/>
        <v>0</v>
      </c>
      <c r="CS180" s="163">
        <f t="shared" si="84"/>
        <v>0</v>
      </c>
      <c r="CT180" s="163">
        <f t="shared" si="85"/>
        <v>0</v>
      </c>
      <c r="CU180" s="163">
        <f t="shared" si="86"/>
        <v>0</v>
      </c>
      <c r="CV180" s="163">
        <f t="shared" si="87"/>
        <v>0</v>
      </c>
      <c r="CY180" s="164" t="s">
        <v>45</v>
      </c>
      <c r="FN180" s="165">
        <f t="shared" si="52"/>
        <v>680.67226890756308</v>
      </c>
      <c r="FO180" s="166">
        <f t="shared" si="88"/>
        <v>0</v>
      </c>
      <c r="FP180" s="166">
        <f t="shared" si="89"/>
        <v>0</v>
      </c>
    </row>
    <row r="181" spans="1:178" ht="22.5" x14ac:dyDescent="0.25">
      <c r="A181" s="137">
        <v>579</v>
      </c>
      <c r="B181" s="138" t="s">
        <v>191</v>
      </c>
      <c r="C181" s="139"/>
      <c r="D181" s="140" t="s">
        <v>99</v>
      </c>
      <c r="E181" s="141" t="s">
        <v>129</v>
      </c>
      <c r="F181" s="142" t="s">
        <v>196</v>
      </c>
      <c r="G181" s="143"/>
      <c r="H181" s="144"/>
      <c r="I181" s="144"/>
      <c r="J181" s="144"/>
      <c r="K181" s="144"/>
      <c r="L181" s="144"/>
      <c r="M181" s="137">
        <f t="shared" si="53"/>
        <v>681.17647058823536</v>
      </c>
      <c r="N181" s="145" t="s">
        <v>8</v>
      </c>
      <c r="O181" s="184">
        <f t="shared" si="54"/>
        <v>681.17647058823536</v>
      </c>
      <c r="P181" s="147" t="str">
        <f t="shared" si="45"/>
        <v>mt</v>
      </c>
      <c r="Q181" s="147" t="str">
        <f t="shared" si="46"/>
        <v>/ dia</v>
      </c>
      <c r="R181" s="148">
        <v>2</v>
      </c>
      <c r="S181" s="149">
        <v>1</v>
      </c>
      <c r="T181" s="149">
        <f t="shared" si="47"/>
        <v>1</v>
      </c>
      <c r="U181" s="149">
        <f t="shared" si="48"/>
        <v>0</v>
      </c>
      <c r="V181" s="149">
        <f t="shared" si="55"/>
        <v>0</v>
      </c>
      <c r="W181" s="140" t="s">
        <v>18</v>
      </c>
      <c r="X181" s="150" t="s">
        <v>18</v>
      </c>
      <c r="Y181" s="151">
        <f t="shared" si="56"/>
        <v>0</v>
      </c>
      <c r="Z181" s="152">
        <f t="shared" si="49"/>
        <v>0.5</v>
      </c>
      <c r="AA181" s="153">
        <f t="shared" si="57"/>
        <v>0</v>
      </c>
      <c r="AB181" s="153">
        <f t="shared" si="58"/>
        <v>0</v>
      </c>
      <c r="AC181" s="154"/>
      <c r="AD181" s="155">
        <f t="shared" si="59"/>
        <v>0</v>
      </c>
      <c r="AE181" s="156">
        <f t="shared" si="60"/>
        <v>0</v>
      </c>
      <c r="AF181" s="157">
        <f t="shared" si="50"/>
        <v>0</v>
      </c>
      <c r="AG181" s="158" t="str">
        <f t="shared" si="51"/>
        <v>mt</v>
      </c>
      <c r="AH181" s="158">
        <f t="shared" si="61"/>
        <v>0</v>
      </c>
      <c r="AI181" s="159">
        <f t="shared" si="62"/>
        <v>0</v>
      </c>
      <c r="AJ181" s="160">
        <f t="shared" si="63"/>
        <v>0</v>
      </c>
      <c r="AL181" s="143"/>
      <c r="AM181" s="147" t="str">
        <f t="shared" si="64"/>
        <v>mt</v>
      </c>
      <c r="AN181" s="161"/>
      <c r="AO181" s="162"/>
      <c r="AP181" s="162"/>
      <c r="AQ181" s="140" t="s">
        <v>18</v>
      </c>
      <c r="AS181" s="143"/>
      <c r="AT181" s="147" t="str">
        <f t="shared" si="65"/>
        <v>mt</v>
      </c>
      <c r="AU181" s="161"/>
      <c r="AV181" s="162"/>
      <c r="AW181" s="162"/>
      <c r="AX181" s="140" t="s">
        <v>18</v>
      </c>
      <c r="AZ181" s="143"/>
      <c r="BA181" s="147" t="str">
        <f t="shared" si="66"/>
        <v>mt</v>
      </c>
      <c r="BB181" s="161"/>
      <c r="BC181" s="162"/>
      <c r="BD181" s="162"/>
      <c r="BE181" s="140" t="s">
        <v>18</v>
      </c>
      <c r="BG181" s="143"/>
      <c r="BH181" s="147" t="str">
        <f t="shared" si="67"/>
        <v>mt</v>
      </c>
      <c r="BI181" s="161"/>
      <c r="BJ181" s="162"/>
      <c r="BK181" s="162"/>
      <c r="BL181" s="140" t="s">
        <v>18</v>
      </c>
      <c r="BN181" s="143"/>
      <c r="BO181" s="147" t="str">
        <f t="shared" si="68"/>
        <v>mt</v>
      </c>
      <c r="BP181" s="161"/>
      <c r="BQ181" s="162"/>
      <c r="BR181" s="162"/>
      <c r="BS181" s="140" t="s">
        <v>18</v>
      </c>
      <c r="BU181" s="143"/>
      <c r="BV181" s="147" t="str">
        <f t="shared" si="69"/>
        <v>mt</v>
      </c>
      <c r="BW181" s="161"/>
      <c r="BX181" s="162"/>
      <c r="BY181" s="162"/>
      <c r="BZ181" s="140" t="s">
        <v>18</v>
      </c>
      <c r="CC181" s="163">
        <f t="shared" si="70"/>
        <v>0</v>
      </c>
      <c r="CD181" s="163">
        <f t="shared" si="71"/>
        <v>0</v>
      </c>
      <c r="CE181" s="163">
        <f t="shared" si="72"/>
        <v>0</v>
      </c>
      <c r="CF181" s="163">
        <f t="shared" si="73"/>
        <v>0</v>
      </c>
      <c r="CG181" s="163">
        <f t="shared" si="74"/>
        <v>0</v>
      </c>
      <c r="CH181" s="163">
        <f t="shared" si="75"/>
        <v>0</v>
      </c>
      <c r="CJ181" s="163">
        <f t="shared" si="76"/>
        <v>0</v>
      </c>
      <c r="CK181" s="163">
        <f t="shared" si="77"/>
        <v>0</v>
      </c>
      <c r="CL181" s="163">
        <f t="shared" si="78"/>
        <v>0</v>
      </c>
      <c r="CM181" s="163">
        <f t="shared" si="79"/>
        <v>0</v>
      </c>
      <c r="CN181" s="163">
        <f t="shared" si="80"/>
        <v>0</v>
      </c>
      <c r="CO181" s="163">
        <f t="shared" si="81"/>
        <v>0</v>
      </c>
      <c r="CP181" s="163"/>
      <c r="CQ181" s="163">
        <f t="shared" si="82"/>
        <v>0</v>
      </c>
      <c r="CR181" s="163">
        <f t="shared" si="83"/>
        <v>0</v>
      </c>
      <c r="CS181" s="163">
        <f t="shared" si="84"/>
        <v>0</v>
      </c>
      <c r="CT181" s="163">
        <f t="shared" si="85"/>
        <v>0</v>
      </c>
      <c r="CU181" s="163">
        <f t="shared" si="86"/>
        <v>0</v>
      </c>
      <c r="CV181" s="163">
        <f t="shared" si="87"/>
        <v>0</v>
      </c>
      <c r="CY181" s="164" t="s">
        <v>45</v>
      </c>
      <c r="FN181" s="165">
        <f t="shared" si="52"/>
        <v>681.17647058823536</v>
      </c>
      <c r="FO181" s="166">
        <f t="shared" si="88"/>
        <v>0</v>
      </c>
      <c r="FP181" s="166">
        <f t="shared" si="89"/>
        <v>0</v>
      </c>
    </row>
    <row r="182" spans="1:178" ht="22.5" x14ac:dyDescent="0.25">
      <c r="A182" s="167">
        <v>350</v>
      </c>
      <c r="B182" s="168" t="s">
        <v>191</v>
      </c>
      <c r="C182" s="169"/>
      <c r="D182" s="185" t="s">
        <v>118</v>
      </c>
      <c r="E182" s="170" t="s">
        <v>119</v>
      </c>
      <c r="F182" s="171" t="s">
        <v>120</v>
      </c>
      <c r="G182" s="143"/>
      <c r="H182" s="172"/>
      <c r="I182" s="172"/>
      <c r="J182" s="172"/>
      <c r="K182" s="172"/>
      <c r="L182" s="172"/>
      <c r="M182" s="137">
        <f t="shared" si="53"/>
        <v>411.76470588235293</v>
      </c>
      <c r="N182" s="173" t="s">
        <v>7</v>
      </c>
      <c r="O182" s="146">
        <f t="shared" si="54"/>
        <v>411.76470588235293</v>
      </c>
      <c r="P182" s="174" t="str">
        <f t="shared" si="45"/>
        <v>ml</v>
      </c>
      <c r="Q182" s="175" t="str">
        <f t="shared" si="46"/>
        <v>/ dia</v>
      </c>
      <c r="R182" s="176">
        <v>2</v>
      </c>
      <c r="S182" s="177">
        <v>2</v>
      </c>
      <c r="T182" s="177">
        <f t="shared" si="47"/>
        <v>0</v>
      </c>
      <c r="U182" s="149">
        <f t="shared" si="48"/>
        <v>0</v>
      </c>
      <c r="V182" s="149">
        <f t="shared" si="55"/>
        <v>0</v>
      </c>
      <c r="W182" s="140" t="s">
        <v>18</v>
      </c>
      <c r="X182" s="150" t="s">
        <v>18</v>
      </c>
      <c r="Y182" s="151">
        <f t="shared" si="56"/>
        <v>0</v>
      </c>
      <c r="Z182" s="178">
        <f t="shared" si="49"/>
        <v>1</v>
      </c>
      <c r="AA182" s="179">
        <f t="shared" si="57"/>
        <v>0</v>
      </c>
      <c r="AB182" s="179">
        <f t="shared" si="58"/>
        <v>0</v>
      </c>
      <c r="AC182" s="180"/>
      <c r="AD182" s="155">
        <f t="shared" si="59"/>
        <v>0</v>
      </c>
      <c r="AE182" s="156">
        <f t="shared" si="60"/>
        <v>0</v>
      </c>
      <c r="AF182" s="157">
        <f t="shared" si="50"/>
        <v>0</v>
      </c>
      <c r="AG182" s="158" t="str">
        <f t="shared" si="51"/>
        <v>ml</v>
      </c>
      <c r="AH182" s="158">
        <f t="shared" si="61"/>
        <v>0</v>
      </c>
      <c r="AI182" s="159">
        <f t="shared" si="62"/>
        <v>0</v>
      </c>
      <c r="AJ182" s="160">
        <f t="shared" si="63"/>
        <v>0</v>
      </c>
      <c r="AL182" s="143"/>
      <c r="AM182" s="147" t="str">
        <f t="shared" si="64"/>
        <v>ml</v>
      </c>
      <c r="AN182" s="161"/>
      <c r="AO182" s="182"/>
      <c r="AP182" s="182"/>
      <c r="AQ182" s="183" t="s">
        <v>18</v>
      </c>
      <c r="AS182" s="143"/>
      <c r="AT182" s="147" t="str">
        <f t="shared" si="65"/>
        <v>ml</v>
      </c>
      <c r="AU182" s="161"/>
      <c r="AV182" s="182"/>
      <c r="AW182" s="182"/>
      <c r="AX182" s="183" t="s">
        <v>18</v>
      </c>
      <c r="AZ182" s="143"/>
      <c r="BA182" s="147" t="str">
        <f t="shared" si="66"/>
        <v>ml</v>
      </c>
      <c r="BB182" s="161"/>
      <c r="BC182" s="182"/>
      <c r="BD182" s="182"/>
      <c r="BE182" s="183" t="s">
        <v>18</v>
      </c>
      <c r="BG182" s="143"/>
      <c r="BH182" s="147" t="str">
        <f t="shared" si="67"/>
        <v>ml</v>
      </c>
      <c r="BI182" s="161"/>
      <c r="BJ182" s="182"/>
      <c r="BK182" s="182"/>
      <c r="BL182" s="183" t="s">
        <v>18</v>
      </c>
      <c r="BN182" s="143"/>
      <c r="BO182" s="147" t="str">
        <f t="shared" si="68"/>
        <v>ml</v>
      </c>
      <c r="BP182" s="161"/>
      <c r="BQ182" s="182"/>
      <c r="BR182" s="182"/>
      <c r="BS182" s="183" t="s">
        <v>18</v>
      </c>
      <c r="BU182" s="143"/>
      <c r="BV182" s="147" t="str">
        <f t="shared" si="69"/>
        <v>ml</v>
      </c>
      <c r="BW182" s="161"/>
      <c r="BX182" s="182"/>
      <c r="BY182" s="182"/>
      <c r="BZ182" s="183" t="s">
        <v>18</v>
      </c>
      <c r="CC182" s="163">
        <f t="shared" si="70"/>
        <v>0</v>
      </c>
      <c r="CD182" s="163">
        <f t="shared" si="71"/>
        <v>0</v>
      </c>
      <c r="CE182" s="163">
        <f t="shared" si="72"/>
        <v>0</v>
      </c>
      <c r="CF182" s="163">
        <f t="shared" si="73"/>
        <v>0</v>
      </c>
      <c r="CG182" s="163">
        <f t="shared" si="74"/>
        <v>0</v>
      </c>
      <c r="CH182" s="163">
        <f t="shared" si="75"/>
        <v>0</v>
      </c>
      <c r="CJ182" s="163">
        <f t="shared" si="76"/>
        <v>0</v>
      </c>
      <c r="CK182" s="163">
        <f t="shared" si="77"/>
        <v>0</v>
      </c>
      <c r="CL182" s="163">
        <f t="shared" si="78"/>
        <v>0</v>
      </c>
      <c r="CM182" s="163">
        <f t="shared" si="79"/>
        <v>0</v>
      </c>
      <c r="CN182" s="163">
        <f t="shared" si="80"/>
        <v>0</v>
      </c>
      <c r="CO182" s="163">
        <f t="shared" si="81"/>
        <v>0</v>
      </c>
      <c r="CP182" s="163"/>
      <c r="CQ182" s="163">
        <f t="shared" si="82"/>
        <v>0</v>
      </c>
      <c r="CR182" s="163">
        <f t="shared" si="83"/>
        <v>0</v>
      </c>
      <c r="CS182" s="163">
        <f t="shared" si="84"/>
        <v>0</v>
      </c>
      <c r="CT182" s="163">
        <f t="shared" si="85"/>
        <v>0</v>
      </c>
      <c r="CU182" s="163">
        <f t="shared" si="86"/>
        <v>0</v>
      </c>
      <c r="CV182" s="163">
        <f t="shared" si="87"/>
        <v>0</v>
      </c>
      <c r="CY182" s="164" t="s">
        <v>45</v>
      </c>
      <c r="FN182" s="165">
        <f t="shared" si="52"/>
        <v>411.76470588235293</v>
      </c>
      <c r="FO182" s="166">
        <f t="shared" si="88"/>
        <v>0</v>
      </c>
      <c r="FP182" s="166">
        <f t="shared" si="89"/>
        <v>0</v>
      </c>
    </row>
    <row r="183" spans="1:178" ht="18" x14ac:dyDescent="0.25">
      <c r="A183" s="137">
        <v>1</v>
      </c>
      <c r="B183" s="138" t="s">
        <v>197</v>
      </c>
      <c r="C183" s="139" t="s">
        <v>198</v>
      </c>
      <c r="D183" s="140" t="s">
        <v>99</v>
      </c>
      <c r="E183" s="141" t="s">
        <v>199</v>
      </c>
      <c r="F183" s="142" t="s">
        <v>200</v>
      </c>
      <c r="G183" s="143"/>
      <c r="H183" s="144"/>
      <c r="I183" s="144"/>
      <c r="J183" s="144"/>
      <c r="K183" s="144"/>
      <c r="L183" s="144"/>
      <c r="M183" s="137">
        <f t="shared" si="53"/>
        <v>1.1764705882352942</v>
      </c>
      <c r="N183" s="145" t="s">
        <v>11</v>
      </c>
      <c r="O183" s="184">
        <f t="shared" si="54"/>
        <v>1.1764705882352942</v>
      </c>
      <c r="P183" s="147" t="str">
        <f t="shared" si="45"/>
        <v>un</v>
      </c>
      <c r="Q183" s="147" t="str">
        <f t="shared" si="46"/>
        <v>/ dia</v>
      </c>
      <c r="R183" s="148">
        <v>2</v>
      </c>
      <c r="S183" s="149">
        <v>1</v>
      </c>
      <c r="T183" s="149">
        <f t="shared" si="47"/>
        <v>1</v>
      </c>
      <c r="U183" s="149">
        <f t="shared" si="48"/>
        <v>0</v>
      </c>
      <c r="V183" s="149">
        <f t="shared" si="55"/>
        <v>0</v>
      </c>
      <c r="W183" s="140" t="s">
        <v>18</v>
      </c>
      <c r="X183" s="150" t="s">
        <v>18</v>
      </c>
      <c r="Y183" s="151">
        <f t="shared" si="56"/>
        <v>0</v>
      </c>
      <c r="Z183" s="152">
        <f t="shared" si="49"/>
        <v>0.5</v>
      </c>
      <c r="AA183" s="153">
        <f t="shared" si="57"/>
        <v>0</v>
      </c>
      <c r="AB183" s="153">
        <f t="shared" si="58"/>
        <v>0</v>
      </c>
      <c r="AC183" s="154"/>
      <c r="AD183" s="155">
        <f t="shared" si="59"/>
        <v>0</v>
      </c>
      <c r="AE183" s="156">
        <f t="shared" si="60"/>
        <v>0</v>
      </c>
      <c r="AF183" s="157">
        <f t="shared" si="50"/>
        <v>0</v>
      </c>
      <c r="AG183" s="158" t="str">
        <f t="shared" si="51"/>
        <v>un</v>
      </c>
      <c r="AH183" s="158">
        <f t="shared" si="61"/>
        <v>0</v>
      </c>
      <c r="AI183" s="159">
        <f t="shared" si="62"/>
        <v>0</v>
      </c>
      <c r="AJ183" s="160">
        <f t="shared" si="63"/>
        <v>0</v>
      </c>
      <c r="AL183" s="143"/>
      <c r="AM183" s="147" t="str">
        <f t="shared" si="64"/>
        <v>un</v>
      </c>
      <c r="AN183" s="161"/>
      <c r="AO183" s="162"/>
      <c r="AP183" s="162"/>
      <c r="AQ183" s="140" t="s">
        <v>18</v>
      </c>
      <c r="AS183" s="143"/>
      <c r="AT183" s="147" t="str">
        <f t="shared" si="65"/>
        <v>un</v>
      </c>
      <c r="AU183" s="161"/>
      <c r="AV183" s="162"/>
      <c r="AW183" s="162"/>
      <c r="AX183" s="140" t="s">
        <v>18</v>
      </c>
      <c r="AZ183" s="143"/>
      <c r="BA183" s="147" t="str">
        <f t="shared" si="66"/>
        <v>un</v>
      </c>
      <c r="BB183" s="161"/>
      <c r="BC183" s="162"/>
      <c r="BD183" s="162"/>
      <c r="BE183" s="140" t="s">
        <v>18</v>
      </c>
      <c r="BF183" s="181"/>
      <c r="BG183" s="143"/>
      <c r="BH183" s="147" t="str">
        <f t="shared" si="67"/>
        <v>un</v>
      </c>
      <c r="BI183" s="161"/>
      <c r="BJ183" s="162"/>
      <c r="BK183" s="162"/>
      <c r="BL183" s="140" t="s">
        <v>18</v>
      </c>
      <c r="BM183" s="181"/>
      <c r="BN183" s="143"/>
      <c r="BO183" s="147" t="str">
        <f t="shared" si="68"/>
        <v>un</v>
      </c>
      <c r="BP183" s="161"/>
      <c r="BQ183" s="162"/>
      <c r="BR183" s="162"/>
      <c r="BS183" s="140" t="s">
        <v>18</v>
      </c>
      <c r="BT183" s="181"/>
      <c r="BU183" s="143"/>
      <c r="BV183" s="147" t="str">
        <f t="shared" si="69"/>
        <v>un</v>
      </c>
      <c r="BW183" s="161"/>
      <c r="BX183" s="162"/>
      <c r="BY183" s="162"/>
      <c r="BZ183" s="140" t="s">
        <v>18</v>
      </c>
      <c r="CA183" s="181"/>
      <c r="CB183" s="181"/>
      <c r="CC183" s="163">
        <f t="shared" si="70"/>
        <v>0</v>
      </c>
      <c r="CD183" s="163">
        <f t="shared" si="71"/>
        <v>0</v>
      </c>
      <c r="CE183" s="163">
        <f t="shared" si="72"/>
        <v>0</v>
      </c>
      <c r="CF183" s="163">
        <f t="shared" si="73"/>
        <v>0</v>
      </c>
      <c r="CG183" s="163">
        <f t="shared" si="74"/>
        <v>0</v>
      </c>
      <c r="CH183" s="163">
        <f t="shared" si="75"/>
        <v>0</v>
      </c>
      <c r="CJ183" s="163">
        <f t="shared" si="76"/>
        <v>0</v>
      </c>
      <c r="CK183" s="163">
        <f t="shared" si="77"/>
        <v>0</v>
      </c>
      <c r="CL183" s="163">
        <f t="shared" si="78"/>
        <v>0</v>
      </c>
      <c r="CM183" s="163">
        <f t="shared" si="79"/>
        <v>0</v>
      </c>
      <c r="CN183" s="163">
        <f t="shared" si="80"/>
        <v>0</v>
      </c>
      <c r="CO183" s="163">
        <f t="shared" si="81"/>
        <v>0</v>
      </c>
      <c r="CP183" s="163"/>
      <c r="CQ183" s="163">
        <f t="shared" si="82"/>
        <v>0</v>
      </c>
      <c r="CR183" s="163">
        <f t="shared" si="83"/>
        <v>0</v>
      </c>
      <c r="CS183" s="163">
        <f t="shared" si="84"/>
        <v>0</v>
      </c>
      <c r="CT183" s="163">
        <f t="shared" si="85"/>
        <v>0</v>
      </c>
      <c r="CU183" s="163">
        <f t="shared" si="86"/>
        <v>0</v>
      </c>
      <c r="CV183" s="163">
        <f t="shared" si="87"/>
        <v>0</v>
      </c>
      <c r="CY183" s="164" t="s">
        <v>45</v>
      </c>
      <c r="FN183" s="165">
        <f t="shared" si="52"/>
        <v>1.1764705882352942</v>
      </c>
      <c r="FO183" s="166">
        <f t="shared" si="88"/>
        <v>0</v>
      </c>
      <c r="FP183" s="166">
        <f t="shared" si="89"/>
        <v>0</v>
      </c>
      <c r="FQ183" s="181"/>
      <c r="FR183" s="181"/>
      <c r="FS183" s="181">
        <v>0.45</v>
      </c>
      <c r="FT183" s="181"/>
      <c r="FU183" s="181"/>
      <c r="FV183" s="181"/>
    </row>
    <row r="184" spans="1:178" ht="18" x14ac:dyDescent="0.25">
      <c r="A184" s="167">
        <v>5</v>
      </c>
      <c r="B184" s="168" t="s">
        <v>197</v>
      </c>
      <c r="C184" s="169" t="s">
        <v>201</v>
      </c>
      <c r="D184" s="140" t="s">
        <v>99</v>
      </c>
      <c r="E184" s="170" t="s">
        <v>199</v>
      </c>
      <c r="F184" s="171" t="s">
        <v>202</v>
      </c>
      <c r="G184" s="143"/>
      <c r="H184" s="172"/>
      <c r="I184" s="172"/>
      <c r="J184" s="172"/>
      <c r="K184" s="172"/>
      <c r="L184" s="172"/>
      <c r="M184" s="137">
        <f t="shared" si="53"/>
        <v>5.882352941176471</v>
      </c>
      <c r="N184" s="173" t="s">
        <v>11</v>
      </c>
      <c r="O184" s="146">
        <f t="shared" si="54"/>
        <v>5.882352941176471</v>
      </c>
      <c r="P184" s="174" t="str">
        <f t="shared" si="45"/>
        <v>un</v>
      </c>
      <c r="Q184" s="175" t="str">
        <f t="shared" si="46"/>
        <v>/ dia</v>
      </c>
      <c r="R184" s="176">
        <v>2</v>
      </c>
      <c r="S184" s="177">
        <v>1</v>
      </c>
      <c r="T184" s="177">
        <f t="shared" si="47"/>
        <v>1</v>
      </c>
      <c r="U184" s="149">
        <f t="shared" si="48"/>
        <v>0</v>
      </c>
      <c r="V184" s="149">
        <f t="shared" si="55"/>
        <v>0</v>
      </c>
      <c r="W184" s="140" t="s">
        <v>18</v>
      </c>
      <c r="X184" s="150" t="s">
        <v>18</v>
      </c>
      <c r="Y184" s="151">
        <f t="shared" si="56"/>
        <v>0</v>
      </c>
      <c r="Z184" s="178">
        <f t="shared" si="49"/>
        <v>0.5</v>
      </c>
      <c r="AA184" s="179">
        <f t="shared" si="57"/>
        <v>0</v>
      </c>
      <c r="AB184" s="179">
        <f t="shared" si="58"/>
        <v>0</v>
      </c>
      <c r="AC184" s="180"/>
      <c r="AD184" s="155">
        <f t="shared" si="59"/>
        <v>0</v>
      </c>
      <c r="AE184" s="156">
        <f t="shared" si="60"/>
        <v>0</v>
      </c>
      <c r="AF184" s="157">
        <f t="shared" si="50"/>
        <v>0</v>
      </c>
      <c r="AG184" s="158" t="str">
        <f t="shared" si="51"/>
        <v>un</v>
      </c>
      <c r="AH184" s="158">
        <f t="shared" si="61"/>
        <v>0</v>
      </c>
      <c r="AI184" s="159">
        <f t="shared" si="62"/>
        <v>0</v>
      </c>
      <c r="AJ184" s="160">
        <f t="shared" si="63"/>
        <v>0</v>
      </c>
      <c r="AL184" s="143"/>
      <c r="AM184" s="147" t="str">
        <f t="shared" si="64"/>
        <v>un</v>
      </c>
      <c r="AN184" s="161"/>
      <c r="AO184" s="182"/>
      <c r="AP184" s="182"/>
      <c r="AQ184" s="183" t="s">
        <v>18</v>
      </c>
      <c r="AS184" s="143"/>
      <c r="AT184" s="147" t="str">
        <f t="shared" si="65"/>
        <v>un</v>
      </c>
      <c r="AU184" s="161"/>
      <c r="AV184" s="182"/>
      <c r="AW184" s="182"/>
      <c r="AX184" s="183" t="s">
        <v>18</v>
      </c>
      <c r="AZ184" s="143"/>
      <c r="BA184" s="147" t="str">
        <f t="shared" si="66"/>
        <v>un</v>
      </c>
      <c r="BB184" s="161"/>
      <c r="BC184" s="182"/>
      <c r="BD184" s="182"/>
      <c r="BE184" s="183" t="s">
        <v>18</v>
      </c>
      <c r="BF184" s="181"/>
      <c r="BG184" s="143"/>
      <c r="BH184" s="147" t="str">
        <f t="shared" si="67"/>
        <v>un</v>
      </c>
      <c r="BI184" s="161"/>
      <c r="BJ184" s="182"/>
      <c r="BK184" s="182"/>
      <c r="BL184" s="183" t="s">
        <v>18</v>
      </c>
      <c r="BM184" s="181"/>
      <c r="BN184" s="143"/>
      <c r="BO184" s="147" t="str">
        <f t="shared" si="68"/>
        <v>un</v>
      </c>
      <c r="BP184" s="161"/>
      <c r="BQ184" s="182"/>
      <c r="BR184" s="182"/>
      <c r="BS184" s="183" t="s">
        <v>18</v>
      </c>
      <c r="BT184" s="181"/>
      <c r="BU184" s="143"/>
      <c r="BV184" s="147" t="str">
        <f t="shared" si="69"/>
        <v>un</v>
      </c>
      <c r="BW184" s="161"/>
      <c r="BX184" s="182"/>
      <c r="BY184" s="182"/>
      <c r="BZ184" s="183" t="s">
        <v>18</v>
      </c>
      <c r="CA184" s="181"/>
      <c r="CB184" s="181"/>
      <c r="CC184" s="163">
        <f t="shared" si="70"/>
        <v>0</v>
      </c>
      <c r="CD184" s="163">
        <f t="shared" si="71"/>
        <v>0</v>
      </c>
      <c r="CE184" s="163">
        <f t="shared" si="72"/>
        <v>0</v>
      </c>
      <c r="CF184" s="163">
        <f t="shared" si="73"/>
        <v>0</v>
      </c>
      <c r="CG184" s="163">
        <f t="shared" si="74"/>
        <v>0</v>
      </c>
      <c r="CH184" s="163">
        <f t="shared" si="75"/>
        <v>0</v>
      </c>
      <c r="CJ184" s="163">
        <f t="shared" si="76"/>
        <v>0</v>
      </c>
      <c r="CK184" s="163">
        <f t="shared" si="77"/>
        <v>0</v>
      </c>
      <c r="CL184" s="163">
        <f t="shared" si="78"/>
        <v>0</v>
      </c>
      <c r="CM184" s="163">
        <f t="shared" si="79"/>
        <v>0</v>
      </c>
      <c r="CN184" s="163">
        <f t="shared" si="80"/>
        <v>0</v>
      </c>
      <c r="CO184" s="163">
        <f t="shared" si="81"/>
        <v>0</v>
      </c>
      <c r="CP184" s="163"/>
      <c r="CQ184" s="163">
        <f t="shared" si="82"/>
        <v>0</v>
      </c>
      <c r="CR184" s="163">
        <f t="shared" si="83"/>
        <v>0</v>
      </c>
      <c r="CS184" s="163">
        <f t="shared" si="84"/>
        <v>0</v>
      </c>
      <c r="CT184" s="163">
        <f t="shared" si="85"/>
        <v>0</v>
      </c>
      <c r="CU184" s="163">
        <f t="shared" si="86"/>
        <v>0</v>
      </c>
      <c r="CV184" s="163">
        <f t="shared" si="87"/>
        <v>0</v>
      </c>
      <c r="CY184" s="164" t="s">
        <v>45</v>
      </c>
      <c r="FN184" s="165">
        <f t="shared" si="52"/>
        <v>5.882352941176471</v>
      </c>
      <c r="FO184" s="166">
        <f t="shared" si="88"/>
        <v>0</v>
      </c>
      <c r="FP184" s="166">
        <f t="shared" si="89"/>
        <v>0</v>
      </c>
      <c r="FQ184" s="181"/>
      <c r="FR184" s="181"/>
      <c r="FS184" s="181">
        <v>0.4</v>
      </c>
      <c r="FT184" s="181"/>
      <c r="FU184" s="181"/>
      <c r="FV184" s="181"/>
    </row>
    <row r="185" spans="1:178" ht="18" x14ac:dyDescent="0.25">
      <c r="A185" s="137">
        <v>5</v>
      </c>
      <c r="B185" s="138" t="s">
        <v>197</v>
      </c>
      <c r="C185" s="139" t="s">
        <v>201</v>
      </c>
      <c r="D185" s="140" t="s">
        <v>99</v>
      </c>
      <c r="E185" s="141" t="s">
        <v>199</v>
      </c>
      <c r="F185" s="142" t="s">
        <v>203</v>
      </c>
      <c r="G185" s="143"/>
      <c r="H185" s="144"/>
      <c r="I185" s="144"/>
      <c r="J185" s="144"/>
      <c r="K185" s="144"/>
      <c r="L185" s="144"/>
      <c r="M185" s="137">
        <f t="shared" si="53"/>
        <v>5.882352941176471</v>
      </c>
      <c r="N185" s="145" t="s">
        <v>11</v>
      </c>
      <c r="O185" s="184">
        <f t="shared" si="54"/>
        <v>5.882352941176471</v>
      </c>
      <c r="P185" s="147" t="str">
        <f t="shared" si="45"/>
        <v>un</v>
      </c>
      <c r="Q185" s="147" t="str">
        <f t="shared" si="46"/>
        <v>/ dia</v>
      </c>
      <c r="R185" s="148">
        <v>2</v>
      </c>
      <c r="S185" s="149">
        <v>1</v>
      </c>
      <c r="T185" s="149">
        <f t="shared" si="47"/>
        <v>1</v>
      </c>
      <c r="U185" s="149">
        <f t="shared" si="48"/>
        <v>0</v>
      </c>
      <c r="V185" s="149">
        <f t="shared" si="55"/>
        <v>0</v>
      </c>
      <c r="W185" s="140" t="s">
        <v>18</v>
      </c>
      <c r="X185" s="150" t="s">
        <v>18</v>
      </c>
      <c r="Y185" s="151">
        <f t="shared" si="56"/>
        <v>0</v>
      </c>
      <c r="Z185" s="152">
        <f t="shared" si="49"/>
        <v>0.5</v>
      </c>
      <c r="AA185" s="153">
        <f t="shared" si="57"/>
        <v>0</v>
      </c>
      <c r="AB185" s="153">
        <f t="shared" si="58"/>
        <v>0</v>
      </c>
      <c r="AC185" s="154"/>
      <c r="AD185" s="155">
        <f t="shared" si="59"/>
        <v>0</v>
      </c>
      <c r="AE185" s="156">
        <f t="shared" si="60"/>
        <v>0</v>
      </c>
      <c r="AF185" s="157">
        <f t="shared" si="50"/>
        <v>0</v>
      </c>
      <c r="AG185" s="158" t="str">
        <f t="shared" si="51"/>
        <v>un</v>
      </c>
      <c r="AH185" s="158">
        <f t="shared" si="61"/>
        <v>0</v>
      </c>
      <c r="AI185" s="159">
        <f t="shared" si="62"/>
        <v>0</v>
      </c>
      <c r="AJ185" s="160">
        <f t="shared" si="63"/>
        <v>0</v>
      </c>
      <c r="AL185" s="143"/>
      <c r="AM185" s="147" t="str">
        <f t="shared" si="64"/>
        <v>un</v>
      </c>
      <c r="AN185" s="161"/>
      <c r="AO185" s="162"/>
      <c r="AP185" s="162"/>
      <c r="AQ185" s="140" t="s">
        <v>18</v>
      </c>
      <c r="AS185" s="143"/>
      <c r="AT185" s="147" t="str">
        <f t="shared" si="65"/>
        <v>un</v>
      </c>
      <c r="AU185" s="161"/>
      <c r="AV185" s="162"/>
      <c r="AW185" s="162"/>
      <c r="AX185" s="140" t="s">
        <v>18</v>
      </c>
      <c r="AZ185" s="143"/>
      <c r="BA185" s="147" t="str">
        <f t="shared" si="66"/>
        <v>un</v>
      </c>
      <c r="BB185" s="161"/>
      <c r="BC185" s="162"/>
      <c r="BD185" s="162"/>
      <c r="BE185" s="140" t="s">
        <v>18</v>
      </c>
      <c r="BF185" s="181"/>
      <c r="BG185" s="143"/>
      <c r="BH185" s="147" t="str">
        <f t="shared" si="67"/>
        <v>un</v>
      </c>
      <c r="BI185" s="161"/>
      <c r="BJ185" s="162"/>
      <c r="BK185" s="162"/>
      <c r="BL185" s="140" t="s">
        <v>18</v>
      </c>
      <c r="BM185" s="181"/>
      <c r="BN185" s="143"/>
      <c r="BO185" s="147" t="str">
        <f t="shared" si="68"/>
        <v>un</v>
      </c>
      <c r="BP185" s="161"/>
      <c r="BQ185" s="162"/>
      <c r="BR185" s="162"/>
      <c r="BS185" s="140" t="s">
        <v>18</v>
      </c>
      <c r="BT185" s="181"/>
      <c r="BU185" s="143"/>
      <c r="BV185" s="147" t="str">
        <f t="shared" si="69"/>
        <v>un</v>
      </c>
      <c r="BW185" s="161"/>
      <c r="BX185" s="162"/>
      <c r="BY185" s="162"/>
      <c r="BZ185" s="140" t="s">
        <v>18</v>
      </c>
      <c r="CA185" s="181"/>
      <c r="CB185" s="181"/>
      <c r="CC185" s="163">
        <f t="shared" si="70"/>
        <v>0</v>
      </c>
      <c r="CD185" s="163">
        <f t="shared" si="71"/>
        <v>0</v>
      </c>
      <c r="CE185" s="163">
        <f t="shared" si="72"/>
        <v>0</v>
      </c>
      <c r="CF185" s="163">
        <f t="shared" si="73"/>
        <v>0</v>
      </c>
      <c r="CG185" s="163">
        <f t="shared" si="74"/>
        <v>0</v>
      </c>
      <c r="CH185" s="163">
        <f t="shared" si="75"/>
        <v>0</v>
      </c>
      <c r="CJ185" s="163">
        <f t="shared" si="76"/>
        <v>0</v>
      </c>
      <c r="CK185" s="163">
        <f t="shared" si="77"/>
        <v>0</v>
      </c>
      <c r="CL185" s="163">
        <f t="shared" si="78"/>
        <v>0</v>
      </c>
      <c r="CM185" s="163">
        <f t="shared" si="79"/>
        <v>0</v>
      </c>
      <c r="CN185" s="163">
        <f t="shared" si="80"/>
        <v>0</v>
      </c>
      <c r="CO185" s="163">
        <f t="shared" si="81"/>
        <v>0</v>
      </c>
      <c r="CP185" s="163"/>
      <c r="CQ185" s="163">
        <f t="shared" si="82"/>
        <v>0</v>
      </c>
      <c r="CR185" s="163">
        <f t="shared" si="83"/>
        <v>0</v>
      </c>
      <c r="CS185" s="163">
        <f t="shared" si="84"/>
        <v>0</v>
      </c>
      <c r="CT185" s="163">
        <f t="shared" si="85"/>
        <v>0</v>
      </c>
      <c r="CU185" s="163">
        <f t="shared" si="86"/>
        <v>0</v>
      </c>
      <c r="CV185" s="163">
        <f t="shared" si="87"/>
        <v>0</v>
      </c>
      <c r="CY185" s="164" t="s">
        <v>45</v>
      </c>
      <c r="FN185" s="165">
        <f t="shared" si="52"/>
        <v>5.882352941176471</v>
      </c>
      <c r="FO185" s="166">
        <f t="shared" si="88"/>
        <v>0</v>
      </c>
      <c r="FP185" s="166">
        <f t="shared" si="89"/>
        <v>0</v>
      </c>
      <c r="FQ185" s="181"/>
      <c r="FR185" s="181"/>
      <c r="FS185" s="181">
        <v>0.4</v>
      </c>
      <c r="FT185" s="181"/>
      <c r="FU185" s="181"/>
      <c r="FV185" s="181"/>
    </row>
    <row r="186" spans="1:178" ht="18" x14ac:dyDescent="0.25">
      <c r="A186" s="167">
        <v>3.5</v>
      </c>
      <c r="B186" s="168" t="s">
        <v>197</v>
      </c>
      <c r="C186" s="169" t="s">
        <v>201</v>
      </c>
      <c r="D186" s="140" t="s">
        <v>99</v>
      </c>
      <c r="E186" s="170" t="s">
        <v>199</v>
      </c>
      <c r="F186" s="171" t="s">
        <v>204</v>
      </c>
      <c r="G186" s="143"/>
      <c r="H186" s="172"/>
      <c r="I186" s="172"/>
      <c r="J186" s="172"/>
      <c r="K186" s="172"/>
      <c r="L186" s="172"/>
      <c r="M186" s="137">
        <f t="shared" si="53"/>
        <v>4.1176470588235299</v>
      </c>
      <c r="N186" s="173" t="s">
        <v>11</v>
      </c>
      <c r="O186" s="146">
        <f t="shared" si="54"/>
        <v>4.1176470588235299</v>
      </c>
      <c r="P186" s="174" t="str">
        <f t="shared" si="45"/>
        <v>un</v>
      </c>
      <c r="Q186" s="175" t="str">
        <f t="shared" si="46"/>
        <v>/ dia</v>
      </c>
      <c r="R186" s="176">
        <v>2</v>
      </c>
      <c r="S186" s="177">
        <v>1</v>
      </c>
      <c r="T186" s="177">
        <f t="shared" si="47"/>
        <v>1</v>
      </c>
      <c r="U186" s="149">
        <f t="shared" si="48"/>
        <v>0</v>
      </c>
      <c r="V186" s="149">
        <f t="shared" si="55"/>
        <v>0</v>
      </c>
      <c r="W186" s="140" t="s">
        <v>18</v>
      </c>
      <c r="X186" s="150" t="s">
        <v>18</v>
      </c>
      <c r="Y186" s="151">
        <f t="shared" si="56"/>
        <v>0</v>
      </c>
      <c r="Z186" s="178">
        <f t="shared" si="49"/>
        <v>0.5</v>
      </c>
      <c r="AA186" s="179">
        <f t="shared" si="57"/>
        <v>0</v>
      </c>
      <c r="AB186" s="179">
        <f t="shared" si="58"/>
        <v>0</v>
      </c>
      <c r="AC186" s="180"/>
      <c r="AD186" s="155">
        <f t="shared" si="59"/>
        <v>0</v>
      </c>
      <c r="AE186" s="156">
        <f t="shared" si="60"/>
        <v>0</v>
      </c>
      <c r="AF186" s="157">
        <f t="shared" si="50"/>
        <v>0</v>
      </c>
      <c r="AG186" s="158" t="str">
        <f t="shared" si="51"/>
        <v>un</v>
      </c>
      <c r="AH186" s="158">
        <f t="shared" si="61"/>
        <v>0</v>
      </c>
      <c r="AI186" s="159">
        <f t="shared" si="62"/>
        <v>0</v>
      </c>
      <c r="AJ186" s="160">
        <f t="shared" si="63"/>
        <v>0</v>
      </c>
      <c r="AL186" s="143"/>
      <c r="AM186" s="147" t="str">
        <f t="shared" si="64"/>
        <v>un</v>
      </c>
      <c r="AN186" s="161"/>
      <c r="AO186" s="182"/>
      <c r="AP186" s="182"/>
      <c r="AQ186" s="183" t="s">
        <v>18</v>
      </c>
      <c r="AS186" s="143"/>
      <c r="AT186" s="147" t="str">
        <f t="shared" si="65"/>
        <v>un</v>
      </c>
      <c r="AU186" s="161"/>
      <c r="AV186" s="182"/>
      <c r="AW186" s="182"/>
      <c r="AX186" s="183" t="s">
        <v>18</v>
      </c>
      <c r="AZ186" s="143"/>
      <c r="BA186" s="147" t="str">
        <f t="shared" si="66"/>
        <v>un</v>
      </c>
      <c r="BB186" s="161"/>
      <c r="BC186" s="182"/>
      <c r="BD186" s="182"/>
      <c r="BE186" s="183" t="s">
        <v>18</v>
      </c>
      <c r="BF186" s="181"/>
      <c r="BG186" s="143"/>
      <c r="BH186" s="147" t="str">
        <f t="shared" si="67"/>
        <v>un</v>
      </c>
      <c r="BI186" s="161"/>
      <c r="BJ186" s="182"/>
      <c r="BK186" s="182"/>
      <c r="BL186" s="183" t="s">
        <v>18</v>
      </c>
      <c r="BM186" s="181"/>
      <c r="BN186" s="143"/>
      <c r="BO186" s="147" t="str">
        <f t="shared" si="68"/>
        <v>un</v>
      </c>
      <c r="BP186" s="161"/>
      <c r="BQ186" s="182"/>
      <c r="BR186" s="182"/>
      <c r="BS186" s="183" t="s">
        <v>18</v>
      </c>
      <c r="BT186" s="181"/>
      <c r="BU186" s="143"/>
      <c r="BV186" s="147" t="str">
        <f t="shared" si="69"/>
        <v>un</v>
      </c>
      <c r="BW186" s="161"/>
      <c r="BX186" s="182"/>
      <c r="BY186" s="182"/>
      <c r="BZ186" s="183" t="s">
        <v>18</v>
      </c>
      <c r="CA186" s="181"/>
      <c r="CB186" s="181"/>
      <c r="CC186" s="163">
        <f t="shared" si="70"/>
        <v>0</v>
      </c>
      <c r="CD186" s="163">
        <f t="shared" si="71"/>
        <v>0</v>
      </c>
      <c r="CE186" s="163">
        <f t="shared" si="72"/>
        <v>0</v>
      </c>
      <c r="CF186" s="163">
        <f t="shared" si="73"/>
        <v>0</v>
      </c>
      <c r="CG186" s="163">
        <f t="shared" si="74"/>
        <v>0</v>
      </c>
      <c r="CH186" s="163">
        <f t="shared" si="75"/>
        <v>0</v>
      </c>
      <c r="CJ186" s="163">
        <f t="shared" si="76"/>
        <v>0</v>
      </c>
      <c r="CK186" s="163">
        <f t="shared" si="77"/>
        <v>0</v>
      </c>
      <c r="CL186" s="163">
        <f t="shared" si="78"/>
        <v>0</v>
      </c>
      <c r="CM186" s="163">
        <f t="shared" si="79"/>
        <v>0</v>
      </c>
      <c r="CN186" s="163">
        <f t="shared" si="80"/>
        <v>0</v>
      </c>
      <c r="CO186" s="163">
        <f t="shared" si="81"/>
        <v>0</v>
      </c>
      <c r="CP186" s="163"/>
      <c r="CQ186" s="163">
        <f t="shared" si="82"/>
        <v>0</v>
      </c>
      <c r="CR186" s="163">
        <f t="shared" si="83"/>
        <v>0</v>
      </c>
      <c r="CS186" s="163">
        <f t="shared" si="84"/>
        <v>0</v>
      </c>
      <c r="CT186" s="163">
        <f t="shared" si="85"/>
        <v>0</v>
      </c>
      <c r="CU186" s="163">
        <f t="shared" si="86"/>
        <v>0</v>
      </c>
      <c r="CV186" s="163">
        <f t="shared" si="87"/>
        <v>0</v>
      </c>
      <c r="CY186" s="164" t="s">
        <v>45</v>
      </c>
      <c r="FN186" s="165">
        <f t="shared" si="52"/>
        <v>4.1176470588235299</v>
      </c>
      <c r="FO186" s="166">
        <f t="shared" si="88"/>
        <v>0</v>
      </c>
      <c r="FP186" s="166">
        <f t="shared" si="89"/>
        <v>0</v>
      </c>
      <c r="FQ186" s="181"/>
      <c r="FR186" s="181"/>
      <c r="FS186" s="181">
        <v>0.4</v>
      </c>
      <c r="FT186" s="181"/>
      <c r="FU186" s="181"/>
      <c r="FV186" s="181"/>
    </row>
    <row r="187" spans="1:178" ht="18" x14ac:dyDescent="0.25">
      <c r="A187" s="137">
        <v>3</v>
      </c>
      <c r="B187" s="138" t="s">
        <v>197</v>
      </c>
      <c r="C187" s="139" t="s">
        <v>201</v>
      </c>
      <c r="D187" s="140" t="s">
        <v>99</v>
      </c>
      <c r="E187" s="141" t="s">
        <v>199</v>
      </c>
      <c r="F187" s="142" t="s">
        <v>205</v>
      </c>
      <c r="G187" s="143"/>
      <c r="H187" s="144"/>
      <c r="I187" s="144"/>
      <c r="J187" s="144"/>
      <c r="K187" s="144"/>
      <c r="L187" s="144"/>
      <c r="M187" s="137">
        <f t="shared" si="53"/>
        <v>3.5294117647058822</v>
      </c>
      <c r="N187" s="145" t="s">
        <v>11</v>
      </c>
      <c r="O187" s="184">
        <f t="shared" si="54"/>
        <v>3.5294117647058822</v>
      </c>
      <c r="P187" s="147" t="str">
        <f t="shared" si="45"/>
        <v>un</v>
      </c>
      <c r="Q187" s="147" t="str">
        <f t="shared" si="46"/>
        <v>/ dia</v>
      </c>
      <c r="R187" s="148">
        <v>4</v>
      </c>
      <c r="S187" s="149">
        <v>3</v>
      </c>
      <c r="T187" s="149">
        <f t="shared" si="47"/>
        <v>1</v>
      </c>
      <c r="U187" s="149">
        <f t="shared" si="48"/>
        <v>0</v>
      </c>
      <c r="V187" s="149">
        <f t="shared" si="55"/>
        <v>0</v>
      </c>
      <c r="W187" s="140" t="s">
        <v>18</v>
      </c>
      <c r="X187" s="150" t="s">
        <v>18</v>
      </c>
      <c r="Y187" s="151">
        <f t="shared" si="56"/>
        <v>0</v>
      </c>
      <c r="Z187" s="152">
        <f t="shared" si="49"/>
        <v>0.75</v>
      </c>
      <c r="AA187" s="153">
        <f t="shared" si="57"/>
        <v>0</v>
      </c>
      <c r="AB187" s="153">
        <f t="shared" si="58"/>
        <v>0</v>
      </c>
      <c r="AC187" s="154"/>
      <c r="AD187" s="155">
        <f t="shared" si="59"/>
        <v>0</v>
      </c>
      <c r="AE187" s="156">
        <f t="shared" si="60"/>
        <v>0</v>
      </c>
      <c r="AF187" s="157">
        <f t="shared" si="50"/>
        <v>0</v>
      </c>
      <c r="AG187" s="158" t="str">
        <f t="shared" si="51"/>
        <v>un</v>
      </c>
      <c r="AH187" s="158">
        <f t="shared" si="61"/>
        <v>0</v>
      </c>
      <c r="AI187" s="159">
        <f t="shared" si="62"/>
        <v>0</v>
      </c>
      <c r="AJ187" s="160">
        <f t="shared" si="63"/>
        <v>0</v>
      </c>
      <c r="AL187" s="143"/>
      <c r="AM187" s="147" t="str">
        <f t="shared" si="64"/>
        <v>un</v>
      </c>
      <c r="AN187" s="161"/>
      <c r="AO187" s="162"/>
      <c r="AP187" s="162"/>
      <c r="AQ187" s="140" t="s">
        <v>18</v>
      </c>
      <c r="AS187" s="143"/>
      <c r="AT187" s="147" t="str">
        <f t="shared" si="65"/>
        <v>un</v>
      </c>
      <c r="AU187" s="161"/>
      <c r="AV187" s="162"/>
      <c r="AW187" s="162"/>
      <c r="AX187" s="140" t="s">
        <v>18</v>
      </c>
      <c r="AZ187" s="143"/>
      <c r="BA187" s="147" t="str">
        <f t="shared" si="66"/>
        <v>un</v>
      </c>
      <c r="BB187" s="161"/>
      <c r="BC187" s="162"/>
      <c r="BD187" s="162"/>
      <c r="BE187" s="140" t="s">
        <v>18</v>
      </c>
      <c r="BF187" s="181"/>
      <c r="BG187" s="143"/>
      <c r="BH187" s="147" t="str">
        <f t="shared" si="67"/>
        <v>un</v>
      </c>
      <c r="BI187" s="161"/>
      <c r="BJ187" s="162"/>
      <c r="BK187" s="162"/>
      <c r="BL187" s="140" t="s">
        <v>18</v>
      </c>
      <c r="BM187" s="181"/>
      <c r="BN187" s="143"/>
      <c r="BO187" s="147" t="str">
        <f t="shared" si="68"/>
        <v>un</v>
      </c>
      <c r="BP187" s="161"/>
      <c r="BQ187" s="162"/>
      <c r="BR187" s="162"/>
      <c r="BS187" s="140" t="s">
        <v>18</v>
      </c>
      <c r="BT187" s="181"/>
      <c r="BU187" s="143"/>
      <c r="BV187" s="147" t="str">
        <f t="shared" si="69"/>
        <v>un</v>
      </c>
      <c r="BW187" s="161"/>
      <c r="BX187" s="162"/>
      <c r="BY187" s="162"/>
      <c r="BZ187" s="140" t="s">
        <v>18</v>
      </c>
      <c r="CA187" s="181"/>
      <c r="CB187" s="181"/>
      <c r="CC187" s="163">
        <f t="shared" si="70"/>
        <v>0</v>
      </c>
      <c r="CD187" s="163">
        <f t="shared" si="71"/>
        <v>0</v>
      </c>
      <c r="CE187" s="163">
        <f t="shared" si="72"/>
        <v>0</v>
      </c>
      <c r="CF187" s="163">
        <f t="shared" si="73"/>
        <v>0</v>
      </c>
      <c r="CG187" s="163">
        <f t="shared" si="74"/>
        <v>0</v>
      </c>
      <c r="CH187" s="163">
        <f t="shared" si="75"/>
        <v>0</v>
      </c>
      <c r="CJ187" s="163">
        <f t="shared" si="76"/>
        <v>0</v>
      </c>
      <c r="CK187" s="163">
        <f t="shared" si="77"/>
        <v>0</v>
      </c>
      <c r="CL187" s="163">
        <f t="shared" si="78"/>
        <v>0</v>
      </c>
      <c r="CM187" s="163">
        <f t="shared" si="79"/>
        <v>0</v>
      </c>
      <c r="CN187" s="163">
        <f t="shared" si="80"/>
        <v>0</v>
      </c>
      <c r="CO187" s="163">
        <f t="shared" si="81"/>
        <v>0</v>
      </c>
      <c r="CP187" s="163"/>
      <c r="CQ187" s="163">
        <f t="shared" si="82"/>
        <v>0</v>
      </c>
      <c r="CR187" s="163">
        <f t="shared" si="83"/>
        <v>0</v>
      </c>
      <c r="CS187" s="163">
        <f t="shared" si="84"/>
        <v>0</v>
      </c>
      <c r="CT187" s="163">
        <f t="shared" si="85"/>
        <v>0</v>
      </c>
      <c r="CU187" s="163">
        <f t="shared" si="86"/>
        <v>0</v>
      </c>
      <c r="CV187" s="163">
        <f t="shared" si="87"/>
        <v>0</v>
      </c>
      <c r="CY187" s="164" t="s">
        <v>45</v>
      </c>
      <c r="FN187" s="165">
        <f t="shared" si="52"/>
        <v>3.5294117647058822</v>
      </c>
      <c r="FO187" s="166">
        <f t="shared" si="88"/>
        <v>0</v>
      </c>
      <c r="FP187" s="166">
        <f t="shared" si="89"/>
        <v>0</v>
      </c>
      <c r="FQ187" s="181"/>
      <c r="FR187" s="181"/>
      <c r="FS187" s="181">
        <v>0.4</v>
      </c>
      <c r="FT187" s="181"/>
      <c r="FU187" s="181"/>
      <c r="FV187" s="181"/>
    </row>
    <row r="188" spans="1:178" ht="18" x14ac:dyDescent="0.25">
      <c r="A188" s="167">
        <v>4</v>
      </c>
      <c r="B188" s="168" t="s">
        <v>197</v>
      </c>
      <c r="C188" s="169" t="s">
        <v>201</v>
      </c>
      <c r="D188" s="140" t="s">
        <v>99</v>
      </c>
      <c r="E188" s="170" t="s">
        <v>199</v>
      </c>
      <c r="F188" s="171" t="s">
        <v>206</v>
      </c>
      <c r="G188" s="143"/>
      <c r="H188" s="172"/>
      <c r="I188" s="172"/>
      <c r="J188" s="172"/>
      <c r="K188" s="172"/>
      <c r="L188" s="172"/>
      <c r="M188" s="137">
        <f t="shared" si="53"/>
        <v>4.7058823529411766</v>
      </c>
      <c r="N188" s="173" t="s">
        <v>11</v>
      </c>
      <c r="O188" s="146">
        <f t="shared" si="54"/>
        <v>4.7058823529411766</v>
      </c>
      <c r="P188" s="174" t="str">
        <f t="shared" si="45"/>
        <v>un</v>
      </c>
      <c r="Q188" s="175" t="str">
        <f t="shared" si="46"/>
        <v>/ dia</v>
      </c>
      <c r="R188" s="176">
        <v>4</v>
      </c>
      <c r="S188" s="177">
        <v>3</v>
      </c>
      <c r="T188" s="177">
        <f t="shared" si="47"/>
        <v>1</v>
      </c>
      <c r="U188" s="149">
        <f t="shared" si="48"/>
        <v>0</v>
      </c>
      <c r="V188" s="149">
        <f t="shared" si="55"/>
        <v>0</v>
      </c>
      <c r="W188" s="140" t="s">
        <v>18</v>
      </c>
      <c r="X188" s="150" t="s">
        <v>18</v>
      </c>
      <c r="Y188" s="151">
        <f t="shared" si="56"/>
        <v>0</v>
      </c>
      <c r="Z188" s="178">
        <f t="shared" si="49"/>
        <v>0.75</v>
      </c>
      <c r="AA188" s="179">
        <f t="shared" si="57"/>
        <v>0</v>
      </c>
      <c r="AB188" s="179">
        <f t="shared" si="58"/>
        <v>0</v>
      </c>
      <c r="AC188" s="180"/>
      <c r="AD188" s="155">
        <f t="shared" si="59"/>
        <v>0</v>
      </c>
      <c r="AE188" s="156">
        <f t="shared" si="60"/>
        <v>0</v>
      </c>
      <c r="AF188" s="157">
        <f t="shared" si="50"/>
        <v>0</v>
      </c>
      <c r="AG188" s="158" t="str">
        <f t="shared" si="51"/>
        <v>un</v>
      </c>
      <c r="AH188" s="158">
        <f t="shared" si="61"/>
        <v>0</v>
      </c>
      <c r="AI188" s="159">
        <f t="shared" si="62"/>
        <v>0</v>
      </c>
      <c r="AJ188" s="160">
        <f t="shared" si="63"/>
        <v>0</v>
      </c>
      <c r="AL188" s="143"/>
      <c r="AM188" s="147" t="str">
        <f t="shared" si="64"/>
        <v>un</v>
      </c>
      <c r="AN188" s="161"/>
      <c r="AO188" s="182"/>
      <c r="AP188" s="182"/>
      <c r="AQ188" s="183" t="s">
        <v>18</v>
      </c>
      <c r="AS188" s="143"/>
      <c r="AT188" s="147" t="str">
        <f t="shared" si="65"/>
        <v>un</v>
      </c>
      <c r="AU188" s="161"/>
      <c r="AV188" s="182"/>
      <c r="AW188" s="182"/>
      <c r="AX188" s="183" t="s">
        <v>18</v>
      </c>
      <c r="AZ188" s="143"/>
      <c r="BA188" s="147" t="str">
        <f t="shared" si="66"/>
        <v>un</v>
      </c>
      <c r="BB188" s="161"/>
      <c r="BC188" s="182"/>
      <c r="BD188" s="182"/>
      <c r="BE188" s="183" t="s">
        <v>18</v>
      </c>
      <c r="BF188" s="181"/>
      <c r="BG188" s="143"/>
      <c r="BH188" s="147" t="str">
        <f t="shared" si="67"/>
        <v>un</v>
      </c>
      <c r="BI188" s="161"/>
      <c r="BJ188" s="182"/>
      <c r="BK188" s="182"/>
      <c r="BL188" s="183" t="s">
        <v>18</v>
      </c>
      <c r="BM188" s="181"/>
      <c r="BN188" s="143"/>
      <c r="BO188" s="147" t="str">
        <f t="shared" si="68"/>
        <v>un</v>
      </c>
      <c r="BP188" s="161"/>
      <c r="BQ188" s="182"/>
      <c r="BR188" s="182"/>
      <c r="BS188" s="183" t="s">
        <v>18</v>
      </c>
      <c r="BT188" s="181"/>
      <c r="BU188" s="143"/>
      <c r="BV188" s="147" t="str">
        <f t="shared" si="69"/>
        <v>un</v>
      </c>
      <c r="BW188" s="161"/>
      <c r="BX188" s="182"/>
      <c r="BY188" s="182"/>
      <c r="BZ188" s="183" t="s">
        <v>18</v>
      </c>
      <c r="CA188" s="181"/>
      <c r="CB188" s="181"/>
      <c r="CC188" s="163">
        <f t="shared" si="70"/>
        <v>0</v>
      </c>
      <c r="CD188" s="163">
        <f t="shared" si="71"/>
        <v>0</v>
      </c>
      <c r="CE188" s="163">
        <f t="shared" si="72"/>
        <v>0</v>
      </c>
      <c r="CF188" s="163">
        <f t="shared" si="73"/>
        <v>0</v>
      </c>
      <c r="CG188" s="163">
        <f t="shared" si="74"/>
        <v>0</v>
      </c>
      <c r="CH188" s="163">
        <f t="shared" si="75"/>
        <v>0</v>
      </c>
      <c r="CJ188" s="163">
        <f t="shared" si="76"/>
        <v>0</v>
      </c>
      <c r="CK188" s="163">
        <f t="shared" si="77"/>
        <v>0</v>
      </c>
      <c r="CL188" s="163">
        <f t="shared" si="78"/>
        <v>0</v>
      </c>
      <c r="CM188" s="163">
        <f t="shared" si="79"/>
        <v>0</v>
      </c>
      <c r="CN188" s="163">
        <f t="shared" si="80"/>
        <v>0</v>
      </c>
      <c r="CO188" s="163">
        <f t="shared" si="81"/>
        <v>0</v>
      </c>
      <c r="CP188" s="163"/>
      <c r="CQ188" s="163">
        <f t="shared" si="82"/>
        <v>0</v>
      </c>
      <c r="CR188" s="163">
        <f t="shared" si="83"/>
        <v>0</v>
      </c>
      <c r="CS188" s="163">
        <f t="shared" si="84"/>
        <v>0</v>
      </c>
      <c r="CT188" s="163">
        <f t="shared" si="85"/>
        <v>0</v>
      </c>
      <c r="CU188" s="163">
        <f t="shared" si="86"/>
        <v>0</v>
      </c>
      <c r="CV188" s="163">
        <f t="shared" si="87"/>
        <v>0</v>
      </c>
      <c r="CY188" s="164" t="s">
        <v>45</v>
      </c>
      <c r="FN188" s="165">
        <f t="shared" si="52"/>
        <v>4.7058823529411766</v>
      </c>
      <c r="FO188" s="166">
        <f t="shared" si="88"/>
        <v>0</v>
      </c>
      <c r="FP188" s="166">
        <f t="shared" si="89"/>
        <v>0</v>
      </c>
      <c r="FQ188" s="181"/>
      <c r="FR188" s="181"/>
      <c r="FS188" s="181">
        <v>0.4</v>
      </c>
      <c r="FT188" s="181"/>
      <c r="FU188" s="181"/>
      <c r="FV188" s="181"/>
    </row>
    <row r="189" spans="1:178" ht="18" x14ac:dyDescent="0.25">
      <c r="A189" s="137">
        <v>6</v>
      </c>
      <c r="B189" s="138" t="s">
        <v>197</v>
      </c>
      <c r="C189" s="139" t="s">
        <v>201</v>
      </c>
      <c r="D189" s="140" t="s">
        <v>99</v>
      </c>
      <c r="E189" s="141" t="s">
        <v>199</v>
      </c>
      <c r="F189" s="142" t="s">
        <v>207</v>
      </c>
      <c r="G189" s="143"/>
      <c r="H189" s="144"/>
      <c r="I189" s="144"/>
      <c r="J189" s="144"/>
      <c r="K189" s="144"/>
      <c r="L189" s="144"/>
      <c r="M189" s="137">
        <f t="shared" si="53"/>
        <v>7.0588235294117645</v>
      </c>
      <c r="N189" s="145" t="s">
        <v>11</v>
      </c>
      <c r="O189" s="184">
        <f t="shared" si="54"/>
        <v>7.0588235294117645</v>
      </c>
      <c r="P189" s="147" t="str">
        <f t="shared" si="45"/>
        <v>un</v>
      </c>
      <c r="Q189" s="147" t="str">
        <f t="shared" si="46"/>
        <v>/ dia</v>
      </c>
      <c r="R189" s="148">
        <v>3</v>
      </c>
      <c r="S189" s="149">
        <v>2</v>
      </c>
      <c r="T189" s="149">
        <f t="shared" si="47"/>
        <v>1</v>
      </c>
      <c r="U189" s="149">
        <f t="shared" si="48"/>
        <v>0</v>
      </c>
      <c r="V189" s="149">
        <f t="shared" si="55"/>
        <v>0</v>
      </c>
      <c r="W189" s="140" t="s">
        <v>18</v>
      </c>
      <c r="X189" s="150" t="s">
        <v>18</v>
      </c>
      <c r="Y189" s="151">
        <f t="shared" si="56"/>
        <v>0</v>
      </c>
      <c r="Z189" s="152">
        <f t="shared" si="49"/>
        <v>0.66666666666666663</v>
      </c>
      <c r="AA189" s="153">
        <f t="shared" si="57"/>
        <v>0</v>
      </c>
      <c r="AB189" s="153">
        <f t="shared" si="58"/>
        <v>0</v>
      </c>
      <c r="AC189" s="154"/>
      <c r="AD189" s="155">
        <f t="shared" si="59"/>
        <v>0</v>
      </c>
      <c r="AE189" s="156">
        <f t="shared" si="60"/>
        <v>0</v>
      </c>
      <c r="AF189" s="157">
        <f t="shared" si="50"/>
        <v>0</v>
      </c>
      <c r="AG189" s="158" t="str">
        <f t="shared" si="51"/>
        <v>un</v>
      </c>
      <c r="AH189" s="158">
        <f t="shared" si="61"/>
        <v>0</v>
      </c>
      <c r="AI189" s="159">
        <f t="shared" si="62"/>
        <v>0</v>
      </c>
      <c r="AJ189" s="160">
        <f t="shared" si="63"/>
        <v>0</v>
      </c>
      <c r="AL189" s="143"/>
      <c r="AM189" s="147" t="str">
        <f t="shared" si="64"/>
        <v>un</v>
      </c>
      <c r="AN189" s="161"/>
      <c r="AO189" s="162"/>
      <c r="AP189" s="162"/>
      <c r="AQ189" s="140" t="s">
        <v>18</v>
      </c>
      <c r="AS189" s="143"/>
      <c r="AT189" s="147" t="str">
        <f t="shared" si="65"/>
        <v>un</v>
      </c>
      <c r="AU189" s="161"/>
      <c r="AV189" s="162"/>
      <c r="AW189" s="162"/>
      <c r="AX189" s="140" t="s">
        <v>18</v>
      </c>
      <c r="AZ189" s="143"/>
      <c r="BA189" s="147" t="str">
        <f t="shared" si="66"/>
        <v>un</v>
      </c>
      <c r="BB189" s="161"/>
      <c r="BC189" s="162"/>
      <c r="BD189" s="162"/>
      <c r="BE189" s="140" t="s">
        <v>18</v>
      </c>
      <c r="BF189" s="181"/>
      <c r="BG189" s="143"/>
      <c r="BH189" s="147" t="str">
        <f t="shared" si="67"/>
        <v>un</v>
      </c>
      <c r="BI189" s="161"/>
      <c r="BJ189" s="162"/>
      <c r="BK189" s="162"/>
      <c r="BL189" s="140" t="s">
        <v>18</v>
      </c>
      <c r="BM189" s="181"/>
      <c r="BN189" s="143"/>
      <c r="BO189" s="147" t="str">
        <f t="shared" si="68"/>
        <v>un</v>
      </c>
      <c r="BP189" s="161"/>
      <c r="BQ189" s="162"/>
      <c r="BR189" s="162"/>
      <c r="BS189" s="140" t="s">
        <v>18</v>
      </c>
      <c r="BT189" s="181"/>
      <c r="BU189" s="143"/>
      <c r="BV189" s="147" t="str">
        <f t="shared" si="69"/>
        <v>un</v>
      </c>
      <c r="BW189" s="161"/>
      <c r="BX189" s="162"/>
      <c r="BY189" s="162"/>
      <c r="BZ189" s="140" t="s">
        <v>18</v>
      </c>
      <c r="CA189" s="181"/>
      <c r="CB189" s="181"/>
      <c r="CC189" s="163">
        <f t="shared" si="70"/>
        <v>0</v>
      </c>
      <c r="CD189" s="163">
        <f t="shared" si="71"/>
        <v>0</v>
      </c>
      <c r="CE189" s="163">
        <f t="shared" si="72"/>
        <v>0</v>
      </c>
      <c r="CF189" s="163">
        <f t="shared" si="73"/>
        <v>0</v>
      </c>
      <c r="CG189" s="163">
        <f t="shared" si="74"/>
        <v>0</v>
      </c>
      <c r="CH189" s="163">
        <f t="shared" si="75"/>
        <v>0</v>
      </c>
      <c r="CJ189" s="163">
        <f t="shared" si="76"/>
        <v>0</v>
      </c>
      <c r="CK189" s="163">
        <f t="shared" si="77"/>
        <v>0</v>
      </c>
      <c r="CL189" s="163">
        <f t="shared" si="78"/>
        <v>0</v>
      </c>
      <c r="CM189" s="163">
        <f t="shared" si="79"/>
        <v>0</v>
      </c>
      <c r="CN189" s="163">
        <f t="shared" si="80"/>
        <v>0</v>
      </c>
      <c r="CO189" s="163">
        <f t="shared" si="81"/>
        <v>0</v>
      </c>
      <c r="CP189" s="163"/>
      <c r="CQ189" s="163">
        <f t="shared" si="82"/>
        <v>0</v>
      </c>
      <c r="CR189" s="163">
        <f t="shared" si="83"/>
        <v>0</v>
      </c>
      <c r="CS189" s="163">
        <f t="shared" si="84"/>
        <v>0</v>
      </c>
      <c r="CT189" s="163">
        <f t="shared" si="85"/>
        <v>0</v>
      </c>
      <c r="CU189" s="163">
        <f t="shared" si="86"/>
        <v>0</v>
      </c>
      <c r="CV189" s="163">
        <f t="shared" si="87"/>
        <v>0</v>
      </c>
      <c r="CY189" s="164" t="s">
        <v>45</v>
      </c>
      <c r="FN189" s="165">
        <f t="shared" si="52"/>
        <v>7.0588235294117645</v>
      </c>
      <c r="FO189" s="166">
        <f t="shared" si="88"/>
        <v>0</v>
      </c>
      <c r="FP189" s="166">
        <f t="shared" si="89"/>
        <v>0</v>
      </c>
      <c r="FQ189" s="181"/>
      <c r="FR189" s="181"/>
      <c r="FS189" s="181">
        <v>0.4</v>
      </c>
      <c r="FT189" s="181"/>
      <c r="FU189" s="181"/>
      <c r="FV189" s="181"/>
    </row>
    <row r="190" spans="1:178" ht="18" x14ac:dyDescent="0.25">
      <c r="A190" s="167">
        <v>6</v>
      </c>
      <c r="B190" s="168" t="s">
        <v>197</v>
      </c>
      <c r="C190" s="169" t="s">
        <v>201</v>
      </c>
      <c r="D190" s="140" t="s">
        <v>99</v>
      </c>
      <c r="E190" s="170" t="s">
        <v>199</v>
      </c>
      <c r="F190" s="171" t="s">
        <v>208</v>
      </c>
      <c r="G190" s="143"/>
      <c r="H190" s="172"/>
      <c r="I190" s="172"/>
      <c r="J190" s="172"/>
      <c r="K190" s="172"/>
      <c r="L190" s="172"/>
      <c r="M190" s="137">
        <f t="shared" si="53"/>
        <v>7.0588235294117645</v>
      </c>
      <c r="N190" s="173" t="s">
        <v>11</v>
      </c>
      <c r="O190" s="146">
        <f t="shared" si="54"/>
        <v>7.0588235294117645</v>
      </c>
      <c r="P190" s="174" t="str">
        <f t="shared" si="45"/>
        <v>un</v>
      </c>
      <c r="Q190" s="175" t="str">
        <f t="shared" si="46"/>
        <v>/ dia</v>
      </c>
      <c r="R190" s="176">
        <v>3</v>
      </c>
      <c r="S190" s="177">
        <v>2</v>
      </c>
      <c r="T190" s="177">
        <f t="shared" si="47"/>
        <v>1</v>
      </c>
      <c r="U190" s="149">
        <f t="shared" si="48"/>
        <v>0</v>
      </c>
      <c r="V190" s="149">
        <f t="shared" si="55"/>
        <v>0</v>
      </c>
      <c r="W190" s="140" t="s">
        <v>18</v>
      </c>
      <c r="X190" s="150" t="s">
        <v>18</v>
      </c>
      <c r="Y190" s="151">
        <f t="shared" si="56"/>
        <v>0</v>
      </c>
      <c r="Z190" s="178">
        <f t="shared" si="49"/>
        <v>0.66666666666666663</v>
      </c>
      <c r="AA190" s="179">
        <f t="shared" si="57"/>
        <v>0</v>
      </c>
      <c r="AB190" s="179">
        <f t="shared" si="58"/>
        <v>0</v>
      </c>
      <c r="AC190" s="180"/>
      <c r="AD190" s="155">
        <f t="shared" si="59"/>
        <v>0</v>
      </c>
      <c r="AE190" s="156">
        <f t="shared" si="60"/>
        <v>0</v>
      </c>
      <c r="AF190" s="157">
        <f t="shared" si="50"/>
        <v>0</v>
      </c>
      <c r="AG190" s="158" t="str">
        <f t="shared" si="51"/>
        <v>un</v>
      </c>
      <c r="AH190" s="158">
        <f t="shared" si="61"/>
        <v>0</v>
      </c>
      <c r="AI190" s="159">
        <f t="shared" si="62"/>
        <v>0</v>
      </c>
      <c r="AJ190" s="160">
        <f t="shared" si="63"/>
        <v>0</v>
      </c>
      <c r="AL190" s="143"/>
      <c r="AM190" s="147" t="str">
        <f t="shared" si="64"/>
        <v>un</v>
      </c>
      <c r="AN190" s="161"/>
      <c r="AO190" s="182"/>
      <c r="AP190" s="182"/>
      <c r="AQ190" s="183" t="s">
        <v>18</v>
      </c>
      <c r="AS190" s="143"/>
      <c r="AT190" s="147" t="str">
        <f t="shared" si="65"/>
        <v>un</v>
      </c>
      <c r="AU190" s="161"/>
      <c r="AV190" s="182"/>
      <c r="AW190" s="182"/>
      <c r="AX190" s="183" t="s">
        <v>18</v>
      </c>
      <c r="AZ190" s="143"/>
      <c r="BA190" s="147" t="str">
        <f t="shared" si="66"/>
        <v>un</v>
      </c>
      <c r="BB190" s="161"/>
      <c r="BC190" s="182"/>
      <c r="BD190" s="182"/>
      <c r="BE190" s="183" t="s">
        <v>18</v>
      </c>
      <c r="BF190" s="181"/>
      <c r="BG190" s="143"/>
      <c r="BH190" s="147" t="str">
        <f t="shared" si="67"/>
        <v>un</v>
      </c>
      <c r="BI190" s="161"/>
      <c r="BJ190" s="182"/>
      <c r="BK190" s="182"/>
      <c r="BL190" s="183" t="s">
        <v>18</v>
      </c>
      <c r="BM190" s="181"/>
      <c r="BN190" s="143"/>
      <c r="BO190" s="147" t="str">
        <f t="shared" si="68"/>
        <v>un</v>
      </c>
      <c r="BP190" s="161"/>
      <c r="BQ190" s="182"/>
      <c r="BR190" s="182"/>
      <c r="BS190" s="183" t="s">
        <v>18</v>
      </c>
      <c r="BT190" s="181"/>
      <c r="BU190" s="143"/>
      <c r="BV190" s="147" t="str">
        <f t="shared" si="69"/>
        <v>un</v>
      </c>
      <c r="BW190" s="161"/>
      <c r="BX190" s="182"/>
      <c r="BY190" s="182"/>
      <c r="BZ190" s="183" t="s">
        <v>18</v>
      </c>
      <c r="CA190" s="181"/>
      <c r="CB190" s="181"/>
      <c r="CC190" s="163">
        <f t="shared" si="70"/>
        <v>0</v>
      </c>
      <c r="CD190" s="163">
        <f t="shared" si="71"/>
        <v>0</v>
      </c>
      <c r="CE190" s="163">
        <f t="shared" si="72"/>
        <v>0</v>
      </c>
      <c r="CF190" s="163">
        <f t="shared" si="73"/>
        <v>0</v>
      </c>
      <c r="CG190" s="163">
        <f t="shared" si="74"/>
        <v>0</v>
      </c>
      <c r="CH190" s="163">
        <f t="shared" si="75"/>
        <v>0</v>
      </c>
      <c r="CJ190" s="163">
        <f t="shared" si="76"/>
        <v>0</v>
      </c>
      <c r="CK190" s="163">
        <f t="shared" si="77"/>
        <v>0</v>
      </c>
      <c r="CL190" s="163">
        <f t="shared" si="78"/>
        <v>0</v>
      </c>
      <c r="CM190" s="163">
        <f t="shared" si="79"/>
        <v>0</v>
      </c>
      <c r="CN190" s="163">
        <f t="shared" si="80"/>
        <v>0</v>
      </c>
      <c r="CO190" s="163">
        <f t="shared" si="81"/>
        <v>0</v>
      </c>
      <c r="CP190" s="163"/>
      <c r="CQ190" s="163">
        <f t="shared" si="82"/>
        <v>0</v>
      </c>
      <c r="CR190" s="163">
        <f t="shared" si="83"/>
        <v>0</v>
      </c>
      <c r="CS190" s="163">
        <f t="shared" si="84"/>
        <v>0</v>
      </c>
      <c r="CT190" s="163">
        <f t="shared" si="85"/>
        <v>0</v>
      </c>
      <c r="CU190" s="163">
        <f t="shared" si="86"/>
        <v>0</v>
      </c>
      <c r="CV190" s="163">
        <f t="shared" si="87"/>
        <v>0</v>
      </c>
      <c r="CY190" s="164" t="s">
        <v>45</v>
      </c>
      <c r="FN190" s="165">
        <f t="shared" si="52"/>
        <v>7.0588235294117645</v>
      </c>
      <c r="FO190" s="166">
        <f t="shared" si="88"/>
        <v>0</v>
      </c>
      <c r="FP190" s="166">
        <f t="shared" si="89"/>
        <v>0</v>
      </c>
      <c r="FQ190" s="181"/>
      <c r="FR190" s="181"/>
      <c r="FS190" s="181">
        <v>0.4</v>
      </c>
      <c r="FT190" s="181"/>
      <c r="FU190" s="181"/>
      <c r="FV190" s="181"/>
    </row>
    <row r="191" spans="1:178" ht="18" x14ac:dyDescent="0.25">
      <c r="A191" s="137">
        <v>4</v>
      </c>
      <c r="B191" s="138" t="s">
        <v>197</v>
      </c>
      <c r="C191" s="139" t="s">
        <v>201</v>
      </c>
      <c r="D191" s="185" t="s">
        <v>113</v>
      </c>
      <c r="E191" s="141" t="s">
        <v>170</v>
      </c>
      <c r="F191" s="142" t="s">
        <v>209</v>
      </c>
      <c r="G191" s="143"/>
      <c r="H191" s="144"/>
      <c r="I191" s="144"/>
      <c r="J191" s="144"/>
      <c r="K191" s="144"/>
      <c r="L191" s="144"/>
      <c r="M191" s="137">
        <f t="shared" si="53"/>
        <v>4.7058823529411766</v>
      </c>
      <c r="N191" s="145" t="s">
        <v>11</v>
      </c>
      <c r="O191" s="184">
        <f t="shared" si="54"/>
        <v>4.7058823529411766</v>
      </c>
      <c r="P191" s="147" t="str">
        <f t="shared" si="45"/>
        <v>un</v>
      </c>
      <c r="Q191" s="147" t="str">
        <f t="shared" si="46"/>
        <v>/ dia</v>
      </c>
      <c r="R191" s="148">
        <v>3</v>
      </c>
      <c r="S191" s="149">
        <v>2</v>
      </c>
      <c r="T191" s="149">
        <f t="shared" si="47"/>
        <v>1</v>
      </c>
      <c r="U191" s="149">
        <f t="shared" si="48"/>
        <v>0</v>
      </c>
      <c r="V191" s="149">
        <f t="shared" si="55"/>
        <v>0</v>
      </c>
      <c r="W191" s="140" t="s">
        <v>18</v>
      </c>
      <c r="X191" s="150" t="s">
        <v>18</v>
      </c>
      <c r="Y191" s="151">
        <f t="shared" si="56"/>
        <v>0</v>
      </c>
      <c r="Z191" s="152">
        <f t="shared" si="49"/>
        <v>0.66666666666666663</v>
      </c>
      <c r="AA191" s="153">
        <f t="shared" si="57"/>
        <v>0</v>
      </c>
      <c r="AB191" s="153">
        <f t="shared" si="58"/>
        <v>0</v>
      </c>
      <c r="AC191" s="154"/>
      <c r="AD191" s="155">
        <f t="shared" si="59"/>
        <v>0</v>
      </c>
      <c r="AE191" s="156">
        <f t="shared" si="60"/>
        <v>0</v>
      </c>
      <c r="AF191" s="157">
        <f t="shared" si="50"/>
        <v>0</v>
      </c>
      <c r="AG191" s="158" t="str">
        <f t="shared" si="51"/>
        <v>un</v>
      </c>
      <c r="AH191" s="158">
        <f t="shared" si="61"/>
        <v>0</v>
      </c>
      <c r="AI191" s="159">
        <f t="shared" si="62"/>
        <v>0</v>
      </c>
      <c r="AJ191" s="160">
        <f t="shared" si="63"/>
        <v>0</v>
      </c>
      <c r="AL191" s="143"/>
      <c r="AM191" s="147" t="str">
        <f t="shared" si="64"/>
        <v>un</v>
      </c>
      <c r="AN191" s="161"/>
      <c r="AO191" s="162"/>
      <c r="AP191" s="162"/>
      <c r="AQ191" s="140" t="s">
        <v>18</v>
      </c>
      <c r="AS191" s="143"/>
      <c r="AT191" s="147" t="str">
        <f t="shared" si="65"/>
        <v>un</v>
      </c>
      <c r="AU191" s="161"/>
      <c r="AV191" s="162"/>
      <c r="AW191" s="162"/>
      <c r="AX191" s="140" t="s">
        <v>18</v>
      </c>
      <c r="AZ191" s="143"/>
      <c r="BA191" s="147" t="str">
        <f t="shared" si="66"/>
        <v>un</v>
      </c>
      <c r="BB191" s="161"/>
      <c r="BC191" s="162"/>
      <c r="BD191" s="162"/>
      <c r="BE191" s="140" t="s">
        <v>18</v>
      </c>
      <c r="BF191" s="181"/>
      <c r="BG191" s="143"/>
      <c r="BH191" s="147" t="str">
        <f t="shared" si="67"/>
        <v>un</v>
      </c>
      <c r="BI191" s="161"/>
      <c r="BJ191" s="162"/>
      <c r="BK191" s="162"/>
      <c r="BL191" s="140" t="s">
        <v>18</v>
      </c>
      <c r="BM191" s="181"/>
      <c r="BN191" s="143"/>
      <c r="BO191" s="147" t="str">
        <f t="shared" si="68"/>
        <v>un</v>
      </c>
      <c r="BP191" s="161"/>
      <c r="BQ191" s="162"/>
      <c r="BR191" s="162"/>
      <c r="BS191" s="140" t="s">
        <v>18</v>
      </c>
      <c r="BT191" s="181"/>
      <c r="BU191" s="143"/>
      <c r="BV191" s="147" t="str">
        <f t="shared" si="69"/>
        <v>un</v>
      </c>
      <c r="BW191" s="161"/>
      <c r="BX191" s="162"/>
      <c r="BY191" s="162"/>
      <c r="BZ191" s="140" t="s">
        <v>18</v>
      </c>
      <c r="CA191" s="181"/>
      <c r="CB191" s="181"/>
      <c r="CC191" s="163">
        <f t="shared" si="70"/>
        <v>0</v>
      </c>
      <c r="CD191" s="163">
        <f t="shared" si="71"/>
        <v>0</v>
      </c>
      <c r="CE191" s="163">
        <f t="shared" si="72"/>
        <v>0</v>
      </c>
      <c r="CF191" s="163">
        <f t="shared" si="73"/>
        <v>0</v>
      </c>
      <c r="CG191" s="163">
        <f t="shared" si="74"/>
        <v>0</v>
      </c>
      <c r="CH191" s="163">
        <f t="shared" si="75"/>
        <v>0</v>
      </c>
      <c r="CJ191" s="163">
        <f t="shared" si="76"/>
        <v>0</v>
      </c>
      <c r="CK191" s="163">
        <f t="shared" si="77"/>
        <v>0</v>
      </c>
      <c r="CL191" s="163">
        <f t="shared" si="78"/>
        <v>0</v>
      </c>
      <c r="CM191" s="163">
        <f t="shared" si="79"/>
        <v>0</v>
      </c>
      <c r="CN191" s="163">
        <f t="shared" si="80"/>
        <v>0</v>
      </c>
      <c r="CO191" s="163">
        <f t="shared" si="81"/>
        <v>0</v>
      </c>
      <c r="CP191" s="163"/>
      <c r="CQ191" s="163">
        <f t="shared" si="82"/>
        <v>0</v>
      </c>
      <c r="CR191" s="163">
        <f t="shared" si="83"/>
        <v>0</v>
      </c>
      <c r="CS191" s="163">
        <f t="shared" si="84"/>
        <v>0</v>
      </c>
      <c r="CT191" s="163">
        <f t="shared" si="85"/>
        <v>0</v>
      </c>
      <c r="CU191" s="163">
        <f t="shared" si="86"/>
        <v>0</v>
      </c>
      <c r="CV191" s="163">
        <f t="shared" si="87"/>
        <v>0</v>
      </c>
      <c r="CY191" s="164" t="s">
        <v>45</v>
      </c>
      <c r="FN191" s="165">
        <f t="shared" si="52"/>
        <v>4.7058823529411766</v>
      </c>
      <c r="FO191" s="166">
        <f t="shared" si="88"/>
        <v>0</v>
      </c>
      <c r="FP191" s="166">
        <f t="shared" si="89"/>
        <v>0</v>
      </c>
      <c r="FQ191" s="181"/>
      <c r="FR191" s="181"/>
      <c r="FS191" s="181">
        <v>0.4</v>
      </c>
      <c r="FT191" s="181"/>
      <c r="FU191" s="181"/>
      <c r="FV191" s="181"/>
    </row>
    <row r="192" spans="1:178" ht="18" x14ac:dyDescent="0.25">
      <c r="A192" s="167">
        <v>90</v>
      </c>
      <c r="B192" s="168" t="s">
        <v>197</v>
      </c>
      <c r="C192" s="169" t="s">
        <v>201</v>
      </c>
      <c r="D192" s="140" t="s">
        <v>210</v>
      </c>
      <c r="E192" s="170" t="s">
        <v>170</v>
      </c>
      <c r="F192" s="171" t="s">
        <v>211</v>
      </c>
      <c r="G192" s="143"/>
      <c r="H192" s="172"/>
      <c r="I192" s="172"/>
      <c r="J192" s="172"/>
      <c r="K192" s="172"/>
      <c r="L192" s="172"/>
      <c r="M192" s="137">
        <f t="shared" si="53"/>
        <v>105.88235294117648</v>
      </c>
      <c r="N192" s="173" t="s">
        <v>11</v>
      </c>
      <c r="O192" s="146">
        <f t="shared" si="54"/>
        <v>105.88235294117648</v>
      </c>
      <c r="P192" s="174" t="str">
        <f t="shared" si="45"/>
        <v>un</v>
      </c>
      <c r="Q192" s="175" t="str">
        <f t="shared" si="46"/>
        <v>/ dia</v>
      </c>
      <c r="R192" s="176">
        <v>1</v>
      </c>
      <c r="S192" s="177">
        <v>0</v>
      </c>
      <c r="T192" s="177">
        <f t="shared" si="47"/>
        <v>1</v>
      </c>
      <c r="U192" s="149">
        <f t="shared" si="48"/>
        <v>0</v>
      </c>
      <c r="V192" s="149">
        <f t="shared" si="55"/>
        <v>0</v>
      </c>
      <c r="W192" s="140" t="s">
        <v>18</v>
      </c>
      <c r="X192" s="150" t="s">
        <v>18</v>
      </c>
      <c r="Y192" s="151">
        <f t="shared" si="56"/>
        <v>0</v>
      </c>
      <c r="Z192" s="178">
        <f t="shared" si="49"/>
        <v>0</v>
      </c>
      <c r="AA192" s="179">
        <f t="shared" si="57"/>
        <v>0</v>
      </c>
      <c r="AB192" s="179">
        <f t="shared" si="58"/>
        <v>0</v>
      </c>
      <c r="AC192" s="180"/>
      <c r="AD192" s="155">
        <f t="shared" si="59"/>
        <v>0</v>
      </c>
      <c r="AE192" s="156">
        <f t="shared" si="60"/>
        <v>0</v>
      </c>
      <c r="AF192" s="157">
        <f t="shared" si="50"/>
        <v>0</v>
      </c>
      <c r="AG192" s="158" t="str">
        <f t="shared" si="51"/>
        <v>un</v>
      </c>
      <c r="AH192" s="158">
        <f t="shared" si="61"/>
        <v>0</v>
      </c>
      <c r="AI192" s="159">
        <f t="shared" si="62"/>
        <v>0</v>
      </c>
      <c r="AJ192" s="160">
        <f t="shared" si="63"/>
        <v>0</v>
      </c>
      <c r="AL192" s="143"/>
      <c r="AM192" s="147" t="str">
        <f t="shared" si="64"/>
        <v>un</v>
      </c>
      <c r="AN192" s="161"/>
      <c r="AO192" s="182"/>
      <c r="AP192" s="182"/>
      <c r="AQ192" s="183" t="s">
        <v>18</v>
      </c>
      <c r="AS192" s="143"/>
      <c r="AT192" s="147" t="str">
        <f t="shared" si="65"/>
        <v>un</v>
      </c>
      <c r="AU192" s="161"/>
      <c r="AV192" s="182"/>
      <c r="AW192" s="182"/>
      <c r="AX192" s="183" t="s">
        <v>18</v>
      </c>
      <c r="AZ192" s="143"/>
      <c r="BA192" s="147" t="str">
        <f t="shared" si="66"/>
        <v>un</v>
      </c>
      <c r="BB192" s="161"/>
      <c r="BC192" s="182"/>
      <c r="BD192" s="182"/>
      <c r="BE192" s="183" t="s">
        <v>18</v>
      </c>
      <c r="BF192" s="181"/>
      <c r="BG192" s="143"/>
      <c r="BH192" s="147" t="str">
        <f t="shared" si="67"/>
        <v>un</v>
      </c>
      <c r="BI192" s="161"/>
      <c r="BJ192" s="182"/>
      <c r="BK192" s="182"/>
      <c r="BL192" s="183" t="s">
        <v>18</v>
      </c>
      <c r="BM192" s="181"/>
      <c r="BN192" s="143"/>
      <c r="BO192" s="147" t="str">
        <f t="shared" si="68"/>
        <v>un</v>
      </c>
      <c r="BP192" s="161"/>
      <c r="BQ192" s="182"/>
      <c r="BR192" s="182"/>
      <c r="BS192" s="183" t="s">
        <v>18</v>
      </c>
      <c r="BT192" s="181"/>
      <c r="BU192" s="143"/>
      <c r="BV192" s="147" t="str">
        <f t="shared" si="69"/>
        <v>un</v>
      </c>
      <c r="BW192" s="161"/>
      <c r="BX192" s="182"/>
      <c r="BY192" s="182"/>
      <c r="BZ192" s="183" t="s">
        <v>18</v>
      </c>
      <c r="CA192" s="181"/>
      <c r="CB192" s="181"/>
      <c r="CC192" s="163">
        <f t="shared" si="70"/>
        <v>0</v>
      </c>
      <c r="CD192" s="163">
        <f t="shared" si="71"/>
        <v>0</v>
      </c>
      <c r="CE192" s="163">
        <f t="shared" si="72"/>
        <v>0</v>
      </c>
      <c r="CF192" s="163">
        <f t="shared" si="73"/>
        <v>0</v>
      </c>
      <c r="CG192" s="163">
        <f t="shared" si="74"/>
        <v>0</v>
      </c>
      <c r="CH192" s="163">
        <f t="shared" si="75"/>
        <v>0</v>
      </c>
      <c r="CJ192" s="163">
        <f t="shared" si="76"/>
        <v>0</v>
      </c>
      <c r="CK192" s="163">
        <f t="shared" si="77"/>
        <v>0</v>
      </c>
      <c r="CL192" s="163">
        <f t="shared" si="78"/>
        <v>0</v>
      </c>
      <c r="CM192" s="163">
        <f t="shared" si="79"/>
        <v>0</v>
      </c>
      <c r="CN192" s="163">
        <f t="shared" si="80"/>
        <v>0</v>
      </c>
      <c r="CO192" s="163">
        <f t="shared" si="81"/>
        <v>0</v>
      </c>
      <c r="CP192" s="163"/>
      <c r="CQ192" s="163">
        <f t="shared" si="82"/>
        <v>0</v>
      </c>
      <c r="CR192" s="163">
        <f t="shared" si="83"/>
        <v>0</v>
      </c>
      <c r="CS192" s="163">
        <f t="shared" si="84"/>
        <v>0</v>
      </c>
      <c r="CT192" s="163">
        <f t="shared" si="85"/>
        <v>0</v>
      </c>
      <c r="CU192" s="163">
        <f t="shared" si="86"/>
        <v>0</v>
      </c>
      <c r="CV192" s="163">
        <f t="shared" si="87"/>
        <v>0</v>
      </c>
      <c r="CY192" s="164" t="s">
        <v>45</v>
      </c>
      <c r="FN192" s="165">
        <f t="shared" si="52"/>
        <v>105.88235294117648</v>
      </c>
      <c r="FO192" s="166">
        <f t="shared" si="88"/>
        <v>0</v>
      </c>
      <c r="FP192" s="166">
        <f t="shared" si="89"/>
        <v>0</v>
      </c>
      <c r="FQ192" s="181"/>
      <c r="FR192" s="181"/>
      <c r="FS192" s="181">
        <v>1</v>
      </c>
      <c r="FT192" s="181"/>
      <c r="FU192" s="181"/>
      <c r="FV192" s="181"/>
    </row>
    <row r="193" spans="1:178" ht="18" x14ac:dyDescent="0.25">
      <c r="A193" s="137">
        <v>13</v>
      </c>
      <c r="B193" s="138" t="s">
        <v>197</v>
      </c>
      <c r="C193" s="139" t="s">
        <v>201</v>
      </c>
      <c r="D193" s="185" t="s">
        <v>113</v>
      </c>
      <c r="E193" s="141" t="s">
        <v>170</v>
      </c>
      <c r="F193" s="142" t="s">
        <v>212</v>
      </c>
      <c r="G193" s="143"/>
      <c r="H193" s="144"/>
      <c r="I193" s="144"/>
      <c r="J193" s="144"/>
      <c r="K193" s="144"/>
      <c r="L193" s="144"/>
      <c r="M193" s="137">
        <f t="shared" si="53"/>
        <v>15.294117647058824</v>
      </c>
      <c r="N193" s="145" t="s">
        <v>11</v>
      </c>
      <c r="O193" s="184">
        <f t="shared" si="54"/>
        <v>15.294117647058824</v>
      </c>
      <c r="P193" s="147" t="str">
        <f t="shared" si="45"/>
        <v>un</v>
      </c>
      <c r="Q193" s="147" t="str">
        <f t="shared" si="46"/>
        <v>/ dia</v>
      </c>
      <c r="R193" s="148">
        <v>1</v>
      </c>
      <c r="S193" s="149">
        <v>0</v>
      </c>
      <c r="T193" s="149">
        <f t="shared" si="47"/>
        <v>1</v>
      </c>
      <c r="U193" s="149">
        <f t="shared" si="48"/>
        <v>0</v>
      </c>
      <c r="V193" s="149">
        <f t="shared" si="55"/>
        <v>0</v>
      </c>
      <c r="W193" s="140" t="s">
        <v>18</v>
      </c>
      <c r="X193" s="150" t="s">
        <v>18</v>
      </c>
      <c r="Y193" s="151">
        <f t="shared" si="56"/>
        <v>0</v>
      </c>
      <c r="Z193" s="152">
        <f t="shared" si="49"/>
        <v>0</v>
      </c>
      <c r="AA193" s="153">
        <f t="shared" si="57"/>
        <v>0</v>
      </c>
      <c r="AB193" s="153">
        <f t="shared" si="58"/>
        <v>0</v>
      </c>
      <c r="AC193" s="154"/>
      <c r="AD193" s="155">
        <f t="shared" si="59"/>
        <v>0</v>
      </c>
      <c r="AE193" s="156">
        <f t="shared" si="60"/>
        <v>0</v>
      </c>
      <c r="AF193" s="157">
        <f t="shared" si="50"/>
        <v>0</v>
      </c>
      <c r="AG193" s="158" t="str">
        <f t="shared" si="51"/>
        <v>un</v>
      </c>
      <c r="AH193" s="158">
        <f t="shared" si="61"/>
        <v>0</v>
      </c>
      <c r="AI193" s="159">
        <f t="shared" si="62"/>
        <v>0</v>
      </c>
      <c r="AJ193" s="160">
        <f t="shared" si="63"/>
        <v>0</v>
      </c>
      <c r="AL193" s="143"/>
      <c r="AM193" s="147" t="str">
        <f t="shared" si="64"/>
        <v>un</v>
      </c>
      <c r="AN193" s="161"/>
      <c r="AO193" s="162"/>
      <c r="AP193" s="162"/>
      <c r="AQ193" s="140" t="s">
        <v>18</v>
      </c>
      <c r="AS193" s="143"/>
      <c r="AT193" s="147" t="str">
        <f t="shared" si="65"/>
        <v>un</v>
      </c>
      <c r="AU193" s="161"/>
      <c r="AV193" s="162"/>
      <c r="AW193" s="162"/>
      <c r="AX193" s="140" t="s">
        <v>18</v>
      </c>
      <c r="AZ193" s="143"/>
      <c r="BA193" s="147" t="str">
        <f t="shared" si="66"/>
        <v>un</v>
      </c>
      <c r="BB193" s="161"/>
      <c r="BC193" s="162"/>
      <c r="BD193" s="162"/>
      <c r="BE193" s="140" t="s">
        <v>18</v>
      </c>
      <c r="BF193" s="181"/>
      <c r="BG193" s="143"/>
      <c r="BH193" s="147" t="str">
        <f t="shared" si="67"/>
        <v>un</v>
      </c>
      <c r="BI193" s="161"/>
      <c r="BJ193" s="162"/>
      <c r="BK193" s="162"/>
      <c r="BL193" s="140" t="s">
        <v>18</v>
      </c>
      <c r="BM193" s="181"/>
      <c r="BN193" s="143"/>
      <c r="BO193" s="147" t="str">
        <f t="shared" si="68"/>
        <v>un</v>
      </c>
      <c r="BP193" s="161"/>
      <c r="BQ193" s="162"/>
      <c r="BR193" s="162"/>
      <c r="BS193" s="140" t="s">
        <v>18</v>
      </c>
      <c r="BT193" s="181"/>
      <c r="BU193" s="143"/>
      <c r="BV193" s="147" t="str">
        <f t="shared" si="69"/>
        <v>un</v>
      </c>
      <c r="BW193" s="161"/>
      <c r="BX193" s="162"/>
      <c r="BY193" s="162"/>
      <c r="BZ193" s="140" t="s">
        <v>18</v>
      </c>
      <c r="CA193" s="181"/>
      <c r="CB193" s="181"/>
      <c r="CC193" s="163">
        <f t="shared" si="70"/>
        <v>0</v>
      </c>
      <c r="CD193" s="163">
        <f t="shared" si="71"/>
        <v>0</v>
      </c>
      <c r="CE193" s="163">
        <f t="shared" si="72"/>
        <v>0</v>
      </c>
      <c r="CF193" s="163">
        <f t="shared" si="73"/>
        <v>0</v>
      </c>
      <c r="CG193" s="163">
        <f t="shared" si="74"/>
        <v>0</v>
      </c>
      <c r="CH193" s="163">
        <f t="shared" si="75"/>
        <v>0</v>
      </c>
      <c r="CJ193" s="163">
        <f t="shared" si="76"/>
        <v>0</v>
      </c>
      <c r="CK193" s="163">
        <f t="shared" si="77"/>
        <v>0</v>
      </c>
      <c r="CL193" s="163">
        <f t="shared" si="78"/>
        <v>0</v>
      </c>
      <c r="CM193" s="163">
        <f t="shared" si="79"/>
        <v>0</v>
      </c>
      <c r="CN193" s="163">
        <f t="shared" si="80"/>
        <v>0</v>
      </c>
      <c r="CO193" s="163">
        <f t="shared" si="81"/>
        <v>0</v>
      </c>
      <c r="CP193" s="163"/>
      <c r="CQ193" s="163">
        <f t="shared" si="82"/>
        <v>0</v>
      </c>
      <c r="CR193" s="163">
        <f t="shared" si="83"/>
        <v>0</v>
      </c>
      <c r="CS193" s="163">
        <f t="shared" si="84"/>
        <v>0</v>
      </c>
      <c r="CT193" s="163">
        <f t="shared" si="85"/>
        <v>0</v>
      </c>
      <c r="CU193" s="163">
        <f t="shared" si="86"/>
        <v>0</v>
      </c>
      <c r="CV193" s="163">
        <f t="shared" si="87"/>
        <v>0</v>
      </c>
      <c r="CY193" s="164" t="s">
        <v>45</v>
      </c>
      <c r="FN193" s="165">
        <f t="shared" si="52"/>
        <v>15.294117647058824</v>
      </c>
      <c r="FO193" s="166">
        <f t="shared" si="88"/>
        <v>0</v>
      </c>
      <c r="FP193" s="166">
        <f t="shared" si="89"/>
        <v>0</v>
      </c>
      <c r="FQ193" s="181"/>
      <c r="FR193" s="181"/>
      <c r="FS193" s="181">
        <v>1</v>
      </c>
      <c r="FT193" s="181"/>
      <c r="FU193" s="181"/>
      <c r="FV193" s="181"/>
    </row>
    <row r="194" spans="1:178" ht="18" x14ac:dyDescent="0.25">
      <c r="A194" s="167">
        <v>13.428571428571429</v>
      </c>
      <c r="B194" s="168" t="s">
        <v>197</v>
      </c>
      <c r="C194" s="169" t="s">
        <v>201</v>
      </c>
      <c r="D194" s="185" t="s">
        <v>113</v>
      </c>
      <c r="E194" s="170" t="s">
        <v>170</v>
      </c>
      <c r="F194" s="171" t="s">
        <v>213</v>
      </c>
      <c r="G194" s="143"/>
      <c r="H194" s="172"/>
      <c r="I194" s="172"/>
      <c r="J194" s="172"/>
      <c r="K194" s="172"/>
      <c r="L194" s="172"/>
      <c r="M194" s="137">
        <f t="shared" si="53"/>
        <v>15.798319327731093</v>
      </c>
      <c r="N194" s="173" t="s">
        <v>11</v>
      </c>
      <c r="O194" s="146">
        <f t="shared" si="54"/>
        <v>15.798319327731093</v>
      </c>
      <c r="P194" s="174" t="str">
        <f t="shared" si="45"/>
        <v>un</v>
      </c>
      <c r="Q194" s="175" t="str">
        <f t="shared" si="46"/>
        <v>/ dia</v>
      </c>
      <c r="R194" s="176">
        <v>1</v>
      </c>
      <c r="S194" s="177">
        <v>0</v>
      </c>
      <c r="T194" s="177">
        <f t="shared" si="47"/>
        <v>1</v>
      </c>
      <c r="U194" s="149">
        <f t="shared" si="48"/>
        <v>0</v>
      </c>
      <c r="V194" s="149">
        <f t="shared" si="55"/>
        <v>0</v>
      </c>
      <c r="W194" s="140" t="s">
        <v>18</v>
      </c>
      <c r="X194" s="150" t="s">
        <v>18</v>
      </c>
      <c r="Y194" s="151">
        <f t="shared" si="56"/>
        <v>0</v>
      </c>
      <c r="Z194" s="178">
        <f t="shared" si="49"/>
        <v>0</v>
      </c>
      <c r="AA194" s="179">
        <f t="shared" si="57"/>
        <v>0</v>
      </c>
      <c r="AB194" s="179">
        <f t="shared" si="58"/>
        <v>0</v>
      </c>
      <c r="AC194" s="180"/>
      <c r="AD194" s="155">
        <f t="shared" si="59"/>
        <v>0</v>
      </c>
      <c r="AE194" s="156">
        <f t="shared" si="60"/>
        <v>0</v>
      </c>
      <c r="AF194" s="157">
        <f t="shared" si="50"/>
        <v>0</v>
      </c>
      <c r="AG194" s="158" t="str">
        <f t="shared" si="51"/>
        <v>un</v>
      </c>
      <c r="AH194" s="158">
        <f t="shared" si="61"/>
        <v>0</v>
      </c>
      <c r="AI194" s="159">
        <f t="shared" si="62"/>
        <v>0</v>
      </c>
      <c r="AJ194" s="160">
        <f t="shared" si="63"/>
        <v>0</v>
      </c>
      <c r="AL194" s="143"/>
      <c r="AM194" s="147" t="str">
        <f t="shared" si="64"/>
        <v>un</v>
      </c>
      <c r="AN194" s="161"/>
      <c r="AO194" s="182"/>
      <c r="AP194" s="182"/>
      <c r="AQ194" s="183" t="s">
        <v>18</v>
      </c>
      <c r="AS194" s="143"/>
      <c r="AT194" s="147" t="str">
        <f t="shared" si="65"/>
        <v>un</v>
      </c>
      <c r="AU194" s="161"/>
      <c r="AV194" s="182"/>
      <c r="AW194" s="182"/>
      <c r="AX194" s="183" t="s">
        <v>18</v>
      </c>
      <c r="AZ194" s="143"/>
      <c r="BA194" s="147" t="str">
        <f t="shared" si="66"/>
        <v>un</v>
      </c>
      <c r="BB194" s="161"/>
      <c r="BC194" s="182"/>
      <c r="BD194" s="182"/>
      <c r="BE194" s="183" t="s">
        <v>18</v>
      </c>
      <c r="BF194" s="181"/>
      <c r="BG194" s="143"/>
      <c r="BH194" s="147" t="str">
        <f t="shared" si="67"/>
        <v>un</v>
      </c>
      <c r="BI194" s="161"/>
      <c r="BJ194" s="182"/>
      <c r="BK194" s="182"/>
      <c r="BL194" s="183" t="s">
        <v>18</v>
      </c>
      <c r="BM194" s="181"/>
      <c r="BN194" s="143"/>
      <c r="BO194" s="147" t="str">
        <f t="shared" si="68"/>
        <v>un</v>
      </c>
      <c r="BP194" s="161"/>
      <c r="BQ194" s="182"/>
      <c r="BR194" s="182"/>
      <c r="BS194" s="183" t="s">
        <v>18</v>
      </c>
      <c r="BT194" s="181"/>
      <c r="BU194" s="143"/>
      <c r="BV194" s="147" t="str">
        <f t="shared" si="69"/>
        <v>un</v>
      </c>
      <c r="BW194" s="161"/>
      <c r="BX194" s="182"/>
      <c r="BY194" s="182"/>
      <c r="BZ194" s="183" t="s">
        <v>18</v>
      </c>
      <c r="CA194" s="181"/>
      <c r="CB194" s="181"/>
      <c r="CC194" s="163">
        <f t="shared" si="70"/>
        <v>0</v>
      </c>
      <c r="CD194" s="163">
        <f t="shared" si="71"/>
        <v>0</v>
      </c>
      <c r="CE194" s="163">
        <f t="shared" si="72"/>
        <v>0</v>
      </c>
      <c r="CF194" s="163">
        <f t="shared" si="73"/>
        <v>0</v>
      </c>
      <c r="CG194" s="163">
        <f t="shared" si="74"/>
        <v>0</v>
      </c>
      <c r="CH194" s="163">
        <f t="shared" si="75"/>
        <v>0</v>
      </c>
      <c r="CJ194" s="163">
        <f t="shared" si="76"/>
        <v>0</v>
      </c>
      <c r="CK194" s="163">
        <f t="shared" si="77"/>
        <v>0</v>
      </c>
      <c r="CL194" s="163">
        <f t="shared" si="78"/>
        <v>0</v>
      </c>
      <c r="CM194" s="163">
        <f t="shared" si="79"/>
        <v>0</v>
      </c>
      <c r="CN194" s="163">
        <f t="shared" si="80"/>
        <v>0</v>
      </c>
      <c r="CO194" s="163">
        <f t="shared" si="81"/>
        <v>0</v>
      </c>
      <c r="CP194" s="163"/>
      <c r="CQ194" s="163">
        <f t="shared" si="82"/>
        <v>0</v>
      </c>
      <c r="CR194" s="163">
        <f t="shared" si="83"/>
        <v>0</v>
      </c>
      <c r="CS194" s="163">
        <f t="shared" si="84"/>
        <v>0</v>
      </c>
      <c r="CT194" s="163">
        <f t="shared" si="85"/>
        <v>0</v>
      </c>
      <c r="CU194" s="163">
        <f t="shared" si="86"/>
        <v>0</v>
      </c>
      <c r="CV194" s="163">
        <f t="shared" si="87"/>
        <v>0</v>
      </c>
      <c r="CY194" s="164" t="s">
        <v>45</v>
      </c>
      <c r="FN194" s="165">
        <f t="shared" si="52"/>
        <v>15.798319327731093</v>
      </c>
      <c r="FO194" s="166">
        <f t="shared" si="88"/>
        <v>0</v>
      </c>
      <c r="FP194" s="166">
        <f t="shared" si="89"/>
        <v>0</v>
      </c>
      <c r="FQ194" s="181"/>
      <c r="FR194" s="181"/>
      <c r="FS194" s="181">
        <v>1</v>
      </c>
      <c r="FT194" s="181"/>
      <c r="FU194" s="181"/>
      <c r="FV194" s="181"/>
    </row>
    <row r="195" spans="1:178" ht="18" x14ac:dyDescent="0.25">
      <c r="A195" s="137">
        <v>13</v>
      </c>
      <c r="B195" s="138" t="s">
        <v>197</v>
      </c>
      <c r="C195" s="139" t="s">
        <v>201</v>
      </c>
      <c r="D195" s="185" t="s">
        <v>113</v>
      </c>
      <c r="E195" s="141" t="s">
        <v>170</v>
      </c>
      <c r="F195" s="142" t="s">
        <v>214</v>
      </c>
      <c r="G195" s="143"/>
      <c r="H195" s="144"/>
      <c r="I195" s="144"/>
      <c r="J195" s="144"/>
      <c r="K195" s="144"/>
      <c r="L195" s="144"/>
      <c r="M195" s="137">
        <f t="shared" si="53"/>
        <v>15.294117647058824</v>
      </c>
      <c r="N195" s="145" t="s">
        <v>11</v>
      </c>
      <c r="O195" s="184">
        <f t="shared" si="54"/>
        <v>15.294117647058824</v>
      </c>
      <c r="P195" s="147" t="str">
        <f t="shared" si="45"/>
        <v>un</v>
      </c>
      <c r="Q195" s="147" t="str">
        <f t="shared" si="46"/>
        <v>/ dia</v>
      </c>
      <c r="R195" s="148">
        <v>1</v>
      </c>
      <c r="S195" s="149">
        <v>0</v>
      </c>
      <c r="T195" s="149">
        <f t="shared" si="47"/>
        <v>1</v>
      </c>
      <c r="U195" s="149">
        <f t="shared" si="48"/>
        <v>0</v>
      </c>
      <c r="V195" s="149">
        <f t="shared" si="55"/>
        <v>0</v>
      </c>
      <c r="W195" s="140" t="s">
        <v>18</v>
      </c>
      <c r="X195" s="150" t="s">
        <v>18</v>
      </c>
      <c r="Y195" s="151">
        <f t="shared" si="56"/>
        <v>0</v>
      </c>
      <c r="Z195" s="152">
        <f t="shared" si="49"/>
        <v>0</v>
      </c>
      <c r="AA195" s="153">
        <f t="shared" si="57"/>
        <v>0</v>
      </c>
      <c r="AB195" s="153">
        <f t="shared" si="58"/>
        <v>0</v>
      </c>
      <c r="AC195" s="154"/>
      <c r="AD195" s="155">
        <f t="shared" si="59"/>
        <v>0</v>
      </c>
      <c r="AE195" s="156">
        <f t="shared" si="60"/>
        <v>0</v>
      </c>
      <c r="AF195" s="157">
        <f t="shared" si="50"/>
        <v>0</v>
      </c>
      <c r="AG195" s="158" t="str">
        <f t="shared" si="51"/>
        <v>un</v>
      </c>
      <c r="AH195" s="158">
        <f t="shared" si="61"/>
        <v>0</v>
      </c>
      <c r="AI195" s="159">
        <f t="shared" si="62"/>
        <v>0</v>
      </c>
      <c r="AJ195" s="160">
        <f t="shared" si="63"/>
        <v>0</v>
      </c>
      <c r="AL195" s="143"/>
      <c r="AM195" s="147" t="str">
        <f t="shared" si="64"/>
        <v>un</v>
      </c>
      <c r="AN195" s="161"/>
      <c r="AO195" s="162"/>
      <c r="AP195" s="162"/>
      <c r="AQ195" s="140" t="s">
        <v>18</v>
      </c>
      <c r="AS195" s="143"/>
      <c r="AT195" s="147" t="str">
        <f t="shared" si="65"/>
        <v>un</v>
      </c>
      <c r="AU195" s="161"/>
      <c r="AV195" s="162"/>
      <c r="AW195" s="162"/>
      <c r="AX195" s="140" t="s">
        <v>18</v>
      </c>
      <c r="AZ195" s="143"/>
      <c r="BA195" s="147" t="str">
        <f t="shared" si="66"/>
        <v>un</v>
      </c>
      <c r="BB195" s="161"/>
      <c r="BC195" s="162"/>
      <c r="BD195" s="162"/>
      <c r="BE195" s="140" t="s">
        <v>18</v>
      </c>
      <c r="BF195" s="181"/>
      <c r="BG195" s="143"/>
      <c r="BH195" s="147" t="str">
        <f t="shared" si="67"/>
        <v>un</v>
      </c>
      <c r="BI195" s="161"/>
      <c r="BJ195" s="162"/>
      <c r="BK195" s="162"/>
      <c r="BL195" s="140" t="s">
        <v>18</v>
      </c>
      <c r="BM195" s="181"/>
      <c r="BN195" s="143"/>
      <c r="BO195" s="147" t="str">
        <f t="shared" si="68"/>
        <v>un</v>
      </c>
      <c r="BP195" s="161"/>
      <c r="BQ195" s="162"/>
      <c r="BR195" s="162"/>
      <c r="BS195" s="140" t="s">
        <v>18</v>
      </c>
      <c r="BT195" s="181"/>
      <c r="BU195" s="143"/>
      <c r="BV195" s="147" t="str">
        <f t="shared" si="69"/>
        <v>un</v>
      </c>
      <c r="BW195" s="161"/>
      <c r="BX195" s="162"/>
      <c r="BY195" s="162"/>
      <c r="BZ195" s="140" t="s">
        <v>18</v>
      </c>
      <c r="CA195" s="181"/>
      <c r="CB195" s="181"/>
      <c r="CC195" s="163">
        <f t="shared" si="70"/>
        <v>0</v>
      </c>
      <c r="CD195" s="163">
        <f t="shared" si="71"/>
        <v>0</v>
      </c>
      <c r="CE195" s="163">
        <f t="shared" si="72"/>
        <v>0</v>
      </c>
      <c r="CF195" s="163">
        <f t="shared" si="73"/>
        <v>0</v>
      </c>
      <c r="CG195" s="163">
        <f t="shared" si="74"/>
        <v>0</v>
      </c>
      <c r="CH195" s="163">
        <f t="shared" si="75"/>
        <v>0</v>
      </c>
      <c r="CJ195" s="163">
        <f t="shared" si="76"/>
        <v>0</v>
      </c>
      <c r="CK195" s="163">
        <f t="shared" si="77"/>
        <v>0</v>
      </c>
      <c r="CL195" s="163">
        <f t="shared" si="78"/>
        <v>0</v>
      </c>
      <c r="CM195" s="163">
        <f t="shared" si="79"/>
        <v>0</v>
      </c>
      <c r="CN195" s="163">
        <f t="shared" si="80"/>
        <v>0</v>
      </c>
      <c r="CO195" s="163">
        <f t="shared" si="81"/>
        <v>0</v>
      </c>
      <c r="CP195" s="163"/>
      <c r="CQ195" s="163">
        <f t="shared" si="82"/>
        <v>0</v>
      </c>
      <c r="CR195" s="163">
        <f t="shared" si="83"/>
        <v>0</v>
      </c>
      <c r="CS195" s="163">
        <f t="shared" si="84"/>
        <v>0</v>
      </c>
      <c r="CT195" s="163">
        <f t="shared" si="85"/>
        <v>0</v>
      </c>
      <c r="CU195" s="163">
        <f t="shared" si="86"/>
        <v>0</v>
      </c>
      <c r="CV195" s="163">
        <f t="shared" si="87"/>
        <v>0</v>
      </c>
      <c r="CY195" s="164" t="s">
        <v>45</v>
      </c>
      <c r="FN195" s="165">
        <f t="shared" si="52"/>
        <v>15.294117647058824</v>
      </c>
      <c r="FO195" s="166">
        <f t="shared" si="88"/>
        <v>0</v>
      </c>
      <c r="FP195" s="166">
        <f t="shared" si="89"/>
        <v>0</v>
      </c>
      <c r="FQ195" s="181"/>
      <c r="FR195" s="181"/>
      <c r="FS195" s="181">
        <v>1</v>
      </c>
      <c r="FT195" s="181"/>
      <c r="FU195" s="181"/>
      <c r="FV195" s="181"/>
    </row>
    <row r="196" spans="1:178" ht="18" x14ac:dyDescent="0.25">
      <c r="A196" s="167">
        <v>10</v>
      </c>
      <c r="B196" s="168" t="s">
        <v>197</v>
      </c>
      <c r="C196" s="169" t="s">
        <v>201</v>
      </c>
      <c r="D196" s="185" t="s">
        <v>113</v>
      </c>
      <c r="E196" s="170" t="s">
        <v>170</v>
      </c>
      <c r="F196" s="171" t="s">
        <v>215</v>
      </c>
      <c r="G196" s="143"/>
      <c r="H196" s="172"/>
      <c r="I196" s="172"/>
      <c r="J196" s="172"/>
      <c r="K196" s="172"/>
      <c r="L196" s="172"/>
      <c r="M196" s="137">
        <f t="shared" si="53"/>
        <v>11.764705882352942</v>
      </c>
      <c r="N196" s="173" t="s">
        <v>11</v>
      </c>
      <c r="O196" s="146">
        <f t="shared" si="54"/>
        <v>11.764705882352942</v>
      </c>
      <c r="P196" s="174" t="str">
        <f t="shared" si="45"/>
        <v>un</v>
      </c>
      <c r="Q196" s="175" t="str">
        <f t="shared" si="46"/>
        <v>/ dia</v>
      </c>
      <c r="R196" s="176">
        <v>1</v>
      </c>
      <c r="S196" s="177">
        <v>0</v>
      </c>
      <c r="T196" s="177">
        <f t="shared" si="47"/>
        <v>1</v>
      </c>
      <c r="U196" s="149">
        <f t="shared" si="48"/>
        <v>0</v>
      </c>
      <c r="V196" s="149">
        <f t="shared" si="55"/>
        <v>0</v>
      </c>
      <c r="W196" s="140" t="s">
        <v>18</v>
      </c>
      <c r="X196" s="150" t="s">
        <v>18</v>
      </c>
      <c r="Y196" s="151">
        <f t="shared" si="56"/>
        <v>0</v>
      </c>
      <c r="Z196" s="178">
        <f t="shared" si="49"/>
        <v>0</v>
      </c>
      <c r="AA196" s="179">
        <f t="shared" si="57"/>
        <v>0</v>
      </c>
      <c r="AB196" s="179">
        <f t="shared" si="58"/>
        <v>0</v>
      </c>
      <c r="AC196" s="180"/>
      <c r="AD196" s="155">
        <f t="shared" si="59"/>
        <v>0</v>
      </c>
      <c r="AE196" s="156">
        <f t="shared" si="60"/>
        <v>0</v>
      </c>
      <c r="AF196" s="157">
        <f t="shared" si="50"/>
        <v>0</v>
      </c>
      <c r="AG196" s="158" t="str">
        <f t="shared" si="51"/>
        <v>un</v>
      </c>
      <c r="AH196" s="158">
        <f t="shared" si="61"/>
        <v>0</v>
      </c>
      <c r="AI196" s="159">
        <f t="shared" si="62"/>
        <v>0</v>
      </c>
      <c r="AJ196" s="160">
        <f t="shared" si="63"/>
        <v>0</v>
      </c>
      <c r="AL196" s="143"/>
      <c r="AM196" s="147" t="str">
        <f t="shared" si="64"/>
        <v>un</v>
      </c>
      <c r="AN196" s="161"/>
      <c r="AO196" s="182"/>
      <c r="AP196" s="182"/>
      <c r="AQ196" s="183" t="s">
        <v>18</v>
      </c>
      <c r="AS196" s="143"/>
      <c r="AT196" s="147" t="str">
        <f t="shared" si="65"/>
        <v>un</v>
      </c>
      <c r="AU196" s="161"/>
      <c r="AV196" s="182"/>
      <c r="AW196" s="182"/>
      <c r="AX196" s="183" t="s">
        <v>18</v>
      </c>
      <c r="AZ196" s="143"/>
      <c r="BA196" s="147" t="str">
        <f t="shared" si="66"/>
        <v>un</v>
      </c>
      <c r="BB196" s="161"/>
      <c r="BC196" s="182"/>
      <c r="BD196" s="182"/>
      <c r="BE196" s="183" t="s">
        <v>18</v>
      </c>
      <c r="BF196" s="181"/>
      <c r="BG196" s="143"/>
      <c r="BH196" s="147" t="str">
        <f t="shared" si="67"/>
        <v>un</v>
      </c>
      <c r="BI196" s="161"/>
      <c r="BJ196" s="182"/>
      <c r="BK196" s="182"/>
      <c r="BL196" s="183" t="s">
        <v>18</v>
      </c>
      <c r="BM196" s="181"/>
      <c r="BN196" s="143"/>
      <c r="BO196" s="147" t="str">
        <f t="shared" si="68"/>
        <v>un</v>
      </c>
      <c r="BP196" s="161"/>
      <c r="BQ196" s="182"/>
      <c r="BR196" s="182"/>
      <c r="BS196" s="183" t="s">
        <v>18</v>
      </c>
      <c r="BT196" s="181"/>
      <c r="BU196" s="143"/>
      <c r="BV196" s="147" t="str">
        <f t="shared" si="69"/>
        <v>un</v>
      </c>
      <c r="BW196" s="161"/>
      <c r="BX196" s="182"/>
      <c r="BY196" s="182"/>
      <c r="BZ196" s="183" t="s">
        <v>18</v>
      </c>
      <c r="CA196" s="181"/>
      <c r="CB196" s="181"/>
      <c r="CC196" s="163">
        <f t="shared" si="70"/>
        <v>0</v>
      </c>
      <c r="CD196" s="163">
        <f t="shared" si="71"/>
        <v>0</v>
      </c>
      <c r="CE196" s="163">
        <f t="shared" si="72"/>
        <v>0</v>
      </c>
      <c r="CF196" s="163">
        <f t="shared" si="73"/>
        <v>0</v>
      </c>
      <c r="CG196" s="163">
        <f t="shared" si="74"/>
        <v>0</v>
      </c>
      <c r="CH196" s="163">
        <f t="shared" si="75"/>
        <v>0</v>
      </c>
      <c r="CJ196" s="163">
        <f t="shared" si="76"/>
        <v>0</v>
      </c>
      <c r="CK196" s="163">
        <f t="shared" si="77"/>
        <v>0</v>
      </c>
      <c r="CL196" s="163">
        <f t="shared" si="78"/>
        <v>0</v>
      </c>
      <c r="CM196" s="163">
        <f t="shared" si="79"/>
        <v>0</v>
      </c>
      <c r="CN196" s="163">
        <f t="shared" si="80"/>
        <v>0</v>
      </c>
      <c r="CO196" s="163">
        <f t="shared" si="81"/>
        <v>0</v>
      </c>
      <c r="CP196" s="163"/>
      <c r="CQ196" s="163">
        <f t="shared" si="82"/>
        <v>0</v>
      </c>
      <c r="CR196" s="163">
        <f t="shared" si="83"/>
        <v>0</v>
      </c>
      <c r="CS196" s="163">
        <f t="shared" si="84"/>
        <v>0</v>
      </c>
      <c r="CT196" s="163">
        <f t="shared" si="85"/>
        <v>0</v>
      </c>
      <c r="CU196" s="163">
        <f t="shared" si="86"/>
        <v>0</v>
      </c>
      <c r="CV196" s="163">
        <f t="shared" si="87"/>
        <v>0</v>
      </c>
      <c r="CY196" s="164" t="s">
        <v>45</v>
      </c>
      <c r="FN196" s="165">
        <f t="shared" si="52"/>
        <v>11.764705882352942</v>
      </c>
      <c r="FO196" s="166">
        <f t="shared" si="88"/>
        <v>0</v>
      </c>
      <c r="FP196" s="166">
        <f t="shared" si="89"/>
        <v>0</v>
      </c>
      <c r="FQ196" s="181"/>
      <c r="FR196" s="181"/>
      <c r="FS196" s="181">
        <v>1</v>
      </c>
      <c r="FT196" s="181"/>
      <c r="FU196" s="181"/>
      <c r="FV196" s="181"/>
    </row>
    <row r="197" spans="1:178" ht="18" x14ac:dyDescent="0.25">
      <c r="A197" s="137">
        <v>10</v>
      </c>
      <c r="B197" s="138" t="s">
        <v>197</v>
      </c>
      <c r="C197" s="139" t="s">
        <v>201</v>
      </c>
      <c r="D197" s="185" t="s">
        <v>113</v>
      </c>
      <c r="E197" s="141" t="s">
        <v>170</v>
      </c>
      <c r="F197" s="142" t="s">
        <v>216</v>
      </c>
      <c r="G197" s="143"/>
      <c r="H197" s="144"/>
      <c r="I197" s="144"/>
      <c r="J197" s="144"/>
      <c r="K197" s="144"/>
      <c r="L197" s="144"/>
      <c r="M197" s="137">
        <f t="shared" si="53"/>
        <v>11.764705882352942</v>
      </c>
      <c r="N197" s="145" t="s">
        <v>11</v>
      </c>
      <c r="O197" s="184">
        <f t="shared" si="54"/>
        <v>11.764705882352942</v>
      </c>
      <c r="P197" s="147" t="str">
        <f t="shared" si="45"/>
        <v>un</v>
      </c>
      <c r="Q197" s="147" t="str">
        <f t="shared" si="46"/>
        <v>/ dia</v>
      </c>
      <c r="R197" s="148">
        <v>1</v>
      </c>
      <c r="S197" s="149">
        <v>0</v>
      </c>
      <c r="T197" s="149">
        <f t="shared" si="47"/>
        <v>1</v>
      </c>
      <c r="U197" s="149">
        <f t="shared" si="48"/>
        <v>0</v>
      </c>
      <c r="V197" s="149">
        <f t="shared" si="55"/>
        <v>0</v>
      </c>
      <c r="W197" s="140" t="s">
        <v>18</v>
      </c>
      <c r="X197" s="150" t="s">
        <v>18</v>
      </c>
      <c r="Y197" s="151">
        <f t="shared" si="56"/>
        <v>0</v>
      </c>
      <c r="Z197" s="152">
        <f t="shared" si="49"/>
        <v>0</v>
      </c>
      <c r="AA197" s="153">
        <f t="shared" si="57"/>
        <v>0</v>
      </c>
      <c r="AB197" s="153">
        <f t="shared" si="58"/>
        <v>0</v>
      </c>
      <c r="AC197" s="154"/>
      <c r="AD197" s="155">
        <f t="shared" si="59"/>
        <v>0</v>
      </c>
      <c r="AE197" s="156">
        <f t="shared" si="60"/>
        <v>0</v>
      </c>
      <c r="AF197" s="157">
        <f t="shared" si="50"/>
        <v>0</v>
      </c>
      <c r="AG197" s="158" t="str">
        <f t="shared" si="51"/>
        <v>un</v>
      </c>
      <c r="AH197" s="158">
        <f t="shared" si="61"/>
        <v>0</v>
      </c>
      <c r="AI197" s="159">
        <f t="shared" si="62"/>
        <v>0</v>
      </c>
      <c r="AJ197" s="160">
        <f t="shared" si="63"/>
        <v>0</v>
      </c>
      <c r="AL197" s="143"/>
      <c r="AM197" s="147" t="str">
        <f t="shared" si="64"/>
        <v>un</v>
      </c>
      <c r="AN197" s="161"/>
      <c r="AO197" s="162"/>
      <c r="AP197" s="162"/>
      <c r="AQ197" s="140" t="s">
        <v>18</v>
      </c>
      <c r="AS197" s="143"/>
      <c r="AT197" s="147" t="str">
        <f t="shared" si="65"/>
        <v>un</v>
      </c>
      <c r="AU197" s="161"/>
      <c r="AV197" s="162"/>
      <c r="AW197" s="162"/>
      <c r="AX197" s="140" t="s">
        <v>18</v>
      </c>
      <c r="AZ197" s="143"/>
      <c r="BA197" s="147" t="str">
        <f t="shared" si="66"/>
        <v>un</v>
      </c>
      <c r="BB197" s="161"/>
      <c r="BC197" s="162"/>
      <c r="BD197" s="162"/>
      <c r="BE197" s="140" t="s">
        <v>18</v>
      </c>
      <c r="BF197" s="181"/>
      <c r="BG197" s="143"/>
      <c r="BH197" s="147" t="str">
        <f t="shared" si="67"/>
        <v>un</v>
      </c>
      <c r="BI197" s="161"/>
      <c r="BJ197" s="162"/>
      <c r="BK197" s="162"/>
      <c r="BL197" s="140" t="s">
        <v>18</v>
      </c>
      <c r="BM197" s="181"/>
      <c r="BN197" s="143"/>
      <c r="BO197" s="147" t="str">
        <f t="shared" si="68"/>
        <v>un</v>
      </c>
      <c r="BP197" s="161"/>
      <c r="BQ197" s="162"/>
      <c r="BR197" s="162"/>
      <c r="BS197" s="140" t="s">
        <v>18</v>
      </c>
      <c r="BT197" s="181"/>
      <c r="BU197" s="143"/>
      <c r="BV197" s="147" t="str">
        <f t="shared" si="69"/>
        <v>un</v>
      </c>
      <c r="BW197" s="161"/>
      <c r="BX197" s="162"/>
      <c r="BY197" s="162"/>
      <c r="BZ197" s="140" t="s">
        <v>18</v>
      </c>
      <c r="CA197" s="181"/>
      <c r="CB197" s="181"/>
      <c r="CC197" s="163">
        <f t="shared" si="70"/>
        <v>0</v>
      </c>
      <c r="CD197" s="163">
        <f t="shared" si="71"/>
        <v>0</v>
      </c>
      <c r="CE197" s="163">
        <f t="shared" si="72"/>
        <v>0</v>
      </c>
      <c r="CF197" s="163">
        <f t="shared" si="73"/>
        <v>0</v>
      </c>
      <c r="CG197" s="163">
        <f t="shared" si="74"/>
        <v>0</v>
      </c>
      <c r="CH197" s="163">
        <f t="shared" si="75"/>
        <v>0</v>
      </c>
      <c r="CJ197" s="163">
        <f t="shared" si="76"/>
        <v>0</v>
      </c>
      <c r="CK197" s="163">
        <f t="shared" si="77"/>
        <v>0</v>
      </c>
      <c r="CL197" s="163">
        <f t="shared" si="78"/>
        <v>0</v>
      </c>
      <c r="CM197" s="163">
        <f t="shared" si="79"/>
        <v>0</v>
      </c>
      <c r="CN197" s="163">
        <f t="shared" si="80"/>
        <v>0</v>
      </c>
      <c r="CO197" s="163">
        <f t="shared" si="81"/>
        <v>0</v>
      </c>
      <c r="CP197" s="163"/>
      <c r="CQ197" s="163">
        <f t="shared" si="82"/>
        <v>0</v>
      </c>
      <c r="CR197" s="163">
        <f t="shared" si="83"/>
        <v>0</v>
      </c>
      <c r="CS197" s="163">
        <f t="shared" si="84"/>
        <v>0</v>
      </c>
      <c r="CT197" s="163">
        <f t="shared" si="85"/>
        <v>0</v>
      </c>
      <c r="CU197" s="163">
        <f t="shared" si="86"/>
        <v>0</v>
      </c>
      <c r="CV197" s="163">
        <f t="shared" si="87"/>
        <v>0</v>
      </c>
      <c r="CY197" s="164" t="s">
        <v>45</v>
      </c>
      <c r="FN197" s="165">
        <f t="shared" si="52"/>
        <v>11.764705882352942</v>
      </c>
      <c r="FO197" s="166">
        <f t="shared" si="88"/>
        <v>0</v>
      </c>
      <c r="FP197" s="166">
        <f t="shared" si="89"/>
        <v>0</v>
      </c>
      <c r="FQ197" s="181"/>
      <c r="FR197" s="181"/>
      <c r="FS197" s="181">
        <v>1</v>
      </c>
      <c r="FT197" s="181"/>
      <c r="FU197" s="181"/>
      <c r="FV197" s="181"/>
    </row>
    <row r="198" spans="1:178" ht="18" x14ac:dyDescent="0.25">
      <c r="A198" s="167">
        <v>13</v>
      </c>
      <c r="B198" s="168" t="s">
        <v>197</v>
      </c>
      <c r="C198" s="169" t="s">
        <v>201</v>
      </c>
      <c r="D198" s="185" t="s">
        <v>113</v>
      </c>
      <c r="E198" s="170" t="s">
        <v>170</v>
      </c>
      <c r="F198" s="171" t="s">
        <v>217</v>
      </c>
      <c r="G198" s="143"/>
      <c r="H198" s="172"/>
      <c r="I198" s="172"/>
      <c r="J198" s="172"/>
      <c r="K198" s="172"/>
      <c r="L198" s="172"/>
      <c r="M198" s="137">
        <f t="shared" si="53"/>
        <v>15.294117647058824</v>
      </c>
      <c r="N198" s="173" t="s">
        <v>11</v>
      </c>
      <c r="O198" s="146">
        <f t="shared" si="54"/>
        <v>15.294117647058824</v>
      </c>
      <c r="P198" s="174" t="str">
        <f t="shared" si="45"/>
        <v>un</v>
      </c>
      <c r="Q198" s="175" t="str">
        <f t="shared" si="46"/>
        <v>/ dia</v>
      </c>
      <c r="R198" s="176">
        <v>1</v>
      </c>
      <c r="S198" s="177">
        <v>0</v>
      </c>
      <c r="T198" s="177">
        <f t="shared" si="47"/>
        <v>1</v>
      </c>
      <c r="U198" s="149">
        <f t="shared" si="48"/>
        <v>0</v>
      </c>
      <c r="V198" s="149">
        <f t="shared" si="55"/>
        <v>0</v>
      </c>
      <c r="W198" s="140" t="s">
        <v>18</v>
      </c>
      <c r="X198" s="150" t="s">
        <v>18</v>
      </c>
      <c r="Y198" s="151">
        <f t="shared" si="56"/>
        <v>0</v>
      </c>
      <c r="Z198" s="178">
        <f t="shared" si="49"/>
        <v>0</v>
      </c>
      <c r="AA198" s="179">
        <f t="shared" si="57"/>
        <v>0</v>
      </c>
      <c r="AB198" s="179">
        <f t="shared" si="58"/>
        <v>0</v>
      </c>
      <c r="AC198" s="180"/>
      <c r="AD198" s="155">
        <f t="shared" si="59"/>
        <v>0</v>
      </c>
      <c r="AE198" s="156">
        <f t="shared" si="60"/>
        <v>0</v>
      </c>
      <c r="AF198" s="157">
        <f t="shared" si="50"/>
        <v>0</v>
      </c>
      <c r="AG198" s="158" t="str">
        <f t="shared" si="51"/>
        <v>un</v>
      </c>
      <c r="AH198" s="158">
        <f t="shared" si="61"/>
        <v>0</v>
      </c>
      <c r="AI198" s="159">
        <f t="shared" si="62"/>
        <v>0</v>
      </c>
      <c r="AJ198" s="160">
        <f t="shared" si="63"/>
        <v>0</v>
      </c>
      <c r="AL198" s="143"/>
      <c r="AM198" s="147" t="str">
        <f t="shared" si="64"/>
        <v>un</v>
      </c>
      <c r="AN198" s="161"/>
      <c r="AO198" s="182"/>
      <c r="AP198" s="182"/>
      <c r="AQ198" s="183" t="s">
        <v>18</v>
      </c>
      <c r="AS198" s="143"/>
      <c r="AT198" s="147" t="str">
        <f t="shared" si="65"/>
        <v>un</v>
      </c>
      <c r="AU198" s="161"/>
      <c r="AV198" s="182"/>
      <c r="AW198" s="182"/>
      <c r="AX198" s="183" t="s">
        <v>18</v>
      </c>
      <c r="AZ198" s="143"/>
      <c r="BA198" s="147" t="str">
        <f t="shared" si="66"/>
        <v>un</v>
      </c>
      <c r="BB198" s="161"/>
      <c r="BC198" s="182"/>
      <c r="BD198" s="182"/>
      <c r="BE198" s="183" t="s">
        <v>18</v>
      </c>
      <c r="BF198" s="181"/>
      <c r="BG198" s="143"/>
      <c r="BH198" s="147" t="str">
        <f t="shared" si="67"/>
        <v>un</v>
      </c>
      <c r="BI198" s="161"/>
      <c r="BJ198" s="182"/>
      <c r="BK198" s="182"/>
      <c r="BL198" s="183" t="s">
        <v>18</v>
      </c>
      <c r="BM198" s="181"/>
      <c r="BN198" s="143"/>
      <c r="BO198" s="147" t="str">
        <f t="shared" si="68"/>
        <v>un</v>
      </c>
      <c r="BP198" s="161"/>
      <c r="BQ198" s="182"/>
      <c r="BR198" s="182"/>
      <c r="BS198" s="183" t="s">
        <v>18</v>
      </c>
      <c r="BT198" s="181"/>
      <c r="BU198" s="143"/>
      <c r="BV198" s="147" t="str">
        <f t="shared" si="69"/>
        <v>un</v>
      </c>
      <c r="BW198" s="161"/>
      <c r="BX198" s="182"/>
      <c r="BY198" s="182"/>
      <c r="BZ198" s="183" t="s">
        <v>18</v>
      </c>
      <c r="CA198" s="181"/>
      <c r="CB198" s="181"/>
      <c r="CC198" s="163">
        <f t="shared" si="70"/>
        <v>0</v>
      </c>
      <c r="CD198" s="163">
        <f t="shared" si="71"/>
        <v>0</v>
      </c>
      <c r="CE198" s="163">
        <f t="shared" si="72"/>
        <v>0</v>
      </c>
      <c r="CF198" s="163">
        <f t="shared" si="73"/>
        <v>0</v>
      </c>
      <c r="CG198" s="163">
        <f t="shared" si="74"/>
        <v>0</v>
      </c>
      <c r="CH198" s="163">
        <f t="shared" si="75"/>
        <v>0</v>
      </c>
      <c r="CJ198" s="163">
        <f t="shared" si="76"/>
        <v>0</v>
      </c>
      <c r="CK198" s="163">
        <f t="shared" si="77"/>
        <v>0</v>
      </c>
      <c r="CL198" s="163">
        <f t="shared" si="78"/>
        <v>0</v>
      </c>
      <c r="CM198" s="163">
        <f t="shared" si="79"/>
        <v>0</v>
      </c>
      <c r="CN198" s="163">
        <f t="shared" si="80"/>
        <v>0</v>
      </c>
      <c r="CO198" s="163">
        <f t="shared" si="81"/>
        <v>0</v>
      </c>
      <c r="CP198" s="163"/>
      <c r="CQ198" s="163">
        <f t="shared" si="82"/>
        <v>0</v>
      </c>
      <c r="CR198" s="163">
        <f t="shared" si="83"/>
        <v>0</v>
      </c>
      <c r="CS198" s="163">
        <f t="shared" si="84"/>
        <v>0</v>
      </c>
      <c r="CT198" s="163">
        <f t="shared" si="85"/>
        <v>0</v>
      </c>
      <c r="CU198" s="163">
        <f t="shared" si="86"/>
        <v>0</v>
      </c>
      <c r="CV198" s="163">
        <f t="shared" si="87"/>
        <v>0</v>
      </c>
      <c r="CY198" s="164" t="s">
        <v>45</v>
      </c>
      <c r="FN198" s="165">
        <f t="shared" si="52"/>
        <v>15.294117647058824</v>
      </c>
      <c r="FO198" s="166">
        <f t="shared" si="88"/>
        <v>0</v>
      </c>
      <c r="FP198" s="166">
        <f t="shared" si="89"/>
        <v>0</v>
      </c>
      <c r="FQ198" s="181"/>
      <c r="FR198" s="181"/>
      <c r="FS198" s="181">
        <v>1</v>
      </c>
      <c r="FT198" s="181"/>
      <c r="FU198" s="181"/>
      <c r="FV198" s="181"/>
    </row>
    <row r="199" spans="1:178" ht="18" x14ac:dyDescent="0.25">
      <c r="A199" s="137">
        <v>13</v>
      </c>
      <c r="B199" s="138" t="s">
        <v>197</v>
      </c>
      <c r="C199" s="139" t="s">
        <v>201</v>
      </c>
      <c r="D199" s="185" t="s">
        <v>113</v>
      </c>
      <c r="E199" s="141" t="s">
        <v>170</v>
      </c>
      <c r="F199" s="142" t="s">
        <v>218</v>
      </c>
      <c r="G199" s="143"/>
      <c r="H199" s="144"/>
      <c r="I199" s="144"/>
      <c r="J199" s="144"/>
      <c r="K199" s="144"/>
      <c r="L199" s="144"/>
      <c r="M199" s="137">
        <f t="shared" si="53"/>
        <v>15.294117647058824</v>
      </c>
      <c r="N199" s="145" t="s">
        <v>11</v>
      </c>
      <c r="O199" s="184">
        <f t="shared" si="54"/>
        <v>15.294117647058824</v>
      </c>
      <c r="P199" s="147" t="str">
        <f t="shared" si="45"/>
        <v>un</v>
      </c>
      <c r="Q199" s="147" t="str">
        <f t="shared" si="46"/>
        <v>/ dia</v>
      </c>
      <c r="R199" s="148">
        <v>1</v>
      </c>
      <c r="S199" s="149">
        <v>0</v>
      </c>
      <c r="T199" s="149">
        <f t="shared" si="47"/>
        <v>1</v>
      </c>
      <c r="U199" s="149">
        <f t="shared" si="48"/>
        <v>0</v>
      </c>
      <c r="V199" s="149">
        <f t="shared" si="55"/>
        <v>0</v>
      </c>
      <c r="W199" s="140" t="s">
        <v>18</v>
      </c>
      <c r="X199" s="150" t="s">
        <v>18</v>
      </c>
      <c r="Y199" s="151">
        <f t="shared" si="56"/>
        <v>0</v>
      </c>
      <c r="Z199" s="152">
        <f t="shared" si="49"/>
        <v>0</v>
      </c>
      <c r="AA199" s="153">
        <f t="shared" si="57"/>
        <v>0</v>
      </c>
      <c r="AB199" s="153">
        <f t="shared" si="58"/>
        <v>0</v>
      </c>
      <c r="AC199" s="154"/>
      <c r="AD199" s="155">
        <f t="shared" si="59"/>
        <v>0</v>
      </c>
      <c r="AE199" s="156">
        <f t="shared" si="60"/>
        <v>0</v>
      </c>
      <c r="AF199" s="157">
        <f t="shared" si="50"/>
        <v>0</v>
      </c>
      <c r="AG199" s="158" t="str">
        <f t="shared" si="51"/>
        <v>un</v>
      </c>
      <c r="AH199" s="158">
        <f t="shared" si="61"/>
        <v>0</v>
      </c>
      <c r="AI199" s="159">
        <f t="shared" si="62"/>
        <v>0</v>
      </c>
      <c r="AJ199" s="160">
        <f t="shared" si="63"/>
        <v>0</v>
      </c>
      <c r="AL199" s="143"/>
      <c r="AM199" s="147" t="str">
        <f t="shared" si="64"/>
        <v>un</v>
      </c>
      <c r="AN199" s="161"/>
      <c r="AO199" s="162"/>
      <c r="AP199" s="162"/>
      <c r="AQ199" s="140" t="s">
        <v>18</v>
      </c>
      <c r="AS199" s="143"/>
      <c r="AT199" s="147" t="str">
        <f t="shared" si="65"/>
        <v>un</v>
      </c>
      <c r="AU199" s="161"/>
      <c r="AV199" s="162"/>
      <c r="AW199" s="162"/>
      <c r="AX199" s="140" t="s">
        <v>18</v>
      </c>
      <c r="AZ199" s="143"/>
      <c r="BA199" s="147" t="str">
        <f t="shared" si="66"/>
        <v>un</v>
      </c>
      <c r="BB199" s="161"/>
      <c r="BC199" s="162"/>
      <c r="BD199" s="162"/>
      <c r="BE199" s="140" t="s">
        <v>18</v>
      </c>
      <c r="BF199" s="181"/>
      <c r="BG199" s="143"/>
      <c r="BH199" s="147" t="str">
        <f t="shared" si="67"/>
        <v>un</v>
      </c>
      <c r="BI199" s="161"/>
      <c r="BJ199" s="162"/>
      <c r="BK199" s="162"/>
      <c r="BL199" s="140" t="s">
        <v>18</v>
      </c>
      <c r="BM199" s="181"/>
      <c r="BN199" s="143"/>
      <c r="BO199" s="147" t="str">
        <f t="shared" si="68"/>
        <v>un</v>
      </c>
      <c r="BP199" s="161"/>
      <c r="BQ199" s="162"/>
      <c r="BR199" s="162"/>
      <c r="BS199" s="140" t="s">
        <v>18</v>
      </c>
      <c r="BT199" s="181"/>
      <c r="BU199" s="143"/>
      <c r="BV199" s="147" t="str">
        <f t="shared" si="69"/>
        <v>un</v>
      </c>
      <c r="BW199" s="161"/>
      <c r="BX199" s="162"/>
      <c r="BY199" s="162"/>
      <c r="BZ199" s="140" t="s">
        <v>18</v>
      </c>
      <c r="CA199" s="181"/>
      <c r="CB199" s="181"/>
      <c r="CC199" s="163">
        <f t="shared" si="70"/>
        <v>0</v>
      </c>
      <c r="CD199" s="163">
        <f t="shared" si="71"/>
        <v>0</v>
      </c>
      <c r="CE199" s="163">
        <f t="shared" si="72"/>
        <v>0</v>
      </c>
      <c r="CF199" s="163">
        <f t="shared" si="73"/>
        <v>0</v>
      </c>
      <c r="CG199" s="163">
        <f t="shared" si="74"/>
        <v>0</v>
      </c>
      <c r="CH199" s="163">
        <f t="shared" si="75"/>
        <v>0</v>
      </c>
      <c r="CJ199" s="163">
        <f t="shared" si="76"/>
        <v>0</v>
      </c>
      <c r="CK199" s="163">
        <f t="shared" si="77"/>
        <v>0</v>
      </c>
      <c r="CL199" s="163">
        <f t="shared" si="78"/>
        <v>0</v>
      </c>
      <c r="CM199" s="163">
        <f t="shared" si="79"/>
        <v>0</v>
      </c>
      <c r="CN199" s="163">
        <f t="shared" si="80"/>
        <v>0</v>
      </c>
      <c r="CO199" s="163">
        <f t="shared" si="81"/>
        <v>0</v>
      </c>
      <c r="CP199" s="163"/>
      <c r="CQ199" s="163">
        <f t="shared" si="82"/>
        <v>0</v>
      </c>
      <c r="CR199" s="163">
        <f t="shared" si="83"/>
        <v>0</v>
      </c>
      <c r="CS199" s="163">
        <f t="shared" si="84"/>
        <v>0</v>
      </c>
      <c r="CT199" s="163">
        <f t="shared" si="85"/>
        <v>0</v>
      </c>
      <c r="CU199" s="163">
        <f t="shared" si="86"/>
        <v>0</v>
      </c>
      <c r="CV199" s="163">
        <f t="shared" si="87"/>
        <v>0</v>
      </c>
      <c r="CY199" s="164" t="s">
        <v>45</v>
      </c>
      <c r="FN199" s="165">
        <f t="shared" si="52"/>
        <v>15.294117647058824</v>
      </c>
      <c r="FO199" s="166">
        <f t="shared" si="88"/>
        <v>0</v>
      </c>
      <c r="FP199" s="166">
        <f t="shared" si="89"/>
        <v>0</v>
      </c>
      <c r="FQ199" s="181"/>
      <c r="FR199" s="181"/>
      <c r="FS199" s="181">
        <v>1</v>
      </c>
      <c r="FT199" s="181"/>
      <c r="FU199" s="181"/>
      <c r="FV199" s="181"/>
    </row>
    <row r="200" spans="1:178" ht="18" x14ac:dyDescent="0.25">
      <c r="A200" s="167">
        <v>3.6363636363636362</v>
      </c>
      <c r="B200" s="168" t="s">
        <v>197</v>
      </c>
      <c r="C200" s="169" t="s">
        <v>201</v>
      </c>
      <c r="D200" s="185" t="s">
        <v>113</v>
      </c>
      <c r="E200" s="170" t="s">
        <v>170</v>
      </c>
      <c r="F200" s="171" t="s">
        <v>219</v>
      </c>
      <c r="G200" s="143"/>
      <c r="H200" s="172"/>
      <c r="I200" s="172"/>
      <c r="J200" s="172"/>
      <c r="K200" s="172"/>
      <c r="L200" s="172"/>
      <c r="M200" s="137">
        <f t="shared" si="53"/>
        <v>4.2780748663101607</v>
      </c>
      <c r="N200" s="173" t="s">
        <v>11</v>
      </c>
      <c r="O200" s="146">
        <f t="shared" si="54"/>
        <v>4.2780748663101607</v>
      </c>
      <c r="P200" s="174" t="str">
        <f t="shared" si="45"/>
        <v>un</v>
      </c>
      <c r="Q200" s="175" t="str">
        <f t="shared" si="46"/>
        <v>/ dia</v>
      </c>
      <c r="R200" s="176">
        <v>1</v>
      </c>
      <c r="S200" s="177">
        <v>0</v>
      </c>
      <c r="T200" s="177">
        <f t="shared" si="47"/>
        <v>1</v>
      </c>
      <c r="U200" s="149">
        <f t="shared" si="48"/>
        <v>0</v>
      </c>
      <c r="V200" s="149">
        <f t="shared" si="55"/>
        <v>0</v>
      </c>
      <c r="W200" s="140" t="s">
        <v>18</v>
      </c>
      <c r="X200" s="150" t="s">
        <v>18</v>
      </c>
      <c r="Y200" s="151">
        <f t="shared" si="56"/>
        <v>0</v>
      </c>
      <c r="Z200" s="178">
        <f t="shared" si="49"/>
        <v>0</v>
      </c>
      <c r="AA200" s="179">
        <f t="shared" si="57"/>
        <v>0</v>
      </c>
      <c r="AB200" s="179">
        <f t="shared" si="58"/>
        <v>0</v>
      </c>
      <c r="AC200" s="180"/>
      <c r="AD200" s="155">
        <f t="shared" si="59"/>
        <v>0</v>
      </c>
      <c r="AE200" s="156">
        <f t="shared" si="60"/>
        <v>0</v>
      </c>
      <c r="AF200" s="157">
        <f t="shared" si="50"/>
        <v>0</v>
      </c>
      <c r="AG200" s="158" t="str">
        <f t="shared" si="51"/>
        <v>un</v>
      </c>
      <c r="AH200" s="158">
        <f t="shared" si="61"/>
        <v>0</v>
      </c>
      <c r="AI200" s="159">
        <f t="shared" si="62"/>
        <v>0</v>
      </c>
      <c r="AJ200" s="160">
        <f t="shared" si="63"/>
        <v>0</v>
      </c>
      <c r="AL200" s="143"/>
      <c r="AM200" s="147" t="str">
        <f t="shared" si="64"/>
        <v>un</v>
      </c>
      <c r="AN200" s="161"/>
      <c r="AO200" s="182"/>
      <c r="AP200" s="182"/>
      <c r="AQ200" s="183" t="s">
        <v>18</v>
      </c>
      <c r="AS200" s="143"/>
      <c r="AT200" s="147" t="str">
        <f t="shared" si="65"/>
        <v>un</v>
      </c>
      <c r="AU200" s="161"/>
      <c r="AV200" s="182"/>
      <c r="AW200" s="182"/>
      <c r="AX200" s="183" t="s">
        <v>18</v>
      </c>
      <c r="AZ200" s="143"/>
      <c r="BA200" s="147" t="str">
        <f t="shared" si="66"/>
        <v>un</v>
      </c>
      <c r="BB200" s="161"/>
      <c r="BC200" s="182"/>
      <c r="BD200" s="182"/>
      <c r="BE200" s="183" t="s">
        <v>18</v>
      </c>
      <c r="BG200" s="143"/>
      <c r="BH200" s="147" t="str">
        <f t="shared" si="67"/>
        <v>un</v>
      </c>
      <c r="BI200" s="161"/>
      <c r="BJ200" s="182"/>
      <c r="BK200" s="182"/>
      <c r="BL200" s="183" t="s">
        <v>18</v>
      </c>
      <c r="BN200" s="143"/>
      <c r="BO200" s="147" t="str">
        <f t="shared" si="68"/>
        <v>un</v>
      </c>
      <c r="BP200" s="161"/>
      <c r="BQ200" s="182"/>
      <c r="BR200" s="182"/>
      <c r="BS200" s="183" t="s">
        <v>18</v>
      </c>
      <c r="BU200" s="143"/>
      <c r="BV200" s="147" t="str">
        <f t="shared" si="69"/>
        <v>un</v>
      </c>
      <c r="BW200" s="161"/>
      <c r="BX200" s="182"/>
      <c r="BY200" s="182"/>
      <c r="BZ200" s="183" t="s">
        <v>18</v>
      </c>
      <c r="CC200" s="163">
        <f t="shared" si="70"/>
        <v>0</v>
      </c>
      <c r="CD200" s="163">
        <f t="shared" si="71"/>
        <v>0</v>
      </c>
      <c r="CE200" s="163">
        <f t="shared" si="72"/>
        <v>0</v>
      </c>
      <c r="CF200" s="163">
        <f t="shared" si="73"/>
        <v>0</v>
      </c>
      <c r="CG200" s="163">
        <f t="shared" si="74"/>
        <v>0</v>
      </c>
      <c r="CH200" s="163">
        <f t="shared" si="75"/>
        <v>0</v>
      </c>
      <c r="CJ200" s="163">
        <f t="shared" si="76"/>
        <v>0</v>
      </c>
      <c r="CK200" s="163">
        <f t="shared" si="77"/>
        <v>0</v>
      </c>
      <c r="CL200" s="163">
        <f t="shared" si="78"/>
        <v>0</v>
      </c>
      <c r="CM200" s="163">
        <f t="shared" si="79"/>
        <v>0</v>
      </c>
      <c r="CN200" s="163">
        <f t="shared" si="80"/>
        <v>0</v>
      </c>
      <c r="CO200" s="163">
        <f t="shared" si="81"/>
        <v>0</v>
      </c>
      <c r="CP200" s="163"/>
      <c r="CQ200" s="163">
        <f t="shared" si="82"/>
        <v>0</v>
      </c>
      <c r="CR200" s="163">
        <f t="shared" si="83"/>
        <v>0</v>
      </c>
      <c r="CS200" s="163">
        <f t="shared" si="84"/>
        <v>0</v>
      </c>
      <c r="CT200" s="163">
        <f t="shared" si="85"/>
        <v>0</v>
      </c>
      <c r="CU200" s="163">
        <f t="shared" si="86"/>
        <v>0</v>
      </c>
      <c r="CV200" s="163">
        <f t="shared" si="87"/>
        <v>0</v>
      </c>
      <c r="CY200" s="164" t="s">
        <v>45</v>
      </c>
      <c r="FN200" s="165">
        <f t="shared" si="52"/>
        <v>4.2780748663101607</v>
      </c>
      <c r="FO200" s="166">
        <f t="shared" si="88"/>
        <v>0</v>
      </c>
      <c r="FP200" s="166">
        <f t="shared" si="89"/>
        <v>0</v>
      </c>
    </row>
    <row r="201" spans="1:178" ht="18" x14ac:dyDescent="0.25">
      <c r="A201" s="137">
        <v>2.25</v>
      </c>
      <c r="B201" s="138" t="s">
        <v>197</v>
      </c>
      <c r="C201" s="139" t="s">
        <v>201</v>
      </c>
      <c r="D201" s="140" t="s">
        <v>210</v>
      </c>
      <c r="E201" s="141" t="s">
        <v>170</v>
      </c>
      <c r="F201" s="142" t="s">
        <v>220</v>
      </c>
      <c r="G201" s="143"/>
      <c r="H201" s="144"/>
      <c r="I201" s="144"/>
      <c r="J201" s="144"/>
      <c r="K201" s="144"/>
      <c r="L201" s="144"/>
      <c r="M201" s="137">
        <f t="shared" si="53"/>
        <v>2.6470588235294117</v>
      </c>
      <c r="N201" s="145" t="s">
        <v>11</v>
      </c>
      <c r="O201" s="184">
        <f t="shared" si="54"/>
        <v>2.6470588235294117</v>
      </c>
      <c r="P201" s="147" t="str">
        <f t="shared" si="45"/>
        <v>un</v>
      </c>
      <c r="Q201" s="147" t="str">
        <f t="shared" si="46"/>
        <v>/ dia</v>
      </c>
      <c r="R201" s="148">
        <v>1</v>
      </c>
      <c r="S201" s="149">
        <v>0</v>
      </c>
      <c r="T201" s="149">
        <f t="shared" si="47"/>
        <v>1</v>
      </c>
      <c r="U201" s="149">
        <f t="shared" si="48"/>
        <v>0</v>
      </c>
      <c r="V201" s="149">
        <f t="shared" si="55"/>
        <v>0</v>
      </c>
      <c r="W201" s="140" t="s">
        <v>18</v>
      </c>
      <c r="X201" s="150" t="s">
        <v>18</v>
      </c>
      <c r="Y201" s="151">
        <f t="shared" si="56"/>
        <v>0</v>
      </c>
      <c r="Z201" s="152">
        <f t="shared" si="49"/>
        <v>0</v>
      </c>
      <c r="AA201" s="153">
        <f t="shared" si="57"/>
        <v>0</v>
      </c>
      <c r="AB201" s="153">
        <f t="shared" si="58"/>
        <v>0</v>
      </c>
      <c r="AC201" s="154"/>
      <c r="AD201" s="155">
        <f t="shared" si="59"/>
        <v>0</v>
      </c>
      <c r="AE201" s="156">
        <f t="shared" si="60"/>
        <v>0</v>
      </c>
      <c r="AF201" s="157">
        <f t="shared" si="50"/>
        <v>0</v>
      </c>
      <c r="AG201" s="158" t="str">
        <f t="shared" si="51"/>
        <v>un</v>
      </c>
      <c r="AH201" s="158">
        <f t="shared" si="61"/>
        <v>0</v>
      </c>
      <c r="AI201" s="159">
        <f t="shared" si="62"/>
        <v>0</v>
      </c>
      <c r="AJ201" s="160">
        <f t="shared" si="63"/>
        <v>0</v>
      </c>
      <c r="AL201" s="143"/>
      <c r="AM201" s="147" t="str">
        <f t="shared" si="64"/>
        <v>un</v>
      </c>
      <c r="AN201" s="161"/>
      <c r="AO201" s="162"/>
      <c r="AP201" s="162"/>
      <c r="AQ201" s="140" t="s">
        <v>18</v>
      </c>
      <c r="AS201" s="143"/>
      <c r="AT201" s="147" t="str">
        <f t="shared" si="65"/>
        <v>un</v>
      </c>
      <c r="AU201" s="161"/>
      <c r="AV201" s="162"/>
      <c r="AW201" s="162"/>
      <c r="AX201" s="140" t="s">
        <v>18</v>
      </c>
      <c r="AZ201" s="143"/>
      <c r="BA201" s="147" t="str">
        <f t="shared" si="66"/>
        <v>un</v>
      </c>
      <c r="BB201" s="161"/>
      <c r="BC201" s="162"/>
      <c r="BD201" s="162"/>
      <c r="BE201" s="140" t="s">
        <v>18</v>
      </c>
      <c r="BG201" s="143"/>
      <c r="BH201" s="147" t="str">
        <f t="shared" si="67"/>
        <v>un</v>
      </c>
      <c r="BI201" s="161"/>
      <c r="BJ201" s="162"/>
      <c r="BK201" s="162"/>
      <c r="BL201" s="140" t="s">
        <v>18</v>
      </c>
      <c r="BN201" s="143"/>
      <c r="BO201" s="147" t="str">
        <f t="shared" si="68"/>
        <v>un</v>
      </c>
      <c r="BP201" s="161"/>
      <c r="BQ201" s="162"/>
      <c r="BR201" s="162"/>
      <c r="BS201" s="140" t="s">
        <v>18</v>
      </c>
      <c r="BU201" s="143"/>
      <c r="BV201" s="147" t="str">
        <f t="shared" si="69"/>
        <v>un</v>
      </c>
      <c r="BW201" s="161"/>
      <c r="BX201" s="162"/>
      <c r="BY201" s="162"/>
      <c r="BZ201" s="140" t="s">
        <v>18</v>
      </c>
      <c r="CC201" s="163">
        <f t="shared" si="70"/>
        <v>0</v>
      </c>
      <c r="CD201" s="163">
        <f t="shared" si="71"/>
        <v>0</v>
      </c>
      <c r="CE201" s="163">
        <f t="shared" si="72"/>
        <v>0</v>
      </c>
      <c r="CF201" s="163">
        <f t="shared" si="73"/>
        <v>0</v>
      </c>
      <c r="CG201" s="163">
        <f t="shared" si="74"/>
        <v>0</v>
      </c>
      <c r="CH201" s="163">
        <f t="shared" si="75"/>
        <v>0</v>
      </c>
      <c r="CJ201" s="163">
        <f t="shared" si="76"/>
        <v>0</v>
      </c>
      <c r="CK201" s="163">
        <f t="shared" si="77"/>
        <v>0</v>
      </c>
      <c r="CL201" s="163">
        <f t="shared" si="78"/>
        <v>0</v>
      </c>
      <c r="CM201" s="163">
        <f t="shared" si="79"/>
        <v>0</v>
      </c>
      <c r="CN201" s="163">
        <f t="shared" si="80"/>
        <v>0</v>
      </c>
      <c r="CO201" s="163">
        <f t="shared" si="81"/>
        <v>0</v>
      </c>
      <c r="CP201" s="163"/>
      <c r="CQ201" s="163">
        <f t="shared" si="82"/>
        <v>0</v>
      </c>
      <c r="CR201" s="163">
        <f t="shared" si="83"/>
        <v>0</v>
      </c>
      <c r="CS201" s="163">
        <f t="shared" si="84"/>
        <v>0</v>
      </c>
      <c r="CT201" s="163">
        <f t="shared" si="85"/>
        <v>0</v>
      </c>
      <c r="CU201" s="163">
        <f t="shared" si="86"/>
        <v>0</v>
      </c>
      <c r="CV201" s="163">
        <f t="shared" si="87"/>
        <v>0</v>
      </c>
      <c r="CY201" s="164" t="s">
        <v>45</v>
      </c>
      <c r="FN201" s="165">
        <f t="shared" si="52"/>
        <v>2.6470588235294117</v>
      </c>
      <c r="FO201" s="166">
        <f t="shared" si="88"/>
        <v>0</v>
      </c>
      <c r="FP201" s="166">
        <f t="shared" si="89"/>
        <v>0</v>
      </c>
    </row>
    <row r="202" spans="1:178" ht="18" x14ac:dyDescent="0.25">
      <c r="A202" s="167">
        <v>1</v>
      </c>
      <c r="B202" s="168" t="s">
        <v>197</v>
      </c>
      <c r="C202" s="169" t="s">
        <v>221</v>
      </c>
      <c r="D202" s="185" t="s">
        <v>99</v>
      </c>
      <c r="E202" s="170" t="s">
        <v>199</v>
      </c>
      <c r="F202" s="171" t="s">
        <v>222</v>
      </c>
      <c r="G202" s="143"/>
      <c r="H202" s="172"/>
      <c r="I202" s="172"/>
      <c r="J202" s="172"/>
      <c r="K202" s="172"/>
      <c r="L202" s="172"/>
      <c r="M202" s="137">
        <f t="shared" si="53"/>
        <v>1.1764705882352942</v>
      </c>
      <c r="N202" s="173" t="s">
        <v>11</v>
      </c>
      <c r="O202" s="146">
        <f t="shared" si="54"/>
        <v>1.1764705882352942</v>
      </c>
      <c r="P202" s="174" t="str">
        <f t="shared" si="45"/>
        <v>un</v>
      </c>
      <c r="Q202" s="175" t="str">
        <f t="shared" si="46"/>
        <v>/ dia</v>
      </c>
      <c r="R202" s="176">
        <v>4</v>
      </c>
      <c r="S202" s="177">
        <v>3</v>
      </c>
      <c r="T202" s="177">
        <f t="shared" si="47"/>
        <v>1</v>
      </c>
      <c r="U202" s="149">
        <f t="shared" si="48"/>
        <v>0</v>
      </c>
      <c r="V202" s="149">
        <f t="shared" si="55"/>
        <v>0</v>
      </c>
      <c r="W202" s="140" t="s">
        <v>18</v>
      </c>
      <c r="X202" s="150" t="s">
        <v>18</v>
      </c>
      <c r="Y202" s="151">
        <f t="shared" si="56"/>
        <v>0</v>
      </c>
      <c r="Z202" s="178">
        <f t="shared" si="49"/>
        <v>0.75</v>
      </c>
      <c r="AA202" s="179">
        <f t="shared" si="57"/>
        <v>0</v>
      </c>
      <c r="AB202" s="179">
        <f t="shared" si="58"/>
        <v>0</v>
      </c>
      <c r="AC202" s="180"/>
      <c r="AD202" s="155">
        <f t="shared" si="59"/>
        <v>0</v>
      </c>
      <c r="AE202" s="156">
        <f t="shared" si="60"/>
        <v>0</v>
      </c>
      <c r="AF202" s="157">
        <f t="shared" si="50"/>
        <v>0</v>
      </c>
      <c r="AG202" s="158" t="str">
        <f t="shared" si="51"/>
        <v>un</v>
      </c>
      <c r="AH202" s="158">
        <f t="shared" si="61"/>
        <v>0</v>
      </c>
      <c r="AI202" s="159">
        <f t="shared" si="62"/>
        <v>0</v>
      </c>
      <c r="AJ202" s="160">
        <f t="shared" si="63"/>
        <v>0</v>
      </c>
      <c r="AL202" s="143"/>
      <c r="AM202" s="147" t="str">
        <f t="shared" si="64"/>
        <v>un</v>
      </c>
      <c r="AN202" s="161"/>
      <c r="AO202" s="182"/>
      <c r="AP202" s="182"/>
      <c r="AQ202" s="183" t="s">
        <v>18</v>
      </c>
      <c r="AS202" s="143"/>
      <c r="AT202" s="147" t="str">
        <f t="shared" si="65"/>
        <v>un</v>
      </c>
      <c r="AU202" s="161"/>
      <c r="AV202" s="182"/>
      <c r="AW202" s="182"/>
      <c r="AX202" s="183" t="s">
        <v>18</v>
      </c>
      <c r="AZ202" s="143"/>
      <c r="BA202" s="147" t="str">
        <f t="shared" si="66"/>
        <v>un</v>
      </c>
      <c r="BB202" s="161"/>
      <c r="BC202" s="182"/>
      <c r="BD202" s="182"/>
      <c r="BE202" s="183" t="s">
        <v>18</v>
      </c>
      <c r="BG202" s="143"/>
      <c r="BH202" s="147" t="str">
        <f t="shared" si="67"/>
        <v>un</v>
      </c>
      <c r="BI202" s="161"/>
      <c r="BJ202" s="182"/>
      <c r="BK202" s="182"/>
      <c r="BL202" s="183" t="s">
        <v>18</v>
      </c>
      <c r="BN202" s="143"/>
      <c r="BO202" s="147" t="str">
        <f t="shared" si="68"/>
        <v>un</v>
      </c>
      <c r="BP202" s="161"/>
      <c r="BQ202" s="182"/>
      <c r="BR202" s="182"/>
      <c r="BS202" s="183" t="s">
        <v>18</v>
      </c>
      <c r="BU202" s="143"/>
      <c r="BV202" s="147" t="str">
        <f t="shared" si="69"/>
        <v>un</v>
      </c>
      <c r="BW202" s="161"/>
      <c r="BX202" s="182"/>
      <c r="BY202" s="182"/>
      <c r="BZ202" s="183" t="s">
        <v>18</v>
      </c>
      <c r="CC202" s="163">
        <f t="shared" si="70"/>
        <v>0</v>
      </c>
      <c r="CD202" s="163">
        <f t="shared" si="71"/>
        <v>0</v>
      </c>
      <c r="CE202" s="163">
        <f t="shared" si="72"/>
        <v>0</v>
      </c>
      <c r="CF202" s="163">
        <f t="shared" si="73"/>
        <v>0</v>
      </c>
      <c r="CG202" s="163">
        <f t="shared" si="74"/>
        <v>0</v>
      </c>
      <c r="CH202" s="163">
        <f t="shared" si="75"/>
        <v>0</v>
      </c>
      <c r="CJ202" s="163">
        <f t="shared" si="76"/>
        <v>0</v>
      </c>
      <c r="CK202" s="163">
        <f t="shared" si="77"/>
        <v>0</v>
      </c>
      <c r="CL202" s="163">
        <f t="shared" si="78"/>
        <v>0</v>
      </c>
      <c r="CM202" s="163">
        <f t="shared" si="79"/>
        <v>0</v>
      </c>
      <c r="CN202" s="163">
        <f t="shared" si="80"/>
        <v>0</v>
      </c>
      <c r="CO202" s="163">
        <f t="shared" si="81"/>
        <v>0</v>
      </c>
      <c r="CP202" s="163"/>
      <c r="CQ202" s="163">
        <f t="shared" si="82"/>
        <v>0</v>
      </c>
      <c r="CR202" s="163">
        <f t="shared" si="83"/>
        <v>0</v>
      </c>
      <c r="CS202" s="163">
        <f t="shared" si="84"/>
        <v>0</v>
      </c>
      <c r="CT202" s="163">
        <f t="shared" si="85"/>
        <v>0</v>
      </c>
      <c r="CU202" s="163">
        <f t="shared" si="86"/>
        <v>0</v>
      </c>
      <c r="CV202" s="163">
        <f t="shared" si="87"/>
        <v>0</v>
      </c>
      <c r="CY202" s="164" t="s">
        <v>45</v>
      </c>
      <c r="FN202" s="165">
        <f t="shared" si="52"/>
        <v>1.1764705882352942</v>
      </c>
      <c r="FO202" s="166">
        <f t="shared" si="88"/>
        <v>0</v>
      </c>
      <c r="FP202" s="166">
        <f t="shared" si="89"/>
        <v>0</v>
      </c>
    </row>
    <row r="203" spans="1:178" ht="24.75" x14ac:dyDescent="0.25">
      <c r="A203" s="137">
        <v>17.5</v>
      </c>
      <c r="B203" s="138" t="s">
        <v>197</v>
      </c>
      <c r="C203" s="139" t="s">
        <v>223</v>
      </c>
      <c r="D203" s="140" t="s">
        <v>123</v>
      </c>
      <c r="E203" s="141" t="s">
        <v>170</v>
      </c>
      <c r="F203" s="142" t="s">
        <v>223</v>
      </c>
      <c r="G203" s="143"/>
      <c r="H203" s="144"/>
      <c r="I203" s="144"/>
      <c r="J203" s="144"/>
      <c r="K203" s="144"/>
      <c r="L203" s="144"/>
      <c r="M203" s="137">
        <f t="shared" si="53"/>
        <v>20.588235294117649</v>
      </c>
      <c r="N203" s="145" t="s">
        <v>9</v>
      </c>
      <c r="O203" s="184">
        <f t="shared" si="54"/>
        <v>20.588235294117649</v>
      </c>
      <c r="P203" s="147" t="str">
        <f t="shared" si="45"/>
        <v>pç</v>
      </c>
      <c r="Q203" s="147" t="str">
        <f t="shared" si="46"/>
        <v>/ dia</v>
      </c>
      <c r="R203" s="148">
        <v>2</v>
      </c>
      <c r="S203" s="149">
        <v>1</v>
      </c>
      <c r="T203" s="149">
        <f t="shared" si="47"/>
        <v>1</v>
      </c>
      <c r="U203" s="149">
        <f t="shared" si="48"/>
        <v>0</v>
      </c>
      <c r="V203" s="149">
        <f t="shared" si="55"/>
        <v>0</v>
      </c>
      <c r="W203" s="140" t="s">
        <v>18</v>
      </c>
      <c r="X203" s="150" t="s">
        <v>18</v>
      </c>
      <c r="Y203" s="151">
        <f t="shared" si="56"/>
        <v>0</v>
      </c>
      <c r="Z203" s="152">
        <f t="shared" si="49"/>
        <v>0.5</v>
      </c>
      <c r="AA203" s="153">
        <f t="shared" si="57"/>
        <v>0</v>
      </c>
      <c r="AB203" s="153">
        <f t="shared" si="58"/>
        <v>0</v>
      </c>
      <c r="AC203" s="154"/>
      <c r="AD203" s="155">
        <f t="shared" si="59"/>
        <v>0</v>
      </c>
      <c r="AE203" s="156">
        <f t="shared" si="60"/>
        <v>0</v>
      </c>
      <c r="AF203" s="157">
        <f t="shared" si="50"/>
        <v>0</v>
      </c>
      <c r="AG203" s="158" t="str">
        <f t="shared" si="51"/>
        <v>pç</v>
      </c>
      <c r="AH203" s="158">
        <f t="shared" si="61"/>
        <v>0</v>
      </c>
      <c r="AI203" s="159">
        <f t="shared" si="62"/>
        <v>0</v>
      </c>
      <c r="AJ203" s="160">
        <f t="shared" si="63"/>
        <v>0</v>
      </c>
      <c r="AL203" s="143"/>
      <c r="AM203" s="147" t="str">
        <f t="shared" si="64"/>
        <v>pç</v>
      </c>
      <c r="AN203" s="161"/>
      <c r="AO203" s="162"/>
      <c r="AP203" s="162"/>
      <c r="AQ203" s="140" t="s">
        <v>18</v>
      </c>
      <c r="AS203" s="143"/>
      <c r="AT203" s="147" t="str">
        <f t="shared" si="65"/>
        <v>pç</v>
      </c>
      <c r="AU203" s="161"/>
      <c r="AV203" s="162"/>
      <c r="AW203" s="162"/>
      <c r="AX203" s="140" t="s">
        <v>18</v>
      </c>
      <c r="AZ203" s="143"/>
      <c r="BA203" s="147" t="str">
        <f t="shared" si="66"/>
        <v>pç</v>
      </c>
      <c r="BB203" s="161"/>
      <c r="BC203" s="162"/>
      <c r="BD203" s="162"/>
      <c r="BE203" s="140" t="s">
        <v>18</v>
      </c>
      <c r="BG203" s="143"/>
      <c r="BH203" s="147" t="str">
        <f t="shared" si="67"/>
        <v>pç</v>
      </c>
      <c r="BI203" s="161"/>
      <c r="BJ203" s="162"/>
      <c r="BK203" s="162"/>
      <c r="BL203" s="140" t="s">
        <v>18</v>
      </c>
      <c r="BN203" s="143"/>
      <c r="BO203" s="147" t="str">
        <f t="shared" si="68"/>
        <v>pç</v>
      </c>
      <c r="BP203" s="161"/>
      <c r="BQ203" s="162"/>
      <c r="BR203" s="162"/>
      <c r="BS203" s="140" t="s">
        <v>18</v>
      </c>
      <c r="BU203" s="143"/>
      <c r="BV203" s="147" t="str">
        <f t="shared" si="69"/>
        <v>pç</v>
      </c>
      <c r="BW203" s="161"/>
      <c r="BX203" s="162"/>
      <c r="BY203" s="162"/>
      <c r="BZ203" s="140" t="s">
        <v>18</v>
      </c>
      <c r="CC203" s="163">
        <f t="shared" si="70"/>
        <v>0</v>
      </c>
      <c r="CD203" s="163">
        <f t="shared" si="71"/>
        <v>0</v>
      </c>
      <c r="CE203" s="163">
        <f t="shared" si="72"/>
        <v>0</v>
      </c>
      <c r="CF203" s="163">
        <f t="shared" si="73"/>
        <v>0</v>
      </c>
      <c r="CG203" s="163">
        <f t="shared" si="74"/>
        <v>0</v>
      </c>
      <c r="CH203" s="163">
        <f t="shared" si="75"/>
        <v>0</v>
      </c>
      <c r="CJ203" s="163">
        <f t="shared" si="76"/>
        <v>0</v>
      </c>
      <c r="CK203" s="163">
        <f t="shared" si="77"/>
        <v>0</v>
      </c>
      <c r="CL203" s="163">
        <f t="shared" si="78"/>
        <v>0</v>
      </c>
      <c r="CM203" s="163">
        <f t="shared" si="79"/>
        <v>0</v>
      </c>
      <c r="CN203" s="163">
        <f t="shared" si="80"/>
        <v>0</v>
      </c>
      <c r="CO203" s="163">
        <f t="shared" si="81"/>
        <v>0</v>
      </c>
      <c r="CP203" s="163"/>
      <c r="CQ203" s="163">
        <f t="shared" si="82"/>
        <v>0</v>
      </c>
      <c r="CR203" s="163">
        <f t="shared" si="83"/>
        <v>0</v>
      </c>
      <c r="CS203" s="163">
        <f t="shared" si="84"/>
        <v>0</v>
      </c>
      <c r="CT203" s="163">
        <f t="shared" si="85"/>
        <v>0</v>
      </c>
      <c r="CU203" s="163">
        <f t="shared" si="86"/>
        <v>0</v>
      </c>
      <c r="CV203" s="163">
        <f t="shared" si="87"/>
        <v>0</v>
      </c>
      <c r="CY203" s="164" t="s">
        <v>45</v>
      </c>
      <c r="FN203" s="165">
        <f t="shared" si="52"/>
        <v>20.588235294117649</v>
      </c>
      <c r="FO203" s="166">
        <f t="shared" si="88"/>
        <v>0</v>
      </c>
      <c r="FP203" s="166">
        <f t="shared" si="89"/>
        <v>0</v>
      </c>
    </row>
    <row r="204" spans="1:178" ht="18" x14ac:dyDescent="0.25">
      <c r="A204" s="167">
        <v>13</v>
      </c>
      <c r="B204" s="168" t="s">
        <v>197</v>
      </c>
      <c r="C204" s="169" t="s">
        <v>128</v>
      </c>
      <c r="D204" s="140" t="s">
        <v>123</v>
      </c>
      <c r="E204" s="170" t="s">
        <v>170</v>
      </c>
      <c r="F204" s="171" t="s">
        <v>224</v>
      </c>
      <c r="G204" s="143"/>
      <c r="H204" s="172"/>
      <c r="I204" s="172"/>
      <c r="J204" s="172"/>
      <c r="K204" s="172"/>
      <c r="L204" s="172"/>
      <c r="M204" s="137">
        <f t="shared" si="53"/>
        <v>15.294117647058824</v>
      </c>
      <c r="N204" s="173" t="s">
        <v>9</v>
      </c>
      <c r="O204" s="146">
        <f t="shared" si="54"/>
        <v>15.294117647058824</v>
      </c>
      <c r="P204" s="174" t="str">
        <f t="shared" si="45"/>
        <v>pç</v>
      </c>
      <c r="Q204" s="175" t="str">
        <f t="shared" si="46"/>
        <v>/ dia</v>
      </c>
      <c r="R204" s="176">
        <v>1</v>
      </c>
      <c r="S204" s="177">
        <v>0</v>
      </c>
      <c r="T204" s="177">
        <f t="shared" si="47"/>
        <v>1</v>
      </c>
      <c r="U204" s="149">
        <f t="shared" si="48"/>
        <v>0</v>
      </c>
      <c r="V204" s="149">
        <f t="shared" si="55"/>
        <v>0</v>
      </c>
      <c r="W204" s="140" t="s">
        <v>18</v>
      </c>
      <c r="X204" s="150" t="s">
        <v>18</v>
      </c>
      <c r="Y204" s="151">
        <f t="shared" si="56"/>
        <v>0</v>
      </c>
      <c r="Z204" s="178">
        <f t="shared" si="49"/>
        <v>0</v>
      </c>
      <c r="AA204" s="179">
        <f t="shared" si="57"/>
        <v>0</v>
      </c>
      <c r="AB204" s="179">
        <f t="shared" si="58"/>
        <v>0</v>
      </c>
      <c r="AC204" s="180"/>
      <c r="AD204" s="155">
        <f t="shared" si="59"/>
        <v>0</v>
      </c>
      <c r="AE204" s="156">
        <f t="shared" si="60"/>
        <v>0</v>
      </c>
      <c r="AF204" s="157">
        <f t="shared" si="50"/>
        <v>0</v>
      </c>
      <c r="AG204" s="158" t="str">
        <f t="shared" si="51"/>
        <v>pç</v>
      </c>
      <c r="AH204" s="158">
        <f t="shared" si="61"/>
        <v>0</v>
      </c>
      <c r="AI204" s="159">
        <f t="shared" si="62"/>
        <v>0</v>
      </c>
      <c r="AJ204" s="160">
        <f t="shared" si="63"/>
        <v>0</v>
      </c>
      <c r="AL204" s="143"/>
      <c r="AM204" s="147" t="str">
        <f t="shared" si="64"/>
        <v>pç</v>
      </c>
      <c r="AN204" s="161"/>
      <c r="AO204" s="182"/>
      <c r="AP204" s="182"/>
      <c r="AQ204" s="183" t="s">
        <v>18</v>
      </c>
      <c r="AS204" s="143"/>
      <c r="AT204" s="147" t="str">
        <f t="shared" si="65"/>
        <v>pç</v>
      </c>
      <c r="AU204" s="161"/>
      <c r="AV204" s="182"/>
      <c r="AW204" s="182"/>
      <c r="AX204" s="183" t="s">
        <v>18</v>
      </c>
      <c r="AZ204" s="143"/>
      <c r="BA204" s="147" t="str">
        <f t="shared" si="66"/>
        <v>pç</v>
      </c>
      <c r="BB204" s="161"/>
      <c r="BC204" s="182"/>
      <c r="BD204" s="182"/>
      <c r="BE204" s="183" t="s">
        <v>18</v>
      </c>
      <c r="BG204" s="143"/>
      <c r="BH204" s="147" t="str">
        <f t="shared" si="67"/>
        <v>pç</v>
      </c>
      <c r="BI204" s="161"/>
      <c r="BJ204" s="182"/>
      <c r="BK204" s="182"/>
      <c r="BL204" s="183" t="s">
        <v>18</v>
      </c>
      <c r="BN204" s="143"/>
      <c r="BO204" s="147" t="str">
        <f t="shared" si="68"/>
        <v>pç</v>
      </c>
      <c r="BP204" s="161"/>
      <c r="BQ204" s="182"/>
      <c r="BR204" s="182"/>
      <c r="BS204" s="183" t="s">
        <v>18</v>
      </c>
      <c r="BU204" s="143"/>
      <c r="BV204" s="147" t="str">
        <f t="shared" si="69"/>
        <v>pç</v>
      </c>
      <c r="BW204" s="161"/>
      <c r="BX204" s="182"/>
      <c r="BY204" s="182"/>
      <c r="BZ204" s="183" t="s">
        <v>18</v>
      </c>
      <c r="CC204" s="163">
        <f t="shared" si="70"/>
        <v>0</v>
      </c>
      <c r="CD204" s="163">
        <f t="shared" si="71"/>
        <v>0</v>
      </c>
      <c r="CE204" s="163">
        <f t="shared" si="72"/>
        <v>0</v>
      </c>
      <c r="CF204" s="163">
        <f t="shared" si="73"/>
        <v>0</v>
      </c>
      <c r="CG204" s="163">
        <f t="shared" si="74"/>
        <v>0</v>
      </c>
      <c r="CH204" s="163">
        <f t="shared" si="75"/>
        <v>0</v>
      </c>
      <c r="CJ204" s="163">
        <f t="shared" si="76"/>
        <v>0</v>
      </c>
      <c r="CK204" s="163">
        <f t="shared" si="77"/>
        <v>0</v>
      </c>
      <c r="CL204" s="163">
        <f t="shared" si="78"/>
        <v>0</v>
      </c>
      <c r="CM204" s="163">
        <f t="shared" si="79"/>
        <v>0</v>
      </c>
      <c r="CN204" s="163">
        <f t="shared" si="80"/>
        <v>0</v>
      </c>
      <c r="CO204" s="163">
        <f t="shared" si="81"/>
        <v>0</v>
      </c>
      <c r="CP204" s="163"/>
      <c r="CQ204" s="163">
        <f t="shared" si="82"/>
        <v>0</v>
      </c>
      <c r="CR204" s="163">
        <f t="shared" si="83"/>
        <v>0</v>
      </c>
      <c r="CS204" s="163">
        <f t="shared" si="84"/>
        <v>0</v>
      </c>
      <c r="CT204" s="163">
        <f t="shared" si="85"/>
        <v>0</v>
      </c>
      <c r="CU204" s="163">
        <f t="shared" si="86"/>
        <v>0</v>
      </c>
      <c r="CV204" s="163">
        <f t="shared" si="87"/>
        <v>0</v>
      </c>
      <c r="CY204" s="164" t="s">
        <v>45</v>
      </c>
      <c r="FN204" s="165">
        <f t="shared" si="52"/>
        <v>15.294117647058824</v>
      </c>
      <c r="FO204" s="166">
        <f t="shared" si="88"/>
        <v>0</v>
      </c>
      <c r="FP204" s="166">
        <f t="shared" si="89"/>
        <v>0</v>
      </c>
    </row>
    <row r="205" spans="1:178" ht="18" x14ac:dyDescent="0.25">
      <c r="A205" s="137">
        <v>13</v>
      </c>
      <c r="B205" s="138" t="s">
        <v>197</v>
      </c>
      <c r="C205" s="139" t="s">
        <v>128</v>
      </c>
      <c r="D205" s="140" t="s">
        <v>123</v>
      </c>
      <c r="E205" s="141" t="s">
        <v>170</v>
      </c>
      <c r="F205" s="142" t="s">
        <v>225</v>
      </c>
      <c r="G205" s="143"/>
      <c r="H205" s="144"/>
      <c r="I205" s="144"/>
      <c r="J205" s="144"/>
      <c r="K205" s="144"/>
      <c r="L205" s="144"/>
      <c r="M205" s="137">
        <f t="shared" si="53"/>
        <v>15.294117647058824</v>
      </c>
      <c r="N205" s="145" t="s">
        <v>9</v>
      </c>
      <c r="O205" s="184">
        <f t="shared" si="54"/>
        <v>15.294117647058824</v>
      </c>
      <c r="P205" s="147" t="str">
        <f t="shared" si="45"/>
        <v>pç</v>
      </c>
      <c r="Q205" s="147" t="str">
        <f t="shared" si="46"/>
        <v>/ dia</v>
      </c>
      <c r="R205" s="148">
        <v>1</v>
      </c>
      <c r="S205" s="149">
        <v>0</v>
      </c>
      <c r="T205" s="149">
        <f t="shared" si="47"/>
        <v>1</v>
      </c>
      <c r="U205" s="149">
        <f t="shared" si="48"/>
        <v>0</v>
      </c>
      <c r="V205" s="149">
        <f t="shared" si="55"/>
        <v>0</v>
      </c>
      <c r="W205" s="140" t="s">
        <v>18</v>
      </c>
      <c r="X205" s="150" t="s">
        <v>18</v>
      </c>
      <c r="Y205" s="151">
        <f t="shared" si="56"/>
        <v>0</v>
      </c>
      <c r="Z205" s="152">
        <f t="shared" si="49"/>
        <v>0</v>
      </c>
      <c r="AA205" s="153">
        <f t="shared" si="57"/>
        <v>0</v>
      </c>
      <c r="AB205" s="153">
        <f t="shared" si="58"/>
        <v>0</v>
      </c>
      <c r="AC205" s="154"/>
      <c r="AD205" s="155">
        <f t="shared" si="59"/>
        <v>0</v>
      </c>
      <c r="AE205" s="156">
        <f t="shared" si="60"/>
        <v>0</v>
      </c>
      <c r="AF205" s="157">
        <f t="shared" si="50"/>
        <v>0</v>
      </c>
      <c r="AG205" s="158" t="str">
        <f t="shared" si="51"/>
        <v>pç</v>
      </c>
      <c r="AH205" s="158">
        <f t="shared" si="61"/>
        <v>0</v>
      </c>
      <c r="AI205" s="159">
        <f t="shared" si="62"/>
        <v>0</v>
      </c>
      <c r="AJ205" s="160">
        <f t="shared" si="63"/>
        <v>0</v>
      </c>
      <c r="AL205" s="143"/>
      <c r="AM205" s="147" t="str">
        <f t="shared" si="64"/>
        <v>pç</v>
      </c>
      <c r="AN205" s="161"/>
      <c r="AO205" s="162"/>
      <c r="AP205" s="162"/>
      <c r="AQ205" s="140" t="s">
        <v>18</v>
      </c>
      <c r="AS205" s="143"/>
      <c r="AT205" s="147" t="str">
        <f t="shared" si="65"/>
        <v>pç</v>
      </c>
      <c r="AU205" s="161"/>
      <c r="AV205" s="162"/>
      <c r="AW205" s="162"/>
      <c r="AX205" s="140" t="s">
        <v>18</v>
      </c>
      <c r="AZ205" s="143"/>
      <c r="BA205" s="147" t="str">
        <f t="shared" si="66"/>
        <v>pç</v>
      </c>
      <c r="BB205" s="161"/>
      <c r="BC205" s="162"/>
      <c r="BD205" s="162"/>
      <c r="BE205" s="140" t="s">
        <v>18</v>
      </c>
      <c r="BG205" s="143"/>
      <c r="BH205" s="147" t="str">
        <f t="shared" si="67"/>
        <v>pç</v>
      </c>
      <c r="BI205" s="161"/>
      <c r="BJ205" s="162"/>
      <c r="BK205" s="162"/>
      <c r="BL205" s="140" t="s">
        <v>18</v>
      </c>
      <c r="BN205" s="143"/>
      <c r="BO205" s="147" t="str">
        <f t="shared" si="68"/>
        <v>pç</v>
      </c>
      <c r="BP205" s="161"/>
      <c r="BQ205" s="162"/>
      <c r="BR205" s="162"/>
      <c r="BS205" s="140" t="s">
        <v>18</v>
      </c>
      <c r="BU205" s="143"/>
      <c r="BV205" s="147" t="str">
        <f t="shared" si="69"/>
        <v>pç</v>
      </c>
      <c r="BW205" s="161"/>
      <c r="BX205" s="162"/>
      <c r="BY205" s="162"/>
      <c r="BZ205" s="140" t="s">
        <v>18</v>
      </c>
      <c r="CC205" s="163">
        <f t="shared" si="70"/>
        <v>0</v>
      </c>
      <c r="CD205" s="163">
        <f t="shared" si="71"/>
        <v>0</v>
      </c>
      <c r="CE205" s="163">
        <f t="shared" si="72"/>
        <v>0</v>
      </c>
      <c r="CF205" s="163">
        <f t="shared" si="73"/>
        <v>0</v>
      </c>
      <c r="CG205" s="163">
        <f t="shared" si="74"/>
        <v>0</v>
      </c>
      <c r="CH205" s="163">
        <f t="shared" si="75"/>
        <v>0</v>
      </c>
      <c r="CJ205" s="163">
        <f t="shared" si="76"/>
        <v>0</v>
      </c>
      <c r="CK205" s="163">
        <f t="shared" si="77"/>
        <v>0</v>
      </c>
      <c r="CL205" s="163">
        <f t="shared" si="78"/>
        <v>0</v>
      </c>
      <c r="CM205" s="163">
        <f t="shared" si="79"/>
        <v>0</v>
      </c>
      <c r="CN205" s="163">
        <f t="shared" si="80"/>
        <v>0</v>
      </c>
      <c r="CO205" s="163">
        <f t="shared" si="81"/>
        <v>0</v>
      </c>
      <c r="CP205" s="163"/>
      <c r="CQ205" s="163">
        <f t="shared" si="82"/>
        <v>0</v>
      </c>
      <c r="CR205" s="163">
        <f t="shared" si="83"/>
        <v>0</v>
      </c>
      <c r="CS205" s="163">
        <f t="shared" si="84"/>
        <v>0</v>
      </c>
      <c r="CT205" s="163">
        <f t="shared" si="85"/>
        <v>0</v>
      </c>
      <c r="CU205" s="163">
        <f t="shared" si="86"/>
        <v>0</v>
      </c>
      <c r="CV205" s="163">
        <f t="shared" si="87"/>
        <v>0</v>
      </c>
      <c r="CY205" s="164" t="s">
        <v>45</v>
      </c>
      <c r="FN205" s="165">
        <f t="shared" si="52"/>
        <v>15.294117647058824</v>
      </c>
      <c r="FO205" s="166">
        <f t="shared" si="88"/>
        <v>0</v>
      </c>
      <c r="FP205" s="166">
        <f t="shared" si="89"/>
        <v>0</v>
      </c>
    </row>
    <row r="206" spans="1:178" ht="18" x14ac:dyDescent="0.25">
      <c r="A206" s="167">
        <v>13</v>
      </c>
      <c r="B206" s="168" t="s">
        <v>197</v>
      </c>
      <c r="C206" s="169" t="s">
        <v>128</v>
      </c>
      <c r="D206" s="140" t="s">
        <v>123</v>
      </c>
      <c r="E206" s="170" t="s">
        <v>170</v>
      </c>
      <c r="F206" s="171" t="s">
        <v>226</v>
      </c>
      <c r="G206" s="143"/>
      <c r="H206" s="172"/>
      <c r="I206" s="172"/>
      <c r="J206" s="172"/>
      <c r="K206" s="172"/>
      <c r="L206" s="172"/>
      <c r="M206" s="137">
        <f t="shared" si="53"/>
        <v>15.294117647058824</v>
      </c>
      <c r="N206" s="173" t="s">
        <v>9</v>
      </c>
      <c r="O206" s="146">
        <f t="shared" si="54"/>
        <v>15.294117647058824</v>
      </c>
      <c r="P206" s="174" t="str">
        <f t="shared" si="45"/>
        <v>pç</v>
      </c>
      <c r="Q206" s="175" t="str">
        <f t="shared" si="46"/>
        <v>/ dia</v>
      </c>
      <c r="R206" s="176">
        <v>1</v>
      </c>
      <c r="S206" s="177">
        <v>0</v>
      </c>
      <c r="T206" s="177">
        <f t="shared" si="47"/>
        <v>1</v>
      </c>
      <c r="U206" s="149">
        <f t="shared" si="48"/>
        <v>0</v>
      </c>
      <c r="V206" s="149">
        <f t="shared" si="55"/>
        <v>0</v>
      </c>
      <c r="W206" s="140" t="s">
        <v>18</v>
      </c>
      <c r="X206" s="150" t="s">
        <v>18</v>
      </c>
      <c r="Y206" s="151">
        <f t="shared" si="56"/>
        <v>0</v>
      </c>
      <c r="Z206" s="178">
        <f t="shared" si="49"/>
        <v>0</v>
      </c>
      <c r="AA206" s="179">
        <f t="shared" si="57"/>
        <v>0</v>
      </c>
      <c r="AB206" s="179">
        <f t="shared" si="58"/>
        <v>0</v>
      </c>
      <c r="AC206" s="180"/>
      <c r="AD206" s="155">
        <f t="shared" si="59"/>
        <v>0</v>
      </c>
      <c r="AE206" s="156">
        <f t="shared" si="60"/>
        <v>0</v>
      </c>
      <c r="AF206" s="157">
        <f t="shared" si="50"/>
        <v>0</v>
      </c>
      <c r="AG206" s="158" t="str">
        <f t="shared" si="51"/>
        <v>pç</v>
      </c>
      <c r="AH206" s="158">
        <f t="shared" si="61"/>
        <v>0</v>
      </c>
      <c r="AI206" s="159">
        <f t="shared" si="62"/>
        <v>0</v>
      </c>
      <c r="AJ206" s="160">
        <f t="shared" si="63"/>
        <v>0</v>
      </c>
      <c r="AL206" s="143"/>
      <c r="AM206" s="147" t="str">
        <f t="shared" si="64"/>
        <v>pç</v>
      </c>
      <c r="AN206" s="161"/>
      <c r="AO206" s="182"/>
      <c r="AP206" s="182"/>
      <c r="AQ206" s="183" t="s">
        <v>18</v>
      </c>
      <c r="AS206" s="143"/>
      <c r="AT206" s="147" t="str">
        <f t="shared" si="65"/>
        <v>pç</v>
      </c>
      <c r="AU206" s="161"/>
      <c r="AV206" s="182"/>
      <c r="AW206" s="182"/>
      <c r="AX206" s="183" t="s">
        <v>18</v>
      </c>
      <c r="AZ206" s="143"/>
      <c r="BA206" s="147" t="str">
        <f t="shared" si="66"/>
        <v>pç</v>
      </c>
      <c r="BB206" s="161"/>
      <c r="BC206" s="182"/>
      <c r="BD206" s="182"/>
      <c r="BE206" s="183" t="s">
        <v>18</v>
      </c>
      <c r="BG206" s="143"/>
      <c r="BH206" s="147" t="str">
        <f t="shared" si="67"/>
        <v>pç</v>
      </c>
      <c r="BI206" s="161"/>
      <c r="BJ206" s="182"/>
      <c r="BK206" s="182"/>
      <c r="BL206" s="183" t="s">
        <v>18</v>
      </c>
      <c r="BN206" s="143"/>
      <c r="BO206" s="147" t="str">
        <f t="shared" si="68"/>
        <v>pç</v>
      </c>
      <c r="BP206" s="161"/>
      <c r="BQ206" s="182"/>
      <c r="BR206" s="182"/>
      <c r="BS206" s="183" t="s">
        <v>18</v>
      </c>
      <c r="BU206" s="143"/>
      <c r="BV206" s="147" t="str">
        <f t="shared" si="69"/>
        <v>pç</v>
      </c>
      <c r="BW206" s="161"/>
      <c r="BX206" s="182"/>
      <c r="BY206" s="182"/>
      <c r="BZ206" s="183" t="s">
        <v>18</v>
      </c>
      <c r="CC206" s="163">
        <f t="shared" si="70"/>
        <v>0</v>
      </c>
      <c r="CD206" s="163">
        <f t="shared" si="71"/>
        <v>0</v>
      </c>
      <c r="CE206" s="163">
        <f t="shared" si="72"/>
        <v>0</v>
      </c>
      <c r="CF206" s="163">
        <f t="shared" si="73"/>
        <v>0</v>
      </c>
      <c r="CG206" s="163">
        <f t="shared" si="74"/>
        <v>0</v>
      </c>
      <c r="CH206" s="163">
        <f t="shared" si="75"/>
        <v>0</v>
      </c>
      <c r="CJ206" s="163">
        <f t="shared" si="76"/>
        <v>0</v>
      </c>
      <c r="CK206" s="163">
        <f t="shared" si="77"/>
        <v>0</v>
      </c>
      <c r="CL206" s="163">
        <f t="shared" si="78"/>
        <v>0</v>
      </c>
      <c r="CM206" s="163">
        <f t="shared" si="79"/>
        <v>0</v>
      </c>
      <c r="CN206" s="163">
        <f t="shared" si="80"/>
        <v>0</v>
      </c>
      <c r="CO206" s="163">
        <f t="shared" si="81"/>
        <v>0</v>
      </c>
      <c r="CP206" s="163"/>
      <c r="CQ206" s="163">
        <f t="shared" si="82"/>
        <v>0</v>
      </c>
      <c r="CR206" s="163">
        <f t="shared" si="83"/>
        <v>0</v>
      </c>
      <c r="CS206" s="163">
        <f t="shared" si="84"/>
        <v>0</v>
      </c>
      <c r="CT206" s="163">
        <f t="shared" si="85"/>
        <v>0</v>
      </c>
      <c r="CU206" s="163">
        <f t="shared" si="86"/>
        <v>0</v>
      </c>
      <c r="CV206" s="163">
        <f t="shared" si="87"/>
        <v>0</v>
      </c>
      <c r="CY206" s="164" t="s">
        <v>45</v>
      </c>
      <c r="FN206" s="165">
        <f t="shared" si="52"/>
        <v>15.294117647058824</v>
      </c>
      <c r="FO206" s="166">
        <f t="shared" si="88"/>
        <v>0</v>
      </c>
      <c r="FP206" s="166">
        <f t="shared" si="89"/>
        <v>0</v>
      </c>
    </row>
    <row r="207" spans="1:178" ht="18" x14ac:dyDescent="0.25">
      <c r="A207" s="137">
        <v>13</v>
      </c>
      <c r="B207" s="138" t="s">
        <v>197</v>
      </c>
      <c r="C207" s="139" t="s">
        <v>128</v>
      </c>
      <c r="D207" s="140" t="s">
        <v>123</v>
      </c>
      <c r="E207" s="141" t="s">
        <v>170</v>
      </c>
      <c r="F207" s="142" t="s">
        <v>227</v>
      </c>
      <c r="G207" s="143"/>
      <c r="H207" s="144"/>
      <c r="I207" s="144"/>
      <c r="J207" s="144"/>
      <c r="K207" s="144"/>
      <c r="L207" s="144"/>
      <c r="M207" s="137">
        <f t="shared" si="53"/>
        <v>15.294117647058824</v>
      </c>
      <c r="N207" s="145" t="s">
        <v>9</v>
      </c>
      <c r="O207" s="184">
        <f t="shared" si="54"/>
        <v>15.294117647058824</v>
      </c>
      <c r="P207" s="147" t="str">
        <f t="shared" si="45"/>
        <v>pç</v>
      </c>
      <c r="Q207" s="147" t="str">
        <f t="shared" si="46"/>
        <v>/ dia</v>
      </c>
      <c r="R207" s="148">
        <v>1</v>
      </c>
      <c r="S207" s="149">
        <v>0</v>
      </c>
      <c r="T207" s="149">
        <f t="shared" si="47"/>
        <v>1</v>
      </c>
      <c r="U207" s="149">
        <f t="shared" si="48"/>
        <v>0</v>
      </c>
      <c r="V207" s="149">
        <f t="shared" si="55"/>
        <v>0</v>
      </c>
      <c r="W207" s="140" t="s">
        <v>18</v>
      </c>
      <c r="X207" s="150" t="s">
        <v>18</v>
      </c>
      <c r="Y207" s="151">
        <f t="shared" si="56"/>
        <v>0</v>
      </c>
      <c r="Z207" s="152">
        <f t="shared" si="49"/>
        <v>0</v>
      </c>
      <c r="AA207" s="153">
        <f t="shared" si="57"/>
        <v>0</v>
      </c>
      <c r="AB207" s="153">
        <f t="shared" si="58"/>
        <v>0</v>
      </c>
      <c r="AC207" s="154"/>
      <c r="AD207" s="155">
        <f t="shared" si="59"/>
        <v>0</v>
      </c>
      <c r="AE207" s="156">
        <f t="shared" si="60"/>
        <v>0</v>
      </c>
      <c r="AF207" s="157">
        <f t="shared" si="50"/>
        <v>0</v>
      </c>
      <c r="AG207" s="158" t="str">
        <f t="shared" si="51"/>
        <v>pç</v>
      </c>
      <c r="AH207" s="158">
        <f t="shared" si="61"/>
        <v>0</v>
      </c>
      <c r="AI207" s="159">
        <f t="shared" si="62"/>
        <v>0</v>
      </c>
      <c r="AJ207" s="160">
        <f t="shared" si="63"/>
        <v>0</v>
      </c>
      <c r="AL207" s="143"/>
      <c r="AM207" s="147" t="str">
        <f t="shared" si="64"/>
        <v>pç</v>
      </c>
      <c r="AN207" s="161"/>
      <c r="AO207" s="162"/>
      <c r="AP207" s="162"/>
      <c r="AQ207" s="140" t="s">
        <v>18</v>
      </c>
      <c r="AS207" s="143"/>
      <c r="AT207" s="147" t="str">
        <f t="shared" si="65"/>
        <v>pç</v>
      </c>
      <c r="AU207" s="161"/>
      <c r="AV207" s="162"/>
      <c r="AW207" s="162"/>
      <c r="AX207" s="140" t="s">
        <v>18</v>
      </c>
      <c r="AZ207" s="143"/>
      <c r="BA207" s="147" t="str">
        <f t="shared" si="66"/>
        <v>pç</v>
      </c>
      <c r="BB207" s="161"/>
      <c r="BC207" s="162"/>
      <c r="BD207" s="162"/>
      <c r="BE207" s="140" t="s">
        <v>18</v>
      </c>
      <c r="BG207" s="143"/>
      <c r="BH207" s="147" t="str">
        <f t="shared" si="67"/>
        <v>pç</v>
      </c>
      <c r="BI207" s="161"/>
      <c r="BJ207" s="162"/>
      <c r="BK207" s="162"/>
      <c r="BL207" s="140" t="s">
        <v>18</v>
      </c>
      <c r="BN207" s="143"/>
      <c r="BO207" s="147" t="str">
        <f t="shared" si="68"/>
        <v>pç</v>
      </c>
      <c r="BP207" s="161"/>
      <c r="BQ207" s="162"/>
      <c r="BR207" s="162"/>
      <c r="BS207" s="140" t="s">
        <v>18</v>
      </c>
      <c r="BU207" s="143"/>
      <c r="BV207" s="147" t="str">
        <f t="shared" si="69"/>
        <v>pç</v>
      </c>
      <c r="BW207" s="161"/>
      <c r="BX207" s="162"/>
      <c r="BY207" s="162"/>
      <c r="BZ207" s="140" t="s">
        <v>18</v>
      </c>
      <c r="CC207" s="163">
        <f t="shared" si="70"/>
        <v>0</v>
      </c>
      <c r="CD207" s="163">
        <f t="shared" si="71"/>
        <v>0</v>
      </c>
      <c r="CE207" s="163">
        <f t="shared" si="72"/>
        <v>0</v>
      </c>
      <c r="CF207" s="163">
        <f t="shared" si="73"/>
        <v>0</v>
      </c>
      <c r="CG207" s="163">
        <f t="shared" si="74"/>
        <v>0</v>
      </c>
      <c r="CH207" s="163">
        <f t="shared" si="75"/>
        <v>0</v>
      </c>
      <c r="CJ207" s="163">
        <f t="shared" si="76"/>
        <v>0</v>
      </c>
      <c r="CK207" s="163">
        <f t="shared" si="77"/>
        <v>0</v>
      </c>
      <c r="CL207" s="163">
        <f t="shared" si="78"/>
        <v>0</v>
      </c>
      <c r="CM207" s="163">
        <f t="shared" si="79"/>
        <v>0</v>
      </c>
      <c r="CN207" s="163">
        <f t="shared" si="80"/>
        <v>0</v>
      </c>
      <c r="CO207" s="163">
        <f t="shared" si="81"/>
        <v>0</v>
      </c>
      <c r="CP207" s="163"/>
      <c r="CQ207" s="163">
        <f t="shared" si="82"/>
        <v>0</v>
      </c>
      <c r="CR207" s="163">
        <f t="shared" si="83"/>
        <v>0</v>
      </c>
      <c r="CS207" s="163">
        <f t="shared" si="84"/>
        <v>0</v>
      </c>
      <c r="CT207" s="163">
        <f t="shared" si="85"/>
        <v>0</v>
      </c>
      <c r="CU207" s="163">
        <f t="shared" si="86"/>
        <v>0</v>
      </c>
      <c r="CV207" s="163">
        <f t="shared" si="87"/>
        <v>0</v>
      </c>
      <c r="CY207" s="164" t="s">
        <v>45</v>
      </c>
      <c r="FN207" s="165">
        <f t="shared" si="52"/>
        <v>15.294117647058824</v>
      </c>
      <c r="FO207" s="166">
        <f t="shared" si="88"/>
        <v>0</v>
      </c>
      <c r="FP207" s="166">
        <f t="shared" si="89"/>
        <v>0</v>
      </c>
    </row>
    <row r="208" spans="1:178" ht="18" x14ac:dyDescent="0.25">
      <c r="A208" s="167">
        <v>13</v>
      </c>
      <c r="B208" s="168" t="s">
        <v>197</v>
      </c>
      <c r="C208" s="169" t="s">
        <v>128</v>
      </c>
      <c r="D208" s="140" t="s">
        <v>123</v>
      </c>
      <c r="E208" s="170" t="s">
        <v>170</v>
      </c>
      <c r="F208" s="171" t="s">
        <v>228</v>
      </c>
      <c r="G208" s="143"/>
      <c r="H208" s="172"/>
      <c r="I208" s="172"/>
      <c r="J208" s="172"/>
      <c r="K208" s="172"/>
      <c r="L208" s="172"/>
      <c r="M208" s="137">
        <f t="shared" si="53"/>
        <v>15.294117647058824</v>
      </c>
      <c r="N208" s="173" t="s">
        <v>9</v>
      </c>
      <c r="O208" s="146">
        <f t="shared" si="54"/>
        <v>15.294117647058824</v>
      </c>
      <c r="P208" s="174" t="str">
        <f t="shared" si="45"/>
        <v>pç</v>
      </c>
      <c r="Q208" s="175" t="str">
        <f t="shared" si="46"/>
        <v>/ dia</v>
      </c>
      <c r="R208" s="176">
        <v>1</v>
      </c>
      <c r="S208" s="177">
        <v>0</v>
      </c>
      <c r="T208" s="177">
        <f t="shared" si="47"/>
        <v>1</v>
      </c>
      <c r="U208" s="149">
        <f t="shared" si="48"/>
        <v>0</v>
      </c>
      <c r="V208" s="149">
        <f t="shared" si="55"/>
        <v>0</v>
      </c>
      <c r="W208" s="140" t="s">
        <v>18</v>
      </c>
      <c r="X208" s="150" t="s">
        <v>18</v>
      </c>
      <c r="Y208" s="151">
        <f t="shared" si="56"/>
        <v>0</v>
      </c>
      <c r="Z208" s="178">
        <f t="shared" si="49"/>
        <v>0</v>
      </c>
      <c r="AA208" s="179">
        <f t="shared" si="57"/>
        <v>0</v>
      </c>
      <c r="AB208" s="179">
        <f t="shared" si="58"/>
        <v>0</v>
      </c>
      <c r="AC208" s="180"/>
      <c r="AD208" s="155">
        <f t="shared" si="59"/>
        <v>0</v>
      </c>
      <c r="AE208" s="156">
        <f t="shared" si="60"/>
        <v>0</v>
      </c>
      <c r="AF208" s="157">
        <f t="shared" si="50"/>
        <v>0</v>
      </c>
      <c r="AG208" s="158" t="str">
        <f t="shared" si="51"/>
        <v>pç</v>
      </c>
      <c r="AH208" s="158">
        <f t="shared" si="61"/>
        <v>0</v>
      </c>
      <c r="AI208" s="159">
        <f t="shared" si="62"/>
        <v>0</v>
      </c>
      <c r="AJ208" s="160">
        <f t="shared" si="63"/>
        <v>0</v>
      </c>
      <c r="AL208" s="143"/>
      <c r="AM208" s="147" t="str">
        <f t="shared" si="64"/>
        <v>pç</v>
      </c>
      <c r="AN208" s="161"/>
      <c r="AO208" s="182"/>
      <c r="AP208" s="182"/>
      <c r="AQ208" s="183" t="s">
        <v>18</v>
      </c>
      <c r="AS208" s="143"/>
      <c r="AT208" s="147" t="str">
        <f t="shared" si="65"/>
        <v>pç</v>
      </c>
      <c r="AU208" s="161"/>
      <c r="AV208" s="182"/>
      <c r="AW208" s="182"/>
      <c r="AX208" s="183" t="s">
        <v>18</v>
      </c>
      <c r="AZ208" s="143"/>
      <c r="BA208" s="147" t="str">
        <f t="shared" si="66"/>
        <v>pç</v>
      </c>
      <c r="BB208" s="161"/>
      <c r="BC208" s="182"/>
      <c r="BD208" s="182"/>
      <c r="BE208" s="183" t="s">
        <v>18</v>
      </c>
      <c r="BG208" s="143"/>
      <c r="BH208" s="147" t="str">
        <f t="shared" si="67"/>
        <v>pç</v>
      </c>
      <c r="BI208" s="161"/>
      <c r="BJ208" s="182"/>
      <c r="BK208" s="182"/>
      <c r="BL208" s="183" t="s">
        <v>18</v>
      </c>
      <c r="BN208" s="143"/>
      <c r="BO208" s="147" t="str">
        <f t="shared" si="68"/>
        <v>pç</v>
      </c>
      <c r="BP208" s="161"/>
      <c r="BQ208" s="182"/>
      <c r="BR208" s="182"/>
      <c r="BS208" s="183" t="s">
        <v>18</v>
      </c>
      <c r="BU208" s="143"/>
      <c r="BV208" s="147" t="str">
        <f t="shared" si="69"/>
        <v>pç</v>
      </c>
      <c r="BW208" s="161"/>
      <c r="BX208" s="182"/>
      <c r="BY208" s="182"/>
      <c r="BZ208" s="183" t="s">
        <v>18</v>
      </c>
      <c r="CC208" s="163">
        <f t="shared" si="70"/>
        <v>0</v>
      </c>
      <c r="CD208" s="163">
        <f t="shared" si="71"/>
        <v>0</v>
      </c>
      <c r="CE208" s="163">
        <f t="shared" si="72"/>
        <v>0</v>
      </c>
      <c r="CF208" s="163">
        <f t="shared" si="73"/>
        <v>0</v>
      </c>
      <c r="CG208" s="163">
        <f t="shared" si="74"/>
        <v>0</v>
      </c>
      <c r="CH208" s="163">
        <f t="shared" si="75"/>
        <v>0</v>
      </c>
      <c r="CJ208" s="163">
        <f t="shared" si="76"/>
        <v>0</v>
      </c>
      <c r="CK208" s="163">
        <f t="shared" si="77"/>
        <v>0</v>
      </c>
      <c r="CL208" s="163">
        <f t="shared" si="78"/>
        <v>0</v>
      </c>
      <c r="CM208" s="163">
        <f t="shared" si="79"/>
        <v>0</v>
      </c>
      <c r="CN208" s="163">
        <f t="shared" si="80"/>
        <v>0</v>
      </c>
      <c r="CO208" s="163">
        <f t="shared" si="81"/>
        <v>0</v>
      </c>
      <c r="CP208" s="163"/>
      <c r="CQ208" s="163">
        <f t="shared" si="82"/>
        <v>0</v>
      </c>
      <c r="CR208" s="163">
        <f t="shared" si="83"/>
        <v>0</v>
      </c>
      <c r="CS208" s="163">
        <f t="shared" si="84"/>
        <v>0</v>
      </c>
      <c r="CT208" s="163">
        <f t="shared" si="85"/>
        <v>0</v>
      </c>
      <c r="CU208" s="163">
        <f t="shared" si="86"/>
        <v>0</v>
      </c>
      <c r="CV208" s="163">
        <f t="shared" si="87"/>
        <v>0</v>
      </c>
      <c r="CY208" s="164" t="s">
        <v>45</v>
      </c>
      <c r="FN208" s="165">
        <f t="shared" si="52"/>
        <v>15.294117647058824</v>
      </c>
      <c r="FO208" s="166">
        <f t="shared" si="88"/>
        <v>0</v>
      </c>
      <c r="FP208" s="166">
        <f t="shared" si="89"/>
        <v>0</v>
      </c>
    </row>
    <row r="209" spans="1:172" ht="18" x14ac:dyDescent="0.25">
      <c r="A209" s="137">
        <v>13</v>
      </c>
      <c r="B209" s="138" t="s">
        <v>197</v>
      </c>
      <c r="C209" s="139" t="s">
        <v>128</v>
      </c>
      <c r="D209" s="140" t="s">
        <v>123</v>
      </c>
      <c r="E209" s="141" t="s">
        <v>170</v>
      </c>
      <c r="F209" s="142" t="s">
        <v>229</v>
      </c>
      <c r="G209" s="143"/>
      <c r="H209" s="144"/>
      <c r="I209" s="144"/>
      <c r="J209" s="144"/>
      <c r="K209" s="144"/>
      <c r="L209" s="144"/>
      <c r="M209" s="137">
        <f t="shared" si="53"/>
        <v>15.294117647058824</v>
      </c>
      <c r="N209" s="145" t="s">
        <v>9</v>
      </c>
      <c r="O209" s="184">
        <f t="shared" si="54"/>
        <v>15.294117647058824</v>
      </c>
      <c r="P209" s="147" t="str">
        <f t="shared" si="45"/>
        <v>pç</v>
      </c>
      <c r="Q209" s="147" t="str">
        <f t="shared" si="46"/>
        <v>/ dia</v>
      </c>
      <c r="R209" s="148">
        <v>1</v>
      </c>
      <c r="S209" s="149">
        <v>0</v>
      </c>
      <c r="T209" s="149">
        <f t="shared" si="47"/>
        <v>1</v>
      </c>
      <c r="U209" s="149">
        <f t="shared" si="48"/>
        <v>0</v>
      </c>
      <c r="V209" s="149">
        <f t="shared" si="55"/>
        <v>0</v>
      </c>
      <c r="W209" s="140" t="s">
        <v>18</v>
      </c>
      <c r="X209" s="150" t="s">
        <v>18</v>
      </c>
      <c r="Y209" s="151">
        <f t="shared" si="56"/>
        <v>0</v>
      </c>
      <c r="Z209" s="152">
        <f t="shared" si="49"/>
        <v>0</v>
      </c>
      <c r="AA209" s="153">
        <f t="shared" si="57"/>
        <v>0</v>
      </c>
      <c r="AB209" s="153">
        <f t="shared" si="58"/>
        <v>0</v>
      </c>
      <c r="AC209" s="154"/>
      <c r="AD209" s="155">
        <f t="shared" si="59"/>
        <v>0</v>
      </c>
      <c r="AE209" s="156">
        <f t="shared" si="60"/>
        <v>0</v>
      </c>
      <c r="AF209" s="157">
        <f t="shared" si="50"/>
        <v>0</v>
      </c>
      <c r="AG209" s="158" t="str">
        <f t="shared" si="51"/>
        <v>pç</v>
      </c>
      <c r="AH209" s="158">
        <f t="shared" si="61"/>
        <v>0</v>
      </c>
      <c r="AI209" s="159">
        <f t="shared" si="62"/>
        <v>0</v>
      </c>
      <c r="AJ209" s="160">
        <f t="shared" si="63"/>
        <v>0</v>
      </c>
      <c r="AL209" s="143"/>
      <c r="AM209" s="147" t="str">
        <f t="shared" si="64"/>
        <v>pç</v>
      </c>
      <c r="AN209" s="161"/>
      <c r="AO209" s="162"/>
      <c r="AP209" s="162"/>
      <c r="AQ209" s="140" t="s">
        <v>18</v>
      </c>
      <c r="AS209" s="143"/>
      <c r="AT209" s="147" t="str">
        <f t="shared" si="65"/>
        <v>pç</v>
      </c>
      <c r="AU209" s="161"/>
      <c r="AV209" s="162"/>
      <c r="AW209" s="162"/>
      <c r="AX209" s="140" t="s">
        <v>18</v>
      </c>
      <c r="AZ209" s="143"/>
      <c r="BA209" s="147" t="str">
        <f t="shared" si="66"/>
        <v>pç</v>
      </c>
      <c r="BB209" s="161"/>
      <c r="BC209" s="162"/>
      <c r="BD209" s="162"/>
      <c r="BE209" s="140" t="s">
        <v>18</v>
      </c>
      <c r="BG209" s="143"/>
      <c r="BH209" s="147" t="str">
        <f t="shared" si="67"/>
        <v>pç</v>
      </c>
      <c r="BI209" s="161"/>
      <c r="BJ209" s="162"/>
      <c r="BK209" s="162"/>
      <c r="BL209" s="140" t="s">
        <v>18</v>
      </c>
      <c r="BN209" s="143"/>
      <c r="BO209" s="147" t="str">
        <f t="shared" si="68"/>
        <v>pç</v>
      </c>
      <c r="BP209" s="161"/>
      <c r="BQ209" s="162"/>
      <c r="BR209" s="162"/>
      <c r="BS209" s="140" t="s">
        <v>18</v>
      </c>
      <c r="BU209" s="143"/>
      <c r="BV209" s="147" t="str">
        <f t="shared" si="69"/>
        <v>pç</v>
      </c>
      <c r="BW209" s="161"/>
      <c r="BX209" s="162"/>
      <c r="BY209" s="162"/>
      <c r="BZ209" s="140" t="s">
        <v>18</v>
      </c>
      <c r="CC209" s="163">
        <f t="shared" si="70"/>
        <v>0</v>
      </c>
      <c r="CD209" s="163">
        <f t="shared" si="71"/>
        <v>0</v>
      </c>
      <c r="CE209" s="163">
        <f t="shared" si="72"/>
        <v>0</v>
      </c>
      <c r="CF209" s="163">
        <f t="shared" si="73"/>
        <v>0</v>
      </c>
      <c r="CG209" s="163">
        <f t="shared" si="74"/>
        <v>0</v>
      </c>
      <c r="CH209" s="163">
        <f t="shared" si="75"/>
        <v>0</v>
      </c>
      <c r="CJ209" s="163">
        <f t="shared" si="76"/>
        <v>0</v>
      </c>
      <c r="CK209" s="163">
        <f t="shared" si="77"/>
        <v>0</v>
      </c>
      <c r="CL209" s="163">
        <f t="shared" si="78"/>
        <v>0</v>
      </c>
      <c r="CM209" s="163">
        <f t="shared" si="79"/>
        <v>0</v>
      </c>
      <c r="CN209" s="163">
        <f t="shared" si="80"/>
        <v>0</v>
      </c>
      <c r="CO209" s="163">
        <f t="shared" si="81"/>
        <v>0</v>
      </c>
      <c r="CP209" s="163"/>
      <c r="CQ209" s="163">
        <f t="shared" si="82"/>
        <v>0</v>
      </c>
      <c r="CR209" s="163">
        <f t="shared" si="83"/>
        <v>0</v>
      </c>
      <c r="CS209" s="163">
        <f t="shared" si="84"/>
        <v>0</v>
      </c>
      <c r="CT209" s="163">
        <f t="shared" si="85"/>
        <v>0</v>
      </c>
      <c r="CU209" s="163">
        <f t="shared" si="86"/>
        <v>0</v>
      </c>
      <c r="CV209" s="163">
        <f t="shared" si="87"/>
        <v>0</v>
      </c>
      <c r="CY209" s="164" t="s">
        <v>45</v>
      </c>
      <c r="FN209" s="165">
        <f t="shared" si="52"/>
        <v>15.294117647058824</v>
      </c>
      <c r="FO209" s="166">
        <f t="shared" si="88"/>
        <v>0</v>
      </c>
      <c r="FP209" s="166">
        <f t="shared" si="89"/>
        <v>0</v>
      </c>
    </row>
    <row r="210" spans="1:172" ht="18" x14ac:dyDescent="0.25">
      <c r="A210" s="167">
        <v>20</v>
      </c>
      <c r="B210" s="168" t="s">
        <v>197</v>
      </c>
      <c r="C210" s="169" t="s">
        <v>128</v>
      </c>
      <c r="D210" s="140" t="s">
        <v>123</v>
      </c>
      <c r="E210" s="170" t="s">
        <v>170</v>
      </c>
      <c r="F210" s="171" t="s">
        <v>230</v>
      </c>
      <c r="G210" s="143"/>
      <c r="H210" s="172"/>
      <c r="I210" s="172"/>
      <c r="J210" s="172"/>
      <c r="K210" s="172"/>
      <c r="L210" s="172"/>
      <c r="M210" s="137">
        <f t="shared" si="53"/>
        <v>23.529411764705884</v>
      </c>
      <c r="N210" s="173" t="s">
        <v>9</v>
      </c>
      <c r="O210" s="146">
        <f t="shared" si="54"/>
        <v>23.529411764705884</v>
      </c>
      <c r="P210" s="174" t="str">
        <f t="shared" si="45"/>
        <v>pç</v>
      </c>
      <c r="Q210" s="175" t="str">
        <f t="shared" si="46"/>
        <v>/ dia</v>
      </c>
      <c r="R210" s="176">
        <v>1</v>
      </c>
      <c r="S210" s="177">
        <v>0</v>
      </c>
      <c r="T210" s="177">
        <f t="shared" si="47"/>
        <v>1</v>
      </c>
      <c r="U210" s="149">
        <f t="shared" si="48"/>
        <v>0</v>
      </c>
      <c r="V210" s="149">
        <f t="shared" si="55"/>
        <v>0</v>
      </c>
      <c r="W210" s="140" t="s">
        <v>18</v>
      </c>
      <c r="X210" s="150" t="s">
        <v>18</v>
      </c>
      <c r="Y210" s="151">
        <f t="shared" si="56"/>
        <v>0</v>
      </c>
      <c r="Z210" s="178">
        <f t="shared" si="49"/>
        <v>0</v>
      </c>
      <c r="AA210" s="179">
        <f t="shared" si="57"/>
        <v>0</v>
      </c>
      <c r="AB210" s="179">
        <f t="shared" si="58"/>
        <v>0</v>
      </c>
      <c r="AC210" s="180"/>
      <c r="AD210" s="155">
        <f t="shared" si="59"/>
        <v>0</v>
      </c>
      <c r="AE210" s="156">
        <f t="shared" si="60"/>
        <v>0</v>
      </c>
      <c r="AF210" s="157">
        <f t="shared" si="50"/>
        <v>0</v>
      </c>
      <c r="AG210" s="158" t="str">
        <f t="shared" si="51"/>
        <v>pç</v>
      </c>
      <c r="AH210" s="158">
        <f t="shared" si="61"/>
        <v>0</v>
      </c>
      <c r="AI210" s="159">
        <f t="shared" si="62"/>
        <v>0</v>
      </c>
      <c r="AJ210" s="160">
        <f t="shared" si="63"/>
        <v>0</v>
      </c>
      <c r="AL210" s="143"/>
      <c r="AM210" s="147" t="str">
        <f t="shared" si="64"/>
        <v>pç</v>
      </c>
      <c r="AN210" s="161"/>
      <c r="AO210" s="182"/>
      <c r="AP210" s="182"/>
      <c r="AQ210" s="183" t="s">
        <v>18</v>
      </c>
      <c r="AS210" s="143"/>
      <c r="AT210" s="147" t="str">
        <f t="shared" si="65"/>
        <v>pç</v>
      </c>
      <c r="AU210" s="161"/>
      <c r="AV210" s="182"/>
      <c r="AW210" s="182"/>
      <c r="AX210" s="183" t="s">
        <v>18</v>
      </c>
      <c r="AZ210" s="143"/>
      <c r="BA210" s="147" t="str">
        <f t="shared" si="66"/>
        <v>pç</v>
      </c>
      <c r="BB210" s="161"/>
      <c r="BC210" s="182"/>
      <c r="BD210" s="182"/>
      <c r="BE210" s="183" t="s">
        <v>18</v>
      </c>
      <c r="BG210" s="143"/>
      <c r="BH210" s="147" t="str">
        <f t="shared" si="67"/>
        <v>pç</v>
      </c>
      <c r="BI210" s="161"/>
      <c r="BJ210" s="182"/>
      <c r="BK210" s="182"/>
      <c r="BL210" s="183" t="s">
        <v>18</v>
      </c>
      <c r="BN210" s="143"/>
      <c r="BO210" s="147" t="str">
        <f t="shared" si="68"/>
        <v>pç</v>
      </c>
      <c r="BP210" s="161"/>
      <c r="BQ210" s="182"/>
      <c r="BR210" s="182"/>
      <c r="BS210" s="183" t="s">
        <v>18</v>
      </c>
      <c r="BU210" s="143"/>
      <c r="BV210" s="147" t="str">
        <f t="shared" si="69"/>
        <v>pç</v>
      </c>
      <c r="BW210" s="161"/>
      <c r="BX210" s="182"/>
      <c r="BY210" s="182"/>
      <c r="BZ210" s="183" t="s">
        <v>18</v>
      </c>
      <c r="CC210" s="163">
        <f t="shared" si="70"/>
        <v>0</v>
      </c>
      <c r="CD210" s="163">
        <f t="shared" si="71"/>
        <v>0</v>
      </c>
      <c r="CE210" s="163">
        <f t="shared" si="72"/>
        <v>0</v>
      </c>
      <c r="CF210" s="163">
        <f t="shared" si="73"/>
        <v>0</v>
      </c>
      <c r="CG210" s="163">
        <f t="shared" si="74"/>
        <v>0</v>
      </c>
      <c r="CH210" s="163">
        <f t="shared" si="75"/>
        <v>0</v>
      </c>
      <c r="CJ210" s="163">
        <f t="shared" si="76"/>
        <v>0</v>
      </c>
      <c r="CK210" s="163">
        <f t="shared" si="77"/>
        <v>0</v>
      </c>
      <c r="CL210" s="163">
        <f t="shared" si="78"/>
        <v>0</v>
      </c>
      <c r="CM210" s="163">
        <f t="shared" si="79"/>
        <v>0</v>
      </c>
      <c r="CN210" s="163">
        <f t="shared" si="80"/>
        <v>0</v>
      </c>
      <c r="CO210" s="163">
        <f t="shared" si="81"/>
        <v>0</v>
      </c>
      <c r="CP210" s="163"/>
      <c r="CQ210" s="163">
        <f t="shared" si="82"/>
        <v>0</v>
      </c>
      <c r="CR210" s="163">
        <f t="shared" si="83"/>
        <v>0</v>
      </c>
      <c r="CS210" s="163">
        <f t="shared" si="84"/>
        <v>0</v>
      </c>
      <c r="CT210" s="163">
        <f t="shared" si="85"/>
        <v>0</v>
      </c>
      <c r="CU210" s="163">
        <f t="shared" si="86"/>
        <v>0</v>
      </c>
      <c r="CV210" s="163">
        <f t="shared" si="87"/>
        <v>0</v>
      </c>
      <c r="CY210" s="164" t="s">
        <v>45</v>
      </c>
      <c r="FN210" s="165">
        <f t="shared" si="52"/>
        <v>23.529411764705884</v>
      </c>
      <c r="FO210" s="166">
        <f t="shared" si="88"/>
        <v>0</v>
      </c>
      <c r="FP210" s="166">
        <f t="shared" si="89"/>
        <v>0</v>
      </c>
    </row>
    <row r="211" spans="1:172" ht="18" x14ac:dyDescent="0.25">
      <c r="A211" s="137">
        <v>19.5</v>
      </c>
      <c r="B211" s="138" t="s">
        <v>197</v>
      </c>
      <c r="C211" s="139" t="s">
        <v>128</v>
      </c>
      <c r="D211" s="185" t="s">
        <v>99</v>
      </c>
      <c r="E211" s="141" t="s">
        <v>170</v>
      </c>
      <c r="F211" s="142" t="s">
        <v>231</v>
      </c>
      <c r="G211" s="143"/>
      <c r="H211" s="144"/>
      <c r="I211" s="144"/>
      <c r="J211" s="144"/>
      <c r="K211" s="144"/>
      <c r="L211" s="144"/>
      <c r="M211" s="137">
        <f t="shared" si="53"/>
        <v>22.941176470588236</v>
      </c>
      <c r="N211" s="145" t="s">
        <v>9</v>
      </c>
      <c r="O211" s="184">
        <f t="shared" si="54"/>
        <v>22.941176470588236</v>
      </c>
      <c r="P211" s="147" t="str">
        <f t="shared" si="45"/>
        <v>pç</v>
      </c>
      <c r="Q211" s="147" t="str">
        <f t="shared" si="46"/>
        <v>/ dia</v>
      </c>
      <c r="R211" s="148">
        <v>1</v>
      </c>
      <c r="S211" s="149">
        <v>0</v>
      </c>
      <c r="T211" s="149">
        <f t="shared" si="47"/>
        <v>1</v>
      </c>
      <c r="U211" s="149">
        <f t="shared" si="48"/>
        <v>0</v>
      </c>
      <c r="V211" s="149">
        <f t="shared" si="55"/>
        <v>0</v>
      </c>
      <c r="W211" s="140" t="s">
        <v>18</v>
      </c>
      <c r="X211" s="150" t="s">
        <v>18</v>
      </c>
      <c r="Y211" s="151">
        <f t="shared" si="56"/>
        <v>0</v>
      </c>
      <c r="Z211" s="152">
        <f t="shared" si="49"/>
        <v>0</v>
      </c>
      <c r="AA211" s="153">
        <f t="shared" si="57"/>
        <v>0</v>
      </c>
      <c r="AB211" s="153">
        <f t="shared" si="58"/>
        <v>0</v>
      </c>
      <c r="AC211" s="154"/>
      <c r="AD211" s="155">
        <f t="shared" si="59"/>
        <v>0</v>
      </c>
      <c r="AE211" s="156">
        <f t="shared" si="60"/>
        <v>0</v>
      </c>
      <c r="AF211" s="157">
        <f t="shared" si="50"/>
        <v>0</v>
      </c>
      <c r="AG211" s="158" t="str">
        <f t="shared" si="51"/>
        <v>pç</v>
      </c>
      <c r="AH211" s="158">
        <f t="shared" si="61"/>
        <v>0</v>
      </c>
      <c r="AI211" s="159">
        <f t="shared" si="62"/>
        <v>0</v>
      </c>
      <c r="AJ211" s="160">
        <f t="shared" si="63"/>
        <v>0</v>
      </c>
      <c r="AL211" s="143"/>
      <c r="AM211" s="147" t="str">
        <f t="shared" si="64"/>
        <v>pç</v>
      </c>
      <c r="AN211" s="161"/>
      <c r="AO211" s="162"/>
      <c r="AP211" s="162"/>
      <c r="AQ211" s="140" t="s">
        <v>18</v>
      </c>
      <c r="AS211" s="143"/>
      <c r="AT211" s="147" t="str">
        <f t="shared" si="65"/>
        <v>pç</v>
      </c>
      <c r="AU211" s="161"/>
      <c r="AV211" s="162"/>
      <c r="AW211" s="162"/>
      <c r="AX211" s="140" t="s">
        <v>18</v>
      </c>
      <c r="AZ211" s="143"/>
      <c r="BA211" s="147" t="str">
        <f t="shared" si="66"/>
        <v>pç</v>
      </c>
      <c r="BB211" s="161"/>
      <c r="BC211" s="162"/>
      <c r="BD211" s="162"/>
      <c r="BE211" s="140" t="s">
        <v>18</v>
      </c>
      <c r="BG211" s="143"/>
      <c r="BH211" s="147" t="str">
        <f t="shared" si="67"/>
        <v>pç</v>
      </c>
      <c r="BI211" s="161"/>
      <c r="BJ211" s="162"/>
      <c r="BK211" s="162"/>
      <c r="BL211" s="140" t="s">
        <v>18</v>
      </c>
      <c r="BN211" s="143"/>
      <c r="BO211" s="147" t="str">
        <f t="shared" si="68"/>
        <v>pç</v>
      </c>
      <c r="BP211" s="161"/>
      <c r="BQ211" s="162"/>
      <c r="BR211" s="162"/>
      <c r="BS211" s="140" t="s">
        <v>18</v>
      </c>
      <c r="BU211" s="143"/>
      <c r="BV211" s="147" t="str">
        <f t="shared" si="69"/>
        <v>pç</v>
      </c>
      <c r="BW211" s="161"/>
      <c r="BX211" s="162"/>
      <c r="BY211" s="162"/>
      <c r="BZ211" s="140" t="s">
        <v>18</v>
      </c>
      <c r="CC211" s="163">
        <f t="shared" si="70"/>
        <v>0</v>
      </c>
      <c r="CD211" s="163">
        <f t="shared" si="71"/>
        <v>0</v>
      </c>
      <c r="CE211" s="163">
        <f t="shared" si="72"/>
        <v>0</v>
      </c>
      <c r="CF211" s="163">
        <f t="shared" si="73"/>
        <v>0</v>
      </c>
      <c r="CG211" s="163">
        <f t="shared" si="74"/>
        <v>0</v>
      </c>
      <c r="CH211" s="163">
        <f t="shared" si="75"/>
        <v>0</v>
      </c>
      <c r="CJ211" s="163">
        <f t="shared" si="76"/>
        <v>0</v>
      </c>
      <c r="CK211" s="163">
        <f t="shared" si="77"/>
        <v>0</v>
      </c>
      <c r="CL211" s="163">
        <f t="shared" si="78"/>
        <v>0</v>
      </c>
      <c r="CM211" s="163">
        <f t="shared" si="79"/>
        <v>0</v>
      </c>
      <c r="CN211" s="163">
        <f t="shared" si="80"/>
        <v>0</v>
      </c>
      <c r="CO211" s="163">
        <f t="shared" si="81"/>
        <v>0</v>
      </c>
      <c r="CP211" s="163"/>
      <c r="CQ211" s="163">
        <f t="shared" si="82"/>
        <v>0</v>
      </c>
      <c r="CR211" s="163">
        <f t="shared" si="83"/>
        <v>0</v>
      </c>
      <c r="CS211" s="163">
        <f t="shared" si="84"/>
        <v>0</v>
      </c>
      <c r="CT211" s="163">
        <f t="shared" si="85"/>
        <v>0</v>
      </c>
      <c r="CU211" s="163">
        <f t="shared" si="86"/>
        <v>0</v>
      </c>
      <c r="CV211" s="163">
        <f t="shared" si="87"/>
        <v>0</v>
      </c>
      <c r="CY211" s="164" t="s">
        <v>45</v>
      </c>
      <c r="FN211" s="165">
        <f t="shared" si="52"/>
        <v>22.941176470588236</v>
      </c>
      <c r="FO211" s="166">
        <f t="shared" si="88"/>
        <v>0</v>
      </c>
      <c r="FP211" s="166">
        <f t="shared" si="89"/>
        <v>0</v>
      </c>
    </row>
    <row r="212" spans="1:172" ht="18" x14ac:dyDescent="0.25">
      <c r="A212" s="167">
        <v>24</v>
      </c>
      <c r="B212" s="168" t="s">
        <v>197</v>
      </c>
      <c r="C212" s="169" t="s">
        <v>128</v>
      </c>
      <c r="D212" s="185" t="s">
        <v>99</v>
      </c>
      <c r="E212" s="170" t="s">
        <v>170</v>
      </c>
      <c r="F212" s="171" t="s">
        <v>232</v>
      </c>
      <c r="G212" s="143"/>
      <c r="H212" s="172"/>
      <c r="I212" s="172"/>
      <c r="J212" s="172"/>
      <c r="K212" s="172"/>
      <c r="L212" s="172"/>
      <c r="M212" s="137">
        <f t="shared" si="53"/>
        <v>28.235294117647058</v>
      </c>
      <c r="N212" s="173" t="s">
        <v>9</v>
      </c>
      <c r="O212" s="146">
        <f t="shared" si="54"/>
        <v>28.235294117647058</v>
      </c>
      <c r="P212" s="174" t="str">
        <f t="shared" si="45"/>
        <v>pç</v>
      </c>
      <c r="Q212" s="175" t="str">
        <f t="shared" si="46"/>
        <v>/ dia</v>
      </c>
      <c r="R212" s="176">
        <v>1</v>
      </c>
      <c r="S212" s="177">
        <v>0</v>
      </c>
      <c r="T212" s="177">
        <f t="shared" si="47"/>
        <v>1</v>
      </c>
      <c r="U212" s="149">
        <f t="shared" si="48"/>
        <v>0</v>
      </c>
      <c r="V212" s="149">
        <f t="shared" si="55"/>
        <v>0</v>
      </c>
      <c r="W212" s="140" t="s">
        <v>18</v>
      </c>
      <c r="X212" s="150" t="s">
        <v>18</v>
      </c>
      <c r="Y212" s="151">
        <f t="shared" si="56"/>
        <v>0</v>
      </c>
      <c r="Z212" s="178">
        <f t="shared" si="49"/>
        <v>0</v>
      </c>
      <c r="AA212" s="179">
        <f t="shared" si="57"/>
        <v>0</v>
      </c>
      <c r="AB212" s="179">
        <f t="shared" si="58"/>
        <v>0</v>
      </c>
      <c r="AC212" s="180"/>
      <c r="AD212" s="155">
        <f t="shared" si="59"/>
        <v>0</v>
      </c>
      <c r="AE212" s="156">
        <f t="shared" si="60"/>
        <v>0</v>
      </c>
      <c r="AF212" s="157">
        <f t="shared" si="50"/>
        <v>0</v>
      </c>
      <c r="AG212" s="158" t="str">
        <f t="shared" si="51"/>
        <v>pç</v>
      </c>
      <c r="AH212" s="158">
        <f t="shared" si="61"/>
        <v>0</v>
      </c>
      <c r="AI212" s="159">
        <f t="shared" si="62"/>
        <v>0</v>
      </c>
      <c r="AJ212" s="160">
        <f t="shared" si="63"/>
        <v>0</v>
      </c>
      <c r="AL212" s="143"/>
      <c r="AM212" s="147" t="str">
        <f t="shared" si="64"/>
        <v>pç</v>
      </c>
      <c r="AN212" s="161"/>
      <c r="AO212" s="182"/>
      <c r="AP212" s="182"/>
      <c r="AQ212" s="183" t="s">
        <v>18</v>
      </c>
      <c r="AS212" s="143"/>
      <c r="AT212" s="147" t="str">
        <f t="shared" si="65"/>
        <v>pç</v>
      </c>
      <c r="AU212" s="161"/>
      <c r="AV212" s="182"/>
      <c r="AW212" s="182"/>
      <c r="AX212" s="183" t="s">
        <v>18</v>
      </c>
      <c r="AZ212" s="143"/>
      <c r="BA212" s="147" t="str">
        <f t="shared" si="66"/>
        <v>pç</v>
      </c>
      <c r="BB212" s="161"/>
      <c r="BC212" s="182"/>
      <c r="BD212" s="182"/>
      <c r="BE212" s="183" t="s">
        <v>18</v>
      </c>
      <c r="BG212" s="143"/>
      <c r="BH212" s="147" t="str">
        <f t="shared" si="67"/>
        <v>pç</v>
      </c>
      <c r="BI212" s="161"/>
      <c r="BJ212" s="182"/>
      <c r="BK212" s="182"/>
      <c r="BL212" s="183" t="s">
        <v>18</v>
      </c>
      <c r="BN212" s="143"/>
      <c r="BO212" s="147" t="str">
        <f t="shared" si="68"/>
        <v>pç</v>
      </c>
      <c r="BP212" s="161"/>
      <c r="BQ212" s="182"/>
      <c r="BR212" s="182"/>
      <c r="BS212" s="183" t="s">
        <v>18</v>
      </c>
      <c r="BU212" s="143"/>
      <c r="BV212" s="147" t="str">
        <f t="shared" si="69"/>
        <v>pç</v>
      </c>
      <c r="BW212" s="161"/>
      <c r="BX212" s="182"/>
      <c r="BY212" s="182"/>
      <c r="BZ212" s="183" t="s">
        <v>18</v>
      </c>
      <c r="CC212" s="163">
        <f t="shared" si="70"/>
        <v>0</v>
      </c>
      <c r="CD212" s="163">
        <f t="shared" si="71"/>
        <v>0</v>
      </c>
      <c r="CE212" s="163">
        <f t="shared" si="72"/>
        <v>0</v>
      </c>
      <c r="CF212" s="163">
        <f t="shared" si="73"/>
        <v>0</v>
      </c>
      <c r="CG212" s="163">
        <f t="shared" si="74"/>
        <v>0</v>
      </c>
      <c r="CH212" s="163">
        <f t="shared" si="75"/>
        <v>0</v>
      </c>
      <c r="CJ212" s="163">
        <f t="shared" si="76"/>
        <v>0</v>
      </c>
      <c r="CK212" s="163">
        <f t="shared" si="77"/>
        <v>0</v>
      </c>
      <c r="CL212" s="163">
        <f t="shared" si="78"/>
        <v>0</v>
      </c>
      <c r="CM212" s="163">
        <f t="shared" si="79"/>
        <v>0</v>
      </c>
      <c r="CN212" s="163">
        <f t="shared" si="80"/>
        <v>0</v>
      </c>
      <c r="CO212" s="163">
        <f t="shared" si="81"/>
        <v>0</v>
      </c>
      <c r="CP212" s="163"/>
      <c r="CQ212" s="163">
        <f t="shared" si="82"/>
        <v>0</v>
      </c>
      <c r="CR212" s="163">
        <f t="shared" si="83"/>
        <v>0</v>
      </c>
      <c r="CS212" s="163">
        <f t="shared" si="84"/>
        <v>0</v>
      </c>
      <c r="CT212" s="163">
        <f t="shared" si="85"/>
        <v>0</v>
      </c>
      <c r="CU212" s="163">
        <f t="shared" si="86"/>
        <v>0</v>
      </c>
      <c r="CV212" s="163">
        <f t="shared" si="87"/>
        <v>0</v>
      </c>
      <c r="CY212" s="164" t="s">
        <v>45</v>
      </c>
      <c r="FN212" s="165">
        <f t="shared" si="52"/>
        <v>28.235294117647058</v>
      </c>
      <c r="FO212" s="166">
        <f t="shared" si="88"/>
        <v>0</v>
      </c>
      <c r="FP212" s="166">
        <f t="shared" si="89"/>
        <v>0</v>
      </c>
    </row>
    <row r="213" spans="1:172" ht="18" x14ac:dyDescent="0.25">
      <c r="A213" s="137">
        <v>26.5</v>
      </c>
      <c r="B213" s="138" t="s">
        <v>197</v>
      </c>
      <c r="C213" s="139" t="s">
        <v>128</v>
      </c>
      <c r="D213" s="185" t="s">
        <v>99</v>
      </c>
      <c r="E213" s="141" t="s">
        <v>170</v>
      </c>
      <c r="F213" s="142" t="s">
        <v>233</v>
      </c>
      <c r="G213" s="143"/>
      <c r="H213" s="144"/>
      <c r="I213" s="144"/>
      <c r="J213" s="144"/>
      <c r="K213" s="144"/>
      <c r="L213" s="144"/>
      <c r="M213" s="137">
        <f t="shared" si="53"/>
        <v>31.176470588235293</v>
      </c>
      <c r="N213" s="145" t="s">
        <v>9</v>
      </c>
      <c r="O213" s="184">
        <f t="shared" si="54"/>
        <v>31.176470588235293</v>
      </c>
      <c r="P213" s="147" t="str">
        <f t="shared" si="45"/>
        <v>pç</v>
      </c>
      <c r="Q213" s="147" t="str">
        <f t="shared" si="46"/>
        <v>/ dia</v>
      </c>
      <c r="R213" s="148">
        <v>2</v>
      </c>
      <c r="S213" s="149">
        <v>1</v>
      </c>
      <c r="T213" s="149">
        <f t="shared" si="47"/>
        <v>1</v>
      </c>
      <c r="U213" s="149">
        <f t="shared" si="48"/>
        <v>0</v>
      </c>
      <c r="V213" s="149">
        <f t="shared" si="55"/>
        <v>0</v>
      </c>
      <c r="W213" s="140" t="s">
        <v>18</v>
      </c>
      <c r="X213" s="150" t="s">
        <v>18</v>
      </c>
      <c r="Y213" s="151">
        <f t="shared" si="56"/>
        <v>0</v>
      </c>
      <c r="Z213" s="152">
        <f t="shared" si="49"/>
        <v>0.5</v>
      </c>
      <c r="AA213" s="153">
        <f t="shared" si="57"/>
        <v>0</v>
      </c>
      <c r="AB213" s="153">
        <f t="shared" si="58"/>
        <v>0</v>
      </c>
      <c r="AC213" s="154"/>
      <c r="AD213" s="155">
        <f t="shared" si="59"/>
        <v>0</v>
      </c>
      <c r="AE213" s="156">
        <f t="shared" si="60"/>
        <v>0</v>
      </c>
      <c r="AF213" s="157">
        <f t="shared" si="50"/>
        <v>0</v>
      </c>
      <c r="AG213" s="158" t="str">
        <f t="shared" si="51"/>
        <v>pç</v>
      </c>
      <c r="AH213" s="158">
        <f t="shared" si="61"/>
        <v>0</v>
      </c>
      <c r="AI213" s="159">
        <f t="shared" si="62"/>
        <v>0</v>
      </c>
      <c r="AJ213" s="160">
        <f t="shared" si="63"/>
        <v>0</v>
      </c>
      <c r="AL213" s="143"/>
      <c r="AM213" s="147" t="str">
        <f t="shared" si="64"/>
        <v>pç</v>
      </c>
      <c r="AN213" s="161"/>
      <c r="AO213" s="162"/>
      <c r="AP213" s="162"/>
      <c r="AQ213" s="140" t="s">
        <v>18</v>
      </c>
      <c r="AS213" s="143"/>
      <c r="AT213" s="147" t="str">
        <f t="shared" si="65"/>
        <v>pç</v>
      </c>
      <c r="AU213" s="161"/>
      <c r="AV213" s="162"/>
      <c r="AW213" s="162"/>
      <c r="AX213" s="140" t="s">
        <v>18</v>
      </c>
      <c r="AZ213" s="143"/>
      <c r="BA213" s="147" t="str">
        <f t="shared" si="66"/>
        <v>pç</v>
      </c>
      <c r="BB213" s="161"/>
      <c r="BC213" s="162"/>
      <c r="BD213" s="162"/>
      <c r="BE213" s="140" t="s">
        <v>18</v>
      </c>
      <c r="BG213" s="143"/>
      <c r="BH213" s="147" t="str">
        <f t="shared" si="67"/>
        <v>pç</v>
      </c>
      <c r="BI213" s="161"/>
      <c r="BJ213" s="162"/>
      <c r="BK213" s="162"/>
      <c r="BL213" s="140" t="s">
        <v>18</v>
      </c>
      <c r="BN213" s="143"/>
      <c r="BO213" s="147" t="str">
        <f t="shared" si="68"/>
        <v>pç</v>
      </c>
      <c r="BP213" s="161"/>
      <c r="BQ213" s="162"/>
      <c r="BR213" s="162"/>
      <c r="BS213" s="140" t="s">
        <v>18</v>
      </c>
      <c r="BU213" s="143"/>
      <c r="BV213" s="147" t="str">
        <f t="shared" si="69"/>
        <v>pç</v>
      </c>
      <c r="BW213" s="161"/>
      <c r="BX213" s="162"/>
      <c r="BY213" s="162"/>
      <c r="BZ213" s="140" t="s">
        <v>18</v>
      </c>
      <c r="CC213" s="163">
        <f t="shared" si="70"/>
        <v>0</v>
      </c>
      <c r="CD213" s="163">
        <f t="shared" si="71"/>
        <v>0</v>
      </c>
      <c r="CE213" s="163">
        <f t="shared" si="72"/>
        <v>0</v>
      </c>
      <c r="CF213" s="163">
        <f t="shared" si="73"/>
        <v>0</v>
      </c>
      <c r="CG213" s="163">
        <f t="shared" si="74"/>
        <v>0</v>
      </c>
      <c r="CH213" s="163">
        <f t="shared" si="75"/>
        <v>0</v>
      </c>
      <c r="CJ213" s="163">
        <f t="shared" si="76"/>
        <v>0</v>
      </c>
      <c r="CK213" s="163">
        <f t="shared" si="77"/>
        <v>0</v>
      </c>
      <c r="CL213" s="163">
        <f t="shared" si="78"/>
        <v>0</v>
      </c>
      <c r="CM213" s="163">
        <f t="shared" si="79"/>
        <v>0</v>
      </c>
      <c r="CN213" s="163">
        <f t="shared" si="80"/>
        <v>0</v>
      </c>
      <c r="CO213" s="163">
        <f t="shared" si="81"/>
        <v>0</v>
      </c>
      <c r="CP213" s="163"/>
      <c r="CQ213" s="163">
        <f t="shared" si="82"/>
        <v>0</v>
      </c>
      <c r="CR213" s="163">
        <f t="shared" si="83"/>
        <v>0</v>
      </c>
      <c r="CS213" s="163">
        <f t="shared" si="84"/>
        <v>0</v>
      </c>
      <c r="CT213" s="163">
        <f t="shared" si="85"/>
        <v>0</v>
      </c>
      <c r="CU213" s="163">
        <f t="shared" si="86"/>
        <v>0</v>
      </c>
      <c r="CV213" s="163">
        <f t="shared" si="87"/>
        <v>0</v>
      </c>
      <c r="CY213" s="164" t="s">
        <v>45</v>
      </c>
      <c r="FN213" s="165">
        <f t="shared" si="52"/>
        <v>31.176470588235293</v>
      </c>
      <c r="FO213" s="166">
        <f t="shared" si="88"/>
        <v>0</v>
      </c>
      <c r="FP213" s="166">
        <f t="shared" si="89"/>
        <v>0</v>
      </c>
    </row>
    <row r="214" spans="1:172" ht="18" x14ac:dyDescent="0.25">
      <c r="A214" s="167">
        <v>26.5</v>
      </c>
      <c r="B214" s="168" t="s">
        <v>197</v>
      </c>
      <c r="C214" s="169" t="s">
        <v>128</v>
      </c>
      <c r="D214" s="185" t="s">
        <v>99</v>
      </c>
      <c r="E214" s="170" t="s">
        <v>170</v>
      </c>
      <c r="F214" s="171" t="s">
        <v>234</v>
      </c>
      <c r="G214" s="143"/>
      <c r="H214" s="172"/>
      <c r="I214" s="172"/>
      <c r="J214" s="172"/>
      <c r="K214" s="172"/>
      <c r="L214" s="172"/>
      <c r="M214" s="137">
        <f t="shared" si="53"/>
        <v>31.176470588235293</v>
      </c>
      <c r="N214" s="173" t="s">
        <v>9</v>
      </c>
      <c r="O214" s="146">
        <f t="shared" si="54"/>
        <v>31.176470588235293</v>
      </c>
      <c r="P214" s="174" t="str">
        <f t="shared" si="45"/>
        <v>pç</v>
      </c>
      <c r="Q214" s="175" t="str">
        <f t="shared" si="46"/>
        <v>/ dia</v>
      </c>
      <c r="R214" s="176">
        <v>2</v>
      </c>
      <c r="S214" s="177">
        <v>1</v>
      </c>
      <c r="T214" s="177">
        <f t="shared" si="47"/>
        <v>1</v>
      </c>
      <c r="U214" s="149">
        <f t="shared" si="48"/>
        <v>0</v>
      </c>
      <c r="V214" s="149">
        <f t="shared" si="55"/>
        <v>0</v>
      </c>
      <c r="W214" s="140" t="s">
        <v>18</v>
      </c>
      <c r="X214" s="150" t="s">
        <v>18</v>
      </c>
      <c r="Y214" s="151">
        <f t="shared" si="56"/>
        <v>0</v>
      </c>
      <c r="Z214" s="178">
        <f t="shared" si="49"/>
        <v>0.5</v>
      </c>
      <c r="AA214" s="179">
        <f t="shared" si="57"/>
        <v>0</v>
      </c>
      <c r="AB214" s="179">
        <f t="shared" si="58"/>
        <v>0</v>
      </c>
      <c r="AC214" s="180"/>
      <c r="AD214" s="155">
        <f t="shared" si="59"/>
        <v>0</v>
      </c>
      <c r="AE214" s="156">
        <f t="shared" si="60"/>
        <v>0</v>
      </c>
      <c r="AF214" s="157">
        <f t="shared" si="50"/>
        <v>0</v>
      </c>
      <c r="AG214" s="158" t="str">
        <f t="shared" si="51"/>
        <v>pç</v>
      </c>
      <c r="AH214" s="158">
        <f t="shared" si="61"/>
        <v>0</v>
      </c>
      <c r="AI214" s="159">
        <f t="shared" si="62"/>
        <v>0</v>
      </c>
      <c r="AJ214" s="160">
        <f t="shared" si="63"/>
        <v>0</v>
      </c>
      <c r="AL214" s="143"/>
      <c r="AM214" s="147" t="str">
        <f t="shared" si="64"/>
        <v>pç</v>
      </c>
      <c r="AN214" s="161"/>
      <c r="AO214" s="182"/>
      <c r="AP214" s="182"/>
      <c r="AQ214" s="183" t="s">
        <v>18</v>
      </c>
      <c r="AS214" s="143"/>
      <c r="AT214" s="147" t="str">
        <f t="shared" si="65"/>
        <v>pç</v>
      </c>
      <c r="AU214" s="161"/>
      <c r="AV214" s="182"/>
      <c r="AW214" s="182"/>
      <c r="AX214" s="183" t="s">
        <v>18</v>
      </c>
      <c r="AZ214" s="143"/>
      <c r="BA214" s="147" t="str">
        <f t="shared" si="66"/>
        <v>pç</v>
      </c>
      <c r="BB214" s="161"/>
      <c r="BC214" s="182"/>
      <c r="BD214" s="182"/>
      <c r="BE214" s="183" t="s">
        <v>18</v>
      </c>
      <c r="BG214" s="143"/>
      <c r="BH214" s="147" t="str">
        <f t="shared" si="67"/>
        <v>pç</v>
      </c>
      <c r="BI214" s="161"/>
      <c r="BJ214" s="182"/>
      <c r="BK214" s="182"/>
      <c r="BL214" s="183" t="s">
        <v>18</v>
      </c>
      <c r="BN214" s="143"/>
      <c r="BO214" s="147" t="str">
        <f t="shared" si="68"/>
        <v>pç</v>
      </c>
      <c r="BP214" s="161"/>
      <c r="BQ214" s="182"/>
      <c r="BR214" s="182"/>
      <c r="BS214" s="183" t="s">
        <v>18</v>
      </c>
      <c r="BU214" s="143"/>
      <c r="BV214" s="147" t="str">
        <f t="shared" si="69"/>
        <v>pç</v>
      </c>
      <c r="BW214" s="161"/>
      <c r="BX214" s="182"/>
      <c r="BY214" s="182"/>
      <c r="BZ214" s="183" t="s">
        <v>18</v>
      </c>
      <c r="CC214" s="163">
        <f t="shared" si="70"/>
        <v>0</v>
      </c>
      <c r="CD214" s="163">
        <f t="shared" si="71"/>
        <v>0</v>
      </c>
      <c r="CE214" s="163">
        <f t="shared" si="72"/>
        <v>0</v>
      </c>
      <c r="CF214" s="163">
        <f t="shared" si="73"/>
        <v>0</v>
      </c>
      <c r="CG214" s="163">
        <f t="shared" si="74"/>
        <v>0</v>
      </c>
      <c r="CH214" s="163">
        <f t="shared" si="75"/>
        <v>0</v>
      </c>
      <c r="CJ214" s="163">
        <f t="shared" si="76"/>
        <v>0</v>
      </c>
      <c r="CK214" s="163">
        <f t="shared" si="77"/>
        <v>0</v>
      </c>
      <c r="CL214" s="163">
        <f t="shared" si="78"/>
        <v>0</v>
      </c>
      <c r="CM214" s="163">
        <f t="shared" si="79"/>
        <v>0</v>
      </c>
      <c r="CN214" s="163">
        <f t="shared" si="80"/>
        <v>0</v>
      </c>
      <c r="CO214" s="163">
        <f t="shared" si="81"/>
        <v>0</v>
      </c>
      <c r="CP214" s="163"/>
      <c r="CQ214" s="163">
        <f t="shared" si="82"/>
        <v>0</v>
      </c>
      <c r="CR214" s="163">
        <f t="shared" si="83"/>
        <v>0</v>
      </c>
      <c r="CS214" s="163">
        <f t="shared" si="84"/>
        <v>0</v>
      </c>
      <c r="CT214" s="163">
        <f t="shared" si="85"/>
        <v>0</v>
      </c>
      <c r="CU214" s="163">
        <f t="shared" si="86"/>
        <v>0</v>
      </c>
      <c r="CV214" s="163">
        <f t="shared" si="87"/>
        <v>0</v>
      </c>
      <c r="CY214" s="164" t="s">
        <v>45</v>
      </c>
      <c r="FN214" s="165">
        <f t="shared" si="52"/>
        <v>31.176470588235293</v>
      </c>
      <c r="FO214" s="166">
        <f t="shared" si="88"/>
        <v>0</v>
      </c>
      <c r="FP214" s="166">
        <f t="shared" si="89"/>
        <v>0</v>
      </c>
    </row>
    <row r="215" spans="1:172" ht="18" x14ac:dyDescent="0.25">
      <c r="A215" s="137">
        <v>1</v>
      </c>
      <c r="B215" s="138" t="s">
        <v>235</v>
      </c>
      <c r="C215" s="139" t="s">
        <v>236</v>
      </c>
      <c r="D215" s="185" t="s">
        <v>99</v>
      </c>
      <c r="E215" s="141" t="s">
        <v>237</v>
      </c>
      <c r="F215" s="142" t="s">
        <v>238</v>
      </c>
      <c r="G215" s="143"/>
      <c r="H215" s="144"/>
      <c r="I215" s="144"/>
      <c r="J215" s="144"/>
      <c r="K215" s="144"/>
      <c r="L215" s="144"/>
      <c r="M215" s="137">
        <f t="shared" si="53"/>
        <v>1.1764705882352942</v>
      </c>
      <c r="N215" s="145" t="s">
        <v>0</v>
      </c>
      <c r="O215" s="184">
        <f t="shared" si="54"/>
        <v>1.1764705882352942</v>
      </c>
      <c r="P215" s="147" t="str">
        <f t="shared" si="45"/>
        <v>Dias</v>
      </c>
      <c r="Q215" s="147" t="str">
        <f t="shared" si="46"/>
        <v/>
      </c>
      <c r="R215" s="148">
        <v>2</v>
      </c>
      <c r="S215" s="149">
        <v>2</v>
      </c>
      <c r="T215" s="149">
        <f t="shared" si="47"/>
        <v>0</v>
      </c>
      <c r="U215" s="149">
        <f t="shared" si="48"/>
        <v>0</v>
      </c>
      <c r="V215" s="149">
        <f t="shared" si="55"/>
        <v>0</v>
      </c>
      <c r="W215" s="140" t="s">
        <v>18</v>
      </c>
      <c r="X215" s="150" t="s">
        <v>18</v>
      </c>
      <c r="Y215" s="151">
        <f t="shared" si="56"/>
        <v>0</v>
      </c>
      <c r="Z215" s="152">
        <f t="shared" si="49"/>
        <v>1</v>
      </c>
      <c r="AA215" s="153">
        <f t="shared" si="57"/>
        <v>0</v>
      </c>
      <c r="AB215" s="153">
        <f t="shared" si="58"/>
        <v>0</v>
      </c>
      <c r="AC215" s="154"/>
      <c r="AD215" s="155">
        <f t="shared" si="59"/>
        <v>0</v>
      </c>
      <c r="AE215" s="156">
        <f t="shared" si="60"/>
        <v>0</v>
      </c>
      <c r="AF215" s="157">
        <f t="shared" si="50"/>
        <v>0</v>
      </c>
      <c r="AG215" s="158" t="str">
        <f t="shared" si="51"/>
        <v>Dias</v>
      </c>
      <c r="AH215" s="158">
        <f t="shared" si="61"/>
        <v>0</v>
      </c>
      <c r="AI215" s="159">
        <f t="shared" si="62"/>
        <v>0</v>
      </c>
      <c r="AJ215" s="160">
        <f t="shared" si="63"/>
        <v>0</v>
      </c>
      <c r="AL215" s="143"/>
      <c r="AM215" s="147" t="str">
        <f t="shared" si="64"/>
        <v>Dias</v>
      </c>
      <c r="AN215" s="161"/>
      <c r="AO215" s="162"/>
      <c r="AP215" s="162"/>
      <c r="AQ215" s="140" t="s">
        <v>18</v>
      </c>
      <c r="AS215" s="143"/>
      <c r="AT215" s="147" t="str">
        <f t="shared" si="65"/>
        <v>Dias</v>
      </c>
      <c r="AU215" s="161"/>
      <c r="AV215" s="162"/>
      <c r="AW215" s="162"/>
      <c r="AX215" s="140" t="s">
        <v>18</v>
      </c>
      <c r="AZ215" s="143"/>
      <c r="BA215" s="147" t="str">
        <f t="shared" si="66"/>
        <v>Dias</v>
      </c>
      <c r="BB215" s="161"/>
      <c r="BC215" s="162"/>
      <c r="BD215" s="162"/>
      <c r="BE215" s="140" t="s">
        <v>18</v>
      </c>
      <c r="BG215" s="143"/>
      <c r="BH215" s="147" t="str">
        <f t="shared" si="67"/>
        <v>Dias</v>
      </c>
      <c r="BI215" s="161"/>
      <c r="BJ215" s="162"/>
      <c r="BK215" s="162"/>
      <c r="BL215" s="140" t="s">
        <v>18</v>
      </c>
      <c r="BN215" s="143"/>
      <c r="BO215" s="147" t="str">
        <f t="shared" si="68"/>
        <v>Dias</v>
      </c>
      <c r="BP215" s="161"/>
      <c r="BQ215" s="162"/>
      <c r="BR215" s="162"/>
      <c r="BS215" s="140" t="s">
        <v>18</v>
      </c>
      <c r="BU215" s="143"/>
      <c r="BV215" s="147" t="str">
        <f t="shared" si="69"/>
        <v>Dias</v>
      </c>
      <c r="BW215" s="161"/>
      <c r="BX215" s="162"/>
      <c r="BY215" s="162"/>
      <c r="BZ215" s="140" t="s">
        <v>18</v>
      </c>
      <c r="CC215" s="163">
        <f t="shared" si="70"/>
        <v>0</v>
      </c>
      <c r="CD215" s="163">
        <f t="shared" si="71"/>
        <v>0</v>
      </c>
      <c r="CE215" s="163">
        <f t="shared" si="72"/>
        <v>0</v>
      </c>
      <c r="CF215" s="163">
        <f t="shared" si="73"/>
        <v>0</v>
      </c>
      <c r="CG215" s="163">
        <f t="shared" si="74"/>
        <v>0</v>
      </c>
      <c r="CH215" s="163">
        <f t="shared" si="75"/>
        <v>0</v>
      </c>
      <c r="CJ215" s="163">
        <f t="shared" si="76"/>
        <v>0</v>
      </c>
      <c r="CK215" s="163">
        <f t="shared" si="77"/>
        <v>0</v>
      </c>
      <c r="CL215" s="163">
        <f t="shared" si="78"/>
        <v>0</v>
      </c>
      <c r="CM215" s="163">
        <f t="shared" si="79"/>
        <v>0</v>
      </c>
      <c r="CN215" s="163">
        <f t="shared" si="80"/>
        <v>0</v>
      </c>
      <c r="CO215" s="163">
        <f t="shared" si="81"/>
        <v>0</v>
      </c>
      <c r="CP215" s="163"/>
      <c r="CQ215" s="163">
        <f t="shared" si="82"/>
        <v>0</v>
      </c>
      <c r="CR215" s="163">
        <f t="shared" si="83"/>
        <v>0</v>
      </c>
      <c r="CS215" s="163">
        <f t="shared" si="84"/>
        <v>0</v>
      </c>
      <c r="CT215" s="163">
        <f t="shared" si="85"/>
        <v>0</v>
      </c>
      <c r="CU215" s="163">
        <f t="shared" si="86"/>
        <v>0</v>
      </c>
      <c r="CV215" s="163">
        <f t="shared" si="87"/>
        <v>0</v>
      </c>
      <c r="CY215" s="164" t="s">
        <v>45</v>
      </c>
      <c r="FN215" s="165">
        <f t="shared" si="52"/>
        <v>1</v>
      </c>
      <c r="FO215" s="166">
        <f t="shared" si="88"/>
        <v>0</v>
      </c>
      <c r="FP215" s="166">
        <f t="shared" si="89"/>
        <v>0</v>
      </c>
    </row>
    <row r="216" spans="1:172" ht="18" x14ac:dyDescent="0.25">
      <c r="A216" s="167">
        <v>13.625</v>
      </c>
      <c r="B216" s="168" t="s">
        <v>239</v>
      </c>
      <c r="C216" s="169" t="s">
        <v>240</v>
      </c>
      <c r="D216" s="140" t="s">
        <v>123</v>
      </c>
      <c r="E216" s="170" t="s">
        <v>100</v>
      </c>
      <c r="F216" s="171" t="s">
        <v>241</v>
      </c>
      <c r="G216" s="143"/>
      <c r="H216" s="172"/>
      <c r="I216" s="172"/>
      <c r="J216" s="172"/>
      <c r="K216" s="172"/>
      <c r="L216" s="172"/>
      <c r="M216" s="137">
        <f t="shared" si="53"/>
        <v>16.029411764705884</v>
      </c>
      <c r="N216" s="173" t="s">
        <v>9</v>
      </c>
      <c r="O216" s="146">
        <f t="shared" si="54"/>
        <v>16.029411764705884</v>
      </c>
      <c r="P216" s="174" t="str">
        <f t="shared" si="45"/>
        <v>pç</v>
      </c>
      <c r="Q216" s="175" t="str">
        <f t="shared" si="46"/>
        <v>/ dia</v>
      </c>
      <c r="R216" s="176">
        <v>2</v>
      </c>
      <c r="S216" s="177">
        <v>1</v>
      </c>
      <c r="T216" s="177">
        <f t="shared" si="47"/>
        <v>1</v>
      </c>
      <c r="U216" s="149">
        <f t="shared" si="48"/>
        <v>0</v>
      </c>
      <c r="V216" s="149">
        <f t="shared" si="55"/>
        <v>0</v>
      </c>
      <c r="W216" s="140" t="s">
        <v>18</v>
      </c>
      <c r="X216" s="150" t="s">
        <v>18</v>
      </c>
      <c r="Y216" s="151">
        <f t="shared" si="56"/>
        <v>0</v>
      </c>
      <c r="Z216" s="178">
        <f t="shared" si="49"/>
        <v>0.5</v>
      </c>
      <c r="AA216" s="179">
        <f t="shared" si="57"/>
        <v>0</v>
      </c>
      <c r="AB216" s="179">
        <f t="shared" si="58"/>
        <v>0</v>
      </c>
      <c r="AC216" s="180"/>
      <c r="AD216" s="155">
        <f t="shared" si="59"/>
        <v>0</v>
      </c>
      <c r="AE216" s="156">
        <f t="shared" si="60"/>
        <v>0</v>
      </c>
      <c r="AF216" s="157">
        <f t="shared" si="50"/>
        <v>0</v>
      </c>
      <c r="AG216" s="158" t="str">
        <f t="shared" si="51"/>
        <v>pç</v>
      </c>
      <c r="AH216" s="158">
        <f t="shared" si="61"/>
        <v>0</v>
      </c>
      <c r="AI216" s="159">
        <f t="shared" si="62"/>
        <v>0</v>
      </c>
      <c r="AJ216" s="160">
        <f t="shared" si="63"/>
        <v>0</v>
      </c>
      <c r="AL216" s="143"/>
      <c r="AM216" s="147" t="str">
        <f t="shared" si="64"/>
        <v>pç</v>
      </c>
      <c r="AN216" s="161"/>
      <c r="AO216" s="182"/>
      <c r="AP216" s="182"/>
      <c r="AQ216" s="183" t="s">
        <v>18</v>
      </c>
      <c r="AS216" s="143"/>
      <c r="AT216" s="147" t="str">
        <f t="shared" si="65"/>
        <v>pç</v>
      </c>
      <c r="AU216" s="161"/>
      <c r="AV216" s="182"/>
      <c r="AW216" s="182"/>
      <c r="AX216" s="183" t="s">
        <v>18</v>
      </c>
      <c r="AZ216" s="143"/>
      <c r="BA216" s="147" t="str">
        <f t="shared" si="66"/>
        <v>pç</v>
      </c>
      <c r="BB216" s="161"/>
      <c r="BC216" s="182"/>
      <c r="BD216" s="182"/>
      <c r="BE216" s="183" t="s">
        <v>18</v>
      </c>
      <c r="BG216" s="143"/>
      <c r="BH216" s="147" t="str">
        <f t="shared" si="67"/>
        <v>pç</v>
      </c>
      <c r="BI216" s="161"/>
      <c r="BJ216" s="182"/>
      <c r="BK216" s="182"/>
      <c r="BL216" s="183" t="s">
        <v>18</v>
      </c>
      <c r="BN216" s="143"/>
      <c r="BO216" s="147" t="str">
        <f t="shared" si="68"/>
        <v>pç</v>
      </c>
      <c r="BP216" s="161"/>
      <c r="BQ216" s="182"/>
      <c r="BR216" s="182"/>
      <c r="BS216" s="183" t="s">
        <v>18</v>
      </c>
      <c r="BU216" s="143"/>
      <c r="BV216" s="147" t="str">
        <f t="shared" si="69"/>
        <v>pç</v>
      </c>
      <c r="BW216" s="161"/>
      <c r="BX216" s="182"/>
      <c r="BY216" s="182"/>
      <c r="BZ216" s="183" t="s">
        <v>18</v>
      </c>
      <c r="CC216" s="163">
        <f t="shared" si="70"/>
        <v>0</v>
      </c>
      <c r="CD216" s="163">
        <f t="shared" si="71"/>
        <v>0</v>
      </c>
      <c r="CE216" s="163">
        <f t="shared" si="72"/>
        <v>0</v>
      </c>
      <c r="CF216" s="163">
        <f t="shared" si="73"/>
        <v>0</v>
      </c>
      <c r="CG216" s="163">
        <f t="shared" si="74"/>
        <v>0</v>
      </c>
      <c r="CH216" s="163">
        <f t="shared" si="75"/>
        <v>0</v>
      </c>
      <c r="CJ216" s="163">
        <f t="shared" si="76"/>
        <v>0</v>
      </c>
      <c r="CK216" s="163">
        <f t="shared" si="77"/>
        <v>0</v>
      </c>
      <c r="CL216" s="163">
        <f t="shared" si="78"/>
        <v>0</v>
      </c>
      <c r="CM216" s="163">
        <f t="shared" si="79"/>
        <v>0</v>
      </c>
      <c r="CN216" s="163">
        <f t="shared" si="80"/>
        <v>0</v>
      </c>
      <c r="CO216" s="163">
        <f t="shared" si="81"/>
        <v>0</v>
      </c>
      <c r="CP216" s="163"/>
      <c r="CQ216" s="163">
        <f t="shared" si="82"/>
        <v>0</v>
      </c>
      <c r="CR216" s="163">
        <f t="shared" si="83"/>
        <v>0</v>
      </c>
      <c r="CS216" s="163">
        <f t="shared" si="84"/>
        <v>0</v>
      </c>
      <c r="CT216" s="163">
        <f t="shared" si="85"/>
        <v>0</v>
      </c>
      <c r="CU216" s="163">
        <f t="shared" si="86"/>
        <v>0</v>
      </c>
      <c r="CV216" s="163">
        <f t="shared" si="87"/>
        <v>0</v>
      </c>
      <c r="CY216" s="164" t="s">
        <v>45</v>
      </c>
      <c r="FN216" s="165">
        <f t="shared" si="52"/>
        <v>16.029411764705884</v>
      </c>
      <c r="FO216" s="166">
        <f t="shared" si="88"/>
        <v>0</v>
      </c>
      <c r="FP216" s="166">
        <f t="shared" si="89"/>
        <v>0</v>
      </c>
    </row>
    <row r="217" spans="1:172" ht="18" x14ac:dyDescent="0.25">
      <c r="A217" s="137">
        <v>40</v>
      </c>
      <c r="B217" s="138" t="s">
        <v>239</v>
      </c>
      <c r="C217" s="139"/>
      <c r="D217" s="185" t="s">
        <v>99</v>
      </c>
      <c r="E217" s="141" t="s">
        <v>100</v>
      </c>
      <c r="F217" s="142" t="s">
        <v>242</v>
      </c>
      <c r="G217" s="143"/>
      <c r="H217" s="144"/>
      <c r="I217" s="144"/>
      <c r="J217" s="144"/>
      <c r="K217" s="144"/>
      <c r="L217" s="144"/>
      <c r="M217" s="137">
        <f t="shared" si="53"/>
        <v>47.058823529411768</v>
      </c>
      <c r="N217" s="145" t="s">
        <v>9</v>
      </c>
      <c r="O217" s="184">
        <f t="shared" si="54"/>
        <v>47.058823529411768</v>
      </c>
      <c r="P217" s="147" t="str">
        <f t="shared" si="45"/>
        <v>pç</v>
      </c>
      <c r="Q217" s="147" t="str">
        <f t="shared" si="46"/>
        <v>/ dia</v>
      </c>
      <c r="R217" s="148">
        <v>2</v>
      </c>
      <c r="S217" s="149">
        <v>1</v>
      </c>
      <c r="T217" s="149">
        <f t="shared" si="47"/>
        <v>1</v>
      </c>
      <c r="U217" s="149">
        <f t="shared" si="48"/>
        <v>0</v>
      </c>
      <c r="V217" s="149">
        <f t="shared" si="55"/>
        <v>0</v>
      </c>
      <c r="W217" s="140" t="s">
        <v>18</v>
      </c>
      <c r="X217" s="150" t="s">
        <v>18</v>
      </c>
      <c r="Y217" s="151">
        <f t="shared" si="56"/>
        <v>0</v>
      </c>
      <c r="Z217" s="152">
        <f t="shared" si="49"/>
        <v>0.5</v>
      </c>
      <c r="AA217" s="153">
        <f t="shared" si="57"/>
        <v>0</v>
      </c>
      <c r="AB217" s="153">
        <f t="shared" si="58"/>
        <v>0</v>
      </c>
      <c r="AC217" s="154"/>
      <c r="AD217" s="155">
        <f t="shared" si="59"/>
        <v>0</v>
      </c>
      <c r="AE217" s="156">
        <f t="shared" si="60"/>
        <v>0</v>
      </c>
      <c r="AF217" s="157">
        <f t="shared" si="50"/>
        <v>0</v>
      </c>
      <c r="AG217" s="158" t="str">
        <f t="shared" si="51"/>
        <v>pç</v>
      </c>
      <c r="AH217" s="158">
        <f t="shared" si="61"/>
        <v>0</v>
      </c>
      <c r="AI217" s="159">
        <f t="shared" si="62"/>
        <v>0</v>
      </c>
      <c r="AJ217" s="160">
        <f t="shared" si="63"/>
        <v>0</v>
      </c>
      <c r="AL217" s="143"/>
      <c r="AM217" s="147" t="str">
        <f t="shared" si="64"/>
        <v>pç</v>
      </c>
      <c r="AN217" s="161"/>
      <c r="AO217" s="162"/>
      <c r="AP217" s="162"/>
      <c r="AQ217" s="140" t="s">
        <v>18</v>
      </c>
      <c r="AS217" s="143"/>
      <c r="AT217" s="147" t="str">
        <f t="shared" si="65"/>
        <v>pç</v>
      </c>
      <c r="AU217" s="161"/>
      <c r="AV217" s="162"/>
      <c r="AW217" s="162"/>
      <c r="AX217" s="140" t="s">
        <v>18</v>
      </c>
      <c r="AZ217" s="143"/>
      <c r="BA217" s="147" t="str">
        <f t="shared" si="66"/>
        <v>pç</v>
      </c>
      <c r="BB217" s="161"/>
      <c r="BC217" s="162"/>
      <c r="BD217" s="162"/>
      <c r="BE217" s="140" t="s">
        <v>18</v>
      </c>
      <c r="BG217" s="143"/>
      <c r="BH217" s="147" t="str">
        <f t="shared" si="67"/>
        <v>pç</v>
      </c>
      <c r="BI217" s="161"/>
      <c r="BJ217" s="162"/>
      <c r="BK217" s="162"/>
      <c r="BL217" s="140" t="s">
        <v>18</v>
      </c>
      <c r="BN217" s="143"/>
      <c r="BO217" s="147" t="str">
        <f t="shared" si="68"/>
        <v>pç</v>
      </c>
      <c r="BP217" s="161"/>
      <c r="BQ217" s="162"/>
      <c r="BR217" s="162"/>
      <c r="BS217" s="140" t="s">
        <v>18</v>
      </c>
      <c r="BU217" s="143"/>
      <c r="BV217" s="147" t="str">
        <f t="shared" si="69"/>
        <v>pç</v>
      </c>
      <c r="BW217" s="161"/>
      <c r="BX217" s="162"/>
      <c r="BY217" s="162"/>
      <c r="BZ217" s="140" t="s">
        <v>18</v>
      </c>
      <c r="CC217" s="163">
        <f t="shared" si="70"/>
        <v>0</v>
      </c>
      <c r="CD217" s="163">
        <f t="shared" si="71"/>
        <v>0</v>
      </c>
      <c r="CE217" s="163">
        <f t="shared" si="72"/>
        <v>0</v>
      </c>
      <c r="CF217" s="163">
        <f t="shared" si="73"/>
        <v>0</v>
      </c>
      <c r="CG217" s="163">
        <f t="shared" si="74"/>
        <v>0</v>
      </c>
      <c r="CH217" s="163">
        <f t="shared" si="75"/>
        <v>0</v>
      </c>
      <c r="CJ217" s="163">
        <f t="shared" si="76"/>
        <v>0</v>
      </c>
      <c r="CK217" s="163">
        <f t="shared" si="77"/>
        <v>0</v>
      </c>
      <c r="CL217" s="163">
        <f t="shared" si="78"/>
        <v>0</v>
      </c>
      <c r="CM217" s="163">
        <f t="shared" si="79"/>
        <v>0</v>
      </c>
      <c r="CN217" s="163">
        <f t="shared" si="80"/>
        <v>0</v>
      </c>
      <c r="CO217" s="163">
        <f t="shared" si="81"/>
        <v>0</v>
      </c>
      <c r="CP217" s="163"/>
      <c r="CQ217" s="163">
        <f t="shared" si="82"/>
        <v>0</v>
      </c>
      <c r="CR217" s="163">
        <f t="shared" si="83"/>
        <v>0</v>
      </c>
      <c r="CS217" s="163">
        <f t="shared" si="84"/>
        <v>0</v>
      </c>
      <c r="CT217" s="163">
        <f t="shared" si="85"/>
        <v>0</v>
      </c>
      <c r="CU217" s="163">
        <f t="shared" si="86"/>
        <v>0</v>
      </c>
      <c r="CV217" s="163">
        <f t="shared" si="87"/>
        <v>0</v>
      </c>
      <c r="CY217" s="164" t="s">
        <v>45</v>
      </c>
      <c r="FN217" s="165">
        <f t="shared" si="52"/>
        <v>47.058823529411768</v>
      </c>
      <c r="FO217" s="166">
        <f t="shared" si="88"/>
        <v>0</v>
      </c>
      <c r="FP217" s="166">
        <f t="shared" si="89"/>
        <v>0</v>
      </c>
    </row>
    <row r="218" spans="1:172" ht="18" x14ac:dyDescent="0.25">
      <c r="A218" s="167">
        <v>13</v>
      </c>
      <c r="B218" s="168" t="s">
        <v>239</v>
      </c>
      <c r="C218" s="169"/>
      <c r="D218" s="140" t="s">
        <v>123</v>
      </c>
      <c r="E218" s="170" t="s">
        <v>100</v>
      </c>
      <c r="F218" s="171" t="s">
        <v>243</v>
      </c>
      <c r="G218" s="143"/>
      <c r="H218" s="172"/>
      <c r="I218" s="172"/>
      <c r="J218" s="172"/>
      <c r="K218" s="172"/>
      <c r="L218" s="172"/>
      <c r="M218" s="137">
        <f t="shared" si="53"/>
        <v>15.294117647058824</v>
      </c>
      <c r="N218" s="173" t="s">
        <v>9</v>
      </c>
      <c r="O218" s="146">
        <f t="shared" si="54"/>
        <v>15.294117647058824</v>
      </c>
      <c r="P218" s="174" t="str">
        <f t="shared" si="45"/>
        <v>pç</v>
      </c>
      <c r="Q218" s="175" t="str">
        <f t="shared" si="46"/>
        <v>/ dia</v>
      </c>
      <c r="R218" s="176">
        <v>2</v>
      </c>
      <c r="S218" s="177">
        <v>1</v>
      </c>
      <c r="T218" s="177">
        <f t="shared" si="47"/>
        <v>1</v>
      </c>
      <c r="U218" s="149">
        <f t="shared" si="48"/>
        <v>0</v>
      </c>
      <c r="V218" s="149">
        <f t="shared" si="55"/>
        <v>0</v>
      </c>
      <c r="W218" s="140" t="s">
        <v>18</v>
      </c>
      <c r="X218" s="150" t="s">
        <v>18</v>
      </c>
      <c r="Y218" s="151">
        <f t="shared" si="56"/>
        <v>0</v>
      </c>
      <c r="Z218" s="178">
        <f t="shared" si="49"/>
        <v>0.5</v>
      </c>
      <c r="AA218" s="179">
        <f t="shared" si="57"/>
        <v>0</v>
      </c>
      <c r="AB218" s="179">
        <f t="shared" si="58"/>
        <v>0</v>
      </c>
      <c r="AC218" s="180"/>
      <c r="AD218" s="155">
        <f t="shared" si="59"/>
        <v>0</v>
      </c>
      <c r="AE218" s="156">
        <f t="shared" si="60"/>
        <v>0</v>
      </c>
      <c r="AF218" s="157">
        <f t="shared" si="50"/>
        <v>0</v>
      </c>
      <c r="AG218" s="158" t="str">
        <f t="shared" si="51"/>
        <v>pç</v>
      </c>
      <c r="AH218" s="158">
        <f t="shared" si="61"/>
        <v>0</v>
      </c>
      <c r="AI218" s="159">
        <f t="shared" si="62"/>
        <v>0</v>
      </c>
      <c r="AJ218" s="160">
        <f t="shared" si="63"/>
        <v>0</v>
      </c>
      <c r="AL218" s="143"/>
      <c r="AM218" s="147" t="str">
        <f t="shared" si="64"/>
        <v>pç</v>
      </c>
      <c r="AN218" s="161"/>
      <c r="AO218" s="182"/>
      <c r="AP218" s="182"/>
      <c r="AQ218" s="183" t="s">
        <v>18</v>
      </c>
      <c r="AS218" s="143"/>
      <c r="AT218" s="147" t="str">
        <f t="shared" si="65"/>
        <v>pç</v>
      </c>
      <c r="AU218" s="161"/>
      <c r="AV218" s="182"/>
      <c r="AW218" s="182"/>
      <c r="AX218" s="183" t="s">
        <v>18</v>
      </c>
      <c r="AZ218" s="143"/>
      <c r="BA218" s="147" t="str">
        <f t="shared" si="66"/>
        <v>pç</v>
      </c>
      <c r="BB218" s="161"/>
      <c r="BC218" s="182"/>
      <c r="BD218" s="182"/>
      <c r="BE218" s="183" t="s">
        <v>18</v>
      </c>
      <c r="BG218" s="143"/>
      <c r="BH218" s="147" t="str">
        <f t="shared" si="67"/>
        <v>pç</v>
      </c>
      <c r="BI218" s="161"/>
      <c r="BJ218" s="182"/>
      <c r="BK218" s="182"/>
      <c r="BL218" s="183" t="s">
        <v>18</v>
      </c>
      <c r="BN218" s="143"/>
      <c r="BO218" s="147" t="str">
        <f t="shared" si="68"/>
        <v>pç</v>
      </c>
      <c r="BP218" s="161"/>
      <c r="BQ218" s="182"/>
      <c r="BR218" s="182"/>
      <c r="BS218" s="183" t="s">
        <v>18</v>
      </c>
      <c r="BU218" s="143"/>
      <c r="BV218" s="147" t="str">
        <f t="shared" si="69"/>
        <v>pç</v>
      </c>
      <c r="BW218" s="161"/>
      <c r="BX218" s="182"/>
      <c r="BY218" s="182"/>
      <c r="BZ218" s="183" t="s">
        <v>18</v>
      </c>
      <c r="CC218" s="163">
        <f t="shared" si="70"/>
        <v>0</v>
      </c>
      <c r="CD218" s="163">
        <f t="shared" si="71"/>
        <v>0</v>
      </c>
      <c r="CE218" s="163">
        <f t="shared" si="72"/>
        <v>0</v>
      </c>
      <c r="CF218" s="163">
        <f t="shared" si="73"/>
        <v>0</v>
      </c>
      <c r="CG218" s="163">
        <f t="shared" si="74"/>
        <v>0</v>
      </c>
      <c r="CH218" s="163">
        <f t="shared" si="75"/>
        <v>0</v>
      </c>
      <c r="CJ218" s="163">
        <f t="shared" si="76"/>
        <v>0</v>
      </c>
      <c r="CK218" s="163">
        <f t="shared" si="77"/>
        <v>0</v>
      </c>
      <c r="CL218" s="163">
        <f t="shared" si="78"/>
        <v>0</v>
      </c>
      <c r="CM218" s="163">
        <f t="shared" si="79"/>
        <v>0</v>
      </c>
      <c r="CN218" s="163">
        <f t="shared" si="80"/>
        <v>0</v>
      </c>
      <c r="CO218" s="163">
        <f t="shared" si="81"/>
        <v>0</v>
      </c>
      <c r="CP218" s="163"/>
      <c r="CQ218" s="163">
        <f t="shared" si="82"/>
        <v>0</v>
      </c>
      <c r="CR218" s="163">
        <f t="shared" si="83"/>
        <v>0</v>
      </c>
      <c r="CS218" s="163">
        <f t="shared" si="84"/>
        <v>0</v>
      </c>
      <c r="CT218" s="163">
        <f t="shared" si="85"/>
        <v>0</v>
      </c>
      <c r="CU218" s="163">
        <f t="shared" si="86"/>
        <v>0</v>
      </c>
      <c r="CV218" s="163">
        <f t="shared" si="87"/>
        <v>0</v>
      </c>
      <c r="CY218" s="164" t="s">
        <v>45</v>
      </c>
      <c r="FN218" s="165">
        <f t="shared" si="52"/>
        <v>15.294117647058824</v>
      </c>
      <c r="FO218" s="166">
        <f t="shared" si="88"/>
        <v>0</v>
      </c>
      <c r="FP218" s="166">
        <f t="shared" si="89"/>
        <v>0</v>
      </c>
    </row>
    <row r="219" spans="1:172" ht="18" x14ac:dyDescent="0.25">
      <c r="A219" s="137">
        <v>13</v>
      </c>
      <c r="B219" s="138" t="s">
        <v>239</v>
      </c>
      <c r="C219" s="139"/>
      <c r="D219" s="140" t="s">
        <v>123</v>
      </c>
      <c r="E219" s="141" t="s">
        <v>100</v>
      </c>
      <c r="F219" s="142" t="s">
        <v>244</v>
      </c>
      <c r="G219" s="143"/>
      <c r="H219" s="144"/>
      <c r="I219" s="144"/>
      <c r="J219" s="144"/>
      <c r="K219" s="144"/>
      <c r="L219" s="144"/>
      <c r="M219" s="137">
        <f t="shared" si="53"/>
        <v>15.294117647058824</v>
      </c>
      <c r="N219" s="145" t="s">
        <v>9</v>
      </c>
      <c r="O219" s="184">
        <f t="shared" si="54"/>
        <v>15.294117647058824</v>
      </c>
      <c r="P219" s="147" t="str">
        <f t="shared" si="45"/>
        <v>pç</v>
      </c>
      <c r="Q219" s="147" t="str">
        <f t="shared" si="46"/>
        <v>/ dia</v>
      </c>
      <c r="R219" s="148">
        <v>2</v>
      </c>
      <c r="S219" s="149">
        <v>1</v>
      </c>
      <c r="T219" s="149">
        <f t="shared" si="47"/>
        <v>1</v>
      </c>
      <c r="U219" s="149">
        <f t="shared" si="48"/>
        <v>0</v>
      </c>
      <c r="V219" s="149">
        <f t="shared" si="55"/>
        <v>0</v>
      </c>
      <c r="W219" s="140" t="s">
        <v>18</v>
      </c>
      <c r="X219" s="150" t="s">
        <v>18</v>
      </c>
      <c r="Y219" s="151">
        <f t="shared" si="56"/>
        <v>0</v>
      </c>
      <c r="Z219" s="152">
        <f t="shared" si="49"/>
        <v>0.5</v>
      </c>
      <c r="AA219" s="153">
        <f t="shared" si="57"/>
        <v>0</v>
      </c>
      <c r="AB219" s="153">
        <f t="shared" si="58"/>
        <v>0</v>
      </c>
      <c r="AC219" s="154"/>
      <c r="AD219" s="155">
        <f t="shared" si="59"/>
        <v>0</v>
      </c>
      <c r="AE219" s="156">
        <f t="shared" si="60"/>
        <v>0</v>
      </c>
      <c r="AF219" s="157">
        <f t="shared" si="50"/>
        <v>0</v>
      </c>
      <c r="AG219" s="158" t="str">
        <f t="shared" si="51"/>
        <v>pç</v>
      </c>
      <c r="AH219" s="158">
        <f t="shared" si="61"/>
        <v>0</v>
      </c>
      <c r="AI219" s="159">
        <f t="shared" si="62"/>
        <v>0</v>
      </c>
      <c r="AJ219" s="160">
        <f t="shared" si="63"/>
        <v>0</v>
      </c>
      <c r="AL219" s="143"/>
      <c r="AM219" s="147" t="str">
        <f t="shared" si="64"/>
        <v>pç</v>
      </c>
      <c r="AN219" s="161"/>
      <c r="AO219" s="162"/>
      <c r="AP219" s="162"/>
      <c r="AQ219" s="140" t="s">
        <v>18</v>
      </c>
      <c r="AS219" s="143"/>
      <c r="AT219" s="147" t="str">
        <f t="shared" si="65"/>
        <v>pç</v>
      </c>
      <c r="AU219" s="161"/>
      <c r="AV219" s="162"/>
      <c r="AW219" s="162"/>
      <c r="AX219" s="140" t="s">
        <v>18</v>
      </c>
      <c r="AZ219" s="143"/>
      <c r="BA219" s="147" t="str">
        <f t="shared" si="66"/>
        <v>pç</v>
      </c>
      <c r="BB219" s="161"/>
      <c r="BC219" s="162"/>
      <c r="BD219" s="162"/>
      <c r="BE219" s="140" t="s">
        <v>18</v>
      </c>
      <c r="BG219" s="143"/>
      <c r="BH219" s="147" t="str">
        <f t="shared" si="67"/>
        <v>pç</v>
      </c>
      <c r="BI219" s="161"/>
      <c r="BJ219" s="162"/>
      <c r="BK219" s="162"/>
      <c r="BL219" s="140" t="s">
        <v>18</v>
      </c>
      <c r="BN219" s="143"/>
      <c r="BO219" s="147" t="str">
        <f t="shared" si="68"/>
        <v>pç</v>
      </c>
      <c r="BP219" s="161"/>
      <c r="BQ219" s="162"/>
      <c r="BR219" s="162"/>
      <c r="BS219" s="140" t="s">
        <v>18</v>
      </c>
      <c r="BU219" s="143"/>
      <c r="BV219" s="147" t="str">
        <f t="shared" si="69"/>
        <v>pç</v>
      </c>
      <c r="BW219" s="161"/>
      <c r="BX219" s="162"/>
      <c r="BY219" s="162"/>
      <c r="BZ219" s="140" t="s">
        <v>18</v>
      </c>
      <c r="CC219" s="163">
        <f t="shared" si="70"/>
        <v>0</v>
      </c>
      <c r="CD219" s="163">
        <f t="shared" si="71"/>
        <v>0</v>
      </c>
      <c r="CE219" s="163">
        <f t="shared" si="72"/>
        <v>0</v>
      </c>
      <c r="CF219" s="163">
        <f t="shared" si="73"/>
        <v>0</v>
      </c>
      <c r="CG219" s="163">
        <f t="shared" si="74"/>
        <v>0</v>
      </c>
      <c r="CH219" s="163">
        <f t="shared" si="75"/>
        <v>0</v>
      </c>
      <c r="CJ219" s="163">
        <f t="shared" si="76"/>
        <v>0</v>
      </c>
      <c r="CK219" s="163">
        <f t="shared" si="77"/>
        <v>0</v>
      </c>
      <c r="CL219" s="163">
        <f t="shared" si="78"/>
        <v>0</v>
      </c>
      <c r="CM219" s="163">
        <f t="shared" si="79"/>
        <v>0</v>
      </c>
      <c r="CN219" s="163">
        <f t="shared" si="80"/>
        <v>0</v>
      </c>
      <c r="CO219" s="163">
        <f t="shared" si="81"/>
        <v>0</v>
      </c>
      <c r="CP219" s="163"/>
      <c r="CQ219" s="163">
        <f t="shared" si="82"/>
        <v>0</v>
      </c>
      <c r="CR219" s="163">
        <f t="shared" si="83"/>
        <v>0</v>
      </c>
      <c r="CS219" s="163">
        <f t="shared" si="84"/>
        <v>0</v>
      </c>
      <c r="CT219" s="163">
        <f t="shared" si="85"/>
        <v>0</v>
      </c>
      <c r="CU219" s="163">
        <f t="shared" si="86"/>
        <v>0</v>
      </c>
      <c r="CV219" s="163">
        <f t="shared" si="87"/>
        <v>0</v>
      </c>
      <c r="CY219" s="164" t="s">
        <v>45</v>
      </c>
      <c r="FN219" s="165">
        <f t="shared" si="52"/>
        <v>15.294117647058824</v>
      </c>
      <c r="FO219" s="166">
        <f t="shared" si="88"/>
        <v>0</v>
      </c>
      <c r="FP219" s="166">
        <f t="shared" si="89"/>
        <v>0</v>
      </c>
    </row>
    <row r="220" spans="1:172" ht="22.5" x14ac:dyDescent="0.25">
      <c r="A220" s="167">
        <v>21.363636363636363</v>
      </c>
      <c r="B220" s="168" t="s">
        <v>239</v>
      </c>
      <c r="C220" s="169"/>
      <c r="D220" s="140" t="s">
        <v>123</v>
      </c>
      <c r="E220" s="170" t="s">
        <v>100</v>
      </c>
      <c r="F220" s="171" t="s">
        <v>245</v>
      </c>
      <c r="G220" s="143"/>
      <c r="H220" s="172"/>
      <c r="I220" s="172"/>
      <c r="J220" s="172"/>
      <c r="K220" s="172"/>
      <c r="L220" s="172"/>
      <c r="M220" s="137">
        <f t="shared" si="53"/>
        <v>25.133689839572192</v>
      </c>
      <c r="N220" s="173" t="s">
        <v>9</v>
      </c>
      <c r="O220" s="146">
        <f t="shared" si="54"/>
        <v>25.133689839572192</v>
      </c>
      <c r="P220" s="174" t="str">
        <f t="shared" si="45"/>
        <v>pç</v>
      </c>
      <c r="Q220" s="175" t="str">
        <f t="shared" si="46"/>
        <v>/ dia</v>
      </c>
      <c r="R220" s="176">
        <v>2</v>
      </c>
      <c r="S220" s="177">
        <v>1</v>
      </c>
      <c r="T220" s="177">
        <f t="shared" si="47"/>
        <v>1</v>
      </c>
      <c r="U220" s="149">
        <f t="shared" si="48"/>
        <v>0</v>
      </c>
      <c r="V220" s="149">
        <f t="shared" si="55"/>
        <v>0</v>
      </c>
      <c r="W220" s="140" t="s">
        <v>18</v>
      </c>
      <c r="X220" s="150" t="s">
        <v>18</v>
      </c>
      <c r="Y220" s="151">
        <f t="shared" si="56"/>
        <v>0</v>
      </c>
      <c r="Z220" s="178">
        <f t="shared" si="49"/>
        <v>0.5</v>
      </c>
      <c r="AA220" s="179">
        <f t="shared" si="57"/>
        <v>0</v>
      </c>
      <c r="AB220" s="179">
        <f t="shared" si="58"/>
        <v>0</v>
      </c>
      <c r="AC220" s="180"/>
      <c r="AD220" s="155">
        <f t="shared" si="59"/>
        <v>0</v>
      </c>
      <c r="AE220" s="156">
        <f t="shared" si="60"/>
        <v>0</v>
      </c>
      <c r="AF220" s="157">
        <f t="shared" si="50"/>
        <v>0</v>
      </c>
      <c r="AG220" s="158" t="str">
        <f t="shared" si="51"/>
        <v>pç</v>
      </c>
      <c r="AH220" s="158">
        <f t="shared" si="61"/>
        <v>0</v>
      </c>
      <c r="AI220" s="159">
        <f t="shared" si="62"/>
        <v>0</v>
      </c>
      <c r="AJ220" s="160">
        <f t="shared" si="63"/>
        <v>0</v>
      </c>
      <c r="AL220" s="143"/>
      <c r="AM220" s="147" t="str">
        <f t="shared" si="64"/>
        <v>pç</v>
      </c>
      <c r="AN220" s="161"/>
      <c r="AO220" s="182"/>
      <c r="AP220" s="182"/>
      <c r="AQ220" s="183" t="s">
        <v>18</v>
      </c>
      <c r="AS220" s="143"/>
      <c r="AT220" s="147" t="str">
        <f t="shared" si="65"/>
        <v>pç</v>
      </c>
      <c r="AU220" s="161"/>
      <c r="AV220" s="182"/>
      <c r="AW220" s="182"/>
      <c r="AX220" s="183" t="s">
        <v>18</v>
      </c>
      <c r="AZ220" s="143"/>
      <c r="BA220" s="147" t="str">
        <f t="shared" si="66"/>
        <v>pç</v>
      </c>
      <c r="BB220" s="161"/>
      <c r="BC220" s="182"/>
      <c r="BD220" s="182"/>
      <c r="BE220" s="183" t="s">
        <v>18</v>
      </c>
      <c r="BG220" s="143"/>
      <c r="BH220" s="147" t="str">
        <f t="shared" si="67"/>
        <v>pç</v>
      </c>
      <c r="BI220" s="161"/>
      <c r="BJ220" s="182"/>
      <c r="BK220" s="182"/>
      <c r="BL220" s="183" t="s">
        <v>18</v>
      </c>
      <c r="BN220" s="143"/>
      <c r="BO220" s="147" t="str">
        <f t="shared" si="68"/>
        <v>pç</v>
      </c>
      <c r="BP220" s="161"/>
      <c r="BQ220" s="182"/>
      <c r="BR220" s="182"/>
      <c r="BS220" s="183" t="s">
        <v>18</v>
      </c>
      <c r="BU220" s="143"/>
      <c r="BV220" s="147" t="str">
        <f t="shared" si="69"/>
        <v>pç</v>
      </c>
      <c r="BW220" s="161"/>
      <c r="BX220" s="182"/>
      <c r="BY220" s="182"/>
      <c r="BZ220" s="183" t="s">
        <v>18</v>
      </c>
      <c r="CC220" s="163">
        <f t="shared" si="70"/>
        <v>0</v>
      </c>
      <c r="CD220" s="163">
        <f t="shared" si="71"/>
        <v>0</v>
      </c>
      <c r="CE220" s="163">
        <f t="shared" si="72"/>
        <v>0</v>
      </c>
      <c r="CF220" s="163">
        <f t="shared" si="73"/>
        <v>0</v>
      </c>
      <c r="CG220" s="163">
        <f t="shared" si="74"/>
        <v>0</v>
      </c>
      <c r="CH220" s="163">
        <f t="shared" si="75"/>
        <v>0</v>
      </c>
      <c r="CJ220" s="163">
        <f t="shared" si="76"/>
        <v>0</v>
      </c>
      <c r="CK220" s="163">
        <f t="shared" si="77"/>
        <v>0</v>
      </c>
      <c r="CL220" s="163">
        <f t="shared" si="78"/>
        <v>0</v>
      </c>
      <c r="CM220" s="163">
        <f t="shared" si="79"/>
        <v>0</v>
      </c>
      <c r="CN220" s="163">
        <f t="shared" si="80"/>
        <v>0</v>
      </c>
      <c r="CO220" s="163">
        <f t="shared" si="81"/>
        <v>0</v>
      </c>
      <c r="CP220" s="163"/>
      <c r="CQ220" s="163">
        <f t="shared" si="82"/>
        <v>0</v>
      </c>
      <c r="CR220" s="163">
        <f t="shared" si="83"/>
        <v>0</v>
      </c>
      <c r="CS220" s="163">
        <f t="shared" si="84"/>
        <v>0</v>
      </c>
      <c r="CT220" s="163">
        <f t="shared" si="85"/>
        <v>0</v>
      </c>
      <c r="CU220" s="163">
        <f t="shared" si="86"/>
        <v>0</v>
      </c>
      <c r="CV220" s="163">
        <f t="shared" si="87"/>
        <v>0</v>
      </c>
      <c r="CY220" s="164" t="s">
        <v>45</v>
      </c>
      <c r="FN220" s="165">
        <f t="shared" si="52"/>
        <v>25.133689839572192</v>
      </c>
      <c r="FO220" s="166">
        <f t="shared" si="88"/>
        <v>0</v>
      </c>
      <c r="FP220" s="166">
        <f t="shared" si="89"/>
        <v>0</v>
      </c>
    </row>
    <row r="221" spans="1:172" ht="18" x14ac:dyDescent="0.25">
      <c r="A221" s="137">
        <v>23</v>
      </c>
      <c r="B221" s="138" t="s">
        <v>239</v>
      </c>
      <c r="C221" s="139"/>
      <c r="D221" s="140" t="s">
        <v>123</v>
      </c>
      <c r="E221" s="141" t="s">
        <v>100</v>
      </c>
      <c r="F221" s="142" t="s">
        <v>246</v>
      </c>
      <c r="G221" s="143"/>
      <c r="H221" s="144"/>
      <c r="I221" s="144"/>
      <c r="J221" s="144"/>
      <c r="K221" s="144"/>
      <c r="L221" s="144"/>
      <c r="M221" s="137">
        <f t="shared" si="53"/>
        <v>27.058823529411764</v>
      </c>
      <c r="N221" s="145" t="s">
        <v>9</v>
      </c>
      <c r="O221" s="184">
        <f t="shared" si="54"/>
        <v>27.058823529411764</v>
      </c>
      <c r="P221" s="147" t="str">
        <f t="shared" si="45"/>
        <v>pç</v>
      </c>
      <c r="Q221" s="147" t="str">
        <f t="shared" si="46"/>
        <v>/ dia</v>
      </c>
      <c r="R221" s="148">
        <v>2</v>
      </c>
      <c r="S221" s="149">
        <v>1</v>
      </c>
      <c r="T221" s="149">
        <f t="shared" si="47"/>
        <v>1</v>
      </c>
      <c r="U221" s="149">
        <f t="shared" si="48"/>
        <v>0</v>
      </c>
      <c r="V221" s="149">
        <f t="shared" si="55"/>
        <v>0</v>
      </c>
      <c r="W221" s="140" t="s">
        <v>18</v>
      </c>
      <c r="X221" s="150" t="s">
        <v>18</v>
      </c>
      <c r="Y221" s="151">
        <f t="shared" si="56"/>
        <v>0</v>
      </c>
      <c r="Z221" s="152">
        <f t="shared" si="49"/>
        <v>0.5</v>
      </c>
      <c r="AA221" s="153">
        <f t="shared" si="57"/>
        <v>0</v>
      </c>
      <c r="AB221" s="153">
        <f t="shared" si="58"/>
        <v>0</v>
      </c>
      <c r="AC221" s="154"/>
      <c r="AD221" s="155">
        <f t="shared" si="59"/>
        <v>0</v>
      </c>
      <c r="AE221" s="156">
        <f t="shared" si="60"/>
        <v>0</v>
      </c>
      <c r="AF221" s="157">
        <f t="shared" si="50"/>
        <v>0</v>
      </c>
      <c r="AG221" s="158" t="str">
        <f t="shared" si="51"/>
        <v>pç</v>
      </c>
      <c r="AH221" s="158">
        <f t="shared" si="61"/>
        <v>0</v>
      </c>
      <c r="AI221" s="159">
        <f t="shared" si="62"/>
        <v>0</v>
      </c>
      <c r="AJ221" s="160">
        <f t="shared" si="63"/>
        <v>0</v>
      </c>
      <c r="AL221" s="143"/>
      <c r="AM221" s="147" t="str">
        <f t="shared" si="64"/>
        <v>pç</v>
      </c>
      <c r="AN221" s="161"/>
      <c r="AO221" s="162"/>
      <c r="AP221" s="162"/>
      <c r="AQ221" s="140" t="s">
        <v>18</v>
      </c>
      <c r="AS221" s="143"/>
      <c r="AT221" s="147" t="str">
        <f t="shared" si="65"/>
        <v>pç</v>
      </c>
      <c r="AU221" s="161"/>
      <c r="AV221" s="162"/>
      <c r="AW221" s="162"/>
      <c r="AX221" s="140" t="s">
        <v>18</v>
      </c>
      <c r="AZ221" s="143"/>
      <c r="BA221" s="147" t="str">
        <f t="shared" si="66"/>
        <v>pç</v>
      </c>
      <c r="BB221" s="161"/>
      <c r="BC221" s="162"/>
      <c r="BD221" s="162"/>
      <c r="BE221" s="140" t="s">
        <v>18</v>
      </c>
      <c r="BG221" s="143"/>
      <c r="BH221" s="147" t="str">
        <f t="shared" si="67"/>
        <v>pç</v>
      </c>
      <c r="BI221" s="161"/>
      <c r="BJ221" s="162"/>
      <c r="BK221" s="162"/>
      <c r="BL221" s="140" t="s">
        <v>18</v>
      </c>
      <c r="BN221" s="143"/>
      <c r="BO221" s="147" t="str">
        <f t="shared" si="68"/>
        <v>pç</v>
      </c>
      <c r="BP221" s="161"/>
      <c r="BQ221" s="162"/>
      <c r="BR221" s="162"/>
      <c r="BS221" s="140" t="s">
        <v>18</v>
      </c>
      <c r="BU221" s="143"/>
      <c r="BV221" s="147" t="str">
        <f t="shared" si="69"/>
        <v>pç</v>
      </c>
      <c r="BW221" s="161"/>
      <c r="BX221" s="162"/>
      <c r="BY221" s="162"/>
      <c r="BZ221" s="140" t="s">
        <v>18</v>
      </c>
      <c r="CC221" s="163">
        <f t="shared" si="70"/>
        <v>0</v>
      </c>
      <c r="CD221" s="163">
        <f t="shared" si="71"/>
        <v>0</v>
      </c>
      <c r="CE221" s="163">
        <f t="shared" si="72"/>
        <v>0</v>
      </c>
      <c r="CF221" s="163">
        <f t="shared" si="73"/>
        <v>0</v>
      </c>
      <c r="CG221" s="163">
        <f t="shared" si="74"/>
        <v>0</v>
      </c>
      <c r="CH221" s="163">
        <f t="shared" si="75"/>
        <v>0</v>
      </c>
      <c r="CJ221" s="163">
        <f t="shared" si="76"/>
        <v>0</v>
      </c>
      <c r="CK221" s="163">
        <f t="shared" si="77"/>
        <v>0</v>
      </c>
      <c r="CL221" s="163">
        <f t="shared" si="78"/>
        <v>0</v>
      </c>
      <c r="CM221" s="163">
        <f t="shared" si="79"/>
        <v>0</v>
      </c>
      <c r="CN221" s="163">
        <f t="shared" si="80"/>
        <v>0</v>
      </c>
      <c r="CO221" s="163">
        <f t="shared" si="81"/>
        <v>0</v>
      </c>
      <c r="CP221" s="163"/>
      <c r="CQ221" s="163">
        <f t="shared" si="82"/>
        <v>0</v>
      </c>
      <c r="CR221" s="163">
        <f t="shared" si="83"/>
        <v>0</v>
      </c>
      <c r="CS221" s="163">
        <f t="shared" si="84"/>
        <v>0</v>
      </c>
      <c r="CT221" s="163">
        <f t="shared" si="85"/>
        <v>0</v>
      </c>
      <c r="CU221" s="163">
        <f t="shared" si="86"/>
        <v>0</v>
      </c>
      <c r="CV221" s="163">
        <f t="shared" si="87"/>
        <v>0</v>
      </c>
      <c r="CY221" s="164" t="s">
        <v>45</v>
      </c>
      <c r="FN221" s="165">
        <f t="shared" si="52"/>
        <v>27.058823529411764</v>
      </c>
      <c r="FO221" s="166">
        <f t="shared" si="88"/>
        <v>0</v>
      </c>
      <c r="FP221" s="166">
        <f t="shared" si="89"/>
        <v>0</v>
      </c>
    </row>
    <row r="222" spans="1:172" ht="18" x14ac:dyDescent="0.25">
      <c r="A222" s="167">
        <v>19.399999999999999</v>
      </c>
      <c r="B222" s="168" t="s">
        <v>239</v>
      </c>
      <c r="C222" s="169"/>
      <c r="D222" s="140" t="s">
        <v>123</v>
      </c>
      <c r="E222" s="170" t="s">
        <v>100</v>
      </c>
      <c r="F222" s="171" t="s">
        <v>247</v>
      </c>
      <c r="G222" s="143"/>
      <c r="H222" s="172"/>
      <c r="I222" s="172"/>
      <c r="J222" s="172"/>
      <c r="K222" s="172"/>
      <c r="L222" s="172"/>
      <c r="M222" s="137">
        <f t="shared" si="53"/>
        <v>22.823529411764707</v>
      </c>
      <c r="N222" s="173" t="s">
        <v>9</v>
      </c>
      <c r="O222" s="146">
        <f t="shared" si="54"/>
        <v>22.823529411764707</v>
      </c>
      <c r="P222" s="174" t="str">
        <f t="shared" si="45"/>
        <v>pç</v>
      </c>
      <c r="Q222" s="175" t="str">
        <f t="shared" si="46"/>
        <v>/ dia</v>
      </c>
      <c r="R222" s="176">
        <v>2</v>
      </c>
      <c r="S222" s="177">
        <v>1</v>
      </c>
      <c r="T222" s="177">
        <f t="shared" si="47"/>
        <v>1</v>
      </c>
      <c r="U222" s="149">
        <f t="shared" si="48"/>
        <v>0</v>
      </c>
      <c r="V222" s="149">
        <f t="shared" si="55"/>
        <v>0</v>
      </c>
      <c r="W222" s="140" t="s">
        <v>18</v>
      </c>
      <c r="X222" s="150" t="s">
        <v>18</v>
      </c>
      <c r="Y222" s="151">
        <f t="shared" si="56"/>
        <v>0</v>
      </c>
      <c r="Z222" s="178">
        <f t="shared" si="49"/>
        <v>0.5</v>
      </c>
      <c r="AA222" s="179">
        <f t="shared" si="57"/>
        <v>0</v>
      </c>
      <c r="AB222" s="179">
        <f t="shared" si="58"/>
        <v>0</v>
      </c>
      <c r="AC222" s="180"/>
      <c r="AD222" s="155">
        <f t="shared" si="59"/>
        <v>0</v>
      </c>
      <c r="AE222" s="156">
        <f t="shared" si="60"/>
        <v>0</v>
      </c>
      <c r="AF222" s="157">
        <f t="shared" si="50"/>
        <v>0</v>
      </c>
      <c r="AG222" s="158" t="str">
        <f t="shared" si="51"/>
        <v>pç</v>
      </c>
      <c r="AH222" s="158">
        <f t="shared" si="61"/>
        <v>0</v>
      </c>
      <c r="AI222" s="159">
        <f t="shared" si="62"/>
        <v>0</v>
      </c>
      <c r="AJ222" s="160">
        <f t="shared" si="63"/>
        <v>0</v>
      </c>
      <c r="AL222" s="143"/>
      <c r="AM222" s="147" t="str">
        <f t="shared" si="64"/>
        <v>pç</v>
      </c>
      <c r="AN222" s="161"/>
      <c r="AO222" s="182"/>
      <c r="AP222" s="182"/>
      <c r="AQ222" s="183" t="s">
        <v>18</v>
      </c>
      <c r="AS222" s="143"/>
      <c r="AT222" s="147" t="str">
        <f t="shared" si="65"/>
        <v>pç</v>
      </c>
      <c r="AU222" s="161"/>
      <c r="AV222" s="182"/>
      <c r="AW222" s="182"/>
      <c r="AX222" s="183" t="s">
        <v>18</v>
      </c>
      <c r="AZ222" s="143"/>
      <c r="BA222" s="147" t="str">
        <f t="shared" si="66"/>
        <v>pç</v>
      </c>
      <c r="BB222" s="161"/>
      <c r="BC222" s="182"/>
      <c r="BD222" s="182"/>
      <c r="BE222" s="183" t="s">
        <v>18</v>
      </c>
      <c r="BG222" s="143"/>
      <c r="BH222" s="147" t="str">
        <f t="shared" si="67"/>
        <v>pç</v>
      </c>
      <c r="BI222" s="161"/>
      <c r="BJ222" s="182"/>
      <c r="BK222" s="182"/>
      <c r="BL222" s="183" t="s">
        <v>18</v>
      </c>
      <c r="BN222" s="143"/>
      <c r="BO222" s="147" t="str">
        <f t="shared" si="68"/>
        <v>pç</v>
      </c>
      <c r="BP222" s="161"/>
      <c r="BQ222" s="182"/>
      <c r="BR222" s="182"/>
      <c r="BS222" s="183" t="s">
        <v>18</v>
      </c>
      <c r="BU222" s="143"/>
      <c r="BV222" s="147" t="str">
        <f t="shared" si="69"/>
        <v>pç</v>
      </c>
      <c r="BW222" s="161"/>
      <c r="BX222" s="182"/>
      <c r="BY222" s="182"/>
      <c r="BZ222" s="183" t="s">
        <v>18</v>
      </c>
      <c r="CC222" s="163">
        <f t="shared" si="70"/>
        <v>0</v>
      </c>
      <c r="CD222" s="163">
        <f t="shared" si="71"/>
        <v>0</v>
      </c>
      <c r="CE222" s="163">
        <f t="shared" si="72"/>
        <v>0</v>
      </c>
      <c r="CF222" s="163">
        <f t="shared" si="73"/>
        <v>0</v>
      </c>
      <c r="CG222" s="163">
        <f t="shared" si="74"/>
        <v>0</v>
      </c>
      <c r="CH222" s="163">
        <f t="shared" si="75"/>
        <v>0</v>
      </c>
      <c r="CJ222" s="163">
        <f t="shared" si="76"/>
        <v>0</v>
      </c>
      <c r="CK222" s="163">
        <f t="shared" si="77"/>
        <v>0</v>
      </c>
      <c r="CL222" s="163">
        <f t="shared" si="78"/>
        <v>0</v>
      </c>
      <c r="CM222" s="163">
        <f t="shared" si="79"/>
        <v>0</v>
      </c>
      <c r="CN222" s="163">
        <f t="shared" si="80"/>
        <v>0</v>
      </c>
      <c r="CO222" s="163">
        <f t="shared" si="81"/>
        <v>0</v>
      </c>
      <c r="CP222" s="163"/>
      <c r="CQ222" s="163">
        <f t="shared" si="82"/>
        <v>0</v>
      </c>
      <c r="CR222" s="163">
        <f t="shared" si="83"/>
        <v>0</v>
      </c>
      <c r="CS222" s="163">
        <f t="shared" si="84"/>
        <v>0</v>
      </c>
      <c r="CT222" s="163">
        <f t="shared" si="85"/>
        <v>0</v>
      </c>
      <c r="CU222" s="163">
        <f t="shared" si="86"/>
        <v>0</v>
      </c>
      <c r="CV222" s="163">
        <f t="shared" si="87"/>
        <v>0</v>
      </c>
      <c r="CY222" s="164" t="s">
        <v>45</v>
      </c>
      <c r="FN222" s="165">
        <f t="shared" si="52"/>
        <v>22.823529411764707</v>
      </c>
      <c r="FO222" s="166">
        <f t="shared" si="88"/>
        <v>0</v>
      </c>
      <c r="FP222" s="166">
        <f t="shared" si="89"/>
        <v>0</v>
      </c>
    </row>
    <row r="223" spans="1:172" ht="18" x14ac:dyDescent="0.25">
      <c r="A223" s="137">
        <v>19</v>
      </c>
      <c r="B223" s="138" t="s">
        <v>239</v>
      </c>
      <c r="C223" s="139"/>
      <c r="D223" s="140" t="s">
        <v>123</v>
      </c>
      <c r="E223" s="141" t="s">
        <v>100</v>
      </c>
      <c r="F223" s="142" t="s">
        <v>248</v>
      </c>
      <c r="G223" s="143"/>
      <c r="H223" s="144"/>
      <c r="I223" s="144"/>
      <c r="J223" s="144"/>
      <c r="K223" s="144"/>
      <c r="L223" s="144"/>
      <c r="M223" s="137">
        <f t="shared" si="53"/>
        <v>22.352941176470591</v>
      </c>
      <c r="N223" s="145" t="s">
        <v>9</v>
      </c>
      <c r="O223" s="184">
        <f t="shared" si="54"/>
        <v>22.352941176470591</v>
      </c>
      <c r="P223" s="147" t="str">
        <f t="shared" si="45"/>
        <v>pç</v>
      </c>
      <c r="Q223" s="147" t="str">
        <f t="shared" si="46"/>
        <v>/ dia</v>
      </c>
      <c r="R223" s="148">
        <v>2</v>
      </c>
      <c r="S223" s="149">
        <v>1</v>
      </c>
      <c r="T223" s="149">
        <f t="shared" si="47"/>
        <v>1</v>
      </c>
      <c r="U223" s="149">
        <f t="shared" si="48"/>
        <v>0</v>
      </c>
      <c r="V223" s="149">
        <f t="shared" si="55"/>
        <v>0</v>
      </c>
      <c r="W223" s="140" t="s">
        <v>18</v>
      </c>
      <c r="X223" s="150" t="s">
        <v>18</v>
      </c>
      <c r="Y223" s="151">
        <f t="shared" si="56"/>
        <v>0</v>
      </c>
      <c r="Z223" s="152">
        <f t="shared" si="49"/>
        <v>0.5</v>
      </c>
      <c r="AA223" s="153">
        <f t="shared" si="57"/>
        <v>0</v>
      </c>
      <c r="AB223" s="153">
        <f t="shared" si="58"/>
        <v>0</v>
      </c>
      <c r="AC223" s="154"/>
      <c r="AD223" s="155">
        <f t="shared" si="59"/>
        <v>0</v>
      </c>
      <c r="AE223" s="156">
        <f t="shared" si="60"/>
        <v>0</v>
      </c>
      <c r="AF223" s="157">
        <f t="shared" si="50"/>
        <v>0</v>
      </c>
      <c r="AG223" s="158" t="str">
        <f t="shared" si="51"/>
        <v>pç</v>
      </c>
      <c r="AH223" s="158">
        <f t="shared" si="61"/>
        <v>0</v>
      </c>
      <c r="AI223" s="159">
        <f t="shared" si="62"/>
        <v>0</v>
      </c>
      <c r="AJ223" s="160">
        <f t="shared" si="63"/>
        <v>0</v>
      </c>
      <c r="AL223" s="143"/>
      <c r="AM223" s="147" t="str">
        <f t="shared" si="64"/>
        <v>pç</v>
      </c>
      <c r="AN223" s="161"/>
      <c r="AO223" s="162"/>
      <c r="AP223" s="162"/>
      <c r="AQ223" s="140" t="s">
        <v>18</v>
      </c>
      <c r="AS223" s="143"/>
      <c r="AT223" s="147" t="str">
        <f t="shared" si="65"/>
        <v>pç</v>
      </c>
      <c r="AU223" s="161"/>
      <c r="AV223" s="162"/>
      <c r="AW223" s="162"/>
      <c r="AX223" s="140" t="s">
        <v>18</v>
      </c>
      <c r="AZ223" s="143"/>
      <c r="BA223" s="147" t="str">
        <f t="shared" si="66"/>
        <v>pç</v>
      </c>
      <c r="BB223" s="161"/>
      <c r="BC223" s="162"/>
      <c r="BD223" s="162"/>
      <c r="BE223" s="140" t="s">
        <v>18</v>
      </c>
      <c r="BG223" s="143"/>
      <c r="BH223" s="147" t="str">
        <f t="shared" si="67"/>
        <v>pç</v>
      </c>
      <c r="BI223" s="161"/>
      <c r="BJ223" s="162"/>
      <c r="BK223" s="162"/>
      <c r="BL223" s="140" t="s">
        <v>18</v>
      </c>
      <c r="BN223" s="143"/>
      <c r="BO223" s="147" t="str">
        <f t="shared" si="68"/>
        <v>pç</v>
      </c>
      <c r="BP223" s="161"/>
      <c r="BQ223" s="162"/>
      <c r="BR223" s="162"/>
      <c r="BS223" s="140" t="s">
        <v>18</v>
      </c>
      <c r="BU223" s="143"/>
      <c r="BV223" s="147" t="str">
        <f t="shared" si="69"/>
        <v>pç</v>
      </c>
      <c r="BW223" s="161"/>
      <c r="BX223" s="162"/>
      <c r="BY223" s="162"/>
      <c r="BZ223" s="140" t="s">
        <v>18</v>
      </c>
      <c r="CC223" s="163">
        <f t="shared" si="70"/>
        <v>0</v>
      </c>
      <c r="CD223" s="163">
        <f t="shared" si="71"/>
        <v>0</v>
      </c>
      <c r="CE223" s="163">
        <f t="shared" si="72"/>
        <v>0</v>
      </c>
      <c r="CF223" s="163">
        <f t="shared" si="73"/>
        <v>0</v>
      </c>
      <c r="CG223" s="163">
        <f t="shared" si="74"/>
        <v>0</v>
      </c>
      <c r="CH223" s="163">
        <f t="shared" si="75"/>
        <v>0</v>
      </c>
      <c r="CJ223" s="163">
        <f t="shared" si="76"/>
        <v>0</v>
      </c>
      <c r="CK223" s="163">
        <f t="shared" si="77"/>
        <v>0</v>
      </c>
      <c r="CL223" s="163">
        <f t="shared" si="78"/>
        <v>0</v>
      </c>
      <c r="CM223" s="163">
        <f t="shared" si="79"/>
        <v>0</v>
      </c>
      <c r="CN223" s="163">
        <f t="shared" si="80"/>
        <v>0</v>
      </c>
      <c r="CO223" s="163">
        <f t="shared" si="81"/>
        <v>0</v>
      </c>
      <c r="CP223" s="163"/>
      <c r="CQ223" s="163">
        <f t="shared" si="82"/>
        <v>0</v>
      </c>
      <c r="CR223" s="163">
        <f t="shared" si="83"/>
        <v>0</v>
      </c>
      <c r="CS223" s="163">
        <f t="shared" si="84"/>
        <v>0</v>
      </c>
      <c r="CT223" s="163">
        <f t="shared" si="85"/>
        <v>0</v>
      </c>
      <c r="CU223" s="163">
        <f t="shared" si="86"/>
        <v>0</v>
      </c>
      <c r="CV223" s="163">
        <f t="shared" si="87"/>
        <v>0</v>
      </c>
      <c r="CY223" s="164" t="s">
        <v>45</v>
      </c>
      <c r="FN223" s="165">
        <f t="shared" si="52"/>
        <v>22.352941176470591</v>
      </c>
      <c r="FO223" s="166">
        <f t="shared" si="88"/>
        <v>0</v>
      </c>
      <c r="FP223" s="166">
        <f t="shared" si="89"/>
        <v>0</v>
      </c>
    </row>
    <row r="224" spans="1:172" ht="18" x14ac:dyDescent="0.25">
      <c r="A224" s="167">
        <v>20.2</v>
      </c>
      <c r="B224" s="168" t="s">
        <v>239</v>
      </c>
      <c r="C224" s="169"/>
      <c r="D224" s="140" t="s">
        <v>123</v>
      </c>
      <c r="E224" s="170" t="s">
        <v>100</v>
      </c>
      <c r="F224" s="171" t="s">
        <v>249</v>
      </c>
      <c r="G224" s="143"/>
      <c r="H224" s="172"/>
      <c r="I224" s="172"/>
      <c r="J224" s="172"/>
      <c r="K224" s="172"/>
      <c r="L224" s="172"/>
      <c r="M224" s="137">
        <f t="shared" si="53"/>
        <v>23.764705882352942</v>
      </c>
      <c r="N224" s="173" t="s">
        <v>9</v>
      </c>
      <c r="O224" s="146">
        <f t="shared" si="54"/>
        <v>23.764705882352942</v>
      </c>
      <c r="P224" s="174" t="str">
        <f t="shared" si="45"/>
        <v>pç</v>
      </c>
      <c r="Q224" s="175" t="str">
        <f t="shared" si="46"/>
        <v>/ dia</v>
      </c>
      <c r="R224" s="176">
        <v>2</v>
      </c>
      <c r="S224" s="177">
        <v>1</v>
      </c>
      <c r="T224" s="177">
        <f t="shared" si="47"/>
        <v>1</v>
      </c>
      <c r="U224" s="149">
        <f t="shared" si="48"/>
        <v>0</v>
      </c>
      <c r="V224" s="149">
        <f t="shared" si="55"/>
        <v>0</v>
      </c>
      <c r="W224" s="140" t="s">
        <v>18</v>
      </c>
      <c r="X224" s="150" t="s">
        <v>18</v>
      </c>
      <c r="Y224" s="151">
        <f t="shared" si="56"/>
        <v>0</v>
      </c>
      <c r="Z224" s="178">
        <f t="shared" si="49"/>
        <v>0.5</v>
      </c>
      <c r="AA224" s="179">
        <f t="shared" si="57"/>
        <v>0</v>
      </c>
      <c r="AB224" s="179">
        <f t="shared" si="58"/>
        <v>0</v>
      </c>
      <c r="AC224" s="180"/>
      <c r="AD224" s="155">
        <f t="shared" si="59"/>
        <v>0</v>
      </c>
      <c r="AE224" s="156">
        <f t="shared" si="60"/>
        <v>0</v>
      </c>
      <c r="AF224" s="157">
        <f t="shared" si="50"/>
        <v>0</v>
      </c>
      <c r="AG224" s="158" t="str">
        <f t="shared" si="51"/>
        <v>pç</v>
      </c>
      <c r="AH224" s="158">
        <f t="shared" si="61"/>
        <v>0</v>
      </c>
      <c r="AI224" s="159">
        <f t="shared" si="62"/>
        <v>0</v>
      </c>
      <c r="AJ224" s="160">
        <f t="shared" si="63"/>
        <v>0</v>
      </c>
      <c r="AL224" s="143"/>
      <c r="AM224" s="147" t="str">
        <f t="shared" si="64"/>
        <v>pç</v>
      </c>
      <c r="AN224" s="161"/>
      <c r="AO224" s="182"/>
      <c r="AP224" s="182"/>
      <c r="AQ224" s="183" t="s">
        <v>18</v>
      </c>
      <c r="AS224" s="143"/>
      <c r="AT224" s="147" t="str">
        <f t="shared" si="65"/>
        <v>pç</v>
      </c>
      <c r="AU224" s="161"/>
      <c r="AV224" s="182"/>
      <c r="AW224" s="182"/>
      <c r="AX224" s="183" t="s">
        <v>18</v>
      </c>
      <c r="AZ224" s="143"/>
      <c r="BA224" s="147" t="str">
        <f t="shared" si="66"/>
        <v>pç</v>
      </c>
      <c r="BB224" s="161"/>
      <c r="BC224" s="182"/>
      <c r="BD224" s="182"/>
      <c r="BE224" s="183" t="s">
        <v>18</v>
      </c>
      <c r="BG224" s="143"/>
      <c r="BH224" s="147" t="str">
        <f t="shared" si="67"/>
        <v>pç</v>
      </c>
      <c r="BI224" s="161"/>
      <c r="BJ224" s="182"/>
      <c r="BK224" s="182"/>
      <c r="BL224" s="183" t="s">
        <v>18</v>
      </c>
      <c r="BN224" s="143"/>
      <c r="BO224" s="147" t="str">
        <f t="shared" si="68"/>
        <v>pç</v>
      </c>
      <c r="BP224" s="161"/>
      <c r="BQ224" s="182"/>
      <c r="BR224" s="182"/>
      <c r="BS224" s="183" t="s">
        <v>18</v>
      </c>
      <c r="BU224" s="143"/>
      <c r="BV224" s="147" t="str">
        <f t="shared" si="69"/>
        <v>pç</v>
      </c>
      <c r="BW224" s="161"/>
      <c r="BX224" s="182"/>
      <c r="BY224" s="182"/>
      <c r="BZ224" s="183" t="s">
        <v>18</v>
      </c>
      <c r="CC224" s="163">
        <f t="shared" si="70"/>
        <v>0</v>
      </c>
      <c r="CD224" s="163">
        <f t="shared" si="71"/>
        <v>0</v>
      </c>
      <c r="CE224" s="163">
        <f t="shared" si="72"/>
        <v>0</v>
      </c>
      <c r="CF224" s="163">
        <f t="shared" si="73"/>
        <v>0</v>
      </c>
      <c r="CG224" s="163">
        <f t="shared" si="74"/>
        <v>0</v>
      </c>
      <c r="CH224" s="163">
        <f t="shared" si="75"/>
        <v>0</v>
      </c>
      <c r="CJ224" s="163">
        <f t="shared" si="76"/>
        <v>0</v>
      </c>
      <c r="CK224" s="163">
        <f t="shared" si="77"/>
        <v>0</v>
      </c>
      <c r="CL224" s="163">
        <f t="shared" si="78"/>
        <v>0</v>
      </c>
      <c r="CM224" s="163">
        <f t="shared" si="79"/>
        <v>0</v>
      </c>
      <c r="CN224" s="163">
        <f t="shared" si="80"/>
        <v>0</v>
      </c>
      <c r="CO224" s="163">
        <f t="shared" si="81"/>
        <v>0</v>
      </c>
      <c r="CP224" s="163"/>
      <c r="CQ224" s="163">
        <f t="shared" si="82"/>
        <v>0</v>
      </c>
      <c r="CR224" s="163">
        <f t="shared" si="83"/>
        <v>0</v>
      </c>
      <c r="CS224" s="163">
        <f t="shared" si="84"/>
        <v>0</v>
      </c>
      <c r="CT224" s="163">
        <f t="shared" si="85"/>
        <v>0</v>
      </c>
      <c r="CU224" s="163">
        <f t="shared" si="86"/>
        <v>0</v>
      </c>
      <c r="CV224" s="163">
        <f t="shared" si="87"/>
        <v>0</v>
      </c>
      <c r="CY224" s="164" t="s">
        <v>45</v>
      </c>
      <c r="FN224" s="165">
        <f t="shared" si="52"/>
        <v>23.764705882352942</v>
      </c>
      <c r="FO224" s="166">
        <f t="shared" si="88"/>
        <v>0</v>
      </c>
      <c r="FP224" s="166">
        <f t="shared" si="89"/>
        <v>0</v>
      </c>
    </row>
    <row r="225" spans="1:172" ht="22.5" x14ac:dyDescent="0.25">
      <c r="A225" s="137">
        <v>5</v>
      </c>
      <c r="B225" s="138" t="s">
        <v>239</v>
      </c>
      <c r="C225" s="139" t="s">
        <v>250</v>
      </c>
      <c r="D225" s="140" t="s">
        <v>99</v>
      </c>
      <c r="E225" s="141" t="s">
        <v>100</v>
      </c>
      <c r="F225" s="142" t="s">
        <v>251</v>
      </c>
      <c r="G225" s="143"/>
      <c r="H225" s="144"/>
      <c r="I225" s="144"/>
      <c r="J225" s="144"/>
      <c r="K225" s="144"/>
      <c r="L225" s="144"/>
      <c r="M225" s="137">
        <f t="shared" si="53"/>
        <v>5.882352941176471</v>
      </c>
      <c r="N225" s="145" t="s">
        <v>9</v>
      </c>
      <c r="O225" s="184">
        <f t="shared" si="54"/>
        <v>5.882352941176471</v>
      </c>
      <c r="P225" s="147" t="str">
        <f t="shared" si="45"/>
        <v>pç</v>
      </c>
      <c r="Q225" s="147" t="str">
        <f t="shared" si="46"/>
        <v>/ dia</v>
      </c>
      <c r="R225" s="148">
        <v>2</v>
      </c>
      <c r="S225" s="149">
        <v>1</v>
      </c>
      <c r="T225" s="149">
        <f t="shared" si="47"/>
        <v>1</v>
      </c>
      <c r="U225" s="149">
        <f t="shared" si="48"/>
        <v>0</v>
      </c>
      <c r="V225" s="149">
        <f t="shared" si="55"/>
        <v>0</v>
      </c>
      <c r="W225" s="140" t="s">
        <v>18</v>
      </c>
      <c r="X225" s="150" t="s">
        <v>18</v>
      </c>
      <c r="Y225" s="151">
        <f t="shared" si="56"/>
        <v>0</v>
      </c>
      <c r="Z225" s="152">
        <f t="shared" si="49"/>
        <v>0.5</v>
      </c>
      <c r="AA225" s="153">
        <f t="shared" si="57"/>
        <v>0</v>
      </c>
      <c r="AB225" s="153">
        <f t="shared" si="58"/>
        <v>0</v>
      </c>
      <c r="AC225" s="154"/>
      <c r="AD225" s="155">
        <f t="shared" si="59"/>
        <v>0</v>
      </c>
      <c r="AE225" s="156">
        <f t="shared" si="60"/>
        <v>0</v>
      </c>
      <c r="AF225" s="157">
        <f t="shared" si="50"/>
        <v>0</v>
      </c>
      <c r="AG225" s="158" t="str">
        <f t="shared" si="51"/>
        <v>pç</v>
      </c>
      <c r="AH225" s="158">
        <f t="shared" si="61"/>
        <v>0</v>
      </c>
      <c r="AI225" s="159">
        <f t="shared" si="62"/>
        <v>0</v>
      </c>
      <c r="AJ225" s="160">
        <f t="shared" si="63"/>
        <v>0</v>
      </c>
      <c r="AL225" s="143"/>
      <c r="AM225" s="147" t="str">
        <f t="shared" si="64"/>
        <v>pç</v>
      </c>
      <c r="AN225" s="161"/>
      <c r="AO225" s="162"/>
      <c r="AP225" s="162"/>
      <c r="AQ225" s="140" t="s">
        <v>18</v>
      </c>
      <c r="AS225" s="143"/>
      <c r="AT225" s="147" t="str">
        <f t="shared" si="65"/>
        <v>pç</v>
      </c>
      <c r="AU225" s="161"/>
      <c r="AV225" s="162"/>
      <c r="AW225" s="162"/>
      <c r="AX225" s="140" t="s">
        <v>18</v>
      </c>
      <c r="AZ225" s="143"/>
      <c r="BA225" s="147" t="str">
        <f t="shared" si="66"/>
        <v>pç</v>
      </c>
      <c r="BB225" s="161"/>
      <c r="BC225" s="162"/>
      <c r="BD225" s="162"/>
      <c r="BE225" s="140" t="s">
        <v>18</v>
      </c>
      <c r="BG225" s="143"/>
      <c r="BH225" s="147" t="str">
        <f t="shared" si="67"/>
        <v>pç</v>
      </c>
      <c r="BI225" s="161"/>
      <c r="BJ225" s="162"/>
      <c r="BK225" s="162"/>
      <c r="BL225" s="140" t="s">
        <v>18</v>
      </c>
      <c r="BN225" s="143"/>
      <c r="BO225" s="147" t="str">
        <f t="shared" si="68"/>
        <v>pç</v>
      </c>
      <c r="BP225" s="161"/>
      <c r="BQ225" s="162"/>
      <c r="BR225" s="162"/>
      <c r="BS225" s="140" t="s">
        <v>18</v>
      </c>
      <c r="BU225" s="143"/>
      <c r="BV225" s="147" t="str">
        <f t="shared" si="69"/>
        <v>pç</v>
      </c>
      <c r="BW225" s="161"/>
      <c r="BX225" s="162"/>
      <c r="BY225" s="162"/>
      <c r="BZ225" s="140" t="s">
        <v>18</v>
      </c>
      <c r="CC225" s="163">
        <f t="shared" si="70"/>
        <v>0</v>
      </c>
      <c r="CD225" s="163">
        <f t="shared" si="71"/>
        <v>0</v>
      </c>
      <c r="CE225" s="163">
        <f t="shared" si="72"/>
        <v>0</v>
      </c>
      <c r="CF225" s="163">
        <f t="shared" si="73"/>
        <v>0</v>
      </c>
      <c r="CG225" s="163">
        <f t="shared" si="74"/>
        <v>0</v>
      </c>
      <c r="CH225" s="163">
        <f t="shared" si="75"/>
        <v>0</v>
      </c>
      <c r="CJ225" s="163">
        <f t="shared" si="76"/>
        <v>0</v>
      </c>
      <c r="CK225" s="163">
        <f t="shared" si="77"/>
        <v>0</v>
      </c>
      <c r="CL225" s="163">
        <f t="shared" si="78"/>
        <v>0</v>
      </c>
      <c r="CM225" s="163">
        <f t="shared" si="79"/>
        <v>0</v>
      </c>
      <c r="CN225" s="163">
        <f t="shared" si="80"/>
        <v>0</v>
      </c>
      <c r="CO225" s="163">
        <f t="shared" si="81"/>
        <v>0</v>
      </c>
      <c r="CP225" s="163"/>
      <c r="CQ225" s="163">
        <f t="shared" si="82"/>
        <v>0</v>
      </c>
      <c r="CR225" s="163">
        <f t="shared" si="83"/>
        <v>0</v>
      </c>
      <c r="CS225" s="163">
        <f t="shared" si="84"/>
        <v>0</v>
      </c>
      <c r="CT225" s="163">
        <f t="shared" si="85"/>
        <v>0</v>
      </c>
      <c r="CU225" s="163">
        <f t="shared" si="86"/>
        <v>0</v>
      </c>
      <c r="CV225" s="163">
        <f t="shared" si="87"/>
        <v>0</v>
      </c>
      <c r="CY225" s="164" t="s">
        <v>45</v>
      </c>
      <c r="FN225" s="165">
        <f t="shared" si="52"/>
        <v>5.882352941176471</v>
      </c>
      <c r="FO225" s="166">
        <f t="shared" si="88"/>
        <v>0</v>
      </c>
      <c r="FP225" s="166">
        <f t="shared" si="89"/>
        <v>0</v>
      </c>
    </row>
    <row r="226" spans="1:172" ht="22.5" x14ac:dyDescent="0.25">
      <c r="A226" s="167">
        <v>5</v>
      </c>
      <c r="B226" s="168" t="s">
        <v>239</v>
      </c>
      <c r="C226" s="169" t="s">
        <v>250</v>
      </c>
      <c r="D226" s="185" t="s">
        <v>99</v>
      </c>
      <c r="E226" s="170" t="s">
        <v>100</v>
      </c>
      <c r="F226" s="171" t="s">
        <v>252</v>
      </c>
      <c r="G226" s="143"/>
      <c r="H226" s="172"/>
      <c r="I226" s="172"/>
      <c r="J226" s="172"/>
      <c r="K226" s="172"/>
      <c r="L226" s="172"/>
      <c r="M226" s="137">
        <f t="shared" si="53"/>
        <v>5.882352941176471</v>
      </c>
      <c r="N226" s="173" t="s">
        <v>9</v>
      </c>
      <c r="O226" s="146">
        <f t="shared" si="54"/>
        <v>5.882352941176471</v>
      </c>
      <c r="P226" s="174" t="str">
        <f t="shared" si="45"/>
        <v>pç</v>
      </c>
      <c r="Q226" s="175" t="str">
        <f t="shared" si="46"/>
        <v>/ dia</v>
      </c>
      <c r="R226" s="176">
        <v>2</v>
      </c>
      <c r="S226" s="177">
        <v>1</v>
      </c>
      <c r="T226" s="177">
        <f t="shared" si="47"/>
        <v>1</v>
      </c>
      <c r="U226" s="149">
        <f t="shared" si="48"/>
        <v>0</v>
      </c>
      <c r="V226" s="149">
        <f t="shared" si="55"/>
        <v>0</v>
      </c>
      <c r="W226" s="140" t="s">
        <v>18</v>
      </c>
      <c r="X226" s="150" t="s">
        <v>18</v>
      </c>
      <c r="Y226" s="151">
        <f t="shared" si="56"/>
        <v>0</v>
      </c>
      <c r="Z226" s="178">
        <f t="shared" si="49"/>
        <v>0.5</v>
      </c>
      <c r="AA226" s="179">
        <f t="shared" si="57"/>
        <v>0</v>
      </c>
      <c r="AB226" s="179">
        <f t="shared" si="58"/>
        <v>0</v>
      </c>
      <c r="AC226" s="180"/>
      <c r="AD226" s="155">
        <f t="shared" si="59"/>
        <v>0</v>
      </c>
      <c r="AE226" s="156">
        <f t="shared" si="60"/>
        <v>0</v>
      </c>
      <c r="AF226" s="157">
        <f t="shared" si="50"/>
        <v>0</v>
      </c>
      <c r="AG226" s="158" t="str">
        <f t="shared" si="51"/>
        <v>pç</v>
      </c>
      <c r="AH226" s="158">
        <f t="shared" si="61"/>
        <v>0</v>
      </c>
      <c r="AI226" s="159">
        <f t="shared" si="62"/>
        <v>0</v>
      </c>
      <c r="AJ226" s="160">
        <f t="shared" si="63"/>
        <v>0</v>
      </c>
      <c r="AL226" s="143"/>
      <c r="AM226" s="147" t="str">
        <f t="shared" si="64"/>
        <v>pç</v>
      </c>
      <c r="AN226" s="161"/>
      <c r="AO226" s="182"/>
      <c r="AP226" s="182"/>
      <c r="AQ226" s="183" t="s">
        <v>18</v>
      </c>
      <c r="AS226" s="143"/>
      <c r="AT226" s="147" t="str">
        <f t="shared" si="65"/>
        <v>pç</v>
      </c>
      <c r="AU226" s="161"/>
      <c r="AV226" s="182"/>
      <c r="AW226" s="182"/>
      <c r="AX226" s="183" t="s">
        <v>18</v>
      </c>
      <c r="AZ226" s="143"/>
      <c r="BA226" s="147" t="str">
        <f t="shared" si="66"/>
        <v>pç</v>
      </c>
      <c r="BB226" s="161"/>
      <c r="BC226" s="182"/>
      <c r="BD226" s="182"/>
      <c r="BE226" s="183" t="s">
        <v>18</v>
      </c>
      <c r="BG226" s="143"/>
      <c r="BH226" s="147" t="str">
        <f t="shared" si="67"/>
        <v>pç</v>
      </c>
      <c r="BI226" s="161"/>
      <c r="BJ226" s="182"/>
      <c r="BK226" s="182"/>
      <c r="BL226" s="183" t="s">
        <v>18</v>
      </c>
      <c r="BN226" s="143"/>
      <c r="BO226" s="147" t="str">
        <f t="shared" si="68"/>
        <v>pç</v>
      </c>
      <c r="BP226" s="161"/>
      <c r="BQ226" s="182"/>
      <c r="BR226" s="182"/>
      <c r="BS226" s="183" t="s">
        <v>18</v>
      </c>
      <c r="BU226" s="143"/>
      <c r="BV226" s="147" t="str">
        <f t="shared" si="69"/>
        <v>pç</v>
      </c>
      <c r="BW226" s="161"/>
      <c r="BX226" s="182"/>
      <c r="BY226" s="182"/>
      <c r="BZ226" s="183" t="s">
        <v>18</v>
      </c>
      <c r="CC226" s="163">
        <f t="shared" si="70"/>
        <v>0</v>
      </c>
      <c r="CD226" s="163">
        <f t="shared" si="71"/>
        <v>0</v>
      </c>
      <c r="CE226" s="163">
        <f t="shared" si="72"/>
        <v>0</v>
      </c>
      <c r="CF226" s="163">
        <f t="shared" si="73"/>
        <v>0</v>
      </c>
      <c r="CG226" s="163">
        <f t="shared" si="74"/>
        <v>0</v>
      </c>
      <c r="CH226" s="163">
        <f t="shared" si="75"/>
        <v>0</v>
      </c>
      <c r="CJ226" s="163">
        <f t="shared" si="76"/>
        <v>0</v>
      </c>
      <c r="CK226" s="163">
        <f t="shared" si="77"/>
        <v>0</v>
      </c>
      <c r="CL226" s="163">
        <f t="shared" si="78"/>
        <v>0</v>
      </c>
      <c r="CM226" s="163">
        <f t="shared" si="79"/>
        <v>0</v>
      </c>
      <c r="CN226" s="163">
        <f t="shared" si="80"/>
        <v>0</v>
      </c>
      <c r="CO226" s="163">
        <f t="shared" si="81"/>
        <v>0</v>
      </c>
      <c r="CP226" s="163"/>
      <c r="CQ226" s="163">
        <f t="shared" si="82"/>
        <v>0</v>
      </c>
      <c r="CR226" s="163">
        <f t="shared" si="83"/>
        <v>0</v>
      </c>
      <c r="CS226" s="163">
        <f t="shared" si="84"/>
        <v>0</v>
      </c>
      <c r="CT226" s="163">
        <f t="shared" si="85"/>
        <v>0</v>
      </c>
      <c r="CU226" s="163">
        <f t="shared" si="86"/>
        <v>0</v>
      </c>
      <c r="CV226" s="163">
        <f t="shared" si="87"/>
        <v>0</v>
      </c>
      <c r="CY226" s="164" t="s">
        <v>45</v>
      </c>
      <c r="FN226" s="165">
        <f t="shared" si="52"/>
        <v>5.882352941176471</v>
      </c>
      <c r="FO226" s="166">
        <f t="shared" si="88"/>
        <v>0</v>
      </c>
      <c r="FP226" s="166">
        <f t="shared" si="89"/>
        <v>0</v>
      </c>
    </row>
    <row r="227" spans="1:172" ht="18" x14ac:dyDescent="0.25">
      <c r="A227" s="137">
        <v>11</v>
      </c>
      <c r="B227" s="138" t="s">
        <v>239</v>
      </c>
      <c r="C227" s="139" t="s">
        <v>240</v>
      </c>
      <c r="D227" s="140" t="s">
        <v>123</v>
      </c>
      <c r="E227" s="141" t="s">
        <v>100</v>
      </c>
      <c r="F227" s="142" t="s">
        <v>253</v>
      </c>
      <c r="G227" s="143"/>
      <c r="H227" s="144"/>
      <c r="I227" s="144"/>
      <c r="J227" s="144"/>
      <c r="K227" s="144"/>
      <c r="L227" s="144"/>
      <c r="M227" s="137">
        <f t="shared" si="53"/>
        <v>12.941176470588236</v>
      </c>
      <c r="N227" s="145" t="s">
        <v>9</v>
      </c>
      <c r="O227" s="184">
        <f t="shared" si="54"/>
        <v>12.941176470588236</v>
      </c>
      <c r="P227" s="147" t="str">
        <f t="shared" si="45"/>
        <v>pç</v>
      </c>
      <c r="Q227" s="147" t="str">
        <f t="shared" si="46"/>
        <v>/ dia</v>
      </c>
      <c r="R227" s="148">
        <v>2</v>
      </c>
      <c r="S227" s="149">
        <v>1</v>
      </c>
      <c r="T227" s="149">
        <f t="shared" si="47"/>
        <v>1</v>
      </c>
      <c r="U227" s="149">
        <f t="shared" si="48"/>
        <v>0</v>
      </c>
      <c r="V227" s="149">
        <f t="shared" si="55"/>
        <v>0</v>
      </c>
      <c r="W227" s="140" t="s">
        <v>18</v>
      </c>
      <c r="X227" s="150" t="s">
        <v>18</v>
      </c>
      <c r="Y227" s="151">
        <f t="shared" si="56"/>
        <v>0</v>
      </c>
      <c r="Z227" s="152">
        <f t="shared" si="49"/>
        <v>0.5</v>
      </c>
      <c r="AA227" s="153">
        <f t="shared" si="57"/>
        <v>0</v>
      </c>
      <c r="AB227" s="153">
        <f t="shared" si="58"/>
        <v>0</v>
      </c>
      <c r="AC227" s="154"/>
      <c r="AD227" s="155">
        <f t="shared" si="59"/>
        <v>0</v>
      </c>
      <c r="AE227" s="156">
        <f t="shared" si="60"/>
        <v>0</v>
      </c>
      <c r="AF227" s="157">
        <f t="shared" si="50"/>
        <v>0</v>
      </c>
      <c r="AG227" s="158" t="str">
        <f t="shared" si="51"/>
        <v>pç</v>
      </c>
      <c r="AH227" s="158">
        <f t="shared" si="61"/>
        <v>0</v>
      </c>
      <c r="AI227" s="159">
        <f t="shared" si="62"/>
        <v>0</v>
      </c>
      <c r="AJ227" s="160">
        <f t="shared" si="63"/>
        <v>0</v>
      </c>
      <c r="AL227" s="143"/>
      <c r="AM227" s="147" t="str">
        <f t="shared" si="64"/>
        <v>pç</v>
      </c>
      <c r="AN227" s="161"/>
      <c r="AO227" s="162"/>
      <c r="AP227" s="162"/>
      <c r="AQ227" s="140" t="s">
        <v>18</v>
      </c>
      <c r="AS227" s="143"/>
      <c r="AT227" s="147" t="str">
        <f t="shared" si="65"/>
        <v>pç</v>
      </c>
      <c r="AU227" s="161"/>
      <c r="AV227" s="162"/>
      <c r="AW227" s="162"/>
      <c r="AX227" s="140" t="s">
        <v>18</v>
      </c>
      <c r="AZ227" s="143"/>
      <c r="BA227" s="147" t="str">
        <f t="shared" si="66"/>
        <v>pç</v>
      </c>
      <c r="BB227" s="161"/>
      <c r="BC227" s="162"/>
      <c r="BD227" s="162"/>
      <c r="BE227" s="140" t="s">
        <v>18</v>
      </c>
      <c r="BG227" s="143"/>
      <c r="BH227" s="147" t="str">
        <f t="shared" si="67"/>
        <v>pç</v>
      </c>
      <c r="BI227" s="161"/>
      <c r="BJ227" s="162"/>
      <c r="BK227" s="162"/>
      <c r="BL227" s="140" t="s">
        <v>18</v>
      </c>
      <c r="BN227" s="143"/>
      <c r="BO227" s="147" t="str">
        <f t="shared" si="68"/>
        <v>pç</v>
      </c>
      <c r="BP227" s="161"/>
      <c r="BQ227" s="162"/>
      <c r="BR227" s="162"/>
      <c r="BS227" s="140" t="s">
        <v>18</v>
      </c>
      <c r="BU227" s="143"/>
      <c r="BV227" s="147" t="str">
        <f t="shared" si="69"/>
        <v>pç</v>
      </c>
      <c r="BW227" s="161"/>
      <c r="BX227" s="162"/>
      <c r="BY227" s="162"/>
      <c r="BZ227" s="140" t="s">
        <v>18</v>
      </c>
      <c r="CC227" s="163">
        <f t="shared" si="70"/>
        <v>0</v>
      </c>
      <c r="CD227" s="163">
        <f t="shared" si="71"/>
        <v>0</v>
      </c>
      <c r="CE227" s="163">
        <f t="shared" si="72"/>
        <v>0</v>
      </c>
      <c r="CF227" s="163">
        <f t="shared" si="73"/>
        <v>0</v>
      </c>
      <c r="CG227" s="163">
        <f t="shared" si="74"/>
        <v>0</v>
      </c>
      <c r="CH227" s="163">
        <f t="shared" si="75"/>
        <v>0</v>
      </c>
      <c r="CJ227" s="163">
        <f t="shared" si="76"/>
        <v>0</v>
      </c>
      <c r="CK227" s="163">
        <f t="shared" si="77"/>
        <v>0</v>
      </c>
      <c r="CL227" s="163">
        <f t="shared" si="78"/>
        <v>0</v>
      </c>
      <c r="CM227" s="163">
        <f t="shared" si="79"/>
        <v>0</v>
      </c>
      <c r="CN227" s="163">
        <f t="shared" si="80"/>
        <v>0</v>
      </c>
      <c r="CO227" s="163">
        <f t="shared" si="81"/>
        <v>0</v>
      </c>
      <c r="CP227" s="163"/>
      <c r="CQ227" s="163">
        <f t="shared" si="82"/>
        <v>0</v>
      </c>
      <c r="CR227" s="163">
        <f t="shared" si="83"/>
        <v>0</v>
      </c>
      <c r="CS227" s="163">
        <f t="shared" si="84"/>
        <v>0</v>
      </c>
      <c r="CT227" s="163">
        <f t="shared" si="85"/>
        <v>0</v>
      </c>
      <c r="CU227" s="163">
        <f t="shared" si="86"/>
        <v>0</v>
      </c>
      <c r="CV227" s="163">
        <f t="shared" si="87"/>
        <v>0</v>
      </c>
      <c r="CY227" s="164" t="s">
        <v>45</v>
      </c>
      <c r="FN227" s="165">
        <f t="shared" si="52"/>
        <v>12.941176470588236</v>
      </c>
      <c r="FO227" s="166">
        <f t="shared" si="88"/>
        <v>0</v>
      </c>
      <c r="FP227" s="166">
        <f t="shared" si="89"/>
        <v>0</v>
      </c>
    </row>
    <row r="228" spans="1:172" ht="18" x14ac:dyDescent="0.25">
      <c r="A228" s="167">
        <v>13</v>
      </c>
      <c r="B228" s="168" t="s">
        <v>239</v>
      </c>
      <c r="C228" s="169" t="s">
        <v>240</v>
      </c>
      <c r="D228" s="185" t="s">
        <v>123</v>
      </c>
      <c r="E228" s="170" t="s">
        <v>100</v>
      </c>
      <c r="F228" s="171" t="s">
        <v>254</v>
      </c>
      <c r="G228" s="143"/>
      <c r="H228" s="172"/>
      <c r="I228" s="172"/>
      <c r="J228" s="172"/>
      <c r="K228" s="172"/>
      <c r="L228" s="172"/>
      <c r="M228" s="137">
        <f t="shared" si="53"/>
        <v>15.294117647058824</v>
      </c>
      <c r="N228" s="173" t="s">
        <v>9</v>
      </c>
      <c r="O228" s="146">
        <f t="shared" si="54"/>
        <v>15.294117647058824</v>
      </c>
      <c r="P228" s="174" t="str">
        <f t="shared" si="45"/>
        <v>pç</v>
      </c>
      <c r="Q228" s="175" t="str">
        <f t="shared" si="46"/>
        <v>/ dia</v>
      </c>
      <c r="R228" s="176">
        <v>2</v>
      </c>
      <c r="S228" s="177">
        <v>1</v>
      </c>
      <c r="T228" s="177">
        <f t="shared" si="47"/>
        <v>1</v>
      </c>
      <c r="U228" s="149">
        <f t="shared" si="48"/>
        <v>0</v>
      </c>
      <c r="V228" s="149">
        <f t="shared" si="55"/>
        <v>0</v>
      </c>
      <c r="W228" s="140" t="s">
        <v>18</v>
      </c>
      <c r="X228" s="150" t="s">
        <v>18</v>
      </c>
      <c r="Y228" s="151">
        <f t="shared" si="56"/>
        <v>0</v>
      </c>
      <c r="Z228" s="178">
        <f t="shared" si="49"/>
        <v>0.5</v>
      </c>
      <c r="AA228" s="179">
        <f t="shared" si="57"/>
        <v>0</v>
      </c>
      <c r="AB228" s="179">
        <f t="shared" si="58"/>
        <v>0</v>
      </c>
      <c r="AC228" s="180"/>
      <c r="AD228" s="155">
        <f t="shared" si="59"/>
        <v>0</v>
      </c>
      <c r="AE228" s="156">
        <f t="shared" si="60"/>
        <v>0</v>
      </c>
      <c r="AF228" s="157">
        <f t="shared" si="50"/>
        <v>0</v>
      </c>
      <c r="AG228" s="158" t="str">
        <f t="shared" si="51"/>
        <v>pç</v>
      </c>
      <c r="AH228" s="158">
        <f t="shared" si="61"/>
        <v>0</v>
      </c>
      <c r="AI228" s="159">
        <f t="shared" si="62"/>
        <v>0</v>
      </c>
      <c r="AJ228" s="160">
        <f t="shared" si="63"/>
        <v>0</v>
      </c>
      <c r="AL228" s="143"/>
      <c r="AM228" s="147" t="str">
        <f t="shared" si="64"/>
        <v>pç</v>
      </c>
      <c r="AN228" s="161"/>
      <c r="AO228" s="182"/>
      <c r="AP228" s="182"/>
      <c r="AQ228" s="183" t="s">
        <v>18</v>
      </c>
      <c r="AS228" s="143"/>
      <c r="AT228" s="147" t="str">
        <f t="shared" si="65"/>
        <v>pç</v>
      </c>
      <c r="AU228" s="161"/>
      <c r="AV228" s="182"/>
      <c r="AW228" s="182"/>
      <c r="AX228" s="183" t="s">
        <v>18</v>
      </c>
      <c r="AZ228" s="143"/>
      <c r="BA228" s="147" t="str">
        <f t="shared" si="66"/>
        <v>pç</v>
      </c>
      <c r="BB228" s="161"/>
      <c r="BC228" s="182"/>
      <c r="BD228" s="182"/>
      <c r="BE228" s="183" t="s">
        <v>18</v>
      </c>
      <c r="BG228" s="143"/>
      <c r="BH228" s="147" t="str">
        <f t="shared" si="67"/>
        <v>pç</v>
      </c>
      <c r="BI228" s="161"/>
      <c r="BJ228" s="182"/>
      <c r="BK228" s="182"/>
      <c r="BL228" s="183" t="s">
        <v>18</v>
      </c>
      <c r="BN228" s="143"/>
      <c r="BO228" s="147" t="str">
        <f t="shared" si="68"/>
        <v>pç</v>
      </c>
      <c r="BP228" s="161"/>
      <c r="BQ228" s="182"/>
      <c r="BR228" s="182"/>
      <c r="BS228" s="183" t="s">
        <v>18</v>
      </c>
      <c r="BU228" s="143"/>
      <c r="BV228" s="147" t="str">
        <f t="shared" si="69"/>
        <v>pç</v>
      </c>
      <c r="BW228" s="161"/>
      <c r="BX228" s="182"/>
      <c r="BY228" s="182"/>
      <c r="BZ228" s="183" t="s">
        <v>18</v>
      </c>
      <c r="CC228" s="163">
        <f t="shared" si="70"/>
        <v>0</v>
      </c>
      <c r="CD228" s="163">
        <f t="shared" si="71"/>
        <v>0</v>
      </c>
      <c r="CE228" s="163">
        <f t="shared" si="72"/>
        <v>0</v>
      </c>
      <c r="CF228" s="163">
        <f t="shared" si="73"/>
        <v>0</v>
      </c>
      <c r="CG228" s="163">
        <f t="shared" si="74"/>
        <v>0</v>
      </c>
      <c r="CH228" s="163">
        <f t="shared" si="75"/>
        <v>0</v>
      </c>
      <c r="CJ228" s="163">
        <f t="shared" si="76"/>
        <v>0</v>
      </c>
      <c r="CK228" s="163">
        <f t="shared" si="77"/>
        <v>0</v>
      </c>
      <c r="CL228" s="163">
        <f t="shared" si="78"/>
        <v>0</v>
      </c>
      <c r="CM228" s="163">
        <f t="shared" si="79"/>
        <v>0</v>
      </c>
      <c r="CN228" s="163">
        <f t="shared" si="80"/>
        <v>0</v>
      </c>
      <c r="CO228" s="163">
        <f t="shared" si="81"/>
        <v>0</v>
      </c>
      <c r="CP228" s="163"/>
      <c r="CQ228" s="163">
        <f t="shared" si="82"/>
        <v>0</v>
      </c>
      <c r="CR228" s="163">
        <f t="shared" si="83"/>
        <v>0</v>
      </c>
      <c r="CS228" s="163">
        <f t="shared" si="84"/>
        <v>0</v>
      </c>
      <c r="CT228" s="163">
        <f t="shared" si="85"/>
        <v>0</v>
      </c>
      <c r="CU228" s="163">
        <f t="shared" si="86"/>
        <v>0</v>
      </c>
      <c r="CV228" s="163">
        <f t="shared" si="87"/>
        <v>0</v>
      </c>
      <c r="CY228" s="164" t="s">
        <v>45</v>
      </c>
      <c r="FN228" s="165">
        <f t="shared" si="52"/>
        <v>15.294117647058824</v>
      </c>
      <c r="FO228" s="166">
        <f t="shared" si="88"/>
        <v>0</v>
      </c>
      <c r="FP228" s="166">
        <f t="shared" si="89"/>
        <v>0</v>
      </c>
    </row>
    <row r="229" spans="1:172" ht="22.5" x14ac:dyDescent="0.25">
      <c r="A229" s="137">
        <v>13</v>
      </c>
      <c r="B229" s="138" t="s">
        <v>239</v>
      </c>
      <c r="C229" s="139" t="s">
        <v>240</v>
      </c>
      <c r="D229" s="140" t="s">
        <v>123</v>
      </c>
      <c r="E229" s="141" t="s">
        <v>100</v>
      </c>
      <c r="F229" s="142" t="s">
        <v>255</v>
      </c>
      <c r="G229" s="143"/>
      <c r="H229" s="144"/>
      <c r="I229" s="144"/>
      <c r="J229" s="144"/>
      <c r="K229" s="144"/>
      <c r="L229" s="144"/>
      <c r="M229" s="137">
        <f t="shared" si="53"/>
        <v>15.294117647058824</v>
      </c>
      <c r="N229" s="145" t="s">
        <v>9</v>
      </c>
      <c r="O229" s="184">
        <f t="shared" si="54"/>
        <v>15.294117647058824</v>
      </c>
      <c r="P229" s="147" t="str">
        <f t="shared" si="45"/>
        <v>pç</v>
      </c>
      <c r="Q229" s="147" t="str">
        <f t="shared" si="46"/>
        <v>/ dia</v>
      </c>
      <c r="R229" s="148">
        <v>2</v>
      </c>
      <c r="S229" s="149">
        <v>1</v>
      </c>
      <c r="T229" s="149">
        <f t="shared" si="47"/>
        <v>1</v>
      </c>
      <c r="U229" s="149">
        <f t="shared" si="48"/>
        <v>0</v>
      </c>
      <c r="V229" s="149">
        <f t="shared" si="55"/>
        <v>0</v>
      </c>
      <c r="W229" s="140" t="s">
        <v>18</v>
      </c>
      <c r="X229" s="150" t="s">
        <v>18</v>
      </c>
      <c r="Y229" s="151">
        <f t="shared" si="56"/>
        <v>0</v>
      </c>
      <c r="Z229" s="152">
        <f t="shared" si="49"/>
        <v>0.5</v>
      </c>
      <c r="AA229" s="153">
        <f t="shared" si="57"/>
        <v>0</v>
      </c>
      <c r="AB229" s="153">
        <f t="shared" si="58"/>
        <v>0</v>
      </c>
      <c r="AC229" s="154"/>
      <c r="AD229" s="155">
        <f t="shared" si="59"/>
        <v>0</v>
      </c>
      <c r="AE229" s="156">
        <f t="shared" si="60"/>
        <v>0</v>
      </c>
      <c r="AF229" s="157">
        <f t="shared" si="50"/>
        <v>0</v>
      </c>
      <c r="AG229" s="158" t="str">
        <f t="shared" si="51"/>
        <v>pç</v>
      </c>
      <c r="AH229" s="158">
        <f t="shared" si="61"/>
        <v>0</v>
      </c>
      <c r="AI229" s="159">
        <f t="shared" si="62"/>
        <v>0</v>
      </c>
      <c r="AJ229" s="160">
        <f t="shared" si="63"/>
        <v>0</v>
      </c>
      <c r="AL229" s="143"/>
      <c r="AM229" s="147" t="str">
        <f t="shared" si="64"/>
        <v>pç</v>
      </c>
      <c r="AN229" s="161"/>
      <c r="AO229" s="162"/>
      <c r="AP229" s="162"/>
      <c r="AQ229" s="140" t="s">
        <v>18</v>
      </c>
      <c r="AS229" s="143"/>
      <c r="AT229" s="147" t="str">
        <f t="shared" si="65"/>
        <v>pç</v>
      </c>
      <c r="AU229" s="161"/>
      <c r="AV229" s="162"/>
      <c r="AW229" s="162"/>
      <c r="AX229" s="140" t="s">
        <v>18</v>
      </c>
      <c r="AZ229" s="143"/>
      <c r="BA229" s="147" t="str">
        <f t="shared" si="66"/>
        <v>pç</v>
      </c>
      <c r="BB229" s="161"/>
      <c r="BC229" s="162"/>
      <c r="BD229" s="162"/>
      <c r="BE229" s="140" t="s">
        <v>18</v>
      </c>
      <c r="BG229" s="143"/>
      <c r="BH229" s="147" t="str">
        <f t="shared" si="67"/>
        <v>pç</v>
      </c>
      <c r="BI229" s="161"/>
      <c r="BJ229" s="162"/>
      <c r="BK229" s="162"/>
      <c r="BL229" s="140" t="s">
        <v>18</v>
      </c>
      <c r="BN229" s="143"/>
      <c r="BO229" s="147" t="str">
        <f t="shared" si="68"/>
        <v>pç</v>
      </c>
      <c r="BP229" s="161"/>
      <c r="BQ229" s="162"/>
      <c r="BR229" s="162"/>
      <c r="BS229" s="140" t="s">
        <v>18</v>
      </c>
      <c r="BU229" s="143"/>
      <c r="BV229" s="147" t="str">
        <f t="shared" si="69"/>
        <v>pç</v>
      </c>
      <c r="BW229" s="161"/>
      <c r="BX229" s="162"/>
      <c r="BY229" s="162"/>
      <c r="BZ229" s="140" t="s">
        <v>18</v>
      </c>
      <c r="CC229" s="163">
        <f t="shared" si="70"/>
        <v>0</v>
      </c>
      <c r="CD229" s="163">
        <f t="shared" si="71"/>
        <v>0</v>
      </c>
      <c r="CE229" s="163">
        <f t="shared" si="72"/>
        <v>0</v>
      </c>
      <c r="CF229" s="163">
        <f t="shared" si="73"/>
        <v>0</v>
      </c>
      <c r="CG229" s="163">
        <f t="shared" si="74"/>
        <v>0</v>
      </c>
      <c r="CH229" s="163">
        <f t="shared" si="75"/>
        <v>0</v>
      </c>
      <c r="CJ229" s="163">
        <f t="shared" si="76"/>
        <v>0</v>
      </c>
      <c r="CK229" s="163">
        <f t="shared" si="77"/>
        <v>0</v>
      </c>
      <c r="CL229" s="163">
        <f t="shared" si="78"/>
        <v>0</v>
      </c>
      <c r="CM229" s="163">
        <f t="shared" si="79"/>
        <v>0</v>
      </c>
      <c r="CN229" s="163">
        <f t="shared" si="80"/>
        <v>0</v>
      </c>
      <c r="CO229" s="163">
        <f t="shared" si="81"/>
        <v>0</v>
      </c>
      <c r="CP229" s="163"/>
      <c r="CQ229" s="163">
        <f t="shared" si="82"/>
        <v>0</v>
      </c>
      <c r="CR229" s="163">
        <f t="shared" si="83"/>
        <v>0</v>
      </c>
      <c r="CS229" s="163">
        <f t="shared" si="84"/>
        <v>0</v>
      </c>
      <c r="CT229" s="163">
        <f t="shared" si="85"/>
        <v>0</v>
      </c>
      <c r="CU229" s="163">
        <f t="shared" si="86"/>
        <v>0</v>
      </c>
      <c r="CV229" s="163">
        <f t="shared" si="87"/>
        <v>0</v>
      </c>
      <c r="CY229" s="164" t="s">
        <v>45</v>
      </c>
      <c r="FN229" s="165">
        <f t="shared" si="52"/>
        <v>15.294117647058824</v>
      </c>
      <c r="FO229" s="166">
        <f t="shared" si="88"/>
        <v>0</v>
      </c>
      <c r="FP229" s="166">
        <f t="shared" si="89"/>
        <v>0</v>
      </c>
    </row>
    <row r="230" spans="1:172" ht="18" x14ac:dyDescent="0.25">
      <c r="A230" s="167">
        <v>30</v>
      </c>
      <c r="B230" s="168" t="s">
        <v>239</v>
      </c>
      <c r="C230" s="169"/>
      <c r="D230" s="140" t="s">
        <v>99</v>
      </c>
      <c r="E230" s="170" t="s">
        <v>100</v>
      </c>
      <c r="F230" s="171" t="s">
        <v>256</v>
      </c>
      <c r="G230" s="143"/>
      <c r="H230" s="172"/>
      <c r="I230" s="172"/>
      <c r="J230" s="172"/>
      <c r="K230" s="172"/>
      <c r="L230" s="172"/>
      <c r="M230" s="137">
        <f t="shared" si="53"/>
        <v>35.294117647058826</v>
      </c>
      <c r="N230" s="173" t="s">
        <v>9</v>
      </c>
      <c r="O230" s="146">
        <f t="shared" si="54"/>
        <v>35.294117647058826</v>
      </c>
      <c r="P230" s="174" t="str">
        <f t="shared" si="45"/>
        <v>pç</v>
      </c>
      <c r="Q230" s="175" t="str">
        <f t="shared" si="46"/>
        <v>/ dia</v>
      </c>
      <c r="R230" s="176">
        <v>2</v>
      </c>
      <c r="S230" s="177">
        <v>1</v>
      </c>
      <c r="T230" s="177">
        <f t="shared" si="47"/>
        <v>1</v>
      </c>
      <c r="U230" s="149">
        <f t="shared" si="48"/>
        <v>0</v>
      </c>
      <c r="V230" s="149">
        <f t="shared" si="55"/>
        <v>0</v>
      </c>
      <c r="W230" s="140" t="s">
        <v>18</v>
      </c>
      <c r="X230" s="150" t="s">
        <v>18</v>
      </c>
      <c r="Y230" s="151">
        <f t="shared" si="56"/>
        <v>0</v>
      </c>
      <c r="Z230" s="178">
        <f t="shared" si="49"/>
        <v>0.5</v>
      </c>
      <c r="AA230" s="179">
        <f t="shared" si="57"/>
        <v>0</v>
      </c>
      <c r="AB230" s="179">
        <f t="shared" si="58"/>
        <v>0</v>
      </c>
      <c r="AC230" s="180"/>
      <c r="AD230" s="155">
        <f t="shared" si="59"/>
        <v>0</v>
      </c>
      <c r="AE230" s="156">
        <f t="shared" si="60"/>
        <v>0</v>
      </c>
      <c r="AF230" s="157">
        <f t="shared" si="50"/>
        <v>0</v>
      </c>
      <c r="AG230" s="158" t="str">
        <f t="shared" si="51"/>
        <v>pç</v>
      </c>
      <c r="AH230" s="158">
        <f t="shared" si="61"/>
        <v>0</v>
      </c>
      <c r="AI230" s="159">
        <f t="shared" si="62"/>
        <v>0</v>
      </c>
      <c r="AJ230" s="160">
        <f t="shared" si="63"/>
        <v>0</v>
      </c>
      <c r="AL230" s="143"/>
      <c r="AM230" s="147" t="str">
        <f t="shared" si="64"/>
        <v>pç</v>
      </c>
      <c r="AN230" s="161"/>
      <c r="AO230" s="182"/>
      <c r="AP230" s="182"/>
      <c r="AQ230" s="183" t="s">
        <v>18</v>
      </c>
      <c r="AS230" s="143"/>
      <c r="AT230" s="147" t="str">
        <f t="shared" si="65"/>
        <v>pç</v>
      </c>
      <c r="AU230" s="161"/>
      <c r="AV230" s="182"/>
      <c r="AW230" s="182"/>
      <c r="AX230" s="183" t="s">
        <v>18</v>
      </c>
      <c r="AZ230" s="143"/>
      <c r="BA230" s="147" t="str">
        <f t="shared" si="66"/>
        <v>pç</v>
      </c>
      <c r="BB230" s="161"/>
      <c r="BC230" s="182"/>
      <c r="BD230" s="182"/>
      <c r="BE230" s="183" t="s">
        <v>18</v>
      </c>
      <c r="BG230" s="143"/>
      <c r="BH230" s="147" t="str">
        <f t="shared" si="67"/>
        <v>pç</v>
      </c>
      <c r="BI230" s="161"/>
      <c r="BJ230" s="182"/>
      <c r="BK230" s="182"/>
      <c r="BL230" s="183" t="s">
        <v>18</v>
      </c>
      <c r="BN230" s="143"/>
      <c r="BO230" s="147" t="str">
        <f t="shared" si="68"/>
        <v>pç</v>
      </c>
      <c r="BP230" s="161"/>
      <c r="BQ230" s="182"/>
      <c r="BR230" s="182"/>
      <c r="BS230" s="183" t="s">
        <v>18</v>
      </c>
      <c r="BU230" s="143"/>
      <c r="BV230" s="147" t="str">
        <f t="shared" si="69"/>
        <v>pç</v>
      </c>
      <c r="BW230" s="161"/>
      <c r="BX230" s="182"/>
      <c r="BY230" s="182"/>
      <c r="BZ230" s="183" t="s">
        <v>18</v>
      </c>
      <c r="CC230" s="163">
        <f t="shared" si="70"/>
        <v>0</v>
      </c>
      <c r="CD230" s="163">
        <f t="shared" si="71"/>
        <v>0</v>
      </c>
      <c r="CE230" s="163">
        <f t="shared" si="72"/>
        <v>0</v>
      </c>
      <c r="CF230" s="163">
        <f t="shared" si="73"/>
        <v>0</v>
      </c>
      <c r="CG230" s="163">
        <f t="shared" si="74"/>
        <v>0</v>
      </c>
      <c r="CH230" s="163">
        <f t="shared" si="75"/>
        <v>0</v>
      </c>
      <c r="CJ230" s="163">
        <f t="shared" si="76"/>
        <v>0</v>
      </c>
      <c r="CK230" s="163">
        <f t="shared" si="77"/>
        <v>0</v>
      </c>
      <c r="CL230" s="163">
        <f t="shared" si="78"/>
        <v>0</v>
      </c>
      <c r="CM230" s="163">
        <f t="shared" si="79"/>
        <v>0</v>
      </c>
      <c r="CN230" s="163">
        <f t="shared" si="80"/>
        <v>0</v>
      </c>
      <c r="CO230" s="163">
        <f t="shared" si="81"/>
        <v>0</v>
      </c>
      <c r="CP230" s="163"/>
      <c r="CQ230" s="163">
        <f t="shared" si="82"/>
        <v>0</v>
      </c>
      <c r="CR230" s="163">
        <f t="shared" si="83"/>
        <v>0</v>
      </c>
      <c r="CS230" s="163">
        <f t="shared" si="84"/>
        <v>0</v>
      </c>
      <c r="CT230" s="163">
        <f t="shared" si="85"/>
        <v>0</v>
      </c>
      <c r="CU230" s="163">
        <f t="shared" si="86"/>
        <v>0</v>
      </c>
      <c r="CV230" s="163">
        <f t="shared" si="87"/>
        <v>0</v>
      </c>
      <c r="CY230" s="164" t="s">
        <v>45</v>
      </c>
      <c r="FN230" s="165">
        <f t="shared" si="52"/>
        <v>35.294117647058826</v>
      </c>
      <c r="FO230" s="166">
        <f t="shared" si="88"/>
        <v>0</v>
      </c>
      <c r="FP230" s="166">
        <f t="shared" si="89"/>
        <v>0</v>
      </c>
    </row>
    <row r="231" spans="1:172" ht="18" x14ac:dyDescent="0.25">
      <c r="A231" s="137">
        <v>33.875</v>
      </c>
      <c r="B231" s="138" t="s">
        <v>239</v>
      </c>
      <c r="C231" s="139"/>
      <c r="D231" s="185" t="s">
        <v>99</v>
      </c>
      <c r="E231" s="141" t="s">
        <v>100</v>
      </c>
      <c r="F231" s="142" t="s">
        <v>257</v>
      </c>
      <c r="G231" s="143"/>
      <c r="H231" s="144"/>
      <c r="I231" s="144"/>
      <c r="J231" s="144"/>
      <c r="K231" s="144"/>
      <c r="L231" s="144"/>
      <c r="M231" s="137">
        <f t="shared" si="53"/>
        <v>39.852941176470587</v>
      </c>
      <c r="N231" s="145" t="s">
        <v>9</v>
      </c>
      <c r="O231" s="184">
        <f t="shared" si="54"/>
        <v>39.852941176470587</v>
      </c>
      <c r="P231" s="147" t="str">
        <f t="shared" si="45"/>
        <v>pç</v>
      </c>
      <c r="Q231" s="147" t="str">
        <f t="shared" si="46"/>
        <v>/ dia</v>
      </c>
      <c r="R231" s="148">
        <v>2</v>
      </c>
      <c r="S231" s="149">
        <v>1</v>
      </c>
      <c r="T231" s="149">
        <f t="shared" si="47"/>
        <v>1</v>
      </c>
      <c r="U231" s="149">
        <f t="shared" si="48"/>
        <v>0</v>
      </c>
      <c r="V231" s="149">
        <f t="shared" si="55"/>
        <v>0</v>
      </c>
      <c r="W231" s="140" t="s">
        <v>18</v>
      </c>
      <c r="X231" s="150" t="s">
        <v>18</v>
      </c>
      <c r="Y231" s="151">
        <f t="shared" si="56"/>
        <v>0</v>
      </c>
      <c r="Z231" s="152">
        <f t="shared" si="49"/>
        <v>0.5</v>
      </c>
      <c r="AA231" s="153">
        <f t="shared" si="57"/>
        <v>0</v>
      </c>
      <c r="AB231" s="153">
        <f t="shared" si="58"/>
        <v>0</v>
      </c>
      <c r="AC231" s="154"/>
      <c r="AD231" s="155">
        <f t="shared" si="59"/>
        <v>0</v>
      </c>
      <c r="AE231" s="156">
        <f t="shared" si="60"/>
        <v>0</v>
      </c>
      <c r="AF231" s="157">
        <f t="shared" si="50"/>
        <v>0</v>
      </c>
      <c r="AG231" s="158" t="str">
        <f t="shared" si="51"/>
        <v>pç</v>
      </c>
      <c r="AH231" s="158">
        <f t="shared" si="61"/>
        <v>0</v>
      </c>
      <c r="AI231" s="159">
        <f t="shared" si="62"/>
        <v>0</v>
      </c>
      <c r="AJ231" s="160">
        <f t="shared" si="63"/>
        <v>0</v>
      </c>
      <c r="AL231" s="143"/>
      <c r="AM231" s="147" t="str">
        <f t="shared" si="64"/>
        <v>pç</v>
      </c>
      <c r="AN231" s="161"/>
      <c r="AO231" s="162"/>
      <c r="AP231" s="162"/>
      <c r="AQ231" s="140" t="s">
        <v>18</v>
      </c>
      <c r="AS231" s="143"/>
      <c r="AT231" s="147" t="str">
        <f t="shared" si="65"/>
        <v>pç</v>
      </c>
      <c r="AU231" s="161"/>
      <c r="AV231" s="162"/>
      <c r="AW231" s="162"/>
      <c r="AX231" s="140" t="s">
        <v>18</v>
      </c>
      <c r="AZ231" s="143"/>
      <c r="BA231" s="147" t="str">
        <f t="shared" si="66"/>
        <v>pç</v>
      </c>
      <c r="BB231" s="161"/>
      <c r="BC231" s="162"/>
      <c r="BD231" s="162"/>
      <c r="BE231" s="140" t="s">
        <v>18</v>
      </c>
      <c r="BG231" s="143"/>
      <c r="BH231" s="147" t="str">
        <f t="shared" si="67"/>
        <v>pç</v>
      </c>
      <c r="BI231" s="161"/>
      <c r="BJ231" s="162"/>
      <c r="BK231" s="162"/>
      <c r="BL231" s="140" t="s">
        <v>18</v>
      </c>
      <c r="BN231" s="143"/>
      <c r="BO231" s="147" t="str">
        <f t="shared" si="68"/>
        <v>pç</v>
      </c>
      <c r="BP231" s="161"/>
      <c r="BQ231" s="162"/>
      <c r="BR231" s="162"/>
      <c r="BS231" s="140" t="s">
        <v>18</v>
      </c>
      <c r="BU231" s="143"/>
      <c r="BV231" s="147" t="str">
        <f t="shared" si="69"/>
        <v>pç</v>
      </c>
      <c r="BW231" s="161"/>
      <c r="BX231" s="162"/>
      <c r="BY231" s="162"/>
      <c r="BZ231" s="140" t="s">
        <v>18</v>
      </c>
      <c r="CC231" s="163">
        <f t="shared" si="70"/>
        <v>0</v>
      </c>
      <c r="CD231" s="163">
        <f t="shared" si="71"/>
        <v>0</v>
      </c>
      <c r="CE231" s="163">
        <f t="shared" si="72"/>
        <v>0</v>
      </c>
      <c r="CF231" s="163">
        <f t="shared" si="73"/>
        <v>0</v>
      </c>
      <c r="CG231" s="163">
        <f t="shared" si="74"/>
        <v>0</v>
      </c>
      <c r="CH231" s="163">
        <f t="shared" si="75"/>
        <v>0</v>
      </c>
      <c r="CJ231" s="163">
        <f t="shared" si="76"/>
        <v>0</v>
      </c>
      <c r="CK231" s="163">
        <f t="shared" si="77"/>
        <v>0</v>
      </c>
      <c r="CL231" s="163">
        <f t="shared" si="78"/>
        <v>0</v>
      </c>
      <c r="CM231" s="163">
        <f t="shared" si="79"/>
        <v>0</v>
      </c>
      <c r="CN231" s="163">
        <f t="shared" si="80"/>
        <v>0</v>
      </c>
      <c r="CO231" s="163">
        <f t="shared" si="81"/>
        <v>0</v>
      </c>
      <c r="CP231" s="163"/>
      <c r="CQ231" s="163">
        <f t="shared" si="82"/>
        <v>0</v>
      </c>
      <c r="CR231" s="163">
        <f t="shared" si="83"/>
        <v>0</v>
      </c>
      <c r="CS231" s="163">
        <f t="shared" si="84"/>
        <v>0</v>
      </c>
      <c r="CT231" s="163">
        <f t="shared" si="85"/>
        <v>0</v>
      </c>
      <c r="CU231" s="163">
        <f t="shared" si="86"/>
        <v>0</v>
      </c>
      <c r="CV231" s="163">
        <f t="shared" si="87"/>
        <v>0</v>
      </c>
      <c r="CY231" s="164" t="s">
        <v>45</v>
      </c>
      <c r="FN231" s="165">
        <f t="shared" si="52"/>
        <v>39.852941176470587</v>
      </c>
      <c r="FO231" s="166">
        <f t="shared" si="88"/>
        <v>0</v>
      </c>
      <c r="FP231" s="166">
        <f t="shared" si="89"/>
        <v>0</v>
      </c>
    </row>
    <row r="232" spans="1:172" ht="18" x14ac:dyDescent="0.25">
      <c r="A232" s="167">
        <v>14.444444444444445</v>
      </c>
      <c r="B232" s="168" t="s">
        <v>239</v>
      </c>
      <c r="C232" s="169" t="s">
        <v>258</v>
      </c>
      <c r="D232" s="140" t="s">
        <v>99</v>
      </c>
      <c r="E232" s="170" t="s">
        <v>100</v>
      </c>
      <c r="F232" s="171" t="s">
        <v>259</v>
      </c>
      <c r="G232" s="143"/>
      <c r="H232" s="172"/>
      <c r="I232" s="172"/>
      <c r="J232" s="172"/>
      <c r="K232" s="172"/>
      <c r="L232" s="172"/>
      <c r="M232" s="137">
        <f t="shared" si="53"/>
        <v>16.993464052287582</v>
      </c>
      <c r="N232" s="173" t="s">
        <v>9</v>
      </c>
      <c r="O232" s="146">
        <f t="shared" si="54"/>
        <v>16.993464052287582</v>
      </c>
      <c r="P232" s="174" t="str">
        <f t="shared" si="45"/>
        <v>pç</v>
      </c>
      <c r="Q232" s="175" t="str">
        <f t="shared" si="46"/>
        <v>/ dia</v>
      </c>
      <c r="R232" s="176">
        <v>2</v>
      </c>
      <c r="S232" s="177">
        <v>1</v>
      </c>
      <c r="T232" s="177">
        <f t="shared" si="47"/>
        <v>1</v>
      </c>
      <c r="U232" s="149">
        <f t="shared" si="48"/>
        <v>0</v>
      </c>
      <c r="V232" s="149">
        <f t="shared" si="55"/>
        <v>0</v>
      </c>
      <c r="W232" s="140" t="s">
        <v>18</v>
      </c>
      <c r="X232" s="150" t="s">
        <v>18</v>
      </c>
      <c r="Y232" s="151">
        <f t="shared" si="56"/>
        <v>0</v>
      </c>
      <c r="Z232" s="178">
        <f t="shared" si="49"/>
        <v>0.5</v>
      </c>
      <c r="AA232" s="179">
        <f t="shared" si="57"/>
        <v>0</v>
      </c>
      <c r="AB232" s="179">
        <f t="shared" si="58"/>
        <v>0</v>
      </c>
      <c r="AC232" s="180"/>
      <c r="AD232" s="155">
        <f t="shared" si="59"/>
        <v>0</v>
      </c>
      <c r="AE232" s="156">
        <f t="shared" si="60"/>
        <v>0</v>
      </c>
      <c r="AF232" s="157">
        <f t="shared" si="50"/>
        <v>0</v>
      </c>
      <c r="AG232" s="158" t="str">
        <f t="shared" si="51"/>
        <v>pç</v>
      </c>
      <c r="AH232" s="158">
        <f t="shared" si="61"/>
        <v>0</v>
      </c>
      <c r="AI232" s="159">
        <f t="shared" si="62"/>
        <v>0</v>
      </c>
      <c r="AJ232" s="160">
        <f t="shared" si="63"/>
        <v>0</v>
      </c>
      <c r="AL232" s="143"/>
      <c r="AM232" s="147" t="str">
        <f t="shared" si="64"/>
        <v>pç</v>
      </c>
      <c r="AN232" s="161"/>
      <c r="AO232" s="182"/>
      <c r="AP232" s="182"/>
      <c r="AQ232" s="183" t="s">
        <v>18</v>
      </c>
      <c r="AS232" s="143"/>
      <c r="AT232" s="147" t="str">
        <f t="shared" si="65"/>
        <v>pç</v>
      </c>
      <c r="AU232" s="161"/>
      <c r="AV232" s="182"/>
      <c r="AW232" s="182"/>
      <c r="AX232" s="183" t="s">
        <v>18</v>
      </c>
      <c r="AZ232" s="143"/>
      <c r="BA232" s="147" t="str">
        <f t="shared" si="66"/>
        <v>pç</v>
      </c>
      <c r="BB232" s="161"/>
      <c r="BC232" s="182"/>
      <c r="BD232" s="182"/>
      <c r="BE232" s="183" t="s">
        <v>18</v>
      </c>
      <c r="BG232" s="143"/>
      <c r="BH232" s="147" t="str">
        <f t="shared" si="67"/>
        <v>pç</v>
      </c>
      <c r="BI232" s="161"/>
      <c r="BJ232" s="182"/>
      <c r="BK232" s="182"/>
      <c r="BL232" s="183" t="s">
        <v>18</v>
      </c>
      <c r="BN232" s="143"/>
      <c r="BO232" s="147" t="str">
        <f t="shared" si="68"/>
        <v>pç</v>
      </c>
      <c r="BP232" s="161"/>
      <c r="BQ232" s="182"/>
      <c r="BR232" s="182"/>
      <c r="BS232" s="183" t="s">
        <v>18</v>
      </c>
      <c r="BU232" s="143"/>
      <c r="BV232" s="147" t="str">
        <f t="shared" si="69"/>
        <v>pç</v>
      </c>
      <c r="BW232" s="161"/>
      <c r="BX232" s="182"/>
      <c r="BY232" s="182"/>
      <c r="BZ232" s="183" t="s">
        <v>18</v>
      </c>
      <c r="CC232" s="163">
        <f t="shared" si="70"/>
        <v>0</v>
      </c>
      <c r="CD232" s="163">
        <f t="shared" si="71"/>
        <v>0</v>
      </c>
      <c r="CE232" s="163">
        <f t="shared" si="72"/>
        <v>0</v>
      </c>
      <c r="CF232" s="163">
        <f t="shared" si="73"/>
        <v>0</v>
      </c>
      <c r="CG232" s="163">
        <f t="shared" si="74"/>
        <v>0</v>
      </c>
      <c r="CH232" s="163">
        <f t="shared" si="75"/>
        <v>0</v>
      </c>
      <c r="CJ232" s="163">
        <f t="shared" si="76"/>
        <v>0</v>
      </c>
      <c r="CK232" s="163">
        <f t="shared" si="77"/>
        <v>0</v>
      </c>
      <c r="CL232" s="163">
        <f t="shared" si="78"/>
        <v>0</v>
      </c>
      <c r="CM232" s="163">
        <f t="shared" si="79"/>
        <v>0</v>
      </c>
      <c r="CN232" s="163">
        <f t="shared" si="80"/>
        <v>0</v>
      </c>
      <c r="CO232" s="163">
        <f t="shared" si="81"/>
        <v>0</v>
      </c>
      <c r="CP232" s="163"/>
      <c r="CQ232" s="163">
        <f t="shared" si="82"/>
        <v>0</v>
      </c>
      <c r="CR232" s="163">
        <f t="shared" si="83"/>
        <v>0</v>
      </c>
      <c r="CS232" s="163">
        <f t="shared" si="84"/>
        <v>0</v>
      </c>
      <c r="CT232" s="163">
        <f t="shared" si="85"/>
        <v>0</v>
      </c>
      <c r="CU232" s="163">
        <f t="shared" si="86"/>
        <v>0</v>
      </c>
      <c r="CV232" s="163">
        <f t="shared" si="87"/>
        <v>0</v>
      </c>
      <c r="CY232" s="164" t="s">
        <v>45</v>
      </c>
      <c r="FN232" s="165">
        <f t="shared" si="52"/>
        <v>16.993464052287582</v>
      </c>
      <c r="FO232" s="166">
        <f t="shared" si="88"/>
        <v>0</v>
      </c>
      <c r="FP232" s="166">
        <f t="shared" si="89"/>
        <v>0</v>
      </c>
    </row>
    <row r="233" spans="1:172" ht="18" x14ac:dyDescent="0.25">
      <c r="A233" s="137">
        <v>6</v>
      </c>
      <c r="B233" s="138" t="s">
        <v>260</v>
      </c>
      <c r="C233" s="139" t="s">
        <v>261</v>
      </c>
      <c r="D233" s="185" t="s">
        <v>99</v>
      </c>
      <c r="E233" s="141" t="s">
        <v>100</v>
      </c>
      <c r="F233" s="142" t="s">
        <v>262</v>
      </c>
      <c r="G233" s="143"/>
      <c r="H233" s="144"/>
      <c r="I233" s="144"/>
      <c r="J233" s="144"/>
      <c r="K233" s="144"/>
      <c r="L233" s="144"/>
      <c r="M233" s="137">
        <f t="shared" si="53"/>
        <v>7.0588235294117645</v>
      </c>
      <c r="N233" s="145" t="s">
        <v>9</v>
      </c>
      <c r="O233" s="184">
        <f t="shared" si="54"/>
        <v>7.0588235294117645</v>
      </c>
      <c r="P233" s="147" t="str">
        <f t="shared" si="45"/>
        <v>pç</v>
      </c>
      <c r="Q233" s="147" t="str">
        <f t="shared" si="46"/>
        <v>/ dia</v>
      </c>
      <c r="R233" s="148">
        <v>1</v>
      </c>
      <c r="S233" s="149">
        <v>0</v>
      </c>
      <c r="T233" s="149">
        <f t="shared" si="47"/>
        <v>1</v>
      </c>
      <c r="U233" s="149">
        <f t="shared" si="48"/>
        <v>0</v>
      </c>
      <c r="V233" s="149">
        <f t="shared" si="55"/>
        <v>0</v>
      </c>
      <c r="W233" s="140" t="s">
        <v>18</v>
      </c>
      <c r="X233" s="150" t="s">
        <v>18</v>
      </c>
      <c r="Y233" s="151">
        <f t="shared" si="56"/>
        <v>0</v>
      </c>
      <c r="Z233" s="152">
        <f t="shared" si="49"/>
        <v>0</v>
      </c>
      <c r="AA233" s="153">
        <f t="shared" si="57"/>
        <v>0</v>
      </c>
      <c r="AB233" s="153">
        <f t="shared" si="58"/>
        <v>0</v>
      </c>
      <c r="AC233" s="154"/>
      <c r="AD233" s="155">
        <f t="shared" si="59"/>
        <v>0</v>
      </c>
      <c r="AE233" s="156">
        <f t="shared" si="60"/>
        <v>0</v>
      </c>
      <c r="AF233" s="157">
        <f t="shared" si="50"/>
        <v>0</v>
      </c>
      <c r="AG233" s="158" t="str">
        <f t="shared" si="51"/>
        <v>pç</v>
      </c>
      <c r="AH233" s="158">
        <f t="shared" si="61"/>
        <v>0</v>
      </c>
      <c r="AI233" s="159">
        <f t="shared" si="62"/>
        <v>0</v>
      </c>
      <c r="AJ233" s="160">
        <f t="shared" si="63"/>
        <v>0</v>
      </c>
      <c r="AL233" s="143"/>
      <c r="AM233" s="147" t="str">
        <f t="shared" si="64"/>
        <v>pç</v>
      </c>
      <c r="AN233" s="161"/>
      <c r="AO233" s="162"/>
      <c r="AP233" s="162"/>
      <c r="AQ233" s="140" t="s">
        <v>18</v>
      </c>
      <c r="AS233" s="143"/>
      <c r="AT233" s="147" t="str">
        <f t="shared" si="65"/>
        <v>pç</v>
      </c>
      <c r="AU233" s="161"/>
      <c r="AV233" s="162"/>
      <c r="AW233" s="162"/>
      <c r="AX233" s="140" t="s">
        <v>18</v>
      </c>
      <c r="AZ233" s="143"/>
      <c r="BA233" s="147" t="str">
        <f t="shared" si="66"/>
        <v>pç</v>
      </c>
      <c r="BB233" s="161"/>
      <c r="BC233" s="162"/>
      <c r="BD233" s="162"/>
      <c r="BE233" s="140" t="s">
        <v>18</v>
      </c>
      <c r="BG233" s="143"/>
      <c r="BH233" s="147" t="str">
        <f t="shared" si="67"/>
        <v>pç</v>
      </c>
      <c r="BI233" s="161"/>
      <c r="BJ233" s="162"/>
      <c r="BK233" s="162"/>
      <c r="BL233" s="140" t="s">
        <v>18</v>
      </c>
      <c r="BN233" s="143"/>
      <c r="BO233" s="147" t="str">
        <f t="shared" si="68"/>
        <v>pç</v>
      </c>
      <c r="BP233" s="161"/>
      <c r="BQ233" s="162"/>
      <c r="BR233" s="162"/>
      <c r="BS233" s="140" t="s">
        <v>18</v>
      </c>
      <c r="BU233" s="143"/>
      <c r="BV233" s="147" t="str">
        <f t="shared" si="69"/>
        <v>pç</v>
      </c>
      <c r="BW233" s="161"/>
      <c r="BX233" s="162"/>
      <c r="BY233" s="162"/>
      <c r="BZ233" s="140" t="s">
        <v>18</v>
      </c>
      <c r="CC233" s="163">
        <f t="shared" si="70"/>
        <v>0</v>
      </c>
      <c r="CD233" s="163">
        <f t="shared" si="71"/>
        <v>0</v>
      </c>
      <c r="CE233" s="163">
        <f t="shared" si="72"/>
        <v>0</v>
      </c>
      <c r="CF233" s="163">
        <f t="shared" si="73"/>
        <v>0</v>
      </c>
      <c r="CG233" s="163">
        <f t="shared" si="74"/>
        <v>0</v>
      </c>
      <c r="CH233" s="163">
        <f t="shared" si="75"/>
        <v>0</v>
      </c>
      <c r="CJ233" s="163">
        <f t="shared" si="76"/>
        <v>0</v>
      </c>
      <c r="CK233" s="163">
        <f t="shared" si="77"/>
        <v>0</v>
      </c>
      <c r="CL233" s="163">
        <f t="shared" si="78"/>
        <v>0</v>
      </c>
      <c r="CM233" s="163">
        <f t="shared" si="79"/>
        <v>0</v>
      </c>
      <c r="CN233" s="163">
        <f t="shared" si="80"/>
        <v>0</v>
      </c>
      <c r="CO233" s="163">
        <f t="shared" si="81"/>
        <v>0</v>
      </c>
      <c r="CP233" s="163"/>
      <c r="CQ233" s="163">
        <f t="shared" si="82"/>
        <v>0</v>
      </c>
      <c r="CR233" s="163">
        <f t="shared" si="83"/>
        <v>0</v>
      </c>
      <c r="CS233" s="163">
        <f t="shared" si="84"/>
        <v>0</v>
      </c>
      <c r="CT233" s="163">
        <f t="shared" si="85"/>
        <v>0</v>
      </c>
      <c r="CU233" s="163">
        <f t="shared" si="86"/>
        <v>0</v>
      </c>
      <c r="CV233" s="163">
        <f t="shared" si="87"/>
        <v>0</v>
      </c>
      <c r="CY233" s="164" t="s">
        <v>45</v>
      </c>
      <c r="FN233" s="165">
        <f t="shared" si="52"/>
        <v>7.0588235294117645</v>
      </c>
      <c r="FO233" s="166">
        <f t="shared" si="88"/>
        <v>0</v>
      </c>
      <c r="FP233" s="166">
        <f t="shared" si="89"/>
        <v>0</v>
      </c>
    </row>
    <row r="234" spans="1:172" ht="18" x14ac:dyDescent="0.25">
      <c r="A234" s="167">
        <v>25</v>
      </c>
      <c r="B234" s="168" t="s">
        <v>260</v>
      </c>
      <c r="C234" s="169"/>
      <c r="D234" s="140" t="s">
        <v>210</v>
      </c>
      <c r="E234" s="170" t="s">
        <v>170</v>
      </c>
      <c r="F234" s="171" t="s">
        <v>263</v>
      </c>
      <c r="G234" s="143"/>
      <c r="H234" s="172"/>
      <c r="I234" s="172"/>
      <c r="J234" s="172"/>
      <c r="K234" s="172"/>
      <c r="L234" s="172"/>
      <c r="M234" s="137">
        <f t="shared" si="53"/>
        <v>29.411764705882355</v>
      </c>
      <c r="N234" s="173" t="s">
        <v>9</v>
      </c>
      <c r="O234" s="146">
        <f t="shared" si="54"/>
        <v>29.411764705882355</v>
      </c>
      <c r="P234" s="174" t="str">
        <f t="shared" si="45"/>
        <v>pç</v>
      </c>
      <c r="Q234" s="175" t="str">
        <f t="shared" si="46"/>
        <v>/ dia</v>
      </c>
      <c r="R234" s="176">
        <v>1</v>
      </c>
      <c r="S234" s="177">
        <v>0</v>
      </c>
      <c r="T234" s="177">
        <f t="shared" si="47"/>
        <v>1</v>
      </c>
      <c r="U234" s="149">
        <f t="shared" si="48"/>
        <v>0</v>
      </c>
      <c r="V234" s="149">
        <f t="shared" si="55"/>
        <v>0</v>
      </c>
      <c r="W234" s="140" t="s">
        <v>18</v>
      </c>
      <c r="X234" s="150" t="s">
        <v>18</v>
      </c>
      <c r="Y234" s="151">
        <f t="shared" si="56"/>
        <v>0</v>
      </c>
      <c r="Z234" s="178">
        <f t="shared" si="49"/>
        <v>0</v>
      </c>
      <c r="AA234" s="179">
        <f t="shared" si="57"/>
        <v>0</v>
      </c>
      <c r="AB234" s="179">
        <f t="shared" si="58"/>
        <v>0</v>
      </c>
      <c r="AC234" s="180"/>
      <c r="AD234" s="155">
        <f t="shared" si="59"/>
        <v>0</v>
      </c>
      <c r="AE234" s="156">
        <f t="shared" si="60"/>
        <v>0</v>
      </c>
      <c r="AF234" s="157">
        <f t="shared" si="50"/>
        <v>0</v>
      </c>
      <c r="AG234" s="158" t="str">
        <f t="shared" si="51"/>
        <v>pç</v>
      </c>
      <c r="AH234" s="158">
        <f t="shared" si="61"/>
        <v>0</v>
      </c>
      <c r="AI234" s="159">
        <f t="shared" si="62"/>
        <v>0</v>
      </c>
      <c r="AJ234" s="160">
        <f t="shared" si="63"/>
        <v>0</v>
      </c>
      <c r="AL234" s="143"/>
      <c r="AM234" s="147" t="str">
        <f t="shared" si="64"/>
        <v>pç</v>
      </c>
      <c r="AN234" s="161"/>
      <c r="AO234" s="182"/>
      <c r="AP234" s="182"/>
      <c r="AQ234" s="183" t="s">
        <v>18</v>
      </c>
      <c r="AS234" s="143"/>
      <c r="AT234" s="147" t="str">
        <f t="shared" si="65"/>
        <v>pç</v>
      </c>
      <c r="AU234" s="161"/>
      <c r="AV234" s="182"/>
      <c r="AW234" s="182"/>
      <c r="AX234" s="183" t="s">
        <v>18</v>
      </c>
      <c r="AZ234" s="143"/>
      <c r="BA234" s="147" t="str">
        <f t="shared" si="66"/>
        <v>pç</v>
      </c>
      <c r="BB234" s="161"/>
      <c r="BC234" s="182"/>
      <c r="BD234" s="182"/>
      <c r="BE234" s="183" t="s">
        <v>18</v>
      </c>
      <c r="BG234" s="143"/>
      <c r="BH234" s="147" t="str">
        <f t="shared" si="67"/>
        <v>pç</v>
      </c>
      <c r="BI234" s="161"/>
      <c r="BJ234" s="182"/>
      <c r="BK234" s="182"/>
      <c r="BL234" s="183" t="s">
        <v>18</v>
      </c>
      <c r="BN234" s="143"/>
      <c r="BO234" s="147" t="str">
        <f t="shared" si="68"/>
        <v>pç</v>
      </c>
      <c r="BP234" s="161"/>
      <c r="BQ234" s="182"/>
      <c r="BR234" s="182"/>
      <c r="BS234" s="183" t="s">
        <v>18</v>
      </c>
      <c r="BU234" s="143"/>
      <c r="BV234" s="147" t="str">
        <f t="shared" si="69"/>
        <v>pç</v>
      </c>
      <c r="BW234" s="161"/>
      <c r="BX234" s="182"/>
      <c r="BY234" s="182"/>
      <c r="BZ234" s="183" t="s">
        <v>18</v>
      </c>
      <c r="CC234" s="163">
        <f t="shared" si="70"/>
        <v>0</v>
      </c>
      <c r="CD234" s="163">
        <f t="shared" si="71"/>
        <v>0</v>
      </c>
      <c r="CE234" s="163">
        <f t="shared" si="72"/>
        <v>0</v>
      </c>
      <c r="CF234" s="163">
        <f t="shared" si="73"/>
        <v>0</v>
      </c>
      <c r="CG234" s="163">
        <f t="shared" si="74"/>
        <v>0</v>
      </c>
      <c r="CH234" s="163">
        <f t="shared" si="75"/>
        <v>0</v>
      </c>
      <c r="CJ234" s="163">
        <f t="shared" si="76"/>
        <v>0</v>
      </c>
      <c r="CK234" s="163">
        <f t="shared" si="77"/>
        <v>0</v>
      </c>
      <c r="CL234" s="163">
        <f t="shared" si="78"/>
        <v>0</v>
      </c>
      <c r="CM234" s="163">
        <f t="shared" si="79"/>
        <v>0</v>
      </c>
      <c r="CN234" s="163">
        <f t="shared" si="80"/>
        <v>0</v>
      </c>
      <c r="CO234" s="163">
        <f t="shared" si="81"/>
        <v>0</v>
      </c>
      <c r="CP234" s="163"/>
      <c r="CQ234" s="163">
        <f t="shared" si="82"/>
        <v>0</v>
      </c>
      <c r="CR234" s="163">
        <f t="shared" si="83"/>
        <v>0</v>
      </c>
      <c r="CS234" s="163">
        <f t="shared" si="84"/>
        <v>0</v>
      </c>
      <c r="CT234" s="163">
        <f t="shared" si="85"/>
        <v>0</v>
      </c>
      <c r="CU234" s="163">
        <f t="shared" si="86"/>
        <v>0</v>
      </c>
      <c r="CV234" s="163">
        <f t="shared" si="87"/>
        <v>0</v>
      </c>
      <c r="CY234" s="164" t="s">
        <v>45</v>
      </c>
      <c r="FN234" s="165">
        <f t="shared" si="52"/>
        <v>29.411764705882355</v>
      </c>
      <c r="FO234" s="166">
        <f t="shared" si="88"/>
        <v>0</v>
      </c>
      <c r="FP234" s="166">
        <f t="shared" si="89"/>
        <v>0</v>
      </c>
    </row>
    <row r="235" spans="1:172" ht="18" x14ac:dyDescent="0.25">
      <c r="A235" s="137">
        <v>25</v>
      </c>
      <c r="B235" s="138" t="s">
        <v>260</v>
      </c>
      <c r="C235" s="139"/>
      <c r="D235" s="185" t="s">
        <v>99</v>
      </c>
      <c r="E235" s="141" t="s">
        <v>100</v>
      </c>
      <c r="F235" s="142" t="s">
        <v>263</v>
      </c>
      <c r="G235" s="143"/>
      <c r="H235" s="144"/>
      <c r="I235" s="144"/>
      <c r="J235" s="144"/>
      <c r="K235" s="144"/>
      <c r="L235" s="144"/>
      <c r="M235" s="137">
        <f t="shared" si="53"/>
        <v>29.411764705882355</v>
      </c>
      <c r="N235" s="145" t="s">
        <v>9</v>
      </c>
      <c r="O235" s="184">
        <f t="shared" si="54"/>
        <v>29.411764705882355</v>
      </c>
      <c r="P235" s="147" t="str">
        <f t="shared" si="45"/>
        <v>pç</v>
      </c>
      <c r="Q235" s="147" t="str">
        <f t="shared" si="46"/>
        <v>/ dia</v>
      </c>
      <c r="R235" s="148">
        <v>2</v>
      </c>
      <c r="S235" s="149">
        <v>1</v>
      </c>
      <c r="T235" s="149">
        <f t="shared" si="47"/>
        <v>1</v>
      </c>
      <c r="U235" s="149">
        <f t="shared" si="48"/>
        <v>0</v>
      </c>
      <c r="V235" s="149">
        <f t="shared" si="55"/>
        <v>0</v>
      </c>
      <c r="W235" s="140" t="s">
        <v>18</v>
      </c>
      <c r="X235" s="150" t="s">
        <v>18</v>
      </c>
      <c r="Y235" s="151">
        <f t="shared" si="56"/>
        <v>0</v>
      </c>
      <c r="Z235" s="152">
        <f t="shared" si="49"/>
        <v>0.5</v>
      </c>
      <c r="AA235" s="153">
        <f t="shared" si="57"/>
        <v>0</v>
      </c>
      <c r="AB235" s="153">
        <f t="shared" si="58"/>
        <v>0</v>
      </c>
      <c r="AC235" s="154"/>
      <c r="AD235" s="155">
        <f t="shared" si="59"/>
        <v>0</v>
      </c>
      <c r="AE235" s="156">
        <f t="shared" si="60"/>
        <v>0</v>
      </c>
      <c r="AF235" s="157">
        <f t="shared" si="50"/>
        <v>0</v>
      </c>
      <c r="AG235" s="158" t="str">
        <f t="shared" si="51"/>
        <v>pç</v>
      </c>
      <c r="AH235" s="158">
        <f t="shared" si="61"/>
        <v>0</v>
      </c>
      <c r="AI235" s="159">
        <f t="shared" si="62"/>
        <v>0</v>
      </c>
      <c r="AJ235" s="160">
        <f t="shared" si="63"/>
        <v>0</v>
      </c>
      <c r="AL235" s="143"/>
      <c r="AM235" s="147" t="str">
        <f t="shared" si="64"/>
        <v>pç</v>
      </c>
      <c r="AN235" s="161"/>
      <c r="AO235" s="162"/>
      <c r="AP235" s="162"/>
      <c r="AQ235" s="140" t="s">
        <v>18</v>
      </c>
      <c r="AS235" s="143"/>
      <c r="AT235" s="147" t="str">
        <f t="shared" si="65"/>
        <v>pç</v>
      </c>
      <c r="AU235" s="161"/>
      <c r="AV235" s="162"/>
      <c r="AW235" s="162"/>
      <c r="AX235" s="140" t="s">
        <v>18</v>
      </c>
      <c r="AZ235" s="143"/>
      <c r="BA235" s="147" t="str">
        <f t="shared" si="66"/>
        <v>pç</v>
      </c>
      <c r="BB235" s="161"/>
      <c r="BC235" s="162"/>
      <c r="BD235" s="162"/>
      <c r="BE235" s="140" t="s">
        <v>18</v>
      </c>
      <c r="BG235" s="143"/>
      <c r="BH235" s="147" t="str">
        <f t="shared" si="67"/>
        <v>pç</v>
      </c>
      <c r="BI235" s="161"/>
      <c r="BJ235" s="162"/>
      <c r="BK235" s="162"/>
      <c r="BL235" s="140" t="s">
        <v>18</v>
      </c>
      <c r="BN235" s="143"/>
      <c r="BO235" s="147" t="str">
        <f t="shared" si="68"/>
        <v>pç</v>
      </c>
      <c r="BP235" s="161"/>
      <c r="BQ235" s="162"/>
      <c r="BR235" s="162"/>
      <c r="BS235" s="140" t="s">
        <v>18</v>
      </c>
      <c r="BU235" s="143"/>
      <c r="BV235" s="147" t="str">
        <f t="shared" si="69"/>
        <v>pç</v>
      </c>
      <c r="BW235" s="161"/>
      <c r="BX235" s="162"/>
      <c r="BY235" s="162"/>
      <c r="BZ235" s="140" t="s">
        <v>18</v>
      </c>
      <c r="CC235" s="163">
        <f t="shared" si="70"/>
        <v>0</v>
      </c>
      <c r="CD235" s="163">
        <f t="shared" si="71"/>
        <v>0</v>
      </c>
      <c r="CE235" s="163">
        <f t="shared" si="72"/>
        <v>0</v>
      </c>
      <c r="CF235" s="163">
        <f t="shared" si="73"/>
        <v>0</v>
      </c>
      <c r="CG235" s="163">
        <f t="shared" si="74"/>
        <v>0</v>
      </c>
      <c r="CH235" s="163">
        <f t="shared" si="75"/>
        <v>0</v>
      </c>
      <c r="CJ235" s="163">
        <f t="shared" si="76"/>
        <v>0</v>
      </c>
      <c r="CK235" s="163">
        <f t="shared" si="77"/>
        <v>0</v>
      </c>
      <c r="CL235" s="163">
        <f t="shared" si="78"/>
        <v>0</v>
      </c>
      <c r="CM235" s="163">
        <f t="shared" si="79"/>
        <v>0</v>
      </c>
      <c r="CN235" s="163">
        <f t="shared" si="80"/>
        <v>0</v>
      </c>
      <c r="CO235" s="163">
        <f t="shared" si="81"/>
        <v>0</v>
      </c>
      <c r="CP235" s="163"/>
      <c r="CQ235" s="163">
        <f t="shared" si="82"/>
        <v>0</v>
      </c>
      <c r="CR235" s="163">
        <f t="shared" si="83"/>
        <v>0</v>
      </c>
      <c r="CS235" s="163">
        <f t="shared" si="84"/>
        <v>0</v>
      </c>
      <c r="CT235" s="163">
        <f t="shared" si="85"/>
        <v>0</v>
      </c>
      <c r="CU235" s="163">
        <f t="shared" si="86"/>
        <v>0</v>
      </c>
      <c r="CV235" s="163">
        <f t="shared" si="87"/>
        <v>0</v>
      </c>
      <c r="CY235" s="164" t="s">
        <v>45</v>
      </c>
      <c r="FN235" s="165">
        <f t="shared" si="52"/>
        <v>29.411764705882355</v>
      </c>
      <c r="FO235" s="166">
        <f t="shared" si="88"/>
        <v>0</v>
      </c>
      <c r="FP235" s="166">
        <f t="shared" si="89"/>
        <v>0</v>
      </c>
    </row>
    <row r="236" spans="1:172" ht="18" x14ac:dyDescent="0.25">
      <c r="A236" s="167">
        <v>40</v>
      </c>
      <c r="B236" s="168" t="s">
        <v>260</v>
      </c>
      <c r="C236" s="169"/>
      <c r="D236" s="140" t="s">
        <v>264</v>
      </c>
      <c r="E236" s="170" t="s">
        <v>100</v>
      </c>
      <c r="F236" s="171" t="s">
        <v>265</v>
      </c>
      <c r="G236" s="143"/>
      <c r="H236" s="172"/>
      <c r="I236" s="172"/>
      <c r="J236" s="172"/>
      <c r="K236" s="172"/>
      <c r="L236" s="172"/>
      <c r="M236" s="137">
        <f t="shared" si="53"/>
        <v>47.058823529411768</v>
      </c>
      <c r="N236" s="173" t="s">
        <v>8</v>
      </c>
      <c r="O236" s="146">
        <f t="shared" si="54"/>
        <v>47.058823529411768</v>
      </c>
      <c r="P236" s="174" t="str">
        <f t="shared" si="45"/>
        <v>mt</v>
      </c>
      <c r="Q236" s="175" t="str">
        <f t="shared" si="46"/>
        <v>/ dia</v>
      </c>
      <c r="R236" s="176">
        <v>2</v>
      </c>
      <c r="S236" s="177">
        <v>1</v>
      </c>
      <c r="T236" s="177">
        <f t="shared" si="47"/>
        <v>1</v>
      </c>
      <c r="U236" s="149">
        <f t="shared" si="48"/>
        <v>0</v>
      </c>
      <c r="V236" s="149">
        <f t="shared" si="55"/>
        <v>0</v>
      </c>
      <c r="W236" s="140" t="s">
        <v>18</v>
      </c>
      <c r="X236" s="150" t="s">
        <v>18</v>
      </c>
      <c r="Y236" s="151">
        <f t="shared" si="56"/>
        <v>0</v>
      </c>
      <c r="Z236" s="178">
        <f t="shared" si="49"/>
        <v>0.5</v>
      </c>
      <c r="AA236" s="179">
        <f t="shared" si="57"/>
        <v>0</v>
      </c>
      <c r="AB236" s="179">
        <f t="shared" si="58"/>
        <v>0</v>
      </c>
      <c r="AC236" s="180"/>
      <c r="AD236" s="155">
        <f t="shared" si="59"/>
        <v>0</v>
      </c>
      <c r="AE236" s="156">
        <f t="shared" si="60"/>
        <v>0</v>
      </c>
      <c r="AF236" s="157">
        <f t="shared" si="50"/>
        <v>0</v>
      </c>
      <c r="AG236" s="158" t="str">
        <f t="shared" si="51"/>
        <v>mt</v>
      </c>
      <c r="AH236" s="158">
        <f t="shared" si="61"/>
        <v>0</v>
      </c>
      <c r="AI236" s="159">
        <f t="shared" si="62"/>
        <v>0</v>
      </c>
      <c r="AJ236" s="160">
        <f t="shared" si="63"/>
        <v>0</v>
      </c>
      <c r="AL236" s="143"/>
      <c r="AM236" s="147" t="str">
        <f t="shared" si="64"/>
        <v>mt</v>
      </c>
      <c r="AN236" s="161"/>
      <c r="AO236" s="182"/>
      <c r="AP236" s="182"/>
      <c r="AQ236" s="183" t="s">
        <v>18</v>
      </c>
      <c r="AS236" s="143"/>
      <c r="AT236" s="147" t="str">
        <f t="shared" si="65"/>
        <v>mt</v>
      </c>
      <c r="AU236" s="161"/>
      <c r="AV236" s="182"/>
      <c r="AW236" s="182"/>
      <c r="AX236" s="183" t="s">
        <v>18</v>
      </c>
      <c r="AZ236" s="143"/>
      <c r="BA236" s="147" t="str">
        <f t="shared" si="66"/>
        <v>mt</v>
      </c>
      <c r="BB236" s="161"/>
      <c r="BC236" s="182"/>
      <c r="BD236" s="182"/>
      <c r="BE236" s="183" t="s">
        <v>18</v>
      </c>
      <c r="BG236" s="143"/>
      <c r="BH236" s="147" t="str">
        <f t="shared" si="67"/>
        <v>mt</v>
      </c>
      <c r="BI236" s="161"/>
      <c r="BJ236" s="182"/>
      <c r="BK236" s="182"/>
      <c r="BL236" s="183" t="s">
        <v>18</v>
      </c>
      <c r="BN236" s="143"/>
      <c r="BO236" s="147" t="str">
        <f t="shared" si="68"/>
        <v>mt</v>
      </c>
      <c r="BP236" s="161"/>
      <c r="BQ236" s="182"/>
      <c r="BR236" s="182"/>
      <c r="BS236" s="183" t="s">
        <v>18</v>
      </c>
      <c r="BU236" s="143"/>
      <c r="BV236" s="147" t="str">
        <f t="shared" si="69"/>
        <v>mt</v>
      </c>
      <c r="BW236" s="161"/>
      <c r="BX236" s="182"/>
      <c r="BY236" s="182"/>
      <c r="BZ236" s="183" t="s">
        <v>18</v>
      </c>
      <c r="CC236" s="163">
        <f t="shared" si="70"/>
        <v>0</v>
      </c>
      <c r="CD236" s="163">
        <f t="shared" si="71"/>
        <v>0</v>
      </c>
      <c r="CE236" s="163">
        <f t="shared" si="72"/>
        <v>0</v>
      </c>
      <c r="CF236" s="163">
        <f t="shared" si="73"/>
        <v>0</v>
      </c>
      <c r="CG236" s="163">
        <f t="shared" si="74"/>
        <v>0</v>
      </c>
      <c r="CH236" s="163">
        <f t="shared" si="75"/>
        <v>0</v>
      </c>
      <c r="CJ236" s="163">
        <f t="shared" si="76"/>
        <v>0</v>
      </c>
      <c r="CK236" s="163">
        <f t="shared" si="77"/>
        <v>0</v>
      </c>
      <c r="CL236" s="163">
        <f t="shared" si="78"/>
        <v>0</v>
      </c>
      <c r="CM236" s="163">
        <f t="shared" si="79"/>
        <v>0</v>
      </c>
      <c r="CN236" s="163">
        <f t="shared" si="80"/>
        <v>0</v>
      </c>
      <c r="CO236" s="163">
        <f t="shared" si="81"/>
        <v>0</v>
      </c>
      <c r="CP236" s="163"/>
      <c r="CQ236" s="163">
        <f t="shared" si="82"/>
        <v>0</v>
      </c>
      <c r="CR236" s="163">
        <f t="shared" si="83"/>
        <v>0</v>
      </c>
      <c r="CS236" s="163">
        <f t="shared" si="84"/>
        <v>0</v>
      </c>
      <c r="CT236" s="163">
        <f t="shared" si="85"/>
        <v>0</v>
      </c>
      <c r="CU236" s="163">
        <f t="shared" si="86"/>
        <v>0</v>
      </c>
      <c r="CV236" s="163">
        <f t="shared" si="87"/>
        <v>0</v>
      </c>
      <c r="CY236" s="164" t="s">
        <v>45</v>
      </c>
      <c r="FN236" s="165">
        <f t="shared" si="52"/>
        <v>47.058823529411768</v>
      </c>
      <c r="FO236" s="166">
        <f t="shared" si="88"/>
        <v>0</v>
      </c>
      <c r="FP236" s="166">
        <f t="shared" si="89"/>
        <v>0</v>
      </c>
    </row>
    <row r="237" spans="1:172" ht="18" x14ac:dyDescent="0.25">
      <c r="A237" s="137">
        <v>60</v>
      </c>
      <c r="B237" s="138" t="s">
        <v>266</v>
      </c>
      <c r="C237" s="139" t="s">
        <v>267</v>
      </c>
      <c r="D237" s="185" t="s">
        <v>99</v>
      </c>
      <c r="E237" s="141" t="s">
        <v>100</v>
      </c>
      <c r="F237" s="142" t="s">
        <v>268</v>
      </c>
      <c r="G237" s="143"/>
      <c r="H237" s="144"/>
      <c r="I237" s="144"/>
      <c r="J237" s="144"/>
      <c r="K237" s="144"/>
      <c r="L237" s="144"/>
      <c r="M237" s="137">
        <f t="shared" si="53"/>
        <v>70.588235294117652</v>
      </c>
      <c r="N237" s="145" t="s">
        <v>9</v>
      </c>
      <c r="O237" s="184">
        <f t="shared" si="54"/>
        <v>70.588235294117652</v>
      </c>
      <c r="P237" s="147" t="str">
        <f t="shared" ref="P237:P243" si="90">N237</f>
        <v>pç</v>
      </c>
      <c r="Q237" s="147" t="str">
        <f t="shared" ref="Q237:Q243" si="91">IF(P237=$W$9,"","/ dia")</f>
        <v>/ dia</v>
      </c>
      <c r="R237" s="148">
        <v>1</v>
      </c>
      <c r="S237" s="149">
        <v>0</v>
      </c>
      <c r="T237" s="149">
        <f t="shared" ref="T237:T243" si="92">R237-S237</f>
        <v>1</v>
      </c>
      <c r="U237" s="149">
        <f t="shared" ref="U237:U243" si="93">IFERROR(G237/FN237,0)</f>
        <v>0</v>
      </c>
      <c r="V237" s="149">
        <f t="shared" si="55"/>
        <v>0</v>
      </c>
      <c r="W237" s="140" t="s">
        <v>18</v>
      </c>
      <c r="X237" s="150" t="s">
        <v>18</v>
      </c>
      <c r="Y237" s="151">
        <f t="shared" si="56"/>
        <v>0</v>
      </c>
      <c r="Z237" s="152">
        <f t="shared" ref="Z237:Z243" si="94">S237/R237</f>
        <v>0</v>
      </c>
      <c r="AA237" s="153">
        <f t="shared" si="57"/>
        <v>0</v>
      </c>
      <c r="AB237" s="153">
        <f t="shared" si="58"/>
        <v>0</v>
      </c>
      <c r="AC237" s="154"/>
      <c r="AD237" s="155">
        <f t="shared" si="59"/>
        <v>0</v>
      </c>
      <c r="AE237" s="156">
        <f t="shared" si="60"/>
        <v>0</v>
      </c>
      <c r="AF237" s="157">
        <f t="shared" ref="AF237:AF243" si="95">$AL237+$AS237+$AZ237+$BG237+$BN237+$BU237</f>
        <v>0</v>
      </c>
      <c r="AG237" s="158" t="str">
        <f t="shared" ref="AG237:AG243" si="96">P237</f>
        <v>pç</v>
      </c>
      <c r="AH237" s="158">
        <f t="shared" si="61"/>
        <v>0</v>
      </c>
      <c r="AI237" s="159">
        <f t="shared" si="62"/>
        <v>0</v>
      </c>
      <c r="AJ237" s="160">
        <f t="shared" si="63"/>
        <v>0</v>
      </c>
      <c r="AL237" s="143"/>
      <c r="AM237" s="147" t="str">
        <f t="shared" si="64"/>
        <v>pç</v>
      </c>
      <c r="AN237" s="161"/>
      <c r="AO237" s="162"/>
      <c r="AP237" s="162"/>
      <c r="AQ237" s="140" t="s">
        <v>18</v>
      </c>
      <c r="AS237" s="143"/>
      <c r="AT237" s="147" t="str">
        <f t="shared" si="65"/>
        <v>pç</v>
      </c>
      <c r="AU237" s="161"/>
      <c r="AV237" s="162"/>
      <c r="AW237" s="162"/>
      <c r="AX237" s="140" t="s">
        <v>18</v>
      </c>
      <c r="AZ237" s="143"/>
      <c r="BA237" s="147" t="str">
        <f t="shared" si="66"/>
        <v>pç</v>
      </c>
      <c r="BB237" s="161"/>
      <c r="BC237" s="162"/>
      <c r="BD237" s="162"/>
      <c r="BE237" s="140" t="s">
        <v>18</v>
      </c>
      <c r="BG237" s="143"/>
      <c r="BH237" s="147" t="str">
        <f t="shared" si="67"/>
        <v>pç</v>
      </c>
      <c r="BI237" s="161"/>
      <c r="BJ237" s="162"/>
      <c r="BK237" s="162"/>
      <c r="BL237" s="140" t="s">
        <v>18</v>
      </c>
      <c r="BN237" s="143"/>
      <c r="BO237" s="147" t="str">
        <f t="shared" si="68"/>
        <v>pç</v>
      </c>
      <c r="BP237" s="161"/>
      <c r="BQ237" s="162"/>
      <c r="BR237" s="162"/>
      <c r="BS237" s="140" t="s">
        <v>18</v>
      </c>
      <c r="BU237" s="143"/>
      <c r="BV237" s="147" t="str">
        <f t="shared" si="69"/>
        <v>pç</v>
      </c>
      <c r="BW237" s="161"/>
      <c r="BX237" s="162"/>
      <c r="BY237" s="162"/>
      <c r="BZ237" s="140" t="s">
        <v>18</v>
      </c>
      <c r="CC237" s="163">
        <f t="shared" si="70"/>
        <v>0</v>
      </c>
      <c r="CD237" s="163">
        <f t="shared" si="71"/>
        <v>0</v>
      </c>
      <c r="CE237" s="163">
        <f t="shared" si="72"/>
        <v>0</v>
      </c>
      <c r="CF237" s="163">
        <f t="shared" si="73"/>
        <v>0</v>
      </c>
      <c r="CG237" s="163">
        <f t="shared" si="74"/>
        <v>0</v>
      </c>
      <c r="CH237" s="163">
        <f t="shared" si="75"/>
        <v>0</v>
      </c>
      <c r="CJ237" s="163">
        <f t="shared" si="76"/>
        <v>0</v>
      </c>
      <c r="CK237" s="163">
        <f t="shared" si="77"/>
        <v>0</v>
      </c>
      <c r="CL237" s="163">
        <f t="shared" si="78"/>
        <v>0</v>
      </c>
      <c r="CM237" s="163">
        <f t="shared" si="79"/>
        <v>0</v>
      </c>
      <c r="CN237" s="163">
        <f t="shared" si="80"/>
        <v>0</v>
      </c>
      <c r="CO237" s="163">
        <f t="shared" si="81"/>
        <v>0</v>
      </c>
      <c r="CP237" s="163"/>
      <c r="CQ237" s="163">
        <f t="shared" si="82"/>
        <v>0</v>
      </c>
      <c r="CR237" s="163">
        <f t="shared" si="83"/>
        <v>0</v>
      </c>
      <c r="CS237" s="163">
        <f t="shared" si="84"/>
        <v>0</v>
      </c>
      <c r="CT237" s="163">
        <f t="shared" si="85"/>
        <v>0</v>
      </c>
      <c r="CU237" s="163">
        <f t="shared" si="86"/>
        <v>0</v>
      </c>
      <c r="CV237" s="163">
        <f t="shared" si="87"/>
        <v>0</v>
      </c>
      <c r="CY237" s="164" t="s">
        <v>45</v>
      </c>
      <c r="FN237" s="165">
        <f t="shared" ref="FN237:FN243" si="97">IF(N237=$W$9,1,O237)</f>
        <v>70.588235294117652</v>
      </c>
      <c r="FO237" s="166">
        <f t="shared" si="88"/>
        <v>0</v>
      </c>
      <c r="FP237" s="166">
        <f t="shared" si="89"/>
        <v>0</v>
      </c>
    </row>
    <row r="238" spans="1:172" ht="18" x14ac:dyDescent="0.25">
      <c r="A238" s="167">
        <v>60</v>
      </c>
      <c r="B238" s="168" t="s">
        <v>266</v>
      </c>
      <c r="C238" s="169" t="s">
        <v>267</v>
      </c>
      <c r="D238" s="185" t="s">
        <v>99</v>
      </c>
      <c r="E238" s="170" t="s">
        <v>100</v>
      </c>
      <c r="F238" s="171" t="s">
        <v>269</v>
      </c>
      <c r="G238" s="143"/>
      <c r="H238" s="172"/>
      <c r="I238" s="172"/>
      <c r="J238" s="172"/>
      <c r="K238" s="172"/>
      <c r="L238" s="172"/>
      <c r="M238" s="137">
        <f t="shared" ref="M238:M243" si="98">A238/0.85</f>
        <v>70.588235294117652</v>
      </c>
      <c r="N238" s="173" t="s">
        <v>9</v>
      </c>
      <c r="O238" s="146">
        <f t="shared" ref="O238:O243" si="99">IFERROR(AVERAGEIF(H238:M238,"&gt;0"),0)</f>
        <v>70.588235294117652</v>
      </c>
      <c r="P238" s="174" t="str">
        <f t="shared" si="90"/>
        <v>pç</v>
      </c>
      <c r="Q238" s="175" t="str">
        <f t="shared" si="91"/>
        <v>/ dia</v>
      </c>
      <c r="R238" s="176">
        <v>1</v>
      </c>
      <c r="S238" s="177">
        <v>0</v>
      </c>
      <c r="T238" s="177">
        <f t="shared" si="92"/>
        <v>1</v>
      </c>
      <c r="U238" s="149">
        <f t="shared" si="93"/>
        <v>0</v>
      </c>
      <c r="V238" s="149">
        <f t="shared" ref="V238:V243" si="100">U238*R238*$P$101*$O$104</f>
        <v>0</v>
      </c>
      <c r="W238" s="140" t="s">
        <v>18</v>
      </c>
      <c r="X238" s="150" t="s">
        <v>18</v>
      </c>
      <c r="Y238" s="151">
        <f t="shared" ref="Y238:Y243" si="101">(V238*(1+FO238+FP238)/$O$102)</f>
        <v>0</v>
      </c>
      <c r="Z238" s="178">
        <f t="shared" si="94"/>
        <v>0</v>
      </c>
      <c r="AA238" s="179">
        <f t="shared" ref="AA238:AA243" si="102">Y238*Z238</f>
        <v>0</v>
      </c>
      <c r="AB238" s="179">
        <f t="shared" ref="AB238:AB243" si="103">Y238-AA238</f>
        <v>0</v>
      </c>
      <c r="AC238" s="180"/>
      <c r="AD238" s="155">
        <f t="shared" ref="AD238:AD243" si="104">G238</f>
        <v>0</v>
      </c>
      <c r="AE238" s="156">
        <f t="shared" ref="AE238:AE243" si="105">IFERROR(Y238*(1-$AE$107),"")</f>
        <v>0</v>
      </c>
      <c r="AF238" s="157">
        <f t="shared" si="95"/>
        <v>0</v>
      </c>
      <c r="AG238" s="158" t="str">
        <f t="shared" si="96"/>
        <v>pç</v>
      </c>
      <c r="AH238" s="158">
        <f t="shared" ref="AH238:AH243" si="106">SUM($CC238:$CH238)</f>
        <v>0</v>
      </c>
      <c r="AI238" s="159">
        <f t="shared" ref="AI238:AI243" si="107">IFERROR(AVERAGEIF(CJ238:CO238,"&gt;0,5"),0)</f>
        <v>0</v>
      </c>
      <c r="AJ238" s="160">
        <f t="shared" ref="AJ238:AJ243" si="108">IFERROR(AVERAGEIF(CQ238:CV238,"&gt;0,5"),0)</f>
        <v>0</v>
      </c>
      <c r="AL238" s="143"/>
      <c r="AM238" s="147" t="str">
        <f t="shared" ref="AM238:AM287" si="109">$AG238</f>
        <v>pç</v>
      </c>
      <c r="AN238" s="161"/>
      <c r="AO238" s="182"/>
      <c r="AP238" s="182"/>
      <c r="AQ238" s="183" t="s">
        <v>18</v>
      </c>
      <c r="AS238" s="143"/>
      <c r="AT238" s="147" t="str">
        <f t="shared" ref="AT238:AT287" si="110">$AG238</f>
        <v>pç</v>
      </c>
      <c r="AU238" s="161"/>
      <c r="AV238" s="182"/>
      <c r="AW238" s="182"/>
      <c r="AX238" s="183" t="s">
        <v>18</v>
      </c>
      <c r="AZ238" s="143"/>
      <c r="BA238" s="147" t="str">
        <f t="shared" ref="BA238:BA287" si="111">$AG238</f>
        <v>pç</v>
      </c>
      <c r="BB238" s="161"/>
      <c r="BC238" s="182"/>
      <c r="BD238" s="182"/>
      <c r="BE238" s="183" t="s">
        <v>18</v>
      </c>
      <c r="BG238" s="143"/>
      <c r="BH238" s="147" t="str">
        <f t="shared" ref="BH238:BH287" si="112">$AG238</f>
        <v>pç</v>
      </c>
      <c r="BI238" s="161"/>
      <c r="BJ238" s="182"/>
      <c r="BK238" s="182"/>
      <c r="BL238" s="183" t="s">
        <v>18</v>
      </c>
      <c r="BN238" s="143"/>
      <c r="BO238" s="147" t="str">
        <f t="shared" ref="BO238:BO287" si="113">$AG238</f>
        <v>pç</v>
      </c>
      <c r="BP238" s="161"/>
      <c r="BQ238" s="182"/>
      <c r="BR238" s="182"/>
      <c r="BS238" s="183" t="s">
        <v>18</v>
      </c>
      <c r="BU238" s="143"/>
      <c r="BV238" s="147" t="str">
        <f t="shared" ref="BV238:BV287" si="114">$AG238</f>
        <v>pç</v>
      </c>
      <c r="BW238" s="161"/>
      <c r="BX238" s="182"/>
      <c r="BY238" s="182"/>
      <c r="BZ238" s="183" t="s">
        <v>18</v>
      </c>
      <c r="CC238" s="163">
        <f t="shared" ref="CC238:CC287" si="115">AN238</f>
        <v>0</v>
      </c>
      <c r="CD238" s="163">
        <f t="shared" ref="CD238:CD287" si="116">AU238</f>
        <v>0</v>
      </c>
      <c r="CE238" s="163">
        <f t="shared" ref="CE238:CE287" si="117">BB238</f>
        <v>0</v>
      </c>
      <c r="CF238" s="163">
        <f t="shared" ref="CF238:CF287" si="118">BI238</f>
        <v>0</v>
      </c>
      <c r="CG238" s="163">
        <f t="shared" ref="CG238:CG287" si="119">BP238</f>
        <v>0</v>
      </c>
      <c r="CH238" s="163">
        <f t="shared" ref="CH238:CH287" si="120">BW238</f>
        <v>0</v>
      </c>
      <c r="CJ238" s="163">
        <f t="shared" ref="CJ238:CJ287" si="121">AO238</f>
        <v>0</v>
      </c>
      <c r="CK238" s="163">
        <f t="shared" ref="CK238:CK287" si="122">AV238</f>
        <v>0</v>
      </c>
      <c r="CL238" s="163">
        <f t="shared" ref="CL238:CL287" si="123">BC238</f>
        <v>0</v>
      </c>
      <c r="CM238" s="163">
        <f t="shared" ref="CM238:CM287" si="124">BJ238</f>
        <v>0</v>
      </c>
      <c r="CN238" s="163">
        <f t="shared" ref="CN238:CN287" si="125">BQ238</f>
        <v>0</v>
      </c>
      <c r="CO238" s="163">
        <f t="shared" ref="CO238:CO287" si="126">BX238</f>
        <v>0</v>
      </c>
      <c r="CP238" s="163"/>
      <c r="CQ238" s="163">
        <f t="shared" ref="CQ238:CQ287" si="127">AP238</f>
        <v>0</v>
      </c>
      <c r="CR238" s="163">
        <f t="shared" ref="CR238:CR287" si="128">AW238</f>
        <v>0</v>
      </c>
      <c r="CS238" s="163">
        <f t="shared" ref="CS238:CS287" si="129">BD238</f>
        <v>0</v>
      </c>
      <c r="CT238" s="163">
        <f t="shared" ref="CT238:CT287" si="130">BK238</f>
        <v>0</v>
      </c>
      <c r="CU238" s="163">
        <f t="shared" ref="CU238:CU287" si="131">BR238</f>
        <v>0</v>
      </c>
      <c r="CV238" s="163">
        <f t="shared" ref="CV238:CV287" si="132">BY238</f>
        <v>0</v>
      </c>
      <c r="CY238" s="164" t="s">
        <v>45</v>
      </c>
      <c r="FN238" s="165">
        <f t="shared" si="97"/>
        <v>70.588235294117652</v>
      </c>
      <c r="FO238" s="166">
        <f t="shared" ref="FO238:FO243" si="133">VLOOKUP(W238,$W$66:$Y$71,3,1)</f>
        <v>0</v>
      </c>
      <c r="FP238" s="166">
        <f t="shared" ref="FP238:FP243" si="134">VLOOKUP(X238,$X$73:$Y$76,2,1)</f>
        <v>0</v>
      </c>
    </row>
    <row r="239" spans="1:172" ht="18" x14ac:dyDescent="0.25">
      <c r="A239" s="137">
        <v>48</v>
      </c>
      <c r="B239" s="138" t="s">
        <v>266</v>
      </c>
      <c r="C239" s="139" t="s">
        <v>267</v>
      </c>
      <c r="D239" s="185" t="s">
        <v>99</v>
      </c>
      <c r="E239" s="141" t="s">
        <v>100</v>
      </c>
      <c r="F239" s="142" t="s">
        <v>270</v>
      </c>
      <c r="G239" s="143"/>
      <c r="H239" s="144"/>
      <c r="I239" s="144"/>
      <c r="J239" s="144"/>
      <c r="K239" s="144"/>
      <c r="L239" s="144"/>
      <c r="M239" s="137">
        <f t="shared" si="98"/>
        <v>56.470588235294116</v>
      </c>
      <c r="N239" s="145" t="s">
        <v>9</v>
      </c>
      <c r="O239" s="184">
        <f t="shared" si="99"/>
        <v>56.470588235294116</v>
      </c>
      <c r="P239" s="147" t="str">
        <f t="shared" si="90"/>
        <v>pç</v>
      </c>
      <c r="Q239" s="147" t="str">
        <f t="shared" si="91"/>
        <v>/ dia</v>
      </c>
      <c r="R239" s="148">
        <v>1</v>
      </c>
      <c r="S239" s="149">
        <v>0</v>
      </c>
      <c r="T239" s="149">
        <f t="shared" si="92"/>
        <v>1</v>
      </c>
      <c r="U239" s="149">
        <f t="shared" si="93"/>
        <v>0</v>
      </c>
      <c r="V239" s="149">
        <f t="shared" si="100"/>
        <v>0</v>
      </c>
      <c r="W239" s="140" t="s">
        <v>18</v>
      </c>
      <c r="X239" s="150" t="s">
        <v>18</v>
      </c>
      <c r="Y239" s="151">
        <f t="shared" si="101"/>
        <v>0</v>
      </c>
      <c r="Z239" s="152">
        <f t="shared" si="94"/>
        <v>0</v>
      </c>
      <c r="AA239" s="153">
        <f t="shared" si="102"/>
        <v>0</v>
      </c>
      <c r="AB239" s="153">
        <f t="shared" si="103"/>
        <v>0</v>
      </c>
      <c r="AC239" s="154"/>
      <c r="AD239" s="155">
        <f t="shared" si="104"/>
        <v>0</v>
      </c>
      <c r="AE239" s="156">
        <f t="shared" si="105"/>
        <v>0</v>
      </c>
      <c r="AF239" s="157">
        <f t="shared" si="95"/>
        <v>0</v>
      </c>
      <c r="AG239" s="158" t="str">
        <f t="shared" si="96"/>
        <v>pç</v>
      </c>
      <c r="AH239" s="158">
        <f t="shared" si="106"/>
        <v>0</v>
      </c>
      <c r="AI239" s="159">
        <f t="shared" si="107"/>
        <v>0</v>
      </c>
      <c r="AJ239" s="160">
        <f t="shared" si="108"/>
        <v>0</v>
      </c>
      <c r="AL239" s="143"/>
      <c r="AM239" s="147" t="str">
        <f t="shared" si="109"/>
        <v>pç</v>
      </c>
      <c r="AN239" s="161"/>
      <c r="AO239" s="162"/>
      <c r="AP239" s="162"/>
      <c r="AQ239" s="140" t="s">
        <v>18</v>
      </c>
      <c r="AS239" s="143"/>
      <c r="AT239" s="147" t="str">
        <f t="shared" si="110"/>
        <v>pç</v>
      </c>
      <c r="AU239" s="161"/>
      <c r="AV239" s="162"/>
      <c r="AW239" s="162"/>
      <c r="AX239" s="140" t="s">
        <v>18</v>
      </c>
      <c r="AZ239" s="143"/>
      <c r="BA239" s="147" t="str">
        <f t="shared" si="111"/>
        <v>pç</v>
      </c>
      <c r="BB239" s="161"/>
      <c r="BC239" s="162"/>
      <c r="BD239" s="162"/>
      <c r="BE239" s="140" t="s">
        <v>18</v>
      </c>
      <c r="BG239" s="143"/>
      <c r="BH239" s="147" t="str">
        <f t="shared" si="112"/>
        <v>pç</v>
      </c>
      <c r="BI239" s="161"/>
      <c r="BJ239" s="162"/>
      <c r="BK239" s="162"/>
      <c r="BL239" s="140" t="s">
        <v>18</v>
      </c>
      <c r="BN239" s="143"/>
      <c r="BO239" s="147" t="str">
        <f t="shared" si="113"/>
        <v>pç</v>
      </c>
      <c r="BP239" s="161"/>
      <c r="BQ239" s="162"/>
      <c r="BR239" s="162"/>
      <c r="BS239" s="140" t="s">
        <v>18</v>
      </c>
      <c r="BU239" s="143"/>
      <c r="BV239" s="147" t="str">
        <f t="shared" si="114"/>
        <v>pç</v>
      </c>
      <c r="BW239" s="161"/>
      <c r="BX239" s="162"/>
      <c r="BY239" s="162"/>
      <c r="BZ239" s="140" t="s">
        <v>18</v>
      </c>
      <c r="CC239" s="163">
        <f t="shared" si="115"/>
        <v>0</v>
      </c>
      <c r="CD239" s="163">
        <f t="shared" si="116"/>
        <v>0</v>
      </c>
      <c r="CE239" s="163">
        <f t="shared" si="117"/>
        <v>0</v>
      </c>
      <c r="CF239" s="163">
        <f t="shared" si="118"/>
        <v>0</v>
      </c>
      <c r="CG239" s="163">
        <f t="shared" si="119"/>
        <v>0</v>
      </c>
      <c r="CH239" s="163">
        <f t="shared" si="120"/>
        <v>0</v>
      </c>
      <c r="CJ239" s="163">
        <f t="shared" si="121"/>
        <v>0</v>
      </c>
      <c r="CK239" s="163">
        <f t="shared" si="122"/>
        <v>0</v>
      </c>
      <c r="CL239" s="163">
        <f t="shared" si="123"/>
        <v>0</v>
      </c>
      <c r="CM239" s="163">
        <f t="shared" si="124"/>
        <v>0</v>
      </c>
      <c r="CN239" s="163">
        <f t="shared" si="125"/>
        <v>0</v>
      </c>
      <c r="CO239" s="163">
        <f t="shared" si="126"/>
        <v>0</v>
      </c>
      <c r="CP239" s="163"/>
      <c r="CQ239" s="163">
        <f t="shared" si="127"/>
        <v>0</v>
      </c>
      <c r="CR239" s="163">
        <f t="shared" si="128"/>
        <v>0</v>
      </c>
      <c r="CS239" s="163">
        <f t="shared" si="129"/>
        <v>0</v>
      </c>
      <c r="CT239" s="163">
        <f t="shared" si="130"/>
        <v>0</v>
      </c>
      <c r="CU239" s="163">
        <f t="shared" si="131"/>
        <v>0</v>
      </c>
      <c r="CV239" s="163">
        <f t="shared" si="132"/>
        <v>0</v>
      </c>
      <c r="CY239" s="164" t="s">
        <v>45</v>
      </c>
      <c r="FN239" s="165">
        <f t="shared" si="97"/>
        <v>56.470588235294116</v>
      </c>
      <c r="FO239" s="166">
        <f t="shared" si="133"/>
        <v>0</v>
      </c>
      <c r="FP239" s="166">
        <f t="shared" si="134"/>
        <v>0</v>
      </c>
    </row>
    <row r="240" spans="1:172" ht="18" x14ac:dyDescent="0.25">
      <c r="A240" s="167">
        <v>15</v>
      </c>
      <c r="B240" s="168" t="s">
        <v>271</v>
      </c>
      <c r="C240" s="169"/>
      <c r="D240" s="140" t="s">
        <v>113</v>
      </c>
      <c r="E240" s="170" t="s">
        <v>100</v>
      </c>
      <c r="F240" s="171" t="s">
        <v>272</v>
      </c>
      <c r="G240" s="143"/>
      <c r="H240" s="172"/>
      <c r="I240" s="172"/>
      <c r="J240" s="172"/>
      <c r="K240" s="172"/>
      <c r="L240" s="172"/>
      <c r="M240" s="137">
        <f t="shared" si="98"/>
        <v>17.647058823529413</v>
      </c>
      <c r="N240" s="173" t="s">
        <v>9</v>
      </c>
      <c r="O240" s="146">
        <f t="shared" si="99"/>
        <v>17.647058823529413</v>
      </c>
      <c r="P240" s="174" t="str">
        <f t="shared" si="90"/>
        <v>pç</v>
      </c>
      <c r="Q240" s="175" t="str">
        <f t="shared" si="91"/>
        <v>/ dia</v>
      </c>
      <c r="R240" s="176">
        <v>2</v>
      </c>
      <c r="S240" s="177">
        <v>1</v>
      </c>
      <c r="T240" s="177">
        <f t="shared" si="92"/>
        <v>1</v>
      </c>
      <c r="U240" s="149">
        <f t="shared" si="93"/>
        <v>0</v>
      </c>
      <c r="V240" s="149">
        <f t="shared" si="100"/>
        <v>0</v>
      </c>
      <c r="W240" s="140" t="s">
        <v>18</v>
      </c>
      <c r="X240" s="150" t="s">
        <v>18</v>
      </c>
      <c r="Y240" s="151">
        <f t="shared" si="101"/>
        <v>0</v>
      </c>
      <c r="Z240" s="178">
        <f t="shared" si="94"/>
        <v>0.5</v>
      </c>
      <c r="AA240" s="179">
        <f t="shared" si="102"/>
        <v>0</v>
      </c>
      <c r="AB240" s="179">
        <f t="shared" si="103"/>
        <v>0</v>
      </c>
      <c r="AC240" s="180"/>
      <c r="AD240" s="155">
        <f t="shared" si="104"/>
        <v>0</v>
      </c>
      <c r="AE240" s="156">
        <f t="shared" si="105"/>
        <v>0</v>
      </c>
      <c r="AF240" s="157">
        <f t="shared" si="95"/>
        <v>0</v>
      </c>
      <c r="AG240" s="158" t="str">
        <f t="shared" si="96"/>
        <v>pç</v>
      </c>
      <c r="AH240" s="158">
        <f t="shared" si="106"/>
        <v>0</v>
      </c>
      <c r="AI240" s="159">
        <f t="shared" si="107"/>
        <v>0</v>
      </c>
      <c r="AJ240" s="160">
        <f t="shared" si="108"/>
        <v>0</v>
      </c>
      <c r="AL240" s="143"/>
      <c r="AM240" s="147" t="str">
        <f t="shared" si="109"/>
        <v>pç</v>
      </c>
      <c r="AN240" s="161"/>
      <c r="AO240" s="182"/>
      <c r="AP240" s="182"/>
      <c r="AQ240" s="183" t="s">
        <v>18</v>
      </c>
      <c r="AS240" s="143"/>
      <c r="AT240" s="147" t="str">
        <f t="shared" si="110"/>
        <v>pç</v>
      </c>
      <c r="AU240" s="161"/>
      <c r="AV240" s="182"/>
      <c r="AW240" s="182"/>
      <c r="AX240" s="183" t="s">
        <v>18</v>
      </c>
      <c r="AZ240" s="143"/>
      <c r="BA240" s="147" t="str">
        <f t="shared" si="111"/>
        <v>pç</v>
      </c>
      <c r="BB240" s="161"/>
      <c r="BC240" s="182"/>
      <c r="BD240" s="182"/>
      <c r="BE240" s="183" t="s">
        <v>18</v>
      </c>
      <c r="BG240" s="143"/>
      <c r="BH240" s="147" t="str">
        <f t="shared" si="112"/>
        <v>pç</v>
      </c>
      <c r="BI240" s="161"/>
      <c r="BJ240" s="182"/>
      <c r="BK240" s="182"/>
      <c r="BL240" s="183" t="s">
        <v>18</v>
      </c>
      <c r="BN240" s="143"/>
      <c r="BO240" s="147" t="str">
        <f t="shared" si="113"/>
        <v>pç</v>
      </c>
      <c r="BP240" s="161"/>
      <c r="BQ240" s="182"/>
      <c r="BR240" s="182"/>
      <c r="BS240" s="183" t="s">
        <v>18</v>
      </c>
      <c r="BU240" s="143"/>
      <c r="BV240" s="147" t="str">
        <f t="shared" si="114"/>
        <v>pç</v>
      </c>
      <c r="BW240" s="161"/>
      <c r="BX240" s="182"/>
      <c r="BY240" s="182"/>
      <c r="BZ240" s="183" t="s">
        <v>18</v>
      </c>
      <c r="CC240" s="163">
        <f t="shared" si="115"/>
        <v>0</v>
      </c>
      <c r="CD240" s="163">
        <f t="shared" si="116"/>
        <v>0</v>
      </c>
      <c r="CE240" s="163">
        <f t="shared" si="117"/>
        <v>0</v>
      </c>
      <c r="CF240" s="163">
        <f t="shared" si="118"/>
        <v>0</v>
      </c>
      <c r="CG240" s="163">
        <f t="shared" si="119"/>
        <v>0</v>
      </c>
      <c r="CH240" s="163">
        <f t="shared" si="120"/>
        <v>0</v>
      </c>
      <c r="CJ240" s="163">
        <f t="shared" si="121"/>
        <v>0</v>
      </c>
      <c r="CK240" s="163">
        <f t="shared" si="122"/>
        <v>0</v>
      </c>
      <c r="CL240" s="163">
        <f t="shared" si="123"/>
        <v>0</v>
      </c>
      <c r="CM240" s="163">
        <f t="shared" si="124"/>
        <v>0</v>
      </c>
      <c r="CN240" s="163">
        <f t="shared" si="125"/>
        <v>0</v>
      </c>
      <c r="CO240" s="163">
        <f t="shared" si="126"/>
        <v>0</v>
      </c>
      <c r="CP240" s="163"/>
      <c r="CQ240" s="163">
        <f t="shared" si="127"/>
        <v>0</v>
      </c>
      <c r="CR240" s="163">
        <f t="shared" si="128"/>
        <v>0</v>
      </c>
      <c r="CS240" s="163">
        <f t="shared" si="129"/>
        <v>0</v>
      </c>
      <c r="CT240" s="163">
        <f t="shared" si="130"/>
        <v>0</v>
      </c>
      <c r="CU240" s="163">
        <f t="shared" si="131"/>
        <v>0</v>
      </c>
      <c r="CV240" s="163">
        <f t="shared" si="132"/>
        <v>0</v>
      </c>
      <c r="CY240" s="164" t="s">
        <v>45</v>
      </c>
      <c r="FN240" s="165">
        <f t="shared" si="97"/>
        <v>17.647058823529413</v>
      </c>
      <c r="FO240" s="166">
        <f t="shared" si="133"/>
        <v>0</v>
      </c>
      <c r="FP240" s="166">
        <f t="shared" si="134"/>
        <v>0</v>
      </c>
    </row>
    <row r="241" spans="1:172" ht="18" x14ac:dyDescent="0.25">
      <c r="A241" s="137">
        <v>15</v>
      </c>
      <c r="B241" s="138" t="s">
        <v>271</v>
      </c>
      <c r="C241" s="139"/>
      <c r="D241" s="140" t="s">
        <v>113</v>
      </c>
      <c r="E241" s="141" t="s">
        <v>100</v>
      </c>
      <c r="F241" s="142" t="s">
        <v>273</v>
      </c>
      <c r="G241" s="143"/>
      <c r="H241" s="144"/>
      <c r="I241" s="144"/>
      <c r="J241" s="144"/>
      <c r="K241" s="144"/>
      <c r="L241" s="144"/>
      <c r="M241" s="137">
        <f t="shared" si="98"/>
        <v>17.647058823529413</v>
      </c>
      <c r="N241" s="145" t="s">
        <v>9</v>
      </c>
      <c r="O241" s="184">
        <f t="shared" si="99"/>
        <v>17.647058823529413</v>
      </c>
      <c r="P241" s="147" t="str">
        <f t="shared" si="90"/>
        <v>pç</v>
      </c>
      <c r="Q241" s="147" t="str">
        <f t="shared" si="91"/>
        <v>/ dia</v>
      </c>
      <c r="R241" s="148">
        <v>1.5</v>
      </c>
      <c r="S241" s="149">
        <v>1</v>
      </c>
      <c r="T241" s="149">
        <f t="shared" si="92"/>
        <v>0.5</v>
      </c>
      <c r="U241" s="149">
        <f t="shared" si="93"/>
        <v>0</v>
      </c>
      <c r="V241" s="149">
        <f t="shared" si="100"/>
        <v>0</v>
      </c>
      <c r="W241" s="140" t="s">
        <v>18</v>
      </c>
      <c r="X241" s="150" t="s">
        <v>18</v>
      </c>
      <c r="Y241" s="151">
        <f t="shared" si="101"/>
        <v>0</v>
      </c>
      <c r="Z241" s="152">
        <f t="shared" si="94"/>
        <v>0.66666666666666663</v>
      </c>
      <c r="AA241" s="153">
        <f t="shared" si="102"/>
        <v>0</v>
      </c>
      <c r="AB241" s="153">
        <f t="shared" si="103"/>
        <v>0</v>
      </c>
      <c r="AC241" s="154"/>
      <c r="AD241" s="155">
        <f t="shared" si="104"/>
        <v>0</v>
      </c>
      <c r="AE241" s="156">
        <f t="shared" si="105"/>
        <v>0</v>
      </c>
      <c r="AF241" s="157">
        <f t="shared" si="95"/>
        <v>0</v>
      </c>
      <c r="AG241" s="158" t="str">
        <f t="shared" si="96"/>
        <v>pç</v>
      </c>
      <c r="AH241" s="158">
        <f t="shared" si="106"/>
        <v>0</v>
      </c>
      <c r="AI241" s="159">
        <f t="shared" si="107"/>
        <v>0</v>
      </c>
      <c r="AJ241" s="160">
        <f t="shared" si="108"/>
        <v>0</v>
      </c>
      <c r="AL241" s="143"/>
      <c r="AM241" s="147" t="str">
        <f t="shared" si="109"/>
        <v>pç</v>
      </c>
      <c r="AN241" s="161"/>
      <c r="AO241" s="162"/>
      <c r="AP241" s="162"/>
      <c r="AQ241" s="140" t="s">
        <v>18</v>
      </c>
      <c r="AS241" s="143"/>
      <c r="AT241" s="147" t="str">
        <f t="shared" si="110"/>
        <v>pç</v>
      </c>
      <c r="AU241" s="161"/>
      <c r="AV241" s="162"/>
      <c r="AW241" s="162"/>
      <c r="AX241" s="140" t="s">
        <v>18</v>
      </c>
      <c r="AZ241" s="143"/>
      <c r="BA241" s="147" t="str">
        <f t="shared" si="111"/>
        <v>pç</v>
      </c>
      <c r="BB241" s="161"/>
      <c r="BC241" s="162"/>
      <c r="BD241" s="162"/>
      <c r="BE241" s="140" t="s">
        <v>18</v>
      </c>
      <c r="BG241" s="143"/>
      <c r="BH241" s="147" t="str">
        <f t="shared" si="112"/>
        <v>pç</v>
      </c>
      <c r="BI241" s="161"/>
      <c r="BJ241" s="162"/>
      <c r="BK241" s="162"/>
      <c r="BL241" s="140" t="s">
        <v>18</v>
      </c>
      <c r="BN241" s="143"/>
      <c r="BO241" s="147" t="str">
        <f t="shared" si="113"/>
        <v>pç</v>
      </c>
      <c r="BP241" s="161"/>
      <c r="BQ241" s="162"/>
      <c r="BR241" s="162"/>
      <c r="BS241" s="140" t="s">
        <v>18</v>
      </c>
      <c r="BU241" s="143"/>
      <c r="BV241" s="147" t="str">
        <f t="shared" si="114"/>
        <v>pç</v>
      </c>
      <c r="BW241" s="161"/>
      <c r="BX241" s="162"/>
      <c r="BY241" s="162"/>
      <c r="BZ241" s="140" t="s">
        <v>18</v>
      </c>
      <c r="CC241" s="163">
        <f t="shared" si="115"/>
        <v>0</v>
      </c>
      <c r="CD241" s="163">
        <f t="shared" si="116"/>
        <v>0</v>
      </c>
      <c r="CE241" s="163">
        <f t="shared" si="117"/>
        <v>0</v>
      </c>
      <c r="CF241" s="163">
        <f t="shared" si="118"/>
        <v>0</v>
      </c>
      <c r="CG241" s="163">
        <f t="shared" si="119"/>
        <v>0</v>
      </c>
      <c r="CH241" s="163">
        <f t="shared" si="120"/>
        <v>0</v>
      </c>
      <c r="CJ241" s="163">
        <f t="shared" si="121"/>
        <v>0</v>
      </c>
      <c r="CK241" s="163">
        <f t="shared" si="122"/>
        <v>0</v>
      </c>
      <c r="CL241" s="163">
        <f t="shared" si="123"/>
        <v>0</v>
      </c>
      <c r="CM241" s="163">
        <f t="shared" si="124"/>
        <v>0</v>
      </c>
      <c r="CN241" s="163">
        <f t="shared" si="125"/>
        <v>0</v>
      </c>
      <c r="CO241" s="163">
        <f t="shared" si="126"/>
        <v>0</v>
      </c>
      <c r="CP241" s="163"/>
      <c r="CQ241" s="163">
        <f t="shared" si="127"/>
        <v>0</v>
      </c>
      <c r="CR241" s="163">
        <f t="shared" si="128"/>
        <v>0</v>
      </c>
      <c r="CS241" s="163">
        <f t="shared" si="129"/>
        <v>0</v>
      </c>
      <c r="CT241" s="163">
        <f t="shared" si="130"/>
        <v>0</v>
      </c>
      <c r="CU241" s="163">
        <f t="shared" si="131"/>
        <v>0</v>
      </c>
      <c r="CV241" s="163">
        <f t="shared" si="132"/>
        <v>0</v>
      </c>
      <c r="CY241" s="164" t="s">
        <v>45</v>
      </c>
      <c r="FN241" s="165">
        <f t="shared" si="97"/>
        <v>17.647058823529413</v>
      </c>
      <c r="FO241" s="166">
        <f t="shared" si="133"/>
        <v>0</v>
      </c>
      <c r="FP241" s="166">
        <f t="shared" si="134"/>
        <v>0</v>
      </c>
    </row>
    <row r="242" spans="1:172" ht="18" x14ac:dyDescent="0.25">
      <c r="A242" s="167">
        <v>15</v>
      </c>
      <c r="B242" s="168" t="s">
        <v>271</v>
      </c>
      <c r="C242" s="169"/>
      <c r="D242" s="140" t="s">
        <v>113</v>
      </c>
      <c r="E242" s="170" t="s">
        <v>100</v>
      </c>
      <c r="F242" s="171" t="s">
        <v>274</v>
      </c>
      <c r="G242" s="143"/>
      <c r="H242" s="172"/>
      <c r="I242" s="172"/>
      <c r="J242" s="172"/>
      <c r="K242" s="172"/>
      <c r="L242" s="172"/>
      <c r="M242" s="137">
        <f t="shared" si="98"/>
        <v>17.647058823529413</v>
      </c>
      <c r="N242" s="173" t="s">
        <v>9</v>
      </c>
      <c r="O242" s="146">
        <f t="shared" si="99"/>
        <v>17.647058823529413</v>
      </c>
      <c r="P242" s="174" t="str">
        <f t="shared" si="90"/>
        <v>pç</v>
      </c>
      <c r="Q242" s="175" t="str">
        <f t="shared" si="91"/>
        <v>/ dia</v>
      </c>
      <c r="R242" s="176">
        <v>2</v>
      </c>
      <c r="S242" s="177">
        <v>1</v>
      </c>
      <c r="T242" s="177">
        <f t="shared" si="92"/>
        <v>1</v>
      </c>
      <c r="U242" s="149">
        <f t="shared" si="93"/>
        <v>0</v>
      </c>
      <c r="V242" s="149">
        <f t="shared" si="100"/>
        <v>0</v>
      </c>
      <c r="W242" s="140" t="s">
        <v>18</v>
      </c>
      <c r="X242" s="150" t="s">
        <v>18</v>
      </c>
      <c r="Y242" s="151">
        <f t="shared" si="101"/>
        <v>0</v>
      </c>
      <c r="Z242" s="178">
        <f t="shared" si="94"/>
        <v>0.5</v>
      </c>
      <c r="AA242" s="179">
        <f t="shared" si="102"/>
        <v>0</v>
      </c>
      <c r="AB242" s="179">
        <f t="shared" si="103"/>
        <v>0</v>
      </c>
      <c r="AC242" s="180"/>
      <c r="AD242" s="155">
        <f t="shared" si="104"/>
        <v>0</v>
      </c>
      <c r="AE242" s="156">
        <f t="shared" si="105"/>
        <v>0</v>
      </c>
      <c r="AF242" s="157">
        <f t="shared" si="95"/>
        <v>0</v>
      </c>
      <c r="AG242" s="158" t="str">
        <f t="shared" si="96"/>
        <v>pç</v>
      </c>
      <c r="AH242" s="158">
        <f t="shared" si="106"/>
        <v>0</v>
      </c>
      <c r="AI242" s="159">
        <f t="shared" si="107"/>
        <v>0</v>
      </c>
      <c r="AJ242" s="160">
        <f t="shared" si="108"/>
        <v>0</v>
      </c>
      <c r="AL242" s="143"/>
      <c r="AM242" s="147" t="str">
        <f t="shared" si="109"/>
        <v>pç</v>
      </c>
      <c r="AN242" s="161"/>
      <c r="AO242" s="182"/>
      <c r="AP242" s="182"/>
      <c r="AQ242" s="183" t="s">
        <v>18</v>
      </c>
      <c r="AS242" s="143"/>
      <c r="AT242" s="147" t="str">
        <f t="shared" si="110"/>
        <v>pç</v>
      </c>
      <c r="AU242" s="161"/>
      <c r="AV242" s="182"/>
      <c r="AW242" s="182"/>
      <c r="AX242" s="183" t="s">
        <v>18</v>
      </c>
      <c r="AZ242" s="143"/>
      <c r="BA242" s="147" t="str">
        <f t="shared" si="111"/>
        <v>pç</v>
      </c>
      <c r="BB242" s="161"/>
      <c r="BC242" s="182"/>
      <c r="BD242" s="182"/>
      <c r="BE242" s="183" t="s">
        <v>18</v>
      </c>
      <c r="BG242" s="143"/>
      <c r="BH242" s="147" t="str">
        <f t="shared" si="112"/>
        <v>pç</v>
      </c>
      <c r="BI242" s="161"/>
      <c r="BJ242" s="182"/>
      <c r="BK242" s="182"/>
      <c r="BL242" s="183" t="s">
        <v>18</v>
      </c>
      <c r="BN242" s="143"/>
      <c r="BO242" s="147" t="str">
        <f t="shared" si="113"/>
        <v>pç</v>
      </c>
      <c r="BP242" s="161"/>
      <c r="BQ242" s="182"/>
      <c r="BR242" s="182"/>
      <c r="BS242" s="183" t="s">
        <v>18</v>
      </c>
      <c r="BU242" s="143"/>
      <c r="BV242" s="147" t="str">
        <f t="shared" si="114"/>
        <v>pç</v>
      </c>
      <c r="BW242" s="161"/>
      <c r="BX242" s="182"/>
      <c r="BY242" s="182"/>
      <c r="BZ242" s="183" t="s">
        <v>18</v>
      </c>
      <c r="CC242" s="163">
        <f t="shared" si="115"/>
        <v>0</v>
      </c>
      <c r="CD242" s="163">
        <f t="shared" si="116"/>
        <v>0</v>
      </c>
      <c r="CE242" s="163">
        <f t="shared" si="117"/>
        <v>0</v>
      </c>
      <c r="CF242" s="163">
        <f t="shared" si="118"/>
        <v>0</v>
      </c>
      <c r="CG242" s="163">
        <f t="shared" si="119"/>
        <v>0</v>
      </c>
      <c r="CH242" s="163">
        <f t="shared" si="120"/>
        <v>0</v>
      </c>
      <c r="CJ242" s="163">
        <f t="shared" si="121"/>
        <v>0</v>
      </c>
      <c r="CK242" s="163">
        <f t="shared" si="122"/>
        <v>0</v>
      </c>
      <c r="CL242" s="163">
        <f t="shared" si="123"/>
        <v>0</v>
      </c>
      <c r="CM242" s="163">
        <f t="shared" si="124"/>
        <v>0</v>
      </c>
      <c r="CN242" s="163">
        <f t="shared" si="125"/>
        <v>0</v>
      </c>
      <c r="CO242" s="163">
        <f t="shared" si="126"/>
        <v>0</v>
      </c>
      <c r="CP242" s="163"/>
      <c r="CQ242" s="163">
        <f t="shared" si="127"/>
        <v>0</v>
      </c>
      <c r="CR242" s="163">
        <f t="shared" si="128"/>
        <v>0</v>
      </c>
      <c r="CS242" s="163">
        <f t="shared" si="129"/>
        <v>0</v>
      </c>
      <c r="CT242" s="163">
        <f t="shared" si="130"/>
        <v>0</v>
      </c>
      <c r="CU242" s="163">
        <f t="shared" si="131"/>
        <v>0</v>
      </c>
      <c r="CV242" s="163">
        <f t="shared" si="132"/>
        <v>0</v>
      </c>
      <c r="CY242" s="164" t="s">
        <v>45</v>
      </c>
      <c r="FN242" s="165">
        <f t="shared" si="97"/>
        <v>17.647058823529413</v>
      </c>
      <c r="FO242" s="166">
        <f t="shared" si="133"/>
        <v>0</v>
      </c>
      <c r="FP242" s="166">
        <f t="shared" si="134"/>
        <v>0</v>
      </c>
    </row>
    <row r="243" spans="1:172" ht="18" x14ac:dyDescent="0.25">
      <c r="A243" s="137">
        <v>15.5</v>
      </c>
      <c r="B243" s="186" t="s">
        <v>271</v>
      </c>
      <c r="C243" s="187"/>
      <c r="D243" s="188" t="s">
        <v>113</v>
      </c>
      <c r="E243" s="189" t="s">
        <v>100</v>
      </c>
      <c r="F243" s="190" t="s">
        <v>275</v>
      </c>
      <c r="G243" s="143"/>
      <c r="H243" s="144"/>
      <c r="I243" s="144"/>
      <c r="J243" s="144"/>
      <c r="K243" s="144"/>
      <c r="L243" s="144"/>
      <c r="M243" s="137">
        <f t="shared" si="98"/>
        <v>18.235294117647058</v>
      </c>
      <c r="N243" s="145" t="s">
        <v>9</v>
      </c>
      <c r="O243" s="184">
        <f t="shared" si="99"/>
        <v>18.235294117647058</v>
      </c>
      <c r="P243" s="147" t="str">
        <f t="shared" si="90"/>
        <v>pç</v>
      </c>
      <c r="Q243" s="147" t="str">
        <f t="shared" si="91"/>
        <v>/ dia</v>
      </c>
      <c r="R243" s="148">
        <v>1.5</v>
      </c>
      <c r="S243" s="149">
        <v>1</v>
      </c>
      <c r="T243" s="149">
        <f t="shared" si="92"/>
        <v>0.5</v>
      </c>
      <c r="U243" s="149">
        <f t="shared" si="93"/>
        <v>0</v>
      </c>
      <c r="V243" s="149">
        <f t="shared" si="100"/>
        <v>0</v>
      </c>
      <c r="W243" s="140" t="s">
        <v>18</v>
      </c>
      <c r="X243" s="150" t="s">
        <v>18</v>
      </c>
      <c r="Y243" s="151">
        <f t="shared" si="101"/>
        <v>0</v>
      </c>
      <c r="Z243" s="152">
        <f t="shared" si="94"/>
        <v>0.66666666666666663</v>
      </c>
      <c r="AA243" s="153">
        <f t="shared" si="102"/>
        <v>0</v>
      </c>
      <c r="AB243" s="153">
        <f t="shared" si="103"/>
        <v>0</v>
      </c>
      <c r="AC243" s="154"/>
      <c r="AD243" s="191">
        <f t="shared" si="104"/>
        <v>0</v>
      </c>
      <c r="AE243" s="192">
        <f t="shared" si="105"/>
        <v>0</v>
      </c>
      <c r="AF243" s="193">
        <f t="shared" si="95"/>
        <v>0</v>
      </c>
      <c r="AG243" s="194" t="str">
        <f t="shared" si="96"/>
        <v>pç</v>
      </c>
      <c r="AH243" s="194">
        <f t="shared" si="106"/>
        <v>0</v>
      </c>
      <c r="AI243" s="195">
        <f t="shared" si="107"/>
        <v>0</v>
      </c>
      <c r="AJ243" s="196">
        <f t="shared" si="108"/>
        <v>0</v>
      </c>
      <c r="AL243" s="143"/>
      <c r="AM243" s="147" t="str">
        <f t="shared" si="109"/>
        <v>pç</v>
      </c>
      <c r="AN243" s="161"/>
      <c r="AO243" s="162"/>
      <c r="AP243" s="162"/>
      <c r="AQ243" s="140" t="s">
        <v>18</v>
      </c>
      <c r="AS243" s="143"/>
      <c r="AT243" s="147" t="str">
        <f t="shared" si="110"/>
        <v>pç</v>
      </c>
      <c r="AU243" s="161"/>
      <c r="AV243" s="162"/>
      <c r="AW243" s="162"/>
      <c r="AX243" s="140" t="s">
        <v>18</v>
      </c>
      <c r="AZ243" s="143"/>
      <c r="BA243" s="147" t="str">
        <f t="shared" si="111"/>
        <v>pç</v>
      </c>
      <c r="BB243" s="161"/>
      <c r="BC243" s="162"/>
      <c r="BD243" s="162"/>
      <c r="BE243" s="140" t="s">
        <v>18</v>
      </c>
      <c r="BG243" s="143"/>
      <c r="BH243" s="147" t="str">
        <f t="shared" si="112"/>
        <v>pç</v>
      </c>
      <c r="BI243" s="161"/>
      <c r="BJ243" s="162"/>
      <c r="BK243" s="162"/>
      <c r="BL243" s="140" t="s">
        <v>18</v>
      </c>
      <c r="BN243" s="143"/>
      <c r="BO243" s="147" t="str">
        <f t="shared" si="113"/>
        <v>pç</v>
      </c>
      <c r="BP243" s="161"/>
      <c r="BQ243" s="162"/>
      <c r="BR243" s="162"/>
      <c r="BS243" s="140" t="s">
        <v>18</v>
      </c>
      <c r="BU243" s="143"/>
      <c r="BV243" s="147" t="str">
        <f t="shared" si="114"/>
        <v>pç</v>
      </c>
      <c r="BW243" s="161"/>
      <c r="BX243" s="162"/>
      <c r="BY243" s="162"/>
      <c r="BZ243" s="140" t="s">
        <v>18</v>
      </c>
      <c r="CC243" s="163">
        <f t="shared" si="115"/>
        <v>0</v>
      </c>
      <c r="CD243" s="163">
        <f t="shared" si="116"/>
        <v>0</v>
      </c>
      <c r="CE243" s="163">
        <f t="shared" si="117"/>
        <v>0</v>
      </c>
      <c r="CF243" s="163">
        <f t="shared" si="118"/>
        <v>0</v>
      </c>
      <c r="CG243" s="163">
        <f t="shared" si="119"/>
        <v>0</v>
      </c>
      <c r="CH243" s="163">
        <f t="shared" si="120"/>
        <v>0</v>
      </c>
      <c r="CJ243" s="163">
        <f t="shared" si="121"/>
        <v>0</v>
      </c>
      <c r="CK243" s="163">
        <f t="shared" si="122"/>
        <v>0</v>
      </c>
      <c r="CL243" s="163">
        <f t="shared" si="123"/>
        <v>0</v>
      </c>
      <c r="CM243" s="163">
        <f t="shared" si="124"/>
        <v>0</v>
      </c>
      <c r="CN243" s="163">
        <f t="shared" si="125"/>
        <v>0</v>
      </c>
      <c r="CO243" s="163">
        <f t="shared" si="126"/>
        <v>0</v>
      </c>
      <c r="CP243" s="163"/>
      <c r="CQ243" s="163">
        <f t="shared" si="127"/>
        <v>0</v>
      </c>
      <c r="CR243" s="163">
        <f t="shared" si="128"/>
        <v>0</v>
      </c>
      <c r="CS243" s="163">
        <f t="shared" si="129"/>
        <v>0</v>
      </c>
      <c r="CT243" s="163">
        <f t="shared" si="130"/>
        <v>0</v>
      </c>
      <c r="CU243" s="163">
        <f t="shared" si="131"/>
        <v>0</v>
      </c>
      <c r="CV243" s="163">
        <f t="shared" si="132"/>
        <v>0</v>
      </c>
      <c r="CY243" s="164" t="s">
        <v>45</v>
      </c>
      <c r="FN243" s="165">
        <f t="shared" si="97"/>
        <v>18.235294117647058</v>
      </c>
      <c r="FO243" s="166">
        <f t="shared" si="133"/>
        <v>0</v>
      </c>
      <c r="FP243" s="166">
        <f t="shared" si="134"/>
        <v>0</v>
      </c>
    </row>
    <row r="244" spans="1:172" x14ac:dyDescent="0.25">
      <c r="B244" s="197"/>
      <c r="C244" s="187"/>
      <c r="D244" s="188"/>
      <c r="E244" s="188"/>
      <c r="F244" s="198"/>
      <c r="G244" s="143"/>
      <c r="H244" s="144"/>
      <c r="I244" s="144"/>
      <c r="J244" s="144"/>
      <c r="K244" s="144"/>
      <c r="L244" s="144"/>
      <c r="M244" s="144"/>
      <c r="N244" s="199"/>
      <c r="O244" s="200"/>
      <c r="P244" s="161"/>
      <c r="Q244" s="161"/>
      <c r="R244" s="201"/>
      <c r="S244" s="162"/>
      <c r="T244" s="162"/>
      <c r="U244" s="162"/>
      <c r="V244" s="162"/>
      <c r="W244" s="140"/>
      <c r="X244" s="150"/>
      <c r="Y244" s="202"/>
      <c r="Z244" s="203"/>
      <c r="AA244" s="204"/>
      <c r="AB244" s="204"/>
      <c r="AC244" s="205"/>
      <c r="AD244" s="143"/>
      <c r="AE244" s="206"/>
      <c r="AF244" s="207"/>
      <c r="AG244" s="161"/>
      <c r="AH244" s="161"/>
      <c r="AI244" s="208"/>
      <c r="AJ244" s="208"/>
      <c r="AK244" s="209"/>
      <c r="AL244" s="210"/>
      <c r="AM244" s="161">
        <f t="shared" si="109"/>
        <v>0</v>
      </c>
      <c r="AN244" s="211"/>
      <c r="AO244" s="212"/>
      <c r="AP244" s="212"/>
      <c r="AQ244" s="213" t="s">
        <v>18</v>
      </c>
      <c r="AR244" s="209"/>
      <c r="AS244" s="210"/>
      <c r="AT244" s="161">
        <f t="shared" si="110"/>
        <v>0</v>
      </c>
      <c r="AU244" s="211"/>
      <c r="AV244" s="212"/>
      <c r="AW244" s="212"/>
      <c r="AX244" s="213" t="s">
        <v>18</v>
      </c>
      <c r="AY244" s="209"/>
      <c r="AZ244" s="210"/>
      <c r="BA244" s="161">
        <f t="shared" si="111"/>
        <v>0</v>
      </c>
      <c r="BB244" s="211"/>
      <c r="BC244" s="212"/>
      <c r="BD244" s="212"/>
      <c r="BE244" s="213" t="s">
        <v>18</v>
      </c>
      <c r="BF244" s="181"/>
      <c r="BG244" s="210"/>
      <c r="BH244" s="161">
        <f t="shared" si="112"/>
        <v>0</v>
      </c>
      <c r="BI244" s="211"/>
      <c r="BJ244" s="212"/>
      <c r="BK244" s="212"/>
      <c r="BL244" s="213" t="s">
        <v>18</v>
      </c>
      <c r="BM244" s="181"/>
      <c r="BN244" s="210"/>
      <c r="BO244" s="161">
        <f t="shared" si="113"/>
        <v>0</v>
      </c>
      <c r="BP244" s="211"/>
      <c r="BQ244" s="212"/>
      <c r="BR244" s="212"/>
      <c r="BS244" s="213" t="s">
        <v>18</v>
      </c>
      <c r="BT244" s="181"/>
      <c r="BU244" s="210"/>
      <c r="BV244" s="161">
        <f t="shared" si="114"/>
        <v>0</v>
      </c>
      <c r="BW244" s="211"/>
      <c r="BX244" s="212"/>
      <c r="BY244" s="212"/>
      <c r="BZ244" s="213" t="s">
        <v>18</v>
      </c>
      <c r="CC244" s="163">
        <f t="shared" si="115"/>
        <v>0</v>
      </c>
      <c r="CD244" s="163">
        <f t="shared" si="116"/>
        <v>0</v>
      </c>
      <c r="CE244" s="163">
        <f t="shared" si="117"/>
        <v>0</v>
      </c>
      <c r="CF244" s="163">
        <f t="shared" si="118"/>
        <v>0</v>
      </c>
      <c r="CG244" s="163">
        <f t="shared" si="119"/>
        <v>0</v>
      </c>
      <c r="CH244" s="163">
        <f t="shared" si="120"/>
        <v>0</v>
      </c>
      <c r="CJ244" s="163">
        <f t="shared" si="121"/>
        <v>0</v>
      </c>
      <c r="CK244" s="163">
        <f t="shared" si="122"/>
        <v>0</v>
      </c>
      <c r="CL244" s="163">
        <f t="shared" si="123"/>
        <v>0</v>
      </c>
      <c r="CM244" s="163">
        <f t="shared" si="124"/>
        <v>0</v>
      </c>
      <c r="CN244" s="163">
        <f t="shared" si="125"/>
        <v>0</v>
      </c>
      <c r="CO244" s="163">
        <f t="shared" si="126"/>
        <v>0</v>
      </c>
      <c r="CP244" s="163"/>
      <c r="CQ244" s="163">
        <f t="shared" si="127"/>
        <v>0</v>
      </c>
      <c r="CR244" s="163">
        <f t="shared" si="128"/>
        <v>0</v>
      </c>
      <c r="CS244" s="163">
        <f t="shared" si="129"/>
        <v>0</v>
      </c>
      <c r="CT244" s="163">
        <f t="shared" si="130"/>
        <v>0</v>
      </c>
      <c r="CU244" s="163">
        <f t="shared" si="131"/>
        <v>0</v>
      </c>
      <c r="CV244" s="163">
        <f t="shared" si="132"/>
        <v>0</v>
      </c>
    </row>
    <row r="245" spans="1:172" x14ac:dyDescent="0.25">
      <c r="B245" s="197"/>
      <c r="C245" s="187"/>
      <c r="D245" s="188"/>
      <c r="E245" s="188"/>
      <c r="F245" s="198"/>
      <c r="G245" s="143"/>
      <c r="H245" s="144"/>
      <c r="I245" s="144"/>
      <c r="J245" s="144"/>
      <c r="K245" s="144"/>
      <c r="L245" s="144"/>
      <c r="M245" s="144"/>
      <c r="N245" s="199"/>
      <c r="O245" s="200"/>
      <c r="P245" s="161"/>
      <c r="Q245" s="161"/>
      <c r="R245" s="201"/>
      <c r="S245" s="162"/>
      <c r="T245" s="162"/>
      <c r="U245" s="162"/>
      <c r="V245" s="162"/>
      <c r="W245" s="140"/>
      <c r="X245" s="150"/>
      <c r="Y245" s="202"/>
      <c r="Z245" s="203"/>
      <c r="AA245" s="204"/>
      <c r="AB245" s="204"/>
      <c r="AC245" s="205"/>
      <c r="AD245" s="143"/>
      <c r="AE245" s="206"/>
      <c r="AF245" s="207"/>
      <c r="AG245" s="161"/>
      <c r="AH245" s="161"/>
      <c r="AI245" s="208"/>
      <c r="AJ245" s="208"/>
      <c r="AK245" s="209"/>
      <c r="AL245" s="210"/>
      <c r="AM245" s="161">
        <f t="shared" si="109"/>
        <v>0</v>
      </c>
      <c r="AN245" s="211"/>
      <c r="AO245" s="212"/>
      <c r="AP245" s="212"/>
      <c r="AQ245" s="213" t="s">
        <v>18</v>
      </c>
      <c r="AR245" s="209"/>
      <c r="AS245" s="210"/>
      <c r="AT245" s="161">
        <f t="shared" si="110"/>
        <v>0</v>
      </c>
      <c r="AU245" s="211"/>
      <c r="AV245" s="212"/>
      <c r="AW245" s="212"/>
      <c r="AX245" s="213" t="s">
        <v>18</v>
      </c>
      <c r="AY245" s="209"/>
      <c r="AZ245" s="210"/>
      <c r="BA245" s="161">
        <f t="shared" si="111"/>
        <v>0</v>
      </c>
      <c r="BB245" s="211"/>
      <c r="BC245" s="212"/>
      <c r="BD245" s="212"/>
      <c r="BE245" s="213" t="s">
        <v>18</v>
      </c>
      <c r="BF245" s="181"/>
      <c r="BG245" s="210"/>
      <c r="BH245" s="161">
        <f t="shared" si="112"/>
        <v>0</v>
      </c>
      <c r="BI245" s="211"/>
      <c r="BJ245" s="212"/>
      <c r="BK245" s="212"/>
      <c r="BL245" s="213" t="s">
        <v>18</v>
      </c>
      <c r="BM245" s="181"/>
      <c r="BN245" s="210"/>
      <c r="BO245" s="161">
        <f t="shared" si="113"/>
        <v>0</v>
      </c>
      <c r="BP245" s="211"/>
      <c r="BQ245" s="212"/>
      <c r="BR245" s="212"/>
      <c r="BS245" s="213" t="s">
        <v>18</v>
      </c>
      <c r="BT245" s="181"/>
      <c r="BU245" s="210"/>
      <c r="BV245" s="161">
        <f t="shared" si="114"/>
        <v>0</v>
      </c>
      <c r="BW245" s="211"/>
      <c r="BX245" s="212"/>
      <c r="BY245" s="212"/>
      <c r="BZ245" s="213" t="s">
        <v>18</v>
      </c>
      <c r="CC245" s="163">
        <f t="shared" si="115"/>
        <v>0</v>
      </c>
      <c r="CD245" s="163">
        <f t="shared" si="116"/>
        <v>0</v>
      </c>
      <c r="CE245" s="163">
        <f t="shared" si="117"/>
        <v>0</v>
      </c>
      <c r="CF245" s="163">
        <f t="shared" si="118"/>
        <v>0</v>
      </c>
      <c r="CG245" s="163">
        <f t="shared" si="119"/>
        <v>0</v>
      </c>
      <c r="CH245" s="163">
        <f t="shared" si="120"/>
        <v>0</v>
      </c>
      <c r="CJ245" s="163">
        <f t="shared" si="121"/>
        <v>0</v>
      </c>
      <c r="CK245" s="163">
        <f t="shared" si="122"/>
        <v>0</v>
      </c>
      <c r="CL245" s="163">
        <f t="shared" si="123"/>
        <v>0</v>
      </c>
      <c r="CM245" s="163">
        <f t="shared" si="124"/>
        <v>0</v>
      </c>
      <c r="CN245" s="163">
        <f t="shared" si="125"/>
        <v>0</v>
      </c>
      <c r="CO245" s="163">
        <f t="shared" si="126"/>
        <v>0</v>
      </c>
      <c r="CP245" s="163"/>
      <c r="CQ245" s="163">
        <f t="shared" si="127"/>
        <v>0</v>
      </c>
      <c r="CR245" s="163">
        <f t="shared" si="128"/>
        <v>0</v>
      </c>
      <c r="CS245" s="163">
        <f t="shared" si="129"/>
        <v>0</v>
      </c>
      <c r="CT245" s="163">
        <f t="shared" si="130"/>
        <v>0</v>
      </c>
      <c r="CU245" s="163">
        <f t="shared" si="131"/>
        <v>0</v>
      </c>
      <c r="CV245" s="163">
        <f t="shared" si="132"/>
        <v>0</v>
      </c>
    </row>
    <row r="246" spans="1:172" x14ac:dyDescent="0.25">
      <c r="B246" s="197"/>
      <c r="C246" s="187"/>
      <c r="D246" s="188"/>
      <c r="E246" s="188"/>
      <c r="F246" s="198"/>
      <c r="G246" s="143"/>
      <c r="H246" s="144"/>
      <c r="I246" s="144"/>
      <c r="J246" s="144"/>
      <c r="K246" s="144"/>
      <c r="L246" s="144"/>
      <c r="M246" s="144"/>
      <c r="N246" s="199"/>
      <c r="O246" s="200"/>
      <c r="P246" s="161"/>
      <c r="Q246" s="161"/>
      <c r="R246" s="201"/>
      <c r="S246" s="162"/>
      <c r="T246" s="162"/>
      <c r="U246" s="162"/>
      <c r="V246" s="162"/>
      <c r="W246" s="140"/>
      <c r="X246" s="150"/>
      <c r="Y246" s="202"/>
      <c r="Z246" s="203"/>
      <c r="AA246" s="204"/>
      <c r="AB246" s="204"/>
      <c r="AC246" s="205"/>
      <c r="AD246" s="143"/>
      <c r="AE246" s="206"/>
      <c r="AF246" s="207"/>
      <c r="AG246" s="161"/>
      <c r="AH246" s="161"/>
      <c r="AI246" s="208"/>
      <c r="AJ246" s="208"/>
      <c r="AK246" s="209"/>
      <c r="AL246" s="210"/>
      <c r="AM246" s="161">
        <f t="shared" si="109"/>
        <v>0</v>
      </c>
      <c r="AN246" s="211"/>
      <c r="AO246" s="212"/>
      <c r="AP246" s="212"/>
      <c r="AQ246" s="213" t="s">
        <v>18</v>
      </c>
      <c r="AR246" s="209"/>
      <c r="AS246" s="210"/>
      <c r="AT246" s="161">
        <f t="shared" si="110"/>
        <v>0</v>
      </c>
      <c r="AU246" s="211"/>
      <c r="AV246" s="212"/>
      <c r="AW246" s="212"/>
      <c r="AX246" s="213" t="s">
        <v>18</v>
      </c>
      <c r="AY246" s="209"/>
      <c r="AZ246" s="210"/>
      <c r="BA246" s="161">
        <f t="shared" si="111"/>
        <v>0</v>
      </c>
      <c r="BB246" s="211"/>
      <c r="BC246" s="212"/>
      <c r="BD246" s="212"/>
      <c r="BE246" s="213" t="s">
        <v>18</v>
      </c>
      <c r="BF246" s="181"/>
      <c r="BG246" s="210"/>
      <c r="BH246" s="161">
        <f t="shared" si="112"/>
        <v>0</v>
      </c>
      <c r="BI246" s="211"/>
      <c r="BJ246" s="212"/>
      <c r="BK246" s="212"/>
      <c r="BL246" s="213" t="s">
        <v>18</v>
      </c>
      <c r="BM246" s="181"/>
      <c r="BN246" s="210"/>
      <c r="BO246" s="161">
        <f t="shared" si="113"/>
        <v>0</v>
      </c>
      <c r="BP246" s="211"/>
      <c r="BQ246" s="212"/>
      <c r="BR246" s="212"/>
      <c r="BS246" s="213" t="s">
        <v>18</v>
      </c>
      <c r="BT246" s="181"/>
      <c r="BU246" s="210"/>
      <c r="BV246" s="161">
        <f t="shared" si="114"/>
        <v>0</v>
      </c>
      <c r="BW246" s="211"/>
      <c r="BX246" s="212"/>
      <c r="BY246" s="212"/>
      <c r="BZ246" s="213" t="s">
        <v>18</v>
      </c>
      <c r="CC246" s="163">
        <f t="shared" si="115"/>
        <v>0</v>
      </c>
      <c r="CD246" s="163">
        <f t="shared" si="116"/>
        <v>0</v>
      </c>
      <c r="CE246" s="163">
        <f t="shared" si="117"/>
        <v>0</v>
      </c>
      <c r="CF246" s="163">
        <f t="shared" si="118"/>
        <v>0</v>
      </c>
      <c r="CG246" s="163">
        <f t="shared" si="119"/>
        <v>0</v>
      </c>
      <c r="CH246" s="163">
        <f t="shared" si="120"/>
        <v>0</v>
      </c>
      <c r="CJ246" s="163">
        <f t="shared" si="121"/>
        <v>0</v>
      </c>
      <c r="CK246" s="163">
        <f t="shared" si="122"/>
        <v>0</v>
      </c>
      <c r="CL246" s="163">
        <f t="shared" si="123"/>
        <v>0</v>
      </c>
      <c r="CM246" s="163">
        <f t="shared" si="124"/>
        <v>0</v>
      </c>
      <c r="CN246" s="163">
        <f t="shared" si="125"/>
        <v>0</v>
      </c>
      <c r="CO246" s="163">
        <f t="shared" si="126"/>
        <v>0</v>
      </c>
      <c r="CP246" s="163"/>
      <c r="CQ246" s="163">
        <f t="shared" si="127"/>
        <v>0</v>
      </c>
      <c r="CR246" s="163">
        <f t="shared" si="128"/>
        <v>0</v>
      </c>
      <c r="CS246" s="163">
        <f t="shared" si="129"/>
        <v>0</v>
      </c>
      <c r="CT246" s="163">
        <f t="shared" si="130"/>
        <v>0</v>
      </c>
      <c r="CU246" s="163">
        <f t="shared" si="131"/>
        <v>0</v>
      </c>
      <c r="CV246" s="163">
        <f t="shared" si="132"/>
        <v>0</v>
      </c>
    </row>
    <row r="247" spans="1:172" x14ac:dyDescent="0.25">
      <c r="B247" s="197"/>
      <c r="C247" s="187"/>
      <c r="D247" s="188"/>
      <c r="E247" s="188"/>
      <c r="F247" s="198"/>
      <c r="G247" s="143"/>
      <c r="H247" s="144"/>
      <c r="I247" s="144"/>
      <c r="J247" s="144"/>
      <c r="K247" s="144"/>
      <c r="L247" s="144"/>
      <c r="M247" s="144"/>
      <c r="N247" s="199"/>
      <c r="O247" s="200"/>
      <c r="P247" s="161"/>
      <c r="Q247" s="161"/>
      <c r="R247" s="201"/>
      <c r="S247" s="162"/>
      <c r="T247" s="162"/>
      <c r="U247" s="162"/>
      <c r="V247" s="162"/>
      <c r="W247" s="140"/>
      <c r="X247" s="150"/>
      <c r="Y247" s="202"/>
      <c r="Z247" s="203"/>
      <c r="AA247" s="204"/>
      <c r="AB247" s="204"/>
      <c r="AC247" s="205"/>
      <c r="AD247" s="143"/>
      <c r="AE247" s="206"/>
      <c r="AF247" s="207"/>
      <c r="AG247" s="161"/>
      <c r="AH247" s="161"/>
      <c r="AI247" s="208"/>
      <c r="AJ247" s="208"/>
      <c r="AK247" s="209"/>
      <c r="AL247" s="210"/>
      <c r="AM247" s="161">
        <f t="shared" si="109"/>
        <v>0</v>
      </c>
      <c r="AN247" s="211"/>
      <c r="AO247" s="212"/>
      <c r="AP247" s="212"/>
      <c r="AQ247" s="213" t="s">
        <v>18</v>
      </c>
      <c r="AR247" s="209"/>
      <c r="AS247" s="210"/>
      <c r="AT247" s="161">
        <f t="shared" si="110"/>
        <v>0</v>
      </c>
      <c r="AU247" s="211"/>
      <c r="AV247" s="212"/>
      <c r="AW247" s="212"/>
      <c r="AX247" s="213" t="s">
        <v>18</v>
      </c>
      <c r="AY247" s="209"/>
      <c r="AZ247" s="210"/>
      <c r="BA247" s="161">
        <f t="shared" si="111"/>
        <v>0</v>
      </c>
      <c r="BB247" s="211"/>
      <c r="BC247" s="212"/>
      <c r="BD247" s="212"/>
      <c r="BE247" s="213" t="s">
        <v>18</v>
      </c>
      <c r="BF247" s="181"/>
      <c r="BG247" s="210"/>
      <c r="BH247" s="161">
        <f t="shared" si="112"/>
        <v>0</v>
      </c>
      <c r="BI247" s="211"/>
      <c r="BJ247" s="212"/>
      <c r="BK247" s="212"/>
      <c r="BL247" s="213" t="s">
        <v>18</v>
      </c>
      <c r="BM247" s="181"/>
      <c r="BN247" s="210"/>
      <c r="BO247" s="161">
        <f t="shared" si="113"/>
        <v>0</v>
      </c>
      <c r="BP247" s="211"/>
      <c r="BQ247" s="212"/>
      <c r="BR247" s="212"/>
      <c r="BS247" s="213" t="s">
        <v>18</v>
      </c>
      <c r="BT247" s="181"/>
      <c r="BU247" s="210"/>
      <c r="BV247" s="161">
        <f t="shared" si="114"/>
        <v>0</v>
      </c>
      <c r="BW247" s="211"/>
      <c r="BX247" s="212"/>
      <c r="BY247" s="212"/>
      <c r="BZ247" s="213" t="s">
        <v>18</v>
      </c>
      <c r="CC247" s="163">
        <f t="shared" si="115"/>
        <v>0</v>
      </c>
      <c r="CD247" s="163">
        <f t="shared" si="116"/>
        <v>0</v>
      </c>
      <c r="CE247" s="163">
        <f t="shared" si="117"/>
        <v>0</v>
      </c>
      <c r="CF247" s="163">
        <f t="shared" si="118"/>
        <v>0</v>
      </c>
      <c r="CG247" s="163">
        <f t="shared" si="119"/>
        <v>0</v>
      </c>
      <c r="CH247" s="163">
        <f t="shared" si="120"/>
        <v>0</v>
      </c>
      <c r="CJ247" s="163">
        <f t="shared" si="121"/>
        <v>0</v>
      </c>
      <c r="CK247" s="163">
        <f t="shared" si="122"/>
        <v>0</v>
      </c>
      <c r="CL247" s="163">
        <f t="shared" si="123"/>
        <v>0</v>
      </c>
      <c r="CM247" s="163">
        <f t="shared" si="124"/>
        <v>0</v>
      </c>
      <c r="CN247" s="163">
        <f t="shared" si="125"/>
        <v>0</v>
      </c>
      <c r="CO247" s="163">
        <f t="shared" si="126"/>
        <v>0</v>
      </c>
      <c r="CP247" s="163"/>
      <c r="CQ247" s="163">
        <f t="shared" si="127"/>
        <v>0</v>
      </c>
      <c r="CR247" s="163">
        <f t="shared" si="128"/>
        <v>0</v>
      </c>
      <c r="CS247" s="163">
        <f t="shared" si="129"/>
        <v>0</v>
      </c>
      <c r="CT247" s="163">
        <f t="shared" si="130"/>
        <v>0</v>
      </c>
      <c r="CU247" s="163">
        <f t="shared" si="131"/>
        <v>0</v>
      </c>
      <c r="CV247" s="163">
        <f t="shared" si="132"/>
        <v>0</v>
      </c>
    </row>
    <row r="248" spans="1:172" x14ac:dyDescent="0.25">
      <c r="B248" s="197"/>
      <c r="C248" s="187"/>
      <c r="D248" s="188"/>
      <c r="E248" s="188"/>
      <c r="F248" s="198"/>
      <c r="G248" s="143"/>
      <c r="H248" s="144"/>
      <c r="I248" s="144"/>
      <c r="J248" s="144"/>
      <c r="K248" s="144"/>
      <c r="L248" s="144"/>
      <c r="M248" s="144"/>
      <c r="N248" s="199"/>
      <c r="O248" s="200"/>
      <c r="P248" s="161"/>
      <c r="Q248" s="161"/>
      <c r="R248" s="201"/>
      <c r="S248" s="162"/>
      <c r="T248" s="162"/>
      <c r="U248" s="162"/>
      <c r="V248" s="162"/>
      <c r="W248" s="140"/>
      <c r="X248" s="150"/>
      <c r="Y248" s="202"/>
      <c r="Z248" s="203"/>
      <c r="AA248" s="204"/>
      <c r="AB248" s="204"/>
      <c r="AC248" s="205"/>
      <c r="AD248" s="143"/>
      <c r="AE248" s="206"/>
      <c r="AF248" s="207"/>
      <c r="AG248" s="161"/>
      <c r="AH248" s="161"/>
      <c r="AI248" s="208"/>
      <c r="AJ248" s="208"/>
      <c r="AK248" s="209"/>
      <c r="AL248" s="210"/>
      <c r="AM248" s="161">
        <f t="shared" si="109"/>
        <v>0</v>
      </c>
      <c r="AN248" s="211"/>
      <c r="AO248" s="212"/>
      <c r="AP248" s="212"/>
      <c r="AQ248" s="213" t="s">
        <v>18</v>
      </c>
      <c r="AR248" s="209"/>
      <c r="AS248" s="210"/>
      <c r="AT248" s="161">
        <f t="shared" si="110"/>
        <v>0</v>
      </c>
      <c r="AU248" s="211"/>
      <c r="AV248" s="212"/>
      <c r="AW248" s="212"/>
      <c r="AX248" s="213" t="s">
        <v>18</v>
      </c>
      <c r="AY248" s="209"/>
      <c r="AZ248" s="210"/>
      <c r="BA248" s="161">
        <f t="shared" si="111"/>
        <v>0</v>
      </c>
      <c r="BB248" s="211"/>
      <c r="BC248" s="212"/>
      <c r="BD248" s="212"/>
      <c r="BE248" s="213" t="s">
        <v>18</v>
      </c>
      <c r="BF248" s="181"/>
      <c r="BG248" s="210"/>
      <c r="BH248" s="161">
        <f t="shared" si="112"/>
        <v>0</v>
      </c>
      <c r="BI248" s="211"/>
      <c r="BJ248" s="212"/>
      <c r="BK248" s="212"/>
      <c r="BL248" s="213" t="s">
        <v>18</v>
      </c>
      <c r="BM248" s="181"/>
      <c r="BN248" s="210"/>
      <c r="BO248" s="161">
        <f t="shared" si="113"/>
        <v>0</v>
      </c>
      <c r="BP248" s="211"/>
      <c r="BQ248" s="212"/>
      <c r="BR248" s="212"/>
      <c r="BS248" s="213" t="s">
        <v>18</v>
      </c>
      <c r="BT248" s="181"/>
      <c r="BU248" s="210"/>
      <c r="BV248" s="161">
        <f t="shared" si="114"/>
        <v>0</v>
      </c>
      <c r="BW248" s="211"/>
      <c r="BX248" s="212"/>
      <c r="BY248" s="212"/>
      <c r="BZ248" s="213" t="s">
        <v>18</v>
      </c>
      <c r="CC248" s="163">
        <f t="shared" si="115"/>
        <v>0</v>
      </c>
      <c r="CD248" s="163">
        <f t="shared" si="116"/>
        <v>0</v>
      </c>
      <c r="CE248" s="163">
        <f t="shared" si="117"/>
        <v>0</v>
      </c>
      <c r="CF248" s="163">
        <f t="shared" si="118"/>
        <v>0</v>
      </c>
      <c r="CG248" s="163">
        <f t="shared" si="119"/>
        <v>0</v>
      </c>
      <c r="CH248" s="163">
        <f t="shared" si="120"/>
        <v>0</v>
      </c>
      <c r="CJ248" s="163">
        <f t="shared" si="121"/>
        <v>0</v>
      </c>
      <c r="CK248" s="163">
        <f t="shared" si="122"/>
        <v>0</v>
      </c>
      <c r="CL248" s="163">
        <f t="shared" si="123"/>
        <v>0</v>
      </c>
      <c r="CM248" s="163">
        <f t="shared" si="124"/>
        <v>0</v>
      </c>
      <c r="CN248" s="163">
        <f t="shared" si="125"/>
        <v>0</v>
      </c>
      <c r="CO248" s="163">
        <f t="shared" si="126"/>
        <v>0</v>
      </c>
      <c r="CP248" s="163"/>
      <c r="CQ248" s="163">
        <f t="shared" si="127"/>
        <v>0</v>
      </c>
      <c r="CR248" s="163">
        <f t="shared" si="128"/>
        <v>0</v>
      </c>
      <c r="CS248" s="163">
        <f t="shared" si="129"/>
        <v>0</v>
      </c>
      <c r="CT248" s="163">
        <f t="shared" si="130"/>
        <v>0</v>
      </c>
      <c r="CU248" s="163">
        <f t="shared" si="131"/>
        <v>0</v>
      </c>
      <c r="CV248" s="163">
        <f t="shared" si="132"/>
        <v>0</v>
      </c>
    </row>
    <row r="249" spans="1:172" x14ac:dyDescent="0.25">
      <c r="B249" s="197"/>
      <c r="C249" s="187"/>
      <c r="D249" s="188"/>
      <c r="E249" s="188"/>
      <c r="F249" s="198"/>
      <c r="G249" s="143"/>
      <c r="H249" s="144"/>
      <c r="I249" s="144"/>
      <c r="J249" s="144"/>
      <c r="K249" s="144"/>
      <c r="L249" s="144"/>
      <c r="M249" s="144"/>
      <c r="N249" s="199"/>
      <c r="O249" s="200"/>
      <c r="P249" s="161"/>
      <c r="Q249" s="161"/>
      <c r="R249" s="201"/>
      <c r="S249" s="162"/>
      <c r="T249" s="162"/>
      <c r="U249" s="162"/>
      <c r="V249" s="162"/>
      <c r="W249" s="140"/>
      <c r="X249" s="150"/>
      <c r="Y249" s="202"/>
      <c r="Z249" s="203"/>
      <c r="AA249" s="204"/>
      <c r="AB249" s="204"/>
      <c r="AC249" s="205"/>
      <c r="AD249" s="143"/>
      <c r="AE249" s="206"/>
      <c r="AF249" s="207"/>
      <c r="AG249" s="161"/>
      <c r="AH249" s="161"/>
      <c r="AI249" s="208"/>
      <c r="AJ249" s="208"/>
      <c r="AK249" s="209"/>
      <c r="AL249" s="210"/>
      <c r="AM249" s="161">
        <f t="shared" si="109"/>
        <v>0</v>
      </c>
      <c r="AN249" s="211"/>
      <c r="AO249" s="212"/>
      <c r="AP249" s="212"/>
      <c r="AQ249" s="213" t="s">
        <v>18</v>
      </c>
      <c r="AR249" s="209"/>
      <c r="AS249" s="210"/>
      <c r="AT249" s="161">
        <f t="shared" si="110"/>
        <v>0</v>
      </c>
      <c r="AU249" s="211"/>
      <c r="AV249" s="212"/>
      <c r="AW249" s="212"/>
      <c r="AX249" s="213" t="s">
        <v>18</v>
      </c>
      <c r="AY249" s="209"/>
      <c r="AZ249" s="210"/>
      <c r="BA249" s="161">
        <f t="shared" si="111"/>
        <v>0</v>
      </c>
      <c r="BB249" s="211"/>
      <c r="BC249" s="212"/>
      <c r="BD249" s="212"/>
      <c r="BE249" s="213" t="s">
        <v>18</v>
      </c>
      <c r="BF249" s="181"/>
      <c r="BG249" s="210"/>
      <c r="BH249" s="161">
        <f t="shared" si="112"/>
        <v>0</v>
      </c>
      <c r="BI249" s="211"/>
      <c r="BJ249" s="212"/>
      <c r="BK249" s="212"/>
      <c r="BL249" s="213" t="s">
        <v>18</v>
      </c>
      <c r="BM249" s="181"/>
      <c r="BN249" s="210"/>
      <c r="BO249" s="161">
        <f t="shared" si="113"/>
        <v>0</v>
      </c>
      <c r="BP249" s="211"/>
      <c r="BQ249" s="212"/>
      <c r="BR249" s="212"/>
      <c r="BS249" s="213" t="s">
        <v>18</v>
      </c>
      <c r="BT249" s="181"/>
      <c r="BU249" s="210"/>
      <c r="BV249" s="161">
        <f t="shared" si="114"/>
        <v>0</v>
      </c>
      <c r="BW249" s="211"/>
      <c r="BX249" s="212"/>
      <c r="BY249" s="212"/>
      <c r="BZ249" s="213" t="s">
        <v>18</v>
      </c>
      <c r="CC249" s="163">
        <f t="shared" si="115"/>
        <v>0</v>
      </c>
      <c r="CD249" s="163">
        <f t="shared" si="116"/>
        <v>0</v>
      </c>
      <c r="CE249" s="163">
        <f t="shared" si="117"/>
        <v>0</v>
      </c>
      <c r="CF249" s="163">
        <f t="shared" si="118"/>
        <v>0</v>
      </c>
      <c r="CG249" s="163">
        <f t="shared" si="119"/>
        <v>0</v>
      </c>
      <c r="CH249" s="163">
        <f t="shared" si="120"/>
        <v>0</v>
      </c>
      <c r="CJ249" s="163">
        <f t="shared" si="121"/>
        <v>0</v>
      </c>
      <c r="CK249" s="163">
        <f t="shared" si="122"/>
        <v>0</v>
      </c>
      <c r="CL249" s="163">
        <f t="shared" si="123"/>
        <v>0</v>
      </c>
      <c r="CM249" s="163">
        <f t="shared" si="124"/>
        <v>0</v>
      </c>
      <c r="CN249" s="163">
        <f t="shared" si="125"/>
        <v>0</v>
      </c>
      <c r="CO249" s="163">
        <f t="shared" si="126"/>
        <v>0</v>
      </c>
      <c r="CP249" s="163"/>
      <c r="CQ249" s="163">
        <f t="shared" si="127"/>
        <v>0</v>
      </c>
      <c r="CR249" s="163">
        <f t="shared" si="128"/>
        <v>0</v>
      </c>
      <c r="CS249" s="163">
        <f t="shared" si="129"/>
        <v>0</v>
      </c>
      <c r="CT249" s="163">
        <f t="shared" si="130"/>
        <v>0</v>
      </c>
      <c r="CU249" s="163">
        <f t="shared" si="131"/>
        <v>0</v>
      </c>
      <c r="CV249" s="163">
        <f t="shared" si="132"/>
        <v>0</v>
      </c>
    </row>
    <row r="250" spans="1:172" x14ac:dyDescent="0.25">
      <c r="B250" s="197"/>
      <c r="C250" s="187"/>
      <c r="D250" s="188"/>
      <c r="E250" s="188"/>
      <c r="F250" s="198"/>
      <c r="G250" s="143"/>
      <c r="H250" s="144"/>
      <c r="I250" s="144"/>
      <c r="J250" s="144"/>
      <c r="K250" s="144"/>
      <c r="L250" s="144"/>
      <c r="M250" s="144"/>
      <c r="N250" s="199"/>
      <c r="O250" s="200"/>
      <c r="P250" s="161"/>
      <c r="Q250" s="161"/>
      <c r="R250" s="201"/>
      <c r="S250" s="162"/>
      <c r="T250" s="162"/>
      <c r="U250" s="162"/>
      <c r="V250" s="162"/>
      <c r="W250" s="140"/>
      <c r="X250" s="150"/>
      <c r="Y250" s="202"/>
      <c r="Z250" s="203"/>
      <c r="AA250" s="204"/>
      <c r="AB250" s="204"/>
      <c r="AC250" s="205"/>
      <c r="AD250" s="143"/>
      <c r="AE250" s="206"/>
      <c r="AF250" s="207"/>
      <c r="AG250" s="161"/>
      <c r="AH250" s="161"/>
      <c r="AI250" s="208"/>
      <c r="AJ250" s="208"/>
      <c r="AK250" s="209"/>
      <c r="AL250" s="210"/>
      <c r="AM250" s="161">
        <f t="shared" si="109"/>
        <v>0</v>
      </c>
      <c r="AN250" s="211"/>
      <c r="AO250" s="212"/>
      <c r="AP250" s="212"/>
      <c r="AQ250" s="213" t="s">
        <v>18</v>
      </c>
      <c r="AR250" s="209"/>
      <c r="AS250" s="210"/>
      <c r="AT250" s="161">
        <f t="shared" si="110"/>
        <v>0</v>
      </c>
      <c r="AU250" s="211"/>
      <c r="AV250" s="212"/>
      <c r="AW250" s="212"/>
      <c r="AX250" s="213" t="s">
        <v>18</v>
      </c>
      <c r="AY250" s="209"/>
      <c r="AZ250" s="210"/>
      <c r="BA250" s="161">
        <f t="shared" si="111"/>
        <v>0</v>
      </c>
      <c r="BB250" s="211"/>
      <c r="BC250" s="212"/>
      <c r="BD250" s="212"/>
      <c r="BE250" s="213" t="s">
        <v>18</v>
      </c>
      <c r="BF250" s="181"/>
      <c r="BG250" s="210"/>
      <c r="BH250" s="161">
        <f t="shared" si="112"/>
        <v>0</v>
      </c>
      <c r="BI250" s="211"/>
      <c r="BJ250" s="212"/>
      <c r="BK250" s="212"/>
      <c r="BL250" s="213" t="s">
        <v>18</v>
      </c>
      <c r="BM250" s="181"/>
      <c r="BN250" s="210"/>
      <c r="BO250" s="161">
        <f t="shared" si="113"/>
        <v>0</v>
      </c>
      <c r="BP250" s="211"/>
      <c r="BQ250" s="212"/>
      <c r="BR250" s="212"/>
      <c r="BS250" s="213" t="s">
        <v>18</v>
      </c>
      <c r="BT250" s="181"/>
      <c r="BU250" s="210"/>
      <c r="BV250" s="161">
        <f t="shared" si="114"/>
        <v>0</v>
      </c>
      <c r="BW250" s="211"/>
      <c r="BX250" s="212"/>
      <c r="BY250" s="212"/>
      <c r="BZ250" s="213" t="s">
        <v>18</v>
      </c>
      <c r="CC250" s="163">
        <f t="shared" si="115"/>
        <v>0</v>
      </c>
      <c r="CD250" s="163">
        <f t="shared" si="116"/>
        <v>0</v>
      </c>
      <c r="CE250" s="163">
        <f t="shared" si="117"/>
        <v>0</v>
      </c>
      <c r="CF250" s="163">
        <f t="shared" si="118"/>
        <v>0</v>
      </c>
      <c r="CG250" s="163">
        <f t="shared" si="119"/>
        <v>0</v>
      </c>
      <c r="CH250" s="163">
        <f t="shared" si="120"/>
        <v>0</v>
      </c>
      <c r="CJ250" s="163">
        <f t="shared" si="121"/>
        <v>0</v>
      </c>
      <c r="CK250" s="163">
        <f t="shared" si="122"/>
        <v>0</v>
      </c>
      <c r="CL250" s="163">
        <f t="shared" si="123"/>
        <v>0</v>
      </c>
      <c r="CM250" s="163">
        <f t="shared" si="124"/>
        <v>0</v>
      </c>
      <c r="CN250" s="163">
        <f t="shared" si="125"/>
        <v>0</v>
      </c>
      <c r="CO250" s="163">
        <f t="shared" si="126"/>
        <v>0</v>
      </c>
      <c r="CP250" s="163"/>
      <c r="CQ250" s="163">
        <f t="shared" si="127"/>
        <v>0</v>
      </c>
      <c r="CR250" s="163">
        <f t="shared" si="128"/>
        <v>0</v>
      </c>
      <c r="CS250" s="163">
        <f t="shared" si="129"/>
        <v>0</v>
      </c>
      <c r="CT250" s="163">
        <f t="shared" si="130"/>
        <v>0</v>
      </c>
      <c r="CU250" s="163">
        <f t="shared" si="131"/>
        <v>0</v>
      </c>
      <c r="CV250" s="163">
        <f t="shared" si="132"/>
        <v>0</v>
      </c>
    </row>
    <row r="251" spans="1:172" x14ac:dyDescent="0.25">
      <c r="B251" s="197"/>
      <c r="C251" s="187"/>
      <c r="D251" s="188"/>
      <c r="E251" s="188"/>
      <c r="F251" s="198"/>
      <c r="G251" s="143"/>
      <c r="H251" s="144"/>
      <c r="I251" s="144"/>
      <c r="J251" s="144"/>
      <c r="K251" s="144"/>
      <c r="L251" s="144"/>
      <c r="M251" s="144"/>
      <c r="N251" s="199"/>
      <c r="O251" s="200"/>
      <c r="P251" s="161"/>
      <c r="Q251" s="161"/>
      <c r="R251" s="201"/>
      <c r="S251" s="162"/>
      <c r="T251" s="162"/>
      <c r="U251" s="162"/>
      <c r="V251" s="162"/>
      <c r="W251" s="140"/>
      <c r="X251" s="150"/>
      <c r="Y251" s="202"/>
      <c r="Z251" s="203"/>
      <c r="AA251" s="204"/>
      <c r="AB251" s="204"/>
      <c r="AC251" s="205"/>
      <c r="AD251" s="143"/>
      <c r="AE251" s="206"/>
      <c r="AF251" s="207"/>
      <c r="AG251" s="161"/>
      <c r="AH251" s="161"/>
      <c r="AI251" s="208"/>
      <c r="AJ251" s="208"/>
      <c r="AK251" s="209"/>
      <c r="AL251" s="210"/>
      <c r="AM251" s="161">
        <f t="shared" si="109"/>
        <v>0</v>
      </c>
      <c r="AN251" s="211"/>
      <c r="AO251" s="212"/>
      <c r="AP251" s="212"/>
      <c r="AQ251" s="213" t="s">
        <v>18</v>
      </c>
      <c r="AR251" s="209"/>
      <c r="AS251" s="210"/>
      <c r="AT251" s="161">
        <f t="shared" si="110"/>
        <v>0</v>
      </c>
      <c r="AU251" s="211"/>
      <c r="AV251" s="212"/>
      <c r="AW251" s="212"/>
      <c r="AX251" s="213" t="s">
        <v>18</v>
      </c>
      <c r="AY251" s="209"/>
      <c r="AZ251" s="210"/>
      <c r="BA251" s="161">
        <f t="shared" si="111"/>
        <v>0</v>
      </c>
      <c r="BB251" s="211"/>
      <c r="BC251" s="212"/>
      <c r="BD251" s="212"/>
      <c r="BE251" s="213" t="s">
        <v>18</v>
      </c>
      <c r="BF251" s="181"/>
      <c r="BG251" s="210"/>
      <c r="BH251" s="161">
        <f t="shared" si="112"/>
        <v>0</v>
      </c>
      <c r="BI251" s="211"/>
      <c r="BJ251" s="212"/>
      <c r="BK251" s="212"/>
      <c r="BL251" s="213" t="s">
        <v>18</v>
      </c>
      <c r="BM251" s="181"/>
      <c r="BN251" s="210"/>
      <c r="BO251" s="161">
        <f t="shared" si="113"/>
        <v>0</v>
      </c>
      <c r="BP251" s="211"/>
      <c r="BQ251" s="212"/>
      <c r="BR251" s="212"/>
      <c r="BS251" s="213" t="s">
        <v>18</v>
      </c>
      <c r="BT251" s="181"/>
      <c r="BU251" s="210"/>
      <c r="BV251" s="161">
        <f t="shared" si="114"/>
        <v>0</v>
      </c>
      <c r="BW251" s="211"/>
      <c r="BX251" s="212"/>
      <c r="BY251" s="212"/>
      <c r="BZ251" s="213" t="s">
        <v>18</v>
      </c>
      <c r="CC251" s="163">
        <f t="shared" si="115"/>
        <v>0</v>
      </c>
      <c r="CD251" s="163">
        <f t="shared" si="116"/>
        <v>0</v>
      </c>
      <c r="CE251" s="163">
        <f t="shared" si="117"/>
        <v>0</v>
      </c>
      <c r="CF251" s="163">
        <f t="shared" si="118"/>
        <v>0</v>
      </c>
      <c r="CG251" s="163">
        <f t="shared" si="119"/>
        <v>0</v>
      </c>
      <c r="CH251" s="163">
        <f t="shared" si="120"/>
        <v>0</v>
      </c>
      <c r="CJ251" s="163">
        <f t="shared" si="121"/>
        <v>0</v>
      </c>
      <c r="CK251" s="163">
        <f t="shared" si="122"/>
        <v>0</v>
      </c>
      <c r="CL251" s="163">
        <f t="shared" si="123"/>
        <v>0</v>
      </c>
      <c r="CM251" s="163">
        <f t="shared" si="124"/>
        <v>0</v>
      </c>
      <c r="CN251" s="163">
        <f t="shared" si="125"/>
        <v>0</v>
      </c>
      <c r="CO251" s="163">
        <f t="shared" si="126"/>
        <v>0</v>
      </c>
      <c r="CP251" s="163"/>
      <c r="CQ251" s="163">
        <f t="shared" si="127"/>
        <v>0</v>
      </c>
      <c r="CR251" s="163">
        <f t="shared" si="128"/>
        <v>0</v>
      </c>
      <c r="CS251" s="163">
        <f t="shared" si="129"/>
        <v>0</v>
      </c>
      <c r="CT251" s="163">
        <f t="shared" si="130"/>
        <v>0</v>
      </c>
      <c r="CU251" s="163">
        <f t="shared" si="131"/>
        <v>0</v>
      </c>
      <c r="CV251" s="163">
        <f t="shared" si="132"/>
        <v>0</v>
      </c>
    </row>
    <row r="252" spans="1:172" x14ac:dyDescent="0.25">
      <c r="B252" s="197"/>
      <c r="C252" s="187"/>
      <c r="D252" s="188"/>
      <c r="E252" s="188"/>
      <c r="F252" s="198"/>
      <c r="G252" s="143"/>
      <c r="H252" s="144"/>
      <c r="I252" s="144"/>
      <c r="J252" s="144"/>
      <c r="K252" s="144"/>
      <c r="L252" s="144"/>
      <c r="M252" s="144"/>
      <c r="N252" s="199"/>
      <c r="O252" s="200"/>
      <c r="P252" s="161"/>
      <c r="Q252" s="161"/>
      <c r="R252" s="201"/>
      <c r="S252" s="162"/>
      <c r="T252" s="162"/>
      <c r="U252" s="162"/>
      <c r="V252" s="162"/>
      <c r="W252" s="140"/>
      <c r="X252" s="150"/>
      <c r="Y252" s="202"/>
      <c r="Z252" s="203"/>
      <c r="AA252" s="204"/>
      <c r="AB252" s="204"/>
      <c r="AC252" s="205"/>
      <c r="AD252" s="143"/>
      <c r="AE252" s="206"/>
      <c r="AF252" s="207"/>
      <c r="AG252" s="161"/>
      <c r="AH252" s="161"/>
      <c r="AI252" s="208"/>
      <c r="AJ252" s="208"/>
      <c r="AK252" s="209"/>
      <c r="AL252" s="210"/>
      <c r="AM252" s="161">
        <f t="shared" si="109"/>
        <v>0</v>
      </c>
      <c r="AN252" s="211"/>
      <c r="AO252" s="212"/>
      <c r="AP252" s="212"/>
      <c r="AQ252" s="213" t="s">
        <v>18</v>
      </c>
      <c r="AR252" s="209"/>
      <c r="AS252" s="210"/>
      <c r="AT252" s="161">
        <f t="shared" si="110"/>
        <v>0</v>
      </c>
      <c r="AU252" s="211"/>
      <c r="AV252" s="212"/>
      <c r="AW252" s="212"/>
      <c r="AX252" s="213" t="s">
        <v>18</v>
      </c>
      <c r="AY252" s="209"/>
      <c r="AZ252" s="210"/>
      <c r="BA252" s="161">
        <f t="shared" si="111"/>
        <v>0</v>
      </c>
      <c r="BB252" s="211"/>
      <c r="BC252" s="212"/>
      <c r="BD252" s="212"/>
      <c r="BE252" s="213" t="s">
        <v>18</v>
      </c>
      <c r="BF252" s="181"/>
      <c r="BG252" s="210"/>
      <c r="BH252" s="161">
        <f t="shared" si="112"/>
        <v>0</v>
      </c>
      <c r="BI252" s="211"/>
      <c r="BJ252" s="212"/>
      <c r="BK252" s="212"/>
      <c r="BL252" s="213" t="s">
        <v>18</v>
      </c>
      <c r="BM252" s="181"/>
      <c r="BN252" s="210"/>
      <c r="BO252" s="161">
        <f t="shared" si="113"/>
        <v>0</v>
      </c>
      <c r="BP252" s="211"/>
      <c r="BQ252" s="212"/>
      <c r="BR252" s="212"/>
      <c r="BS252" s="213" t="s">
        <v>18</v>
      </c>
      <c r="BT252" s="181"/>
      <c r="BU252" s="210"/>
      <c r="BV252" s="161">
        <f t="shared" si="114"/>
        <v>0</v>
      </c>
      <c r="BW252" s="211"/>
      <c r="BX252" s="212"/>
      <c r="BY252" s="212"/>
      <c r="BZ252" s="213" t="s">
        <v>18</v>
      </c>
      <c r="CC252" s="163">
        <f t="shared" si="115"/>
        <v>0</v>
      </c>
      <c r="CD252" s="163">
        <f t="shared" si="116"/>
        <v>0</v>
      </c>
      <c r="CE252" s="163">
        <f t="shared" si="117"/>
        <v>0</v>
      </c>
      <c r="CF252" s="163">
        <f t="shared" si="118"/>
        <v>0</v>
      </c>
      <c r="CG252" s="163">
        <f t="shared" si="119"/>
        <v>0</v>
      </c>
      <c r="CH252" s="163">
        <f t="shared" si="120"/>
        <v>0</v>
      </c>
      <c r="CJ252" s="163">
        <f t="shared" si="121"/>
        <v>0</v>
      </c>
      <c r="CK252" s="163">
        <f t="shared" si="122"/>
        <v>0</v>
      </c>
      <c r="CL252" s="163">
        <f t="shared" si="123"/>
        <v>0</v>
      </c>
      <c r="CM252" s="163">
        <f t="shared" si="124"/>
        <v>0</v>
      </c>
      <c r="CN252" s="163">
        <f t="shared" si="125"/>
        <v>0</v>
      </c>
      <c r="CO252" s="163">
        <f t="shared" si="126"/>
        <v>0</v>
      </c>
      <c r="CP252" s="163"/>
      <c r="CQ252" s="163">
        <f t="shared" si="127"/>
        <v>0</v>
      </c>
      <c r="CR252" s="163">
        <f t="shared" si="128"/>
        <v>0</v>
      </c>
      <c r="CS252" s="163">
        <f t="shared" si="129"/>
        <v>0</v>
      </c>
      <c r="CT252" s="163">
        <f t="shared" si="130"/>
        <v>0</v>
      </c>
      <c r="CU252" s="163">
        <f t="shared" si="131"/>
        <v>0</v>
      </c>
      <c r="CV252" s="163">
        <f t="shared" si="132"/>
        <v>0</v>
      </c>
    </row>
    <row r="253" spans="1:172" x14ac:dyDescent="0.25">
      <c r="B253" s="197"/>
      <c r="C253" s="187"/>
      <c r="D253" s="188"/>
      <c r="E253" s="188"/>
      <c r="F253" s="198"/>
      <c r="G253" s="143"/>
      <c r="H253" s="144"/>
      <c r="I253" s="144"/>
      <c r="J253" s="144"/>
      <c r="K253" s="144"/>
      <c r="L253" s="144"/>
      <c r="M253" s="144"/>
      <c r="N253" s="199"/>
      <c r="O253" s="200"/>
      <c r="P253" s="161"/>
      <c r="Q253" s="161"/>
      <c r="R253" s="201"/>
      <c r="S253" s="162"/>
      <c r="T253" s="162"/>
      <c r="U253" s="162"/>
      <c r="V253" s="162"/>
      <c r="W253" s="140"/>
      <c r="X253" s="150"/>
      <c r="Y253" s="202"/>
      <c r="Z253" s="203"/>
      <c r="AA253" s="204"/>
      <c r="AB253" s="204"/>
      <c r="AC253" s="205"/>
      <c r="AD253" s="143"/>
      <c r="AE253" s="206"/>
      <c r="AF253" s="207"/>
      <c r="AG253" s="161"/>
      <c r="AH253" s="161"/>
      <c r="AI253" s="208"/>
      <c r="AJ253" s="208"/>
      <c r="AK253" s="209"/>
      <c r="AL253" s="210"/>
      <c r="AM253" s="161">
        <f t="shared" si="109"/>
        <v>0</v>
      </c>
      <c r="AN253" s="211"/>
      <c r="AO253" s="212"/>
      <c r="AP253" s="212"/>
      <c r="AQ253" s="213" t="s">
        <v>18</v>
      </c>
      <c r="AR253" s="209"/>
      <c r="AS253" s="210"/>
      <c r="AT253" s="161">
        <f t="shared" si="110"/>
        <v>0</v>
      </c>
      <c r="AU253" s="211"/>
      <c r="AV253" s="212"/>
      <c r="AW253" s="212"/>
      <c r="AX253" s="213" t="s">
        <v>18</v>
      </c>
      <c r="AY253" s="209"/>
      <c r="AZ253" s="210"/>
      <c r="BA253" s="161">
        <f t="shared" si="111"/>
        <v>0</v>
      </c>
      <c r="BB253" s="211"/>
      <c r="BC253" s="212"/>
      <c r="BD253" s="212"/>
      <c r="BE253" s="213" t="s">
        <v>18</v>
      </c>
      <c r="BF253" s="181"/>
      <c r="BG253" s="210"/>
      <c r="BH253" s="161">
        <f t="shared" si="112"/>
        <v>0</v>
      </c>
      <c r="BI253" s="211"/>
      <c r="BJ253" s="212"/>
      <c r="BK253" s="212"/>
      <c r="BL253" s="213" t="s">
        <v>18</v>
      </c>
      <c r="BM253" s="181"/>
      <c r="BN253" s="210"/>
      <c r="BO253" s="161">
        <f t="shared" si="113"/>
        <v>0</v>
      </c>
      <c r="BP253" s="211"/>
      <c r="BQ253" s="212"/>
      <c r="BR253" s="212"/>
      <c r="BS253" s="213" t="s">
        <v>18</v>
      </c>
      <c r="BT253" s="181"/>
      <c r="BU253" s="210"/>
      <c r="BV253" s="161">
        <f t="shared" si="114"/>
        <v>0</v>
      </c>
      <c r="BW253" s="211"/>
      <c r="BX253" s="212"/>
      <c r="BY253" s="212"/>
      <c r="BZ253" s="213" t="s">
        <v>18</v>
      </c>
      <c r="CC253" s="163">
        <f t="shared" si="115"/>
        <v>0</v>
      </c>
      <c r="CD253" s="163">
        <f t="shared" si="116"/>
        <v>0</v>
      </c>
      <c r="CE253" s="163">
        <f t="shared" si="117"/>
        <v>0</v>
      </c>
      <c r="CF253" s="163">
        <f t="shared" si="118"/>
        <v>0</v>
      </c>
      <c r="CG253" s="163">
        <f t="shared" si="119"/>
        <v>0</v>
      </c>
      <c r="CH253" s="163">
        <f t="shared" si="120"/>
        <v>0</v>
      </c>
      <c r="CJ253" s="163">
        <f t="shared" si="121"/>
        <v>0</v>
      </c>
      <c r="CK253" s="163">
        <f t="shared" si="122"/>
        <v>0</v>
      </c>
      <c r="CL253" s="163">
        <f t="shared" si="123"/>
        <v>0</v>
      </c>
      <c r="CM253" s="163">
        <f t="shared" si="124"/>
        <v>0</v>
      </c>
      <c r="CN253" s="163">
        <f t="shared" si="125"/>
        <v>0</v>
      </c>
      <c r="CO253" s="163">
        <f t="shared" si="126"/>
        <v>0</v>
      </c>
      <c r="CP253" s="163"/>
      <c r="CQ253" s="163">
        <f t="shared" si="127"/>
        <v>0</v>
      </c>
      <c r="CR253" s="163">
        <f t="shared" si="128"/>
        <v>0</v>
      </c>
      <c r="CS253" s="163">
        <f t="shared" si="129"/>
        <v>0</v>
      </c>
      <c r="CT253" s="163">
        <f t="shared" si="130"/>
        <v>0</v>
      </c>
      <c r="CU253" s="163">
        <f t="shared" si="131"/>
        <v>0</v>
      </c>
      <c r="CV253" s="163">
        <f t="shared" si="132"/>
        <v>0</v>
      </c>
    </row>
    <row r="254" spans="1:172" x14ac:dyDescent="0.25">
      <c r="B254" s="197"/>
      <c r="C254" s="187"/>
      <c r="D254" s="188"/>
      <c r="E254" s="188"/>
      <c r="F254" s="198"/>
      <c r="G254" s="143"/>
      <c r="H254" s="144"/>
      <c r="I254" s="144"/>
      <c r="J254" s="144"/>
      <c r="K254" s="144"/>
      <c r="L254" s="144"/>
      <c r="M254" s="144"/>
      <c r="N254" s="199"/>
      <c r="O254" s="200"/>
      <c r="P254" s="161"/>
      <c r="Q254" s="161"/>
      <c r="R254" s="201"/>
      <c r="S254" s="162"/>
      <c r="T254" s="162"/>
      <c r="U254" s="162"/>
      <c r="V254" s="162"/>
      <c r="W254" s="140"/>
      <c r="X254" s="150"/>
      <c r="Y254" s="202"/>
      <c r="Z254" s="203"/>
      <c r="AA254" s="204"/>
      <c r="AB254" s="204"/>
      <c r="AC254" s="205"/>
      <c r="AD254" s="143"/>
      <c r="AE254" s="206"/>
      <c r="AF254" s="207"/>
      <c r="AG254" s="161"/>
      <c r="AH254" s="161"/>
      <c r="AI254" s="208"/>
      <c r="AJ254" s="208"/>
      <c r="AK254" s="209"/>
      <c r="AL254" s="210"/>
      <c r="AM254" s="161">
        <f t="shared" si="109"/>
        <v>0</v>
      </c>
      <c r="AN254" s="211"/>
      <c r="AO254" s="212"/>
      <c r="AP254" s="212"/>
      <c r="AQ254" s="213" t="s">
        <v>18</v>
      </c>
      <c r="AR254" s="209"/>
      <c r="AS254" s="210"/>
      <c r="AT254" s="161">
        <f t="shared" si="110"/>
        <v>0</v>
      </c>
      <c r="AU254" s="211"/>
      <c r="AV254" s="212"/>
      <c r="AW254" s="212"/>
      <c r="AX254" s="213" t="s">
        <v>18</v>
      </c>
      <c r="AY254" s="209"/>
      <c r="AZ254" s="210"/>
      <c r="BA254" s="161">
        <f t="shared" si="111"/>
        <v>0</v>
      </c>
      <c r="BB254" s="211"/>
      <c r="BC254" s="212"/>
      <c r="BD254" s="212"/>
      <c r="BE254" s="213" t="s">
        <v>18</v>
      </c>
      <c r="BF254" s="181"/>
      <c r="BG254" s="210"/>
      <c r="BH254" s="161">
        <f t="shared" si="112"/>
        <v>0</v>
      </c>
      <c r="BI254" s="211"/>
      <c r="BJ254" s="212"/>
      <c r="BK254" s="212"/>
      <c r="BL254" s="213" t="s">
        <v>18</v>
      </c>
      <c r="BM254" s="181"/>
      <c r="BN254" s="210"/>
      <c r="BO254" s="161">
        <f t="shared" si="113"/>
        <v>0</v>
      </c>
      <c r="BP254" s="211"/>
      <c r="BQ254" s="212"/>
      <c r="BR254" s="212"/>
      <c r="BS254" s="213" t="s">
        <v>18</v>
      </c>
      <c r="BT254" s="181"/>
      <c r="BU254" s="210"/>
      <c r="BV254" s="161">
        <f t="shared" si="114"/>
        <v>0</v>
      </c>
      <c r="BW254" s="211"/>
      <c r="BX254" s="212"/>
      <c r="BY254" s="212"/>
      <c r="BZ254" s="213" t="s">
        <v>18</v>
      </c>
      <c r="CC254" s="163">
        <f t="shared" si="115"/>
        <v>0</v>
      </c>
      <c r="CD254" s="163">
        <f t="shared" si="116"/>
        <v>0</v>
      </c>
      <c r="CE254" s="163">
        <f t="shared" si="117"/>
        <v>0</v>
      </c>
      <c r="CF254" s="163">
        <f t="shared" si="118"/>
        <v>0</v>
      </c>
      <c r="CG254" s="163">
        <f t="shared" si="119"/>
        <v>0</v>
      </c>
      <c r="CH254" s="163">
        <f t="shared" si="120"/>
        <v>0</v>
      </c>
      <c r="CJ254" s="163">
        <f t="shared" si="121"/>
        <v>0</v>
      </c>
      <c r="CK254" s="163">
        <f t="shared" si="122"/>
        <v>0</v>
      </c>
      <c r="CL254" s="163">
        <f t="shared" si="123"/>
        <v>0</v>
      </c>
      <c r="CM254" s="163">
        <f t="shared" si="124"/>
        <v>0</v>
      </c>
      <c r="CN254" s="163">
        <f t="shared" si="125"/>
        <v>0</v>
      </c>
      <c r="CO254" s="163">
        <f t="shared" si="126"/>
        <v>0</v>
      </c>
      <c r="CP254" s="163"/>
      <c r="CQ254" s="163">
        <f t="shared" si="127"/>
        <v>0</v>
      </c>
      <c r="CR254" s="163">
        <f t="shared" si="128"/>
        <v>0</v>
      </c>
      <c r="CS254" s="163">
        <f t="shared" si="129"/>
        <v>0</v>
      </c>
      <c r="CT254" s="163">
        <f t="shared" si="130"/>
        <v>0</v>
      </c>
      <c r="CU254" s="163">
        <f t="shared" si="131"/>
        <v>0</v>
      </c>
      <c r="CV254" s="163">
        <f t="shared" si="132"/>
        <v>0</v>
      </c>
    </row>
    <row r="255" spans="1:172" x14ac:dyDescent="0.25">
      <c r="B255" s="197"/>
      <c r="C255" s="187"/>
      <c r="D255" s="188"/>
      <c r="E255" s="188"/>
      <c r="F255" s="198"/>
      <c r="G255" s="143"/>
      <c r="H255" s="144"/>
      <c r="I255" s="144"/>
      <c r="J255" s="144"/>
      <c r="K255" s="144"/>
      <c r="L255" s="144"/>
      <c r="M255" s="144"/>
      <c r="N255" s="199"/>
      <c r="O255" s="200"/>
      <c r="P255" s="161"/>
      <c r="Q255" s="161"/>
      <c r="R255" s="201"/>
      <c r="S255" s="162"/>
      <c r="T255" s="162"/>
      <c r="U255" s="162"/>
      <c r="V255" s="162"/>
      <c r="W255" s="140"/>
      <c r="X255" s="150"/>
      <c r="Y255" s="202"/>
      <c r="Z255" s="203"/>
      <c r="AA255" s="204"/>
      <c r="AB255" s="204"/>
      <c r="AC255" s="205"/>
      <c r="AD255" s="143"/>
      <c r="AE255" s="206"/>
      <c r="AF255" s="207"/>
      <c r="AG255" s="161"/>
      <c r="AH255" s="161"/>
      <c r="AI255" s="208"/>
      <c r="AJ255" s="208"/>
      <c r="AK255" s="209"/>
      <c r="AL255" s="210"/>
      <c r="AM255" s="161">
        <f t="shared" si="109"/>
        <v>0</v>
      </c>
      <c r="AN255" s="211"/>
      <c r="AO255" s="212"/>
      <c r="AP255" s="212"/>
      <c r="AQ255" s="213" t="s">
        <v>18</v>
      </c>
      <c r="AR255" s="209"/>
      <c r="AS255" s="210"/>
      <c r="AT255" s="161">
        <f t="shared" si="110"/>
        <v>0</v>
      </c>
      <c r="AU255" s="211"/>
      <c r="AV255" s="212"/>
      <c r="AW255" s="212"/>
      <c r="AX255" s="213" t="s">
        <v>18</v>
      </c>
      <c r="AY255" s="209"/>
      <c r="AZ255" s="210"/>
      <c r="BA255" s="161">
        <f t="shared" si="111"/>
        <v>0</v>
      </c>
      <c r="BB255" s="211"/>
      <c r="BC255" s="212"/>
      <c r="BD255" s="212"/>
      <c r="BE255" s="213" t="s">
        <v>18</v>
      </c>
      <c r="BF255" s="181"/>
      <c r="BG255" s="210"/>
      <c r="BH255" s="161">
        <f t="shared" si="112"/>
        <v>0</v>
      </c>
      <c r="BI255" s="211"/>
      <c r="BJ255" s="212"/>
      <c r="BK255" s="212"/>
      <c r="BL255" s="213" t="s">
        <v>18</v>
      </c>
      <c r="BM255" s="181"/>
      <c r="BN255" s="210"/>
      <c r="BO255" s="161">
        <f t="shared" si="113"/>
        <v>0</v>
      </c>
      <c r="BP255" s="211"/>
      <c r="BQ255" s="212"/>
      <c r="BR255" s="212"/>
      <c r="BS255" s="213" t="s">
        <v>18</v>
      </c>
      <c r="BT255" s="181"/>
      <c r="BU255" s="210"/>
      <c r="BV255" s="161">
        <f t="shared" si="114"/>
        <v>0</v>
      </c>
      <c r="BW255" s="211"/>
      <c r="BX255" s="212"/>
      <c r="BY255" s="212"/>
      <c r="BZ255" s="213" t="s">
        <v>18</v>
      </c>
      <c r="CC255" s="163">
        <f t="shared" si="115"/>
        <v>0</v>
      </c>
      <c r="CD255" s="163">
        <f t="shared" si="116"/>
        <v>0</v>
      </c>
      <c r="CE255" s="163">
        <f t="shared" si="117"/>
        <v>0</v>
      </c>
      <c r="CF255" s="163">
        <f t="shared" si="118"/>
        <v>0</v>
      </c>
      <c r="CG255" s="163">
        <f t="shared" si="119"/>
        <v>0</v>
      </c>
      <c r="CH255" s="163">
        <f t="shared" si="120"/>
        <v>0</v>
      </c>
      <c r="CJ255" s="163">
        <f t="shared" si="121"/>
        <v>0</v>
      </c>
      <c r="CK255" s="163">
        <f t="shared" si="122"/>
        <v>0</v>
      </c>
      <c r="CL255" s="163">
        <f t="shared" si="123"/>
        <v>0</v>
      </c>
      <c r="CM255" s="163">
        <f t="shared" si="124"/>
        <v>0</v>
      </c>
      <c r="CN255" s="163">
        <f t="shared" si="125"/>
        <v>0</v>
      </c>
      <c r="CO255" s="163">
        <f t="shared" si="126"/>
        <v>0</v>
      </c>
      <c r="CP255" s="163"/>
      <c r="CQ255" s="163">
        <f t="shared" si="127"/>
        <v>0</v>
      </c>
      <c r="CR255" s="163">
        <f t="shared" si="128"/>
        <v>0</v>
      </c>
      <c r="CS255" s="163">
        <f t="shared" si="129"/>
        <v>0</v>
      </c>
      <c r="CT255" s="163">
        <f t="shared" si="130"/>
        <v>0</v>
      </c>
      <c r="CU255" s="163">
        <f t="shared" si="131"/>
        <v>0</v>
      </c>
      <c r="CV255" s="163">
        <f t="shared" si="132"/>
        <v>0</v>
      </c>
    </row>
    <row r="256" spans="1:172" x14ac:dyDescent="0.25">
      <c r="B256" s="197"/>
      <c r="C256" s="187"/>
      <c r="D256" s="188"/>
      <c r="E256" s="188"/>
      <c r="F256" s="198"/>
      <c r="G256" s="143"/>
      <c r="H256" s="144"/>
      <c r="I256" s="144"/>
      <c r="J256" s="144"/>
      <c r="K256" s="144"/>
      <c r="L256" s="144"/>
      <c r="M256" s="144"/>
      <c r="N256" s="199"/>
      <c r="O256" s="200"/>
      <c r="P256" s="161"/>
      <c r="Q256" s="161"/>
      <c r="R256" s="201"/>
      <c r="S256" s="162"/>
      <c r="T256" s="162"/>
      <c r="U256" s="162"/>
      <c r="V256" s="162"/>
      <c r="W256" s="140"/>
      <c r="X256" s="150"/>
      <c r="Y256" s="202"/>
      <c r="Z256" s="203"/>
      <c r="AA256" s="204"/>
      <c r="AB256" s="204"/>
      <c r="AC256" s="205"/>
      <c r="AD256" s="143"/>
      <c r="AE256" s="206"/>
      <c r="AF256" s="207"/>
      <c r="AG256" s="161"/>
      <c r="AH256" s="161"/>
      <c r="AI256" s="208"/>
      <c r="AJ256" s="208"/>
      <c r="AK256" s="209"/>
      <c r="AL256" s="210"/>
      <c r="AM256" s="161">
        <f t="shared" si="109"/>
        <v>0</v>
      </c>
      <c r="AN256" s="211"/>
      <c r="AO256" s="212"/>
      <c r="AP256" s="212"/>
      <c r="AQ256" s="213" t="s">
        <v>18</v>
      </c>
      <c r="AR256" s="209"/>
      <c r="AS256" s="210"/>
      <c r="AT256" s="161">
        <f t="shared" si="110"/>
        <v>0</v>
      </c>
      <c r="AU256" s="211"/>
      <c r="AV256" s="212"/>
      <c r="AW256" s="212"/>
      <c r="AX256" s="213" t="s">
        <v>18</v>
      </c>
      <c r="AY256" s="209"/>
      <c r="AZ256" s="210"/>
      <c r="BA256" s="161">
        <f t="shared" si="111"/>
        <v>0</v>
      </c>
      <c r="BB256" s="211"/>
      <c r="BC256" s="212"/>
      <c r="BD256" s="212"/>
      <c r="BE256" s="213" t="s">
        <v>18</v>
      </c>
      <c r="BF256" s="181"/>
      <c r="BG256" s="210"/>
      <c r="BH256" s="161">
        <f t="shared" si="112"/>
        <v>0</v>
      </c>
      <c r="BI256" s="211"/>
      <c r="BJ256" s="212"/>
      <c r="BK256" s="212"/>
      <c r="BL256" s="213" t="s">
        <v>18</v>
      </c>
      <c r="BM256" s="181"/>
      <c r="BN256" s="210"/>
      <c r="BO256" s="161">
        <f t="shared" si="113"/>
        <v>0</v>
      </c>
      <c r="BP256" s="211"/>
      <c r="BQ256" s="212"/>
      <c r="BR256" s="212"/>
      <c r="BS256" s="213" t="s">
        <v>18</v>
      </c>
      <c r="BT256" s="181"/>
      <c r="BU256" s="210"/>
      <c r="BV256" s="161">
        <f t="shared" si="114"/>
        <v>0</v>
      </c>
      <c r="BW256" s="211"/>
      <c r="BX256" s="212"/>
      <c r="BY256" s="212"/>
      <c r="BZ256" s="213" t="s">
        <v>18</v>
      </c>
      <c r="CC256" s="163">
        <f t="shared" si="115"/>
        <v>0</v>
      </c>
      <c r="CD256" s="163">
        <f t="shared" si="116"/>
        <v>0</v>
      </c>
      <c r="CE256" s="163">
        <f t="shared" si="117"/>
        <v>0</v>
      </c>
      <c r="CF256" s="163">
        <f t="shared" si="118"/>
        <v>0</v>
      </c>
      <c r="CG256" s="163">
        <f t="shared" si="119"/>
        <v>0</v>
      </c>
      <c r="CH256" s="163">
        <f t="shared" si="120"/>
        <v>0</v>
      </c>
      <c r="CJ256" s="163">
        <f t="shared" si="121"/>
        <v>0</v>
      </c>
      <c r="CK256" s="163">
        <f t="shared" si="122"/>
        <v>0</v>
      </c>
      <c r="CL256" s="163">
        <f t="shared" si="123"/>
        <v>0</v>
      </c>
      <c r="CM256" s="163">
        <f t="shared" si="124"/>
        <v>0</v>
      </c>
      <c r="CN256" s="163">
        <f t="shared" si="125"/>
        <v>0</v>
      </c>
      <c r="CO256" s="163">
        <f t="shared" si="126"/>
        <v>0</v>
      </c>
      <c r="CP256" s="163"/>
      <c r="CQ256" s="163">
        <f t="shared" si="127"/>
        <v>0</v>
      </c>
      <c r="CR256" s="163">
        <f t="shared" si="128"/>
        <v>0</v>
      </c>
      <c r="CS256" s="163">
        <f t="shared" si="129"/>
        <v>0</v>
      </c>
      <c r="CT256" s="163">
        <f t="shared" si="130"/>
        <v>0</v>
      </c>
      <c r="CU256" s="163">
        <f t="shared" si="131"/>
        <v>0</v>
      </c>
      <c r="CV256" s="163">
        <f t="shared" si="132"/>
        <v>0</v>
      </c>
    </row>
    <row r="257" spans="2:100" x14ac:dyDescent="0.25">
      <c r="B257" s="197"/>
      <c r="C257" s="187"/>
      <c r="D257" s="188"/>
      <c r="E257" s="188"/>
      <c r="F257" s="198"/>
      <c r="G257" s="143"/>
      <c r="H257" s="144"/>
      <c r="I257" s="144"/>
      <c r="J257" s="144"/>
      <c r="K257" s="144"/>
      <c r="L257" s="144"/>
      <c r="M257" s="144"/>
      <c r="N257" s="199"/>
      <c r="O257" s="200"/>
      <c r="P257" s="161"/>
      <c r="Q257" s="161"/>
      <c r="R257" s="201"/>
      <c r="S257" s="162"/>
      <c r="T257" s="162"/>
      <c r="U257" s="162"/>
      <c r="V257" s="162"/>
      <c r="W257" s="140"/>
      <c r="X257" s="150"/>
      <c r="Y257" s="202"/>
      <c r="Z257" s="203"/>
      <c r="AA257" s="204"/>
      <c r="AB257" s="204"/>
      <c r="AC257" s="205"/>
      <c r="AD257" s="143"/>
      <c r="AE257" s="206"/>
      <c r="AF257" s="207"/>
      <c r="AG257" s="161"/>
      <c r="AH257" s="161"/>
      <c r="AI257" s="208"/>
      <c r="AJ257" s="208"/>
      <c r="AK257" s="209"/>
      <c r="AL257" s="210"/>
      <c r="AM257" s="161">
        <f t="shared" si="109"/>
        <v>0</v>
      </c>
      <c r="AN257" s="211"/>
      <c r="AO257" s="212"/>
      <c r="AP257" s="212"/>
      <c r="AQ257" s="213" t="s">
        <v>18</v>
      </c>
      <c r="AR257" s="209"/>
      <c r="AS257" s="210"/>
      <c r="AT257" s="161">
        <f t="shared" si="110"/>
        <v>0</v>
      </c>
      <c r="AU257" s="211"/>
      <c r="AV257" s="212"/>
      <c r="AW257" s="212"/>
      <c r="AX257" s="213" t="s">
        <v>18</v>
      </c>
      <c r="AY257" s="209"/>
      <c r="AZ257" s="210"/>
      <c r="BA257" s="161">
        <f t="shared" si="111"/>
        <v>0</v>
      </c>
      <c r="BB257" s="211"/>
      <c r="BC257" s="212"/>
      <c r="BD257" s="212"/>
      <c r="BE257" s="213" t="s">
        <v>18</v>
      </c>
      <c r="BF257" s="181"/>
      <c r="BG257" s="210"/>
      <c r="BH257" s="161">
        <f t="shared" si="112"/>
        <v>0</v>
      </c>
      <c r="BI257" s="211"/>
      <c r="BJ257" s="212"/>
      <c r="BK257" s="212"/>
      <c r="BL257" s="213" t="s">
        <v>18</v>
      </c>
      <c r="BM257" s="181"/>
      <c r="BN257" s="210"/>
      <c r="BO257" s="161">
        <f t="shared" si="113"/>
        <v>0</v>
      </c>
      <c r="BP257" s="211"/>
      <c r="BQ257" s="212"/>
      <c r="BR257" s="212"/>
      <c r="BS257" s="213" t="s">
        <v>18</v>
      </c>
      <c r="BT257" s="181"/>
      <c r="BU257" s="210"/>
      <c r="BV257" s="161">
        <f t="shared" si="114"/>
        <v>0</v>
      </c>
      <c r="BW257" s="211"/>
      <c r="BX257" s="212"/>
      <c r="BY257" s="212"/>
      <c r="BZ257" s="213" t="s">
        <v>18</v>
      </c>
      <c r="CC257" s="163">
        <f t="shared" si="115"/>
        <v>0</v>
      </c>
      <c r="CD257" s="163">
        <f t="shared" si="116"/>
        <v>0</v>
      </c>
      <c r="CE257" s="163">
        <f t="shared" si="117"/>
        <v>0</v>
      </c>
      <c r="CF257" s="163">
        <f t="shared" si="118"/>
        <v>0</v>
      </c>
      <c r="CG257" s="163">
        <f t="shared" si="119"/>
        <v>0</v>
      </c>
      <c r="CH257" s="163">
        <f t="shared" si="120"/>
        <v>0</v>
      </c>
      <c r="CJ257" s="163">
        <f t="shared" si="121"/>
        <v>0</v>
      </c>
      <c r="CK257" s="163">
        <f t="shared" si="122"/>
        <v>0</v>
      </c>
      <c r="CL257" s="163">
        <f t="shared" si="123"/>
        <v>0</v>
      </c>
      <c r="CM257" s="163">
        <f t="shared" si="124"/>
        <v>0</v>
      </c>
      <c r="CN257" s="163">
        <f t="shared" si="125"/>
        <v>0</v>
      </c>
      <c r="CO257" s="163">
        <f t="shared" si="126"/>
        <v>0</v>
      </c>
      <c r="CP257" s="163"/>
      <c r="CQ257" s="163">
        <f t="shared" si="127"/>
        <v>0</v>
      </c>
      <c r="CR257" s="163">
        <f t="shared" si="128"/>
        <v>0</v>
      </c>
      <c r="CS257" s="163">
        <f t="shared" si="129"/>
        <v>0</v>
      </c>
      <c r="CT257" s="163">
        <f t="shared" si="130"/>
        <v>0</v>
      </c>
      <c r="CU257" s="163">
        <f t="shared" si="131"/>
        <v>0</v>
      </c>
      <c r="CV257" s="163">
        <f t="shared" si="132"/>
        <v>0</v>
      </c>
    </row>
    <row r="258" spans="2:100" x14ac:dyDescent="0.25">
      <c r="B258" s="197"/>
      <c r="C258" s="187"/>
      <c r="D258" s="188"/>
      <c r="E258" s="188"/>
      <c r="F258" s="198"/>
      <c r="G258" s="143"/>
      <c r="H258" s="144"/>
      <c r="I258" s="144"/>
      <c r="J258" s="144"/>
      <c r="K258" s="144"/>
      <c r="L258" s="144"/>
      <c r="M258" s="144"/>
      <c r="N258" s="199"/>
      <c r="O258" s="200"/>
      <c r="P258" s="161"/>
      <c r="Q258" s="161"/>
      <c r="R258" s="201"/>
      <c r="S258" s="162"/>
      <c r="T258" s="162"/>
      <c r="U258" s="162"/>
      <c r="V258" s="162"/>
      <c r="W258" s="140"/>
      <c r="X258" s="150"/>
      <c r="Y258" s="202"/>
      <c r="Z258" s="203"/>
      <c r="AA258" s="204"/>
      <c r="AB258" s="204"/>
      <c r="AC258" s="205"/>
      <c r="AD258" s="143"/>
      <c r="AE258" s="206"/>
      <c r="AF258" s="207"/>
      <c r="AG258" s="161"/>
      <c r="AH258" s="161"/>
      <c r="AI258" s="208"/>
      <c r="AJ258" s="208"/>
      <c r="AK258" s="209"/>
      <c r="AL258" s="210"/>
      <c r="AM258" s="161">
        <f t="shared" si="109"/>
        <v>0</v>
      </c>
      <c r="AN258" s="211"/>
      <c r="AO258" s="212"/>
      <c r="AP258" s="212"/>
      <c r="AQ258" s="213" t="s">
        <v>18</v>
      </c>
      <c r="AR258" s="209"/>
      <c r="AS258" s="210"/>
      <c r="AT258" s="161">
        <f t="shared" si="110"/>
        <v>0</v>
      </c>
      <c r="AU258" s="211"/>
      <c r="AV258" s="212"/>
      <c r="AW258" s="212"/>
      <c r="AX258" s="213" t="s">
        <v>18</v>
      </c>
      <c r="AY258" s="209"/>
      <c r="AZ258" s="210"/>
      <c r="BA258" s="161">
        <f t="shared" si="111"/>
        <v>0</v>
      </c>
      <c r="BB258" s="211"/>
      <c r="BC258" s="212"/>
      <c r="BD258" s="212"/>
      <c r="BE258" s="213" t="s">
        <v>18</v>
      </c>
      <c r="BF258" s="181"/>
      <c r="BG258" s="210"/>
      <c r="BH258" s="161">
        <f t="shared" si="112"/>
        <v>0</v>
      </c>
      <c r="BI258" s="211"/>
      <c r="BJ258" s="212"/>
      <c r="BK258" s="212"/>
      <c r="BL258" s="213" t="s">
        <v>18</v>
      </c>
      <c r="BM258" s="181"/>
      <c r="BN258" s="210"/>
      <c r="BO258" s="161">
        <f t="shared" si="113"/>
        <v>0</v>
      </c>
      <c r="BP258" s="211"/>
      <c r="BQ258" s="212"/>
      <c r="BR258" s="212"/>
      <c r="BS258" s="213" t="s">
        <v>18</v>
      </c>
      <c r="BT258" s="181"/>
      <c r="BU258" s="210"/>
      <c r="BV258" s="161">
        <f t="shared" si="114"/>
        <v>0</v>
      </c>
      <c r="BW258" s="211"/>
      <c r="BX258" s="212"/>
      <c r="BY258" s="212"/>
      <c r="BZ258" s="213" t="s">
        <v>18</v>
      </c>
      <c r="CC258" s="163">
        <f t="shared" si="115"/>
        <v>0</v>
      </c>
      <c r="CD258" s="163">
        <f t="shared" si="116"/>
        <v>0</v>
      </c>
      <c r="CE258" s="163">
        <f t="shared" si="117"/>
        <v>0</v>
      </c>
      <c r="CF258" s="163">
        <f t="shared" si="118"/>
        <v>0</v>
      </c>
      <c r="CG258" s="163">
        <f t="shared" si="119"/>
        <v>0</v>
      </c>
      <c r="CH258" s="163">
        <f t="shared" si="120"/>
        <v>0</v>
      </c>
      <c r="CJ258" s="163">
        <f t="shared" si="121"/>
        <v>0</v>
      </c>
      <c r="CK258" s="163">
        <f t="shared" si="122"/>
        <v>0</v>
      </c>
      <c r="CL258" s="163">
        <f t="shared" si="123"/>
        <v>0</v>
      </c>
      <c r="CM258" s="163">
        <f t="shared" si="124"/>
        <v>0</v>
      </c>
      <c r="CN258" s="163">
        <f t="shared" si="125"/>
        <v>0</v>
      </c>
      <c r="CO258" s="163">
        <f t="shared" si="126"/>
        <v>0</v>
      </c>
      <c r="CP258" s="163"/>
      <c r="CQ258" s="163">
        <f t="shared" si="127"/>
        <v>0</v>
      </c>
      <c r="CR258" s="163">
        <f t="shared" si="128"/>
        <v>0</v>
      </c>
      <c r="CS258" s="163">
        <f t="shared" si="129"/>
        <v>0</v>
      </c>
      <c r="CT258" s="163">
        <f t="shared" si="130"/>
        <v>0</v>
      </c>
      <c r="CU258" s="163">
        <f t="shared" si="131"/>
        <v>0</v>
      </c>
      <c r="CV258" s="163">
        <f t="shared" si="132"/>
        <v>0</v>
      </c>
    </row>
    <row r="259" spans="2:100" x14ac:dyDescent="0.25">
      <c r="B259" s="197"/>
      <c r="C259" s="187"/>
      <c r="D259" s="188"/>
      <c r="E259" s="188"/>
      <c r="F259" s="198"/>
      <c r="G259" s="143"/>
      <c r="H259" s="144"/>
      <c r="I259" s="144"/>
      <c r="J259" s="144"/>
      <c r="K259" s="144"/>
      <c r="L259" s="144"/>
      <c r="M259" s="144"/>
      <c r="N259" s="199"/>
      <c r="O259" s="200"/>
      <c r="P259" s="161"/>
      <c r="Q259" s="161"/>
      <c r="R259" s="201"/>
      <c r="S259" s="162"/>
      <c r="T259" s="162"/>
      <c r="U259" s="162"/>
      <c r="V259" s="162"/>
      <c r="W259" s="140"/>
      <c r="X259" s="150"/>
      <c r="Y259" s="202"/>
      <c r="Z259" s="203"/>
      <c r="AA259" s="204"/>
      <c r="AB259" s="204"/>
      <c r="AC259" s="205"/>
      <c r="AD259" s="143"/>
      <c r="AE259" s="206"/>
      <c r="AF259" s="207"/>
      <c r="AG259" s="161"/>
      <c r="AH259" s="161"/>
      <c r="AI259" s="208"/>
      <c r="AJ259" s="208"/>
      <c r="AK259" s="209"/>
      <c r="AL259" s="210"/>
      <c r="AM259" s="161">
        <f t="shared" si="109"/>
        <v>0</v>
      </c>
      <c r="AN259" s="211"/>
      <c r="AO259" s="212"/>
      <c r="AP259" s="212"/>
      <c r="AQ259" s="213" t="s">
        <v>18</v>
      </c>
      <c r="AR259" s="209"/>
      <c r="AS259" s="210"/>
      <c r="AT259" s="161">
        <f t="shared" si="110"/>
        <v>0</v>
      </c>
      <c r="AU259" s="211"/>
      <c r="AV259" s="212"/>
      <c r="AW259" s="212"/>
      <c r="AX259" s="213" t="s">
        <v>18</v>
      </c>
      <c r="AY259" s="209"/>
      <c r="AZ259" s="210"/>
      <c r="BA259" s="161">
        <f t="shared" si="111"/>
        <v>0</v>
      </c>
      <c r="BB259" s="211"/>
      <c r="BC259" s="212"/>
      <c r="BD259" s="212"/>
      <c r="BE259" s="213" t="s">
        <v>18</v>
      </c>
      <c r="BF259" s="181"/>
      <c r="BG259" s="210"/>
      <c r="BH259" s="161">
        <f t="shared" si="112"/>
        <v>0</v>
      </c>
      <c r="BI259" s="211"/>
      <c r="BJ259" s="212"/>
      <c r="BK259" s="212"/>
      <c r="BL259" s="213" t="s">
        <v>18</v>
      </c>
      <c r="BM259" s="181"/>
      <c r="BN259" s="210"/>
      <c r="BO259" s="161">
        <f t="shared" si="113"/>
        <v>0</v>
      </c>
      <c r="BP259" s="211"/>
      <c r="BQ259" s="212"/>
      <c r="BR259" s="212"/>
      <c r="BS259" s="213" t="s">
        <v>18</v>
      </c>
      <c r="BT259" s="181"/>
      <c r="BU259" s="210"/>
      <c r="BV259" s="161">
        <f t="shared" si="114"/>
        <v>0</v>
      </c>
      <c r="BW259" s="211"/>
      <c r="BX259" s="212"/>
      <c r="BY259" s="212"/>
      <c r="BZ259" s="213" t="s">
        <v>18</v>
      </c>
      <c r="CC259" s="163">
        <f t="shared" si="115"/>
        <v>0</v>
      </c>
      <c r="CD259" s="163">
        <f t="shared" si="116"/>
        <v>0</v>
      </c>
      <c r="CE259" s="163">
        <f t="shared" si="117"/>
        <v>0</v>
      </c>
      <c r="CF259" s="163">
        <f t="shared" si="118"/>
        <v>0</v>
      </c>
      <c r="CG259" s="163">
        <f t="shared" si="119"/>
        <v>0</v>
      </c>
      <c r="CH259" s="163">
        <f t="shared" si="120"/>
        <v>0</v>
      </c>
      <c r="CJ259" s="163">
        <f t="shared" si="121"/>
        <v>0</v>
      </c>
      <c r="CK259" s="163">
        <f t="shared" si="122"/>
        <v>0</v>
      </c>
      <c r="CL259" s="163">
        <f t="shared" si="123"/>
        <v>0</v>
      </c>
      <c r="CM259" s="163">
        <f t="shared" si="124"/>
        <v>0</v>
      </c>
      <c r="CN259" s="163">
        <f t="shared" si="125"/>
        <v>0</v>
      </c>
      <c r="CO259" s="163">
        <f t="shared" si="126"/>
        <v>0</v>
      </c>
      <c r="CP259" s="163"/>
      <c r="CQ259" s="163">
        <f t="shared" si="127"/>
        <v>0</v>
      </c>
      <c r="CR259" s="163">
        <f t="shared" si="128"/>
        <v>0</v>
      </c>
      <c r="CS259" s="163">
        <f t="shared" si="129"/>
        <v>0</v>
      </c>
      <c r="CT259" s="163">
        <f t="shared" si="130"/>
        <v>0</v>
      </c>
      <c r="CU259" s="163">
        <f t="shared" si="131"/>
        <v>0</v>
      </c>
      <c r="CV259" s="163">
        <f t="shared" si="132"/>
        <v>0</v>
      </c>
    </row>
    <row r="260" spans="2:100" x14ac:dyDescent="0.25">
      <c r="B260" s="197"/>
      <c r="C260" s="187"/>
      <c r="D260" s="188"/>
      <c r="E260" s="188"/>
      <c r="F260" s="198"/>
      <c r="G260" s="143"/>
      <c r="H260" s="144"/>
      <c r="I260" s="144"/>
      <c r="J260" s="144"/>
      <c r="K260" s="144"/>
      <c r="L260" s="144"/>
      <c r="M260" s="144"/>
      <c r="N260" s="199"/>
      <c r="O260" s="200"/>
      <c r="P260" s="161"/>
      <c r="Q260" s="161"/>
      <c r="R260" s="201"/>
      <c r="S260" s="162"/>
      <c r="T260" s="162"/>
      <c r="U260" s="162"/>
      <c r="V260" s="162"/>
      <c r="W260" s="140"/>
      <c r="X260" s="150"/>
      <c r="Y260" s="202"/>
      <c r="Z260" s="203"/>
      <c r="AA260" s="204"/>
      <c r="AB260" s="204"/>
      <c r="AC260" s="205"/>
      <c r="AD260" s="143"/>
      <c r="AE260" s="206"/>
      <c r="AF260" s="207"/>
      <c r="AG260" s="161"/>
      <c r="AH260" s="161"/>
      <c r="AI260" s="208"/>
      <c r="AJ260" s="208"/>
      <c r="AK260" s="209"/>
      <c r="AL260" s="210"/>
      <c r="AM260" s="161">
        <f t="shared" si="109"/>
        <v>0</v>
      </c>
      <c r="AN260" s="211"/>
      <c r="AO260" s="212"/>
      <c r="AP260" s="212"/>
      <c r="AQ260" s="213" t="s">
        <v>18</v>
      </c>
      <c r="AR260" s="209"/>
      <c r="AS260" s="210"/>
      <c r="AT260" s="161">
        <f t="shared" si="110"/>
        <v>0</v>
      </c>
      <c r="AU260" s="211"/>
      <c r="AV260" s="212"/>
      <c r="AW260" s="212"/>
      <c r="AX260" s="213" t="s">
        <v>18</v>
      </c>
      <c r="AY260" s="209"/>
      <c r="AZ260" s="210"/>
      <c r="BA260" s="161">
        <f t="shared" si="111"/>
        <v>0</v>
      </c>
      <c r="BB260" s="211"/>
      <c r="BC260" s="212"/>
      <c r="BD260" s="212"/>
      <c r="BE260" s="213" t="s">
        <v>18</v>
      </c>
      <c r="BF260" s="181"/>
      <c r="BG260" s="210"/>
      <c r="BH260" s="161">
        <f t="shared" si="112"/>
        <v>0</v>
      </c>
      <c r="BI260" s="211"/>
      <c r="BJ260" s="212"/>
      <c r="BK260" s="212"/>
      <c r="BL260" s="213" t="s">
        <v>18</v>
      </c>
      <c r="BM260" s="181"/>
      <c r="BN260" s="210"/>
      <c r="BO260" s="161">
        <f t="shared" si="113"/>
        <v>0</v>
      </c>
      <c r="BP260" s="211"/>
      <c r="BQ260" s="212"/>
      <c r="BR260" s="212"/>
      <c r="BS260" s="213" t="s">
        <v>18</v>
      </c>
      <c r="BT260" s="181"/>
      <c r="BU260" s="210"/>
      <c r="BV260" s="161">
        <f t="shared" si="114"/>
        <v>0</v>
      </c>
      <c r="BW260" s="211"/>
      <c r="BX260" s="212"/>
      <c r="BY260" s="212"/>
      <c r="BZ260" s="213" t="s">
        <v>18</v>
      </c>
      <c r="CC260" s="163">
        <f t="shared" si="115"/>
        <v>0</v>
      </c>
      <c r="CD260" s="163">
        <f t="shared" si="116"/>
        <v>0</v>
      </c>
      <c r="CE260" s="163">
        <f t="shared" si="117"/>
        <v>0</v>
      </c>
      <c r="CF260" s="163">
        <f t="shared" si="118"/>
        <v>0</v>
      </c>
      <c r="CG260" s="163">
        <f t="shared" si="119"/>
        <v>0</v>
      </c>
      <c r="CH260" s="163">
        <f t="shared" si="120"/>
        <v>0</v>
      </c>
      <c r="CJ260" s="163">
        <f t="shared" si="121"/>
        <v>0</v>
      </c>
      <c r="CK260" s="163">
        <f t="shared" si="122"/>
        <v>0</v>
      </c>
      <c r="CL260" s="163">
        <f t="shared" si="123"/>
        <v>0</v>
      </c>
      <c r="CM260" s="163">
        <f t="shared" si="124"/>
        <v>0</v>
      </c>
      <c r="CN260" s="163">
        <f t="shared" si="125"/>
        <v>0</v>
      </c>
      <c r="CO260" s="163">
        <f t="shared" si="126"/>
        <v>0</v>
      </c>
      <c r="CP260" s="163"/>
      <c r="CQ260" s="163">
        <f t="shared" si="127"/>
        <v>0</v>
      </c>
      <c r="CR260" s="163">
        <f t="shared" si="128"/>
        <v>0</v>
      </c>
      <c r="CS260" s="163">
        <f t="shared" si="129"/>
        <v>0</v>
      </c>
      <c r="CT260" s="163">
        <f t="shared" si="130"/>
        <v>0</v>
      </c>
      <c r="CU260" s="163">
        <f t="shared" si="131"/>
        <v>0</v>
      </c>
      <c r="CV260" s="163">
        <f t="shared" si="132"/>
        <v>0</v>
      </c>
    </row>
    <row r="261" spans="2:100" x14ac:dyDescent="0.25">
      <c r="B261" s="197"/>
      <c r="C261" s="187"/>
      <c r="D261" s="188"/>
      <c r="E261" s="188"/>
      <c r="F261" s="198"/>
      <c r="G261" s="143"/>
      <c r="H261" s="144"/>
      <c r="I261" s="144"/>
      <c r="J261" s="144"/>
      <c r="K261" s="144"/>
      <c r="L261" s="144"/>
      <c r="M261" s="144"/>
      <c r="N261" s="199"/>
      <c r="O261" s="200"/>
      <c r="P261" s="161"/>
      <c r="Q261" s="161"/>
      <c r="R261" s="201"/>
      <c r="S261" s="162"/>
      <c r="T261" s="162"/>
      <c r="U261" s="162"/>
      <c r="V261" s="162"/>
      <c r="W261" s="140"/>
      <c r="X261" s="150"/>
      <c r="Y261" s="202"/>
      <c r="Z261" s="203"/>
      <c r="AA261" s="204"/>
      <c r="AB261" s="204"/>
      <c r="AC261" s="205"/>
      <c r="AD261" s="143"/>
      <c r="AE261" s="206"/>
      <c r="AF261" s="207"/>
      <c r="AG261" s="161"/>
      <c r="AH261" s="161"/>
      <c r="AI261" s="208"/>
      <c r="AJ261" s="208"/>
      <c r="AK261" s="209"/>
      <c r="AL261" s="210"/>
      <c r="AM261" s="161">
        <f t="shared" si="109"/>
        <v>0</v>
      </c>
      <c r="AN261" s="211"/>
      <c r="AO261" s="212"/>
      <c r="AP261" s="212"/>
      <c r="AQ261" s="213" t="s">
        <v>18</v>
      </c>
      <c r="AR261" s="209"/>
      <c r="AS261" s="210"/>
      <c r="AT261" s="161">
        <f t="shared" si="110"/>
        <v>0</v>
      </c>
      <c r="AU261" s="211"/>
      <c r="AV261" s="212"/>
      <c r="AW261" s="212"/>
      <c r="AX261" s="213" t="s">
        <v>18</v>
      </c>
      <c r="AY261" s="209"/>
      <c r="AZ261" s="210"/>
      <c r="BA261" s="161">
        <f t="shared" si="111"/>
        <v>0</v>
      </c>
      <c r="BB261" s="211"/>
      <c r="BC261" s="212"/>
      <c r="BD261" s="212"/>
      <c r="BE261" s="213" t="s">
        <v>18</v>
      </c>
      <c r="BF261" s="181"/>
      <c r="BG261" s="210"/>
      <c r="BH261" s="161">
        <f t="shared" si="112"/>
        <v>0</v>
      </c>
      <c r="BI261" s="211"/>
      <c r="BJ261" s="212"/>
      <c r="BK261" s="212"/>
      <c r="BL261" s="213" t="s">
        <v>18</v>
      </c>
      <c r="BM261" s="181"/>
      <c r="BN261" s="210"/>
      <c r="BO261" s="161">
        <f t="shared" si="113"/>
        <v>0</v>
      </c>
      <c r="BP261" s="211"/>
      <c r="BQ261" s="212"/>
      <c r="BR261" s="212"/>
      <c r="BS261" s="213" t="s">
        <v>18</v>
      </c>
      <c r="BT261" s="181"/>
      <c r="BU261" s="210"/>
      <c r="BV261" s="161">
        <f t="shared" si="114"/>
        <v>0</v>
      </c>
      <c r="BW261" s="211"/>
      <c r="BX261" s="212"/>
      <c r="BY261" s="212"/>
      <c r="BZ261" s="213" t="s">
        <v>18</v>
      </c>
      <c r="CC261" s="163">
        <f t="shared" si="115"/>
        <v>0</v>
      </c>
      <c r="CD261" s="163">
        <f t="shared" si="116"/>
        <v>0</v>
      </c>
      <c r="CE261" s="163">
        <f t="shared" si="117"/>
        <v>0</v>
      </c>
      <c r="CF261" s="163">
        <f t="shared" si="118"/>
        <v>0</v>
      </c>
      <c r="CG261" s="163">
        <f t="shared" si="119"/>
        <v>0</v>
      </c>
      <c r="CH261" s="163">
        <f t="shared" si="120"/>
        <v>0</v>
      </c>
      <c r="CJ261" s="163">
        <f t="shared" si="121"/>
        <v>0</v>
      </c>
      <c r="CK261" s="163">
        <f t="shared" si="122"/>
        <v>0</v>
      </c>
      <c r="CL261" s="163">
        <f t="shared" si="123"/>
        <v>0</v>
      </c>
      <c r="CM261" s="163">
        <f t="shared" si="124"/>
        <v>0</v>
      </c>
      <c r="CN261" s="163">
        <f t="shared" si="125"/>
        <v>0</v>
      </c>
      <c r="CO261" s="163">
        <f t="shared" si="126"/>
        <v>0</v>
      </c>
      <c r="CP261" s="163"/>
      <c r="CQ261" s="163">
        <f t="shared" si="127"/>
        <v>0</v>
      </c>
      <c r="CR261" s="163">
        <f t="shared" si="128"/>
        <v>0</v>
      </c>
      <c r="CS261" s="163">
        <f t="shared" si="129"/>
        <v>0</v>
      </c>
      <c r="CT261" s="163">
        <f t="shared" si="130"/>
        <v>0</v>
      </c>
      <c r="CU261" s="163">
        <f t="shared" si="131"/>
        <v>0</v>
      </c>
      <c r="CV261" s="163">
        <f t="shared" si="132"/>
        <v>0</v>
      </c>
    </row>
    <row r="262" spans="2:100" x14ac:dyDescent="0.25">
      <c r="B262" s="197"/>
      <c r="C262" s="187"/>
      <c r="D262" s="188"/>
      <c r="E262" s="188"/>
      <c r="F262" s="198"/>
      <c r="G262" s="143"/>
      <c r="H262" s="144"/>
      <c r="I262" s="144"/>
      <c r="J262" s="144"/>
      <c r="K262" s="144"/>
      <c r="L262" s="144"/>
      <c r="M262" s="144"/>
      <c r="N262" s="199"/>
      <c r="O262" s="200"/>
      <c r="P262" s="161"/>
      <c r="Q262" s="161"/>
      <c r="R262" s="201"/>
      <c r="S262" s="162"/>
      <c r="T262" s="162"/>
      <c r="U262" s="162"/>
      <c r="V262" s="162"/>
      <c r="W262" s="140"/>
      <c r="X262" s="150"/>
      <c r="Y262" s="202"/>
      <c r="Z262" s="203"/>
      <c r="AA262" s="204"/>
      <c r="AB262" s="204"/>
      <c r="AC262" s="205"/>
      <c r="AD262" s="143"/>
      <c r="AE262" s="206"/>
      <c r="AF262" s="207"/>
      <c r="AG262" s="161"/>
      <c r="AH262" s="161"/>
      <c r="AI262" s="208"/>
      <c r="AJ262" s="208"/>
      <c r="AK262" s="209"/>
      <c r="AL262" s="210"/>
      <c r="AM262" s="161">
        <f t="shared" si="109"/>
        <v>0</v>
      </c>
      <c r="AN262" s="211"/>
      <c r="AO262" s="212"/>
      <c r="AP262" s="212"/>
      <c r="AQ262" s="213" t="s">
        <v>18</v>
      </c>
      <c r="AR262" s="209"/>
      <c r="AS262" s="210"/>
      <c r="AT262" s="161">
        <f t="shared" si="110"/>
        <v>0</v>
      </c>
      <c r="AU262" s="211"/>
      <c r="AV262" s="212"/>
      <c r="AW262" s="212"/>
      <c r="AX262" s="213" t="s">
        <v>18</v>
      </c>
      <c r="AY262" s="209"/>
      <c r="AZ262" s="210"/>
      <c r="BA262" s="161">
        <f t="shared" si="111"/>
        <v>0</v>
      </c>
      <c r="BB262" s="211"/>
      <c r="BC262" s="212"/>
      <c r="BD262" s="212"/>
      <c r="BE262" s="213" t="s">
        <v>18</v>
      </c>
      <c r="BF262" s="181"/>
      <c r="BG262" s="210"/>
      <c r="BH262" s="161">
        <f t="shared" si="112"/>
        <v>0</v>
      </c>
      <c r="BI262" s="211"/>
      <c r="BJ262" s="212"/>
      <c r="BK262" s="212"/>
      <c r="BL262" s="213" t="s">
        <v>18</v>
      </c>
      <c r="BM262" s="181"/>
      <c r="BN262" s="210"/>
      <c r="BO262" s="161">
        <f t="shared" si="113"/>
        <v>0</v>
      </c>
      <c r="BP262" s="211"/>
      <c r="BQ262" s="212"/>
      <c r="BR262" s="212"/>
      <c r="BS262" s="213" t="s">
        <v>18</v>
      </c>
      <c r="BT262" s="181"/>
      <c r="BU262" s="210"/>
      <c r="BV262" s="161">
        <f t="shared" si="114"/>
        <v>0</v>
      </c>
      <c r="BW262" s="211"/>
      <c r="BX262" s="212"/>
      <c r="BY262" s="212"/>
      <c r="BZ262" s="213" t="s">
        <v>18</v>
      </c>
      <c r="CC262" s="163">
        <f t="shared" si="115"/>
        <v>0</v>
      </c>
      <c r="CD262" s="163">
        <f t="shared" si="116"/>
        <v>0</v>
      </c>
      <c r="CE262" s="163">
        <f t="shared" si="117"/>
        <v>0</v>
      </c>
      <c r="CF262" s="163">
        <f t="shared" si="118"/>
        <v>0</v>
      </c>
      <c r="CG262" s="163">
        <f t="shared" si="119"/>
        <v>0</v>
      </c>
      <c r="CH262" s="163">
        <f t="shared" si="120"/>
        <v>0</v>
      </c>
      <c r="CJ262" s="163">
        <f t="shared" si="121"/>
        <v>0</v>
      </c>
      <c r="CK262" s="163">
        <f t="shared" si="122"/>
        <v>0</v>
      </c>
      <c r="CL262" s="163">
        <f t="shared" si="123"/>
        <v>0</v>
      </c>
      <c r="CM262" s="163">
        <f t="shared" si="124"/>
        <v>0</v>
      </c>
      <c r="CN262" s="163">
        <f t="shared" si="125"/>
        <v>0</v>
      </c>
      <c r="CO262" s="163">
        <f t="shared" si="126"/>
        <v>0</v>
      </c>
      <c r="CP262" s="163"/>
      <c r="CQ262" s="163">
        <f t="shared" si="127"/>
        <v>0</v>
      </c>
      <c r="CR262" s="163">
        <f t="shared" si="128"/>
        <v>0</v>
      </c>
      <c r="CS262" s="163">
        <f t="shared" si="129"/>
        <v>0</v>
      </c>
      <c r="CT262" s="163">
        <f t="shared" si="130"/>
        <v>0</v>
      </c>
      <c r="CU262" s="163">
        <f t="shared" si="131"/>
        <v>0</v>
      </c>
      <c r="CV262" s="163">
        <f t="shared" si="132"/>
        <v>0</v>
      </c>
    </row>
    <row r="263" spans="2:100" x14ac:dyDescent="0.25">
      <c r="B263" s="197"/>
      <c r="C263" s="187"/>
      <c r="D263" s="188"/>
      <c r="E263" s="188"/>
      <c r="F263" s="198"/>
      <c r="G263" s="143"/>
      <c r="H263" s="144"/>
      <c r="I263" s="144"/>
      <c r="J263" s="144"/>
      <c r="K263" s="144"/>
      <c r="L263" s="144"/>
      <c r="M263" s="144"/>
      <c r="N263" s="199"/>
      <c r="O263" s="200"/>
      <c r="P263" s="161"/>
      <c r="Q263" s="161"/>
      <c r="R263" s="201"/>
      <c r="S263" s="162"/>
      <c r="T263" s="162"/>
      <c r="U263" s="162"/>
      <c r="V263" s="162"/>
      <c r="W263" s="140"/>
      <c r="X263" s="150"/>
      <c r="Y263" s="202"/>
      <c r="Z263" s="203"/>
      <c r="AA263" s="204"/>
      <c r="AB263" s="204"/>
      <c r="AC263" s="205"/>
      <c r="AD263" s="143"/>
      <c r="AE263" s="206"/>
      <c r="AF263" s="207"/>
      <c r="AG263" s="161"/>
      <c r="AH263" s="161"/>
      <c r="AI263" s="208"/>
      <c r="AJ263" s="208"/>
      <c r="AK263" s="209"/>
      <c r="AL263" s="210"/>
      <c r="AM263" s="161">
        <f t="shared" si="109"/>
        <v>0</v>
      </c>
      <c r="AN263" s="211"/>
      <c r="AO263" s="212"/>
      <c r="AP263" s="212"/>
      <c r="AQ263" s="213" t="s">
        <v>18</v>
      </c>
      <c r="AR263" s="209"/>
      <c r="AS263" s="210"/>
      <c r="AT263" s="161">
        <f t="shared" si="110"/>
        <v>0</v>
      </c>
      <c r="AU263" s="211"/>
      <c r="AV263" s="212"/>
      <c r="AW263" s="212"/>
      <c r="AX263" s="213" t="s">
        <v>18</v>
      </c>
      <c r="AY263" s="209"/>
      <c r="AZ263" s="210"/>
      <c r="BA263" s="161">
        <f t="shared" si="111"/>
        <v>0</v>
      </c>
      <c r="BB263" s="211"/>
      <c r="BC263" s="212"/>
      <c r="BD263" s="212"/>
      <c r="BE263" s="213" t="s">
        <v>18</v>
      </c>
      <c r="BF263" s="181"/>
      <c r="BG263" s="210"/>
      <c r="BH263" s="161">
        <f t="shared" si="112"/>
        <v>0</v>
      </c>
      <c r="BI263" s="211"/>
      <c r="BJ263" s="212"/>
      <c r="BK263" s="212"/>
      <c r="BL263" s="213" t="s">
        <v>18</v>
      </c>
      <c r="BM263" s="181"/>
      <c r="BN263" s="210"/>
      <c r="BO263" s="161">
        <f t="shared" si="113"/>
        <v>0</v>
      </c>
      <c r="BP263" s="211"/>
      <c r="BQ263" s="212"/>
      <c r="BR263" s="212"/>
      <c r="BS263" s="213" t="s">
        <v>18</v>
      </c>
      <c r="BT263" s="181"/>
      <c r="BU263" s="210"/>
      <c r="BV263" s="161">
        <f t="shared" si="114"/>
        <v>0</v>
      </c>
      <c r="BW263" s="211"/>
      <c r="BX263" s="212"/>
      <c r="BY263" s="212"/>
      <c r="BZ263" s="213" t="s">
        <v>18</v>
      </c>
      <c r="CC263" s="163">
        <f t="shared" si="115"/>
        <v>0</v>
      </c>
      <c r="CD263" s="163">
        <f t="shared" si="116"/>
        <v>0</v>
      </c>
      <c r="CE263" s="163">
        <f t="shared" si="117"/>
        <v>0</v>
      </c>
      <c r="CF263" s="163">
        <f t="shared" si="118"/>
        <v>0</v>
      </c>
      <c r="CG263" s="163">
        <f t="shared" si="119"/>
        <v>0</v>
      </c>
      <c r="CH263" s="163">
        <f t="shared" si="120"/>
        <v>0</v>
      </c>
      <c r="CJ263" s="163">
        <f t="shared" si="121"/>
        <v>0</v>
      </c>
      <c r="CK263" s="163">
        <f t="shared" si="122"/>
        <v>0</v>
      </c>
      <c r="CL263" s="163">
        <f t="shared" si="123"/>
        <v>0</v>
      </c>
      <c r="CM263" s="163">
        <f t="shared" si="124"/>
        <v>0</v>
      </c>
      <c r="CN263" s="163">
        <f t="shared" si="125"/>
        <v>0</v>
      </c>
      <c r="CO263" s="163">
        <f t="shared" si="126"/>
        <v>0</v>
      </c>
      <c r="CP263" s="163"/>
      <c r="CQ263" s="163">
        <f t="shared" si="127"/>
        <v>0</v>
      </c>
      <c r="CR263" s="163">
        <f t="shared" si="128"/>
        <v>0</v>
      </c>
      <c r="CS263" s="163">
        <f t="shared" si="129"/>
        <v>0</v>
      </c>
      <c r="CT263" s="163">
        <f t="shared" si="130"/>
        <v>0</v>
      </c>
      <c r="CU263" s="163">
        <f t="shared" si="131"/>
        <v>0</v>
      </c>
      <c r="CV263" s="163">
        <f t="shared" si="132"/>
        <v>0</v>
      </c>
    </row>
    <row r="264" spans="2:100" x14ac:dyDescent="0.25">
      <c r="B264" s="197"/>
      <c r="C264" s="187"/>
      <c r="D264" s="188"/>
      <c r="E264" s="188"/>
      <c r="F264" s="198"/>
      <c r="G264" s="143"/>
      <c r="H264" s="144"/>
      <c r="I264" s="144"/>
      <c r="J264" s="144"/>
      <c r="K264" s="144"/>
      <c r="L264" s="144"/>
      <c r="M264" s="144"/>
      <c r="N264" s="199"/>
      <c r="O264" s="200"/>
      <c r="P264" s="161"/>
      <c r="Q264" s="161"/>
      <c r="R264" s="201"/>
      <c r="S264" s="162"/>
      <c r="T264" s="162"/>
      <c r="U264" s="162"/>
      <c r="V264" s="162"/>
      <c r="W264" s="140"/>
      <c r="X264" s="150"/>
      <c r="Y264" s="202"/>
      <c r="Z264" s="203"/>
      <c r="AA264" s="204"/>
      <c r="AB264" s="204"/>
      <c r="AC264" s="205"/>
      <c r="AD264" s="143"/>
      <c r="AE264" s="206"/>
      <c r="AF264" s="207"/>
      <c r="AG264" s="161"/>
      <c r="AH264" s="161"/>
      <c r="AI264" s="208"/>
      <c r="AJ264" s="208"/>
      <c r="AK264" s="209"/>
      <c r="AL264" s="210"/>
      <c r="AM264" s="161">
        <f t="shared" si="109"/>
        <v>0</v>
      </c>
      <c r="AN264" s="211"/>
      <c r="AO264" s="212"/>
      <c r="AP264" s="212"/>
      <c r="AQ264" s="213" t="s">
        <v>18</v>
      </c>
      <c r="AR264" s="209"/>
      <c r="AS264" s="210"/>
      <c r="AT264" s="161">
        <f t="shared" si="110"/>
        <v>0</v>
      </c>
      <c r="AU264" s="211"/>
      <c r="AV264" s="212"/>
      <c r="AW264" s="212"/>
      <c r="AX264" s="213" t="s">
        <v>18</v>
      </c>
      <c r="AY264" s="209"/>
      <c r="AZ264" s="210"/>
      <c r="BA264" s="161">
        <f t="shared" si="111"/>
        <v>0</v>
      </c>
      <c r="BB264" s="211"/>
      <c r="BC264" s="212"/>
      <c r="BD264" s="212"/>
      <c r="BE264" s="213" t="s">
        <v>18</v>
      </c>
      <c r="BF264" s="181"/>
      <c r="BG264" s="210"/>
      <c r="BH264" s="161">
        <f t="shared" si="112"/>
        <v>0</v>
      </c>
      <c r="BI264" s="211"/>
      <c r="BJ264" s="212"/>
      <c r="BK264" s="212"/>
      <c r="BL264" s="213" t="s">
        <v>18</v>
      </c>
      <c r="BM264" s="181"/>
      <c r="BN264" s="210"/>
      <c r="BO264" s="161">
        <f t="shared" si="113"/>
        <v>0</v>
      </c>
      <c r="BP264" s="211"/>
      <c r="BQ264" s="212"/>
      <c r="BR264" s="212"/>
      <c r="BS264" s="213" t="s">
        <v>18</v>
      </c>
      <c r="BT264" s="181"/>
      <c r="BU264" s="210"/>
      <c r="BV264" s="161">
        <f t="shared" si="114"/>
        <v>0</v>
      </c>
      <c r="BW264" s="211"/>
      <c r="BX264" s="212"/>
      <c r="BY264" s="212"/>
      <c r="BZ264" s="213" t="s">
        <v>18</v>
      </c>
      <c r="CC264" s="163">
        <f t="shared" si="115"/>
        <v>0</v>
      </c>
      <c r="CD264" s="163">
        <f t="shared" si="116"/>
        <v>0</v>
      </c>
      <c r="CE264" s="163">
        <f t="shared" si="117"/>
        <v>0</v>
      </c>
      <c r="CF264" s="163">
        <f t="shared" si="118"/>
        <v>0</v>
      </c>
      <c r="CG264" s="163">
        <f t="shared" si="119"/>
        <v>0</v>
      </c>
      <c r="CH264" s="163">
        <f t="shared" si="120"/>
        <v>0</v>
      </c>
      <c r="CJ264" s="163">
        <f t="shared" si="121"/>
        <v>0</v>
      </c>
      <c r="CK264" s="163">
        <f t="shared" si="122"/>
        <v>0</v>
      </c>
      <c r="CL264" s="163">
        <f t="shared" si="123"/>
        <v>0</v>
      </c>
      <c r="CM264" s="163">
        <f t="shared" si="124"/>
        <v>0</v>
      </c>
      <c r="CN264" s="163">
        <f t="shared" si="125"/>
        <v>0</v>
      </c>
      <c r="CO264" s="163">
        <f t="shared" si="126"/>
        <v>0</v>
      </c>
      <c r="CP264" s="163"/>
      <c r="CQ264" s="163">
        <f t="shared" si="127"/>
        <v>0</v>
      </c>
      <c r="CR264" s="163">
        <f t="shared" si="128"/>
        <v>0</v>
      </c>
      <c r="CS264" s="163">
        <f t="shared" si="129"/>
        <v>0</v>
      </c>
      <c r="CT264" s="163">
        <f t="shared" si="130"/>
        <v>0</v>
      </c>
      <c r="CU264" s="163">
        <f t="shared" si="131"/>
        <v>0</v>
      </c>
      <c r="CV264" s="163">
        <f t="shared" si="132"/>
        <v>0</v>
      </c>
    </row>
    <row r="265" spans="2:100" x14ac:dyDescent="0.25">
      <c r="B265" s="197"/>
      <c r="C265" s="187"/>
      <c r="D265" s="188"/>
      <c r="E265" s="188"/>
      <c r="F265" s="198"/>
      <c r="G265" s="143"/>
      <c r="H265" s="144"/>
      <c r="I265" s="144"/>
      <c r="J265" s="144"/>
      <c r="K265" s="144"/>
      <c r="L265" s="144"/>
      <c r="M265" s="144"/>
      <c r="N265" s="199"/>
      <c r="O265" s="200"/>
      <c r="P265" s="161"/>
      <c r="Q265" s="161"/>
      <c r="R265" s="201"/>
      <c r="S265" s="162"/>
      <c r="T265" s="162"/>
      <c r="U265" s="162"/>
      <c r="V265" s="162"/>
      <c r="W265" s="140"/>
      <c r="X265" s="150"/>
      <c r="Y265" s="202"/>
      <c r="Z265" s="203"/>
      <c r="AA265" s="204"/>
      <c r="AB265" s="204"/>
      <c r="AC265" s="205"/>
      <c r="AD265" s="143"/>
      <c r="AE265" s="206"/>
      <c r="AF265" s="207"/>
      <c r="AG265" s="161"/>
      <c r="AH265" s="161"/>
      <c r="AI265" s="208"/>
      <c r="AJ265" s="208"/>
      <c r="AK265" s="209"/>
      <c r="AL265" s="210"/>
      <c r="AM265" s="161">
        <f t="shared" si="109"/>
        <v>0</v>
      </c>
      <c r="AN265" s="211"/>
      <c r="AO265" s="212"/>
      <c r="AP265" s="212"/>
      <c r="AQ265" s="213" t="s">
        <v>18</v>
      </c>
      <c r="AR265" s="209"/>
      <c r="AS265" s="210"/>
      <c r="AT265" s="161">
        <f t="shared" si="110"/>
        <v>0</v>
      </c>
      <c r="AU265" s="211"/>
      <c r="AV265" s="212"/>
      <c r="AW265" s="212"/>
      <c r="AX265" s="213" t="s">
        <v>18</v>
      </c>
      <c r="AY265" s="209"/>
      <c r="AZ265" s="210"/>
      <c r="BA265" s="161">
        <f t="shared" si="111"/>
        <v>0</v>
      </c>
      <c r="BB265" s="211"/>
      <c r="BC265" s="212"/>
      <c r="BD265" s="212"/>
      <c r="BE265" s="213" t="s">
        <v>18</v>
      </c>
      <c r="BF265" s="181"/>
      <c r="BG265" s="210"/>
      <c r="BH265" s="161">
        <f t="shared" si="112"/>
        <v>0</v>
      </c>
      <c r="BI265" s="211"/>
      <c r="BJ265" s="212"/>
      <c r="BK265" s="212"/>
      <c r="BL265" s="213" t="s">
        <v>18</v>
      </c>
      <c r="BM265" s="181"/>
      <c r="BN265" s="210"/>
      <c r="BO265" s="161">
        <f t="shared" si="113"/>
        <v>0</v>
      </c>
      <c r="BP265" s="211"/>
      <c r="BQ265" s="212"/>
      <c r="BR265" s="212"/>
      <c r="BS265" s="213" t="s">
        <v>18</v>
      </c>
      <c r="BT265" s="181"/>
      <c r="BU265" s="210"/>
      <c r="BV265" s="161">
        <f t="shared" si="114"/>
        <v>0</v>
      </c>
      <c r="BW265" s="211"/>
      <c r="BX265" s="212"/>
      <c r="BY265" s="212"/>
      <c r="BZ265" s="213" t="s">
        <v>18</v>
      </c>
      <c r="CC265" s="163">
        <f t="shared" si="115"/>
        <v>0</v>
      </c>
      <c r="CD265" s="163">
        <f t="shared" si="116"/>
        <v>0</v>
      </c>
      <c r="CE265" s="163">
        <f t="shared" si="117"/>
        <v>0</v>
      </c>
      <c r="CF265" s="163">
        <f t="shared" si="118"/>
        <v>0</v>
      </c>
      <c r="CG265" s="163">
        <f t="shared" si="119"/>
        <v>0</v>
      </c>
      <c r="CH265" s="163">
        <f t="shared" si="120"/>
        <v>0</v>
      </c>
      <c r="CJ265" s="163">
        <f t="shared" si="121"/>
        <v>0</v>
      </c>
      <c r="CK265" s="163">
        <f t="shared" si="122"/>
        <v>0</v>
      </c>
      <c r="CL265" s="163">
        <f t="shared" si="123"/>
        <v>0</v>
      </c>
      <c r="CM265" s="163">
        <f t="shared" si="124"/>
        <v>0</v>
      </c>
      <c r="CN265" s="163">
        <f t="shared" si="125"/>
        <v>0</v>
      </c>
      <c r="CO265" s="163">
        <f t="shared" si="126"/>
        <v>0</v>
      </c>
      <c r="CP265" s="163"/>
      <c r="CQ265" s="163">
        <f t="shared" si="127"/>
        <v>0</v>
      </c>
      <c r="CR265" s="163">
        <f t="shared" si="128"/>
        <v>0</v>
      </c>
      <c r="CS265" s="163">
        <f t="shared" si="129"/>
        <v>0</v>
      </c>
      <c r="CT265" s="163">
        <f t="shared" si="130"/>
        <v>0</v>
      </c>
      <c r="CU265" s="163">
        <f t="shared" si="131"/>
        <v>0</v>
      </c>
      <c r="CV265" s="163">
        <f t="shared" si="132"/>
        <v>0</v>
      </c>
    </row>
    <row r="266" spans="2:100" x14ac:dyDescent="0.25">
      <c r="B266" s="197"/>
      <c r="C266" s="187"/>
      <c r="D266" s="188"/>
      <c r="E266" s="188"/>
      <c r="F266" s="198"/>
      <c r="G266" s="143"/>
      <c r="H266" s="144"/>
      <c r="I266" s="144"/>
      <c r="J266" s="144"/>
      <c r="K266" s="144"/>
      <c r="L266" s="144"/>
      <c r="M266" s="144"/>
      <c r="N266" s="199"/>
      <c r="O266" s="200"/>
      <c r="P266" s="161"/>
      <c r="Q266" s="161"/>
      <c r="R266" s="201"/>
      <c r="S266" s="162"/>
      <c r="T266" s="162"/>
      <c r="U266" s="162"/>
      <c r="V266" s="162"/>
      <c r="W266" s="140"/>
      <c r="X266" s="150"/>
      <c r="Y266" s="202"/>
      <c r="Z266" s="203"/>
      <c r="AA266" s="204"/>
      <c r="AB266" s="204"/>
      <c r="AC266" s="205"/>
      <c r="AD266" s="143"/>
      <c r="AE266" s="206"/>
      <c r="AF266" s="207"/>
      <c r="AG266" s="161"/>
      <c r="AH266" s="161"/>
      <c r="AI266" s="208"/>
      <c r="AJ266" s="208"/>
      <c r="AK266" s="209"/>
      <c r="AL266" s="210"/>
      <c r="AM266" s="161">
        <f t="shared" si="109"/>
        <v>0</v>
      </c>
      <c r="AN266" s="211"/>
      <c r="AO266" s="212"/>
      <c r="AP266" s="212"/>
      <c r="AQ266" s="213" t="s">
        <v>18</v>
      </c>
      <c r="AR266" s="209"/>
      <c r="AS266" s="210"/>
      <c r="AT266" s="161">
        <f t="shared" si="110"/>
        <v>0</v>
      </c>
      <c r="AU266" s="211"/>
      <c r="AV266" s="212"/>
      <c r="AW266" s="212"/>
      <c r="AX266" s="213" t="s">
        <v>18</v>
      </c>
      <c r="AY266" s="209"/>
      <c r="AZ266" s="210"/>
      <c r="BA266" s="161">
        <f t="shared" si="111"/>
        <v>0</v>
      </c>
      <c r="BB266" s="211"/>
      <c r="BC266" s="212"/>
      <c r="BD266" s="212"/>
      <c r="BE266" s="213" t="s">
        <v>18</v>
      </c>
      <c r="BF266" s="181"/>
      <c r="BG266" s="210"/>
      <c r="BH266" s="161">
        <f t="shared" si="112"/>
        <v>0</v>
      </c>
      <c r="BI266" s="211"/>
      <c r="BJ266" s="212"/>
      <c r="BK266" s="212"/>
      <c r="BL266" s="213" t="s">
        <v>18</v>
      </c>
      <c r="BM266" s="181"/>
      <c r="BN266" s="210"/>
      <c r="BO266" s="161">
        <f t="shared" si="113"/>
        <v>0</v>
      </c>
      <c r="BP266" s="211"/>
      <c r="BQ266" s="212"/>
      <c r="BR266" s="212"/>
      <c r="BS266" s="213" t="s">
        <v>18</v>
      </c>
      <c r="BT266" s="181"/>
      <c r="BU266" s="210"/>
      <c r="BV266" s="161">
        <f t="shared" si="114"/>
        <v>0</v>
      </c>
      <c r="BW266" s="211"/>
      <c r="BX266" s="212"/>
      <c r="BY266" s="212"/>
      <c r="BZ266" s="213" t="s">
        <v>18</v>
      </c>
      <c r="CC266" s="163">
        <f t="shared" si="115"/>
        <v>0</v>
      </c>
      <c r="CD266" s="163">
        <f t="shared" si="116"/>
        <v>0</v>
      </c>
      <c r="CE266" s="163">
        <f t="shared" si="117"/>
        <v>0</v>
      </c>
      <c r="CF266" s="163">
        <f t="shared" si="118"/>
        <v>0</v>
      </c>
      <c r="CG266" s="163">
        <f t="shared" si="119"/>
        <v>0</v>
      </c>
      <c r="CH266" s="163">
        <f t="shared" si="120"/>
        <v>0</v>
      </c>
      <c r="CJ266" s="163">
        <f t="shared" si="121"/>
        <v>0</v>
      </c>
      <c r="CK266" s="163">
        <f t="shared" si="122"/>
        <v>0</v>
      </c>
      <c r="CL266" s="163">
        <f t="shared" si="123"/>
        <v>0</v>
      </c>
      <c r="CM266" s="163">
        <f t="shared" si="124"/>
        <v>0</v>
      </c>
      <c r="CN266" s="163">
        <f t="shared" si="125"/>
        <v>0</v>
      </c>
      <c r="CO266" s="163">
        <f t="shared" si="126"/>
        <v>0</v>
      </c>
      <c r="CP266" s="163"/>
      <c r="CQ266" s="163">
        <f t="shared" si="127"/>
        <v>0</v>
      </c>
      <c r="CR266" s="163">
        <f t="shared" si="128"/>
        <v>0</v>
      </c>
      <c r="CS266" s="163">
        <f t="shared" si="129"/>
        <v>0</v>
      </c>
      <c r="CT266" s="163">
        <f t="shared" si="130"/>
        <v>0</v>
      </c>
      <c r="CU266" s="163">
        <f t="shared" si="131"/>
        <v>0</v>
      </c>
      <c r="CV266" s="163">
        <f t="shared" si="132"/>
        <v>0</v>
      </c>
    </row>
    <row r="267" spans="2:100" x14ac:dyDescent="0.25">
      <c r="B267" s="197"/>
      <c r="C267" s="187"/>
      <c r="D267" s="188"/>
      <c r="E267" s="188"/>
      <c r="F267" s="198"/>
      <c r="G267" s="143"/>
      <c r="H267" s="144"/>
      <c r="I267" s="144"/>
      <c r="J267" s="144"/>
      <c r="K267" s="144"/>
      <c r="L267" s="144"/>
      <c r="M267" s="144"/>
      <c r="N267" s="199"/>
      <c r="O267" s="200"/>
      <c r="P267" s="161"/>
      <c r="Q267" s="161"/>
      <c r="R267" s="201"/>
      <c r="S267" s="162"/>
      <c r="T267" s="162"/>
      <c r="U267" s="162"/>
      <c r="V267" s="162"/>
      <c r="W267" s="140"/>
      <c r="X267" s="150"/>
      <c r="Y267" s="202"/>
      <c r="Z267" s="203"/>
      <c r="AA267" s="204"/>
      <c r="AB267" s="204"/>
      <c r="AC267" s="205"/>
      <c r="AD267" s="143"/>
      <c r="AE267" s="206"/>
      <c r="AF267" s="207"/>
      <c r="AG267" s="161"/>
      <c r="AH267" s="161"/>
      <c r="AI267" s="208"/>
      <c r="AJ267" s="208"/>
      <c r="AK267" s="209"/>
      <c r="AL267" s="210"/>
      <c r="AM267" s="161">
        <f t="shared" si="109"/>
        <v>0</v>
      </c>
      <c r="AN267" s="211"/>
      <c r="AO267" s="212"/>
      <c r="AP267" s="212"/>
      <c r="AQ267" s="213" t="s">
        <v>18</v>
      </c>
      <c r="AR267" s="209"/>
      <c r="AS267" s="210"/>
      <c r="AT267" s="161">
        <f t="shared" si="110"/>
        <v>0</v>
      </c>
      <c r="AU267" s="211"/>
      <c r="AV267" s="212"/>
      <c r="AW267" s="212"/>
      <c r="AX267" s="213" t="s">
        <v>18</v>
      </c>
      <c r="AY267" s="209"/>
      <c r="AZ267" s="210"/>
      <c r="BA267" s="161">
        <f t="shared" si="111"/>
        <v>0</v>
      </c>
      <c r="BB267" s="211"/>
      <c r="BC267" s="212"/>
      <c r="BD267" s="212"/>
      <c r="BE267" s="213" t="s">
        <v>18</v>
      </c>
      <c r="BF267" s="181"/>
      <c r="BG267" s="210"/>
      <c r="BH267" s="161">
        <f t="shared" si="112"/>
        <v>0</v>
      </c>
      <c r="BI267" s="211"/>
      <c r="BJ267" s="212"/>
      <c r="BK267" s="212"/>
      <c r="BL267" s="213" t="s">
        <v>18</v>
      </c>
      <c r="BM267" s="181"/>
      <c r="BN267" s="210"/>
      <c r="BO267" s="161">
        <f t="shared" si="113"/>
        <v>0</v>
      </c>
      <c r="BP267" s="211"/>
      <c r="BQ267" s="212"/>
      <c r="BR267" s="212"/>
      <c r="BS267" s="213" t="s">
        <v>18</v>
      </c>
      <c r="BT267" s="181"/>
      <c r="BU267" s="210"/>
      <c r="BV267" s="161">
        <f t="shared" si="114"/>
        <v>0</v>
      </c>
      <c r="BW267" s="211"/>
      <c r="BX267" s="212"/>
      <c r="BY267" s="212"/>
      <c r="BZ267" s="213" t="s">
        <v>18</v>
      </c>
      <c r="CC267" s="163">
        <f t="shared" si="115"/>
        <v>0</v>
      </c>
      <c r="CD267" s="163">
        <f t="shared" si="116"/>
        <v>0</v>
      </c>
      <c r="CE267" s="163">
        <f t="shared" si="117"/>
        <v>0</v>
      </c>
      <c r="CF267" s="163">
        <f t="shared" si="118"/>
        <v>0</v>
      </c>
      <c r="CG267" s="163">
        <f t="shared" si="119"/>
        <v>0</v>
      </c>
      <c r="CH267" s="163">
        <f t="shared" si="120"/>
        <v>0</v>
      </c>
      <c r="CJ267" s="163">
        <f t="shared" si="121"/>
        <v>0</v>
      </c>
      <c r="CK267" s="163">
        <f t="shared" si="122"/>
        <v>0</v>
      </c>
      <c r="CL267" s="163">
        <f t="shared" si="123"/>
        <v>0</v>
      </c>
      <c r="CM267" s="163">
        <f t="shared" si="124"/>
        <v>0</v>
      </c>
      <c r="CN267" s="163">
        <f t="shared" si="125"/>
        <v>0</v>
      </c>
      <c r="CO267" s="163">
        <f t="shared" si="126"/>
        <v>0</v>
      </c>
      <c r="CP267" s="163"/>
      <c r="CQ267" s="163">
        <f t="shared" si="127"/>
        <v>0</v>
      </c>
      <c r="CR267" s="163">
        <f t="shared" si="128"/>
        <v>0</v>
      </c>
      <c r="CS267" s="163">
        <f t="shared" si="129"/>
        <v>0</v>
      </c>
      <c r="CT267" s="163">
        <f t="shared" si="130"/>
        <v>0</v>
      </c>
      <c r="CU267" s="163">
        <f t="shared" si="131"/>
        <v>0</v>
      </c>
      <c r="CV267" s="163">
        <f t="shared" si="132"/>
        <v>0</v>
      </c>
    </row>
    <row r="268" spans="2:100" x14ac:dyDescent="0.25">
      <c r="B268" s="197"/>
      <c r="C268" s="187"/>
      <c r="D268" s="188"/>
      <c r="E268" s="188"/>
      <c r="F268" s="198"/>
      <c r="G268" s="143"/>
      <c r="H268" s="144"/>
      <c r="I268" s="144"/>
      <c r="J268" s="144"/>
      <c r="K268" s="144"/>
      <c r="L268" s="144"/>
      <c r="M268" s="144"/>
      <c r="N268" s="199"/>
      <c r="O268" s="200"/>
      <c r="P268" s="161"/>
      <c r="Q268" s="161"/>
      <c r="R268" s="201"/>
      <c r="S268" s="162"/>
      <c r="T268" s="162"/>
      <c r="U268" s="162"/>
      <c r="V268" s="162"/>
      <c r="W268" s="140"/>
      <c r="X268" s="150"/>
      <c r="Y268" s="202"/>
      <c r="Z268" s="203"/>
      <c r="AA268" s="204"/>
      <c r="AB268" s="204"/>
      <c r="AC268" s="205"/>
      <c r="AD268" s="143"/>
      <c r="AE268" s="206"/>
      <c r="AF268" s="207"/>
      <c r="AG268" s="161"/>
      <c r="AH268" s="161"/>
      <c r="AI268" s="208"/>
      <c r="AJ268" s="208"/>
      <c r="AK268" s="209"/>
      <c r="AL268" s="210"/>
      <c r="AM268" s="161">
        <f t="shared" si="109"/>
        <v>0</v>
      </c>
      <c r="AN268" s="211"/>
      <c r="AO268" s="212"/>
      <c r="AP268" s="212"/>
      <c r="AQ268" s="213" t="s">
        <v>18</v>
      </c>
      <c r="AR268" s="209"/>
      <c r="AS268" s="210"/>
      <c r="AT268" s="161">
        <f t="shared" si="110"/>
        <v>0</v>
      </c>
      <c r="AU268" s="211"/>
      <c r="AV268" s="212"/>
      <c r="AW268" s="212"/>
      <c r="AX268" s="213" t="s">
        <v>18</v>
      </c>
      <c r="AY268" s="209"/>
      <c r="AZ268" s="210"/>
      <c r="BA268" s="161">
        <f t="shared" si="111"/>
        <v>0</v>
      </c>
      <c r="BB268" s="211"/>
      <c r="BC268" s="212"/>
      <c r="BD268" s="212"/>
      <c r="BE268" s="213" t="s">
        <v>18</v>
      </c>
      <c r="BF268" s="181"/>
      <c r="BG268" s="210"/>
      <c r="BH268" s="161">
        <f t="shared" si="112"/>
        <v>0</v>
      </c>
      <c r="BI268" s="211"/>
      <c r="BJ268" s="212"/>
      <c r="BK268" s="212"/>
      <c r="BL268" s="213" t="s">
        <v>18</v>
      </c>
      <c r="BM268" s="181"/>
      <c r="BN268" s="210"/>
      <c r="BO268" s="161">
        <f t="shared" si="113"/>
        <v>0</v>
      </c>
      <c r="BP268" s="211"/>
      <c r="BQ268" s="212"/>
      <c r="BR268" s="212"/>
      <c r="BS268" s="213" t="s">
        <v>18</v>
      </c>
      <c r="BT268" s="181"/>
      <c r="BU268" s="210"/>
      <c r="BV268" s="161">
        <f t="shared" si="114"/>
        <v>0</v>
      </c>
      <c r="BW268" s="211"/>
      <c r="BX268" s="212"/>
      <c r="BY268" s="212"/>
      <c r="BZ268" s="213" t="s">
        <v>18</v>
      </c>
      <c r="CC268" s="163">
        <f t="shared" si="115"/>
        <v>0</v>
      </c>
      <c r="CD268" s="163">
        <f t="shared" si="116"/>
        <v>0</v>
      </c>
      <c r="CE268" s="163">
        <f t="shared" si="117"/>
        <v>0</v>
      </c>
      <c r="CF268" s="163">
        <f t="shared" si="118"/>
        <v>0</v>
      </c>
      <c r="CG268" s="163">
        <f t="shared" si="119"/>
        <v>0</v>
      </c>
      <c r="CH268" s="163">
        <f t="shared" si="120"/>
        <v>0</v>
      </c>
      <c r="CJ268" s="163">
        <f t="shared" si="121"/>
        <v>0</v>
      </c>
      <c r="CK268" s="163">
        <f t="shared" si="122"/>
        <v>0</v>
      </c>
      <c r="CL268" s="163">
        <f t="shared" si="123"/>
        <v>0</v>
      </c>
      <c r="CM268" s="163">
        <f t="shared" si="124"/>
        <v>0</v>
      </c>
      <c r="CN268" s="163">
        <f t="shared" si="125"/>
        <v>0</v>
      </c>
      <c r="CO268" s="163">
        <f t="shared" si="126"/>
        <v>0</v>
      </c>
      <c r="CP268" s="163"/>
      <c r="CQ268" s="163">
        <f t="shared" si="127"/>
        <v>0</v>
      </c>
      <c r="CR268" s="163">
        <f t="shared" si="128"/>
        <v>0</v>
      </c>
      <c r="CS268" s="163">
        <f t="shared" si="129"/>
        <v>0</v>
      </c>
      <c r="CT268" s="163">
        <f t="shared" si="130"/>
        <v>0</v>
      </c>
      <c r="CU268" s="163">
        <f t="shared" si="131"/>
        <v>0</v>
      </c>
      <c r="CV268" s="163">
        <f t="shared" si="132"/>
        <v>0</v>
      </c>
    </row>
    <row r="269" spans="2:100" x14ac:dyDescent="0.25">
      <c r="B269" s="197"/>
      <c r="C269" s="187"/>
      <c r="D269" s="188"/>
      <c r="E269" s="188"/>
      <c r="F269" s="198"/>
      <c r="G269" s="143"/>
      <c r="H269" s="144"/>
      <c r="I269" s="144"/>
      <c r="J269" s="144"/>
      <c r="K269" s="144"/>
      <c r="L269" s="144"/>
      <c r="M269" s="144"/>
      <c r="N269" s="199"/>
      <c r="O269" s="200"/>
      <c r="P269" s="161"/>
      <c r="Q269" s="161"/>
      <c r="R269" s="201"/>
      <c r="S269" s="162"/>
      <c r="T269" s="162"/>
      <c r="U269" s="162"/>
      <c r="V269" s="162"/>
      <c r="W269" s="140"/>
      <c r="X269" s="150"/>
      <c r="Y269" s="202"/>
      <c r="Z269" s="203"/>
      <c r="AA269" s="204"/>
      <c r="AB269" s="204"/>
      <c r="AC269" s="205"/>
      <c r="AD269" s="143"/>
      <c r="AE269" s="206"/>
      <c r="AF269" s="207"/>
      <c r="AG269" s="161"/>
      <c r="AH269" s="161"/>
      <c r="AI269" s="208"/>
      <c r="AJ269" s="208"/>
      <c r="AK269" s="209"/>
      <c r="AL269" s="210"/>
      <c r="AM269" s="161">
        <f t="shared" si="109"/>
        <v>0</v>
      </c>
      <c r="AN269" s="211"/>
      <c r="AO269" s="212"/>
      <c r="AP269" s="212"/>
      <c r="AQ269" s="213" t="s">
        <v>18</v>
      </c>
      <c r="AR269" s="209"/>
      <c r="AS269" s="210"/>
      <c r="AT269" s="161">
        <f t="shared" si="110"/>
        <v>0</v>
      </c>
      <c r="AU269" s="211"/>
      <c r="AV269" s="212"/>
      <c r="AW269" s="212"/>
      <c r="AX269" s="213" t="s">
        <v>18</v>
      </c>
      <c r="AY269" s="209"/>
      <c r="AZ269" s="210"/>
      <c r="BA269" s="161">
        <f t="shared" si="111"/>
        <v>0</v>
      </c>
      <c r="BB269" s="211"/>
      <c r="BC269" s="212"/>
      <c r="BD269" s="212"/>
      <c r="BE269" s="213" t="s">
        <v>18</v>
      </c>
      <c r="BF269" s="181"/>
      <c r="BG269" s="210"/>
      <c r="BH269" s="161">
        <f t="shared" si="112"/>
        <v>0</v>
      </c>
      <c r="BI269" s="211"/>
      <c r="BJ269" s="212"/>
      <c r="BK269" s="212"/>
      <c r="BL269" s="213" t="s">
        <v>18</v>
      </c>
      <c r="BM269" s="181"/>
      <c r="BN269" s="210"/>
      <c r="BO269" s="161">
        <f t="shared" si="113"/>
        <v>0</v>
      </c>
      <c r="BP269" s="211"/>
      <c r="BQ269" s="212"/>
      <c r="BR269" s="212"/>
      <c r="BS269" s="213" t="s">
        <v>18</v>
      </c>
      <c r="BT269" s="181"/>
      <c r="BU269" s="210"/>
      <c r="BV269" s="161">
        <f t="shared" si="114"/>
        <v>0</v>
      </c>
      <c r="BW269" s="211"/>
      <c r="BX269" s="212"/>
      <c r="BY269" s="212"/>
      <c r="BZ269" s="213" t="s">
        <v>18</v>
      </c>
      <c r="CC269" s="163">
        <f t="shared" si="115"/>
        <v>0</v>
      </c>
      <c r="CD269" s="163">
        <f t="shared" si="116"/>
        <v>0</v>
      </c>
      <c r="CE269" s="163">
        <f t="shared" si="117"/>
        <v>0</v>
      </c>
      <c r="CF269" s="163">
        <f t="shared" si="118"/>
        <v>0</v>
      </c>
      <c r="CG269" s="163">
        <f t="shared" si="119"/>
        <v>0</v>
      </c>
      <c r="CH269" s="163">
        <f t="shared" si="120"/>
        <v>0</v>
      </c>
      <c r="CJ269" s="163">
        <f t="shared" si="121"/>
        <v>0</v>
      </c>
      <c r="CK269" s="163">
        <f t="shared" si="122"/>
        <v>0</v>
      </c>
      <c r="CL269" s="163">
        <f t="shared" si="123"/>
        <v>0</v>
      </c>
      <c r="CM269" s="163">
        <f t="shared" si="124"/>
        <v>0</v>
      </c>
      <c r="CN269" s="163">
        <f t="shared" si="125"/>
        <v>0</v>
      </c>
      <c r="CO269" s="163">
        <f t="shared" si="126"/>
        <v>0</v>
      </c>
      <c r="CP269" s="163"/>
      <c r="CQ269" s="163">
        <f t="shared" si="127"/>
        <v>0</v>
      </c>
      <c r="CR269" s="163">
        <f t="shared" si="128"/>
        <v>0</v>
      </c>
      <c r="CS269" s="163">
        <f t="shared" si="129"/>
        <v>0</v>
      </c>
      <c r="CT269" s="163">
        <f t="shared" si="130"/>
        <v>0</v>
      </c>
      <c r="CU269" s="163">
        <f t="shared" si="131"/>
        <v>0</v>
      </c>
      <c r="CV269" s="163">
        <f t="shared" si="132"/>
        <v>0</v>
      </c>
    </row>
    <row r="270" spans="2:100" x14ac:dyDescent="0.25">
      <c r="B270" s="197"/>
      <c r="C270" s="187"/>
      <c r="D270" s="188"/>
      <c r="E270" s="188"/>
      <c r="F270" s="198"/>
      <c r="G270" s="143"/>
      <c r="H270" s="144"/>
      <c r="I270" s="144"/>
      <c r="J270" s="144"/>
      <c r="K270" s="144"/>
      <c r="L270" s="144"/>
      <c r="M270" s="144"/>
      <c r="N270" s="199"/>
      <c r="O270" s="200"/>
      <c r="P270" s="161"/>
      <c r="Q270" s="161"/>
      <c r="R270" s="201"/>
      <c r="S270" s="162"/>
      <c r="T270" s="162"/>
      <c r="U270" s="162"/>
      <c r="V270" s="162"/>
      <c r="W270" s="140"/>
      <c r="X270" s="150"/>
      <c r="Y270" s="202"/>
      <c r="Z270" s="203"/>
      <c r="AA270" s="204"/>
      <c r="AB270" s="204"/>
      <c r="AC270" s="205"/>
      <c r="AD270" s="143"/>
      <c r="AE270" s="206"/>
      <c r="AF270" s="207"/>
      <c r="AG270" s="161"/>
      <c r="AH270" s="161"/>
      <c r="AI270" s="208"/>
      <c r="AJ270" s="208"/>
      <c r="AK270" s="209"/>
      <c r="AL270" s="210"/>
      <c r="AM270" s="161">
        <f t="shared" si="109"/>
        <v>0</v>
      </c>
      <c r="AN270" s="211"/>
      <c r="AO270" s="212"/>
      <c r="AP270" s="212"/>
      <c r="AQ270" s="213" t="s">
        <v>18</v>
      </c>
      <c r="AR270" s="209"/>
      <c r="AS270" s="210"/>
      <c r="AT270" s="161">
        <f t="shared" si="110"/>
        <v>0</v>
      </c>
      <c r="AU270" s="211"/>
      <c r="AV270" s="212"/>
      <c r="AW270" s="212"/>
      <c r="AX270" s="213" t="s">
        <v>18</v>
      </c>
      <c r="AY270" s="209"/>
      <c r="AZ270" s="210"/>
      <c r="BA270" s="161">
        <f t="shared" si="111"/>
        <v>0</v>
      </c>
      <c r="BB270" s="211"/>
      <c r="BC270" s="212"/>
      <c r="BD270" s="212"/>
      <c r="BE270" s="213" t="s">
        <v>18</v>
      </c>
      <c r="BF270" s="181"/>
      <c r="BG270" s="210"/>
      <c r="BH270" s="161">
        <f t="shared" si="112"/>
        <v>0</v>
      </c>
      <c r="BI270" s="211"/>
      <c r="BJ270" s="212"/>
      <c r="BK270" s="212"/>
      <c r="BL270" s="213" t="s">
        <v>18</v>
      </c>
      <c r="BM270" s="181"/>
      <c r="BN270" s="210"/>
      <c r="BO270" s="161">
        <f t="shared" si="113"/>
        <v>0</v>
      </c>
      <c r="BP270" s="211"/>
      <c r="BQ270" s="212"/>
      <c r="BR270" s="212"/>
      <c r="BS270" s="213" t="s">
        <v>18</v>
      </c>
      <c r="BT270" s="181"/>
      <c r="BU270" s="210"/>
      <c r="BV270" s="161">
        <f t="shared" si="114"/>
        <v>0</v>
      </c>
      <c r="BW270" s="211"/>
      <c r="BX270" s="212"/>
      <c r="BY270" s="212"/>
      <c r="BZ270" s="213" t="s">
        <v>18</v>
      </c>
      <c r="CC270" s="163">
        <f t="shared" si="115"/>
        <v>0</v>
      </c>
      <c r="CD270" s="163">
        <f t="shared" si="116"/>
        <v>0</v>
      </c>
      <c r="CE270" s="163">
        <f t="shared" si="117"/>
        <v>0</v>
      </c>
      <c r="CF270" s="163">
        <f t="shared" si="118"/>
        <v>0</v>
      </c>
      <c r="CG270" s="163">
        <f t="shared" si="119"/>
        <v>0</v>
      </c>
      <c r="CH270" s="163">
        <f t="shared" si="120"/>
        <v>0</v>
      </c>
      <c r="CJ270" s="163">
        <f t="shared" si="121"/>
        <v>0</v>
      </c>
      <c r="CK270" s="163">
        <f t="shared" si="122"/>
        <v>0</v>
      </c>
      <c r="CL270" s="163">
        <f t="shared" si="123"/>
        <v>0</v>
      </c>
      <c r="CM270" s="163">
        <f t="shared" si="124"/>
        <v>0</v>
      </c>
      <c r="CN270" s="163">
        <f t="shared" si="125"/>
        <v>0</v>
      </c>
      <c r="CO270" s="163">
        <f t="shared" si="126"/>
        <v>0</v>
      </c>
      <c r="CP270" s="163"/>
      <c r="CQ270" s="163">
        <f t="shared" si="127"/>
        <v>0</v>
      </c>
      <c r="CR270" s="163">
        <f t="shared" si="128"/>
        <v>0</v>
      </c>
      <c r="CS270" s="163">
        <f t="shared" si="129"/>
        <v>0</v>
      </c>
      <c r="CT270" s="163">
        <f t="shared" si="130"/>
        <v>0</v>
      </c>
      <c r="CU270" s="163">
        <f t="shared" si="131"/>
        <v>0</v>
      </c>
      <c r="CV270" s="163">
        <f t="shared" si="132"/>
        <v>0</v>
      </c>
    </row>
    <row r="271" spans="2:100" x14ac:dyDescent="0.25">
      <c r="B271" s="197"/>
      <c r="C271" s="187"/>
      <c r="D271" s="188"/>
      <c r="E271" s="188"/>
      <c r="F271" s="198"/>
      <c r="G271" s="143"/>
      <c r="H271" s="144"/>
      <c r="I271" s="144"/>
      <c r="J271" s="144"/>
      <c r="K271" s="144"/>
      <c r="L271" s="144"/>
      <c r="M271" s="144"/>
      <c r="N271" s="199"/>
      <c r="O271" s="200"/>
      <c r="P271" s="161"/>
      <c r="Q271" s="161"/>
      <c r="R271" s="201"/>
      <c r="S271" s="162"/>
      <c r="T271" s="162"/>
      <c r="U271" s="162"/>
      <c r="V271" s="162"/>
      <c r="W271" s="140"/>
      <c r="X271" s="150"/>
      <c r="Y271" s="202"/>
      <c r="Z271" s="203"/>
      <c r="AA271" s="204"/>
      <c r="AB271" s="204"/>
      <c r="AC271" s="205"/>
      <c r="AD271" s="143"/>
      <c r="AE271" s="206"/>
      <c r="AF271" s="207"/>
      <c r="AG271" s="161"/>
      <c r="AH271" s="161"/>
      <c r="AI271" s="208"/>
      <c r="AJ271" s="208"/>
      <c r="AK271" s="209"/>
      <c r="AL271" s="210"/>
      <c r="AM271" s="161">
        <f t="shared" si="109"/>
        <v>0</v>
      </c>
      <c r="AN271" s="211"/>
      <c r="AO271" s="212"/>
      <c r="AP271" s="212"/>
      <c r="AQ271" s="213" t="s">
        <v>18</v>
      </c>
      <c r="AR271" s="209"/>
      <c r="AS271" s="210"/>
      <c r="AT271" s="161">
        <f t="shared" si="110"/>
        <v>0</v>
      </c>
      <c r="AU271" s="211"/>
      <c r="AV271" s="212"/>
      <c r="AW271" s="212"/>
      <c r="AX271" s="213" t="s">
        <v>18</v>
      </c>
      <c r="AY271" s="209"/>
      <c r="AZ271" s="210"/>
      <c r="BA271" s="161">
        <f t="shared" si="111"/>
        <v>0</v>
      </c>
      <c r="BB271" s="211"/>
      <c r="BC271" s="212"/>
      <c r="BD271" s="212"/>
      <c r="BE271" s="213" t="s">
        <v>18</v>
      </c>
      <c r="BF271" s="181"/>
      <c r="BG271" s="210"/>
      <c r="BH271" s="161">
        <f t="shared" si="112"/>
        <v>0</v>
      </c>
      <c r="BI271" s="211"/>
      <c r="BJ271" s="212"/>
      <c r="BK271" s="212"/>
      <c r="BL271" s="213" t="s">
        <v>18</v>
      </c>
      <c r="BM271" s="181"/>
      <c r="BN271" s="210"/>
      <c r="BO271" s="161">
        <f t="shared" si="113"/>
        <v>0</v>
      </c>
      <c r="BP271" s="211"/>
      <c r="BQ271" s="212"/>
      <c r="BR271" s="212"/>
      <c r="BS271" s="213" t="s">
        <v>18</v>
      </c>
      <c r="BT271" s="181"/>
      <c r="BU271" s="210"/>
      <c r="BV271" s="161">
        <f t="shared" si="114"/>
        <v>0</v>
      </c>
      <c r="BW271" s="211"/>
      <c r="BX271" s="212"/>
      <c r="BY271" s="212"/>
      <c r="BZ271" s="213" t="s">
        <v>18</v>
      </c>
      <c r="CC271" s="163">
        <f t="shared" si="115"/>
        <v>0</v>
      </c>
      <c r="CD271" s="163">
        <f t="shared" si="116"/>
        <v>0</v>
      </c>
      <c r="CE271" s="163">
        <f t="shared" si="117"/>
        <v>0</v>
      </c>
      <c r="CF271" s="163">
        <f t="shared" si="118"/>
        <v>0</v>
      </c>
      <c r="CG271" s="163">
        <f t="shared" si="119"/>
        <v>0</v>
      </c>
      <c r="CH271" s="163">
        <f t="shared" si="120"/>
        <v>0</v>
      </c>
      <c r="CJ271" s="163">
        <f t="shared" si="121"/>
        <v>0</v>
      </c>
      <c r="CK271" s="163">
        <f t="shared" si="122"/>
        <v>0</v>
      </c>
      <c r="CL271" s="163">
        <f t="shared" si="123"/>
        <v>0</v>
      </c>
      <c r="CM271" s="163">
        <f t="shared" si="124"/>
        <v>0</v>
      </c>
      <c r="CN271" s="163">
        <f t="shared" si="125"/>
        <v>0</v>
      </c>
      <c r="CO271" s="163">
        <f t="shared" si="126"/>
        <v>0</v>
      </c>
      <c r="CP271" s="163"/>
      <c r="CQ271" s="163">
        <f t="shared" si="127"/>
        <v>0</v>
      </c>
      <c r="CR271" s="163">
        <f t="shared" si="128"/>
        <v>0</v>
      </c>
      <c r="CS271" s="163">
        <f t="shared" si="129"/>
        <v>0</v>
      </c>
      <c r="CT271" s="163">
        <f t="shared" si="130"/>
        <v>0</v>
      </c>
      <c r="CU271" s="163">
        <f t="shared" si="131"/>
        <v>0</v>
      </c>
      <c r="CV271" s="163">
        <f t="shared" si="132"/>
        <v>0</v>
      </c>
    </row>
    <row r="272" spans="2:100" x14ac:dyDescent="0.25">
      <c r="B272" s="197"/>
      <c r="C272" s="187"/>
      <c r="D272" s="188"/>
      <c r="E272" s="188"/>
      <c r="F272" s="198"/>
      <c r="G272" s="143"/>
      <c r="H272" s="144"/>
      <c r="I272" s="144"/>
      <c r="J272" s="144"/>
      <c r="K272" s="144"/>
      <c r="L272" s="144"/>
      <c r="M272" s="144"/>
      <c r="N272" s="199"/>
      <c r="O272" s="200"/>
      <c r="P272" s="161"/>
      <c r="Q272" s="161"/>
      <c r="R272" s="201"/>
      <c r="S272" s="162"/>
      <c r="T272" s="162"/>
      <c r="U272" s="162"/>
      <c r="V272" s="162"/>
      <c r="W272" s="140"/>
      <c r="X272" s="150"/>
      <c r="Y272" s="202"/>
      <c r="Z272" s="203"/>
      <c r="AA272" s="204"/>
      <c r="AB272" s="204"/>
      <c r="AC272" s="205"/>
      <c r="AD272" s="143"/>
      <c r="AE272" s="206"/>
      <c r="AF272" s="207"/>
      <c r="AG272" s="161"/>
      <c r="AH272" s="161"/>
      <c r="AI272" s="208"/>
      <c r="AJ272" s="208"/>
      <c r="AK272" s="209"/>
      <c r="AL272" s="210"/>
      <c r="AM272" s="161">
        <f t="shared" si="109"/>
        <v>0</v>
      </c>
      <c r="AN272" s="211"/>
      <c r="AO272" s="212"/>
      <c r="AP272" s="212"/>
      <c r="AQ272" s="213" t="s">
        <v>18</v>
      </c>
      <c r="AR272" s="209"/>
      <c r="AS272" s="210"/>
      <c r="AT272" s="161">
        <f t="shared" si="110"/>
        <v>0</v>
      </c>
      <c r="AU272" s="211"/>
      <c r="AV272" s="212"/>
      <c r="AW272" s="212"/>
      <c r="AX272" s="213" t="s">
        <v>18</v>
      </c>
      <c r="AY272" s="209"/>
      <c r="AZ272" s="210"/>
      <c r="BA272" s="161">
        <f t="shared" si="111"/>
        <v>0</v>
      </c>
      <c r="BB272" s="211"/>
      <c r="BC272" s="212"/>
      <c r="BD272" s="212"/>
      <c r="BE272" s="213" t="s">
        <v>18</v>
      </c>
      <c r="BF272" s="181"/>
      <c r="BG272" s="210"/>
      <c r="BH272" s="161">
        <f t="shared" si="112"/>
        <v>0</v>
      </c>
      <c r="BI272" s="211"/>
      <c r="BJ272" s="212"/>
      <c r="BK272" s="212"/>
      <c r="BL272" s="213" t="s">
        <v>18</v>
      </c>
      <c r="BM272" s="181"/>
      <c r="BN272" s="210"/>
      <c r="BO272" s="161">
        <f t="shared" si="113"/>
        <v>0</v>
      </c>
      <c r="BP272" s="211"/>
      <c r="BQ272" s="212"/>
      <c r="BR272" s="212"/>
      <c r="BS272" s="213" t="s">
        <v>18</v>
      </c>
      <c r="BT272" s="181"/>
      <c r="BU272" s="210"/>
      <c r="BV272" s="161">
        <f t="shared" si="114"/>
        <v>0</v>
      </c>
      <c r="BW272" s="211"/>
      <c r="BX272" s="212"/>
      <c r="BY272" s="212"/>
      <c r="BZ272" s="213" t="s">
        <v>18</v>
      </c>
      <c r="CC272" s="163">
        <f t="shared" si="115"/>
        <v>0</v>
      </c>
      <c r="CD272" s="163">
        <f t="shared" si="116"/>
        <v>0</v>
      </c>
      <c r="CE272" s="163">
        <f t="shared" si="117"/>
        <v>0</v>
      </c>
      <c r="CF272" s="163">
        <f t="shared" si="118"/>
        <v>0</v>
      </c>
      <c r="CG272" s="163">
        <f t="shared" si="119"/>
        <v>0</v>
      </c>
      <c r="CH272" s="163">
        <f t="shared" si="120"/>
        <v>0</v>
      </c>
      <c r="CJ272" s="163">
        <f t="shared" si="121"/>
        <v>0</v>
      </c>
      <c r="CK272" s="163">
        <f t="shared" si="122"/>
        <v>0</v>
      </c>
      <c r="CL272" s="163">
        <f t="shared" si="123"/>
        <v>0</v>
      </c>
      <c r="CM272" s="163">
        <f t="shared" si="124"/>
        <v>0</v>
      </c>
      <c r="CN272" s="163">
        <f t="shared" si="125"/>
        <v>0</v>
      </c>
      <c r="CO272" s="163">
        <f t="shared" si="126"/>
        <v>0</v>
      </c>
      <c r="CP272" s="163"/>
      <c r="CQ272" s="163">
        <f t="shared" si="127"/>
        <v>0</v>
      </c>
      <c r="CR272" s="163">
        <f t="shared" si="128"/>
        <v>0</v>
      </c>
      <c r="CS272" s="163">
        <f t="shared" si="129"/>
        <v>0</v>
      </c>
      <c r="CT272" s="163">
        <f t="shared" si="130"/>
        <v>0</v>
      </c>
      <c r="CU272" s="163">
        <f t="shared" si="131"/>
        <v>0</v>
      </c>
      <c r="CV272" s="163">
        <f t="shared" si="132"/>
        <v>0</v>
      </c>
    </row>
    <row r="273" spans="2:100" x14ac:dyDescent="0.25">
      <c r="B273" s="197"/>
      <c r="C273" s="187"/>
      <c r="D273" s="188"/>
      <c r="E273" s="188"/>
      <c r="F273" s="198"/>
      <c r="G273" s="143"/>
      <c r="H273" s="144"/>
      <c r="I273" s="144"/>
      <c r="J273" s="144"/>
      <c r="K273" s="144"/>
      <c r="L273" s="144"/>
      <c r="M273" s="144"/>
      <c r="N273" s="199"/>
      <c r="O273" s="200"/>
      <c r="P273" s="161"/>
      <c r="Q273" s="161"/>
      <c r="R273" s="201"/>
      <c r="S273" s="162"/>
      <c r="T273" s="162"/>
      <c r="U273" s="162"/>
      <c r="V273" s="162"/>
      <c r="W273" s="140"/>
      <c r="X273" s="150"/>
      <c r="Y273" s="202"/>
      <c r="Z273" s="203"/>
      <c r="AA273" s="204"/>
      <c r="AB273" s="204"/>
      <c r="AC273" s="205"/>
      <c r="AD273" s="143"/>
      <c r="AE273" s="206"/>
      <c r="AF273" s="207"/>
      <c r="AG273" s="161"/>
      <c r="AH273" s="161"/>
      <c r="AI273" s="208"/>
      <c r="AJ273" s="208"/>
      <c r="AK273" s="209"/>
      <c r="AL273" s="210"/>
      <c r="AM273" s="161">
        <f t="shared" si="109"/>
        <v>0</v>
      </c>
      <c r="AN273" s="211"/>
      <c r="AO273" s="212"/>
      <c r="AP273" s="212"/>
      <c r="AQ273" s="213" t="s">
        <v>18</v>
      </c>
      <c r="AR273" s="209"/>
      <c r="AS273" s="210"/>
      <c r="AT273" s="161">
        <f t="shared" si="110"/>
        <v>0</v>
      </c>
      <c r="AU273" s="211"/>
      <c r="AV273" s="212"/>
      <c r="AW273" s="212"/>
      <c r="AX273" s="213" t="s">
        <v>18</v>
      </c>
      <c r="AY273" s="209"/>
      <c r="AZ273" s="210"/>
      <c r="BA273" s="161">
        <f t="shared" si="111"/>
        <v>0</v>
      </c>
      <c r="BB273" s="211"/>
      <c r="BC273" s="212"/>
      <c r="BD273" s="212"/>
      <c r="BE273" s="213" t="s">
        <v>18</v>
      </c>
      <c r="BF273" s="181"/>
      <c r="BG273" s="210"/>
      <c r="BH273" s="161">
        <f t="shared" si="112"/>
        <v>0</v>
      </c>
      <c r="BI273" s="211"/>
      <c r="BJ273" s="212"/>
      <c r="BK273" s="212"/>
      <c r="BL273" s="213" t="s">
        <v>18</v>
      </c>
      <c r="BM273" s="181"/>
      <c r="BN273" s="210"/>
      <c r="BO273" s="161">
        <f t="shared" si="113"/>
        <v>0</v>
      </c>
      <c r="BP273" s="211"/>
      <c r="BQ273" s="212"/>
      <c r="BR273" s="212"/>
      <c r="BS273" s="213" t="s">
        <v>18</v>
      </c>
      <c r="BT273" s="181"/>
      <c r="BU273" s="210"/>
      <c r="BV273" s="161">
        <f t="shared" si="114"/>
        <v>0</v>
      </c>
      <c r="BW273" s="211"/>
      <c r="BX273" s="212"/>
      <c r="BY273" s="212"/>
      <c r="BZ273" s="213" t="s">
        <v>18</v>
      </c>
      <c r="CC273" s="163">
        <f t="shared" si="115"/>
        <v>0</v>
      </c>
      <c r="CD273" s="163">
        <f t="shared" si="116"/>
        <v>0</v>
      </c>
      <c r="CE273" s="163">
        <f t="shared" si="117"/>
        <v>0</v>
      </c>
      <c r="CF273" s="163">
        <f t="shared" si="118"/>
        <v>0</v>
      </c>
      <c r="CG273" s="163">
        <f t="shared" si="119"/>
        <v>0</v>
      </c>
      <c r="CH273" s="163">
        <f t="shared" si="120"/>
        <v>0</v>
      </c>
      <c r="CJ273" s="163">
        <f t="shared" si="121"/>
        <v>0</v>
      </c>
      <c r="CK273" s="163">
        <f t="shared" si="122"/>
        <v>0</v>
      </c>
      <c r="CL273" s="163">
        <f t="shared" si="123"/>
        <v>0</v>
      </c>
      <c r="CM273" s="163">
        <f t="shared" si="124"/>
        <v>0</v>
      </c>
      <c r="CN273" s="163">
        <f t="shared" si="125"/>
        <v>0</v>
      </c>
      <c r="CO273" s="163">
        <f t="shared" si="126"/>
        <v>0</v>
      </c>
      <c r="CP273" s="163"/>
      <c r="CQ273" s="163">
        <f t="shared" si="127"/>
        <v>0</v>
      </c>
      <c r="CR273" s="163">
        <f t="shared" si="128"/>
        <v>0</v>
      </c>
      <c r="CS273" s="163">
        <f t="shared" si="129"/>
        <v>0</v>
      </c>
      <c r="CT273" s="163">
        <f t="shared" si="130"/>
        <v>0</v>
      </c>
      <c r="CU273" s="163">
        <f t="shared" si="131"/>
        <v>0</v>
      </c>
      <c r="CV273" s="163">
        <f t="shared" si="132"/>
        <v>0</v>
      </c>
    </row>
    <row r="274" spans="2:100" x14ac:dyDescent="0.25">
      <c r="B274" s="197"/>
      <c r="C274" s="187"/>
      <c r="D274" s="188"/>
      <c r="E274" s="188"/>
      <c r="F274" s="198"/>
      <c r="G274" s="143"/>
      <c r="H274" s="144"/>
      <c r="I274" s="144"/>
      <c r="J274" s="144"/>
      <c r="K274" s="144"/>
      <c r="L274" s="144"/>
      <c r="M274" s="144"/>
      <c r="N274" s="199"/>
      <c r="O274" s="200"/>
      <c r="P274" s="161"/>
      <c r="Q274" s="161"/>
      <c r="R274" s="201"/>
      <c r="S274" s="162"/>
      <c r="T274" s="162"/>
      <c r="U274" s="162"/>
      <c r="V274" s="162"/>
      <c r="W274" s="140"/>
      <c r="X274" s="150"/>
      <c r="Y274" s="202"/>
      <c r="Z274" s="203"/>
      <c r="AA274" s="204"/>
      <c r="AB274" s="204"/>
      <c r="AC274" s="205"/>
      <c r="AD274" s="143"/>
      <c r="AE274" s="206"/>
      <c r="AF274" s="207"/>
      <c r="AG274" s="161"/>
      <c r="AH274" s="161"/>
      <c r="AI274" s="208"/>
      <c r="AJ274" s="208"/>
      <c r="AK274" s="209"/>
      <c r="AL274" s="210"/>
      <c r="AM274" s="161">
        <f t="shared" si="109"/>
        <v>0</v>
      </c>
      <c r="AN274" s="211"/>
      <c r="AO274" s="212"/>
      <c r="AP274" s="212"/>
      <c r="AQ274" s="213" t="s">
        <v>18</v>
      </c>
      <c r="AR274" s="209"/>
      <c r="AS274" s="210"/>
      <c r="AT274" s="161">
        <f t="shared" si="110"/>
        <v>0</v>
      </c>
      <c r="AU274" s="211"/>
      <c r="AV274" s="212"/>
      <c r="AW274" s="212"/>
      <c r="AX274" s="213" t="s">
        <v>18</v>
      </c>
      <c r="AY274" s="209"/>
      <c r="AZ274" s="210"/>
      <c r="BA274" s="161">
        <f t="shared" si="111"/>
        <v>0</v>
      </c>
      <c r="BB274" s="211"/>
      <c r="BC274" s="212"/>
      <c r="BD274" s="212"/>
      <c r="BE274" s="213" t="s">
        <v>18</v>
      </c>
      <c r="BF274" s="181"/>
      <c r="BG274" s="210"/>
      <c r="BH274" s="161">
        <f t="shared" si="112"/>
        <v>0</v>
      </c>
      <c r="BI274" s="211"/>
      <c r="BJ274" s="212"/>
      <c r="BK274" s="212"/>
      <c r="BL274" s="213" t="s">
        <v>18</v>
      </c>
      <c r="BM274" s="181"/>
      <c r="BN274" s="210"/>
      <c r="BO274" s="161">
        <f t="shared" si="113"/>
        <v>0</v>
      </c>
      <c r="BP274" s="211"/>
      <c r="BQ274" s="212"/>
      <c r="BR274" s="212"/>
      <c r="BS274" s="213" t="s">
        <v>18</v>
      </c>
      <c r="BT274" s="181"/>
      <c r="BU274" s="210"/>
      <c r="BV274" s="161">
        <f t="shared" si="114"/>
        <v>0</v>
      </c>
      <c r="BW274" s="211"/>
      <c r="BX274" s="212"/>
      <c r="BY274" s="212"/>
      <c r="BZ274" s="213" t="s">
        <v>18</v>
      </c>
      <c r="CC274" s="163">
        <f t="shared" si="115"/>
        <v>0</v>
      </c>
      <c r="CD274" s="163">
        <f t="shared" si="116"/>
        <v>0</v>
      </c>
      <c r="CE274" s="163">
        <f t="shared" si="117"/>
        <v>0</v>
      </c>
      <c r="CF274" s="163">
        <f t="shared" si="118"/>
        <v>0</v>
      </c>
      <c r="CG274" s="163">
        <f t="shared" si="119"/>
        <v>0</v>
      </c>
      <c r="CH274" s="163">
        <f t="shared" si="120"/>
        <v>0</v>
      </c>
      <c r="CJ274" s="163">
        <f t="shared" si="121"/>
        <v>0</v>
      </c>
      <c r="CK274" s="163">
        <f t="shared" si="122"/>
        <v>0</v>
      </c>
      <c r="CL274" s="163">
        <f t="shared" si="123"/>
        <v>0</v>
      </c>
      <c r="CM274" s="163">
        <f t="shared" si="124"/>
        <v>0</v>
      </c>
      <c r="CN274" s="163">
        <f t="shared" si="125"/>
        <v>0</v>
      </c>
      <c r="CO274" s="163">
        <f t="shared" si="126"/>
        <v>0</v>
      </c>
      <c r="CP274" s="163"/>
      <c r="CQ274" s="163">
        <f t="shared" si="127"/>
        <v>0</v>
      </c>
      <c r="CR274" s="163">
        <f t="shared" si="128"/>
        <v>0</v>
      </c>
      <c r="CS274" s="163">
        <f t="shared" si="129"/>
        <v>0</v>
      </c>
      <c r="CT274" s="163">
        <f t="shared" si="130"/>
        <v>0</v>
      </c>
      <c r="CU274" s="163">
        <f t="shared" si="131"/>
        <v>0</v>
      </c>
      <c r="CV274" s="163">
        <f t="shared" si="132"/>
        <v>0</v>
      </c>
    </row>
    <row r="275" spans="2:100" x14ac:dyDescent="0.25">
      <c r="B275" s="197"/>
      <c r="C275" s="187"/>
      <c r="D275" s="188"/>
      <c r="E275" s="188"/>
      <c r="F275" s="198"/>
      <c r="G275" s="143"/>
      <c r="H275" s="144"/>
      <c r="I275" s="144"/>
      <c r="J275" s="144"/>
      <c r="K275" s="144"/>
      <c r="L275" s="144"/>
      <c r="M275" s="144"/>
      <c r="N275" s="199"/>
      <c r="O275" s="200"/>
      <c r="P275" s="161"/>
      <c r="Q275" s="161"/>
      <c r="R275" s="201"/>
      <c r="S275" s="162"/>
      <c r="T275" s="162"/>
      <c r="U275" s="162"/>
      <c r="V275" s="162"/>
      <c r="W275" s="140"/>
      <c r="X275" s="150"/>
      <c r="Y275" s="202"/>
      <c r="Z275" s="203"/>
      <c r="AA275" s="204"/>
      <c r="AB275" s="204"/>
      <c r="AC275" s="205"/>
      <c r="AD275" s="143"/>
      <c r="AE275" s="206"/>
      <c r="AF275" s="207"/>
      <c r="AG275" s="161"/>
      <c r="AH275" s="161"/>
      <c r="AI275" s="208"/>
      <c r="AJ275" s="208"/>
      <c r="AK275" s="209"/>
      <c r="AL275" s="210"/>
      <c r="AM275" s="161">
        <f t="shared" si="109"/>
        <v>0</v>
      </c>
      <c r="AN275" s="211"/>
      <c r="AO275" s="212"/>
      <c r="AP275" s="212"/>
      <c r="AQ275" s="213" t="s">
        <v>18</v>
      </c>
      <c r="AR275" s="209"/>
      <c r="AS275" s="210"/>
      <c r="AT275" s="161">
        <f t="shared" si="110"/>
        <v>0</v>
      </c>
      <c r="AU275" s="211"/>
      <c r="AV275" s="212"/>
      <c r="AW275" s="212"/>
      <c r="AX275" s="213" t="s">
        <v>18</v>
      </c>
      <c r="AY275" s="209"/>
      <c r="AZ275" s="210"/>
      <c r="BA275" s="161">
        <f t="shared" si="111"/>
        <v>0</v>
      </c>
      <c r="BB275" s="211"/>
      <c r="BC275" s="212"/>
      <c r="BD275" s="212"/>
      <c r="BE275" s="213" t="s">
        <v>18</v>
      </c>
      <c r="BF275" s="181"/>
      <c r="BG275" s="210"/>
      <c r="BH275" s="161">
        <f t="shared" si="112"/>
        <v>0</v>
      </c>
      <c r="BI275" s="211"/>
      <c r="BJ275" s="212"/>
      <c r="BK275" s="212"/>
      <c r="BL275" s="213" t="s">
        <v>18</v>
      </c>
      <c r="BM275" s="181"/>
      <c r="BN275" s="210"/>
      <c r="BO275" s="161">
        <f t="shared" si="113"/>
        <v>0</v>
      </c>
      <c r="BP275" s="211"/>
      <c r="BQ275" s="212"/>
      <c r="BR275" s="212"/>
      <c r="BS275" s="213" t="s">
        <v>18</v>
      </c>
      <c r="BT275" s="181"/>
      <c r="BU275" s="210"/>
      <c r="BV275" s="161">
        <f t="shared" si="114"/>
        <v>0</v>
      </c>
      <c r="BW275" s="211"/>
      <c r="BX275" s="212"/>
      <c r="BY275" s="212"/>
      <c r="BZ275" s="213" t="s">
        <v>18</v>
      </c>
      <c r="CC275" s="163">
        <f t="shared" si="115"/>
        <v>0</v>
      </c>
      <c r="CD275" s="163">
        <f t="shared" si="116"/>
        <v>0</v>
      </c>
      <c r="CE275" s="163">
        <f t="shared" si="117"/>
        <v>0</v>
      </c>
      <c r="CF275" s="163">
        <f t="shared" si="118"/>
        <v>0</v>
      </c>
      <c r="CG275" s="163">
        <f t="shared" si="119"/>
        <v>0</v>
      </c>
      <c r="CH275" s="163">
        <f t="shared" si="120"/>
        <v>0</v>
      </c>
      <c r="CJ275" s="163">
        <f t="shared" si="121"/>
        <v>0</v>
      </c>
      <c r="CK275" s="163">
        <f t="shared" si="122"/>
        <v>0</v>
      </c>
      <c r="CL275" s="163">
        <f t="shared" si="123"/>
        <v>0</v>
      </c>
      <c r="CM275" s="163">
        <f t="shared" si="124"/>
        <v>0</v>
      </c>
      <c r="CN275" s="163">
        <f t="shared" si="125"/>
        <v>0</v>
      </c>
      <c r="CO275" s="163">
        <f t="shared" si="126"/>
        <v>0</v>
      </c>
      <c r="CP275" s="163"/>
      <c r="CQ275" s="163">
        <f t="shared" si="127"/>
        <v>0</v>
      </c>
      <c r="CR275" s="163">
        <f t="shared" si="128"/>
        <v>0</v>
      </c>
      <c r="CS275" s="163">
        <f t="shared" si="129"/>
        <v>0</v>
      </c>
      <c r="CT275" s="163">
        <f t="shared" si="130"/>
        <v>0</v>
      </c>
      <c r="CU275" s="163">
        <f t="shared" si="131"/>
        <v>0</v>
      </c>
      <c r="CV275" s="163">
        <f t="shared" si="132"/>
        <v>0</v>
      </c>
    </row>
    <row r="276" spans="2:100" x14ac:dyDescent="0.25">
      <c r="B276" s="197"/>
      <c r="C276" s="187"/>
      <c r="D276" s="188"/>
      <c r="E276" s="188"/>
      <c r="F276" s="198"/>
      <c r="G276" s="143"/>
      <c r="H276" s="144"/>
      <c r="I276" s="144"/>
      <c r="J276" s="144"/>
      <c r="K276" s="144"/>
      <c r="L276" s="144"/>
      <c r="M276" s="144"/>
      <c r="N276" s="199"/>
      <c r="O276" s="200"/>
      <c r="P276" s="161"/>
      <c r="Q276" s="161"/>
      <c r="R276" s="201"/>
      <c r="S276" s="162"/>
      <c r="T276" s="162"/>
      <c r="U276" s="162"/>
      <c r="V276" s="162"/>
      <c r="W276" s="140"/>
      <c r="X276" s="150"/>
      <c r="Y276" s="202"/>
      <c r="Z276" s="203"/>
      <c r="AA276" s="204"/>
      <c r="AB276" s="204"/>
      <c r="AC276" s="205"/>
      <c r="AD276" s="143"/>
      <c r="AE276" s="206"/>
      <c r="AF276" s="207"/>
      <c r="AG276" s="161"/>
      <c r="AH276" s="161"/>
      <c r="AI276" s="208"/>
      <c r="AJ276" s="208"/>
      <c r="AK276" s="209"/>
      <c r="AL276" s="210"/>
      <c r="AM276" s="161">
        <f t="shared" si="109"/>
        <v>0</v>
      </c>
      <c r="AN276" s="211"/>
      <c r="AO276" s="212"/>
      <c r="AP276" s="212"/>
      <c r="AQ276" s="213" t="s">
        <v>18</v>
      </c>
      <c r="AR276" s="209"/>
      <c r="AS276" s="210"/>
      <c r="AT276" s="161">
        <f t="shared" si="110"/>
        <v>0</v>
      </c>
      <c r="AU276" s="211"/>
      <c r="AV276" s="212"/>
      <c r="AW276" s="212"/>
      <c r="AX276" s="213" t="s">
        <v>18</v>
      </c>
      <c r="AY276" s="209"/>
      <c r="AZ276" s="210"/>
      <c r="BA276" s="161">
        <f t="shared" si="111"/>
        <v>0</v>
      </c>
      <c r="BB276" s="211"/>
      <c r="BC276" s="212"/>
      <c r="BD276" s="212"/>
      <c r="BE276" s="213" t="s">
        <v>18</v>
      </c>
      <c r="BF276" s="181"/>
      <c r="BG276" s="210"/>
      <c r="BH276" s="161">
        <f t="shared" si="112"/>
        <v>0</v>
      </c>
      <c r="BI276" s="211"/>
      <c r="BJ276" s="212"/>
      <c r="BK276" s="212"/>
      <c r="BL276" s="213" t="s">
        <v>18</v>
      </c>
      <c r="BM276" s="181"/>
      <c r="BN276" s="210"/>
      <c r="BO276" s="161">
        <f t="shared" si="113"/>
        <v>0</v>
      </c>
      <c r="BP276" s="211"/>
      <c r="BQ276" s="212"/>
      <c r="BR276" s="212"/>
      <c r="BS276" s="213" t="s">
        <v>18</v>
      </c>
      <c r="BT276" s="181"/>
      <c r="BU276" s="210"/>
      <c r="BV276" s="161">
        <f t="shared" si="114"/>
        <v>0</v>
      </c>
      <c r="BW276" s="211"/>
      <c r="BX276" s="212"/>
      <c r="BY276" s="212"/>
      <c r="BZ276" s="213" t="s">
        <v>18</v>
      </c>
      <c r="CC276" s="163">
        <f t="shared" si="115"/>
        <v>0</v>
      </c>
      <c r="CD276" s="163">
        <f t="shared" si="116"/>
        <v>0</v>
      </c>
      <c r="CE276" s="163">
        <f t="shared" si="117"/>
        <v>0</v>
      </c>
      <c r="CF276" s="163">
        <f t="shared" si="118"/>
        <v>0</v>
      </c>
      <c r="CG276" s="163">
        <f t="shared" si="119"/>
        <v>0</v>
      </c>
      <c r="CH276" s="163">
        <f t="shared" si="120"/>
        <v>0</v>
      </c>
      <c r="CJ276" s="163">
        <f t="shared" si="121"/>
        <v>0</v>
      </c>
      <c r="CK276" s="163">
        <f t="shared" si="122"/>
        <v>0</v>
      </c>
      <c r="CL276" s="163">
        <f t="shared" si="123"/>
        <v>0</v>
      </c>
      <c r="CM276" s="163">
        <f t="shared" si="124"/>
        <v>0</v>
      </c>
      <c r="CN276" s="163">
        <f t="shared" si="125"/>
        <v>0</v>
      </c>
      <c r="CO276" s="163">
        <f t="shared" si="126"/>
        <v>0</v>
      </c>
      <c r="CP276" s="163"/>
      <c r="CQ276" s="163">
        <f t="shared" si="127"/>
        <v>0</v>
      </c>
      <c r="CR276" s="163">
        <f t="shared" si="128"/>
        <v>0</v>
      </c>
      <c r="CS276" s="163">
        <f t="shared" si="129"/>
        <v>0</v>
      </c>
      <c r="CT276" s="163">
        <f t="shared" si="130"/>
        <v>0</v>
      </c>
      <c r="CU276" s="163">
        <f t="shared" si="131"/>
        <v>0</v>
      </c>
      <c r="CV276" s="163">
        <f t="shared" si="132"/>
        <v>0</v>
      </c>
    </row>
    <row r="277" spans="2:100" x14ac:dyDescent="0.25">
      <c r="B277" s="197"/>
      <c r="C277" s="187"/>
      <c r="D277" s="188"/>
      <c r="E277" s="188"/>
      <c r="F277" s="198"/>
      <c r="G277" s="143"/>
      <c r="H277" s="144"/>
      <c r="I277" s="144"/>
      <c r="J277" s="144"/>
      <c r="K277" s="144"/>
      <c r="L277" s="144"/>
      <c r="M277" s="144"/>
      <c r="N277" s="199"/>
      <c r="O277" s="200"/>
      <c r="P277" s="161"/>
      <c r="Q277" s="161"/>
      <c r="R277" s="201"/>
      <c r="S277" s="162"/>
      <c r="T277" s="162"/>
      <c r="U277" s="162"/>
      <c r="V277" s="162"/>
      <c r="W277" s="140"/>
      <c r="X277" s="150"/>
      <c r="Y277" s="202"/>
      <c r="Z277" s="203"/>
      <c r="AA277" s="204"/>
      <c r="AB277" s="204"/>
      <c r="AC277" s="205"/>
      <c r="AD277" s="143"/>
      <c r="AE277" s="206"/>
      <c r="AF277" s="207"/>
      <c r="AG277" s="161"/>
      <c r="AH277" s="161"/>
      <c r="AI277" s="208"/>
      <c r="AJ277" s="208"/>
      <c r="AK277" s="209"/>
      <c r="AL277" s="210"/>
      <c r="AM277" s="161">
        <f t="shared" si="109"/>
        <v>0</v>
      </c>
      <c r="AN277" s="211"/>
      <c r="AO277" s="212"/>
      <c r="AP277" s="212"/>
      <c r="AQ277" s="213" t="s">
        <v>18</v>
      </c>
      <c r="AR277" s="209"/>
      <c r="AS277" s="210"/>
      <c r="AT277" s="161">
        <f t="shared" si="110"/>
        <v>0</v>
      </c>
      <c r="AU277" s="211"/>
      <c r="AV277" s="212"/>
      <c r="AW277" s="212"/>
      <c r="AX277" s="213" t="s">
        <v>18</v>
      </c>
      <c r="AY277" s="209"/>
      <c r="AZ277" s="210"/>
      <c r="BA277" s="161">
        <f t="shared" si="111"/>
        <v>0</v>
      </c>
      <c r="BB277" s="211"/>
      <c r="BC277" s="212"/>
      <c r="BD277" s="212"/>
      <c r="BE277" s="213" t="s">
        <v>18</v>
      </c>
      <c r="BF277" s="181"/>
      <c r="BG277" s="210"/>
      <c r="BH277" s="161">
        <f t="shared" si="112"/>
        <v>0</v>
      </c>
      <c r="BI277" s="211"/>
      <c r="BJ277" s="212"/>
      <c r="BK277" s="212"/>
      <c r="BL277" s="213" t="s">
        <v>18</v>
      </c>
      <c r="BM277" s="181"/>
      <c r="BN277" s="210"/>
      <c r="BO277" s="161">
        <f t="shared" si="113"/>
        <v>0</v>
      </c>
      <c r="BP277" s="211"/>
      <c r="BQ277" s="212"/>
      <c r="BR277" s="212"/>
      <c r="BS277" s="213" t="s">
        <v>18</v>
      </c>
      <c r="BT277" s="181"/>
      <c r="BU277" s="210"/>
      <c r="BV277" s="161">
        <f t="shared" si="114"/>
        <v>0</v>
      </c>
      <c r="BW277" s="211"/>
      <c r="BX277" s="212"/>
      <c r="BY277" s="212"/>
      <c r="BZ277" s="213" t="s">
        <v>18</v>
      </c>
      <c r="CC277" s="163">
        <f t="shared" si="115"/>
        <v>0</v>
      </c>
      <c r="CD277" s="163">
        <f t="shared" si="116"/>
        <v>0</v>
      </c>
      <c r="CE277" s="163">
        <f t="shared" si="117"/>
        <v>0</v>
      </c>
      <c r="CF277" s="163">
        <f t="shared" si="118"/>
        <v>0</v>
      </c>
      <c r="CG277" s="163">
        <f t="shared" si="119"/>
        <v>0</v>
      </c>
      <c r="CH277" s="163">
        <f t="shared" si="120"/>
        <v>0</v>
      </c>
      <c r="CJ277" s="163">
        <f t="shared" si="121"/>
        <v>0</v>
      </c>
      <c r="CK277" s="163">
        <f t="shared" si="122"/>
        <v>0</v>
      </c>
      <c r="CL277" s="163">
        <f t="shared" si="123"/>
        <v>0</v>
      </c>
      <c r="CM277" s="163">
        <f t="shared" si="124"/>
        <v>0</v>
      </c>
      <c r="CN277" s="163">
        <f t="shared" si="125"/>
        <v>0</v>
      </c>
      <c r="CO277" s="163">
        <f t="shared" si="126"/>
        <v>0</v>
      </c>
      <c r="CP277" s="163"/>
      <c r="CQ277" s="163">
        <f t="shared" si="127"/>
        <v>0</v>
      </c>
      <c r="CR277" s="163">
        <f t="shared" si="128"/>
        <v>0</v>
      </c>
      <c r="CS277" s="163">
        <f t="shared" si="129"/>
        <v>0</v>
      </c>
      <c r="CT277" s="163">
        <f t="shared" si="130"/>
        <v>0</v>
      </c>
      <c r="CU277" s="163">
        <f t="shared" si="131"/>
        <v>0</v>
      </c>
      <c r="CV277" s="163">
        <f t="shared" si="132"/>
        <v>0</v>
      </c>
    </row>
    <row r="278" spans="2:100" x14ac:dyDescent="0.25">
      <c r="B278" s="197"/>
      <c r="C278" s="187"/>
      <c r="D278" s="188"/>
      <c r="E278" s="188"/>
      <c r="F278" s="198"/>
      <c r="G278" s="143"/>
      <c r="H278" s="144"/>
      <c r="I278" s="144"/>
      <c r="J278" s="144"/>
      <c r="K278" s="144"/>
      <c r="L278" s="144"/>
      <c r="M278" s="144"/>
      <c r="N278" s="199"/>
      <c r="O278" s="200"/>
      <c r="P278" s="161"/>
      <c r="Q278" s="161"/>
      <c r="R278" s="201"/>
      <c r="S278" s="162"/>
      <c r="T278" s="162"/>
      <c r="U278" s="162"/>
      <c r="V278" s="162"/>
      <c r="W278" s="140"/>
      <c r="X278" s="150"/>
      <c r="Y278" s="202"/>
      <c r="Z278" s="203"/>
      <c r="AA278" s="204"/>
      <c r="AB278" s="204"/>
      <c r="AC278" s="205"/>
      <c r="AD278" s="143"/>
      <c r="AE278" s="206"/>
      <c r="AF278" s="207"/>
      <c r="AG278" s="161"/>
      <c r="AH278" s="161"/>
      <c r="AI278" s="208"/>
      <c r="AJ278" s="208"/>
      <c r="AK278" s="209"/>
      <c r="AL278" s="210"/>
      <c r="AM278" s="161">
        <f t="shared" si="109"/>
        <v>0</v>
      </c>
      <c r="AN278" s="211"/>
      <c r="AO278" s="212"/>
      <c r="AP278" s="212"/>
      <c r="AQ278" s="213" t="s">
        <v>18</v>
      </c>
      <c r="AR278" s="209"/>
      <c r="AS278" s="210"/>
      <c r="AT278" s="161">
        <f t="shared" si="110"/>
        <v>0</v>
      </c>
      <c r="AU278" s="211"/>
      <c r="AV278" s="212"/>
      <c r="AW278" s="212"/>
      <c r="AX278" s="213" t="s">
        <v>18</v>
      </c>
      <c r="AY278" s="209"/>
      <c r="AZ278" s="210"/>
      <c r="BA278" s="161">
        <f t="shared" si="111"/>
        <v>0</v>
      </c>
      <c r="BB278" s="211"/>
      <c r="BC278" s="212"/>
      <c r="BD278" s="212"/>
      <c r="BE278" s="213" t="s">
        <v>18</v>
      </c>
      <c r="BF278" s="181"/>
      <c r="BG278" s="210"/>
      <c r="BH278" s="161">
        <f t="shared" si="112"/>
        <v>0</v>
      </c>
      <c r="BI278" s="211"/>
      <c r="BJ278" s="212"/>
      <c r="BK278" s="212"/>
      <c r="BL278" s="213" t="s">
        <v>18</v>
      </c>
      <c r="BM278" s="181"/>
      <c r="BN278" s="210"/>
      <c r="BO278" s="161">
        <f t="shared" si="113"/>
        <v>0</v>
      </c>
      <c r="BP278" s="211"/>
      <c r="BQ278" s="212"/>
      <c r="BR278" s="212"/>
      <c r="BS278" s="213" t="s">
        <v>18</v>
      </c>
      <c r="BT278" s="181"/>
      <c r="BU278" s="210"/>
      <c r="BV278" s="161">
        <f t="shared" si="114"/>
        <v>0</v>
      </c>
      <c r="BW278" s="211"/>
      <c r="BX278" s="212"/>
      <c r="BY278" s="212"/>
      <c r="BZ278" s="213" t="s">
        <v>18</v>
      </c>
      <c r="CC278" s="163">
        <f t="shared" si="115"/>
        <v>0</v>
      </c>
      <c r="CD278" s="163">
        <f t="shared" si="116"/>
        <v>0</v>
      </c>
      <c r="CE278" s="163">
        <f t="shared" si="117"/>
        <v>0</v>
      </c>
      <c r="CF278" s="163">
        <f t="shared" si="118"/>
        <v>0</v>
      </c>
      <c r="CG278" s="163">
        <f t="shared" si="119"/>
        <v>0</v>
      </c>
      <c r="CH278" s="163">
        <f t="shared" si="120"/>
        <v>0</v>
      </c>
      <c r="CJ278" s="163">
        <f t="shared" si="121"/>
        <v>0</v>
      </c>
      <c r="CK278" s="163">
        <f t="shared" si="122"/>
        <v>0</v>
      </c>
      <c r="CL278" s="163">
        <f t="shared" si="123"/>
        <v>0</v>
      </c>
      <c r="CM278" s="163">
        <f t="shared" si="124"/>
        <v>0</v>
      </c>
      <c r="CN278" s="163">
        <f t="shared" si="125"/>
        <v>0</v>
      </c>
      <c r="CO278" s="163">
        <f t="shared" si="126"/>
        <v>0</v>
      </c>
      <c r="CP278" s="163"/>
      <c r="CQ278" s="163">
        <f t="shared" si="127"/>
        <v>0</v>
      </c>
      <c r="CR278" s="163">
        <f t="shared" si="128"/>
        <v>0</v>
      </c>
      <c r="CS278" s="163">
        <f t="shared" si="129"/>
        <v>0</v>
      </c>
      <c r="CT278" s="163">
        <f t="shared" si="130"/>
        <v>0</v>
      </c>
      <c r="CU278" s="163">
        <f t="shared" si="131"/>
        <v>0</v>
      </c>
      <c r="CV278" s="163">
        <f t="shared" si="132"/>
        <v>0</v>
      </c>
    </row>
    <row r="279" spans="2:100" x14ac:dyDescent="0.25">
      <c r="B279" s="197"/>
      <c r="C279" s="187"/>
      <c r="D279" s="188"/>
      <c r="E279" s="188"/>
      <c r="F279" s="198"/>
      <c r="G279" s="143"/>
      <c r="H279" s="144"/>
      <c r="I279" s="144"/>
      <c r="J279" s="144"/>
      <c r="K279" s="144"/>
      <c r="L279" s="144"/>
      <c r="M279" s="144"/>
      <c r="N279" s="199"/>
      <c r="O279" s="200"/>
      <c r="P279" s="161"/>
      <c r="Q279" s="161"/>
      <c r="R279" s="201"/>
      <c r="S279" s="162"/>
      <c r="T279" s="162"/>
      <c r="U279" s="162"/>
      <c r="V279" s="162"/>
      <c r="W279" s="140"/>
      <c r="X279" s="150"/>
      <c r="Y279" s="202"/>
      <c r="Z279" s="203"/>
      <c r="AA279" s="204"/>
      <c r="AB279" s="204"/>
      <c r="AC279" s="205"/>
      <c r="AD279" s="143"/>
      <c r="AE279" s="206"/>
      <c r="AF279" s="207"/>
      <c r="AG279" s="161"/>
      <c r="AH279" s="161"/>
      <c r="AI279" s="208"/>
      <c r="AJ279" s="208"/>
      <c r="AK279" s="209"/>
      <c r="AL279" s="210"/>
      <c r="AM279" s="161">
        <f t="shared" si="109"/>
        <v>0</v>
      </c>
      <c r="AN279" s="211"/>
      <c r="AO279" s="212"/>
      <c r="AP279" s="212"/>
      <c r="AQ279" s="213" t="s">
        <v>18</v>
      </c>
      <c r="AR279" s="209"/>
      <c r="AS279" s="210"/>
      <c r="AT279" s="161">
        <f t="shared" si="110"/>
        <v>0</v>
      </c>
      <c r="AU279" s="211"/>
      <c r="AV279" s="212"/>
      <c r="AW279" s="212"/>
      <c r="AX279" s="213" t="s">
        <v>18</v>
      </c>
      <c r="AY279" s="209"/>
      <c r="AZ279" s="210"/>
      <c r="BA279" s="161">
        <f t="shared" si="111"/>
        <v>0</v>
      </c>
      <c r="BB279" s="211"/>
      <c r="BC279" s="212"/>
      <c r="BD279" s="212"/>
      <c r="BE279" s="213" t="s">
        <v>18</v>
      </c>
      <c r="BF279" s="181"/>
      <c r="BG279" s="210"/>
      <c r="BH279" s="161">
        <f t="shared" si="112"/>
        <v>0</v>
      </c>
      <c r="BI279" s="211"/>
      <c r="BJ279" s="212"/>
      <c r="BK279" s="212"/>
      <c r="BL279" s="213" t="s">
        <v>18</v>
      </c>
      <c r="BM279" s="181"/>
      <c r="BN279" s="210"/>
      <c r="BO279" s="161">
        <f t="shared" si="113"/>
        <v>0</v>
      </c>
      <c r="BP279" s="211"/>
      <c r="BQ279" s="212"/>
      <c r="BR279" s="212"/>
      <c r="BS279" s="213" t="s">
        <v>18</v>
      </c>
      <c r="BT279" s="181"/>
      <c r="BU279" s="210"/>
      <c r="BV279" s="161">
        <f t="shared" si="114"/>
        <v>0</v>
      </c>
      <c r="BW279" s="211"/>
      <c r="BX279" s="212"/>
      <c r="BY279" s="212"/>
      <c r="BZ279" s="213" t="s">
        <v>18</v>
      </c>
      <c r="CC279" s="163">
        <f t="shared" si="115"/>
        <v>0</v>
      </c>
      <c r="CD279" s="163">
        <f t="shared" si="116"/>
        <v>0</v>
      </c>
      <c r="CE279" s="163">
        <f t="shared" si="117"/>
        <v>0</v>
      </c>
      <c r="CF279" s="163">
        <f t="shared" si="118"/>
        <v>0</v>
      </c>
      <c r="CG279" s="163">
        <f t="shared" si="119"/>
        <v>0</v>
      </c>
      <c r="CH279" s="163">
        <f t="shared" si="120"/>
        <v>0</v>
      </c>
      <c r="CJ279" s="163">
        <f t="shared" si="121"/>
        <v>0</v>
      </c>
      <c r="CK279" s="163">
        <f t="shared" si="122"/>
        <v>0</v>
      </c>
      <c r="CL279" s="163">
        <f t="shared" si="123"/>
        <v>0</v>
      </c>
      <c r="CM279" s="163">
        <f t="shared" si="124"/>
        <v>0</v>
      </c>
      <c r="CN279" s="163">
        <f t="shared" si="125"/>
        <v>0</v>
      </c>
      <c r="CO279" s="163">
        <f t="shared" si="126"/>
        <v>0</v>
      </c>
      <c r="CP279" s="163"/>
      <c r="CQ279" s="163">
        <f t="shared" si="127"/>
        <v>0</v>
      </c>
      <c r="CR279" s="163">
        <f t="shared" si="128"/>
        <v>0</v>
      </c>
      <c r="CS279" s="163">
        <f t="shared" si="129"/>
        <v>0</v>
      </c>
      <c r="CT279" s="163">
        <f t="shared" si="130"/>
        <v>0</v>
      </c>
      <c r="CU279" s="163">
        <f t="shared" si="131"/>
        <v>0</v>
      </c>
      <c r="CV279" s="163">
        <f t="shared" si="132"/>
        <v>0</v>
      </c>
    </row>
    <row r="280" spans="2:100" x14ac:dyDescent="0.25">
      <c r="B280" s="197"/>
      <c r="C280" s="187"/>
      <c r="D280" s="188"/>
      <c r="E280" s="188"/>
      <c r="F280" s="198"/>
      <c r="G280" s="143"/>
      <c r="H280" s="144"/>
      <c r="I280" s="144"/>
      <c r="J280" s="144"/>
      <c r="K280" s="144"/>
      <c r="L280" s="144"/>
      <c r="M280" s="144"/>
      <c r="N280" s="199"/>
      <c r="O280" s="200"/>
      <c r="P280" s="161"/>
      <c r="Q280" s="161"/>
      <c r="R280" s="201"/>
      <c r="S280" s="162"/>
      <c r="T280" s="162"/>
      <c r="U280" s="162"/>
      <c r="V280" s="162"/>
      <c r="W280" s="140"/>
      <c r="X280" s="150"/>
      <c r="Y280" s="202"/>
      <c r="Z280" s="203"/>
      <c r="AA280" s="204"/>
      <c r="AB280" s="204"/>
      <c r="AC280" s="205"/>
      <c r="AD280" s="143"/>
      <c r="AE280" s="206"/>
      <c r="AF280" s="207"/>
      <c r="AG280" s="161"/>
      <c r="AH280" s="161"/>
      <c r="AI280" s="208"/>
      <c r="AJ280" s="208"/>
      <c r="AK280" s="209"/>
      <c r="AL280" s="210"/>
      <c r="AM280" s="161">
        <f t="shared" si="109"/>
        <v>0</v>
      </c>
      <c r="AN280" s="211"/>
      <c r="AO280" s="212"/>
      <c r="AP280" s="212"/>
      <c r="AQ280" s="213" t="s">
        <v>18</v>
      </c>
      <c r="AR280" s="209"/>
      <c r="AS280" s="210"/>
      <c r="AT280" s="161">
        <f t="shared" si="110"/>
        <v>0</v>
      </c>
      <c r="AU280" s="211"/>
      <c r="AV280" s="212"/>
      <c r="AW280" s="212"/>
      <c r="AX280" s="213" t="s">
        <v>18</v>
      </c>
      <c r="AY280" s="209"/>
      <c r="AZ280" s="210"/>
      <c r="BA280" s="161">
        <f t="shared" si="111"/>
        <v>0</v>
      </c>
      <c r="BB280" s="211"/>
      <c r="BC280" s="212"/>
      <c r="BD280" s="212"/>
      <c r="BE280" s="213" t="s">
        <v>18</v>
      </c>
      <c r="BF280" s="181"/>
      <c r="BG280" s="210"/>
      <c r="BH280" s="161">
        <f t="shared" si="112"/>
        <v>0</v>
      </c>
      <c r="BI280" s="211"/>
      <c r="BJ280" s="212"/>
      <c r="BK280" s="212"/>
      <c r="BL280" s="213" t="s">
        <v>18</v>
      </c>
      <c r="BM280" s="181"/>
      <c r="BN280" s="210"/>
      <c r="BO280" s="161">
        <f t="shared" si="113"/>
        <v>0</v>
      </c>
      <c r="BP280" s="211"/>
      <c r="BQ280" s="212"/>
      <c r="BR280" s="212"/>
      <c r="BS280" s="213" t="s">
        <v>18</v>
      </c>
      <c r="BT280" s="181"/>
      <c r="BU280" s="210"/>
      <c r="BV280" s="161">
        <f t="shared" si="114"/>
        <v>0</v>
      </c>
      <c r="BW280" s="211"/>
      <c r="BX280" s="212"/>
      <c r="BY280" s="212"/>
      <c r="BZ280" s="213" t="s">
        <v>18</v>
      </c>
      <c r="CC280" s="163">
        <f t="shared" si="115"/>
        <v>0</v>
      </c>
      <c r="CD280" s="163">
        <f t="shared" si="116"/>
        <v>0</v>
      </c>
      <c r="CE280" s="163">
        <f t="shared" si="117"/>
        <v>0</v>
      </c>
      <c r="CF280" s="163">
        <f t="shared" si="118"/>
        <v>0</v>
      </c>
      <c r="CG280" s="163">
        <f t="shared" si="119"/>
        <v>0</v>
      </c>
      <c r="CH280" s="163">
        <f t="shared" si="120"/>
        <v>0</v>
      </c>
      <c r="CJ280" s="163">
        <f t="shared" si="121"/>
        <v>0</v>
      </c>
      <c r="CK280" s="163">
        <f t="shared" si="122"/>
        <v>0</v>
      </c>
      <c r="CL280" s="163">
        <f t="shared" si="123"/>
        <v>0</v>
      </c>
      <c r="CM280" s="163">
        <f t="shared" si="124"/>
        <v>0</v>
      </c>
      <c r="CN280" s="163">
        <f t="shared" si="125"/>
        <v>0</v>
      </c>
      <c r="CO280" s="163">
        <f t="shared" si="126"/>
        <v>0</v>
      </c>
      <c r="CP280" s="163"/>
      <c r="CQ280" s="163">
        <f t="shared" si="127"/>
        <v>0</v>
      </c>
      <c r="CR280" s="163">
        <f t="shared" si="128"/>
        <v>0</v>
      </c>
      <c r="CS280" s="163">
        <f t="shared" si="129"/>
        <v>0</v>
      </c>
      <c r="CT280" s="163">
        <f t="shared" si="130"/>
        <v>0</v>
      </c>
      <c r="CU280" s="163">
        <f t="shared" si="131"/>
        <v>0</v>
      </c>
      <c r="CV280" s="163">
        <f t="shared" si="132"/>
        <v>0</v>
      </c>
    </row>
    <row r="281" spans="2:100" x14ac:dyDescent="0.25">
      <c r="B281" s="197"/>
      <c r="C281" s="187"/>
      <c r="D281" s="188"/>
      <c r="E281" s="188"/>
      <c r="F281" s="198"/>
      <c r="G281" s="143"/>
      <c r="H281" s="144"/>
      <c r="I281" s="144"/>
      <c r="J281" s="144"/>
      <c r="K281" s="144"/>
      <c r="L281" s="144"/>
      <c r="M281" s="144"/>
      <c r="N281" s="199"/>
      <c r="O281" s="200"/>
      <c r="P281" s="161"/>
      <c r="Q281" s="161"/>
      <c r="R281" s="201"/>
      <c r="S281" s="162"/>
      <c r="T281" s="162"/>
      <c r="U281" s="162"/>
      <c r="V281" s="162"/>
      <c r="W281" s="140"/>
      <c r="X281" s="150"/>
      <c r="Y281" s="202"/>
      <c r="Z281" s="203"/>
      <c r="AA281" s="204"/>
      <c r="AB281" s="204"/>
      <c r="AC281" s="205"/>
      <c r="AD281" s="143"/>
      <c r="AE281" s="206"/>
      <c r="AF281" s="207"/>
      <c r="AG281" s="161"/>
      <c r="AH281" s="161"/>
      <c r="AI281" s="208"/>
      <c r="AJ281" s="208"/>
      <c r="AK281" s="209"/>
      <c r="AL281" s="210"/>
      <c r="AM281" s="161">
        <f t="shared" si="109"/>
        <v>0</v>
      </c>
      <c r="AN281" s="211"/>
      <c r="AO281" s="212"/>
      <c r="AP281" s="212"/>
      <c r="AQ281" s="213" t="s">
        <v>18</v>
      </c>
      <c r="AR281" s="209"/>
      <c r="AS281" s="210"/>
      <c r="AT281" s="161">
        <f t="shared" si="110"/>
        <v>0</v>
      </c>
      <c r="AU281" s="211"/>
      <c r="AV281" s="212"/>
      <c r="AW281" s="212"/>
      <c r="AX281" s="213" t="s">
        <v>18</v>
      </c>
      <c r="AY281" s="209"/>
      <c r="AZ281" s="210"/>
      <c r="BA281" s="161">
        <f t="shared" si="111"/>
        <v>0</v>
      </c>
      <c r="BB281" s="211"/>
      <c r="BC281" s="212"/>
      <c r="BD281" s="212"/>
      <c r="BE281" s="213" t="s">
        <v>18</v>
      </c>
      <c r="BF281" s="181"/>
      <c r="BG281" s="210"/>
      <c r="BH281" s="161">
        <f t="shared" si="112"/>
        <v>0</v>
      </c>
      <c r="BI281" s="211"/>
      <c r="BJ281" s="212"/>
      <c r="BK281" s="212"/>
      <c r="BL281" s="213" t="s">
        <v>18</v>
      </c>
      <c r="BM281" s="181"/>
      <c r="BN281" s="210"/>
      <c r="BO281" s="161">
        <f t="shared" si="113"/>
        <v>0</v>
      </c>
      <c r="BP281" s="211"/>
      <c r="BQ281" s="212"/>
      <c r="BR281" s="212"/>
      <c r="BS281" s="213" t="s">
        <v>18</v>
      </c>
      <c r="BT281" s="181"/>
      <c r="BU281" s="210"/>
      <c r="BV281" s="161">
        <f t="shared" si="114"/>
        <v>0</v>
      </c>
      <c r="BW281" s="211"/>
      <c r="BX281" s="212"/>
      <c r="BY281" s="212"/>
      <c r="BZ281" s="213" t="s">
        <v>18</v>
      </c>
      <c r="CC281" s="163">
        <f t="shared" si="115"/>
        <v>0</v>
      </c>
      <c r="CD281" s="163">
        <f t="shared" si="116"/>
        <v>0</v>
      </c>
      <c r="CE281" s="163">
        <f t="shared" si="117"/>
        <v>0</v>
      </c>
      <c r="CF281" s="163">
        <f t="shared" si="118"/>
        <v>0</v>
      </c>
      <c r="CG281" s="163">
        <f t="shared" si="119"/>
        <v>0</v>
      </c>
      <c r="CH281" s="163">
        <f t="shared" si="120"/>
        <v>0</v>
      </c>
      <c r="CJ281" s="163">
        <f t="shared" si="121"/>
        <v>0</v>
      </c>
      <c r="CK281" s="163">
        <f t="shared" si="122"/>
        <v>0</v>
      </c>
      <c r="CL281" s="163">
        <f t="shared" si="123"/>
        <v>0</v>
      </c>
      <c r="CM281" s="163">
        <f t="shared" si="124"/>
        <v>0</v>
      </c>
      <c r="CN281" s="163">
        <f t="shared" si="125"/>
        <v>0</v>
      </c>
      <c r="CO281" s="163">
        <f t="shared" si="126"/>
        <v>0</v>
      </c>
      <c r="CP281" s="163"/>
      <c r="CQ281" s="163">
        <f t="shared" si="127"/>
        <v>0</v>
      </c>
      <c r="CR281" s="163">
        <f t="shared" si="128"/>
        <v>0</v>
      </c>
      <c r="CS281" s="163">
        <f t="shared" si="129"/>
        <v>0</v>
      </c>
      <c r="CT281" s="163">
        <f t="shared" si="130"/>
        <v>0</v>
      </c>
      <c r="CU281" s="163">
        <f t="shared" si="131"/>
        <v>0</v>
      </c>
      <c r="CV281" s="163">
        <f t="shared" si="132"/>
        <v>0</v>
      </c>
    </row>
    <row r="282" spans="2:100" x14ac:dyDescent="0.25">
      <c r="B282" s="197"/>
      <c r="C282" s="187"/>
      <c r="D282" s="188"/>
      <c r="E282" s="188"/>
      <c r="F282" s="198"/>
      <c r="G282" s="143"/>
      <c r="H282" s="144"/>
      <c r="I282" s="144"/>
      <c r="J282" s="144"/>
      <c r="K282" s="144"/>
      <c r="L282" s="144"/>
      <c r="M282" s="144"/>
      <c r="N282" s="199"/>
      <c r="O282" s="200"/>
      <c r="P282" s="161"/>
      <c r="Q282" s="161"/>
      <c r="R282" s="201"/>
      <c r="S282" s="162"/>
      <c r="T282" s="162"/>
      <c r="U282" s="162"/>
      <c r="V282" s="162"/>
      <c r="W282" s="140"/>
      <c r="X282" s="150"/>
      <c r="Y282" s="202"/>
      <c r="Z282" s="203"/>
      <c r="AA282" s="204"/>
      <c r="AB282" s="204"/>
      <c r="AC282" s="205"/>
      <c r="AD282" s="143"/>
      <c r="AE282" s="206"/>
      <c r="AF282" s="207"/>
      <c r="AG282" s="161"/>
      <c r="AH282" s="161"/>
      <c r="AI282" s="208"/>
      <c r="AJ282" s="208"/>
      <c r="AK282" s="209"/>
      <c r="AL282" s="210"/>
      <c r="AM282" s="161">
        <f t="shared" si="109"/>
        <v>0</v>
      </c>
      <c r="AN282" s="211"/>
      <c r="AO282" s="212"/>
      <c r="AP282" s="212"/>
      <c r="AQ282" s="213" t="s">
        <v>18</v>
      </c>
      <c r="AR282" s="209"/>
      <c r="AS282" s="210"/>
      <c r="AT282" s="161">
        <f t="shared" si="110"/>
        <v>0</v>
      </c>
      <c r="AU282" s="211"/>
      <c r="AV282" s="212"/>
      <c r="AW282" s="212"/>
      <c r="AX282" s="213" t="s">
        <v>18</v>
      </c>
      <c r="AY282" s="209"/>
      <c r="AZ282" s="210"/>
      <c r="BA282" s="161">
        <f t="shared" si="111"/>
        <v>0</v>
      </c>
      <c r="BB282" s="211"/>
      <c r="BC282" s="212"/>
      <c r="BD282" s="212"/>
      <c r="BE282" s="213" t="s">
        <v>18</v>
      </c>
      <c r="BF282" s="181"/>
      <c r="BG282" s="210"/>
      <c r="BH282" s="161">
        <f t="shared" si="112"/>
        <v>0</v>
      </c>
      <c r="BI282" s="211"/>
      <c r="BJ282" s="212"/>
      <c r="BK282" s="212"/>
      <c r="BL282" s="213" t="s">
        <v>18</v>
      </c>
      <c r="BM282" s="181"/>
      <c r="BN282" s="210"/>
      <c r="BO282" s="161">
        <f t="shared" si="113"/>
        <v>0</v>
      </c>
      <c r="BP282" s="211"/>
      <c r="BQ282" s="212"/>
      <c r="BR282" s="212"/>
      <c r="BS282" s="213" t="s">
        <v>18</v>
      </c>
      <c r="BT282" s="181"/>
      <c r="BU282" s="210"/>
      <c r="BV282" s="161">
        <f t="shared" si="114"/>
        <v>0</v>
      </c>
      <c r="BW282" s="211"/>
      <c r="BX282" s="212"/>
      <c r="BY282" s="212"/>
      <c r="BZ282" s="213" t="s">
        <v>18</v>
      </c>
      <c r="CC282" s="163">
        <f t="shared" si="115"/>
        <v>0</v>
      </c>
      <c r="CD282" s="163">
        <f t="shared" si="116"/>
        <v>0</v>
      </c>
      <c r="CE282" s="163">
        <f t="shared" si="117"/>
        <v>0</v>
      </c>
      <c r="CF282" s="163">
        <f t="shared" si="118"/>
        <v>0</v>
      </c>
      <c r="CG282" s="163">
        <f t="shared" si="119"/>
        <v>0</v>
      </c>
      <c r="CH282" s="163">
        <f t="shared" si="120"/>
        <v>0</v>
      </c>
      <c r="CJ282" s="163">
        <f t="shared" si="121"/>
        <v>0</v>
      </c>
      <c r="CK282" s="163">
        <f t="shared" si="122"/>
        <v>0</v>
      </c>
      <c r="CL282" s="163">
        <f t="shared" si="123"/>
        <v>0</v>
      </c>
      <c r="CM282" s="163">
        <f t="shared" si="124"/>
        <v>0</v>
      </c>
      <c r="CN282" s="163">
        <f t="shared" si="125"/>
        <v>0</v>
      </c>
      <c r="CO282" s="163">
        <f t="shared" si="126"/>
        <v>0</v>
      </c>
      <c r="CP282" s="163"/>
      <c r="CQ282" s="163">
        <f t="shared" si="127"/>
        <v>0</v>
      </c>
      <c r="CR282" s="163">
        <f t="shared" si="128"/>
        <v>0</v>
      </c>
      <c r="CS282" s="163">
        <f t="shared" si="129"/>
        <v>0</v>
      </c>
      <c r="CT282" s="163">
        <f t="shared" si="130"/>
        <v>0</v>
      </c>
      <c r="CU282" s="163">
        <f t="shared" si="131"/>
        <v>0</v>
      </c>
      <c r="CV282" s="163">
        <f t="shared" si="132"/>
        <v>0</v>
      </c>
    </row>
    <row r="283" spans="2:100" x14ac:dyDescent="0.25">
      <c r="B283" s="197"/>
      <c r="C283" s="187"/>
      <c r="D283" s="188"/>
      <c r="E283" s="188"/>
      <c r="F283" s="198"/>
      <c r="G283" s="143"/>
      <c r="H283" s="144"/>
      <c r="I283" s="144"/>
      <c r="J283" s="144"/>
      <c r="K283" s="144"/>
      <c r="L283" s="144"/>
      <c r="M283" s="144"/>
      <c r="N283" s="199"/>
      <c r="O283" s="200"/>
      <c r="P283" s="161"/>
      <c r="Q283" s="161"/>
      <c r="R283" s="201"/>
      <c r="S283" s="162"/>
      <c r="T283" s="162"/>
      <c r="U283" s="162"/>
      <c r="V283" s="162"/>
      <c r="W283" s="140"/>
      <c r="X283" s="150"/>
      <c r="Y283" s="202"/>
      <c r="Z283" s="203"/>
      <c r="AA283" s="204"/>
      <c r="AB283" s="204"/>
      <c r="AC283" s="205"/>
      <c r="AD283" s="143"/>
      <c r="AE283" s="206"/>
      <c r="AF283" s="207"/>
      <c r="AG283" s="161"/>
      <c r="AH283" s="161"/>
      <c r="AI283" s="208"/>
      <c r="AJ283" s="208"/>
      <c r="AK283" s="209"/>
      <c r="AL283" s="210"/>
      <c r="AM283" s="161">
        <f t="shared" si="109"/>
        <v>0</v>
      </c>
      <c r="AN283" s="211"/>
      <c r="AO283" s="212"/>
      <c r="AP283" s="212"/>
      <c r="AQ283" s="213" t="s">
        <v>18</v>
      </c>
      <c r="AR283" s="209"/>
      <c r="AS283" s="210"/>
      <c r="AT283" s="161">
        <f t="shared" si="110"/>
        <v>0</v>
      </c>
      <c r="AU283" s="211"/>
      <c r="AV283" s="212"/>
      <c r="AW283" s="212"/>
      <c r="AX283" s="213" t="s">
        <v>18</v>
      </c>
      <c r="AY283" s="209"/>
      <c r="AZ283" s="210"/>
      <c r="BA283" s="161">
        <f t="shared" si="111"/>
        <v>0</v>
      </c>
      <c r="BB283" s="211"/>
      <c r="BC283" s="212"/>
      <c r="BD283" s="212"/>
      <c r="BE283" s="213" t="s">
        <v>18</v>
      </c>
      <c r="BF283" s="181"/>
      <c r="BG283" s="210"/>
      <c r="BH283" s="161">
        <f t="shared" si="112"/>
        <v>0</v>
      </c>
      <c r="BI283" s="211"/>
      <c r="BJ283" s="212"/>
      <c r="BK283" s="212"/>
      <c r="BL283" s="213" t="s">
        <v>18</v>
      </c>
      <c r="BM283" s="181"/>
      <c r="BN283" s="210"/>
      <c r="BO283" s="161">
        <f t="shared" si="113"/>
        <v>0</v>
      </c>
      <c r="BP283" s="211"/>
      <c r="BQ283" s="212"/>
      <c r="BR283" s="212"/>
      <c r="BS283" s="213" t="s">
        <v>18</v>
      </c>
      <c r="BT283" s="181"/>
      <c r="BU283" s="210"/>
      <c r="BV283" s="161">
        <f t="shared" si="114"/>
        <v>0</v>
      </c>
      <c r="BW283" s="211"/>
      <c r="BX283" s="212"/>
      <c r="BY283" s="212"/>
      <c r="BZ283" s="213" t="s">
        <v>18</v>
      </c>
      <c r="CC283" s="163">
        <f t="shared" si="115"/>
        <v>0</v>
      </c>
      <c r="CD283" s="163">
        <f t="shared" si="116"/>
        <v>0</v>
      </c>
      <c r="CE283" s="163">
        <f t="shared" si="117"/>
        <v>0</v>
      </c>
      <c r="CF283" s="163">
        <f t="shared" si="118"/>
        <v>0</v>
      </c>
      <c r="CG283" s="163">
        <f t="shared" si="119"/>
        <v>0</v>
      </c>
      <c r="CH283" s="163">
        <f t="shared" si="120"/>
        <v>0</v>
      </c>
      <c r="CJ283" s="163">
        <f t="shared" si="121"/>
        <v>0</v>
      </c>
      <c r="CK283" s="163">
        <f t="shared" si="122"/>
        <v>0</v>
      </c>
      <c r="CL283" s="163">
        <f t="shared" si="123"/>
        <v>0</v>
      </c>
      <c r="CM283" s="163">
        <f t="shared" si="124"/>
        <v>0</v>
      </c>
      <c r="CN283" s="163">
        <f t="shared" si="125"/>
        <v>0</v>
      </c>
      <c r="CO283" s="163">
        <f t="shared" si="126"/>
        <v>0</v>
      </c>
      <c r="CP283" s="163"/>
      <c r="CQ283" s="163">
        <f t="shared" si="127"/>
        <v>0</v>
      </c>
      <c r="CR283" s="163">
        <f t="shared" si="128"/>
        <v>0</v>
      </c>
      <c r="CS283" s="163">
        <f t="shared" si="129"/>
        <v>0</v>
      </c>
      <c r="CT283" s="163">
        <f t="shared" si="130"/>
        <v>0</v>
      </c>
      <c r="CU283" s="163">
        <f t="shared" si="131"/>
        <v>0</v>
      </c>
      <c r="CV283" s="163">
        <f t="shared" si="132"/>
        <v>0</v>
      </c>
    </row>
    <row r="284" spans="2:100" x14ac:dyDescent="0.25">
      <c r="B284" s="197"/>
      <c r="C284" s="187"/>
      <c r="D284" s="188"/>
      <c r="E284" s="188"/>
      <c r="F284" s="198"/>
      <c r="G284" s="143"/>
      <c r="H284" s="144"/>
      <c r="I284" s="144"/>
      <c r="J284" s="144"/>
      <c r="K284" s="144"/>
      <c r="L284" s="144"/>
      <c r="M284" s="144"/>
      <c r="N284" s="199"/>
      <c r="O284" s="200"/>
      <c r="P284" s="161"/>
      <c r="Q284" s="161"/>
      <c r="R284" s="201"/>
      <c r="S284" s="162"/>
      <c r="T284" s="162"/>
      <c r="U284" s="162"/>
      <c r="V284" s="162"/>
      <c r="W284" s="140"/>
      <c r="X284" s="150"/>
      <c r="Y284" s="202"/>
      <c r="Z284" s="203"/>
      <c r="AA284" s="204"/>
      <c r="AB284" s="204"/>
      <c r="AC284" s="205"/>
      <c r="AD284" s="143"/>
      <c r="AE284" s="206"/>
      <c r="AF284" s="207"/>
      <c r="AG284" s="161"/>
      <c r="AH284" s="161"/>
      <c r="AI284" s="208"/>
      <c r="AJ284" s="208"/>
      <c r="AK284" s="209"/>
      <c r="AL284" s="210"/>
      <c r="AM284" s="161">
        <f t="shared" si="109"/>
        <v>0</v>
      </c>
      <c r="AN284" s="211"/>
      <c r="AO284" s="212"/>
      <c r="AP284" s="212"/>
      <c r="AQ284" s="213" t="s">
        <v>18</v>
      </c>
      <c r="AR284" s="209"/>
      <c r="AS284" s="210"/>
      <c r="AT284" s="161">
        <f t="shared" si="110"/>
        <v>0</v>
      </c>
      <c r="AU284" s="211"/>
      <c r="AV284" s="212"/>
      <c r="AW284" s="212"/>
      <c r="AX284" s="213" t="s">
        <v>18</v>
      </c>
      <c r="AY284" s="209"/>
      <c r="AZ284" s="210"/>
      <c r="BA284" s="161">
        <f t="shared" si="111"/>
        <v>0</v>
      </c>
      <c r="BB284" s="211"/>
      <c r="BC284" s="212"/>
      <c r="BD284" s="212"/>
      <c r="BE284" s="213" t="s">
        <v>18</v>
      </c>
      <c r="BF284" s="181"/>
      <c r="BG284" s="210"/>
      <c r="BH284" s="161">
        <f t="shared" si="112"/>
        <v>0</v>
      </c>
      <c r="BI284" s="211"/>
      <c r="BJ284" s="212"/>
      <c r="BK284" s="212"/>
      <c r="BL284" s="213" t="s">
        <v>18</v>
      </c>
      <c r="BM284" s="181"/>
      <c r="BN284" s="210"/>
      <c r="BO284" s="161">
        <f t="shared" si="113"/>
        <v>0</v>
      </c>
      <c r="BP284" s="211"/>
      <c r="BQ284" s="212"/>
      <c r="BR284" s="212"/>
      <c r="BS284" s="213" t="s">
        <v>18</v>
      </c>
      <c r="BT284" s="181"/>
      <c r="BU284" s="210"/>
      <c r="BV284" s="161">
        <f t="shared" si="114"/>
        <v>0</v>
      </c>
      <c r="BW284" s="211"/>
      <c r="BX284" s="212"/>
      <c r="BY284" s="212"/>
      <c r="BZ284" s="213" t="s">
        <v>18</v>
      </c>
      <c r="CC284" s="163">
        <f t="shared" si="115"/>
        <v>0</v>
      </c>
      <c r="CD284" s="163">
        <f t="shared" si="116"/>
        <v>0</v>
      </c>
      <c r="CE284" s="163">
        <f t="shared" si="117"/>
        <v>0</v>
      </c>
      <c r="CF284" s="163">
        <f t="shared" si="118"/>
        <v>0</v>
      </c>
      <c r="CG284" s="163">
        <f t="shared" si="119"/>
        <v>0</v>
      </c>
      <c r="CH284" s="163">
        <f t="shared" si="120"/>
        <v>0</v>
      </c>
      <c r="CJ284" s="163">
        <f t="shared" si="121"/>
        <v>0</v>
      </c>
      <c r="CK284" s="163">
        <f t="shared" si="122"/>
        <v>0</v>
      </c>
      <c r="CL284" s="163">
        <f t="shared" si="123"/>
        <v>0</v>
      </c>
      <c r="CM284" s="163">
        <f t="shared" si="124"/>
        <v>0</v>
      </c>
      <c r="CN284" s="163">
        <f t="shared" si="125"/>
        <v>0</v>
      </c>
      <c r="CO284" s="163">
        <f t="shared" si="126"/>
        <v>0</v>
      </c>
      <c r="CP284" s="163"/>
      <c r="CQ284" s="163">
        <f t="shared" si="127"/>
        <v>0</v>
      </c>
      <c r="CR284" s="163">
        <f t="shared" si="128"/>
        <v>0</v>
      </c>
      <c r="CS284" s="163">
        <f t="shared" si="129"/>
        <v>0</v>
      </c>
      <c r="CT284" s="163">
        <f t="shared" si="130"/>
        <v>0</v>
      </c>
      <c r="CU284" s="163">
        <f t="shared" si="131"/>
        <v>0</v>
      </c>
      <c r="CV284" s="163">
        <f t="shared" si="132"/>
        <v>0</v>
      </c>
    </row>
    <row r="285" spans="2:100" x14ac:dyDescent="0.25">
      <c r="B285" s="197"/>
      <c r="C285" s="187"/>
      <c r="D285" s="188"/>
      <c r="E285" s="188"/>
      <c r="F285" s="198"/>
      <c r="G285" s="143"/>
      <c r="H285" s="144"/>
      <c r="I285" s="144"/>
      <c r="J285" s="144"/>
      <c r="K285" s="144"/>
      <c r="L285" s="144"/>
      <c r="M285" s="144"/>
      <c r="N285" s="199"/>
      <c r="O285" s="200"/>
      <c r="P285" s="161"/>
      <c r="Q285" s="161"/>
      <c r="R285" s="201"/>
      <c r="S285" s="162"/>
      <c r="T285" s="162"/>
      <c r="U285" s="162"/>
      <c r="V285" s="162"/>
      <c r="W285" s="140"/>
      <c r="X285" s="150"/>
      <c r="Y285" s="202"/>
      <c r="Z285" s="203"/>
      <c r="AA285" s="204"/>
      <c r="AB285" s="204"/>
      <c r="AC285" s="205"/>
      <c r="AD285" s="143"/>
      <c r="AE285" s="206"/>
      <c r="AF285" s="207"/>
      <c r="AG285" s="161"/>
      <c r="AH285" s="161"/>
      <c r="AI285" s="208"/>
      <c r="AJ285" s="208"/>
      <c r="AK285" s="209"/>
      <c r="AL285" s="210"/>
      <c r="AM285" s="161">
        <f t="shared" si="109"/>
        <v>0</v>
      </c>
      <c r="AN285" s="211"/>
      <c r="AO285" s="212"/>
      <c r="AP285" s="212"/>
      <c r="AQ285" s="213" t="s">
        <v>18</v>
      </c>
      <c r="AR285" s="209"/>
      <c r="AS285" s="210"/>
      <c r="AT285" s="161">
        <f t="shared" si="110"/>
        <v>0</v>
      </c>
      <c r="AU285" s="211"/>
      <c r="AV285" s="212"/>
      <c r="AW285" s="212"/>
      <c r="AX285" s="213" t="s">
        <v>18</v>
      </c>
      <c r="AY285" s="209"/>
      <c r="AZ285" s="210"/>
      <c r="BA285" s="161">
        <f t="shared" si="111"/>
        <v>0</v>
      </c>
      <c r="BB285" s="211"/>
      <c r="BC285" s="212"/>
      <c r="BD285" s="212"/>
      <c r="BE285" s="213" t="s">
        <v>18</v>
      </c>
      <c r="BF285" s="181"/>
      <c r="BG285" s="210"/>
      <c r="BH285" s="161">
        <f t="shared" si="112"/>
        <v>0</v>
      </c>
      <c r="BI285" s="211"/>
      <c r="BJ285" s="212"/>
      <c r="BK285" s="212"/>
      <c r="BL285" s="213" t="s">
        <v>18</v>
      </c>
      <c r="BM285" s="181"/>
      <c r="BN285" s="210"/>
      <c r="BO285" s="161">
        <f t="shared" si="113"/>
        <v>0</v>
      </c>
      <c r="BP285" s="211"/>
      <c r="BQ285" s="212"/>
      <c r="BR285" s="212"/>
      <c r="BS285" s="213" t="s">
        <v>18</v>
      </c>
      <c r="BT285" s="181"/>
      <c r="BU285" s="210"/>
      <c r="BV285" s="161">
        <f t="shared" si="114"/>
        <v>0</v>
      </c>
      <c r="BW285" s="211"/>
      <c r="BX285" s="212"/>
      <c r="BY285" s="212"/>
      <c r="BZ285" s="213" t="s">
        <v>18</v>
      </c>
      <c r="CC285" s="163">
        <f t="shared" si="115"/>
        <v>0</v>
      </c>
      <c r="CD285" s="163">
        <f t="shared" si="116"/>
        <v>0</v>
      </c>
      <c r="CE285" s="163">
        <f t="shared" si="117"/>
        <v>0</v>
      </c>
      <c r="CF285" s="163">
        <f t="shared" si="118"/>
        <v>0</v>
      </c>
      <c r="CG285" s="163">
        <f t="shared" si="119"/>
        <v>0</v>
      </c>
      <c r="CH285" s="163">
        <f t="shared" si="120"/>
        <v>0</v>
      </c>
      <c r="CJ285" s="163">
        <f t="shared" si="121"/>
        <v>0</v>
      </c>
      <c r="CK285" s="163">
        <f t="shared" si="122"/>
        <v>0</v>
      </c>
      <c r="CL285" s="163">
        <f t="shared" si="123"/>
        <v>0</v>
      </c>
      <c r="CM285" s="163">
        <f t="shared" si="124"/>
        <v>0</v>
      </c>
      <c r="CN285" s="163">
        <f t="shared" si="125"/>
        <v>0</v>
      </c>
      <c r="CO285" s="163">
        <f t="shared" si="126"/>
        <v>0</v>
      </c>
      <c r="CP285" s="163"/>
      <c r="CQ285" s="163">
        <f t="shared" si="127"/>
        <v>0</v>
      </c>
      <c r="CR285" s="163">
        <f t="shared" si="128"/>
        <v>0</v>
      </c>
      <c r="CS285" s="163">
        <f t="shared" si="129"/>
        <v>0</v>
      </c>
      <c r="CT285" s="163">
        <f t="shared" si="130"/>
        <v>0</v>
      </c>
      <c r="CU285" s="163">
        <f t="shared" si="131"/>
        <v>0</v>
      </c>
      <c r="CV285" s="163">
        <f t="shared" si="132"/>
        <v>0</v>
      </c>
    </row>
    <row r="286" spans="2:100" x14ac:dyDescent="0.25">
      <c r="B286" s="197"/>
      <c r="C286" s="187"/>
      <c r="D286" s="188"/>
      <c r="E286" s="188"/>
      <c r="F286" s="198"/>
      <c r="G286" s="143"/>
      <c r="H286" s="144"/>
      <c r="I286" s="144"/>
      <c r="J286" s="144"/>
      <c r="K286" s="144"/>
      <c r="L286" s="144"/>
      <c r="M286" s="144"/>
      <c r="N286" s="199"/>
      <c r="O286" s="200"/>
      <c r="P286" s="161"/>
      <c r="Q286" s="161"/>
      <c r="R286" s="201"/>
      <c r="S286" s="162"/>
      <c r="T286" s="162"/>
      <c r="U286" s="162"/>
      <c r="V286" s="162"/>
      <c r="W286" s="140"/>
      <c r="X286" s="150"/>
      <c r="Y286" s="202"/>
      <c r="Z286" s="203"/>
      <c r="AA286" s="204"/>
      <c r="AB286" s="204"/>
      <c r="AC286" s="205"/>
      <c r="AD286" s="143"/>
      <c r="AE286" s="206"/>
      <c r="AF286" s="207"/>
      <c r="AG286" s="161"/>
      <c r="AH286" s="161"/>
      <c r="AI286" s="208"/>
      <c r="AJ286" s="208"/>
      <c r="AK286" s="209"/>
      <c r="AL286" s="210"/>
      <c r="AM286" s="161">
        <f t="shared" si="109"/>
        <v>0</v>
      </c>
      <c r="AN286" s="211"/>
      <c r="AO286" s="212"/>
      <c r="AP286" s="212"/>
      <c r="AQ286" s="213" t="s">
        <v>18</v>
      </c>
      <c r="AR286" s="209"/>
      <c r="AS286" s="210"/>
      <c r="AT286" s="161">
        <f t="shared" si="110"/>
        <v>0</v>
      </c>
      <c r="AU286" s="211"/>
      <c r="AV286" s="212"/>
      <c r="AW286" s="212"/>
      <c r="AX286" s="213" t="s">
        <v>18</v>
      </c>
      <c r="AY286" s="209"/>
      <c r="AZ286" s="210"/>
      <c r="BA286" s="161">
        <f t="shared" si="111"/>
        <v>0</v>
      </c>
      <c r="BB286" s="211"/>
      <c r="BC286" s="212"/>
      <c r="BD286" s="212"/>
      <c r="BE286" s="213" t="s">
        <v>18</v>
      </c>
      <c r="BF286" s="181"/>
      <c r="BG286" s="210"/>
      <c r="BH286" s="161">
        <f t="shared" si="112"/>
        <v>0</v>
      </c>
      <c r="BI286" s="211"/>
      <c r="BJ286" s="212"/>
      <c r="BK286" s="212"/>
      <c r="BL286" s="213" t="s">
        <v>18</v>
      </c>
      <c r="BM286" s="181"/>
      <c r="BN286" s="210"/>
      <c r="BO286" s="161">
        <f t="shared" si="113"/>
        <v>0</v>
      </c>
      <c r="BP286" s="211"/>
      <c r="BQ286" s="212"/>
      <c r="BR286" s="212"/>
      <c r="BS286" s="213" t="s">
        <v>18</v>
      </c>
      <c r="BT286" s="181"/>
      <c r="BU286" s="210"/>
      <c r="BV286" s="161">
        <f t="shared" si="114"/>
        <v>0</v>
      </c>
      <c r="BW286" s="211"/>
      <c r="BX286" s="212"/>
      <c r="BY286" s="212"/>
      <c r="BZ286" s="213" t="s">
        <v>18</v>
      </c>
      <c r="CC286" s="163">
        <f t="shared" si="115"/>
        <v>0</v>
      </c>
      <c r="CD286" s="163">
        <f t="shared" si="116"/>
        <v>0</v>
      </c>
      <c r="CE286" s="163">
        <f t="shared" si="117"/>
        <v>0</v>
      </c>
      <c r="CF286" s="163">
        <f t="shared" si="118"/>
        <v>0</v>
      </c>
      <c r="CG286" s="163">
        <f t="shared" si="119"/>
        <v>0</v>
      </c>
      <c r="CH286" s="163">
        <f t="shared" si="120"/>
        <v>0</v>
      </c>
      <c r="CJ286" s="163">
        <f t="shared" si="121"/>
        <v>0</v>
      </c>
      <c r="CK286" s="163">
        <f t="shared" si="122"/>
        <v>0</v>
      </c>
      <c r="CL286" s="163">
        <f t="shared" si="123"/>
        <v>0</v>
      </c>
      <c r="CM286" s="163">
        <f t="shared" si="124"/>
        <v>0</v>
      </c>
      <c r="CN286" s="163">
        <f t="shared" si="125"/>
        <v>0</v>
      </c>
      <c r="CO286" s="163">
        <f t="shared" si="126"/>
        <v>0</v>
      </c>
      <c r="CP286" s="163"/>
      <c r="CQ286" s="163">
        <f t="shared" si="127"/>
        <v>0</v>
      </c>
      <c r="CR286" s="163">
        <f t="shared" si="128"/>
        <v>0</v>
      </c>
      <c r="CS286" s="163">
        <f t="shared" si="129"/>
        <v>0</v>
      </c>
      <c r="CT286" s="163">
        <f t="shared" si="130"/>
        <v>0</v>
      </c>
      <c r="CU286" s="163">
        <f t="shared" si="131"/>
        <v>0</v>
      </c>
      <c r="CV286" s="163">
        <f t="shared" si="132"/>
        <v>0</v>
      </c>
    </row>
    <row r="287" spans="2:100" hidden="1" x14ac:dyDescent="0.25">
      <c r="B287" s="197"/>
      <c r="C287" s="187"/>
      <c r="D287" s="188"/>
      <c r="E287" s="188"/>
      <c r="F287" s="198"/>
      <c r="G287" s="143"/>
      <c r="H287" s="144"/>
      <c r="I287" s="144"/>
      <c r="J287" s="144"/>
      <c r="K287" s="144"/>
      <c r="L287" s="144"/>
      <c r="M287" s="144"/>
      <c r="N287" s="199"/>
      <c r="O287" s="200"/>
      <c r="P287" s="161"/>
      <c r="Q287" s="161"/>
      <c r="R287" s="201"/>
      <c r="S287" s="162"/>
      <c r="T287" s="162"/>
      <c r="U287" s="162"/>
      <c r="V287" s="162"/>
      <c r="W287" s="140"/>
      <c r="X287" s="150"/>
      <c r="Y287" s="202"/>
      <c r="Z287" s="203"/>
      <c r="AA287" s="204"/>
      <c r="AB287" s="204"/>
      <c r="AC287" s="205"/>
      <c r="AD287" s="143"/>
      <c r="AE287" s="206"/>
      <c r="AF287" s="207"/>
      <c r="AG287" s="161"/>
      <c r="AH287" s="161"/>
      <c r="AI287" s="208"/>
      <c r="AJ287" s="208"/>
      <c r="AK287" s="209"/>
      <c r="AL287" s="210"/>
      <c r="AM287" s="161">
        <f t="shared" si="109"/>
        <v>0</v>
      </c>
      <c r="AN287" s="211"/>
      <c r="AO287" s="212"/>
      <c r="AP287" s="212"/>
      <c r="AQ287" s="213" t="s">
        <v>18</v>
      </c>
      <c r="AR287" s="209"/>
      <c r="AS287" s="210"/>
      <c r="AT287" s="161">
        <f t="shared" si="110"/>
        <v>0</v>
      </c>
      <c r="AU287" s="211"/>
      <c r="AV287" s="212"/>
      <c r="AW287" s="212"/>
      <c r="AX287" s="213" t="s">
        <v>18</v>
      </c>
      <c r="AY287" s="209"/>
      <c r="AZ287" s="210"/>
      <c r="BA287" s="161">
        <f t="shared" si="111"/>
        <v>0</v>
      </c>
      <c r="BB287" s="211"/>
      <c r="BC287" s="212"/>
      <c r="BD287" s="212"/>
      <c r="BE287" s="213" t="s">
        <v>18</v>
      </c>
      <c r="BF287" s="181"/>
      <c r="BG287" s="210"/>
      <c r="BH287" s="161">
        <f t="shared" si="112"/>
        <v>0</v>
      </c>
      <c r="BI287" s="211"/>
      <c r="BJ287" s="212"/>
      <c r="BK287" s="212"/>
      <c r="BL287" s="213" t="s">
        <v>18</v>
      </c>
      <c r="BM287" s="181"/>
      <c r="BN287" s="210"/>
      <c r="BO287" s="161">
        <f t="shared" si="113"/>
        <v>0</v>
      </c>
      <c r="BP287" s="211"/>
      <c r="BQ287" s="212"/>
      <c r="BR287" s="212"/>
      <c r="BS287" s="213" t="s">
        <v>18</v>
      </c>
      <c r="BT287" s="181"/>
      <c r="BU287" s="210"/>
      <c r="BV287" s="161">
        <f t="shared" si="114"/>
        <v>0</v>
      </c>
      <c r="BW287" s="211"/>
      <c r="BX287" s="212"/>
      <c r="BY287" s="212"/>
      <c r="BZ287" s="213" t="s">
        <v>18</v>
      </c>
      <c r="CC287" s="163">
        <f t="shared" si="115"/>
        <v>0</v>
      </c>
      <c r="CD287" s="163">
        <f t="shared" si="116"/>
        <v>0</v>
      </c>
      <c r="CE287" s="163">
        <f t="shared" si="117"/>
        <v>0</v>
      </c>
      <c r="CF287" s="163">
        <f t="shared" si="118"/>
        <v>0</v>
      </c>
      <c r="CG287" s="163">
        <f t="shared" si="119"/>
        <v>0</v>
      </c>
      <c r="CH287" s="163">
        <f t="shared" si="120"/>
        <v>0</v>
      </c>
      <c r="CJ287" s="163">
        <f t="shared" si="121"/>
        <v>0</v>
      </c>
      <c r="CK287" s="163">
        <f t="shared" si="122"/>
        <v>0</v>
      </c>
      <c r="CL287" s="163">
        <f t="shared" si="123"/>
        <v>0</v>
      </c>
      <c r="CM287" s="163">
        <f t="shared" si="124"/>
        <v>0</v>
      </c>
      <c r="CN287" s="163">
        <f t="shared" si="125"/>
        <v>0</v>
      </c>
      <c r="CO287" s="163">
        <f t="shared" si="126"/>
        <v>0</v>
      </c>
      <c r="CP287" s="163"/>
      <c r="CQ287" s="163">
        <f t="shared" si="127"/>
        <v>0</v>
      </c>
      <c r="CR287" s="163">
        <f t="shared" si="128"/>
        <v>0</v>
      </c>
      <c r="CS287" s="163">
        <f t="shared" si="129"/>
        <v>0</v>
      </c>
      <c r="CT287" s="163">
        <f t="shared" si="130"/>
        <v>0</v>
      </c>
      <c r="CU287" s="163">
        <f t="shared" si="131"/>
        <v>0</v>
      </c>
      <c r="CV287" s="163">
        <f t="shared" si="132"/>
        <v>0</v>
      </c>
    </row>
    <row r="288" spans="2:100" hidden="1" x14ac:dyDescent="0.25">
      <c r="H288" s="181"/>
      <c r="I288" s="181"/>
      <c r="J288" s="181"/>
      <c r="K288" s="181"/>
      <c r="L288" s="181"/>
      <c r="M288" s="181"/>
      <c r="U288" s="214"/>
      <c r="CC288" s="163"/>
      <c r="CD288" s="163"/>
      <c r="CE288" s="163"/>
      <c r="CF288" s="163"/>
      <c r="CG288" s="163"/>
      <c r="CH288" s="163"/>
      <c r="CJ288" s="163"/>
      <c r="CK288" s="163"/>
      <c r="CL288" s="163"/>
      <c r="CM288" s="163"/>
      <c r="CN288" s="163"/>
      <c r="CO288" s="163"/>
      <c r="CP288" s="163"/>
      <c r="CQ288" s="163"/>
      <c r="CR288" s="163"/>
      <c r="CS288" s="163"/>
      <c r="CT288" s="163"/>
      <c r="CU288" s="163"/>
      <c r="CV288" s="163"/>
    </row>
    <row r="289" spans="8:100" hidden="1" x14ac:dyDescent="0.25">
      <c r="H289" s="181"/>
      <c r="I289" s="181"/>
      <c r="J289" s="181"/>
      <c r="K289" s="181"/>
      <c r="L289" s="181"/>
      <c r="M289" s="181"/>
      <c r="U289" s="214"/>
      <c r="CC289" s="163"/>
      <c r="CD289" s="163"/>
      <c r="CE289" s="163"/>
      <c r="CF289" s="163"/>
      <c r="CG289" s="163"/>
      <c r="CH289" s="163"/>
      <c r="CJ289" s="163"/>
      <c r="CK289" s="163"/>
      <c r="CL289" s="163"/>
      <c r="CM289" s="163"/>
      <c r="CN289" s="163"/>
      <c r="CO289" s="163"/>
      <c r="CP289" s="163"/>
      <c r="CQ289" s="163"/>
      <c r="CR289" s="163"/>
      <c r="CS289" s="163"/>
      <c r="CT289" s="163"/>
      <c r="CU289" s="163"/>
      <c r="CV289" s="163"/>
    </row>
    <row r="290" spans="8:100" hidden="1" x14ac:dyDescent="0.25">
      <c r="H290" s="181"/>
      <c r="I290" s="181"/>
      <c r="J290" s="181"/>
      <c r="K290" s="181"/>
      <c r="L290" s="181"/>
      <c r="M290" s="181"/>
      <c r="U290" s="214"/>
      <c r="CC290" s="163"/>
      <c r="CD290" s="163"/>
      <c r="CE290" s="163"/>
      <c r="CF290" s="163"/>
      <c r="CG290" s="163"/>
      <c r="CH290" s="163"/>
      <c r="CJ290" s="163"/>
      <c r="CK290" s="163"/>
      <c r="CL290" s="163"/>
      <c r="CM290" s="163"/>
      <c r="CN290" s="163"/>
      <c r="CO290" s="163"/>
      <c r="CP290" s="163"/>
      <c r="CQ290" s="163"/>
      <c r="CR290" s="163"/>
      <c r="CS290" s="163"/>
      <c r="CT290" s="163"/>
      <c r="CU290" s="163"/>
      <c r="CV290" s="163"/>
    </row>
    <row r="291" spans="8:100" hidden="1" x14ac:dyDescent="0.25">
      <c r="H291" s="181"/>
      <c r="I291" s="181"/>
      <c r="J291" s="181"/>
      <c r="K291" s="181"/>
      <c r="L291" s="181"/>
      <c r="M291" s="181"/>
      <c r="U291" s="214"/>
      <c r="CC291" s="163"/>
      <c r="CD291" s="163"/>
      <c r="CE291" s="163"/>
      <c r="CF291" s="163"/>
      <c r="CG291" s="163"/>
      <c r="CH291" s="163"/>
      <c r="CJ291" s="163"/>
      <c r="CK291" s="163"/>
      <c r="CL291" s="163"/>
      <c r="CM291" s="163"/>
      <c r="CN291" s="163"/>
      <c r="CO291" s="163"/>
      <c r="CP291" s="163"/>
      <c r="CQ291" s="163"/>
      <c r="CR291" s="163"/>
      <c r="CS291" s="163"/>
      <c r="CT291" s="163"/>
      <c r="CU291" s="163"/>
      <c r="CV291" s="163"/>
    </row>
    <row r="292" spans="8:100" hidden="1" x14ac:dyDescent="0.25">
      <c r="H292" s="181"/>
      <c r="I292" s="181"/>
      <c r="J292" s="181"/>
      <c r="K292" s="181"/>
      <c r="L292" s="181"/>
      <c r="M292" s="181"/>
      <c r="U292" s="214"/>
      <c r="CC292" s="163"/>
      <c r="CD292" s="163"/>
      <c r="CE292" s="163"/>
      <c r="CF292" s="163"/>
      <c r="CG292" s="163"/>
      <c r="CH292" s="163"/>
      <c r="CJ292" s="163"/>
      <c r="CK292" s="163"/>
      <c r="CL292" s="163"/>
      <c r="CM292" s="163"/>
      <c r="CN292" s="163"/>
      <c r="CO292" s="163"/>
      <c r="CP292" s="163"/>
      <c r="CQ292" s="163"/>
      <c r="CR292" s="163"/>
      <c r="CS292" s="163"/>
      <c r="CT292" s="163"/>
      <c r="CU292" s="163"/>
      <c r="CV292" s="163"/>
    </row>
    <row r="293" spans="8:100" hidden="1" x14ac:dyDescent="0.25">
      <c r="H293" s="181"/>
      <c r="I293" s="181"/>
      <c r="J293" s="181"/>
      <c r="K293" s="181"/>
      <c r="L293" s="181"/>
      <c r="M293" s="181"/>
      <c r="U293" s="214"/>
      <c r="CC293" s="163"/>
      <c r="CD293" s="163"/>
      <c r="CE293" s="163"/>
      <c r="CF293" s="163"/>
      <c r="CG293" s="163"/>
      <c r="CH293" s="163"/>
      <c r="CJ293" s="163"/>
      <c r="CK293" s="163"/>
      <c r="CL293" s="163"/>
      <c r="CM293" s="163"/>
      <c r="CN293" s="163"/>
      <c r="CO293" s="163"/>
      <c r="CP293" s="163"/>
      <c r="CQ293" s="163"/>
      <c r="CR293" s="163"/>
      <c r="CS293" s="163"/>
      <c r="CT293" s="163"/>
      <c r="CU293" s="163"/>
      <c r="CV293" s="163"/>
    </row>
    <row r="294" spans="8:100" hidden="1" x14ac:dyDescent="0.25">
      <c r="H294" s="181"/>
      <c r="I294" s="181"/>
      <c r="J294" s="181"/>
      <c r="K294" s="181"/>
      <c r="L294" s="181"/>
      <c r="M294" s="181"/>
      <c r="U294" s="214"/>
      <c r="CC294" s="163"/>
      <c r="CD294" s="163"/>
      <c r="CE294" s="163"/>
      <c r="CF294" s="163"/>
      <c r="CG294" s="163"/>
      <c r="CH294" s="163"/>
      <c r="CJ294" s="163"/>
      <c r="CK294" s="163"/>
      <c r="CL294" s="163"/>
      <c r="CM294" s="163"/>
      <c r="CN294" s="163"/>
      <c r="CO294" s="163"/>
      <c r="CP294" s="163"/>
      <c r="CQ294" s="163"/>
      <c r="CR294" s="163"/>
      <c r="CS294" s="163"/>
      <c r="CT294" s="163"/>
      <c r="CU294" s="163"/>
      <c r="CV294" s="163"/>
    </row>
    <row r="295" spans="8:100" hidden="1" x14ac:dyDescent="0.25">
      <c r="H295" s="181"/>
      <c r="I295" s="181"/>
      <c r="J295" s="181"/>
      <c r="K295" s="181"/>
      <c r="L295" s="181"/>
      <c r="M295" s="181"/>
      <c r="U295" s="214"/>
      <c r="CC295" s="163"/>
      <c r="CD295" s="163"/>
      <c r="CE295" s="163"/>
      <c r="CF295" s="163"/>
      <c r="CG295" s="163"/>
      <c r="CH295" s="163"/>
      <c r="CJ295" s="163"/>
      <c r="CK295" s="163"/>
      <c r="CL295" s="163"/>
      <c r="CM295" s="163"/>
      <c r="CN295" s="163"/>
      <c r="CO295" s="163"/>
      <c r="CP295" s="163"/>
      <c r="CQ295" s="163"/>
      <c r="CR295" s="163"/>
      <c r="CS295" s="163"/>
      <c r="CT295" s="163"/>
      <c r="CU295" s="163"/>
      <c r="CV295" s="163"/>
    </row>
    <row r="296" spans="8:100" hidden="1" x14ac:dyDescent="0.25">
      <c r="H296" s="181"/>
      <c r="I296" s="181"/>
      <c r="J296" s="181"/>
      <c r="K296" s="181"/>
      <c r="L296" s="181"/>
      <c r="M296" s="181"/>
      <c r="U296" s="214"/>
      <c r="CC296" s="163"/>
      <c r="CD296" s="163"/>
      <c r="CE296" s="163"/>
      <c r="CF296" s="163"/>
      <c r="CG296" s="163"/>
      <c r="CH296" s="163"/>
      <c r="CJ296" s="163"/>
      <c r="CK296" s="163"/>
      <c r="CL296" s="163"/>
      <c r="CM296" s="163"/>
      <c r="CN296" s="163"/>
      <c r="CO296" s="163"/>
      <c r="CP296" s="163"/>
      <c r="CQ296" s="163"/>
      <c r="CR296" s="163"/>
      <c r="CS296" s="163"/>
      <c r="CT296" s="163"/>
      <c r="CU296" s="163"/>
      <c r="CV296" s="163"/>
    </row>
    <row r="297" spans="8:100" hidden="1" x14ac:dyDescent="0.25">
      <c r="H297" s="181"/>
      <c r="I297" s="181"/>
      <c r="J297" s="181"/>
      <c r="K297" s="181"/>
      <c r="L297" s="181"/>
      <c r="M297" s="181"/>
      <c r="U297" s="214"/>
      <c r="CC297" s="163"/>
      <c r="CD297" s="163"/>
      <c r="CE297" s="163"/>
      <c r="CF297" s="163"/>
      <c r="CG297" s="163"/>
      <c r="CH297" s="163"/>
      <c r="CJ297" s="163"/>
      <c r="CK297" s="163"/>
      <c r="CL297" s="163"/>
      <c r="CM297" s="163"/>
      <c r="CN297" s="163"/>
      <c r="CO297" s="163"/>
      <c r="CP297" s="163"/>
      <c r="CQ297" s="163"/>
      <c r="CR297" s="163"/>
      <c r="CS297" s="163"/>
      <c r="CT297" s="163"/>
      <c r="CU297" s="163"/>
      <c r="CV297" s="163"/>
    </row>
    <row r="298" spans="8:100" hidden="1" x14ac:dyDescent="0.25">
      <c r="U298" s="214"/>
      <c r="CC298" s="163"/>
      <c r="CD298" s="163"/>
      <c r="CE298" s="163"/>
      <c r="CF298" s="163"/>
      <c r="CG298" s="163"/>
      <c r="CH298" s="163"/>
      <c r="CJ298" s="163"/>
      <c r="CK298" s="163"/>
      <c r="CL298" s="163"/>
      <c r="CM298" s="163"/>
      <c r="CN298" s="163"/>
      <c r="CO298" s="163"/>
      <c r="CP298" s="163"/>
      <c r="CQ298" s="163"/>
      <c r="CR298" s="163"/>
      <c r="CS298" s="163"/>
      <c r="CT298" s="163"/>
      <c r="CU298" s="163"/>
      <c r="CV298" s="163"/>
    </row>
    <row r="299" spans="8:100" hidden="1" x14ac:dyDescent="0.25">
      <c r="U299" s="214"/>
      <c r="CC299" s="163"/>
      <c r="CD299" s="163"/>
      <c r="CE299" s="163"/>
      <c r="CF299" s="163"/>
      <c r="CG299" s="163"/>
      <c r="CH299" s="163"/>
      <c r="CJ299" s="163"/>
      <c r="CK299" s="163"/>
      <c r="CL299" s="163"/>
      <c r="CM299" s="163"/>
      <c r="CN299" s="163"/>
      <c r="CO299" s="163"/>
      <c r="CP299" s="163"/>
      <c r="CQ299" s="163"/>
      <c r="CR299" s="163"/>
      <c r="CS299" s="163"/>
      <c r="CT299" s="163"/>
      <c r="CU299" s="163"/>
      <c r="CV299" s="163"/>
    </row>
    <row r="300" spans="8:100" hidden="1" x14ac:dyDescent="0.25">
      <c r="U300" s="214"/>
      <c r="CC300" s="163"/>
      <c r="CD300" s="163"/>
      <c r="CE300" s="163"/>
      <c r="CF300" s="163"/>
      <c r="CG300" s="163"/>
      <c r="CH300" s="163"/>
      <c r="CJ300" s="163"/>
      <c r="CK300" s="163"/>
      <c r="CL300" s="163"/>
      <c r="CM300" s="163"/>
      <c r="CN300" s="163"/>
      <c r="CO300" s="163"/>
      <c r="CP300" s="163"/>
      <c r="CQ300" s="163"/>
      <c r="CR300" s="163"/>
      <c r="CS300" s="163"/>
      <c r="CT300" s="163"/>
      <c r="CU300" s="163"/>
      <c r="CV300" s="163"/>
    </row>
    <row r="301" spans="8:100" hidden="1" x14ac:dyDescent="0.25">
      <c r="U301" s="214"/>
      <c r="CC301" s="163"/>
      <c r="CD301" s="163"/>
      <c r="CE301" s="163"/>
      <c r="CF301" s="163"/>
      <c r="CG301" s="163"/>
      <c r="CH301" s="163"/>
      <c r="CJ301" s="163"/>
      <c r="CK301" s="163"/>
      <c r="CL301" s="163"/>
      <c r="CM301" s="163"/>
      <c r="CN301" s="163"/>
      <c r="CO301" s="163"/>
      <c r="CP301" s="163"/>
      <c r="CQ301" s="163"/>
      <c r="CR301" s="163"/>
      <c r="CS301" s="163"/>
      <c r="CT301" s="163"/>
      <c r="CU301" s="163"/>
      <c r="CV301" s="163"/>
    </row>
    <row r="302" spans="8:100" hidden="1" x14ac:dyDescent="0.25">
      <c r="U302" s="214"/>
      <c r="CC302" s="163"/>
      <c r="CD302" s="163"/>
      <c r="CE302" s="163"/>
      <c r="CF302" s="163"/>
      <c r="CG302" s="163"/>
      <c r="CH302" s="163"/>
      <c r="CJ302" s="163"/>
      <c r="CK302" s="163"/>
      <c r="CL302" s="163"/>
      <c r="CM302" s="163"/>
      <c r="CN302" s="163"/>
      <c r="CO302" s="163"/>
      <c r="CP302" s="163"/>
      <c r="CQ302" s="163"/>
      <c r="CR302" s="163"/>
      <c r="CS302" s="163"/>
      <c r="CT302" s="163"/>
      <c r="CU302" s="163"/>
      <c r="CV302" s="163"/>
    </row>
    <row r="303" spans="8:100" hidden="1" x14ac:dyDescent="0.25">
      <c r="U303" s="214"/>
      <c r="CC303" s="163"/>
      <c r="CD303" s="163"/>
      <c r="CE303" s="163"/>
      <c r="CF303" s="163"/>
      <c r="CG303" s="163"/>
      <c r="CH303" s="163"/>
      <c r="CJ303" s="163"/>
      <c r="CK303" s="163"/>
      <c r="CL303" s="163"/>
      <c r="CM303" s="163"/>
      <c r="CN303" s="163"/>
      <c r="CO303" s="163"/>
      <c r="CP303" s="163"/>
      <c r="CQ303" s="163"/>
      <c r="CR303" s="163"/>
      <c r="CS303" s="163"/>
      <c r="CT303" s="163"/>
      <c r="CU303" s="163"/>
      <c r="CV303" s="163"/>
    </row>
    <row r="304" spans="8:100" hidden="1" x14ac:dyDescent="0.25">
      <c r="CC304" s="163"/>
      <c r="CD304" s="163"/>
      <c r="CE304" s="163"/>
      <c r="CF304" s="163"/>
      <c r="CG304" s="163"/>
      <c r="CH304" s="163"/>
      <c r="CJ304" s="163"/>
      <c r="CK304" s="163"/>
      <c r="CL304" s="163"/>
      <c r="CM304" s="163"/>
      <c r="CN304" s="163"/>
      <c r="CO304" s="163"/>
      <c r="CP304" s="163"/>
      <c r="CQ304" s="163"/>
      <c r="CR304" s="163"/>
      <c r="CS304" s="163"/>
      <c r="CT304" s="163"/>
      <c r="CU304" s="163"/>
      <c r="CV304" s="163"/>
    </row>
    <row r="305" spans="81:100" hidden="1" x14ac:dyDescent="0.25">
      <c r="CC305" s="163"/>
      <c r="CD305" s="163"/>
      <c r="CE305" s="163"/>
      <c r="CF305" s="163"/>
      <c r="CG305" s="163"/>
      <c r="CH305" s="163"/>
      <c r="CJ305" s="163"/>
      <c r="CK305" s="163"/>
      <c r="CL305" s="163"/>
      <c r="CM305" s="163"/>
      <c r="CN305" s="163"/>
      <c r="CO305" s="163"/>
      <c r="CP305" s="163"/>
      <c r="CQ305" s="163"/>
      <c r="CR305" s="163"/>
      <c r="CS305" s="163"/>
      <c r="CT305" s="163"/>
      <c r="CU305" s="163"/>
      <c r="CV305" s="163"/>
    </row>
    <row r="306" spans="81:100" hidden="1" x14ac:dyDescent="0.25">
      <c r="CC306" s="163"/>
      <c r="CD306" s="163"/>
      <c r="CE306" s="163"/>
      <c r="CF306" s="163"/>
      <c r="CG306" s="163"/>
      <c r="CH306" s="163"/>
      <c r="CJ306" s="163"/>
      <c r="CK306" s="163"/>
      <c r="CL306" s="163"/>
      <c r="CM306" s="163"/>
      <c r="CN306" s="163"/>
      <c r="CO306" s="163"/>
      <c r="CP306" s="163"/>
      <c r="CQ306" s="163"/>
      <c r="CR306" s="163"/>
      <c r="CS306" s="163"/>
      <c r="CT306" s="163"/>
      <c r="CU306" s="163"/>
      <c r="CV306" s="163"/>
    </row>
    <row r="307" spans="81:100" hidden="1" x14ac:dyDescent="0.25">
      <c r="CC307" s="163"/>
      <c r="CD307" s="163"/>
      <c r="CE307" s="163"/>
      <c r="CF307" s="163"/>
      <c r="CG307" s="163"/>
      <c r="CH307" s="163"/>
      <c r="CJ307" s="163"/>
      <c r="CK307" s="163"/>
      <c r="CL307" s="163"/>
      <c r="CM307" s="163"/>
      <c r="CN307" s="163"/>
      <c r="CO307" s="163"/>
      <c r="CP307" s="163"/>
      <c r="CQ307" s="163"/>
      <c r="CR307" s="163"/>
      <c r="CS307" s="163"/>
      <c r="CT307" s="163"/>
      <c r="CU307" s="163"/>
      <c r="CV307" s="163"/>
    </row>
    <row r="308" spans="81:100" hidden="1" x14ac:dyDescent="0.25">
      <c r="CC308" s="163"/>
      <c r="CD308" s="163"/>
      <c r="CE308" s="163"/>
      <c r="CF308" s="163"/>
      <c r="CG308" s="163"/>
      <c r="CH308" s="163"/>
      <c r="CJ308" s="163"/>
      <c r="CK308" s="163"/>
      <c r="CL308" s="163"/>
      <c r="CM308" s="163"/>
      <c r="CN308" s="163"/>
      <c r="CO308" s="163"/>
      <c r="CP308" s="163"/>
      <c r="CQ308" s="163"/>
      <c r="CR308" s="163"/>
      <c r="CS308" s="163"/>
      <c r="CT308" s="163"/>
      <c r="CU308" s="163"/>
      <c r="CV308" s="163"/>
    </row>
    <row r="309" spans="81:100" hidden="1" x14ac:dyDescent="0.25">
      <c r="CC309" s="163"/>
      <c r="CD309" s="163"/>
      <c r="CE309" s="163"/>
      <c r="CF309" s="163"/>
      <c r="CG309" s="163"/>
      <c r="CH309" s="163"/>
      <c r="CJ309" s="163"/>
      <c r="CK309" s="163"/>
      <c r="CL309" s="163"/>
      <c r="CM309" s="163"/>
      <c r="CN309" s="163"/>
      <c r="CO309" s="163"/>
      <c r="CP309" s="163"/>
      <c r="CQ309" s="163"/>
      <c r="CR309" s="163"/>
      <c r="CS309" s="163"/>
      <c r="CT309" s="163"/>
      <c r="CU309" s="163"/>
      <c r="CV309" s="163"/>
    </row>
    <row r="310" spans="81:100" hidden="1" x14ac:dyDescent="0.25">
      <c r="CC310" s="163"/>
      <c r="CD310" s="163"/>
      <c r="CE310" s="163"/>
      <c r="CF310" s="163"/>
      <c r="CG310" s="163"/>
      <c r="CH310" s="163"/>
      <c r="CJ310" s="163"/>
      <c r="CK310" s="163"/>
      <c r="CL310" s="163"/>
      <c r="CM310" s="163"/>
      <c r="CN310" s="163"/>
      <c r="CO310" s="163"/>
      <c r="CP310" s="163"/>
      <c r="CQ310" s="163"/>
      <c r="CR310" s="163"/>
      <c r="CS310" s="163"/>
      <c r="CT310" s="163"/>
      <c r="CU310" s="163"/>
      <c r="CV310" s="163"/>
    </row>
    <row r="311" spans="81:100" hidden="1" x14ac:dyDescent="0.25">
      <c r="CC311" s="163"/>
      <c r="CD311" s="163"/>
      <c r="CE311" s="163"/>
      <c r="CF311" s="163"/>
      <c r="CG311" s="163"/>
      <c r="CH311" s="163"/>
      <c r="CJ311" s="163"/>
      <c r="CK311" s="163"/>
      <c r="CL311" s="163"/>
      <c r="CM311" s="163"/>
      <c r="CN311" s="163"/>
      <c r="CO311" s="163"/>
      <c r="CP311" s="163"/>
      <c r="CQ311" s="163"/>
      <c r="CR311" s="163"/>
      <c r="CS311" s="163"/>
      <c r="CT311" s="163"/>
      <c r="CU311" s="163"/>
      <c r="CV311" s="163"/>
    </row>
    <row r="312" spans="81:100" hidden="1" x14ac:dyDescent="0.25">
      <c r="CC312" s="163"/>
      <c r="CD312" s="163"/>
      <c r="CE312" s="163"/>
      <c r="CF312" s="163"/>
      <c r="CG312" s="163"/>
      <c r="CH312" s="163"/>
      <c r="CJ312" s="163"/>
      <c r="CK312" s="163"/>
      <c r="CL312" s="163"/>
      <c r="CM312" s="163"/>
      <c r="CN312" s="163"/>
      <c r="CO312" s="163"/>
      <c r="CP312" s="163"/>
      <c r="CQ312" s="163"/>
      <c r="CR312" s="163"/>
      <c r="CS312" s="163"/>
      <c r="CT312" s="163"/>
      <c r="CU312" s="163"/>
      <c r="CV312" s="163"/>
    </row>
    <row r="313" spans="81:100" hidden="1" x14ac:dyDescent="0.25">
      <c r="CC313" s="163"/>
      <c r="CD313" s="163"/>
      <c r="CE313" s="163"/>
      <c r="CF313" s="163"/>
      <c r="CG313" s="163"/>
      <c r="CH313" s="163"/>
      <c r="CJ313" s="163"/>
      <c r="CK313" s="163"/>
      <c r="CL313" s="163"/>
      <c r="CM313" s="163"/>
      <c r="CN313" s="163"/>
      <c r="CO313" s="163"/>
      <c r="CP313" s="163"/>
      <c r="CQ313" s="163"/>
      <c r="CR313" s="163"/>
      <c r="CS313" s="163"/>
      <c r="CT313" s="163"/>
      <c r="CU313" s="163"/>
      <c r="CV313" s="163"/>
    </row>
    <row r="314" spans="81:100" hidden="1" x14ac:dyDescent="0.25">
      <c r="CC314" s="163"/>
      <c r="CD314" s="163"/>
      <c r="CE314" s="163"/>
      <c r="CF314" s="163"/>
      <c r="CG314" s="163"/>
      <c r="CH314" s="163"/>
      <c r="CJ314" s="163"/>
      <c r="CK314" s="163"/>
      <c r="CL314" s="163"/>
      <c r="CM314" s="163"/>
      <c r="CN314" s="163"/>
      <c r="CO314" s="163"/>
      <c r="CP314" s="163"/>
      <c r="CQ314" s="163"/>
      <c r="CR314" s="163"/>
      <c r="CS314" s="163"/>
      <c r="CT314" s="163"/>
      <c r="CU314" s="163"/>
      <c r="CV314" s="163"/>
    </row>
    <row r="315" spans="81:100" hidden="1" x14ac:dyDescent="0.25">
      <c r="CC315" s="163"/>
      <c r="CD315" s="163"/>
      <c r="CE315" s="163"/>
      <c r="CF315" s="163"/>
      <c r="CG315" s="163"/>
      <c r="CH315" s="163"/>
      <c r="CJ315" s="163"/>
      <c r="CK315" s="163"/>
      <c r="CL315" s="163"/>
      <c r="CM315" s="163"/>
      <c r="CN315" s="163"/>
      <c r="CO315" s="163"/>
      <c r="CP315" s="163"/>
      <c r="CQ315" s="163"/>
      <c r="CR315" s="163"/>
      <c r="CS315" s="163"/>
      <c r="CT315" s="163"/>
      <c r="CU315" s="163"/>
      <c r="CV315" s="163"/>
    </row>
    <row r="316" spans="81:100" hidden="1" x14ac:dyDescent="0.25">
      <c r="CC316" s="163"/>
      <c r="CD316" s="163"/>
      <c r="CE316" s="163"/>
      <c r="CF316" s="163"/>
      <c r="CG316" s="163"/>
      <c r="CH316" s="163"/>
      <c r="CJ316" s="163"/>
      <c r="CK316" s="163"/>
      <c r="CL316" s="163"/>
      <c r="CM316" s="163"/>
      <c r="CN316" s="163"/>
      <c r="CO316" s="163"/>
      <c r="CP316" s="163"/>
      <c r="CQ316" s="163"/>
      <c r="CR316" s="163"/>
      <c r="CS316" s="163"/>
      <c r="CT316" s="163"/>
      <c r="CU316" s="163"/>
      <c r="CV316" s="163"/>
    </row>
    <row r="317" spans="81:100" hidden="1" x14ac:dyDescent="0.25">
      <c r="CC317" s="163"/>
      <c r="CD317" s="163"/>
      <c r="CE317" s="163"/>
      <c r="CF317" s="163"/>
      <c r="CG317" s="163"/>
      <c r="CH317" s="163"/>
      <c r="CJ317" s="163"/>
      <c r="CK317" s="163"/>
      <c r="CL317" s="163"/>
      <c r="CM317" s="163"/>
      <c r="CN317" s="163"/>
      <c r="CO317" s="163"/>
      <c r="CP317" s="163"/>
      <c r="CQ317" s="163"/>
      <c r="CR317" s="163"/>
      <c r="CS317" s="163"/>
      <c r="CT317" s="163"/>
      <c r="CU317" s="163"/>
      <c r="CV317" s="163"/>
    </row>
    <row r="318" spans="81:100" hidden="1" x14ac:dyDescent="0.25">
      <c r="CC318" s="163"/>
      <c r="CD318" s="163"/>
      <c r="CE318" s="163"/>
      <c r="CF318" s="163"/>
      <c r="CG318" s="163"/>
      <c r="CH318" s="163"/>
      <c r="CJ318" s="163"/>
      <c r="CK318" s="163"/>
      <c r="CL318" s="163"/>
      <c r="CM318" s="163"/>
      <c r="CN318" s="163"/>
      <c r="CO318" s="163"/>
      <c r="CP318" s="163"/>
      <c r="CQ318" s="163"/>
      <c r="CR318" s="163"/>
      <c r="CS318" s="163"/>
      <c r="CT318" s="163"/>
      <c r="CU318" s="163"/>
      <c r="CV318" s="163"/>
    </row>
    <row r="319" spans="81:100" hidden="1" x14ac:dyDescent="0.25">
      <c r="CC319" s="163"/>
      <c r="CD319" s="163"/>
      <c r="CE319" s="163"/>
      <c r="CF319" s="163"/>
      <c r="CG319" s="163"/>
      <c r="CH319" s="163"/>
      <c r="CJ319" s="163"/>
      <c r="CK319" s="163"/>
      <c r="CL319" s="163"/>
      <c r="CM319" s="163"/>
      <c r="CN319" s="163"/>
      <c r="CO319" s="163"/>
      <c r="CP319" s="163"/>
      <c r="CQ319" s="163"/>
      <c r="CR319" s="163"/>
      <c r="CS319" s="163"/>
      <c r="CT319" s="163"/>
      <c r="CU319" s="163"/>
      <c r="CV319" s="163"/>
    </row>
    <row r="320" spans="81:100" hidden="1" x14ac:dyDescent="0.25">
      <c r="CC320" s="163"/>
      <c r="CD320" s="163"/>
      <c r="CE320" s="163"/>
      <c r="CF320" s="163"/>
      <c r="CG320" s="163"/>
      <c r="CH320" s="163"/>
      <c r="CJ320" s="163"/>
      <c r="CK320" s="163"/>
      <c r="CL320" s="163"/>
      <c r="CM320" s="163"/>
      <c r="CN320" s="163"/>
      <c r="CO320" s="163"/>
      <c r="CP320" s="163"/>
      <c r="CQ320" s="163"/>
      <c r="CR320" s="163"/>
      <c r="CS320" s="163"/>
      <c r="CT320" s="163"/>
      <c r="CU320" s="163"/>
      <c r="CV320" s="163"/>
    </row>
    <row r="321" spans="2:100" hidden="1" x14ac:dyDescent="0.25">
      <c r="CC321" s="163"/>
      <c r="CD321" s="163"/>
      <c r="CE321" s="163"/>
      <c r="CF321" s="163"/>
      <c r="CG321" s="163"/>
      <c r="CH321" s="163"/>
      <c r="CJ321" s="163"/>
      <c r="CK321" s="163"/>
      <c r="CL321" s="163"/>
      <c r="CM321" s="163"/>
      <c r="CN321" s="163"/>
      <c r="CO321" s="163"/>
      <c r="CP321" s="163"/>
      <c r="CQ321" s="163"/>
      <c r="CR321" s="163"/>
      <c r="CS321" s="163"/>
      <c r="CT321" s="163"/>
      <c r="CU321" s="163"/>
      <c r="CV321" s="163"/>
    </row>
    <row r="322" spans="2:100" hidden="1" x14ac:dyDescent="0.25">
      <c r="B322" s="7"/>
      <c r="F322" s="7"/>
      <c r="CC322" s="163"/>
      <c r="CD322" s="163"/>
      <c r="CE322" s="163"/>
      <c r="CF322" s="163"/>
      <c r="CG322" s="163"/>
      <c r="CH322" s="163"/>
      <c r="CJ322" s="163"/>
      <c r="CK322" s="163"/>
      <c r="CL322" s="163"/>
      <c r="CM322" s="163"/>
      <c r="CN322" s="163"/>
      <c r="CO322" s="163"/>
      <c r="CP322" s="163"/>
      <c r="CQ322" s="163"/>
      <c r="CR322" s="163"/>
      <c r="CS322" s="163"/>
      <c r="CT322" s="163"/>
      <c r="CU322" s="163"/>
      <c r="CV322" s="163"/>
    </row>
    <row r="323" spans="2:100" hidden="1" x14ac:dyDescent="0.25">
      <c r="B323" s="7"/>
      <c r="F323" s="7"/>
      <c r="CC323" s="163"/>
      <c r="CD323" s="163"/>
      <c r="CE323" s="163"/>
      <c r="CF323" s="163"/>
      <c r="CG323" s="163"/>
      <c r="CH323" s="163"/>
      <c r="CJ323" s="163"/>
      <c r="CK323" s="163"/>
      <c r="CL323" s="163"/>
      <c r="CM323" s="163"/>
      <c r="CN323" s="163"/>
      <c r="CO323" s="163"/>
      <c r="CP323" s="163"/>
      <c r="CQ323" s="163"/>
      <c r="CR323" s="163"/>
      <c r="CS323" s="163"/>
      <c r="CT323" s="163"/>
      <c r="CU323" s="163"/>
      <c r="CV323" s="163"/>
    </row>
    <row r="324" spans="2:100" hidden="1" x14ac:dyDescent="0.25">
      <c r="B324" s="7"/>
      <c r="F324" s="7"/>
      <c r="CC324" s="163"/>
      <c r="CD324" s="163"/>
      <c r="CE324" s="163"/>
      <c r="CF324" s="163"/>
      <c r="CG324" s="163"/>
      <c r="CH324" s="163"/>
      <c r="CJ324" s="163"/>
      <c r="CK324" s="163"/>
      <c r="CL324" s="163"/>
      <c r="CM324" s="163"/>
      <c r="CN324" s="163"/>
      <c r="CO324" s="163"/>
      <c r="CP324" s="163"/>
      <c r="CQ324" s="163"/>
      <c r="CR324" s="163"/>
      <c r="CS324" s="163"/>
      <c r="CT324" s="163"/>
      <c r="CU324" s="163"/>
      <c r="CV324" s="163"/>
    </row>
    <row r="325" spans="2:100" hidden="1" x14ac:dyDescent="0.25">
      <c r="B325" s="7"/>
      <c r="F325" s="7"/>
      <c r="CC325" s="163"/>
      <c r="CD325" s="163"/>
      <c r="CE325" s="163"/>
      <c r="CF325" s="163"/>
      <c r="CG325" s="163"/>
      <c r="CH325" s="163"/>
      <c r="CJ325" s="163"/>
      <c r="CK325" s="163"/>
      <c r="CL325" s="163"/>
      <c r="CM325" s="163"/>
      <c r="CN325" s="163"/>
      <c r="CO325" s="163"/>
      <c r="CP325" s="163"/>
      <c r="CQ325" s="163"/>
      <c r="CR325" s="163"/>
      <c r="CS325" s="163"/>
      <c r="CT325" s="163"/>
      <c r="CU325" s="163"/>
      <c r="CV325" s="163"/>
    </row>
    <row r="326" spans="2:100" hidden="1" x14ac:dyDescent="0.25">
      <c r="B326" s="7"/>
      <c r="F326" s="7"/>
      <c r="CC326" s="163"/>
      <c r="CD326" s="163"/>
      <c r="CE326" s="163"/>
      <c r="CF326" s="163"/>
      <c r="CG326" s="163"/>
      <c r="CH326" s="163"/>
      <c r="CJ326" s="163"/>
      <c r="CK326" s="163"/>
      <c r="CL326" s="163"/>
      <c r="CM326" s="163"/>
      <c r="CN326" s="163"/>
      <c r="CO326" s="163"/>
      <c r="CP326" s="163"/>
      <c r="CQ326" s="163"/>
      <c r="CR326" s="163"/>
      <c r="CS326" s="163"/>
      <c r="CT326" s="163"/>
      <c r="CU326" s="163"/>
      <c r="CV326" s="163"/>
    </row>
    <row r="327" spans="2:100" hidden="1" x14ac:dyDescent="0.25">
      <c r="B327" s="7"/>
      <c r="F327" s="7"/>
      <c r="CC327" s="163"/>
      <c r="CD327" s="163"/>
      <c r="CE327" s="163"/>
      <c r="CF327" s="163"/>
      <c r="CG327" s="163"/>
      <c r="CH327" s="163"/>
      <c r="CJ327" s="163"/>
      <c r="CK327" s="163"/>
      <c r="CL327" s="163"/>
      <c r="CM327" s="163"/>
      <c r="CN327" s="163"/>
      <c r="CO327" s="163"/>
      <c r="CP327" s="163"/>
      <c r="CQ327" s="163"/>
      <c r="CR327" s="163"/>
      <c r="CS327" s="163"/>
      <c r="CT327" s="163"/>
      <c r="CU327" s="163"/>
      <c r="CV327" s="163"/>
    </row>
    <row r="328" spans="2:100" hidden="1" x14ac:dyDescent="0.25">
      <c r="B328" s="7"/>
      <c r="F328" s="7"/>
      <c r="CC328" s="163"/>
      <c r="CD328" s="163"/>
      <c r="CE328" s="163"/>
      <c r="CF328" s="163"/>
      <c r="CG328" s="163"/>
      <c r="CH328" s="163"/>
      <c r="CJ328" s="163"/>
      <c r="CK328" s="163"/>
      <c r="CL328" s="163"/>
      <c r="CM328" s="163"/>
      <c r="CN328" s="163"/>
      <c r="CO328" s="163"/>
      <c r="CP328" s="163"/>
      <c r="CQ328" s="163"/>
      <c r="CR328" s="163"/>
      <c r="CS328" s="163"/>
      <c r="CT328" s="163"/>
      <c r="CU328" s="163"/>
      <c r="CV328" s="163"/>
    </row>
    <row r="329" spans="2:100" hidden="1" x14ac:dyDescent="0.25">
      <c r="B329" s="7"/>
      <c r="F329" s="7"/>
      <c r="CC329" s="163"/>
      <c r="CD329" s="163"/>
      <c r="CE329" s="163"/>
      <c r="CF329" s="163"/>
      <c r="CG329" s="163"/>
      <c r="CH329" s="163"/>
      <c r="CJ329" s="163"/>
      <c r="CK329" s="163"/>
      <c r="CL329" s="163"/>
      <c r="CM329" s="163"/>
      <c r="CN329" s="163"/>
      <c r="CO329" s="163"/>
      <c r="CP329" s="163"/>
      <c r="CQ329" s="163"/>
      <c r="CR329" s="163"/>
      <c r="CS329" s="163"/>
      <c r="CT329" s="163"/>
      <c r="CU329" s="163"/>
      <c r="CV329" s="163"/>
    </row>
    <row r="330" spans="2:100" hidden="1" x14ac:dyDescent="0.25">
      <c r="B330" s="7"/>
      <c r="D330" s="7" t="s">
        <v>99</v>
      </c>
      <c r="F330" s="7"/>
      <c r="CC330" s="163"/>
      <c r="CD330" s="163"/>
      <c r="CE330" s="163"/>
      <c r="CF330" s="163"/>
      <c r="CG330" s="163"/>
      <c r="CH330" s="163"/>
      <c r="CJ330" s="163"/>
      <c r="CK330" s="163"/>
      <c r="CL330" s="163"/>
      <c r="CM330" s="163"/>
      <c r="CN330" s="163"/>
      <c r="CO330" s="163"/>
      <c r="CP330" s="163"/>
      <c r="CQ330" s="163"/>
      <c r="CR330" s="163"/>
      <c r="CS330" s="163"/>
      <c r="CT330" s="163"/>
      <c r="CU330" s="163"/>
      <c r="CV330" s="163"/>
    </row>
    <row r="331" spans="2:100" hidden="1" x14ac:dyDescent="0.25">
      <c r="B331" s="7"/>
      <c r="D331" s="7" t="s">
        <v>123</v>
      </c>
      <c r="F331" s="7"/>
      <c r="CC331" s="163"/>
      <c r="CD331" s="163"/>
      <c r="CE331" s="163"/>
      <c r="CF331" s="163"/>
      <c r="CG331" s="163"/>
      <c r="CH331" s="163"/>
      <c r="CJ331" s="163"/>
      <c r="CK331" s="163"/>
      <c r="CL331" s="163"/>
      <c r="CM331" s="163"/>
      <c r="CN331" s="163"/>
      <c r="CO331" s="163"/>
      <c r="CP331" s="163"/>
      <c r="CQ331" s="163"/>
      <c r="CR331" s="163"/>
      <c r="CS331" s="163"/>
      <c r="CT331" s="163"/>
      <c r="CU331" s="163"/>
      <c r="CV331" s="163"/>
    </row>
    <row r="332" spans="2:100" hidden="1" x14ac:dyDescent="0.25">
      <c r="B332" s="7"/>
      <c r="D332" s="7" t="s">
        <v>174</v>
      </c>
      <c r="F332" s="7"/>
      <c r="CC332" s="163"/>
      <c r="CD332" s="163"/>
      <c r="CE332" s="163"/>
      <c r="CF332" s="163"/>
      <c r="CG332" s="163"/>
      <c r="CH332" s="163"/>
      <c r="CJ332" s="163"/>
      <c r="CK332" s="163"/>
      <c r="CL332" s="163"/>
      <c r="CM332" s="163"/>
      <c r="CN332" s="163"/>
      <c r="CO332" s="163"/>
      <c r="CP332" s="163"/>
      <c r="CQ332" s="163"/>
      <c r="CR332" s="163"/>
      <c r="CS332" s="163"/>
      <c r="CT332" s="163"/>
      <c r="CU332" s="163"/>
      <c r="CV332" s="163"/>
    </row>
    <row r="333" spans="2:100" hidden="1" x14ac:dyDescent="0.25">
      <c r="B333" s="7"/>
      <c r="D333" s="7" t="s">
        <v>210</v>
      </c>
      <c r="F333" s="7"/>
      <c r="CC333" s="163"/>
      <c r="CD333" s="163"/>
      <c r="CE333" s="163"/>
      <c r="CF333" s="163"/>
      <c r="CG333" s="163"/>
      <c r="CH333" s="163"/>
      <c r="CJ333" s="163"/>
      <c r="CK333" s="163"/>
      <c r="CL333" s="163"/>
      <c r="CM333" s="163"/>
      <c r="CN333" s="163"/>
      <c r="CO333" s="163"/>
      <c r="CP333" s="163"/>
      <c r="CQ333" s="163"/>
      <c r="CR333" s="163"/>
      <c r="CS333" s="163"/>
      <c r="CT333" s="163"/>
      <c r="CU333" s="163"/>
      <c r="CV333" s="163"/>
    </row>
    <row r="334" spans="2:100" hidden="1" x14ac:dyDescent="0.25">
      <c r="B334" s="7"/>
      <c r="F334" s="7"/>
      <c r="CC334" s="163"/>
      <c r="CD334" s="163"/>
      <c r="CE334" s="163"/>
      <c r="CF334" s="163"/>
      <c r="CG334" s="163"/>
      <c r="CH334" s="163"/>
      <c r="CJ334" s="163"/>
      <c r="CK334" s="163"/>
      <c r="CL334" s="163"/>
      <c r="CM334" s="163"/>
      <c r="CN334" s="163"/>
      <c r="CO334" s="163"/>
      <c r="CP334" s="163"/>
      <c r="CQ334" s="163"/>
      <c r="CR334" s="163"/>
      <c r="CS334" s="163"/>
      <c r="CT334" s="163"/>
      <c r="CU334" s="163"/>
      <c r="CV334" s="163"/>
    </row>
    <row r="335" spans="2:100" hidden="1" x14ac:dyDescent="0.25">
      <c r="B335" s="7"/>
      <c r="F335" s="7"/>
      <c r="CC335" s="163"/>
      <c r="CD335" s="163"/>
      <c r="CE335" s="163"/>
      <c r="CF335" s="163"/>
      <c r="CG335" s="163"/>
      <c r="CH335" s="163"/>
      <c r="CJ335" s="163"/>
      <c r="CK335" s="163"/>
      <c r="CL335" s="163"/>
      <c r="CM335" s="163"/>
      <c r="CN335" s="163"/>
      <c r="CO335" s="163"/>
      <c r="CP335" s="163"/>
      <c r="CQ335" s="163"/>
      <c r="CR335" s="163"/>
      <c r="CS335" s="163"/>
      <c r="CT335" s="163"/>
      <c r="CU335" s="163"/>
      <c r="CV335" s="163"/>
    </row>
    <row r="336" spans="2:100" hidden="1" x14ac:dyDescent="0.25">
      <c r="B336" s="7"/>
      <c r="F336" s="7"/>
      <c r="CC336" s="163"/>
      <c r="CD336" s="163"/>
      <c r="CE336" s="163"/>
      <c r="CF336" s="163"/>
      <c r="CG336" s="163"/>
      <c r="CH336" s="163"/>
      <c r="CJ336" s="163"/>
      <c r="CK336" s="163"/>
      <c r="CL336" s="163"/>
      <c r="CM336" s="163"/>
      <c r="CN336" s="163"/>
      <c r="CO336" s="163"/>
      <c r="CP336" s="163"/>
      <c r="CQ336" s="163"/>
      <c r="CR336" s="163"/>
      <c r="CS336" s="163"/>
      <c r="CT336" s="163"/>
      <c r="CU336" s="163"/>
      <c r="CV336" s="163"/>
    </row>
    <row r="337" spans="2:100" hidden="1" x14ac:dyDescent="0.25">
      <c r="B337" s="7"/>
      <c r="F337" s="7"/>
      <c r="CC337" s="163"/>
      <c r="CD337" s="163"/>
      <c r="CE337" s="163"/>
      <c r="CF337" s="163"/>
      <c r="CG337" s="163"/>
      <c r="CH337" s="163"/>
      <c r="CJ337" s="163"/>
      <c r="CK337" s="163"/>
      <c r="CL337" s="163"/>
      <c r="CM337" s="163"/>
      <c r="CN337" s="163"/>
      <c r="CO337" s="163"/>
      <c r="CP337" s="163"/>
      <c r="CQ337" s="163"/>
      <c r="CR337" s="163"/>
      <c r="CS337" s="163"/>
      <c r="CT337" s="163"/>
      <c r="CU337" s="163"/>
      <c r="CV337" s="163"/>
    </row>
    <row r="338" spans="2:100" hidden="1" x14ac:dyDescent="0.25">
      <c r="B338" s="7"/>
      <c r="F338" s="7"/>
      <c r="CC338" s="163"/>
      <c r="CD338" s="163"/>
      <c r="CE338" s="163"/>
      <c r="CF338" s="163"/>
      <c r="CG338" s="163"/>
      <c r="CH338" s="163"/>
      <c r="CJ338" s="163"/>
      <c r="CK338" s="163"/>
      <c r="CL338" s="163"/>
      <c r="CM338" s="163"/>
      <c r="CN338" s="163"/>
      <c r="CO338" s="163"/>
      <c r="CP338" s="163"/>
      <c r="CQ338" s="163"/>
      <c r="CR338" s="163"/>
      <c r="CS338" s="163"/>
      <c r="CT338" s="163"/>
      <c r="CU338" s="163"/>
      <c r="CV338" s="163"/>
    </row>
    <row r="339" spans="2:100" hidden="1" x14ac:dyDescent="0.25">
      <c r="B339" s="7"/>
      <c r="F339" s="7"/>
      <c r="CC339" s="163"/>
      <c r="CD339" s="163"/>
      <c r="CE339" s="163"/>
      <c r="CF339" s="163"/>
      <c r="CG339" s="163"/>
      <c r="CH339" s="163"/>
      <c r="CJ339" s="163"/>
      <c r="CK339" s="163"/>
      <c r="CL339" s="163"/>
      <c r="CM339" s="163"/>
      <c r="CN339" s="163"/>
      <c r="CO339" s="163"/>
      <c r="CP339" s="163"/>
      <c r="CQ339" s="163"/>
      <c r="CR339" s="163"/>
      <c r="CS339" s="163"/>
      <c r="CT339" s="163"/>
      <c r="CU339" s="163"/>
      <c r="CV339" s="163"/>
    </row>
    <row r="340" spans="2:100" hidden="1" x14ac:dyDescent="0.25">
      <c r="B340" s="7"/>
      <c r="F340" s="7"/>
      <c r="CC340" s="163"/>
      <c r="CD340" s="163"/>
      <c r="CE340" s="163"/>
      <c r="CF340" s="163"/>
      <c r="CG340" s="163"/>
      <c r="CH340" s="163"/>
      <c r="CJ340" s="163"/>
      <c r="CK340" s="163"/>
      <c r="CL340" s="163"/>
      <c r="CM340" s="163"/>
      <c r="CN340" s="163"/>
      <c r="CO340" s="163"/>
      <c r="CP340" s="163"/>
      <c r="CQ340" s="163"/>
      <c r="CR340" s="163"/>
      <c r="CS340" s="163"/>
      <c r="CT340" s="163"/>
      <c r="CU340" s="163"/>
      <c r="CV340" s="163"/>
    </row>
    <row r="341" spans="2:100" hidden="1" x14ac:dyDescent="0.25">
      <c r="B341" s="7"/>
      <c r="F341" s="7"/>
      <c r="CC341" s="163"/>
      <c r="CD341" s="163"/>
      <c r="CE341" s="163"/>
      <c r="CF341" s="163"/>
      <c r="CG341" s="163"/>
      <c r="CH341" s="163"/>
      <c r="CJ341" s="163"/>
      <c r="CK341" s="163"/>
      <c r="CL341" s="163"/>
      <c r="CM341" s="163"/>
      <c r="CN341" s="163"/>
      <c r="CO341" s="163"/>
      <c r="CP341" s="163"/>
      <c r="CQ341" s="163"/>
      <c r="CR341" s="163"/>
      <c r="CS341" s="163"/>
      <c r="CT341" s="163"/>
      <c r="CU341" s="163"/>
      <c r="CV341" s="163"/>
    </row>
    <row r="342" spans="2:100" hidden="1" x14ac:dyDescent="0.25">
      <c r="B342" s="7"/>
      <c r="F342" s="7"/>
      <c r="CC342" s="163"/>
      <c r="CD342" s="163"/>
      <c r="CE342" s="163"/>
      <c r="CF342" s="163"/>
      <c r="CG342" s="163"/>
      <c r="CH342" s="163"/>
      <c r="CJ342" s="163"/>
      <c r="CK342" s="163"/>
      <c r="CL342" s="163"/>
      <c r="CM342" s="163"/>
      <c r="CN342" s="163"/>
      <c r="CO342" s="163"/>
      <c r="CP342" s="163"/>
      <c r="CQ342" s="163"/>
      <c r="CR342" s="163"/>
      <c r="CS342" s="163"/>
      <c r="CT342" s="163"/>
      <c r="CU342" s="163"/>
      <c r="CV342" s="163"/>
    </row>
    <row r="343" spans="2:100" hidden="1" x14ac:dyDescent="0.25">
      <c r="B343" s="7"/>
      <c r="F343" s="7"/>
      <c r="CC343" s="163"/>
      <c r="CD343" s="163"/>
      <c r="CE343" s="163"/>
      <c r="CF343" s="163"/>
      <c r="CG343" s="163"/>
      <c r="CH343" s="163"/>
      <c r="CJ343" s="163"/>
      <c r="CK343" s="163"/>
      <c r="CL343" s="163"/>
      <c r="CM343" s="163"/>
      <c r="CN343" s="163"/>
      <c r="CO343" s="163"/>
      <c r="CP343" s="163"/>
      <c r="CQ343" s="163"/>
      <c r="CR343" s="163"/>
      <c r="CS343" s="163"/>
      <c r="CT343" s="163"/>
      <c r="CU343" s="163"/>
      <c r="CV343" s="163"/>
    </row>
    <row r="344" spans="2:100" hidden="1" x14ac:dyDescent="0.25">
      <c r="B344" s="7"/>
      <c r="D344" s="7" t="s">
        <v>99</v>
      </c>
      <c r="F344" s="7"/>
      <c r="CC344" s="163"/>
      <c r="CD344" s="163"/>
      <c r="CE344" s="163"/>
      <c r="CF344" s="163"/>
      <c r="CG344" s="163"/>
      <c r="CH344" s="163"/>
      <c r="CJ344" s="163"/>
      <c r="CK344" s="163"/>
      <c r="CL344" s="163"/>
      <c r="CM344" s="163"/>
      <c r="CN344" s="163"/>
      <c r="CO344" s="163"/>
      <c r="CP344" s="163"/>
      <c r="CQ344" s="163"/>
      <c r="CR344" s="163"/>
      <c r="CS344" s="163"/>
      <c r="CT344" s="163"/>
      <c r="CU344" s="163"/>
      <c r="CV344" s="163"/>
    </row>
    <row r="345" spans="2:100" hidden="1" x14ac:dyDescent="0.25">
      <c r="B345" s="7"/>
      <c r="F345" s="7"/>
      <c r="CC345" s="163"/>
      <c r="CD345" s="163"/>
      <c r="CE345" s="163"/>
      <c r="CF345" s="163"/>
      <c r="CG345" s="163"/>
      <c r="CH345" s="163"/>
      <c r="CJ345" s="163"/>
      <c r="CK345" s="163"/>
      <c r="CL345" s="163"/>
      <c r="CM345" s="163"/>
      <c r="CN345" s="163"/>
      <c r="CO345" s="163"/>
      <c r="CP345" s="163"/>
      <c r="CQ345" s="163"/>
      <c r="CR345" s="163"/>
      <c r="CS345" s="163"/>
      <c r="CT345" s="163"/>
      <c r="CU345" s="163"/>
      <c r="CV345" s="163"/>
    </row>
    <row r="346" spans="2:100" hidden="1" x14ac:dyDescent="0.25">
      <c r="B346" s="7"/>
      <c r="F346" s="7"/>
      <c r="CC346" s="163"/>
      <c r="CD346" s="163"/>
      <c r="CE346" s="163"/>
      <c r="CF346" s="163"/>
      <c r="CG346" s="163"/>
      <c r="CH346" s="163"/>
      <c r="CJ346" s="163"/>
      <c r="CK346" s="163"/>
      <c r="CL346" s="163"/>
      <c r="CM346" s="163"/>
      <c r="CN346" s="163"/>
      <c r="CO346" s="163"/>
      <c r="CP346" s="163"/>
      <c r="CQ346" s="163"/>
      <c r="CR346" s="163"/>
      <c r="CS346" s="163"/>
      <c r="CT346" s="163"/>
      <c r="CU346" s="163"/>
      <c r="CV346" s="163"/>
    </row>
    <row r="347" spans="2:100" hidden="1" x14ac:dyDescent="0.25">
      <c r="B347" s="7"/>
      <c r="F347" s="7"/>
      <c r="CC347" s="163"/>
      <c r="CD347" s="163"/>
      <c r="CE347" s="163"/>
      <c r="CF347" s="163"/>
      <c r="CG347" s="163"/>
      <c r="CH347" s="163"/>
      <c r="CJ347" s="163"/>
      <c r="CK347" s="163"/>
      <c r="CL347" s="163"/>
      <c r="CM347" s="163"/>
      <c r="CN347" s="163"/>
      <c r="CO347" s="163"/>
      <c r="CP347" s="163"/>
      <c r="CQ347" s="163"/>
      <c r="CR347" s="163"/>
      <c r="CS347" s="163"/>
      <c r="CT347" s="163"/>
      <c r="CU347" s="163"/>
      <c r="CV347" s="163"/>
    </row>
    <row r="348" spans="2:100" hidden="1" x14ac:dyDescent="0.25">
      <c r="B348" s="7"/>
      <c r="F348" s="7"/>
      <c r="CC348" s="163"/>
      <c r="CD348" s="163"/>
      <c r="CE348" s="163"/>
      <c r="CF348" s="163"/>
      <c r="CG348" s="163"/>
      <c r="CH348" s="163"/>
      <c r="CJ348" s="163"/>
      <c r="CK348" s="163"/>
      <c r="CL348" s="163"/>
      <c r="CM348" s="163"/>
      <c r="CN348" s="163"/>
      <c r="CO348" s="163"/>
      <c r="CP348" s="163"/>
      <c r="CQ348" s="163"/>
      <c r="CR348" s="163"/>
      <c r="CS348" s="163"/>
      <c r="CT348" s="163"/>
      <c r="CU348" s="163"/>
      <c r="CV348" s="163"/>
    </row>
    <row r="349" spans="2:100" hidden="1" x14ac:dyDescent="0.25">
      <c r="B349" s="7"/>
      <c r="F349" s="7"/>
      <c r="CC349" s="163"/>
      <c r="CD349" s="163"/>
      <c r="CE349" s="163"/>
      <c r="CF349" s="163"/>
      <c r="CG349" s="163"/>
      <c r="CH349" s="163"/>
      <c r="CJ349" s="163"/>
      <c r="CK349" s="163"/>
      <c r="CL349" s="163"/>
      <c r="CM349" s="163"/>
      <c r="CN349" s="163"/>
      <c r="CO349" s="163"/>
      <c r="CP349" s="163"/>
      <c r="CQ349" s="163"/>
      <c r="CR349" s="163"/>
      <c r="CS349" s="163"/>
      <c r="CT349" s="163"/>
      <c r="CU349" s="163"/>
      <c r="CV349" s="163"/>
    </row>
    <row r="350" spans="2:100" hidden="1" x14ac:dyDescent="0.25">
      <c r="B350" s="7"/>
      <c r="F350" s="7"/>
      <c r="CC350" s="163"/>
      <c r="CD350" s="163"/>
      <c r="CE350" s="163"/>
      <c r="CF350" s="163"/>
      <c r="CG350" s="163"/>
      <c r="CH350" s="163"/>
      <c r="CJ350" s="163"/>
      <c r="CK350" s="163"/>
      <c r="CL350" s="163"/>
      <c r="CM350" s="163"/>
      <c r="CN350" s="163"/>
      <c r="CO350" s="163"/>
      <c r="CP350" s="163"/>
      <c r="CQ350" s="163"/>
      <c r="CR350" s="163"/>
      <c r="CS350" s="163"/>
      <c r="CT350" s="163"/>
      <c r="CU350" s="163"/>
      <c r="CV350" s="163"/>
    </row>
    <row r="351" spans="2:100" hidden="1" x14ac:dyDescent="0.25">
      <c r="B351" s="7"/>
      <c r="F351" s="7"/>
      <c r="CC351" s="163"/>
      <c r="CD351" s="163"/>
      <c r="CE351" s="163"/>
      <c r="CF351" s="163"/>
      <c r="CG351" s="163"/>
      <c r="CH351" s="163"/>
      <c r="CJ351" s="163"/>
      <c r="CK351" s="163"/>
      <c r="CL351" s="163"/>
      <c r="CM351" s="163"/>
      <c r="CN351" s="163"/>
      <c r="CO351" s="163"/>
      <c r="CP351" s="163"/>
      <c r="CQ351" s="163"/>
      <c r="CR351" s="163"/>
      <c r="CS351" s="163"/>
      <c r="CT351" s="163"/>
      <c r="CU351" s="163"/>
      <c r="CV351" s="163"/>
    </row>
    <row r="352" spans="2:100" hidden="1" x14ac:dyDescent="0.25">
      <c r="B352" s="7"/>
      <c r="F352" s="7"/>
      <c r="CC352" s="163"/>
      <c r="CD352" s="163"/>
      <c r="CE352" s="163"/>
      <c r="CF352" s="163"/>
      <c r="CG352" s="163"/>
      <c r="CH352" s="163"/>
      <c r="CJ352" s="163"/>
      <c r="CK352" s="163"/>
      <c r="CL352" s="163"/>
      <c r="CM352" s="163"/>
      <c r="CN352" s="163"/>
      <c r="CO352" s="163"/>
      <c r="CP352" s="163"/>
      <c r="CQ352" s="163"/>
      <c r="CR352" s="163"/>
      <c r="CS352" s="163"/>
      <c r="CT352" s="163"/>
      <c r="CU352" s="163"/>
      <c r="CV352" s="163"/>
    </row>
    <row r="353" spans="2:100" hidden="1" x14ac:dyDescent="0.25">
      <c r="B353" s="7"/>
      <c r="F353" s="7"/>
      <c r="CC353" s="163"/>
      <c r="CD353" s="163"/>
      <c r="CE353" s="163"/>
      <c r="CF353" s="163"/>
      <c r="CG353" s="163"/>
      <c r="CH353" s="163"/>
      <c r="CJ353" s="163"/>
      <c r="CK353" s="163"/>
      <c r="CL353" s="163"/>
      <c r="CM353" s="163"/>
      <c r="CN353" s="163"/>
      <c r="CO353" s="163"/>
      <c r="CP353" s="163"/>
      <c r="CQ353" s="163"/>
      <c r="CR353" s="163"/>
      <c r="CS353" s="163"/>
      <c r="CT353" s="163"/>
      <c r="CU353" s="163"/>
      <c r="CV353" s="163"/>
    </row>
    <row r="354" spans="2:100" hidden="1" x14ac:dyDescent="0.25">
      <c r="B354" s="7"/>
      <c r="F354" s="7"/>
      <c r="CC354" s="163"/>
      <c r="CD354" s="163"/>
      <c r="CE354" s="163"/>
      <c r="CF354" s="163"/>
      <c r="CG354" s="163"/>
      <c r="CH354" s="163"/>
      <c r="CJ354" s="163"/>
      <c r="CK354" s="163"/>
      <c r="CL354" s="163"/>
      <c r="CM354" s="163"/>
      <c r="CN354" s="163"/>
      <c r="CO354" s="163"/>
      <c r="CP354" s="163"/>
      <c r="CQ354" s="163"/>
      <c r="CR354" s="163"/>
      <c r="CS354" s="163"/>
      <c r="CT354" s="163"/>
      <c r="CU354" s="163"/>
      <c r="CV354" s="163"/>
    </row>
    <row r="355" spans="2:100" hidden="1" x14ac:dyDescent="0.25">
      <c r="B355" s="7"/>
      <c r="F355" s="7"/>
      <c r="CC355" s="163"/>
      <c r="CD355" s="163"/>
      <c r="CE355" s="163"/>
      <c r="CF355" s="163"/>
      <c r="CG355" s="163"/>
      <c r="CH355" s="163"/>
      <c r="CJ355" s="163"/>
      <c r="CK355" s="163"/>
      <c r="CL355" s="163"/>
      <c r="CM355" s="163"/>
      <c r="CN355" s="163"/>
      <c r="CO355" s="163"/>
      <c r="CP355" s="163"/>
      <c r="CQ355" s="163"/>
      <c r="CR355" s="163"/>
      <c r="CS355" s="163"/>
      <c r="CT355" s="163"/>
      <c r="CU355" s="163"/>
      <c r="CV355" s="163"/>
    </row>
    <row r="356" spans="2:100" hidden="1" x14ac:dyDescent="0.25">
      <c r="B356" s="7"/>
      <c r="F356" s="7"/>
      <c r="CC356" s="163"/>
      <c r="CD356" s="163"/>
      <c r="CE356" s="163"/>
      <c r="CF356" s="163"/>
      <c r="CG356" s="163"/>
      <c r="CH356" s="163"/>
      <c r="CJ356" s="163"/>
      <c r="CK356" s="163"/>
      <c r="CL356" s="163"/>
      <c r="CM356" s="163"/>
      <c r="CN356" s="163"/>
      <c r="CO356" s="163"/>
      <c r="CP356" s="163"/>
      <c r="CQ356" s="163"/>
      <c r="CR356" s="163"/>
      <c r="CS356" s="163"/>
      <c r="CT356" s="163"/>
      <c r="CU356" s="163"/>
      <c r="CV356" s="163"/>
    </row>
    <row r="357" spans="2:100" hidden="1" x14ac:dyDescent="0.25">
      <c r="B357" s="7"/>
      <c r="F357" s="7"/>
      <c r="CC357" s="163"/>
      <c r="CD357" s="163"/>
      <c r="CE357" s="163"/>
      <c r="CF357" s="163"/>
      <c r="CG357" s="163"/>
      <c r="CH357" s="163"/>
      <c r="CJ357" s="163"/>
      <c r="CK357" s="163"/>
      <c r="CL357" s="163"/>
      <c r="CM357" s="163"/>
      <c r="CN357" s="163"/>
      <c r="CO357" s="163"/>
      <c r="CP357" s="163"/>
      <c r="CQ357" s="163"/>
      <c r="CR357" s="163"/>
      <c r="CS357" s="163"/>
      <c r="CT357" s="163"/>
      <c r="CU357" s="163"/>
      <c r="CV357" s="163"/>
    </row>
    <row r="358" spans="2:100" hidden="1" x14ac:dyDescent="0.25">
      <c r="B358" s="7"/>
      <c r="F358" s="7"/>
      <c r="CC358" s="163"/>
      <c r="CD358" s="163"/>
      <c r="CE358" s="163"/>
      <c r="CF358" s="163"/>
      <c r="CG358" s="163"/>
      <c r="CH358" s="163"/>
      <c r="CJ358" s="163"/>
      <c r="CK358" s="163"/>
      <c r="CL358" s="163"/>
      <c r="CM358" s="163"/>
      <c r="CN358" s="163"/>
      <c r="CO358" s="163"/>
      <c r="CP358" s="163"/>
      <c r="CQ358" s="163"/>
      <c r="CR358" s="163"/>
      <c r="CS358" s="163"/>
      <c r="CT358" s="163"/>
      <c r="CU358" s="163"/>
      <c r="CV358" s="163"/>
    </row>
    <row r="359" spans="2:100" hidden="1" x14ac:dyDescent="0.25">
      <c r="B359" s="7"/>
      <c r="F359" s="7"/>
      <c r="CC359" s="163"/>
      <c r="CD359" s="163"/>
      <c r="CE359" s="163"/>
      <c r="CF359" s="163"/>
      <c r="CG359" s="163"/>
      <c r="CH359" s="163"/>
      <c r="CJ359" s="163"/>
      <c r="CK359" s="163"/>
      <c r="CL359" s="163"/>
      <c r="CM359" s="163"/>
      <c r="CN359" s="163"/>
      <c r="CO359" s="163"/>
      <c r="CP359" s="163"/>
      <c r="CQ359" s="163"/>
      <c r="CR359" s="163"/>
      <c r="CS359" s="163"/>
      <c r="CT359" s="163"/>
      <c r="CU359" s="163"/>
      <c r="CV359" s="163"/>
    </row>
    <row r="360" spans="2:100" hidden="1" x14ac:dyDescent="0.25">
      <c r="B360" s="7"/>
      <c r="F360" s="7"/>
      <c r="CC360" s="163"/>
      <c r="CD360" s="163"/>
      <c r="CE360" s="163"/>
      <c r="CF360" s="163"/>
      <c r="CG360" s="163"/>
      <c r="CH360" s="163"/>
      <c r="CJ360" s="163"/>
      <c r="CK360" s="163"/>
      <c r="CL360" s="163"/>
      <c r="CM360" s="163"/>
      <c r="CN360" s="163"/>
      <c r="CO360" s="163"/>
      <c r="CP360" s="163"/>
      <c r="CQ360" s="163"/>
      <c r="CR360" s="163"/>
      <c r="CS360" s="163"/>
      <c r="CT360" s="163"/>
      <c r="CU360" s="163"/>
      <c r="CV360" s="163"/>
    </row>
    <row r="361" spans="2:100" hidden="1" x14ac:dyDescent="0.25">
      <c r="B361" s="7"/>
      <c r="F361" s="7"/>
      <c r="CC361" s="163"/>
      <c r="CD361" s="163"/>
      <c r="CE361" s="163"/>
      <c r="CF361" s="163"/>
      <c r="CG361" s="163"/>
      <c r="CH361" s="163"/>
      <c r="CJ361" s="163"/>
      <c r="CK361" s="163"/>
      <c r="CL361" s="163"/>
      <c r="CM361" s="163"/>
      <c r="CN361" s="163"/>
      <c r="CO361" s="163"/>
      <c r="CP361" s="163"/>
      <c r="CQ361" s="163"/>
      <c r="CR361" s="163"/>
      <c r="CS361" s="163"/>
      <c r="CT361" s="163"/>
      <c r="CU361" s="163"/>
      <c r="CV361" s="163"/>
    </row>
    <row r="362" spans="2:100" hidden="1" x14ac:dyDescent="0.25">
      <c r="B362" s="7"/>
      <c r="F362" s="7"/>
      <c r="CC362" s="163"/>
      <c r="CD362" s="163"/>
      <c r="CE362" s="163"/>
      <c r="CF362" s="163"/>
      <c r="CG362" s="163"/>
      <c r="CH362" s="163"/>
      <c r="CJ362" s="163"/>
      <c r="CK362" s="163"/>
      <c r="CL362" s="163"/>
      <c r="CM362" s="163"/>
      <c r="CN362" s="163"/>
      <c r="CO362" s="163"/>
      <c r="CP362" s="163"/>
      <c r="CQ362" s="163"/>
      <c r="CR362" s="163"/>
      <c r="CS362" s="163"/>
      <c r="CT362" s="163"/>
      <c r="CU362" s="163"/>
      <c r="CV362" s="163"/>
    </row>
    <row r="363" spans="2:100" hidden="1" x14ac:dyDescent="0.25">
      <c r="B363" s="7"/>
      <c r="F363" s="7"/>
    </row>
    <row r="364" spans="2:100" hidden="1" x14ac:dyDescent="0.25">
      <c r="B364" s="7"/>
      <c r="F364" s="7"/>
    </row>
    <row r="365" spans="2:100" hidden="1" x14ac:dyDescent="0.25">
      <c r="B365" s="7"/>
      <c r="F365" s="7"/>
    </row>
    <row r="366" spans="2:100" hidden="1" x14ac:dyDescent="0.25">
      <c r="B366" s="7"/>
      <c r="F366" s="7"/>
    </row>
    <row r="367" spans="2:100" hidden="1" x14ac:dyDescent="0.25">
      <c r="B367" s="7"/>
      <c r="F367" s="7"/>
    </row>
    <row r="368" spans="2:100" hidden="1" x14ac:dyDescent="0.25">
      <c r="B368" s="7"/>
      <c r="F368" s="7"/>
    </row>
    <row r="369" spans="2:6" hidden="1" x14ac:dyDescent="0.25">
      <c r="B369" s="7"/>
      <c r="F369" s="7"/>
    </row>
    <row r="370" spans="2:6" hidden="1" x14ac:dyDescent="0.25">
      <c r="B370" s="7"/>
      <c r="F370" s="7"/>
    </row>
    <row r="371" spans="2:6" hidden="1" x14ac:dyDescent="0.25">
      <c r="B371" s="7"/>
      <c r="F371" s="7"/>
    </row>
    <row r="372" spans="2:6" hidden="1" x14ac:dyDescent="0.25">
      <c r="B372" s="7"/>
      <c r="F372" s="7"/>
    </row>
    <row r="373" spans="2:6" hidden="1" x14ac:dyDescent="0.25">
      <c r="B373" s="7"/>
      <c r="F373" s="7"/>
    </row>
    <row r="374" spans="2:6" hidden="1" x14ac:dyDescent="0.25">
      <c r="B374" s="7"/>
      <c r="F374" s="7"/>
    </row>
    <row r="375" spans="2:6" hidden="1" x14ac:dyDescent="0.25">
      <c r="B375" s="7"/>
      <c r="F375" s="7"/>
    </row>
    <row r="376" spans="2:6" hidden="1" x14ac:dyDescent="0.25">
      <c r="B376" s="7"/>
      <c r="F376" s="7"/>
    </row>
    <row r="377" spans="2:6" hidden="1" x14ac:dyDescent="0.25">
      <c r="B377" s="7"/>
      <c r="F377" s="7"/>
    </row>
    <row r="378" spans="2:6" hidden="1" x14ac:dyDescent="0.25">
      <c r="B378" s="7"/>
      <c r="F378" s="7"/>
    </row>
    <row r="379" spans="2:6" hidden="1" x14ac:dyDescent="0.25">
      <c r="B379" s="7"/>
      <c r="F379" s="7"/>
    </row>
    <row r="380" spans="2:6" hidden="1" x14ac:dyDescent="0.25">
      <c r="B380" s="7"/>
      <c r="F380" s="7"/>
    </row>
    <row r="381" spans="2:6" hidden="1" x14ac:dyDescent="0.25">
      <c r="B381" s="7"/>
      <c r="F381" s="7"/>
    </row>
    <row r="382" spans="2:6" hidden="1" x14ac:dyDescent="0.25">
      <c r="B382" s="7"/>
      <c r="F382" s="7"/>
    </row>
    <row r="383" spans="2:6" hidden="1" x14ac:dyDescent="0.25">
      <c r="B383" s="7"/>
      <c r="F383" s="7"/>
    </row>
    <row r="384" spans="2:6" hidden="1" x14ac:dyDescent="0.25">
      <c r="B384" s="7"/>
      <c r="F384" s="7"/>
    </row>
    <row r="385" spans="2:6" hidden="1" x14ac:dyDescent="0.25">
      <c r="B385" s="7"/>
      <c r="F385" s="7"/>
    </row>
    <row r="386" spans="2:6" hidden="1" x14ac:dyDescent="0.25">
      <c r="B386" s="7"/>
      <c r="F386" s="7"/>
    </row>
    <row r="387" spans="2:6" hidden="1" x14ac:dyDescent="0.25">
      <c r="B387" s="7"/>
      <c r="F387" s="7"/>
    </row>
    <row r="388" spans="2:6" hidden="1" x14ac:dyDescent="0.25">
      <c r="B388" s="7"/>
      <c r="F388" s="7"/>
    </row>
    <row r="389" spans="2:6" hidden="1" x14ac:dyDescent="0.25">
      <c r="B389" s="7"/>
      <c r="F389" s="7"/>
    </row>
    <row r="390" spans="2:6" hidden="1" x14ac:dyDescent="0.25">
      <c r="B390" s="7"/>
      <c r="F390" s="7"/>
    </row>
    <row r="391" spans="2:6" hidden="1" x14ac:dyDescent="0.25">
      <c r="B391" s="7"/>
      <c r="F391" s="7"/>
    </row>
    <row r="392" spans="2:6" hidden="1" x14ac:dyDescent="0.25">
      <c r="B392" s="7"/>
      <c r="F392" s="7"/>
    </row>
    <row r="393" spans="2:6" hidden="1" x14ac:dyDescent="0.25">
      <c r="B393" s="7"/>
      <c r="F393" s="7"/>
    </row>
    <row r="394" spans="2:6" hidden="1" x14ac:dyDescent="0.25">
      <c r="B394" s="7"/>
      <c r="F394" s="7"/>
    </row>
    <row r="395" spans="2:6" hidden="1" x14ac:dyDescent="0.25">
      <c r="B395" s="7"/>
      <c r="F395" s="7"/>
    </row>
    <row r="396" spans="2:6" hidden="1" x14ac:dyDescent="0.25">
      <c r="B396" s="7"/>
      <c r="F396" s="7"/>
    </row>
    <row r="397" spans="2:6" hidden="1" x14ac:dyDescent="0.25">
      <c r="B397" s="7"/>
      <c r="F397" s="7"/>
    </row>
    <row r="398" spans="2:6" hidden="1" x14ac:dyDescent="0.25">
      <c r="B398" s="7"/>
      <c r="F398" s="7"/>
    </row>
    <row r="399" spans="2:6" hidden="1" x14ac:dyDescent="0.25">
      <c r="B399" s="7"/>
      <c r="F399" s="7"/>
    </row>
    <row r="400" spans="2:6" hidden="1" x14ac:dyDescent="0.25">
      <c r="B400" s="7"/>
      <c r="F400" s="7"/>
    </row>
    <row r="401" spans="2:6" hidden="1" x14ac:dyDescent="0.25">
      <c r="B401" s="7"/>
      <c r="F401" s="7"/>
    </row>
    <row r="402" spans="2:6" hidden="1" x14ac:dyDescent="0.25">
      <c r="B402" s="7"/>
      <c r="F402" s="7"/>
    </row>
    <row r="403" spans="2:6" hidden="1" x14ac:dyDescent="0.25">
      <c r="B403" s="7"/>
      <c r="F403" s="7"/>
    </row>
    <row r="404" spans="2:6" hidden="1" x14ac:dyDescent="0.25">
      <c r="B404" s="7"/>
      <c r="F404" s="7"/>
    </row>
    <row r="405" spans="2:6" hidden="1" x14ac:dyDescent="0.25">
      <c r="B405" s="7"/>
      <c r="F405" s="7"/>
    </row>
    <row r="406" spans="2:6" hidden="1" x14ac:dyDescent="0.25">
      <c r="B406" s="7"/>
      <c r="F406" s="7"/>
    </row>
    <row r="407" spans="2:6" hidden="1" x14ac:dyDescent="0.25">
      <c r="B407" s="7"/>
      <c r="F407" s="7"/>
    </row>
    <row r="408" spans="2:6" hidden="1" x14ac:dyDescent="0.25">
      <c r="B408" s="7"/>
      <c r="F408" s="7"/>
    </row>
    <row r="409" spans="2:6" hidden="1" x14ac:dyDescent="0.25">
      <c r="B409" s="7"/>
      <c r="F409" s="7"/>
    </row>
    <row r="410" spans="2:6" hidden="1" x14ac:dyDescent="0.25">
      <c r="B410" s="7"/>
      <c r="F410" s="7"/>
    </row>
    <row r="411" spans="2:6" hidden="1" x14ac:dyDescent="0.25">
      <c r="B411" s="7"/>
      <c r="F411" s="7"/>
    </row>
    <row r="412" spans="2:6" hidden="1" x14ac:dyDescent="0.25">
      <c r="B412" s="7"/>
      <c r="F412" s="7"/>
    </row>
    <row r="413" spans="2:6" hidden="1" x14ac:dyDescent="0.25">
      <c r="B413" s="7"/>
      <c r="F413" s="7"/>
    </row>
    <row r="414" spans="2:6" hidden="1" x14ac:dyDescent="0.25">
      <c r="B414" s="7"/>
      <c r="F414" s="7"/>
    </row>
    <row r="415" spans="2:6" hidden="1" x14ac:dyDescent="0.25">
      <c r="B415" s="7"/>
      <c r="F415" s="7"/>
    </row>
    <row r="416" spans="2:6" hidden="1" x14ac:dyDescent="0.25">
      <c r="B416" s="7"/>
      <c r="F416" s="7"/>
    </row>
    <row r="417" spans="2:6" hidden="1" x14ac:dyDescent="0.25">
      <c r="B417" s="7"/>
      <c r="F417" s="7"/>
    </row>
    <row r="418" spans="2:6" hidden="1" x14ac:dyDescent="0.25">
      <c r="B418" s="7"/>
      <c r="D418" s="7" t="s">
        <v>123</v>
      </c>
      <c r="F418" s="7"/>
    </row>
    <row r="419" spans="2:6" hidden="1" x14ac:dyDescent="0.25">
      <c r="B419" s="7"/>
      <c r="D419" s="7" t="s">
        <v>113</v>
      </c>
      <c r="F419" s="7"/>
    </row>
    <row r="420" spans="2:6" hidden="1" x14ac:dyDescent="0.25">
      <c r="B420" s="7"/>
      <c r="D420" s="7" t="s">
        <v>99</v>
      </c>
      <c r="F420" s="7"/>
    </row>
    <row r="421" spans="2:6" hidden="1" x14ac:dyDescent="0.25">
      <c r="B421" s="7"/>
      <c r="D421" s="7" t="s">
        <v>210</v>
      </c>
      <c r="F421" s="7"/>
    </row>
    <row r="422" spans="2:6" hidden="1" x14ac:dyDescent="0.25">
      <c r="B422" s="7"/>
      <c r="D422" s="7" t="s">
        <v>118</v>
      </c>
      <c r="F422" s="7"/>
    </row>
    <row r="423" spans="2:6" hidden="1" x14ac:dyDescent="0.25">
      <c r="B423" s="7"/>
      <c r="D423" s="7" t="s">
        <v>174</v>
      </c>
      <c r="F423" s="7"/>
    </row>
    <row r="424" spans="2:6" hidden="1" x14ac:dyDescent="0.25">
      <c r="B424" s="7"/>
      <c r="D424" s="7" t="s">
        <v>264</v>
      </c>
      <c r="F424" s="7"/>
    </row>
    <row r="425" spans="2:6" hidden="1" x14ac:dyDescent="0.25">
      <c r="B425" s="7"/>
      <c r="D425" s="7" t="s">
        <v>276</v>
      </c>
      <c r="F425" s="7"/>
    </row>
    <row r="426" spans="2:6" hidden="1" x14ac:dyDescent="0.25">
      <c r="B426" s="7"/>
      <c r="D426" s="215" t="s">
        <v>277</v>
      </c>
      <c r="F426" s="7"/>
    </row>
    <row r="427" spans="2:6" hidden="1" x14ac:dyDescent="0.25">
      <c r="B427" s="7"/>
      <c r="D427" s="215" t="s">
        <v>278</v>
      </c>
      <c r="F427" s="7"/>
    </row>
    <row r="428" spans="2:6" hidden="1" x14ac:dyDescent="0.25">
      <c r="B428" s="7"/>
      <c r="D428" s="215" t="s">
        <v>279</v>
      </c>
      <c r="F428" s="7"/>
    </row>
    <row r="429" spans="2:6" hidden="1" x14ac:dyDescent="0.25">
      <c r="B429" s="7"/>
      <c r="F429" s="7"/>
    </row>
    <row r="430" spans="2:6" hidden="1" x14ac:dyDescent="0.25">
      <c r="B430" s="7"/>
      <c r="F430" s="7"/>
    </row>
    <row r="431" spans="2:6" hidden="1" x14ac:dyDescent="0.25">
      <c r="B431" s="7"/>
      <c r="F431" s="7"/>
    </row>
    <row r="432" spans="2:6" hidden="1" x14ac:dyDescent="0.25">
      <c r="B432" s="7"/>
      <c r="F432" s="7"/>
    </row>
    <row r="433" spans="2:6" hidden="1" x14ac:dyDescent="0.25">
      <c r="B433" s="7"/>
      <c r="F433" s="7"/>
    </row>
    <row r="434" spans="2:6" hidden="1" x14ac:dyDescent="0.25">
      <c r="B434" s="7"/>
      <c r="F434" s="7"/>
    </row>
    <row r="435" spans="2:6" hidden="1" x14ac:dyDescent="0.25">
      <c r="B435" s="7"/>
      <c r="F435" s="7"/>
    </row>
    <row r="436" spans="2:6" hidden="1" x14ac:dyDescent="0.25">
      <c r="B436" s="7"/>
      <c r="F436" s="7"/>
    </row>
    <row r="437" spans="2:6" hidden="1" x14ac:dyDescent="0.25">
      <c r="B437" s="7"/>
      <c r="F437" s="7"/>
    </row>
    <row r="438" spans="2:6" hidden="1" x14ac:dyDescent="0.25">
      <c r="B438" s="7"/>
      <c r="F438" s="7"/>
    </row>
    <row r="439" spans="2:6" hidden="1" x14ac:dyDescent="0.25">
      <c r="B439" s="7"/>
      <c r="F439" s="7"/>
    </row>
    <row r="440" spans="2:6" hidden="1" x14ac:dyDescent="0.25">
      <c r="B440" s="7"/>
      <c r="F440" s="7"/>
    </row>
    <row r="441" spans="2:6" hidden="1" x14ac:dyDescent="0.25">
      <c r="B441" s="7"/>
      <c r="F441" s="7"/>
    </row>
    <row r="442" spans="2:6" hidden="1" x14ac:dyDescent="0.25">
      <c r="B442" s="7"/>
      <c r="F442" s="7"/>
    </row>
    <row r="443" spans="2:6" hidden="1" x14ac:dyDescent="0.25">
      <c r="B443" s="7"/>
      <c r="F443" s="7"/>
    </row>
    <row r="444" spans="2:6" hidden="1" x14ac:dyDescent="0.25">
      <c r="B444" s="7"/>
      <c r="F444" s="7"/>
    </row>
    <row r="445" spans="2:6" hidden="1" x14ac:dyDescent="0.25">
      <c r="B445" s="7"/>
      <c r="F445" s="7"/>
    </row>
    <row r="446" spans="2:6" hidden="1" x14ac:dyDescent="0.25">
      <c r="B446" s="7"/>
      <c r="F446" s="7"/>
    </row>
    <row r="447" spans="2:6" hidden="1" x14ac:dyDescent="0.25">
      <c r="B447" s="7"/>
      <c r="F447" s="7"/>
    </row>
    <row r="448" spans="2:6" hidden="1" x14ac:dyDescent="0.25">
      <c r="B448" s="7"/>
      <c r="F448" s="7"/>
    </row>
    <row r="449" spans="2:6" hidden="1" x14ac:dyDescent="0.25">
      <c r="B449" s="7"/>
      <c r="F449" s="7"/>
    </row>
    <row r="450" spans="2:6" hidden="1" x14ac:dyDescent="0.25">
      <c r="B450" s="7"/>
      <c r="F450" s="7"/>
    </row>
    <row r="451" spans="2:6" hidden="1" x14ac:dyDescent="0.25">
      <c r="B451" s="7"/>
      <c r="F451" s="7"/>
    </row>
    <row r="452" spans="2:6" hidden="1" x14ac:dyDescent="0.25">
      <c r="B452" s="7"/>
      <c r="F452" s="7"/>
    </row>
    <row r="453" spans="2:6" hidden="1" x14ac:dyDescent="0.25">
      <c r="B453" s="7"/>
      <c r="F453" s="7"/>
    </row>
    <row r="454" spans="2:6" hidden="1" x14ac:dyDescent="0.25">
      <c r="B454" s="7"/>
      <c r="F454" s="7"/>
    </row>
    <row r="455" spans="2:6" hidden="1" x14ac:dyDescent="0.25">
      <c r="B455" s="7"/>
      <c r="F455" s="7"/>
    </row>
    <row r="456" spans="2:6" hidden="1" x14ac:dyDescent="0.25">
      <c r="B456" s="7"/>
      <c r="F456" s="7"/>
    </row>
    <row r="457" spans="2:6" hidden="1" x14ac:dyDescent="0.25">
      <c r="B457" s="7"/>
      <c r="F457" s="7"/>
    </row>
    <row r="458" spans="2:6" hidden="1" x14ac:dyDescent="0.25">
      <c r="B458" s="7"/>
      <c r="F458" s="7"/>
    </row>
    <row r="459" spans="2:6" hidden="1" x14ac:dyDescent="0.25">
      <c r="B459" s="7"/>
      <c r="F459" s="7"/>
    </row>
    <row r="460" spans="2:6" hidden="1" x14ac:dyDescent="0.25">
      <c r="B460" s="7"/>
      <c r="F460" s="7"/>
    </row>
    <row r="461" spans="2:6" hidden="1" x14ac:dyDescent="0.25">
      <c r="B461" s="7"/>
      <c r="F461" s="7"/>
    </row>
    <row r="462" spans="2:6" hidden="1" x14ac:dyDescent="0.25">
      <c r="B462" s="7"/>
      <c r="F462" s="7"/>
    </row>
    <row r="463" spans="2:6" hidden="1" x14ac:dyDescent="0.25">
      <c r="B463" s="7"/>
      <c r="F463" s="7"/>
    </row>
    <row r="464" spans="2:6" hidden="1" x14ac:dyDescent="0.25">
      <c r="B464" s="7"/>
      <c r="F464" s="7"/>
    </row>
    <row r="465" spans="2:6" hidden="1" x14ac:dyDescent="0.25">
      <c r="B465" s="7"/>
      <c r="F465" s="7"/>
    </row>
    <row r="466" spans="2:6" hidden="1" x14ac:dyDescent="0.25">
      <c r="B466" s="7"/>
      <c r="F466" s="7"/>
    </row>
    <row r="467" spans="2:6" hidden="1" x14ac:dyDescent="0.25">
      <c r="B467" s="7"/>
      <c r="F467" s="7"/>
    </row>
    <row r="468" spans="2:6" hidden="1" x14ac:dyDescent="0.25">
      <c r="B468" s="7"/>
      <c r="F468" s="7"/>
    </row>
    <row r="469" spans="2:6" hidden="1" x14ac:dyDescent="0.25">
      <c r="B469" s="7"/>
      <c r="F469" s="7"/>
    </row>
    <row r="470" spans="2:6" hidden="1" x14ac:dyDescent="0.25">
      <c r="B470" s="7"/>
      <c r="F470" s="7"/>
    </row>
    <row r="471" spans="2:6" hidden="1" x14ac:dyDescent="0.25">
      <c r="B471" s="7"/>
      <c r="F471" s="7"/>
    </row>
    <row r="472" spans="2:6" hidden="1" x14ac:dyDescent="0.25">
      <c r="B472" s="7"/>
      <c r="F472" s="7"/>
    </row>
    <row r="473" spans="2:6" hidden="1" x14ac:dyDescent="0.25">
      <c r="B473" s="7"/>
      <c r="F473" s="7"/>
    </row>
    <row r="474" spans="2:6" hidden="1" x14ac:dyDescent="0.25">
      <c r="B474" s="7"/>
      <c r="F474" s="7"/>
    </row>
    <row r="475" spans="2:6" hidden="1" x14ac:dyDescent="0.25">
      <c r="B475" s="7"/>
      <c r="F475" s="7"/>
    </row>
    <row r="476" spans="2:6" hidden="1" x14ac:dyDescent="0.25">
      <c r="B476" s="7"/>
      <c r="F476" s="7"/>
    </row>
    <row r="477" spans="2:6" hidden="1" x14ac:dyDescent="0.25">
      <c r="B477" s="7"/>
      <c r="F477" s="7"/>
    </row>
    <row r="478" spans="2:6" hidden="1" x14ac:dyDescent="0.25">
      <c r="B478" s="7"/>
      <c r="F478" s="7"/>
    </row>
    <row r="479" spans="2:6" hidden="1" x14ac:dyDescent="0.25">
      <c r="B479" s="7"/>
      <c r="F479" s="7"/>
    </row>
    <row r="480" spans="2:6" hidden="1" x14ac:dyDescent="0.25">
      <c r="B480" s="7"/>
      <c r="F480" s="7"/>
    </row>
    <row r="481" spans="2:6" hidden="1" x14ac:dyDescent="0.25">
      <c r="B481" s="7"/>
      <c r="F481" s="7"/>
    </row>
    <row r="482" spans="2:6" hidden="1" x14ac:dyDescent="0.25">
      <c r="B482" s="7"/>
      <c r="F482" s="7"/>
    </row>
    <row r="483" spans="2:6" hidden="1" x14ac:dyDescent="0.25">
      <c r="B483" s="7"/>
      <c r="F483" s="7"/>
    </row>
    <row r="484" spans="2:6" hidden="1" x14ac:dyDescent="0.25">
      <c r="B484" s="7"/>
      <c r="F484" s="7"/>
    </row>
    <row r="485" spans="2:6" hidden="1" x14ac:dyDescent="0.25">
      <c r="B485" s="7"/>
      <c r="F485" s="7"/>
    </row>
    <row r="486" spans="2:6" hidden="1" x14ac:dyDescent="0.25">
      <c r="B486" s="7"/>
      <c r="F486" s="7"/>
    </row>
    <row r="487" spans="2:6" hidden="1" x14ac:dyDescent="0.25">
      <c r="B487" s="7"/>
      <c r="F487" s="7"/>
    </row>
    <row r="488" spans="2:6" hidden="1" x14ac:dyDescent="0.25">
      <c r="B488" s="7"/>
      <c r="F488" s="7"/>
    </row>
    <row r="489" spans="2:6" hidden="1" x14ac:dyDescent="0.25">
      <c r="B489" s="7"/>
      <c r="F489" s="7"/>
    </row>
    <row r="490" spans="2:6" hidden="1" x14ac:dyDescent="0.25">
      <c r="B490" s="7"/>
      <c r="F490" s="7"/>
    </row>
    <row r="491" spans="2:6" hidden="1" x14ac:dyDescent="0.25">
      <c r="B491" s="7"/>
      <c r="F491" s="7"/>
    </row>
    <row r="492" spans="2:6" hidden="1" x14ac:dyDescent="0.25">
      <c r="B492" s="7"/>
      <c r="F492" s="7"/>
    </row>
    <row r="493" spans="2:6" hidden="1" x14ac:dyDescent="0.25">
      <c r="B493" s="7"/>
      <c r="F493" s="7"/>
    </row>
    <row r="494" spans="2:6" hidden="1" x14ac:dyDescent="0.25">
      <c r="B494" s="7"/>
      <c r="F494" s="7"/>
    </row>
    <row r="495" spans="2:6" hidden="1" x14ac:dyDescent="0.25">
      <c r="B495" s="7"/>
      <c r="F495" s="7"/>
    </row>
    <row r="496" spans="2:6" hidden="1" x14ac:dyDescent="0.25">
      <c r="B496" s="7"/>
      <c r="F496" s="7"/>
    </row>
    <row r="497" spans="2:6" hidden="1" x14ac:dyDescent="0.25">
      <c r="B497" s="7"/>
      <c r="F497" s="7"/>
    </row>
    <row r="498" spans="2:6" hidden="1" x14ac:dyDescent="0.25">
      <c r="B498" s="7"/>
      <c r="F498" s="7"/>
    </row>
    <row r="499" spans="2:6" hidden="1" x14ac:dyDescent="0.25">
      <c r="B499" s="7"/>
      <c r="F499" s="7"/>
    </row>
    <row r="500" spans="2:6" hidden="1" x14ac:dyDescent="0.25">
      <c r="B500" s="7"/>
      <c r="F500" s="7"/>
    </row>
    <row r="501" spans="2:6" hidden="1" x14ac:dyDescent="0.25">
      <c r="B501" s="7"/>
      <c r="F501" s="7"/>
    </row>
    <row r="502" spans="2:6" hidden="1" x14ac:dyDescent="0.25">
      <c r="B502" s="7"/>
      <c r="F502" s="7"/>
    </row>
    <row r="503" spans="2:6" hidden="1" x14ac:dyDescent="0.25">
      <c r="B503" s="7"/>
      <c r="F503" s="7"/>
    </row>
    <row r="504" spans="2:6" hidden="1" x14ac:dyDescent="0.25">
      <c r="B504" s="7"/>
      <c r="F504" s="7"/>
    </row>
    <row r="505" spans="2:6" hidden="1" x14ac:dyDescent="0.25">
      <c r="B505" s="7"/>
      <c r="F505" s="7"/>
    </row>
    <row r="506" spans="2:6" hidden="1" x14ac:dyDescent="0.25">
      <c r="B506" s="7"/>
      <c r="F506" s="7"/>
    </row>
    <row r="507" spans="2:6" hidden="1" x14ac:dyDescent="0.25">
      <c r="B507" s="7"/>
      <c r="F507" s="7"/>
    </row>
    <row r="508" spans="2:6" hidden="1" x14ac:dyDescent="0.25">
      <c r="B508" s="7"/>
      <c r="F508" s="7"/>
    </row>
    <row r="509" spans="2:6" hidden="1" x14ac:dyDescent="0.25">
      <c r="B509" s="7"/>
      <c r="F509" s="7"/>
    </row>
    <row r="510" spans="2:6" hidden="1" x14ac:dyDescent="0.25">
      <c r="B510" s="7"/>
      <c r="F510" s="7"/>
    </row>
    <row r="511" spans="2:6" hidden="1" x14ac:dyDescent="0.25">
      <c r="B511" s="7"/>
      <c r="F511" s="7"/>
    </row>
    <row r="512" spans="2:6" hidden="1" x14ac:dyDescent="0.25">
      <c r="B512" s="7"/>
      <c r="F512" s="7"/>
    </row>
    <row r="513" spans="2:6" hidden="1" x14ac:dyDescent="0.25">
      <c r="B513" s="7"/>
      <c r="F513" s="7"/>
    </row>
    <row r="514" spans="2:6" hidden="1" x14ac:dyDescent="0.25">
      <c r="B514" s="7"/>
      <c r="F514" s="7"/>
    </row>
    <row r="515" spans="2:6" hidden="1" x14ac:dyDescent="0.25">
      <c r="B515" s="7"/>
      <c r="F515" s="7"/>
    </row>
    <row r="516" spans="2:6" hidden="1" x14ac:dyDescent="0.25">
      <c r="B516" s="7"/>
      <c r="F516" s="7"/>
    </row>
    <row r="517" spans="2:6" hidden="1" x14ac:dyDescent="0.25">
      <c r="B517" s="7"/>
      <c r="F517" s="7"/>
    </row>
    <row r="518" spans="2:6" hidden="1" x14ac:dyDescent="0.25">
      <c r="B518" s="7"/>
      <c r="F518" s="7"/>
    </row>
    <row r="519" spans="2:6" hidden="1" x14ac:dyDescent="0.25">
      <c r="B519" s="7"/>
      <c r="F519" s="7"/>
    </row>
    <row r="520" spans="2:6" hidden="1" x14ac:dyDescent="0.25">
      <c r="B520" s="7"/>
      <c r="F520" s="7"/>
    </row>
    <row r="521" spans="2:6" hidden="1" x14ac:dyDescent="0.25">
      <c r="B521" s="7"/>
      <c r="F521" s="7"/>
    </row>
    <row r="522" spans="2:6" hidden="1" x14ac:dyDescent="0.25">
      <c r="B522" s="7"/>
      <c r="F522" s="7"/>
    </row>
    <row r="523" spans="2:6" hidden="1" x14ac:dyDescent="0.25">
      <c r="B523" s="7"/>
      <c r="F523" s="7"/>
    </row>
    <row r="524" spans="2:6" hidden="1" x14ac:dyDescent="0.25">
      <c r="B524" s="7"/>
      <c r="F524" s="7"/>
    </row>
    <row r="525" spans="2:6" hidden="1" x14ac:dyDescent="0.25">
      <c r="B525" s="7"/>
      <c r="F525" s="7"/>
    </row>
    <row r="526" spans="2:6" hidden="1" x14ac:dyDescent="0.25">
      <c r="B526" s="7"/>
      <c r="F526" s="7"/>
    </row>
    <row r="527" spans="2:6" hidden="1" x14ac:dyDescent="0.25">
      <c r="B527" s="7"/>
      <c r="F527" s="7"/>
    </row>
    <row r="528" spans="2:6" hidden="1" x14ac:dyDescent="0.25">
      <c r="B528" s="7"/>
      <c r="F528" s="7"/>
    </row>
    <row r="529" spans="2:6" hidden="1" x14ac:dyDescent="0.25">
      <c r="B529" s="7"/>
      <c r="F529" s="7"/>
    </row>
    <row r="530" spans="2:6" hidden="1" x14ac:dyDescent="0.25">
      <c r="B530" s="7"/>
      <c r="F530" s="7"/>
    </row>
    <row r="531" spans="2:6" hidden="1" x14ac:dyDescent="0.25">
      <c r="B531" s="7"/>
      <c r="F531" s="7"/>
    </row>
    <row r="532" spans="2:6" hidden="1" x14ac:dyDescent="0.25">
      <c r="B532" s="7"/>
      <c r="F532" s="7"/>
    </row>
    <row r="533" spans="2:6" hidden="1" x14ac:dyDescent="0.25">
      <c r="B533" s="7"/>
      <c r="F533" s="7"/>
    </row>
    <row r="534" spans="2:6" hidden="1" x14ac:dyDescent="0.25">
      <c r="B534" s="7"/>
      <c r="F534" s="7"/>
    </row>
    <row r="535" spans="2:6" hidden="1" x14ac:dyDescent="0.25">
      <c r="B535" s="7"/>
      <c r="F535" s="7"/>
    </row>
    <row r="536" spans="2:6" hidden="1" x14ac:dyDescent="0.25">
      <c r="B536" s="7"/>
      <c r="F536" s="7"/>
    </row>
    <row r="537" spans="2:6" hidden="1" x14ac:dyDescent="0.25">
      <c r="B537" s="7"/>
      <c r="F537" s="7"/>
    </row>
    <row r="538" spans="2:6" hidden="1" x14ac:dyDescent="0.25">
      <c r="B538" s="7"/>
      <c r="F538" s="7"/>
    </row>
    <row r="539" spans="2:6" hidden="1" x14ac:dyDescent="0.25">
      <c r="B539" s="7"/>
      <c r="F539" s="7"/>
    </row>
    <row r="540" spans="2:6" hidden="1" x14ac:dyDescent="0.25">
      <c r="B540" s="7"/>
      <c r="F540" s="7"/>
    </row>
    <row r="541" spans="2:6" hidden="1" x14ac:dyDescent="0.25">
      <c r="B541" s="7"/>
      <c r="F541" s="7"/>
    </row>
    <row r="542" spans="2:6" hidden="1" x14ac:dyDescent="0.25">
      <c r="B542" s="7"/>
      <c r="F542" s="7"/>
    </row>
    <row r="543" spans="2:6" hidden="1" x14ac:dyDescent="0.25">
      <c r="B543" s="7"/>
      <c r="F543" s="7"/>
    </row>
    <row r="544" spans="2:6" hidden="1" x14ac:dyDescent="0.25">
      <c r="B544" s="7"/>
      <c r="F544" s="7"/>
    </row>
    <row r="545" spans="2:6" hidden="1" x14ac:dyDescent="0.25">
      <c r="B545" s="7"/>
      <c r="F545" s="7"/>
    </row>
    <row r="546" spans="2:6" hidden="1" x14ac:dyDescent="0.25">
      <c r="B546" s="7"/>
      <c r="F546" s="7"/>
    </row>
    <row r="547" spans="2:6" hidden="1" x14ac:dyDescent="0.25">
      <c r="B547" s="7"/>
      <c r="F547" s="7"/>
    </row>
    <row r="548" spans="2:6" hidden="1" x14ac:dyDescent="0.25">
      <c r="B548" s="7"/>
      <c r="F548" s="7"/>
    </row>
    <row r="549" spans="2:6" hidden="1" x14ac:dyDescent="0.25">
      <c r="B549" s="7"/>
      <c r="F549" s="7"/>
    </row>
    <row r="550" spans="2:6" hidden="1" x14ac:dyDescent="0.25">
      <c r="B550" s="7"/>
      <c r="F550" s="7"/>
    </row>
    <row r="551" spans="2:6" hidden="1" x14ac:dyDescent="0.25">
      <c r="B551" s="7"/>
      <c r="F551" s="7"/>
    </row>
    <row r="552" spans="2:6" hidden="1" x14ac:dyDescent="0.25">
      <c r="B552" s="7"/>
      <c r="F552" s="7"/>
    </row>
    <row r="553" spans="2:6" hidden="1" x14ac:dyDescent="0.25">
      <c r="B553" s="7"/>
      <c r="F553" s="7"/>
    </row>
    <row r="554" spans="2:6" hidden="1" x14ac:dyDescent="0.25">
      <c r="B554" s="7"/>
      <c r="F554" s="7"/>
    </row>
    <row r="555" spans="2:6" hidden="1" x14ac:dyDescent="0.25">
      <c r="B555" s="7"/>
      <c r="F555" s="7"/>
    </row>
    <row r="556" spans="2:6" hidden="1" x14ac:dyDescent="0.25">
      <c r="B556" s="7"/>
      <c r="F556" s="7"/>
    </row>
    <row r="557" spans="2:6" hidden="1" x14ac:dyDescent="0.25">
      <c r="B557" s="7"/>
      <c r="F557" s="7"/>
    </row>
    <row r="558" spans="2:6" hidden="1" x14ac:dyDescent="0.25">
      <c r="B558" s="7"/>
      <c r="F558" s="7"/>
    </row>
    <row r="559" spans="2:6" hidden="1" x14ac:dyDescent="0.25">
      <c r="B559" s="7"/>
      <c r="F559" s="7"/>
    </row>
    <row r="560" spans="2:6" hidden="1" x14ac:dyDescent="0.25">
      <c r="B560" s="7"/>
      <c r="F560" s="7"/>
    </row>
    <row r="561" spans="2:6" hidden="1" x14ac:dyDescent="0.25">
      <c r="B561" s="7"/>
      <c r="F561" s="7"/>
    </row>
    <row r="562" spans="2:6" hidden="1" x14ac:dyDescent="0.25">
      <c r="B562" s="7"/>
      <c r="F562" s="7"/>
    </row>
    <row r="563" spans="2:6" hidden="1" x14ac:dyDescent="0.25">
      <c r="B563" s="7"/>
      <c r="F563" s="7"/>
    </row>
    <row r="564" spans="2:6" hidden="1" x14ac:dyDescent="0.25">
      <c r="B564" s="7"/>
      <c r="F564" s="7"/>
    </row>
    <row r="565" spans="2:6" hidden="1" x14ac:dyDescent="0.25">
      <c r="B565" s="7"/>
      <c r="F565" s="7"/>
    </row>
    <row r="566" spans="2:6" hidden="1" x14ac:dyDescent="0.25">
      <c r="B566" s="7"/>
      <c r="F566" s="7"/>
    </row>
    <row r="567" spans="2:6" hidden="1" x14ac:dyDescent="0.25">
      <c r="B567" s="7"/>
      <c r="F567" s="7"/>
    </row>
    <row r="568" spans="2:6" hidden="1" x14ac:dyDescent="0.25">
      <c r="B568" s="7"/>
      <c r="F568" s="7"/>
    </row>
    <row r="569" spans="2:6" hidden="1" x14ac:dyDescent="0.25">
      <c r="B569" s="7"/>
      <c r="F569" s="7"/>
    </row>
    <row r="570" spans="2:6" hidden="1" x14ac:dyDescent="0.25">
      <c r="B570" s="7"/>
      <c r="F570" s="7"/>
    </row>
    <row r="571" spans="2:6" hidden="1" x14ac:dyDescent="0.25">
      <c r="B571" s="7"/>
      <c r="F571" s="7"/>
    </row>
    <row r="572" spans="2:6" hidden="1" x14ac:dyDescent="0.25">
      <c r="B572" s="7"/>
      <c r="F572" s="7"/>
    </row>
    <row r="573" spans="2:6" hidden="1" x14ac:dyDescent="0.25">
      <c r="B573" s="7"/>
      <c r="F573" s="7"/>
    </row>
    <row r="574" spans="2:6" hidden="1" x14ac:dyDescent="0.25">
      <c r="B574" s="7"/>
      <c r="F574" s="7"/>
    </row>
    <row r="575" spans="2:6" hidden="1" x14ac:dyDescent="0.25">
      <c r="B575" s="7"/>
      <c r="F575" s="7"/>
    </row>
    <row r="576" spans="2:6" hidden="1" x14ac:dyDescent="0.25">
      <c r="B576" s="7"/>
      <c r="F576" s="7"/>
    </row>
    <row r="577" spans="2:6" hidden="1" x14ac:dyDescent="0.25">
      <c r="B577" s="7"/>
      <c r="F577" s="7"/>
    </row>
    <row r="578" spans="2:6" hidden="1" x14ac:dyDescent="0.25">
      <c r="B578" s="7"/>
      <c r="F578" s="7"/>
    </row>
    <row r="579" spans="2:6" hidden="1" x14ac:dyDescent="0.25">
      <c r="B579" s="7"/>
      <c r="F579" s="7"/>
    </row>
    <row r="580" spans="2:6" hidden="1" x14ac:dyDescent="0.25">
      <c r="B580" s="7"/>
      <c r="F580" s="7"/>
    </row>
    <row r="581" spans="2:6" hidden="1" x14ac:dyDescent="0.25">
      <c r="B581" s="7"/>
      <c r="F581" s="7"/>
    </row>
    <row r="582" spans="2:6" hidden="1" x14ac:dyDescent="0.25">
      <c r="B582" s="7"/>
      <c r="F582" s="7"/>
    </row>
    <row r="583" spans="2:6" hidden="1" x14ac:dyDescent="0.25">
      <c r="B583" s="7"/>
      <c r="F583" s="7"/>
    </row>
    <row r="584" spans="2:6" hidden="1" x14ac:dyDescent="0.25">
      <c r="B584" s="7"/>
      <c r="F584" s="7"/>
    </row>
    <row r="585" spans="2:6" hidden="1" x14ac:dyDescent="0.25">
      <c r="B585" s="7"/>
      <c r="F585" s="7"/>
    </row>
    <row r="586" spans="2:6" hidden="1" x14ac:dyDescent="0.25">
      <c r="B586" s="7"/>
      <c r="F586" s="7"/>
    </row>
    <row r="587" spans="2:6" hidden="1" x14ac:dyDescent="0.25">
      <c r="B587" s="7"/>
      <c r="F587" s="7"/>
    </row>
    <row r="588" spans="2:6" hidden="1" x14ac:dyDescent="0.25">
      <c r="B588" s="7"/>
      <c r="F588" s="7"/>
    </row>
    <row r="589" spans="2:6" hidden="1" x14ac:dyDescent="0.25">
      <c r="B589" s="7"/>
      <c r="F589" s="7"/>
    </row>
    <row r="590" spans="2:6" hidden="1" x14ac:dyDescent="0.25">
      <c r="B590" s="7"/>
      <c r="F590" s="7"/>
    </row>
    <row r="591" spans="2:6" hidden="1" x14ac:dyDescent="0.25">
      <c r="B591" s="7"/>
      <c r="F591" s="7"/>
    </row>
    <row r="592" spans="2:6" hidden="1" x14ac:dyDescent="0.25">
      <c r="B592" s="7"/>
      <c r="F592" s="7"/>
    </row>
    <row r="593" spans="2:6" hidden="1" x14ac:dyDescent="0.25">
      <c r="B593" s="7"/>
      <c r="F593" s="7"/>
    </row>
    <row r="594" spans="2:6" hidden="1" x14ac:dyDescent="0.25">
      <c r="B594" s="7"/>
      <c r="F594" s="7"/>
    </row>
    <row r="595" spans="2:6" hidden="1" x14ac:dyDescent="0.25">
      <c r="B595" s="7"/>
      <c r="F595" s="7"/>
    </row>
    <row r="596" spans="2:6" hidden="1" x14ac:dyDescent="0.25">
      <c r="B596" s="7"/>
      <c r="F596" s="7"/>
    </row>
    <row r="597" spans="2:6" hidden="1" x14ac:dyDescent="0.25">
      <c r="B597" s="7"/>
      <c r="F597" s="7"/>
    </row>
    <row r="598" spans="2:6" hidden="1" x14ac:dyDescent="0.25">
      <c r="B598" s="7"/>
      <c r="F598" s="7"/>
    </row>
    <row r="599" spans="2:6" hidden="1" x14ac:dyDescent="0.25">
      <c r="B599" s="7"/>
      <c r="F599" s="7"/>
    </row>
    <row r="600" spans="2:6" hidden="1" x14ac:dyDescent="0.25">
      <c r="B600" s="7"/>
      <c r="F600" s="7"/>
    </row>
    <row r="601" spans="2:6" hidden="1" x14ac:dyDescent="0.25">
      <c r="B601" s="7"/>
      <c r="F601" s="7"/>
    </row>
    <row r="602" spans="2:6" hidden="1" x14ac:dyDescent="0.25">
      <c r="B602" s="7"/>
      <c r="F602" s="7"/>
    </row>
    <row r="603" spans="2:6" hidden="1" x14ac:dyDescent="0.25">
      <c r="B603" s="7"/>
      <c r="F603" s="7"/>
    </row>
    <row r="604" spans="2:6" hidden="1" x14ac:dyDescent="0.25">
      <c r="B604" s="7"/>
      <c r="F604" s="7"/>
    </row>
    <row r="605" spans="2:6" hidden="1" x14ac:dyDescent="0.25">
      <c r="B605" s="7"/>
      <c r="F605" s="7"/>
    </row>
    <row r="606" spans="2:6" hidden="1" x14ac:dyDescent="0.25">
      <c r="B606" s="7"/>
      <c r="F606" s="7"/>
    </row>
    <row r="607" spans="2:6" hidden="1" x14ac:dyDescent="0.25">
      <c r="B607" s="7"/>
      <c r="F607" s="7"/>
    </row>
    <row r="608" spans="2:6" hidden="1" x14ac:dyDescent="0.25">
      <c r="B608" s="7"/>
      <c r="F608" s="7"/>
    </row>
    <row r="609" spans="2:6" hidden="1" x14ac:dyDescent="0.25">
      <c r="B609" s="7"/>
      <c r="F609" s="7"/>
    </row>
    <row r="610" spans="2:6" hidden="1" x14ac:dyDescent="0.25">
      <c r="B610" s="7"/>
      <c r="F610" s="7"/>
    </row>
    <row r="611" spans="2:6" hidden="1" x14ac:dyDescent="0.25">
      <c r="B611" s="7"/>
      <c r="F611" s="7"/>
    </row>
    <row r="612" spans="2:6" hidden="1" x14ac:dyDescent="0.25">
      <c r="B612" s="7"/>
      <c r="F612" s="7"/>
    </row>
    <row r="613" spans="2:6" hidden="1" x14ac:dyDescent="0.25">
      <c r="B613" s="7"/>
      <c r="F613" s="7"/>
    </row>
    <row r="614" spans="2:6" hidden="1" x14ac:dyDescent="0.25">
      <c r="B614" s="7"/>
      <c r="F614" s="7"/>
    </row>
    <row r="615" spans="2:6" hidden="1" x14ac:dyDescent="0.25">
      <c r="B615" s="7"/>
      <c r="F615" s="7"/>
    </row>
    <row r="616" spans="2:6" hidden="1" x14ac:dyDescent="0.25">
      <c r="B616" s="7"/>
      <c r="F616" s="7"/>
    </row>
    <row r="617" spans="2:6" hidden="1" x14ac:dyDescent="0.25">
      <c r="B617" s="7"/>
      <c r="F617" s="7"/>
    </row>
    <row r="618" spans="2:6" hidden="1" x14ac:dyDescent="0.25">
      <c r="B618" s="7"/>
      <c r="F618" s="7"/>
    </row>
    <row r="619" spans="2:6" hidden="1" x14ac:dyDescent="0.25">
      <c r="B619" s="7"/>
      <c r="F619" s="7"/>
    </row>
    <row r="620" spans="2:6" hidden="1" x14ac:dyDescent="0.25">
      <c r="B620" s="7"/>
      <c r="F620" s="7"/>
    </row>
    <row r="621" spans="2:6" hidden="1" x14ac:dyDescent="0.25">
      <c r="B621" s="7"/>
      <c r="F621" s="7"/>
    </row>
    <row r="622" spans="2:6" hidden="1" x14ac:dyDescent="0.25">
      <c r="B622" s="7"/>
      <c r="F622" s="7"/>
    </row>
    <row r="623" spans="2:6" hidden="1" x14ac:dyDescent="0.25">
      <c r="B623" s="7"/>
      <c r="F623" s="7"/>
    </row>
    <row r="624" spans="2:6" hidden="1" x14ac:dyDescent="0.25">
      <c r="B624" s="7"/>
      <c r="F624" s="7"/>
    </row>
    <row r="625" spans="2:6" hidden="1" x14ac:dyDescent="0.25">
      <c r="B625" s="7"/>
      <c r="F625" s="7"/>
    </row>
    <row r="626" spans="2:6" hidden="1" x14ac:dyDescent="0.25">
      <c r="B626" s="7"/>
      <c r="F626" s="7"/>
    </row>
    <row r="627" spans="2:6" hidden="1" x14ac:dyDescent="0.25">
      <c r="B627" s="7"/>
      <c r="F627" s="7"/>
    </row>
    <row r="628" spans="2:6" hidden="1" x14ac:dyDescent="0.25">
      <c r="B628" s="7"/>
      <c r="F628" s="7"/>
    </row>
    <row r="629" spans="2:6" hidden="1" x14ac:dyDescent="0.25">
      <c r="B629" s="7"/>
      <c r="F629" s="7"/>
    </row>
    <row r="630" spans="2:6" hidden="1" x14ac:dyDescent="0.25">
      <c r="B630" s="7"/>
      <c r="F630" s="7"/>
    </row>
    <row r="631" spans="2:6" hidden="1" x14ac:dyDescent="0.25">
      <c r="B631" s="7"/>
      <c r="F631" s="7"/>
    </row>
    <row r="632" spans="2:6" hidden="1" x14ac:dyDescent="0.25">
      <c r="B632" s="7"/>
      <c r="F632" s="7"/>
    </row>
    <row r="633" spans="2:6" hidden="1" x14ac:dyDescent="0.25">
      <c r="B633" s="7"/>
      <c r="F633" s="7"/>
    </row>
    <row r="634" spans="2:6" hidden="1" x14ac:dyDescent="0.25">
      <c r="B634" s="7"/>
      <c r="F634" s="7"/>
    </row>
    <row r="635" spans="2:6" hidden="1" x14ac:dyDescent="0.25">
      <c r="B635" s="7"/>
      <c r="F635" s="7"/>
    </row>
    <row r="636" spans="2:6" hidden="1" x14ac:dyDescent="0.25">
      <c r="B636" s="7"/>
      <c r="F636" s="7"/>
    </row>
    <row r="637" spans="2:6" hidden="1" x14ac:dyDescent="0.25">
      <c r="B637" s="7"/>
      <c r="F637" s="7"/>
    </row>
    <row r="638" spans="2:6" hidden="1" x14ac:dyDescent="0.25">
      <c r="B638" s="7"/>
      <c r="F638" s="7"/>
    </row>
    <row r="639" spans="2:6" hidden="1" x14ac:dyDescent="0.25">
      <c r="B639" s="7"/>
      <c r="F639" s="7"/>
    </row>
    <row r="640" spans="2:6" hidden="1" x14ac:dyDescent="0.25">
      <c r="B640" s="7"/>
      <c r="F640" s="7"/>
    </row>
    <row r="641" spans="2:6" hidden="1" x14ac:dyDescent="0.25">
      <c r="B641" s="7"/>
      <c r="F641" s="7"/>
    </row>
    <row r="642" spans="2:6" hidden="1" x14ac:dyDescent="0.25">
      <c r="B642" s="7"/>
      <c r="F642" s="7"/>
    </row>
    <row r="643" spans="2:6" hidden="1" x14ac:dyDescent="0.25">
      <c r="B643" s="7"/>
      <c r="F643" s="7"/>
    </row>
    <row r="644" spans="2:6" hidden="1" x14ac:dyDescent="0.25">
      <c r="B644" s="7"/>
      <c r="F644" s="7"/>
    </row>
    <row r="645" spans="2:6" hidden="1" x14ac:dyDescent="0.25">
      <c r="B645" s="7"/>
      <c r="F645" s="7"/>
    </row>
    <row r="646" spans="2:6" hidden="1" x14ac:dyDescent="0.25">
      <c r="B646" s="7"/>
      <c r="F646" s="7"/>
    </row>
    <row r="647" spans="2:6" hidden="1" x14ac:dyDescent="0.25">
      <c r="B647" s="7"/>
      <c r="F647" s="7"/>
    </row>
    <row r="648" spans="2:6" hidden="1" x14ac:dyDescent="0.25">
      <c r="B648" s="7"/>
      <c r="F648" s="7"/>
    </row>
    <row r="649" spans="2:6" hidden="1" x14ac:dyDescent="0.25">
      <c r="B649" s="7"/>
      <c r="F649" s="7"/>
    </row>
    <row r="650" spans="2:6" hidden="1" x14ac:dyDescent="0.25">
      <c r="B650" s="7"/>
      <c r="F650" s="7"/>
    </row>
    <row r="651" spans="2:6" hidden="1" x14ac:dyDescent="0.25">
      <c r="B651" s="7"/>
      <c r="F651" s="7"/>
    </row>
    <row r="652" spans="2:6" hidden="1" x14ac:dyDescent="0.25">
      <c r="B652" s="7"/>
      <c r="F652" s="7"/>
    </row>
    <row r="653" spans="2:6" hidden="1" x14ac:dyDescent="0.25">
      <c r="B653" s="7"/>
      <c r="F653" s="7"/>
    </row>
    <row r="654" spans="2:6" hidden="1" x14ac:dyDescent="0.25">
      <c r="B654" s="7"/>
      <c r="F654" s="7"/>
    </row>
    <row r="655" spans="2:6" hidden="1" x14ac:dyDescent="0.25">
      <c r="B655" s="7"/>
      <c r="F655" s="7"/>
    </row>
    <row r="656" spans="2:6" hidden="1" x14ac:dyDescent="0.25">
      <c r="B656" s="7"/>
      <c r="F656" s="7"/>
    </row>
    <row r="657" spans="2:6" x14ac:dyDescent="0.25">
      <c r="B657" s="7"/>
      <c r="F657" s="7"/>
    </row>
    <row r="658" spans="2:6" x14ac:dyDescent="0.25">
      <c r="B658" s="7"/>
      <c r="F658" s="7"/>
    </row>
    <row r="659" spans="2:6" x14ac:dyDescent="0.25">
      <c r="B659" s="7"/>
      <c r="F659" s="7"/>
    </row>
    <row r="660" spans="2:6" x14ac:dyDescent="0.25">
      <c r="B660" s="7"/>
      <c r="F660" s="7"/>
    </row>
    <row r="661" spans="2:6" x14ac:dyDescent="0.25">
      <c r="B661" s="7"/>
      <c r="F661" s="7"/>
    </row>
    <row r="662" spans="2:6" x14ac:dyDescent="0.25">
      <c r="B662" s="7"/>
      <c r="F662" s="7"/>
    </row>
    <row r="663" spans="2:6" x14ac:dyDescent="0.25">
      <c r="B663" s="7"/>
      <c r="F663" s="7"/>
    </row>
    <row r="664" spans="2:6" x14ac:dyDescent="0.25">
      <c r="B664" s="7"/>
      <c r="F664" s="7"/>
    </row>
    <row r="665" spans="2:6" x14ac:dyDescent="0.25">
      <c r="B665" s="7"/>
      <c r="F665" s="7"/>
    </row>
    <row r="666" spans="2:6" x14ac:dyDescent="0.25">
      <c r="B666" s="7"/>
      <c r="F666" s="7"/>
    </row>
    <row r="667" spans="2:6" x14ac:dyDescent="0.25">
      <c r="B667" s="7"/>
      <c r="F667" s="7"/>
    </row>
    <row r="668" spans="2:6" x14ac:dyDescent="0.25">
      <c r="B668" s="7"/>
      <c r="F668" s="7"/>
    </row>
    <row r="669" spans="2:6" x14ac:dyDescent="0.25">
      <c r="B669" s="7"/>
      <c r="F669" s="7"/>
    </row>
    <row r="670" spans="2:6" x14ac:dyDescent="0.25">
      <c r="B670" s="7"/>
      <c r="F670" s="7"/>
    </row>
    <row r="671" spans="2:6" x14ac:dyDescent="0.25">
      <c r="B671" s="7"/>
      <c r="F671" s="7"/>
    </row>
    <row r="672" spans="2:6" x14ac:dyDescent="0.25">
      <c r="B672" s="7"/>
      <c r="F672" s="7"/>
    </row>
    <row r="673" spans="2:6" x14ac:dyDescent="0.25">
      <c r="B673" s="7"/>
      <c r="F673" s="7"/>
    </row>
    <row r="674" spans="2:6" x14ac:dyDescent="0.25">
      <c r="B674" s="7"/>
      <c r="F674" s="7"/>
    </row>
    <row r="675" spans="2:6" x14ac:dyDescent="0.25">
      <c r="B675" s="7"/>
      <c r="F675" s="7"/>
    </row>
    <row r="676" spans="2:6" x14ac:dyDescent="0.25">
      <c r="B676" s="7"/>
      <c r="F676" s="7"/>
    </row>
    <row r="677" spans="2:6" x14ac:dyDescent="0.25">
      <c r="B677" s="7"/>
      <c r="F677" s="7"/>
    </row>
    <row r="678" spans="2:6" x14ac:dyDescent="0.25">
      <c r="B678" s="7"/>
      <c r="F678" s="7"/>
    </row>
    <row r="679" spans="2:6" x14ac:dyDescent="0.25">
      <c r="B679" s="7"/>
      <c r="F679" s="7"/>
    </row>
    <row r="680" spans="2:6" x14ac:dyDescent="0.25">
      <c r="B680" s="7"/>
      <c r="F680" s="7"/>
    </row>
    <row r="681" spans="2:6" x14ac:dyDescent="0.25">
      <c r="B681" s="7"/>
      <c r="F681" s="7"/>
    </row>
    <row r="682" spans="2:6" x14ac:dyDescent="0.25">
      <c r="B682" s="7"/>
      <c r="F682" s="7"/>
    </row>
    <row r="683" spans="2:6" x14ac:dyDescent="0.25">
      <c r="B683" s="7"/>
      <c r="F683" s="7"/>
    </row>
    <row r="684" spans="2:6" x14ac:dyDescent="0.25">
      <c r="B684" s="7"/>
      <c r="F684" s="7"/>
    </row>
    <row r="685" spans="2:6" x14ac:dyDescent="0.25">
      <c r="B685" s="7"/>
      <c r="F685" s="7"/>
    </row>
    <row r="686" spans="2:6" x14ac:dyDescent="0.25">
      <c r="B686" s="7"/>
      <c r="F686" s="7"/>
    </row>
    <row r="687" spans="2:6" x14ac:dyDescent="0.25">
      <c r="B687" s="7"/>
      <c r="F687" s="7"/>
    </row>
    <row r="688" spans="2:6" x14ac:dyDescent="0.25">
      <c r="B688" s="7"/>
      <c r="F688" s="7"/>
    </row>
    <row r="689" spans="2:6" x14ac:dyDescent="0.25">
      <c r="B689" s="7"/>
      <c r="F689" s="7"/>
    </row>
    <row r="690" spans="2:6" x14ac:dyDescent="0.25">
      <c r="B690" s="7"/>
      <c r="F690" s="7"/>
    </row>
    <row r="691" spans="2:6" x14ac:dyDescent="0.25">
      <c r="B691" s="7"/>
      <c r="F691" s="7"/>
    </row>
    <row r="692" spans="2:6" x14ac:dyDescent="0.25">
      <c r="B692" s="7"/>
      <c r="F692" s="7"/>
    </row>
    <row r="693" spans="2:6" x14ac:dyDescent="0.25">
      <c r="B693" s="7"/>
      <c r="F693" s="7"/>
    </row>
    <row r="694" spans="2:6" x14ac:dyDescent="0.25">
      <c r="B694" s="7"/>
      <c r="F694" s="7"/>
    </row>
    <row r="695" spans="2:6" x14ac:dyDescent="0.25">
      <c r="B695" s="7"/>
      <c r="F695" s="7"/>
    </row>
    <row r="696" spans="2:6" x14ac:dyDescent="0.25">
      <c r="B696" s="7"/>
      <c r="F696" s="7"/>
    </row>
    <row r="697" spans="2:6" x14ac:dyDescent="0.25">
      <c r="B697" s="7"/>
      <c r="F697" s="7"/>
    </row>
    <row r="698" spans="2:6" x14ac:dyDescent="0.25">
      <c r="B698" s="7"/>
      <c r="F698" s="7"/>
    </row>
    <row r="699" spans="2:6" x14ac:dyDescent="0.25">
      <c r="B699" s="7"/>
      <c r="F699" s="7"/>
    </row>
    <row r="700" spans="2:6" x14ac:dyDescent="0.25">
      <c r="B700" s="7"/>
      <c r="F700" s="7"/>
    </row>
    <row r="701" spans="2:6" x14ac:dyDescent="0.25">
      <c r="B701" s="7"/>
      <c r="F701" s="7"/>
    </row>
    <row r="702" spans="2:6" x14ac:dyDescent="0.25">
      <c r="B702" s="7"/>
      <c r="F702" s="7"/>
    </row>
    <row r="703" spans="2:6" x14ac:dyDescent="0.25">
      <c r="B703" s="7"/>
      <c r="F703" s="7"/>
    </row>
    <row r="704" spans="2:6" x14ac:dyDescent="0.25">
      <c r="B704" s="7"/>
      <c r="F704" s="7"/>
    </row>
    <row r="705" spans="2:6" x14ac:dyDescent="0.25">
      <c r="B705" s="7"/>
      <c r="F705" s="7"/>
    </row>
    <row r="706" spans="2:6" x14ac:dyDescent="0.25">
      <c r="B706" s="7"/>
      <c r="F706" s="7"/>
    </row>
    <row r="707" spans="2:6" x14ac:dyDescent="0.25">
      <c r="B707" s="7"/>
      <c r="F707" s="7"/>
    </row>
    <row r="708" spans="2:6" x14ac:dyDescent="0.25">
      <c r="B708" s="7"/>
      <c r="F708" s="7"/>
    </row>
    <row r="709" spans="2:6" x14ac:dyDescent="0.25">
      <c r="B709" s="7"/>
      <c r="F709" s="7"/>
    </row>
    <row r="710" spans="2:6" x14ac:dyDescent="0.25">
      <c r="B710" s="7"/>
      <c r="F710" s="7"/>
    </row>
    <row r="711" spans="2:6" x14ac:dyDescent="0.25">
      <c r="B711" s="7"/>
      <c r="F711" s="7"/>
    </row>
    <row r="712" spans="2:6" x14ac:dyDescent="0.25">
      <c r="B712" s="7"/>
      <c r="F712" s="7"/>
    </row>
    <row r="713" spans="2:6" x14ac:dyDescent="0.25">
      <c r="B713" s="7"/>
      <c r="F713" s="7"/>
    </row>
    <row r="714" spans="2:6" x14ac:dyDescent="0.25">
      <c r="B714" s="7"/>
      <c r="F714" s="7"/>
    </row>
    <row r="715" spans="2:6" x14ac:dyDescent="0.25">
      <c r="B715" s="7"/>
      <c r="F715" s="7"/>
    </row>
    <row r="716" spans="2:6" x14ac:dyDescent="0.25">
      <c r="B716" s="7"/>
      <c r="F716" s="7"/>
    </row>
    <row r="717" spans="2:6" x14ac:dyDescent="0.25">
      <c r="B717" s="7"/>
      <c r="F717" s="7"/>
    </row>
    <row r="718" spans="2:6" x14ac:dyDescent="0.25">
      <c r="B718" s="7"/>
      <c r="F718" s="7"/>
    </row>
    <row r="719" spans="2:6" x14ac:dyDescent="0.25">
      <c r="B719" s="7"/>
      <c r="F719" s="7"/>
    </row>
    <row r="720" spans="2:6" x14ac:dyDescent="0.25">
      <c r="B720" s="7"/>
      <c r="F720" s="7"/>
    </row>
    <row r="721" spans="2:6" x14ac:dyDescent="0.25">
      <c r="B721" s="7"/>
      <c r="F721" s="7"/>
    </row>
    <row r="722" spans="2:6" x14ac:dyDescent="0.25">
      <c r="B722" s="7"/>
      <c r="F722" s="7"/>
    </row>
    <row r="723" spans="2:6" x14ac:dyDescent="0.25">
      <c r="B723" s="7"/>
      <c r="F723" s="7"/>
    </row>
    <row r="724" spans="2:6" x14ac:dyDescent="0.25">
      <c r="B724" s="7"/>
      <c r="F724" s="7"/>
    </row>
    <row r="725" spans="2:6" x14ac:dyDescent="0.25">
      <c r="B725" s="7"/>
      <c r="F725" s="7"/>
    </row>
    <row r="726" spans="2:6" x14ac:dyDescent="0.25">
      <c r="B726" s="7"/>
      <c r="F726" s="7"/>
    </row>
    <row r="727" spans="2:6" x14ac:dyDescent="0.25">
      <c r="B727" s="7"/>
      <c r="F727" s="7"/>
    </row>
    <row r="728" spans="2:6" x14ac:dyDescent="0.25">
      <c r="B728" s="7"/>
      <c r="F728" s="7"/>
    </row>
    <row r="729" spans="2:6" x14ac:dyDescent="0.25">
      <c r="B729" s="7"/>
      <c r="F729" s="7"/>
    </row>
    <row r="730" spans="2:6" x14ac:dyDescent="0.25">
      <c r="B730" s="7"/>
      <c r="F730" s="7"/>
    </row>
    <row r="731" spans="2:6" x14ac:dyDescent="0.25">
      <c r="B731" s="7"/>
      <c r="F731" s="7"/>
    </row>
    <row r="732" spans="2:6" x14ac:dyDescent="0.25">
      <c r="B732" s="7"/>
      <c r="F732" s="7"/>
    </row>
  </sheetData>
  <sheetProtection algorithmName="SHA-512" hashValue="1ttVLxVpBRcfrP9KBTSfib8Hjc1RGjECQrlEmjdiIv5123/WBIUDuFV+5QsokPIaub6jnYyij9WueuAjnhUqRA==" saltValue="H9i+wczKpT64gBtFoBYRTA==" spinCount="100000" sheet="1" formatCells="0" formatColumns="0" formatRows="0" insertColumns="0" insertRows="0" deleteColumns="0" deleteRows="0" sort="0" autoFilter="0" pivotTables="0"/>
  <protectedRanges>
    <protectedRange algorithmName="SHA-512" hashValue="ZX5TpmEMscFYlx5vog2MyZ4xTDjcA2np7gGtG4M7cDZ9TdMlQuQVm+IF+VGSOlOmEMGbHO/fK0dzHczQ2n4Qng==" saltValue="ki5RQRe7ALToq3jiZbT2qw==" spinCount="100000" sqref="O102" name="Rendimento"/>
    <protectedRange algorithmName="SHA-512" hashValue="+xRN01lvoNI+hrjUdR74DdR/upDWQZ7OcW2QO+TAhKJitv/aOw73n1buxAgsmluqxXrcmB8910qdUDEhy/5QxQ==" saltValue="TByBMmZr8ijYOohWhyZeTw==" spinCount="100000" sqref="AE107" name="Meta"/>
    <protectedRange algorithmName="SHA-512" hashValue="6x+qBQ1LjBZCaHxR5XbglzXBCYsNj4/qiQM+nE0tch0cg8/HxQVPYpJe7qjd8HvXCGCQ/WJ/0PSnqe32MoiGCg==" saltValue="g/iI8jq65slhkXD9Nx0f7A==" spinCount="100000" sqref="R109:T243 AO109:AP287 AV109:AW287 BC109:BD287 BJ109:BK287 BQ109:BR287 BX109:BY287 AI109:AJ243" name="Horas"/>
    <protectedRange algorithmName="SHA-512" hashValue="pJnbPPyqMvaloJ35fmhZbNh2ZukqFOrT2xYM07uRd17ZTnTVIwNNhuKR3RwfE/Lq/CcHDBYEWzStbCUOiI2R9Q==" saltValue="krUHExgBPb2GbLKoAuLplA==" spinCount="100000" sqref="P232:Q243 T232:T244 P110:T231 O110:O243 A109:A231 AO109:AO231 AV109:AV231 BC109:BC231 BJ109:BJ231 BQ109:BQ231 BX109:BX231 AP109:AP287 AW109:AW287 BD109:BD287 BK109:BK287 BR109:BR287 AM109:AN287 AT109:AU287 BA109:BB287 BH109:BI287 BO109:BP287 BY109:BY287 BV109:BW287 AG109:AJ243 N109:T109 N110:N231" name="Intervalo2"/>
    <protectedRange algorithmName="SHA-512" hashValue="MtQZPNZZKlBTMJU761ecA7PmeVQ8Yni0Y0BmuyfD4pN/Xh7PXfh6/06LBOEpXqr8KShovD5MZmSpJHHIGw8HdA==" saltValue="dNIhAjprvIn7kg4xBtUUwg==" spinCount="100000" sqref="R129:R231 A120:A231 U109:U243" name="Tempos e HH"/>
    <protectedRange algorithmName="SHA-512" hashValue="q3K80MdJsrLckTLEwiCHzJsh1FvXVrLuj1q5W1VA0z562jy7vr0MUjQzGp3CST8uiXUk6y/GOX6DILdN1/bMBA==" saltValue="CgLGBdtoO8SPLznksD+0Kw==" spinCount="100000" sqref="N102" name="QT Horas"/>
    <protectedRange algorithmName="SHA-512" hashValue="Beu7r8venh9k3bwsJJ6Ve6kLytY0Akt+0cVxdKnmcchfpmTZKMo/yYOJNz00hg86KfEsO65pHuUGbT3osgjTDw==" saltValue="OoIqSamgjgCxLQfJom7yhg==" spinCount="100000" sqref="B109:C243 E109:F243" name="Dados"/>
    <protectedRange algorithmName="SHA-512" hashValue="nW19XCttVS6VIRT16KcnFTKsOoQ9ucTONul3gThUgEkyK7S0s06FYiVh1K+FJw9CgN5AxoqT/ChtJvMBIvKOVg==" saltValue="ER4nXWFZCrziol7K8mutUQ==" spinCount="100000" sqref="G109:G243" name="DadosTHEO"/>
    <protectedRange algorithmName="SHA-512" hashValue="JT9DdkN2zRgdnKEeaQYbTGGS3jg6/uDVwp6OEBb2LcfKI7631FhnUoTUeXXtaGpAvCUA+SbC/MyOrlebfE31hw==" saltValue="pgp5wfPEJhu2nITcLVtMkQ==" spinCount="100000" sqref="A109:A243" name="REF"/>
  </protectedRanges>
  <autoFilter ref="B108:AB108" xr:uid="{00000000-0009-0000-0000-00000F000000}">
    <filterColumn colId="14" showButton="0"/>
  </autoFilter>
  <dataConsolidate/>
  <mergeCells count="35">
    <mergeCell ref="BR107:BS107"/>
    <mergeCell ref="BY107:BZ107"/>
    <mergeCell ref="P108:Q108"/>
    <mergeCell ref="AF107:AH107"/>
    <mergeCell ref="AI107:AJ107"/>
    <mergeCell ref="AP107:AQ107"/>
    <mergeCell ref="AW107:AX107"/>
    <mergeCell ref="BD107:BE107"/>
    <mergeCell ref="BK107:BL107"/>
    <mergeCell ref="AL106:AQ106"/>
    <mergeCell ref="AS106:AX106"/>
    <mergeCell ref="AZ106:BE106"/>
    <mergeCell ref="BG106:BL106"/>
    <mergeCell ref="BN106:BS106"/>
    <mergeCell ref="BU106:BZ106"/>
    <mergeCell ref="BN100:BS105"/>
    <mergeCell ref="BU100:BZ105"/>
    <mergeCell ref="B101:B107"/>
    <mergeCell ref="C101:E107"/>
    <mergeCell ref="H101:M104"/>
    <mergeCell ref="R101:U101"/>
    <mergeCell ref="R102:S102"/>
    <mergeCell ref="N103:O103"/>
    <mergeCell ref="P103:U107"/>
    <mergeCell ref="F105:F107"/>
    <mergeCell ref="C100:F100"/>
    <mergeCell ref="AD100:AJ104"/>
    <mergeCell ref="AL100:AQ105"/>
    <mergeCell ref="AS100:AX105"/>
    <mergeCell ref="AZ100:BE105"/>
    <mergeCell ref="BG100:BL105"/>
    <mergeCell ref="G105:G106"/>
    <mergeCell ref="N105:O107"/>
    <mergeCell ref="AF106:AH106"/>
    <mergeCell ref="AI106:AJ106"/>
  </mergeCells>
  <conditionalFormatting sqref="U96">
    <cfRule type="colorScale" priority="72">
      <colorScale>
        <cfvo type="num" val="0.5"/>
        <cfvo type="num" val="0.65"/>
        <cfvo type="num" val="0.8"/>
        <color rgb="FF7030A0"/>
        <color rgb="FF92D050"/>
        <color rgb="FFFF0000"/>
      </colorScale>
    </cfRule>
  </conditionalFormatting>
  <conditionalFormatting sqref="O102">
    <cfRule type="colorScale" priority="71">
      <colorScale>
        <cfvo type="num" val="0.55000000000000004"/>
        <cfvo type="num" val="0.69"/>
        <cfvo type="num" val="0.85"/>
        <color rgb="FFFF0000"/>
        <color rgb="FF08EA3E"/>
        <color rgb="FFFF0000"/>
      </colorScale>
    </cfRule>
  </conditionalFormatting>
  <conditionalFormatting sqref="F110">
    <cfRule type="duplicateValues" dxfId="61" priority="70"/>
  </conditionalFormatting>
  <conditionalFormatting sqref="Z109">
    <cfRule type="iconSet" priority="69">
      <iconSet iconSet="5Arrows">
        <cfvo type="percent" val="0"/>
        <cfvo type="num" val="0.35"/>
        <cfvo type="num" val="0.5"/>
        <cfvo type="num" val="0.69"/>
        <cfvo type="num" val="0.79"/>
      </iconSet>
    </cfRule>
  </conditionalFormatting>
  <conditionalFormatting sqref="Z110">
    <cfRule type="iconSet" priority="68">
      <iconSet iconSet="5Arrows">
        <cfvo type="percent" val="0"/>
        <cfvo type="num" val="0.35"/>
        <cfvo type="num" val="0.5"/>
        <cfvo type="num" val="0.69"/>
        <cfvo type="num" val="0.79"/>
      </iconSet>
    </cfRule>
  </conditionalFormatting>
  <conditionalFormatting sqref="R109">
    <cfRule type="expression" dxfId="60" priority="67">
      <formula>T109&lt;0</formula>
    </cfRule>
  </conditionalFormatting>
  <conditionalFormatting sqref="S109">
    <cfRule type="expression" dxfId="59" priority="66">
      <formula>T109&lt;0</formula>
    </cfRule>
  </conditionalFormatting>
  <conditionalFormatting sqref="R110">
    <cfRule type="expression" dxfId="58" priority="65">
      <formula>T110&lt;0</formula>
    </cfRule>
  </conditionalFormatting>
  <conditionalFormatting sqref="S110">
    <cfRule type="expression" dxfId="57" priority="64">
      <formula>T110&lt;0</formula>
    </cfRule>
  </conditionalFormatting>
  <conditionalFormatting sqref="Z111 Z113 Z115 Z117 Z119 Z121 Z123 Z125 Z127 Z129 Z131 Z133 Z135 Z137 Z139 Z141 Z143 Z145 Z147 Z149 Z151 Z153 Z155 Z157 Z159 Z161 Z163 Z165 Z167 Z169 Z171 Z173 Z175 Z177 Z179 Z181 Z183 Z185 Z187 Z189 Z191 Z193 Z195 Z197 Z199 Z201 Z203 Z205 Z207 Z209 Z211 Z213 Z215 Z217 Z219 Z221 Z223 Z225 Z227 Z229 Z231 Z233 Z235 Z237 Z239 Z241 Z243">
    <cfRule type="iconSet" priority="62">
      <iconSet iconSet="5Arrows">
        <cfvo type="percent" val="0"/>
        <cfvo type="num" val="0.35"/>
        <cfvo type="num" val="0.5"/>
        <cfvo type="num" val="0.69"/>
        <cfvo type="num" val="0.79"/>
      </iconSet>
    </cfRule>
  </conditionalFormatting>
  <conditionalFormatting sqref="Z112 Z114 Z116 Z118 Z120 Z122 Z124 Z126 Z128 Z130 Z132 Z134 Z136 Z138 Z140 Z142 Z144 Z146 Z148 Z150 Z152 Z154 Z156 Z158 Z160 Z162 Z164 Z166 Z168 Z170 Z172 Z174 Z176 Z178 Z180 Z182 Z184 Z186 Z188 Z190 Z192 Z194 Z196 Z198 Z200 Z202 Z204 Z206 Z208 Z210 Z212 Z214 Z216 Z218 Z220 Z222 Z224 Z226 Z228 Z230 Z232 Z234 Z236 Z238 Z240 Z242">
    <cfRule type="iconSet" priority="61">
      <iconSet iconSet="5Arrows">
        <cfvo type="percent" val="0"/>
        <cfvo type="num" val="0.35"/>
        <cfvo type="num" val="0.5"/>
        <cfvo type="num" val="0.69"/>
        <cfvo type="num" val="0.79"/>
      </iconSet>
    </cfRule>
  </conditionalFormatting>
  <conditionalFormatting sqref="R111 R113 R115 R117 R119 R121 R123 R125 R127 R129 R131 R133 R135 R137 R139 R141 R143 R145 R147 R149 R151 R153 R155 R157 R159 R161 R163 R165 R167 R169 R171 R173 R175 R177 R179 R181 R183 R185 R187 R189 R191 R193 R195 R197 R199 R201 R203 R205 R207 R209 R211 R213 R215 R217 R219 R221 R223 R225 R227 R229 R231 R233 R235 R237 R239 R241 R243">
    <cfRule type="expression" dxfId="56" priority="60">
      <formula>T111&lt;0</formula>
    </cfRule>
  </conditionalFormatting>
  <conditionalFormatting sqref="S111 S113 S115 S117 S119 S121 S123 S125 S127 S129 S131 S133 S135 S137 S139 S141 S143 S145 S147 S149 S151 S153 S155 S157 S159 S161 S163 S165 S167 S169 S171 S173 S175 S177 S179 S181 S183 S185 S187 S189 S191 S193 S195 S197 S199 S201 S203 S205 S207 S209 S211 S213 S215 S217 S219 S221 S223 S225 S227 S229 S231 S233 S235 S237 S239 S241 S243">
    <cfRule type="expression" dxfId="55" priority="59">
      <formula>T111&lt;0</formula>
    </cfRule>
  </conditionalFormatting>
  <conditionalFormatting sqref="R112 R114 R116 R118 R120 R122 R124 R126 R128 R130 R132 R134 R136 R138 R140 R142 R144 R146 R148 R150 R152 R154 R156 R158 R160 R162 R164 R166 R168 R170 R172 R174 R176 R178 R180 R182 R184 R186 R188 R190 R192 R194 R196 R198 R200 R202 R204 R206 R208 R210 R212 R214 R216 R218 R220 R222 R224 R226 R228 R230 R232 R234 R236 R238 R240 R242">
    <cfRule type="expression" dxfId="54" priority="58">
      <formula>T112&lt;0</formula>
    </cfRule>
  </conditionalFormatting>
  <conditionalFormatting sqref="S112 S114 S116 S118 S120 S122 S124 S126 S128 S130 S132 S134 S136 S138 S140 S142 S144 S146 S148 S150 S152 S154 S156 S158 S160 S162 S164 S166 S168 S170 S172 S174 S176 S178 S180 S182 S184 S186 S188 S190 S192 S194 S196 S198 S200 S202 S204 S206 S208 S210 S212 S214 S216 S218 S220 S222 S224 S226 S228 S230 S232 S234 S236 S238 S240 S242">
    <cfRule type="expression" dxfId="53" priority="57">
      <formula>T112&lt;0</formula>
    </cfRule>
  </conditionalFormatting>
  <conditionalFormatting sqref="N104">
    <cfRule type="containsText" dxfId="52" priority="56" operator="containsText" text="Não">
      <formula>NOT(ISERROR(SEARCH("Não",N104)))</formula>
    </cfRule>
  </conditionalFormatting>
  <conditionalFormatting sqref="AO109">
    <cfRule type="expression" dxfId="51" priority="55">
      <formula>AP109&lt;0</formula>
    </cfRule>
  </conditionalFormatting>
  <conditionalFormatting sqref="AO110">
    <cfRule type="expression" dxfId="50" priority="54">
      <formula>AP110&lt;0</formula>
    </cfRule>
  </conditionalFormatting>
  <conditionalFormatting sqref="AO111 AO113 AO115 AO117 AO119 AO121 AO123 AO125 AO127 AO129 AO131 AO133 AO135 AO137 AO139 AO141 AO143 AO145 AO147 AO149 AO151 AO153 AO155 AO157 AO159 AO161 AO163 AO165 AO167 AO169 AO171 AO173 AO175 AO177 AO179 AO181 AO183 AO185 AO187 AO189 AO191 AO193 AO195 AO197 AO199 AO201 AO203 AO205 AO207 AO209 AO211 AO213 AO215 AO217 AO219 AO221 AO223 AO225 AO227 AO229 AO231 AO233 AO235 AO237 AO239 AO241 AO243">
    <cfRule type="expression" dxfId="49" priority="53">
      <formula>AP111&lt;0</formula>
    </cfRule>
  </conditionalFormatting>
  <conditionalFormatting sqref="AO112 AO114 AO116 AO118 AO120 AO122 AO124 AO126 AO128 AO130 AO132 AO134 AO136 AO138 AO140 AO142 AO144 AO146 AO148 AO150 AO152 AO154 AO156 AO158 AO160 AO162 AO164 AO166 AO168 AO170 AO172 AO174 AO176 AO178 AO180 AO182 AO184 AO186 AO188 AO190 AO192 AO194 AO196 AO198 AO200 AO202 AO204 AO206 AO208 AO210 AO212 AO214 AO216 AO218 AO220 AO222 AO224 AO226 AO228 AO230 AO232 AO234 AO236 AO238 AO240 AO242">
    <cfRule type="expression" dxfId="48" priority="52">
      <formula>AP112&lt;0</formula>
    </cfRule>
  </conditionalFormatting>
  <conditionalFormatting sqref="AI109:AJ243">
    <cfRule type="expression" dxfId="47" priority="51">
      <formula>AJ109&lt;0</formula>
    </cfRule>
  </conditionalFormatting>
  <conditionalFormatting sqref="AO244:AO254">
    <cfRule type="expression" dxfId="46" priority="50">
      <formula>AP244&lt;0</formula>
    </cfRule>
  </conditionalFormatting>
  <conditionalFormatting sqref="AO255:AO265">
    <cfRule type="expression" dxfId="45" priority="49">
      <formula>AP255&lt;0</formula>
    </cfRule>
  </conditionalFormatting>
  <conditionalFormatting sqref="AV109">
    <cfRule type="expression" dxfId="44" priority="48">
      <formula>AW109&lt;0</formula>
    </cfRule>
  </conditionalFormatting>
  <conditionalFormatting sqref="AV110">
    <cfRule type="expression" dxfId="43" priority="47">
      <formula>AW110&lt;0</formula>
    </cfRule>
  </conditionalFormatting>
  <conditionalFormatting sqref="AV111 AV113 AV115 AV117 AV119 AV121 AV123 AV125 AV127 AV129 AV131 AV133 AV135 AV137 AV139 AV141 AV143 AV145 AV147 AV149 AV151 AV153 AV155 AV157 AV159 AV161 AV163 AV165 AV167 AV169 AV171 AV173 AV175 AV177 AV179 AV181 AV183 AV185 AV187 AV189 AV191 AV193 AV195 AV197 AV199 AV201 AV203 AV205 AV207 AV209 AV211 AV213 AV215 AV217 AV219 AV221 AV223 AV225 AV227 AV229 AV231 AV233 AV235 AV237 AV239 AV241 AV243">
    <cfRule type="expression" dxfId="42" priority="46">
      <formula>AW111&lt;0</formula>
    </cfRule>
  </conditionalFormatting>
  <conditionalFormatting sqref="AV112 AV114 AV116 AV118 AV120 AV122 AV124 AV126 AV128 AV130 AV132 AV134 AV136 AV138 AV140 AV142 AV144 AV146 AV148 AV150 AV152 AV154 AV156 AV158 AV160 AV162 AV164 AV166 AV168 AV170 AV172 AV174 AV176 AV178 AV180 AV182 AV184 AV186 AV188 AV190 AV192 AV194 AV196 AV198 AV200 AV202 AV204 AV206 AV208 AV210 AV212 AV214 AV216 AV218 AV220 AV222 AV224 AV226 AV228 AV230 AV232 AV234 AV236 AV238 AV240 AV242">
    <cfRule type="expression" dxfId="41" priority="45">
      <formula>AW112&lt;0</formula>
    </cfRule>
  </conditionalFormatting>
  <conditionalFormatting sqref="AV244:AV254">
    <cfRule type="expression" dxfId="40" priority="44">
      <formula>AW244&lt;0</formula>
    </cfRule>
  </conditionalFormatting>
  <conditionalFormatting sqref="AV255:AV265">
    <cfRule type="expression" dxfId="39" priority="43">
      <formula>AW255&lt;0</formula>
    </cfRule>
  </conditionalFormatting>
  <conditionalFormatting sqref="BC109">
    <cfRule type="expression" dxfId="38" priority="42">
      <formula>BD109&lt;0</formula>
    </cfRule>
  </conditionalFormatting>
  <conditionalFormatting sqref="BC110">
    <cfRule type="expression" dxfId="37" priority="41">
      <formula>BD110&lt;0</formula>
    </cfRule>
  </conditionalFormatting>
  <conditionalFormatting sqref="BC111 BC113 BC115 BC117 BC119 BC121 BC123 BC125 BC127 BC129 BC131 BC133 BC135 BC137 BC139 BC141 BC143 BC145 BC147 BC149 BC151 BC153 BC155 BC157 BC159 BC161 BC163 BC165 BC167 BC169 BC171 BC173 BC175 BC177 BC179 BC181 BC183 BC185 BC187 BC189 BC191 BC193 BC195 BC197 BC199 BC201 BC203 BC205 BC207 BC209 BC211 BC213 BC215 BC217 BC219 BC221 BC223 BC225 BC227 BC229 BC231 BC233 BC235 BC237 BC239 BC241 BC243">
    <cfRule type="expression" dxfId="36" priority="40">
      <formula>BD111&lt;0</formula>
    </cfRule>
  </conditionalFormatting>
  <conditionalFormatting sqref="BC112 BC114 BC116 BC118 BC120 BC122 BC124 BC126 BC128 BC130 BC132 BC134 BC136 BC138 BC140 BC142 BC144 BC146 BC148 BC150 BC152 BC154 BC156 BC158 BC160 BC162 BC164 BC166 BC168 BC170 BC172 BC174 BC176 BC178 BC180 BC182 BC184 BC186 BC188 BC190 BC192 BC194 BC196 BC198 BC200 BC202 BC204 BC206 BC208 BC210 BC212 BC214 BC216 BC218 BC220 BC222 BC224 BC226 BC228 BC230 BC232 BC234 BC236 BC238 BC240 BC242">
    <cfRule type="expression" dxfId="35" priority="39">
      <formula>BD112&lt;0</formula>
    </cfRule>
  </conditionalFormatting>
  <conditionalFormatting sqref="BC244:BC254">
    <cfRule type="expression" dxfId="34" priority="38">
      <formula>BD244&lt;0</formula>
    </cfRule>
  </conditionalFormatting>
  <conditionalFormatting sqref="BC255:BC265">
    <cfRule type="expression" dxfId="33" priority="37">
      <formula>BD255&lt;0</formula>
    </cfRule>
  </conditionalFormatting>
  <conditionalFormatting sqref="BJ109">
    <cfRule type="expression" dxfId="32" priority="36">
      <formula>BK109&lt;0</formula>
    </cfRule>
  </conditionalFormatting>
  <conditionalFormatting sqref="BJ110">
    <cfRule type="expression" dxfId="31" priority="35">
      <formula>BK110&lt;0</formula>
    </cfRule>
  </conditionalFormatting>
  <conditionalFormatting sqref="BJ111 BJ113 BJ115 BJ117 BJ119 BJ121 BJ123 BJ125 BJ127 BJ129 BJ131 BJ133 BJ135 BJ137 BJ139 BJ141 BJ143 BJ145 BJ147 BJ149 BJ151 BJ153 BJ155 BJ157 BJ159 BJ161 BJ163 BJ165 BJ167 BJ169 BJ171 BJ173 BJ175 BJ177 BJ179 BJ181 BJ183 BJ185 BJ187 BJ189 BJ191 BJ193 BJ195 BJ197 BJ199 BJ201 BJ203 BJ205 BJ207 BJ209 BJ211 BJ213 BJ215 BJ217 BJ219 BJ221 BJ223 BJ225 BJ227 BJ229 BJ231 BJ233 BJ235 BJ237 BJ239 BJ241 BJ243">
    <cfRule type="expression" dxfId="30" priority="34">
      <formula>BK111&lt;0</formula>
    </cfRule>
  </conditionalFormatting>
  <conditionalFormatting sqref="BJ112 BJ114 BJ116 BJ118 BJ120 BJ122 BJ124 BJ126 BJ128 BJ130 BJ132 BJ134 BJ136 BJ138 BJ140 BJ142 BJ144 BJ146 BJ148 BJ150 BJ152 BJ154 BJ156 BJ158 BJ160 BJ162 BJ164 BJ166 BJ168 BJ170 BJ172 BJ174 BJ176 BJ178 BJ180 BJ182 BJ184 BJ186 BJ188 BJ190 BJ192 BJ194 BJ196 BJ198 BJ200 BJ202 BJ204 BJ206 BJ208 BJ210 BJ212 BJ214 BJ216 BJ218 BJ220 BJ222 BJ224 BJ226 BJ228 BJ230 BJ232 BJ234 BJ236 BJ238 BJ240 BJ242">
    <cfRule type="expression" dxfId="29" priority="33">
      <formula>BK112&lt;0</formula>
    </cfRule>
  </conditionalFormatting>
  <conditionalFormatting sqref="BJ244:BJ254">
    <cfRule type="expression" dxfId="28" priority="32">
      <formula>BK244&lt;0</formula>
    </cfRule>
  </conditionalFormatting>
  <conditionalFormatting sqref="BJ255:BJ265">
    <cfRule type="expression" dxfId="27" priority="31">
      <formula>BK255&lt;0</formula>
    </cfRule>
  </conditionalFormatting>
  <conditionalFormatting sqref="BQ109">
    <cfRule type="expression" dxfId="26" priority="30">
      <formula>BR109&lt;0</formula>
    </cfRule>
  </conditionalFormatting>
  <conditionalFormatting sqref="BQ110">
    <cfRule type="expression" dxfId="25" priority="29">
      <formula>BR110&lt;0</formula>
    </cfRule>
  </conditionalFormatting>
  <conditionalFormatting sqref="BQ111 BQ113 BQ115 BQ117 BQ119 BQ121 BQ123 BQ125 BQ127 BQ129 BQ131 BQ133 BQ135 BQ137 BQ139 BQ141 BQ143 BQ145 BQ147 BQ149 BQ151 BQ153 BQ155 BQ157 BQ159 BQ161 BQ163 BQ165 BQ167 BQ169 BQ171 BQ173 BQ175 BQ177 BQ179 BQ181 BQ183 BQ185 BQ187 BQ189 BQ191 BQ193 BQ195 BQ197 BQ199 BQ201 BQ203 BQ205 BQ207 BQ209 BQ211 BQ213 BQ215 BQ217 BQ219 BQ221 BQ223 BQ225 BQ227 BQ229 BQ231 BQ233 BQ235 BQ237 BQ239 BQ241 BQ243">
    <cfRule type="expression" dxfId="24" priority="28">
      <formula>BR111&lt;0</formula>
    </cfRule>
  </conditionalFormatting>
  <conditionalFormatting sqref="BQ112 BQ114 BQ116 BQ118 BQ120 BQ122 BQ124 BQ126 BQ128 BQ130 BQ132 BQ134 BQ136 BQ138 BQ140 BQ142 BQ144 BQ146 BQ148 BQ150 BQ152 BQ154 BQ156 BQ158 BQ160 BQ162 BQ164 BQ166 BQ168 BQ170 BQ172 BQ174 BQ176 BQ178 BQ180 BQ182 BQ184 BQ186 BQ188 BQ190 BQ192 BQ194 BQ196 BQ198 BQ200 BQ202 BQ204 BQ206 BQ208 BQ210 BQ212 BQ214 BQ216 BQ218 BQ220 BQ222 BQ224 BQ226 BQ228 BQ230 BQ232 BQ234 BQ236 BQ238 BQ240 BQ242">
    <cfRule type="expression" dxfId="23" priority="27">
      <formula>BR112&lt;0</formula>
    </cfRule>
  </conditionalFormatting>
  <conditionalFormatting sqref="BQ244:BQ254">
    <cfRule type="expression" dxfId="22" priority="26">
      <formula>BR244&lt;0</formula>
    </cfRule>
  </conditionalFormatting>
  <conditionalFormatting sqref="BQ255:BQ265">
    <cfRule type="expression" dxfId="21" priority="25">
      <formula>BR255&lt;0</formula>
    </cfRule>
  </conditionalFormatting>
  <conditionalFormatting sqref="BX109">
    <cfRule type="expression" dxfId="20" priority="24">
      <formula>BY109&lt;0</formula>
    </cfRule>
  </conditionalFormatting>
  <conditionalFormatting sqref="BX110">
    <cfRule type="expression" dxfId="19" priority="23">
      <formula>BY110&lt;0</formula>
    </cfRule>
  </conditionalFormatting>
  <conditionalFormatting sqref="BX111 BX113 BX115 BX117 BX119 BX121 BX123 BX125 BX127 BX129 BX131 BX133 BX135 BX137 BX139 BX141 BX143 BX145 BX147 BX149 BX151 BX153 BX155 BX157 BX159 BX161 BX163 BX165 BX167 BX169 BX171 BX173 BX175 BX177 BX179 BX181 BX183 BX185 BX187 BX189 BX191 BX193 BX195 BX197 BX199 BX201 BX203 BX205 BX207 BX209 BX211 BX213 BX215 BX217 BX219 BX221 BX223 BX225 BX227 BX229 BX231 BX233 BX235 BX237 BX239 BX241 BX243">
    <cfRule type="expression" dxfId="18" priority="22">
      <formula>BY111&lt;0</formula>
    </cfRule>
  </conditionalFormatting>
  <conditionalFormatting sqref="BX112 BX114 BX116 BX118 BX120 BX122 BX124 BX126 BX128 BX130 BX132 BX134 BX136 BX138 BX140 BX142 BX144 BX146 BX148 BX150 BX152 BX154 BX156 BX158 BX160 BX162 BX164 BX166 BX168 BX170 BX172 BX174 BX176 BX178 BX180 BX182 BX184 BX186 BX188 BX190 BX192 BX194 BX196 BX198 BX200 BX202 BX204 BX206 BX208 BX210 BX212 BX214 BX216 BX218 BX220 BX222 BX224 BX226 BX228 BX230 BX232 BX234 BX236 BX238 BX240 BX242">
    <cfRule type="expression" dxfId="17" priority="21">
      <formula>BY112&lt;0</formula>
    </cfRule>
  </conditionalFormatting>
  <conditionalFormatting sqref="BX244:BX254">
    <cfRule type="expression" dxfId="16" priority="20">
      <formula>BY244&lt;0</formula>
    </cfRule>
  </conditionalFormatting>
  <conditionalFormatting sqref="BX255:BX265">
    <cfRule type="expression" dxfId="15" priority="19">
      <formula>BY255&lt;0</formula>
    </cfRule>
  </conditionalFormatting>
  <conditionalFormatting sqref="AO266:AO276">
    <cfRule type="expression" dxfId="14" priority="18">
      <formula>AP266&lt;0</formula>
    </cfRule>
  </conditionalFormatting>
  <conditionalFormatting sqref="AO277:AO287">
    <cfRule type="expression" dxfId="13" priority="17">
      <formula>AP277&lt;0</formula>
    </cfRule>
  </conditionalFormatting>
  <conditionalFormatting sqref="AV266:AV276">
    <cfRule type="expression" dxfId="12" priority="16">
      <formula>AW266&lt;0</formula>
    </cfRule>
  </conditionalFormatting>
  <conditionalFormatting sqref="AV277:AV287">
    <cfRule type="expression" dxfId="11" priority="15">
      <formula>AW277&lt;0</formula>
    </cfRule>
  </conditionalFormatting>
  <conditionalFormatting sqref="BC266:BC276">
    <cfRule type="expression" dxfId="10" priority="14">
      <formula>BD266&lt;0</formula>
    </cfRule>
  </conditionalFormatting>
  <conditionalFormatting sqref="BC277:BC287">
    <cfRule type="expression" dxfId="9" priority="13">
      <formula>BD277&lt;0</formula>
    </cfRule>
  </conditionalFormatting>
  <conditionalFormatting sqref="BJ266:BJ276">
    <cfRule type="expression" dxfId="8" priority="12">
      <formula>BK266&lt;0</formula>
    </cfRule>
  </conditionalFormatting>
  <conditionalFormatting sqref="BJ277:BJ287">
    <cfRule type="expression" dxfId="7" priority="11">
      <formula>BK277&lt;0</formula>
    </cfRule>
  </conditionalFormatting>
  <conditionalFormatting sqref="BQ266:BQ276">
    <cfRule type="expression" dxfId="6" priority="10">
      <formula>BR266&lt;0</formula>
    </cfRule>
  </conditionalFormatting>
  <conditionalFormatting sqref="BQ277:BQ287">
    <cfRule type="expression" dxfId="5" priority="9">
      <formula>BR277&lt;0</formula>
    </cfRule>
  </conditionalFormatting>
  <conditionalFormatting sqref="BX266:BX276">
    <cfRule type="expression" dxfId="4" priority="8">
      <formula>BY266&lt;0</formula>
    </cfRule>
  </conditionalFormatting>
  <conditionalFormatting sqref="BX277:BX287">
    <cfRule type="expression" dxfId="3" priority="7">
      <formula>BY277&lt;0</formula>
    </cfRule>
  </conditionalFormatting>
  <conditionalFormatting sqref="G107">
    <cfRule type="colorScale" priority="6">
      <colorScale>
        <cfvo type="num" val="0.55000000000000004"/>
        <cfvo type="num" val="0.69"/>
        <cfvo type="num" val="0.85"/>
        <color rgb="FFFF0000"/>
        <color rgb="FF08EA3E"/>
        <color rgb="FFFF0000"/>
      </colorScale>
    </cfRule>
  </conditionalFormatting>
  <conditionalFormatting sqref="Z244:Z287">
    <cfRule type="iconSet" priority="4">
      <iconSet iconSet="5Arrows">
        <cfvo type="percent" val="0"/>
        <cfvo type="num" val="0.35"/>
        <cfvo type="num" val="0.5"/>
        <cfvo type="num" val="0.69"/>
        <cfvo type="num" val="0.79"/>
      </iconSet>
    </cfRule>
  </conditionalFormatting>
  <conditionalFormatting sqref="R244:R287">
    <cfRule type="expression" dxfId="2" priority="3">
      <formula>T244&lt;0</formula>
    </cfRule>
  </conditionalFormatting>
  <conditionalFormatting sqref="S244:S287">
    <cfRule type="expression" dxfId="1" priority="2">
      <formula>T244&lt;0</formula>
    </cfRule>
  </conditionalFormatting>
  <conditionalFormatting sqref="AI244:AJ287">
    <cfRule type="expression" dxfId="0" priority="1">
      <formula>AJ244&lt;0</formula>
    </cfRule>
  </conditionalFormatting>
  <dataValidations count="11">
    <dataValidation type="list" allowBlank="1" showInputMessage="1" showErrorMessage="1" sqref="N79 N102" xr:uid="{B2D79AFE-8FDE-4DF1-8DAA-A219BCA848DA}">
      <formula1>$N$79:$N$89</formula1>
    </dataValidation>
    <dataValidation type="list" allowBlank="1" showInputMessage="1" showErrorMessage="1" sqref="W9:X9 BZ9 BS9 BL9 BE9 AX9 AQ9 N109:N231" xr:uid="{AAAC457B-2FBF-4C47-B153-3D5425A25679}">
      <formula1>$W$9:$W$20</formula1>
    </dataValidation>
    <dataValidation type="list" allowBlank="1" showInputMessage="1" showErrorMessage="1" sqref="U96" xr:uid="{832D8EBA-28E6-40AF-A7DE-7900F0E241CE}">
      <formula1>#REF!</formula1>
    </dataValidation>
    <dataValidation type="list" allowBlank="1" showInputMessage="1" showErrorMessage="1" sqref="Z64" xr:uid="{39C74052-0127-464F-AAC5-8FD1855D5A88}">
      <formula1>$Z$64:$Z$84</formula1>
    </dataValidation>
    <dataValidation type="list" allowBlank="1" showInputMessage="1" showErrorMessage="1" sqref="O80:Q80 BV80:BW80 BO80:BP80 BH80:BI80 BA80:BB80 AT80:AU80 AG80:AH80 AM80:AN80" xr:uid="{BCDFD389-AB6D-4C0B-AC6B-29F4011C55B0}">
      <formula1>$O$80:$O$87</formula1>
    </dataValidation>
    <dataValidation type="list" allowBlank="1" showInputMessage="1" showErrorMessage="1" sqref="W66:X71 W109:W243 BZ66:BZ71 BS109:BS287 BS66:BS71 BL109:BL287 BL66:BL71 BE109:BE287 BE66:BE71 AX109:AX287 AX66:AX71 AQ109:AQ287 AQ66:AQ71 BZ109:BZ287" xr:uid="{3553AC34-9573-4F00-9AFF-4E250521D326}">
      <formula1>$W$66:$W$71</formula1>
    </dataValidation>
    <dataValidation type="list" allowBlank="1" showInputMessage="1" showErrorMessage="1" sqref="D417 D109:D243" xr:uid="{7DD7010F-885C-4E7D-A180-04CC564AD47A}">
      <formula1>$D$417:$D$428</formula1>
    </dataValidation>
    <dataValidation type="list" allowBlank="1" showInputMessage="1" showErrorMessage="1" sqref="FS103:FS104 N104" xr:uid="{9CD1DEEE-96E2-4249-A3C4-8CBD5000C03C}">
      <formula1>$FS$103:$FS$104</formula1>
    </dataValidation>
    <dataValidation type="list" allowBlank="1" showInputMessage="1" showErrorMessage="1" sqref="AL67 BU107 BU67 BN107 BN67 BG107 BG67 AZ107 AZ67 AS107 AS67 AL107" xr:uid="{A9E9C42A-2C3B-4EFE-BB98-61CE1102DD44}">
      <formula1>$AL$67:$AL$91</formula1>
    </dataValidation>
    <dataValidation type="list" allowBlank="1" showInputMessage="1" showErrorMessage="1" sqref="AE50 AE107" xr:uid="{C31ECA6C-845C-48F9-99E5-5C4AE89FACDB}">
      <formula1>$AE$50:$AE$74</formula1>
    </dataValidation>
    <dataValidation type="list" allowBlank="1" showInputMessage="1" showErrorMessage="1" sqref="X73:X76 X109:X243" xr:uid="{C13AA006-86B7-404D-9914-C3CE4BCC51B5}">
      <formula1>$X$73:$X$76</formula1>
    </dataValidation>
  </dataValidations>
  <printOptions horizontalCentered="1"/>
  <pageMargins left="0.51181102362204722" right="0.19685039370078741" top="0.39370078740157483" bottom="0.35433070866141736" header="0.19685039370078741" footer="7.874015748031496E-2"/>
  <pageSetup paperSize="9" scale="36" fitToHeight="0" orientation="portrait" r:id="rId1"/>
  <headerFooter>
    <oddHeader>&amp;L&amp;"Calibri"&amp;10&amp;K000000 Documento protegido,  direitos exclusivos da empresa.&amp;1#_x000D_</oddHeader>
    <oddFooter>&amp;L_x000D_&amp;1#&amp;"Calibri"&amp;10&amp;K000000 Documento protegido,  direitos exclusivos da empresa.&amp;R&amp;P de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locked="0" defaultSize="0" autoPict="0">
                <anchor moveWithCells="1" sizeWithCells="1">
                  <from>
                    <xdr:col>11</xdr:col>
                    <xdr:colOff>57150</xdr:colOff>
                    <xdr:row>104</xdr:row>
                    <xdr:rowOff>171450</xdr:rowOff>
                  </from>
                  <to>
                    <xdr:col>11</xdr:col>
                    <xdr:colOff>247650</xdr:colOff>
                    <xdr:row>106</xdr:row>
                    <xdr:rowOff>19050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63" id="{75CA0BC6-D9FC-42A5-96A3-1E24E097F5A1}">
            <x14:iconSet iconSet="4Arrows" custom="1">
              <x14:cfvo type="percent">
                <xm:f>0</xm:f>
              </x14:cfvo>
              <x14:cfvo type="num">
                <xm:f>0.6</xm:f>
              </x14:cfvo>
              <x14:cfvo type="num">
                <xm:f>0.85</xm:f>
              </x14:cfvo>
              <x14:cfvo type="num">
                <xm:f>0.92</xm:f>
              </x14:cfvo>
              <x14:cfIcon iconSet="3Arrows" iconId="0"/>
              <x14:cfIcon iconSet="3Arrows" iconId="1"/>
              <x14:cfIcon iconSet="3ArrowsGray" iconId="2"/>
              <x14:cfIcon iconSet="3Symbols2" iconId="0"/>
            </x14:iconSet>
          </x14:cfRule>
          <xm:sqref>O102</xm:sqref>
        </x14:conditionalFormatting>
        <x14:conditionalFormatting xmlns:xm="http://schemas.microsoft.com/office/excel/2006/main">
          <x14:cfRule type="iconSet" priority="5" id="{D561040A-0C50-4008-A653-C9F4F60552CF}">
            <x14:iconSet iconSet="4Arrows" custom="1">
              <x14:cfvo type="percent">
                <xm:f>0</xm:f>
              </x14:cfvo>
              <x14:cfvo type="num">
                <xm:f>0.6</xm:f>
              </x14:cfvo>
              <x14:cfvo type="num">
                <xm:f>0.85</xm:f>
              </x14:cfvo>
              <x14:cfvo type="num">
                <xm:f>0.92</xm:f>
              </x14:cfvo>
              <x14:cfIcon iconSet="3Arrows" iconId="0"/>
              <x14:cfIcon iconSet="3Arrows" iconId="1"/>
              <x14:cfIcon iconSet="3ArrowsGray" iconId="2"/>
              <x14:cfIcon iconSet="3Symbols2" iconId="0"/>
            </x14:iconSet>
          </x14:cfRule>
          <xm:sqref>G107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0FFC5FDFAB0A47A4FC93BCA76C62B3" ma:contentTypeVersion="10" ma:contentTypeDescription="Crie um novo documento." ma:contentTypeScope="" ma:versionID="5496f06bac1022cfad6c6537f25f78bd">
  <xsd:schema xmlns:xsd="http://www.w3.org/2001/XMLSchema" xmlns:xs="http://www.w3.org/2001/XMLSchema" xmlns:p="http://schemas.microsoft.com/office/2006/metadata/properties" xmlns:ns2="84c58f15-8008-472b-b652-709800f5659b" xmlns:ns3="0e37035b-dd09-4315-bec2-0da8d6b4f3d8" targetNamespace="http://schemas.microsoft.com/office/2006/metadata/properties" ma:root="true" ma:fieldsID="c1ff25ae59e2c0f91f9dac8bdb59a37e" ns2:_="" ns3:_="">
    <xsd:import namespace="84c58f15-8008-472b-b652-709800f5659b"/>
    <xsd:import namespace="0e37035b-dd09-4315-bec2-0da8d6b4f3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c58f15-8008-472b-b652-709800f56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39891a31-0602-4237-8573-863d315f3e9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37035b-dd09-4315-bec2-0da8d6b4f3d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74760f-44c6-4a72-ba1e-18a984d6c3e7}" ma:internalName="TaxCatchAll" ma:showField="CatchAllData" ma:web="0e37035b-dd09-4315-bec2-0da8d6b4f3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c58f15-8008-472b-b652-709800f5659b">
      <Terms xmlns="http://schemas.microsoft.com/office/infopath/2007/PartnerControls"/>
    </lcf76f155ced4ddcb4097134ff3c332f>
    <TaxCatchAll xmlns="0e37035b-dd09-4315-bec2-0da8d6b4f3d8" xsi:nil="true"/>
  </documentManagement>
</p:properties>
</file>

<file path=customXml/itemProps1.xml><?xml version="1.0" encoding="utf-8"?>
<ds:datastoreItem xmlns:ds="http://schemas.openxmlformats.org/officeDocument/2006/customXml" ds:itemID="{676C6F3D-6C35-4543-A55D-0583F4D4C2B0}"/>
</file>

<file path=customXml/itemProps2.xml><?xml version="1.0" encoding="utf-8"?>
<ds:datastoreItem xmlns:ds="http://schemas.openxmlformats.org/officeDocument/2006/customXml" ds:itemID="{3D0C6D0D-1B2E-4509-91DC-57BC65C46F49}"/>
</file>

<file path=customXml/itemProps3.xml><?xml version="1.0" encoding="utf-8"?>
<ds:datastoreItem xmlns:ds="http://schemas.openxmlformats.org/officeDocument/2006/customXml" ds:itemID="{48F6AE7B-8F19-44EB-9170-9376092229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3</vt:i4>
      </vt:variant>
    </vt:vector>
  </HeadingPairs>
  <TitlesOfParts>
    <vt:vector size="4" baseType="lpstr">
      <vt:lpstr>THEO Desmontagem</vt:lpstr>
      <vt:lpstr>'THEO Desmontagem'!Horas_Ajudantes_THEO</vt:lpstr>
      <vt:lpstr>'THEO Desmontagem'!Horas_de_OFICIAIS_THEO</vt:lpstr>
      <vt:lpstr>'THEO Desmontagem'!Total_Horas_THEO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Marcela M. Castro</dc:creator>
  <cp:lastModifiedBy>Marcela M. Castro</cp:lastModifiedBy>
  <dcterms:created xsi:type="dcterms:W3CDTF">2026-02-13T16:29:43Z</dcterms:created>
  <dcterms:modified xsi:type="dcterms:W3CDTF">2026-02-13T16:30:13Z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0x010100D20FFC5FDFAB0A47A4FC93BCA76C62B3</vt:lpwstr>
  </property>
</Properties>
</file>