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ENHARIA\Clientes\Em Andamento\SADA\Eber Bio\ATK_102_25_REV02_R3_(SADA_EBER_Montagem Processo Milho)\Dados de Entrada\Documentos Internos\"/>
    </mc:Choice>
  </mc:AlternateContent>
  <xr:revisionPtr revIDLastSave="0" documentId="14_{6E5328EC-39F1-444A-BF37-51C824B7A91C}" xr6:coauthVersionLast="47" xr6:coauthVersionMax="47" xr10:uidLastSave="{00000000-0000-0000-0000-000000000000}"/>
  <bookViews>
    <workbookView xWindow="20370" yWindow="-120" windowWidth="29040" windowHeight="15840" xr2:uid="{E3A96CBF-345A-446D-BECE-CD6D7CCC60E2}"/>
  </bookViews>
  <sheets>
    <sheet name="Planej_LOG" sheetId="1" r:id="rId1"/>
  </sheets>
  <externalReferences>
    <externalReference r:id="rId2"/>
  </externalReferences>
  <definedNames>
    <definedName name="__123Graph_A" hidden="1">#REF!</definedName>
    <definedName name="__123Graph_X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dministrativo_Custo_Fx">'[1]Cockpit Retorno'!$D$41</definedName>
    <definedName name="Atendentes_Instr_Campo_QT" comment="Total de Atendentes especialistas em Comissionamento de instrumentos em campo. Parte integrante do time de Startup ">'[1]Calc Eng'!$B$53</definedName>
    <definedName name="Atendentes_Senior_QT" comment="Porcentagem estimada de atendentes especialistas, diretoria, gerente Enegenharia definida para Obra">'[1]Calc Eng'!$B$51</definedName>
    <definedName name="Atendentes_Sistema_Processo_QT" comment="Total de atendente de sistema, de desenvolvimento de Software e sistema">'[1]Calc Eng'!$B$52</definedName>
    <definedName name="Atendentes_Total" comment="Total de Atendentes previsto Comissionamento, Startup e Operação Assistida">'[1]Calc Eng'!$B$28</definedName>
    <definedName name="ATK_INTEG" comment="Custo HH para Integração para Efetivo">SUM('[1]Resumo_HIA_HIC_HOC '!$Q$6:$Q$8)</definedName>
    <definedName name="ATK_LOG" comment="Custo Logística de Campo + Logística de Integração">'[1]Resumo_HIA_HIC_HOC '!$E$13</definedName>
    <definedName name="ATK_LOG_INT">'[1]Resumo_HIA_HIC_HOC '!$F$13</definedName>
    <definedName name="ATK_LOG_MOB" comment="Logistica da mobilização">'[1]Resumo_HIA_HIC_HOC '!$G$13</definedName>
    <definedName name="ATK_MOA" comment="Custo Mão de Obra Adminsitrativa Obra">'[1]Resumo_HIA_HIC_HOC '!$E$6</definedName>
    <definedName name="ATK_MOA_INT">'[1]Resumo_HIA_HIC_HOC '!$F$6</definedName>
    <definedName name="ATK_MOA_MOB">'[1]Resumo_HIA_HIC_HOC '!$G$6</definedName>
    <definedName name="ATK_MOB" comment="Custo de Mobilização">'[1]Resumo_HIA_HIC_HOC '!$L$12</definedName>
    <definedName name="ATK_MOD" comment="Custo Mão de Obra Direta">'[1]Resumo_HIA_HIC_HOC '!$E$8</definedName>
    <definedName name="ATK_MOD_INT">'[1]Resumo_HIA_HIC_HOC '!$F$8</definedName>
    <definedName name="ATK_MOD_MOB">'[1]Resumo_HIA_HIC_HOC '!$G$8</definedName>
    <definedName name="ATK_MOI" comment="Custo Mão de Obra Insireta">'[1]Resumo_HIA_HIC_HOC '!$E$7</definedName>
    <definedName name="ATK_MOI_INT">'[1]Resumo_HIA_HIC_HOC '!$F$7</definedName>
    <definedName name="ATK_MOI_MOB">'[1]Resumo_HIA_HIC_HOC '!$G$7</definedName>
    <definedName name="ATK_periculosidade">'[1]Resumo_HIA_HIC_HOC '!$E$10</definedName>
    <definedName name="ATK_Serviços">'[1]Cockpit Retorno'!$L$2</definedName>
    <definedName name="ATK_SSMA" comment="Custo de Exames Admissionais, Treinamentos, EPIs e EPCs">'[1]Resumo_HIA_HIC_HOC '!$L$11</definedName>
    <definedName name="ATK_Turnover" comment="Custo Turnover (HH + SSMA + RH)">'[1]Resumo_HIA_HIC_HOC '!$E$9</definedName>
    <definedName name="Base_REAJUSTE_MOD_E_MOI" comment="Fator de reajuste da tabela base da COLUNA QJ">'[1]Custo MO Impostos Obras'!$F$6</definedName>
    <definedName name="BDI" comment="Taxa BDI BENEFICIOS DE DESPESAS INDIRETAS">[1]BDI!$G$24</definedName>
    <definedName name="C_ADM_Geral" comment="Custo administrativo geral. Para emissão de notas , para trabalho interno etc..">0.1</definedName>
    <definedName name="Capital_Giro_ATM" comment="Capital Giro Bancar Fluxo">'[1]Cockpit Retorno'!$C$42</definedName>
    <definedName name="Capital_Giro_Passivo_BNC_Passivo_Tributario_Tarifas_Advogados">'[1]Cockpit Retorno'!$AFR$174</definedName>
    <definedName name="Capital_Giro_Passivo_Custo_Fx">'[1]Cockpit Retorno'!$D$42</definedName>
    <definedName name="Casa_Total_Ocupantes" comment="Numero médio de funcionários">[1]TESTE_LOG_OBRA!$J$38</definedName>
    <definedName name="Cesta_Básica_Total">'[1]Resumo_HIA_HIC_HOC '!$G$23</definedName>
    <definedName name="CODENOME1" hidden="1">#N/A</definedName>
    <definedName name="Cofins__ATK">[1]Impostos_Taxas_ICMs!$I$31</definedName>
    <definedName name="Cofins__Sistema">[1]Impostos_Taxas_ICMs!$H$31</definedName>
    <definedName name="COFINS_lOG_MOB" comment="Logistica ou Mob Lucro Presumido COFINS">[1]Impostos_Taxas_ICMs!$K$25</definedName>
    <definedName name="COFINS_M_S" comment="COFINS Lucro Real Sistema">[1]Impostos_Taxas_ICMs!$H$6</definedName>
    <definedName name="Comercial_Custo_Fx">'[1]Cockpit Retorno'!$AFB$174</definedName>
    <definedName name="Conteiner_Aluguel_Mes" comment="Custo Médio de Locação de Conteiner. Não considerado Transporte">'[1]Calc Eng'!$B$44</definedName>
    <definedName name="Contratação_LOG_Integração_Cliente">[1]HIC_Histograma_Integra_Cliente!$I$51</definedName>
    <definedName name="Contratação_Total__Logística" comment="Custo que o RH tem para contratar para obra. Este custo deve se somar ao custo geral da obra. Na venda deve se estimar isto">[1]HIA_Histograma_Integração_ATM!$J$51</definedName>
    <definedName name="CSLL" comment="CSLL Lucro Presumido ou Real">[1]Impostos_Taxas_ICMs!$H$28</definedName>
    <definedName name="Custo_Comercial__Plus" comment="Custo comercial da Venda, custo extra devido a complexiadade do negocio">'[1]Cockpit Retorno'!$C$38</definedName>
    <definedName name="Custo_comercial_1" comment="Custo comercial direto da Venda padrões. Comissoes e custo comercial do negocio">'[1]Cockpit Retorno'!$C$37</definedName>
    <definedName name="Custo_Contingência" comment="Custo de contingencia da Obra">'[1]Cockpit Retorno'!$C$45</definedName>
    <definedName name="Custo_Financeiro_Exclusivo_do_Contrato" comment="finacanceiro do Contrato">'[1]Cockpit Retorno'!$C$43</definedName>
    <definedName name="Custo_fixo___Administrativo__Cartões__Carros__Manutenção__Custo_Consumo_interno__SSMA_interno__Alugueis__Luz__Água__Internet_Telefone__Material_escritório__Aquisições_Extra_OS__Totvs__Softwares" comment="Parte do custo admnistrativo, carros, que não sejam considerados na venda, material de ssma, telefones, custo de intra estrutura, que não foram considerados na venda">'[1]Cockpit Retorno'!$AFK$174</definedName>
    <definedName name="Custo_fixo_Adminstrativo" comment="Custo admnistrativo interno da OS">'[1]Cockpit Retorno'!$C$41</definedName>
    <definedName name="Custo_Impostos_Credito__Débito" comment="Resumo dos impostos a serem Pagos diretos">'[1]Cockpit Retorno'!$K$32</definedName>
    <definedName name="Custo_Total" comment="Custo total plnilha de retorno">'[1]Cockpit Retorno'!$C$47</definedName>
    <definedName name="Custos_Viagens__Feiras__Marketing__Filiais">'[1]Cockpit Retorno'!$AFB$171</definedName>
    <definedName name="Debito_Impostos" comment="Debito de impostos da Venda . Ja considerando Debito e credito impostos ICM">'[1]Cockpit Retorno'!$K$32</definedName>
    <definedName name="Diária_Casa_Custo_Atendente" comment="Custo por profissional da  Diária considerando ficar  em casa , base  Alugada. Considerado: Aluguel, Roupa Lavada, Luz, Agua e empregada. Não considerado Refeição. (Nota: cada Casa estima-se 5 profissionais). 6 meses minimo">'[1]Calc Eng'!$B$3</definedName>
    <definedName name="Diária_Casa_Geral" comment="Custo Diária casa estimada para no média de 6 atendentes">'[1]Calc Eng'!$B$4</definedName>
    <definedName name="Diária_Completa_Sem_Transporte" comment="Custo de uma diária Completa de um Atendente. Considerado:  Diaria de estadia (Hotel avulso), HH (10h) e Refeições. Sem Translado, sem km">'[1]Calc Eng'!$B$42</definedName>
    <definedName name="Diárias_Hotel_Avulsas_Custo" comment="Custo médio de diárias de hoteis avulsas, temporários.">'[1]Calc Eng'!$B$5</definedName>
    <definedName name="Diárias_Hotel_Negociada_Custo" comment="Custo Diária Hotel negociado em locais de Obras, de startup.">'[1]Calc Eng'!$B$6</definedName>
    <definedName name="Dias_Campo" comment="Padrão de dias fora de STZ. Dias na OBRA Considerado na Proposta">'[1]Calc Eng'!$B$33</definedName>
    <definedName name="Dificuldade_Projeto">'[1]Calc Eng'!$K$68</definedName>
    <definedName name="Distância_Base_PLANTA" comment="Distancia, em KM, da Planta até a cidade, ou local de hospedagem">'[1]Calc Eng'!$B$38</definedName>
    <definedName name="Distância_STZ_BASE" comment="Distancia da Base da ATK , na Cidade até STZ, Matriz">'[1]Calc Eng'!$B$37</definedName>
    <definedName name="Dolar_Referencia" comment="Ref Dolar">'[1]Cockpit Retorno'!$C$48</definedName>
    <definedName name="Domingo_H" comment="Horas Domingo">'[1]Calc Eng'!$B$61</definedName>
    <definedName name="Duração_Comissionamento__Startup" comment="Tempo considerado para Comissionamento, Startup e operação Assistida">'[1]Calc Eng'!$B$43</definedName>
    <definedName name="Duração_da_Obra_Efetiva_Em_Meses" comment="Duraçao efetiva da obra. Estimada para calculo de preposto e apoio">'[1]Calc Eng'!$I$101</definedName>
    <definedName name="Duração_Obra_Mês" comment="Tempo considerado para duração efetiva da Obra.">'[1]Calc Eng'!$B$32</definedName>
    <definedName name="Eficiencia_meta_venda" comment="ESta eficiencia esta correlacionada com valores">'[1]Cockpit Retorno'!$D$62</definedName>
    <definedName name="Equipe_Numero" comment="Equipe estiamda para Comissionamento, Startup e Operação Assistida. ">'[1]Calc Eng'!$B$34</definedName>
    <definedName name="Estimativa_Annual" comment="Estimativa vendas Ano">'[1]Cockpit Retorno'!$D$50</definedName>
    <definedName name="Fator_Venda" comment="Fator Multiplicador Venda Final">'[1]Cockpit Retorno'!$C$35</definedName>
    <definedName name="fill" hidden="1">#REF!</definedName>
    <definedName name="FN_CQ_Fator_Diluido" comment="Fator de custo interno do finceiro e da qualidade, considerando mais um tecnico CQ campo diluido na venda com base fat de 2020.">'[1]Cockpit Retorno'!$E$116</definedName>
    <definedName name="Frete_KM" comment="Custo básico de frete por KM. Multiplicar sempre quantidade estimada de viagem de transporte.">'[1]Calc Eng'!$B$18</definedName>
    <definedName name="HH_Extra_DIA" comment="Horas extras estimadas Dia">'[1]Calc Eng'!$B$63</definedName>
    <definedName name="HH_Histograma_Total" comment="Total de horas consideradas no Histograma Trabalhada, espera e da lei.">[1]HOC_Histograma_Obra!$F$41</definedName>
    <definedName name="HH_Total_Eng_Interna" comment="Total Geral de HH Engenharia interna Prevista">'[1]Calc Eng'!$O$56</definedName>
    <definedName name="Horas_Comissionamento_Startup" comment="Total de Horas previstas para Comissionamento, Startup e Operação Assistida">'[1]Calc Eng'!$B$48</definedName>
    <definedName name="Horas_Instr_Startup" comment="Total de Horas previstas para equipe de Instrumentistas de campo em comissionamento e Startup">'[1]Calc Eng'!$B$50</definedName>
    <definedName name="Horas_Normais_Mês" comment="Horas normais Trabalhadas Mês">'[1]Calc Eng'!$B$62</definedName>
    <definedName name="Horas_Preposto" comment="Total de HH prevista para Todos Prepostos somados na Obra">'[1]Calc Eng'!$L$53</definedName>
    <definedName name="Horas_Senior_Startup" comment="Horas previstas dee Seniores, Diretoria e Auditoria">'[1]Calc Eng'!$B$49</definedName>
    <definedName name="Horas_Sistema_Proj_Startup" comment="Horas Previstas para equipe de Startup Equipe direcionada a Sistema">'[1]Calc Eng'!$B$54</definedName>
    <definedName name="Horas_Trabalho_Média" comment="Quantidade prevista média máxima de Horas diária de Trabalho.">'[1]Calc Eng'!$B$29</definedName>
    <definedName name="ICM_a_ser_Descontado" comment="ICM que usaremos do nosso Crédito">[1]Impostos_Taxas_ICMs!$S$10</definedName>
    <definedName name="ICMS" comment="Venda No cliente">[1]Impostos_Taxas_ICMs!$P$6</definedName>
    <definedName name="ICMs_Mercadoria" comment="ICMS  Sistema Venda Débito LR=Lucro REAL">[1]Impostos_Taxas_ICMs!$H$4</definedName>
    <definedName name="Imposto_Venda">'[1]Cockpit Retorno'!$I$4</definedName>
    <definedName name="Início_do_projeto">#REF!</definedName>
    <definedName name="IRPJ" comment="Imposto renda Lucro Presumido ou Real">[1]Impostos_Taxas_ICMs!$H$27</definedName>
    <definedName name="ISSQN">[1]Impostos_Taxas_ICMs!$P$3</definedName>
    <definedName name="ISSQN__do_Municipio" comment="ISS no municipo do cliente ou onde pagaremos">[1]Impostos_Taxas_ICMs!$P$3</definedName>
    <definedName name="JBs_Total" comment="Custo Total de JBs- Hart, e ou 4 a 20 ma">'[1]Calc Eng'!$B$25</definedName>
    <definedName name="KM" comment="Custo do quilômetro rodado puro.">'[1]Calc Eng'!$B$8</definedName>
    <definedName name="KM_HH_D_REF_Motorista" comment="Custo por  Quilometro rodado, considerando, Refeição no percurso, horas de (1) UM Atendente, e Estadia necessária. Se multiplicarmos este valor pela hora de viagem teremos custo completo da viagem de um Funcionario+ O custo do KM">'[1]Calc Eng'!$B$9</definedName>
    <definedName name="Lanche" comment="Valor médio de lanches, incluindo café da manhã">'[1]Valores médios Ref_Lanches'!$AI$26</definedName>
    <definedName name="LOG" comment="Custo estimado de Logistica para o projeto">'[1]Calc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Eng'!$DA$128</definedName>
    <definedName name="Log_In_MOI_Custo_HH" comment="Custo de Logistica e para  ajudantes e montadores. Calculo rápido. Tem de se estudar caso a caso.">'[1]Custos de HH_LOG'!$K$21</definedName>
    <definedName name="LOG_Mão_Obra_Indireta" comment="Custo de logistica equipe de mão obra indireta da obra. Se a Obra For ATM, considere novamente um Histograma e os custod calculados">'[1]Calc Eng'!$Q$44</definedName>
    <definedName name="lOG_MOB_ISSQN" comment="Logistica e Mobilização ISS Presumido Ou real">[1]Impostos_Taxas_ICMs!$H$26</definedName>
    <definedName name="LOG_MOB_PIS" comment="Pis Logistica Real">[1]Impostos_Taxas_ICMs!$H$24</definedName>
    <definedName name="Logistica_Preposto" comment="Custo estimado de Logistica para o Preposto. Tudo considerado">'[1]Calc Eng'!$B$47</definedName>
    <definedName name="Lucro" comment="Lucro Presumido =0 e Lucro Real = 1">'[1]Cockpit Retorno'!$GS$6</definedName>
    <definedName name="Marketing_Viagens_Custo_Fx">'[1]Cockpit Retorno'!$D$39</definedName>
    <definedName name="Markup_Bruto__Contribuição" comment="Markup bruto da negociação">'[1]Cockpit Retorno'!$C$58</definedName>
    <definedName name="Média_Dias_de_integração_ATM" comment="Dias médios gastos para integrar o funcionários á empresa. Exames, Treinamentos NRs, Ferramental, Procedimentos e integração.">'[1]Turnover Absenteismo Folgas'!$H$82</definedName>
    <definedName name="Média_km_h">'[1]Calc Eng'!$G$60</definedName>
    <definedName name="MK_Calc" comment="OVER HEAD + LUCRO Calculado">'[1]Cockpit Retorno'!$K$44</definedName>
    <definedName name="MO__Terceiros__Serviços_fixo_não_considerado_OS__RH_SSMA__Fábrica__Administrativo__Terceiros_Operacionais__Compras__Parte_Eng.__Parte_Fabrica__Logística_Interna__Qualidade__Apoio__TI." comment="Mão de obra geral para mantenimanto da empresa. Terceiros adm de softwares, pimtor, manutenção interna, todas valores que não são considerads na venda">'[1]Cockpit Retorno'!$AFD$174</definedName>
    <definedName name="MO_Terceiros_Custo_Fx">'[1]Cockpit Retorno'!$D$40</definedName>
    <definedName name="MOA_C" comment="Mão Obra de Admnsitração, Segurança e serviços básicos">'[1]Calc Eng'!$B$66</definedName>
    <definedName name="MOB" comment="Custo Mobilização Campo. Cerca, Conteiner, Pedras . Enfermeiros, Segurança e Logistica do Preposto">'[1]Calc Eng'!$H$10</definedName>
    <definedName name="Mob_Canteiro" comment="Mobilização do Canteiro. Tudo, inclusive enfermeiros, Segurança.">'[1]Calc Eng'!$O$52</definedName>
    <definedName name="MOC_Atendente_Custo" comment="Custo Médio HH  Atendente Campo">'[1]Calc Eng'!$EZ$245</definedName>
    <definedName name="MOC_C_ST" comment="Custo estimado de Mão de Obra de campo destinado a Startup, comissionamento e operação Assistida.">'[1]Calc Eng'!$H$5</definedName>
    <definedName name="MOC_COFINS_LR" comment="COFINS MOC Lucro Real">[1]Impostos_Taxas_ICMs!$H$16</definedName>
    <definedName name="MOC_PIS_LR" comment="PIS MOC Lucro Real">[1]Impostos_Taxas_ICMs!$H$15</definedName>
    <definedName name="MOE_H" comment="Custo HH Engenharia Senior">'[1]Calc Eng'!$EZ$243</definedName>
    <definedName name="MOE_HM" comment="Hora média da Engenharia. Geral Projeto , Desenvolvimento e Engenharia">'[1]Calc Eng'!$EZ$244</definedName>
    <definedName name="MOE_IRRF_LR" comment="IRRF MOE Lucro Real">[1]Impostos_Taxas_ICMs!$H$13</definedName>
    <definedName name="MOE_ISSQN_LR_LP" comment="ISS MOE Lucro Reala ou Presumido">[1]Impostos_Taxas_ICMs!$H$14</definedName>
    <definedName name="MOE_M" comment="Custo HH Engenharia Média">'[1]Calc Eng'!$EZ$241</definedName>
    <definedName name="MOE_P" comment="Custo de Mão de obra de Projeto interno, elétrico, paineis e documentação">'[1]Calc Eng'!$EZ$242</definedName>
    <definedName name="MOF" comment="Custo estimado para HH Fabrica no Campo">'[1]Calc Eng'!$H$11</definedName>
    <definedName name="MOF_Custo" comment="Custo do HH Fábrica Paineis">'[1]Calc Eng'!$EZ$247</definedName>
    <definedName name="MOF_Total_Campo" comment="Total de Mão de Obra da Fábrica que será utilizada em campo. Prevista">'[1]Calc Eng'!$B$57</definedName>
    <definedName name="MOFC_Fabrica_Campo_Custo" comment="Custo da HH da Fábrica em Campo">'[1]Calc Eng'!$EZ$246</definedName>
    <definedName name="MOI_ISSQN_LR_LP" comment="ISS MOI lucro Real e Presumido">[1]Impostos_Taxas_ICMs!$H$20</definedName>
    <definedName name="MOL_Custo_Instr" comment="Custo Médio HH da equipe de Instrumentação de Campo, para equipamentos, comissionamento, ajustes.">'[1]Calc Eng'!$EZ$248</definedName>
    <definedName name="MOM_MO_Média_Custo" comment="Custo médio da mão de obra geral da empresa. Services, ATK Eng , ADM">'[1]Calc Eng'!$EZ$251</definedName>
    <definedName name="MOS" comment="Custo HH de Enfermeiro, Segurança na Obra, secretária.">'[1]Calc Eng'!$B$45</definedName>
    <definedName name="MOSV__Services_Custo_MO" comment="Custo da Mão Obra Services">'[1]Calc Eng'!$EZ$250</definedName>
    <definedName name="MOTK_Adm_Custo" comment="Custo HH Preposto Turnkey em campo">'[1]Calc Eng'!$EZ$249</definedName>
    <definedName name="Não" comment="Indicador">'[1]Calc Eng'!$A$79</definedName>
    <definedName name="Necesssidade_preposto" comment="Necessidade de Preposto na OBRA">'[1]Calc Eng'!$K$100</definedName>
    <definedName name="Obra_Adm_Profissionais" comment="Numero de profissionais na Obra, Enfermeiro, Segurança. Não considera o Preposto">'[1]Calc Eng'!$B$46</definedName>
    <definedName name="Obra_Certa_MO_CLT_Fee">'[1]Custo Impostos Sobre HH'!$B$35</definedName>
    <definedName name="Operação_Assistida" comment="Total de Horas prevista Para Operação Assistida">'[1]Calc Eng'!$B$55</definedName>
    <definedName name="PAINEL" comment="Custo Mão OBRA PAINEL">'[1]Calc Eng'!$H$13</definedName>
    <definedName name="Parte_Custos_fixo___Docs__RH_e_SSMA" comment="Custos fixos do RH e Documentaçao da OS">'[1]Cockpit Retorno'!$C$40</definedName>
    <definedName name="PercentualConcluído">PercentualConcluídoAlém*PeríodonoPlano</definedName>
    <definedName name="PercentualConcluídoAlém">(#REF!=MEDIAN(#REF!,#REF!,#REF!+#REF!)*(#REF!&gt;0))*((#REF!&lt;(INT(#REF!+#REF!*#REF!)))+(#REF!=#REF!))*(#REF!&gt;0)</definedName>
    <definedName name="PercentualCustofixo" comment="Numero que repreenta % do valor com relacao a espectativa de venda">'[1]Cockpit Retorno'!$D$64</definedName>
    <definedName name="período_selecionado">#REF!</definedName>
    <definedName name="PeríodonoPlano">#REF!=MEDIAN(#REF!,#REF!,#REF!+#REF!-1)</definedName>
    <definedName name="PeríodoReal">#REF!=MEDIAN(#REF!,#REF!,#REF!+#REF!-1)</definedName>
    <definedName name="Pis__ATK">[1]Impostos_Taxas_ICMs!$I$30</definedName>
    <definedName name="Pis__Sistema">[1]Impostos_Taxas_ICMs!$H$30</definedName>
    <definedName name="Plano">PeríodonoPlano*(#REF!&gt;0)</definedName>
    <definedName name="Plano_Saúde" comment="caso tenha plano de saúde, considerar neste item">'[1]Resumo_HIA_HIC_HOC '!$E$34</definedName>
    <definedName name="Pontos_Ponderado" comment="Numero de Pontos Ponderados">'[1]Calc Eng'!$B$30</definedName>
    <definedName name="PorcentagemConcluída" comment="Evoluçao">PorcentagemConcluídaPosterior*[0]!PeriodoInPlanejado</definedName>
    <definedName name="Preposto_total" comment="Total e Preposto estimado para Obra">'[1]Calc Eng'!$B$31</definedName>
    <definedName name="Preposto_Viagens_Base_Planta" comment="Numero de  Idas e vindas entre Base e Planta, do Preposto">'[1]Calc Eng'!$B$41</definedName>
    <definedName name="Preposto_Viagens_STZ_Base" comment="Numero de viagens estimadas do Preposto entre Base e Sertãozinho">'[1]Calc Eng'!$B$40</definedName>
    <definedName name="Previsão_FAT_ANUAL_Normalizada">'[1]Cockpit Retorno'!$AEK$166</definedName>
    <definedName name="Prod_MI_PIS_LR" comment="PIS venda MI Lucro real">[1]Impostos_Taxas_ICMs!$H$9</definedName>
    <definedName name="QDTC_Total" comment="Custo Total de QDTC para o projeto">'[1]Calc Eng'!$B$24</definedName>
    <definedName name="Real">(PeríodoReal*(#REF!&gt;0))*PeríodonoPlano</definedName>
    <definedName name="RealAlém">PeríodoReal*(#REF!&gt;0)</definedName>
    <definedName name="Refeição_Cliente_Custo" comment="Custo estimado do valor da Refeição no cliente. Na Obra">'[1]Calc Eng'!$B$23</definedName>
    <definedName name="Refeição_Lanches_DIA__Custo" comment="Custo total de refeições no dia . Lanche, Almoço e Jantar.">'[1]Valores médios Ref_Lanches'!$AJ$30</definedName>
    <definedName name="Refeições_Custo" comment="Custo Médio por refeição, somado ao Lanche diário.">'[1]Calc Eng'!$B$7</definedName>
    <definedName name="RegiãodoTítulo..BO60">#REF!</definedName>
    <definedName name="Sábado_H" comment="Horas Sabado">'[1]Calc Eng'!$B$60</definedName>
    <definedName name="Seguros_e_Garantias" comment="Seguros e garantias">'[1]Cockpit Retorno'!$C$44</definedName>
    <definedName name="Semana_de_exibição">#REF!</definedName>
    <definedName name="Sim" comment="Indicador">'[1]Calc Eng'!$A$78</definedName>
    <definedName name="Sist_PIS_LR" comment="PIS  sistema LR Lucro Real">[1]Impostos_Taxas_ICMs!$H$5</definedName>
    <definedName name="Sistema_Produto">'[1]Cockpit Retorno'!$J$2</definedName>
    <definedName name="Sistema_Serviços">'[1]Cockpit Retorno'!$J$3</definedName>
    <definedName name="Tarifa_Serviços">'[1]Cockpit Retorno'!$L$1</definedName>
    <definedName name="Tempo_indeterminado_MO_CLT_Fee">'[1]Custo Impostos Sobre HH'!$B$34</definedName>
    <definedName name="Tempo_Preposto__Obra" comment="Estimativa do período que o Preposto deve permanecer na Obra. Desde Mobilização,obra e Desmobilização.">'[1]Calc Eng'!$B$56</definedName>
    <definedName name="Tempo_Total_Paineis" comment="Tempo estimado para montagem dos Paineis">'[1]Calc Eng'!$AB$136</definedName>
    <definedName name="Total_Funcionários" comment="Numero de funcionários">'[1]Calc Eng'!$R$14</definedName>
    <definedName name="Total_HH_Mês" comment="Total HH Mês Externo, Considerando Horas Extras e Duas HH extra Dia">'[1]Calc Eng'!$B$59</definedName>
    <definedName name="Total_JBs" comment="Quantidade total de JBs 4 a 20 mA com Bornes Completa">'[1]Calc Eng'!$P$80</definedName>
    <definedName name="Total_Painéis_HD" comment="Total de Painéis com Muitos Pontos">'[1]Calc Eng'!$P$81</definedName>
    <definedName name="Total_Painéis_MD" comment="Total de Painéis de média e baixa Densidade">'[1]Calc Eng'!$P$82</definedName>
    <definedName name="Total_pequenas_caixas" comment="Pequenas (Caixas) apenas Montagem">'[1]Calc Eng'!$P$83</definedName>
    <definedName name="Total_QDTC" comment="Número de QDTCs completos">'[1]Calc Eng'!$P$79</definedName>
    <definedName name="Valor_Liquido_a_Receber" comment="Valor Liquido da Operação - Sem IPI, PIS COFINS, ISSQN e IRPF">'[1]Cockpit Retorno'!$D$55</definedName>
    <definedName name="Valor_Proposta">'[1]Cockpit Retorno'!$C$51</definedName>
    <definedName name="Valor_Venda_Com_IPI" comment="Valor total Proposta Sem IPI">'[1]Cockpit Retorno'!$C$54</definedName>
    <definedName name="Valor_Venda_sem_IPI" comment="Venda sem IPI">'[1]Cockpit Retorno'!$C$53</definedName>
    <definedName name="Valor_Venda_Usando_CREDITO_ICM">'[1]Cockpit Retorno'!$C$55</definedName>
    <definedName name="Viagens_Atendentes__Base_Planta" comment="Total de estimativa de Idas e Vindas entre a BAse e a Planta, dos Atendentes de Comissionamento, Startup e Operação assistida">'[1]Calc Eng'!$B$35</definedName>
    <definedName name="Viagens_Atendentes__Base_STZ" comment="Numero Total de viagens estimadas para equipe de Startup entre, STZ e BASE">'[1]Calc Eng'!$B$36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C52" i="1"/>
  <c r="F35" i="1"/>
  <c r="ABI30" i="1"/>
  <c r="ABH30" i="1"/>
  <c r="ABG30" i="1"/>
  <c r="ABF30" i="1"/>
  <c r="ABE30" i="1"/>
  <c r="ABD30" i="1"/>
  <c r="ABC30" i="1"/>
  <c r="ABB30" i="1"/>
  <c r="ABA30" i="1"/>
  <c r="AAZ30" i="1"/>
  <c r="AAY30" i="1"/>
  <c r="AAX30" i="1"/>
  <c r="AAW30" i="1"/>
  <c r="AAV30" i="1"/>
  <c r="AAU30" i="1"/>
  <c r="AAT30" i="1"/>
  <c r="AAS30" i="1"/>
  <c r="AAR30" i="1"/>
  <c r="AAQ30" i="1"/>
  <c r="AAP30" i="1"/>
  <c r="AAO30" i="1"/>
  <c r="AAN30" i="1"/>
  <c r="AAM30" i="1"/>
  <c r="AAL30" i="1"/>
  <c r="AAK30" i="1"/>
  <c r="AAJ30" i="1"/>
  <c r="AAI30" i="1"/>
  <c r="AAH30" i="1"/>
  <c r="AAG30" i="1"/>
  <c r="AAF30" i="1"/>
  <c r="AAE30" i="1"/>
  <c r="AAD30" i="1"/>
  <c r="AAC30" i="1"/>
  <c r="AAB30" i="1"/>
  <c r="AAA30" i="1"/>
  <c r="ZZ30" i="1"/>
  <c r="ZY30" i="1"/>
  <c r="ZX30" i="1"/>
  <c r="ZW30" i="1"/>
  <c r="ZV30" i="1"/>
  <c r="ZU30" i="1"/>
  <c r="ZT30" i="1"/>
  <c r="ZS30" i="1"/>
  <c r="ZR30" i="1"/>
  <c r="ZQ30" i="1"/>
  <c r="ZP30" i="1"/>
  <c r="ZO30" i="1"/>
  <c r="ZN30" i="1"/>
  <c r="ZM30" i="1"/>
  <c r="ZL30" i="1"/>
  <c r="ZK30" i="1"/>
  <c r="ZJ30" i="1"/>
  <c r="ZI30" i="1"/>
  <c r="ZH30" i="1"/>
  <c r="ZG30" i="1"/>
  <c r="ZF30" i="1"/>
  <c r="ZE30" i="1"/>
  <c r="ZD30" i="1"/>
  <c r="ZC30" i="1"/>
  <c r="ZB30" i="1"/>
  <c r="ZA30" i="1"/>
  <c r="YZ30" i="1"/>
  <c r="YY30" i="1"/>
  <c r="YX30" i="1"/>
  <c r="YW30" i="1"/>
  <c r="YV30" i="1"/>
  <c r="YU30" i="1"/>
  <c r="YT30" i="1"/>
  <c r="YS30" i="1"/>
  <c r="YR30" i="1"/>
  <c r="YQ30" i="1"/>
  <c r="YP30" i="1"/>
  <c r="YO30" i="1"/>
  <c r="YN30" i="1"/>
  <c r="YM30" i="1"/>
  <c r="YL30" i="1"/>
  <c r="YK30" i="1"/>
  <c r="YJ30" i="1"/>
  <c r="YI30" i="1"/>
  <c r="YH30" i="1"/>
  <c r="YG30" i="1"/>
  <c r="YF30" i="1"/>
  <c r="YE30" i="1"/>
  <c r="YD30" i="1"/>
  <c r="YC30" i="1"/>
  <c r="YB30" i="1"/>
  <c r="YA30" i="1"/>
  <c r="XZ30" i="1"/>
  <c r="XY30" i="1"/>
  <c r="XX30" i="1"/>
  <c r="XW30" i="1"/>
  <c r="XV30" i="1"/>
  <c r="XU30" i="1"/>
  <c r="XT30" i="1"/>
  <c r="XS30" i="1"/>
  <c r="XR30" i="1"/>
  <c r="XQ30" i="1"/>
  <c r="XP30" i="1"/>
  <c r="XO30" i="1"/>
  <c r="XN30" i="1"/>
  <c r="XM30" i="1"/>
  <c r="XL30" i="1"/>
  <c r="XK30" i="1"/>
  <c r="XJ30" i="1"/>
  <c r="XI30" i="1"/>
  <c r="XH30" i="1"/>
  <c r="XG30" i="1"/>
  <c r="XF30" i="1"/>
  <c r="XE30" i="1"/>
  <c r="XD30" i="1"/>
  <c r="XC30" i="1"/>
  <c r="XB30" i="1"/>
  <c r="XA30" i="1"/>
  <c r="WZ30" i="1"/>
  <c r="WY30" i="1"/>
  <c r="WX30" i="1"/>
  <c r="WW30" i="1"/>
  <c r="WV30" i="1"/>
  <c r="WU30" i="1"/>
  <c r="WT30" i="1"/>
  <c r="WS30" i="1"/>
  <c r="WR30" i="1"/>
  <c r="WQ30" i="1"/>
  <c r="WP30" i="1"/>
  <c r="WO30" i="1"/>
  <c r="WN30" i="1"/>
  <c r="WM30" i="1"/>
  <c r="WL30" i="1"/>
  <c r="WK30" i="1"/>
  <c r="WJ30" i="1"/>
  <c r="WI30" i="1"/>
  <c r="WH30" i="1"/>
  <c r="WG30" i="1"/>
  <c r="WF30" i="1"/>
  <c r="WE30" i="1"/>
  <c r="WD30" i="1"/>
  <c r="WC30" i="1"/>
  <c r="WB30" i="1"/>
  <c r="WA30" i="1"/>
  <c r="VZ30" i="1"/>
  <c r="VY30" i="1"/>
  <c r="VX30" i="1"/>
  <c r="VW30" i="1"/>
  <c r="VV30" i="1"/>
  <c r="VU30" i="1"/>
  <c r="VT30" i="1"/>
  <c r="VS30" i="1"/>
  <c r="VR30" i="1"/>
  <c r="VQ30" i="1"/>
  <c r="VP30" i="1"/>
  <c r="VO30" i="1"/>
  <c r="VN30" i="1"/>
  <c r="VM30" i="1"/>
  <c r="VL30" i="1"/>
  <c r="VK30" i="1"/>
  <c r="VJ30" i="1"/>
  <c r="VI30" i="1"/>
  <c r="VH30" i="1"/>
  <c r="VG30" i="1"/>
  <c r="VF30" i="1"/>
  <c r="VE30" i="1"/>
  <c r="VD30" i="1"/>
  <c r="VC30" i="1"/>
  <c r="VB30" i="1"/>
  <c r="VA30" i="1"/>
  <c r="UZ30" i="1"/>
  <c r="UY30" i="1"/>
  <c r="UX30" i="1"/>
  <c r="UW30" i="1"/>
  <c r="UV30" i="1"/>
  <c r="UU30" i="1"/>
  <c r="UT30" i="1"/>
  <c r="US30" i="1"/>
  <c r="UR30" i="1"/>
  <c r="UQ30" i="1"/>
  <c r="UP30" i="1"/>
  <c r="UO30" i="1"/>
  <c r="UN30" i="1"/>
  <c r="UM30" i="1"/>
  <c r="UL30" i="1"/>
  <c r="UK30" i="1"/>
  <c r="UJ30" i="1"/>
  <c r="UI30" i="1"/>
  <c r="UH30" i="1"/>
  <c r="UG30" i="1"/>
  <c r="UF30" i="1"/>
  <c r="UE30" i="1"/>
  <c r="UD30" i="1"/>
  <c r="UC30" i="1"/>
  <c r="UB30" i="1"/>
  <c r="UA30" i="1"/>
  <c r="TZ30" i="1"/>
  <c r="TY30" i="1"/>
  <c r="TX30" i="1"/>
  <c r="TW30" i="1"/>
  <c r="TV30" i="1"/>
  <c r="TU30" i="1"/>
  <c r="TT30" i="1"/>
  <c r="TS30" i="1"/>
  <c r="TR30" i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BI29" i="1"/>
  <c r="ABH29" i="1"/>
  <c r="ABG29" i="1"/>
  <c r="ABF29" i="1"/>
  <c r="ABE29" i="1"/>
  <c r="ABD29" i="1"/>
  <c r="ABC29" i="1"/>
  <c r="ABB29" i="1"/>
  <c r="ABA29" i="1"/>
  <c r="AAZ29" i="1"/>
  <c r="AAY29" i="1"/>
  <c r="AAX29" i="1"/>
  <c r="AAW29" i="1"/>
  <c r="AAV29" i="1"/>
  <c r="AAU29" i="1"/>
  <c r="AAT29" i="1"/>
  <c r="AAS29" i="1"/>
  <c r="AAR29" i="1"/>
  <c r="AAQ29" i="1"/>
  <c r="AAP29" i="1"/>
  <c r="AAO29" i="1"/>
  <c r="AAN29" i="1"/>
  <c r="AAM29" i="1"/>
  <c r="AAL29" i="1"/>
  <c r="AAK29" i="1"/>
  <c r="AAJ29" i="1"/>
  <c r="AAI29" i="1"/>
  <c r="AAH29" i="1"/>
  <c r="AAG29" i="1"/>
  <c r="AAF29" i="1"/>
  <c r="AAE29" i="1"/>
  <c r="AAD29" i="1"/>
  <c r="AAC29" i="1"/>
  <c r="AAB29" i="1"/>
  <c r="AAA29" i="1"/>
  <c r="ZZ29" i="1"/>
  <c r="ZY29" i="1"/>
  <c r="ZX29" i="1"/>
  <c r="ZW29" i="1"/>
  <c r="ZV29" i="1"/>
  <c r="ZU29" i="1"/>
  <c r="ZT29" i="1"/>
  <c r="ZS29" i="1"/>
  <c r="ZR29" i="1"/>
  <c r="ZQ29" i="1"/>
  <c r="ZP29" i="1"/>
  <c r="ZO29" i="1"/>
  <c r="ZN29" i="1"/>
  <c r="ZM29" i="1"/>
  <c r="ZL29" i="1"/>
  <c r="ZK29" i="1"/>
  <c r="ZJ29" i="1"/>
  <c r="ZI29" i="1"/>
  <c r="ZH29" i="1"/>
  <c r="ZG29" i="1"/>
  <c r="ZF29" i="1"/>
  <c r="ZE29" i="1"/>
  <c r="ZD29" i="1"/>
  <c r="ZC29" i="1"/>
  <c r="ZB29" i="1"/>
  <c r="ZA29" i="1"/>
  <c r="YZ29" i="1"/>
  <c r="YY29" i="1"/>
  <c r="YX29" i="1"/>
  <c r="YW29" i="1"/>
  <c r="YV29" i="1"/>
  <c r="YU29" i="1"/>
  <c r="YT29" i="1"/>
  <c r="YS29" i="1"/>
  <c r="YR29" i="1"/>
  <c r="YQ29" i="1"/>
  <c r="YP29" i="1"/>
  <c r="YO29" i="1"/>
  <c r="YN29" i="1"/>
  <c r="YM29" i="1"/>
  <c r="YL29" i="1"/>
  <c r="YK29" i="1"/>
  <c r="YJ29" i="1"/>
  <c r="YI29" i="1"/>
  <c r="YH29" i="1"/>
  <c r="YG29" i="1"/>
  <c r="YF29" i="1"/>
  <c r="YE29" i="1"/>
  <c r="YD29" i="1"/>
  <c r="YC29" i="1"/>
  <c r="YB29" i="1"/>
  <c r="YA29" i="1"/>
  <c r="XZ29" i="1"/>
  <c r="XY29" i="1"/>
  <c r="XX29" i="1"/>
  <c r="XW29" i="1"/>
  <c r="XV29" i="1"/>
  <c r="XU29" i="1"/>
  <c r="XT29" i="1"/>
  <c r="XS29" i="1"/>
  <c r="XR29" i="1"/>
  <c r="XQ29" i="1"/>
  <c r="XP29" i="1"/>
  <c r="XO29" i="1"/>
  <c r="XN29" i="1"/>
  <c r="XM29" i="1"/>
  <c r="XL29" i="1"/>
  <c r="XK29" i="1"/>
  <c r="XJ29" i="1"/>
  <c r="XI29" i="1"/>
  <c r="XH29" i="1"/>
  <c r="XG29" i="1"/>
  <c r="XF29" i="1"/>
  <c r="XE29" i="1"/>
  <c r="XD29" i="1"/>
  <c r="XC29" i="1"/>
  <c r="XB29" i="1"/>
  <c r="XA29" i="1"/>
  <c r="WZ29" i="1"/>
  <c r="WY29" i="1"/>
  <c r="WX29" i="1"/>
  <c r="WW29" i="1"/>
  <c r="WV29" i="1"/>
  <c r="WU29" i="1"/>
  <c r="WT29" i="1"/>
  <c r="WS29" i="1"/>
  <c r="WR29" i="1"/>
  <c r="WQ29" i="1"/>
  <c r="WP29" i="1"/>
  <c r="WO29" i="1"/>
  <c r="WN29" i="1"/>
  <c r="WM29" i="1"/>
  <c r="WL29" i="1"/>
  <c r="WK29" i="1"/>
  <c r="WJ29" i="1"/>
  <c r="WI29" i="1"/>
  <c r="WH29" i="1"/>
  <c r="WG29" i="1"/>
  <c r="WF29" i="1"/>
  <c r="WE29" i="1"/>
  <c r="WD29" i="1"/>
  <c r="WC29" i="1"/>
  <c r="WB29" i="1"/>
  <c r="WA29" i="1"/>
  <c r="VZ29" i="1"/>
  <c r="VY29" i="1"/>
  <c r="VX29" i="1"/>
  <c r="VW29" i="1"/>
  <c r="VV29" i="1"/>
  <c r="VU29" i="1"/>
  <c r="VT29" i="1"/>
  <c r="VS29" i="1"/>
  <c r="VR29" i="1"/>
  <c r="VQ29" i="1"/>
  <c r="VP29" i="1"/>
  <c r="VO29" i="1"/>
  <c r="VN29" i="1"/>
  <c r="VM29" i="1"/>
  <c r="VL29" i="1"/>
  <c r="VK29" i="1"/>
  <c r="VJ29" i="1"/>
  <c r="VI29" i="1"/>
  <c r="VH29" i="1"/>
  <c r="VG29" i="1"/>
  <c r="VF29" i="1"/>
  <c r="VE29" i="1"/>
  <c r="VD29" i="1"/>
  <c r="VC29" i="1"/>
  <c r="VB29" i="1"/>
  <c r="VA29" i="1"/>
  <c r="UZ29" i="1"/>
  <c r="UY29" i="1"/>
  <c r="UX29" i="1"/>
  <c r="UW29" i="1"/>
  <c r="UV29" i="1"/>
  <c r="UU29" i="1"/>
  <c r="UT29" i="1"/>
  <c r="US29" i="1"/>
  <c r="UR29" i="1"/>
  <c r="UQ29" i="1"/>
  <c r="UP29" i="1"/>
  <c r="UO29" i="1"/>
  <c r="UN29" i="1"/>
  <c r="UM29" i="1"/>
  <c r="UL29" i="1"/>
  <c r="UK29" i="1"/>
  <c r="UJ29" i="1"/>
  <c r="UI29" i="1"/>
  <c r="UH29" i="1"/>
  <c r="UG29" i="1"/>
  <c r="UF29" i="1"/>
  <c r="UE29" i="1"/>
  <c r="UD29" i="1"/>
  <c r="UC29" i="1"/>
  <c r="UB29" i="1"/>
  <c r="UA29" i="1"/>
  <c r="TZ29" i="1"/>
  <c r="TY29" i="1"/>
  <c r="TX29" i="1"/>
  <c r="TW29" i="1"/>
  <c r="TV29" i="1"/>
  <c r="TU29" i="1"/>
  <c r="TT29" i="1"/>
  <c r="TS29" i="1"/>
  <c r="TR29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D29" i="1" s="1"/>
  <c r="H29" i="1"/>
  <c r="G29" i="1"/>
  <c r="F29" i="1"/>
  <c r="F34" i="1" s="1"/>
  <c r="ABI28" i="1"/>
  <c r="ABH28" i="1"/>
  <c r="ABG28" i="1"/>
  <c r="ABF28" i="1"/>
  <c r="ABE28" i="1"/>
  <c r="ABD28" i="1"/>
  <c r="ABC28" i="1"/>
  <c r="ABB28" i="1"/>
  <c r="ABA28" i="1"/>
  <c r="AAZ28" i="1"/>
  <c r="AAY28" i="1"/>
  <c r="AAX28" i="1"/>
  <c r="AAW28" i="1"/>
  <c r="AAV28" i="1"/>
  <c r="AAU28" i="1"/>
  <c r="AAT28" i="1"/>
  <c r="AAS28" i="1"/>
  <c r="AAR28" i="1"/>
  <c r="AAQ28" i="1"/>
  <c r="AAP28" i="1"/>
  <c r="AAO28" i="1"/>
  <c r="AAN28" i="1"/>
  <c r="AAM28" i="1"/>
  <c r="AAL28" i="1"/>
  <c r="AAK28" i="1"/>
  <c r="AAJ28" i="1"/>
  <c r="AAI28" i="1"/>
  <c r="AAH28" i="1"/>
  <c r="AAG28" i="1"/>
  <c r="AAF28" i="1"/>
  <c r="AAE28" i="1"/>
  <c r="AAD28" i="1"/>
  <c r="AAC28" i="1"/>
  <c r="AAB28" i="1"/>
  <c r="AAA28" i="1"/>
  <c r="ZZ28" i="1"/>
  <c r="ZY28" i="1"/>
  <c r="ZX28" i="1"/>
  <c r="ZW28" i="1"/>
  <c r="ZV28" i="1"/>
  <c r="ZU28" i="1"/>
  <c r="ZT28" i="1"/>
  <c r="ZS28" i="1"/>
  <c r="ZR28" i="1"/>
  <c r="ZQ28" i="1"/>
  <c r="ZP28" i="1"/>
  <c r="ZO28" i="1"/>
  <c r="ZN28" i="1"/>
  <c r="ZM28" i="1"/>
  <c r="ZL28" i="1"/>
  <c r="ZK28" i="1"/>
  <c r="ZJ28" i="1"/>
  <c r="ZI28" i="1"/>
  <c r="ZH28" i="1"/>
  <c r="ZG28" i="1"/>
  <c r="ZF28" i="1"/>
  <c r="ZE28" i="1"/>
  <c r="ZD28" i="1"/>
  <c r="ZC28" i="1"/>
  <c r="ZB28" i="1"/>
  <c r="ZA28" i="1"/>
  <c r="YZ28" i="1"/>
  <c r="YY28" i="1"/>
  <c r="YX28" i="1"/>
  <c r="YW28" i="1"/>
  <c r="YV28" i="1"/>
  <c r="YU28" i="1"/>
  <c r="YT28" i="1"/>
  <c r="YS28" i="1"/>
  <c r="YR28" i="1"/>
  <c r="YQ28" i="1"/>
  <c r="YP28" i="1"/>
  <c r="YO28" i="1"/>
  <c r="YN28" i="1"/>
  <c r="YM28" i="1"/>
  <c r="YL28" i="1"/>
  <c r="YK28" i="1"/>
  <c r="YJ28" i="1"/>
  <c r="YI28" i="1"/>
  <c r="YH28" i="1"/>
  <c r="YG28" i="1"/>
  <c r="YF28" i="1"/>
  <c r="YE28" i="1"/>
  <c r="YD28" i="1"/>
  <c r="YC28" i="1"/>
  <c r="YB28" i="1"/>
  <c r="YA28" i="1"/>
  <c r="XZ28" i="1"/>
  <c r="XY28" i="1"/>
  <c r="XX28" i="1"/>
  <c r="XW28" i="1"/>
  <c r="XV28" i="1"/>
  <c r="XU28" i="1"/>
  <c r="XT28" i="1"/>
  <c r="XS28" i="1"/>
  <c r="XR28" i="1"/>
  <c r="XQ28" i="1"/>
  <c r="XP28" i="1"/>
  <c r="XO28" i="1"/>
  <c r="XN28" i="1"/>
  <c r="XM28" i="1"/>
  <c r="XL28" i="1"/>
  <c r="XK28" i="1"/>
  <c r="XJ28" i="1"/>
  <c r="XI28" i="1"/>
  <c r="XH28" i="1"/>
  <c r="XG28" i="1"/>
  <c r="XF28" i="1"/>
  <c r="XE28" i="1"/>
  <c r="XD28" i="1"/>
  <c r="XC28" i="1"/>
  <c r="XB28" i="1"/>
  <c r="XA28" i="1"/>
  <c r="WZ28" i="1"/>
  <c r="WY28" i="1"/>
  <c r="WX28" i="1"/>
  <c r="WW28" i="1"/>
  <c r="WV28" i="1"/>
  <c r="WU28" i="1"/>
  <c r="WT28" i="1"/>
  <c r="WS28" i="1"/>
  <c r="WR28" i="1"/>
  <c r="WQ28" i="1"/>
  <c r="WP28" i="1"/>
  <c r="WO28" i="1"/>
  <c r="WN28" i="1"/>
  <c r="WM28" i="1"/>
  <c r="WL28" i="1"/>
  <c r="WK28" i="1"/>
  <c r="WJ28" i="1"/>
  <c r="WI28" i="1"/>
  <c r="WH28" i="1"/>
  <c r="WG28" i="1"/>
  <c r="WF28" i="1"/>
  <c r="WE28" i="1"/>
  <c r="WD28" i="1"/>
  <c r="WC28" i="1"/>
  <c r="WB28" i="1"/>
  <c r="WA28" i="1"/>
  <c r="VZ28" i="1"/>
  <c r="VY28" i="1"/>
  <c r="VX28" i="1"/>
  <c r="VW28" i="1"/>
  <c r="VV28" i="1"/>
  <c r="VU28" i="1"/>
  <c r="VT28" i="1"/>
  <c r="VS28" i="1"/>
  <c r="VR28" i="1"/>
  <c r="VQ28" i="1"/>
  <c r="VP28" i="1"/>
  <c r="VO28" i="1"/>
  <c r="VN28" i="1"/>
  <c r="VM28" i="1"/>
  <c r="VL28" i="1"/>
  <c r="VK28" i="1"/>
  <c r="VJ28" i="1"/>
  <c r="VI28" i="1"/>
  <c r="VH28" i="1"/>
  <c r="VG28" i="1"/>
  <c r="VF28" i="1"/>
  <c r="VE28" i="1"/>
  <c r="VD28" i="1"/>
  <c r="VC28" i="1"/>
  <c r="VB28" i="1"/>
  <c r="VA28" i="1"/>
  <c r="UZ28" i="1"/>
  <c r="UY28" i="1"/>
  <c r="UX28" i="1"/>
  <c r="UW28" i="1"/>
  <c r="UV28" i="1"/>
  <c r="UU28" i="1"/>
  <c r="UT28" i="1"/>
  <c r="US28" i="1"/>
  <c r="UR28" i="1"/>
  <c r="UQ28" i="1"/>
  <c r="UP28" i="1"/>
  <c r="UO28" i="1"/>
  <c r="UN28" i="1"/>
  <c r="UM28" i="1"/>
  <c r="UL28" i="1"/>
  <c r="UK28" i="1"/>
  <c r="UJ28" i="1"/>
  <c r="UI28" i="1"/>
  <c r="UH28" i="1"/>
  <c r="UG28" i="1"/>
  <c r="UF28" i="1"/>
  <c r="UE28" i="1"/>
  <c r="UD28" i="1"/>
  <c r="UC28" i="1"/>
  <c r="UB28" i="1"/>
  <c r="UA28" i="1"/>
  <c r="TZ28" i="1"/>
  <c r="TY28" i="1"/>
  <c r="TX28" i="1"/>
  <c r="TW28" i="1"/>
  <c r="TV28" i="1"/>
  <c r="TU28" i="1"/>
  <c r="TT28" i="1"/>
  <c r="TS28" i="1"/>
  <c r="TR28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F33" i="1" s="1"/>
  <c r="ABI27" i="1"/>
  <c r="ABH27" i="1"/>
  <c r="ABH31" i="1" s="1"/>
  <c r="ABG27" i="1"/>
  <c r="ABG31" i="1" s="1"/>
  <c r="ABF27" i="1"/>
  <c r="ABF31" i="1" s="1"/>
  <c r="ABE27" i="1"/>
  <c r="ABD27" i="1"/>
  <c r="ABC27" i="1"/>
  <c r="ABC31" i="1" s="1"/>
  <c r="ABB27" i="1"/>
  <c r="ABB31" i="1" s="1"/>
  <c r="ABA27" i="1"/>
  <c r="AAZ27" i="1"/>
  <c r="AAY27" i="1"/>
  <c r="AAY31" i="1" s="1"/>
  <c r="AAX27" i="1"/>
  <c r="AAX31" i="1" s="1"/>
  <c r="AAW27" i="1"/>
  <c r="AAV27" i="1"/>
  <c r="AAU27" i="1"/>
  <c r="AAU31" i="1" s="1"/>
  <c r="AAT27" i="1"/>
  <c r="AAT31" i="1" s="1"/>
  <c r="AAS27" i="1"/>
  <c r="AAR27" i="1"/>
  <c r="AAQ27" i="1"/>
  <c r="AAQ31" i="1" s="1"/>
  <c r="AAP27" i="1"/>
  <c r="AAP31" i="1" s="1"/>
  <c r="AAO27" i="1"/>
  <c r="AAN27" i="1"/>
  <c r="AAM27" i="1"/>
  <c r="AAM31" i="1" s="1"/>
  <c r="AAL27" i="1"/>
  <c r="AAL31" i="1" s="1"/>
  <c r="AAK27" i="1"/>
  <c r="AAJ27" i="1"/>
  <c r="AAI27" i="1"/>
  <c r="AAI31" i="1" s="1"/>
  <c r="AAH27" i="1"/>
  <c r="AAH31" i="1" s="1"/>
  <c r="AAG27" i="1"/>
  <c r="AAF27" i="1"/>
  <c r="AAE27" i="1"/>
  <c r="AAE31" i="1" s="1"/>
  <c r="AAD27" i="1"/>
  <c r="AAD31" i="1" s="1"/>
  <c r="AAC27" i="1"/>
  <c r="AAB27" i="1"/>
  <c r="AAA27" i="1"/>
  <c r="AAA31" i="1" s="1"/>
  <c r="ZZ27" i="1"/>
  <c r="ZZ31" i="1" s="1"/>
  <c r="ZY27" i="1"/>
  <c r="ZX27" i="1"/>
  <c r="ZW27" i="1"/>
  <c r="ZW31" i="1" s="1"/>
  <c r="ZV27" i="1"/>
  <c r="ZV31" i="1" s="1"/>
  <c r="ZU27" i="1"/>
  <c r="ZT27" i="1"/>
  <c r="ZS27" i="1"/>
  <c r="ZS31" i="1" s="1"/>
  <c r="ZR27" i="1"/>
  <c r="ZR31" i="1" s="1"/>
  <c r="ZQ27" i="1"/>
  <c r="ZP27" i="1"/>
  <c r="ZO27" i="1"/>
  <c r="ZO31" i="1" s="1"/>
  <c r="ZN27" i="1"/>
  <c r="ZN31" i="1" s="1"/>
  <c r="ZM27" i="1"/>
  <c r="ZL27" i="1"/>
  <c r="ZK27" i="1"/>
  <c r="ZK31" i="1" s="1"/>
  <c r="ZJ27" i="1"/>
  <c r="ZJ31" i="1" s="1"/>
  <c r="ZI27" i="1"/>
  <c r="ZH27" i="1"/>
  <c r="ZG27" i="1"/>
  <c r="ZG31" i="1" s="1"/>
  <c r="ZF27" i="1"/>
  <c r="ZF31" i="1" s="1"/>
  <c r="ZE27" i="1"/>
  <c r="ZD27" i="1"/>
  <c r="ZC27" i="1"/>
  <c r="ZC31" i="1" s="1"/>
  <c r="ZB27" i="1"/>
  <c r="ZB31" i="1" s="1"/>
  <c r="ZA27" i="1"/>
  <c r="YZ27" i="1"/>
  <c r="YY27" i="1"/>
  <c r="YY31" i="1" s="1"/>
  <c r="YX27" i="1"/>
  <c r="YX31" i="1" s="1"/>
  <c r="YW27" i="1"/>
  <c r="YV27" i="1"/>
  <c r="YU27" i="1"/>
  <c r="YU31" i="1" s="1"/>
  <c r="YT27" i="1"/>
  <c r="YT31" i="1" s="1"/>
  <c r="YS27" i="1"/>
  <c r="YR27" i="1"/>
  <c r="YQ27" i="1"/>
  <c r="YQ31" i="1" s="1"/>
  <c r="YP27" i="1"/>
  <c r="YP31" i="1" s="1"/>
  <c r="YO27" i="1"/>
  <c r="YN27" i="1"/>
  <c r="YM27" i="1"/>
  <c r="YM31" i="1" s="1"/>
  <c r="YL27" i="1"/>
  <c r="YL31" i="1" s="1"/>
  <c r="YK27" i="1"/>
  <c r="YJ27" i="1"/>
  <c r="YI27" i="1"/>
  <c r="YI31" i="1" s="1"/>
  <c r="YH27" i="1"/>
  <c r="YH31" i="1" s="1"/>
  <c r="YG27" i="1"/>
  <c r="YF27" i="1"/>
  <c r="YE27" i="1"/>
  <c r="YE31" i="1" s="1"/>
  <c r="YD27" i="1"/>
  <c r="YD31" i="1" s="1"/>
  <c r="YC27" i="1"/>
  <c r="YB27" i="1"/>
  <c r="YA27" i="1"/>
  <c r="YA31" i="1" s="1"/>
  <c r="XZ27" i="1"/>
  <c r="XZ31" i="1" s="1"/>
  <c r="XY27" i="1"/>
  <c r="XX27" i="1"/>
  <c r="XW27" i="1"/>
  <c r="XW31" i="1" s="1"/>
  <c r="XV27" i="1"/>
  <c r="XV31" i="1" s="1"/>
  <c r="XU27" i="1"/>
  <c r="XT27" i="1"/>
  <c r="XS27" i="1"/>
  <c r="XS31" i="1" s="1"/>
  <c r="XR27" i="1"/>
  <c r="XR31" i="1" s="1"/>
  <c r="XQ27" i="1"/>
  <c r="XP27" i="1"/>
  <c r="XO27" i="1"/>
  <c r="XO31" i="1" s="1"/>
  <c r="XN27" i="1"/>
  <c r="XN31" i="1" s="1"/>
  <c r="XM27" i="1"/>
  <c r="XL27" i="1"/>
  <c r="XK27" i="1"/>
  <c r="XK31" i="1" s="1"/>
  <c r="XJ27" i="1"/>
  <c r="XJ31" i="1" s="1"/>
  <c r="XI27" i="1"/>
  <c r="XH27" i="1"/>
  <c r="XG27" i="1"/>
  <c r="XG31" i="1" s="1"/>
  <c r="XF27" i="1"/>
  <c r="XF31" i="1" s="1"/>
  <c r="XE27" i="1"/>
  <c r="XD27" i="1"/>
  <c r="XC27" i="1"/>
  <c r="XC31" i="1" s="1"/>
  <c r="XB27" i="1"/>
  <c r="XB31" i="1" s="1"/>
  <c r="XA27" i="1"/>
  <c r="WZ27" i="1"/>
  <c r="WY27" i="1"/>
  <c r="WY31" i="1" s="1"/>
  <c r="WX27" i="1"/>
  <c r="WX31" i="1" s="1"/>
  <c r="WW27" i="1"/>
  <c r="WV27" i="1"/>
  <c r="WU27" i="1"/>
  <c r="WU31" i="1" s="1"/>
  <c r="WT27" i="1"/>
  <c r="WT31" i="1" s="1"/>
  <c r="WS27" i="1"/>
  <c r="WR27" i="1"/>
  <c r="WQ27" i="1"/>
  <c r="WQ31" i="1" s="1"/>
  <c r="WP27" i="1"/>
  <c r="WP31" i="1" s="1"/>
  <c r="WO27" i="1"/>
  <c r="WN27" i="1"/>
  <c r="WM27" i="1"/>
  <c r="WM31" i="1" s="1"/>
  <c r="WL27" i="1"/>
  <c r="WL31" i="1" s="1"/>
  <c r="WK27" i="1"/>
  <c r="WJ27" i="1"/>
  <c r="WI27" i="1"/>
  <c r="WI31" i="1" s="1"/>
  <c r="WH27" i="1"/>
  <c r="WH31" i="1" s="1"/>
  <c r="WG27" i="1"/>
  <c r="WF27" i="1"/>
  <c r="WE27" i="1"/>
  <c r="WE31" i="1" s="1"/>
  <c r="WD27" i="1"/>
  <c r="WD31" i="1" s="1"/>
  <c r="WC27" i="1"/>
  <c r="WB27" i="1"/>
  <c r="WA27" i="1"/>
  <c r="WA31" i="1" s="1"/>
  <c r="VZ27" i="1"/>
  <c r="VZ31" i="1" s="1"/>
  <c r="VY27" i="1"/>
  <c r="VX27" i="1"/>
  <c r="VW27" i="1"/>
  <c r="VW31" i="1" s="1"/>
  <c r="VV27" i="1"/>
  <c r="VV31" i="1" s="1"/>
  <c r="VU27" i="1"/>
  <c r="VT27" i="1"/>
  <c r="VS27" i="1"/>
  <c r="VS31" i="1" s="1"/>
  <c r="VR27" i="1"/>
  <c r="VR31" i="1" s="1"/>
  <c r="VQ27" i="1"/>
  <c r="VP27" i="1"/>
  <c r="VO27" i="1"/>
  <c r="VO31" i="1" s="1"/>
  <c r="VN27" i="1"/>
  <c r="VN31" i="1" s="1"/>
  <c r="VM27" i="1"/>
  <c r="VL27" i="1"/>
  <c r="VK27" i="1"/>
  <c r="VK31" i="1" s="1"/>
  <c r="VJ27" i="1"/>
  <c r="VJ31" i="1" s="1"/>
  <c r="VI27" i="1"/>
  <c r="VH27" i="1"/>
  <c r="VG27" i="1"/>
  <c r="VG31" i="1" s="1"/>
  <c r="VF27" i="1"/>
  <c r="VF31" i="1" s="1"/>
  <c r="VE27" i="1"/>
  <c r="VD27" i="1"/>
  <c r="VC27" i="1"/>
  <c r="VC31" i="1" s="1"/>
  <c r="VB27" i="1"/>
  <c r="VB31" i="1" s="1"/>
  <c r="VA27" i="1"/>
  <c r="UZ27" i="1"/>
  <c r="UY27" i="1"/>
  <c r="UY31" i="1" s="1"/>
  <c r="UX27" i="1"/>
  <c r="UX31" i="1" s="1"/>
  <c r="UW27" i="1"/>
  <c r="UV27" i="1"/>
  <c r="UU27" i="1"/>
  <c r="UU31" i="1" s="1"/>
  <c r="UT27" i="1"/>
  <c r="UT31" i="1" s="1"/>
  <c r="US27" i="1"/>
  <c r="UR27" i="1"/>
  <c r="UQ27" i="1"/>
  <c r="UQ31" i="1" s="1"/>
  <c r="UP27" i="1"/>
  <c r="UP31" i="1" s="1"/>
  <c r="UO27" i="1"/>
  <c r="UN27" i="1"/>
  <c r="UM27" i="1"/>
  <c r="UM31" i="1" s="1"/>
  <c r="UL27" i="1"/>
  <c r="UL31" i="1" s="1"/>
  <c r="UK27" i="1"/>
  <c r="UJ27" i="1"/>
  <c r="UI27" i="1"/>
  <c r="UI31" i="1" s="1"/>
  <c r="UH27" i="1"/>
  <c r="UH31" i="1" s="1"/>
  <c r="UG27" i="1"/>
  <c r="UF27" i="1"/>
  <c r="UE27" i="1"/>
  <c r="UE31" i="1" s="1"/>
  <c r="UD27" i="1"/>
  <c r="UD31" i="1" s="1"/>
  <c r="UC27" i="1"/>
  <c r="UB27" i="1"/>
  <c r="UA27" i="1"/>
  <c r="UA31" i="1" s="1"/>
  <c r="TZ27" i="1"/>
  <c r="TZ31" i="1" s="1"/>
  <c r="TY27" i="1"/>
  <c r="TX27" i="1"/>
  <c r="TW27" i="1"/>
  <c r="TW31" i="1" s="1"/>
  <c r="TV27" i="1"/>
  <c r="TV31" i="1" s="1"/>
  <c r="TU27" i="1"/>
  <c r="TT27" i="1"/>
  <c r="TS27" i="1"/>
  <c r="TS31" i="1" s="1"/>
  <c r="TR27" i="1"/>
  <c r="TR31" i="1" s="1"/>
  <c r="TQ27" i="1"/>
  <c r="TP27" i="1"/>
  <c r="TO27" i="1"/>
  <c r="TO31" i="1" s="1"/>
  <c r="TN27" i="1"/>
  <c r="TN31" i="1" s="1"/>
  <c r="TM27" i="1"/>
  <c r="TL27" i="1"/>
  <c r="TK27" i="1"/>
  <c r="TK31" i="1" s="1"/>
  <c r="TJ27" i="1"/>
  <c r="TJ31" i="1" s="1"/>
  <c r="TI27" i="1"/>
  <c r="TH27" i="1"/>
  <c r="TG27" i="1"/>
  <c r="TG31" i="1" s="1"/>
  <c r="TF27" i="1"/>
  <c r="TF31" i="1" s="1"/>
  <c r="TE27" i="1"/>
  <c r="TD27" i="1"/>
  <c r="TC27" i="1"/>
  <c r="TC31" i="1" s="1"/>
  <c r="TB27" i="1"/>
  <c r="TB31" i="1" s="1"/>
  <c r="TA27" i="1"/>
  <c r="SZ27" i="1"/>
  <c r="SY27" i="1"/>
  <c r="SY31" i="1" s="1"/>
  <c r="SX27" i="1"/>
  <c r="SX31" i="1" s="1"/>
  <c r="SW27" i="1"/>
  <c r="SV27" i="1"/>
  <c r="SU27" i="1"/>
  <c r="SU31" i="1" s="1"/>
  <c r="ST27" i="1"/>
  <c r="ST31" i="1" s="1"/>
  <c r="SS27" i="1"/>
  <c r="SR27" i="1"/>
  <c r="SQ27" i="1"/>
  <c r="SQ31" i="1" s="1"/>
  <c r="SP27" i="1"/>
  <c r="SP31" i="1" s="1"/>
  <c r="SO27" i="1"/>
  <c r="SN27" i="1"/>
  <c r="SM27" i="1"/>
  <c r="SM31" i="1" s="1"/>
  <c r="SL27" i="1"/>
  <c r="SL31" i="1" s="1"/>
  <c r="SK27" i="1"/>
  <c r="SJ27" i="1"/>
  <c r="SI27" i="1"/>
  <c r="SI31" i="1" s="1"/>
  <c r="SH27" i="1"/>
  <c r="SH31" i="1" s="1"/>
  <c r="SG27" i="1"/>
  <c r="SF27" i="1"/>
  <c r="SE27" i="1"/>
  <c r="SE31" i="1" s="1"/>
  <c r="SD27" i="1"/>
  <c r="SD31" i="1" s="1"/>
  <c r="SC27" i="1"/>
  <c r="SB27" i="1"/>
  <c r="SA27" i="1"/>
  <c r="SA31" i="1" s="1"/>
  <c r="RZ27" i="1"/>
  <c r="RZ31" i="1" s="1"/>
  <c r="RY27" i="1"/>
  <c r="RX27" i="1"/>
  <c r="RW27" i="1"/>
  <c r="RW31" i="1" s="1"/>
  <c r="RV27" i="1"/>
  <c r="RV31" i="1" s="1"/>
  <c r="RU27" i="1"/>
  <c r="RT27" i="1"/>
  <c r="RS27" i="1"/>
  <c r="RS31" i="1" s="1"/>
  <c r="RR27" i="1"/>
  <c r="RR31" i="1" s="1"/>
  <c r="RQ27" i="1"/>
  <c r="RP27" i="1"/>
  <c r="RO27" i="1"/>
  <c r="RO31" i="1" s="1"/>
  <c r="RN27" i="1"/>
  <c r="RN31" i="1" s="1"/>
  <c r="RM27" i="1"/>
  <c r="RL27" i="1"/>
  <c r="RK27" i="1"/>
  <c r="RK31" i="1" s="1"/>
  <c r="RJ27" i="1"/>
  <c r="RJ31" i="1" s="1"/>
  <c r="RI27" i="1"/>
  <c r="RH27" i="1"/>
  <c r="RG27" i="1"/>
  <c r="RG31" i="1" s="1"/>
  <c r="RF27" i="1"/>
  <c r="RF31" i="1" s="1"/>
  <c r="RE27" i="1"/>
  <c r="RD27" i="1"/>
  <c r="RC27" i="1"/>
  <c r="RC31" i="1" s="1"/>
  <c r="RB27" i="1"/>
  <c r="RB31" i="1" s="1"/>
  <c r="RA27" i="1"/>
  <c r="QZ27" i="1"/>
  <c r="QY27" i="1"/>
  <c r="QY31" i="1" s="1"/>
  <c r="QX27" i="1"/>
  <c r="QX31" i="1" s="1"/>
  <c r="QW27" i="1"/>
  <c r="QV27" i="1"/>
  <c r="QU27" i="1"/>
  <c r="QU31" i="1" s="1"/>
  <c r="QT27" i="1"/>
  <c r="QT31" i="1" s="1"/>
  <c r="QS27" i="1"/>
  <c r="QR27" i="1"/>
  <c r="QQ27" i="1"/>
  <c r="QQ31" i="1" s="1"/>
  <c r="QP27" i="1"/>
  <c r="QP31" i="1" s="1"/>
  <c r="QO27" i="1"/>
  <c r="QN27" i="1"/>
  <c r="QM27" i="1"/>
  <c r="QM31" i="1" s="1"/>
  <c r="QL27" i="1"/>
  <c r="QL31" i="1" s="1"/>
  <c r="QK27" i="1"/>
  <c r="QJ27" i="1"/>
  <c r="QI27" i="1"/>
  <c r="QI31" i="1" s="1"/>
  <c r="QH27" i="1"/>
  <c r="QH31" i="1" s="1"/>
  <c r="QG27" i="1"/>
  <c r="QF27" i="1"/>
  <c r="QE27" i="1"/>
  <c r="QE31" i="1" s="1"/>
  <c r="QD27" i="1"/>
  <c r="QD31" i="1" s="1"/>
  <c r="QC27" i="1"/>
  <c r="QB27" i="1"/>
  <c r="QA27" i="1"/>
  <c r="QA31" i="1" s="1"/>
  <c r="PZ27" i="1"/>
  <c r="PZ31" i="1" s="1"/>
  <c r="PY27" i="1"/>
  <c r="PX27" i="1"/>
  <c r="PW27" i="1"/>
  <c r="PW31" i="1" s="1"/>
  <c r="PV27" i="1"/>
  <c r="PV31" i="1" s="1"/>
  <c r="PU27" i="1"/>
  <c r="PT27" i="1"/>
  <c r="PS27" i="1"/>
  <c r="PS31" i="1" s="1"/>
  <c r="PR27" i="1"/>
  <c r="PR31" i="1" s="1"/>
  <c r="PQ27" i="1"/>
  <c r="PP27" i="1"/>
  <c r="PO27" i="1"/>
  <c r="PO31" i="1" s="1"/>
  <c r="PN27" i="1"/>
  <c r="PN31" i="1" s="1"/>
  <c r="PM27" i="1"/>
  <c r="PL27" i="1"/>
  <c r="PK27" i="1"/>
  <c r="PK31" i="1" s="1"/>
  <c r="PJ27" i="1"/>
  <c r="PJ31" i="1" s="1"/>
  <c r="PI27" i="1"/>
  <c r="PH27" i="1"/>
  <c r="PG27" i="1"/>
  <c r="PG31" i="1" s="1"/>
  <c r="PF27" i="1"/>
  <c r="PF31" i="1" s="1"/>
  <c r="PE27" i="1"/>
  <c r="PD27" i="1"/>
  <c r="PC27" i="1"/>
  <c r="PC31" i="1" s="1"/>
  <c r="PB27" i="1"/>
  <c r="PB31" i="1" s="1"/>
  <c r="PA27" i="1"/>
  <c r="OZ27" i="1"/>
  <c r="OY27" i="1"/>
  <c r="OY31" i="1" s="1"/>
  <c r="OX27" i="1"/>
  <c r="OX31" i="1" s="1"/>
  <c r="OW27" i="1"/>
  <c r="OV27" i="1"/>
  <c r="OU27" i="1"/>
  <c r="OU31" i="1" s="1"/>
  <c r="OT27" i="1"/>
  <c r="OT31" i="1" s="1"/>
  <c r="OS27" i="1"/>
  <c r="OR27" i="1"/>
  <c r="OQ27" i="1"/>
  <c r="OQ31" i="1" s="1"/>
  <c r="OP27" i="1"/>
  <c r="OP31" i="1" s="1"/>
  <c r="OO27" i="1"/>
  <c r="ON27" i="1"/>
  <c r="OM27" i="1"/>
  <c r="OM31" i="1" s="1"/>
  <c r="OL27" i="1"/>
  <c r="OL31" i="1" s="1"/>
  <c r="OK27" i="1"/>
  <c r="OJ27" i="1"/>
  <c r="OI27" i="1"/>
  <c r="OI31" i="1" s="1"/>
  <c r="OH27" i="1"/>
  <c r="OH31" i="1" s="1"/>
  <c r="OG27" i="1"/>
  <c r="OF27" i="1"/>
  <c r="OE27" i="1"/>
  <c r="OE31" i="1" s="1"/>
  <c r="OD27" i="1"/>
  <c r="OD31" i="1" s="1"/>
  <c r="OC27" i="1"/>
  <c r="OB27" i="1"/>
  <c r="OA27" i="1"/>
  <c r="OA31" i="1" s="1"/>
  <c r="NZ27" i="1"/>
  <c r="NZ31" i="1" s="1"/>
  <c r="NY27" i="1"/>
  <c r="NX27" i="1"/>
  <c r="NW27" i="1"/>
  <c r="NW31" i="1" s="1"/>
  <c r="NV27" i="1"/>
  <c r="NV31" i="1" s="1"/>
  <c r="NU27" i="1"/>
  <c r="NT27" i="1"/>
  <c r="NS27" i="1"/>
  <c r="NS31" i="1" s="1"/>
  <c r="NR27" i="1"/>
  <c r="NR31" i="1" s="1"/>
  <c r="NQ27" i="1"/>
  <c r="NP27" i="1"/>
  <c r="NO27" i="1"/>
  <c r="NO31" i="1" s="1"/>
  <c r="NN27" i="1"/>
  <c r="NN31" i="1" s="1"/>
  <c r="NM27" i="1"/>
  <c r="NL27" i="1"/>
  <c r="NK27" i="1"/>
  <c r="NK31" i="1" s="1"/>
  <c r="NJ27" i="1"/>
  <c r="NJ31" i="1" s="1"/>
  <c r="NI27" i="1"/>
  <c r="NH27" i="1"/>
  <c r="NG27" i="1"/>
  <c r="NG31" i="1" s="1"/>
  <c r="NF27" i="1"/>
  <c r="NF31" i="1" s="1"/>
  <c r="NE27" i="1"/>
  <c r="ND27" i="1"/>
  <c r="NC27" i="1"/>
  <c r="NC31" i="1" s="1"/>
  <c r="NB27" i="1"/>
  <c r="NB31" i="1" s="1"/>
  <c r="NA27" i="1"/>
  <c r="MZ27" i="1"/>
  <c r="MY27" i="1"/>
  <c r="MY31" i="1" s="1"/>
  <c r="MX27" i="1"/>
  <c r="MX31" i="1" s="1"/>
  <c r="MW27" i="1"/>
  <c r="MV27" i="1"/>
  <c r="MU27" i="1"/>
  <c r="MU31" i="1" s="1"/>
  <c r="MT27" i="1"/>
  <c r="MT31" i="1" s="1"/>
  <c r="MS27" i="1"/>
  <c r="MR27" i="1"/>
  <c r="MQ27" i="1"/>
  <c r="MQ31" i="1" s="1"/>
  <c r="MP27" i="1"/>
  <c r="MP31" i="1" s="1"/>
  <c r="MO27" i="1"/>
  <c r="MN27" i="1"/>
  <c r="MM27" i="1"/>
  <c r="MM31" i="1" s="1"/>
  <c r="ML27" i="1"/>
  <c r="ML31" i="1" s="1"/>
  <c r="MK27" i="1"/>
  <c r="MJ27" i="1"/>
  <c r="MI27" i="1"/>
  <c r="MI31" i="1" s="1"/>
  <c r="MH27" i="1"/>
  <c r="MH31" i="1" s="1"/>
  <c r="MG27" i="1"/>
  <c r="MF27" i="1"/>
  <c r="ME27" i="1"/>
  <c r="ME31" i="1" s="1"/>
  <c r="MD27" i="1"/>
  <c r="MD31" i="1" s="1"/>
  <c r="MC27" i="1"/>
  <c r="MB27" i="1"/>
  <c r="MA27" i="1"/>
  <c r="MA31" i="1" s="1"/>
  <c r="LZ27" i="1"/>
  <c r="LZ31" i="1" s="1"/>
  <c r="LY27" i="1"/>
  <c r="LX27" i="1"/>
  <c r="LW27" i="1"/>
  <c r="LW31" i="1" s="1"/>
  <c r="LV27" i="1"/>
  <c r="LV31" i="1" s="1"/>
  <c r="LU27" i="1"/>
  <c r="LT27" i="1"/>
  <c r="LS27" i="1"/>
  <c r="LS31" i="1" s="1"/>
  <c r="LR27" i="1"/>
  <c r="LR31" i="1" s="1"/>
  <c r="LQ27" i="1"/>
  <c r="LP27" i="1"/>
  <c r="LO27" i="1"/>
  <c r="LO31" i="1" s="1"/>
  <c r="LN27" i="1"/>
  <c r="LN31" i="1" s="1"/>
  <c r="LM27" i="1"/>
  <c r="LL27" i="1"/>
  <c r="LK27" i="1"/>
  <c r="LK31" i="1" s="1"/>
  <c r="LJ27" i="1"/>
  <c r="LJ31" i="1" s="1"/>
  <c r="LI27" i="1"/>
  <c r="LH27" i="1"/>
  <c r="LG27" i="1"/>
  <c r="LG31" i="1" s="1"/>
  <c r="LF27" i="1"/>
  <c r="LF31" i="1" s="1"/>
  <c r="LE27" i="1"/>
  <c r="LD27" i="1"/>
  <c r="LC27" i="1"/>
  <c r="LC31" i="1" s="1"/>
  <c r="LB27" i="1"/>
  <c r="LB31" i="1" s="1"/>
  <c r="LA27" i="1"/>
  <c r="KZ27" i="1"/>
  <c r="KY27" i="1"/>
  <c r="KY31" i="1" s="1"/>
  <c r="KX27" i="1"/>
  <c r="KX31" i="1" s="1"/>
  <c r="KW27" i="1"/>
  <c r="KV27" i="1"/>
  <c r="KU27" i="1"/>
  <c r="KU31" i="1" s="1"/>
  <c r="KT27" i="1"/>
  <c r="KT31" i="1" s="1"/>
  <c r="KS27" i="1"/>
  <c r="KR27" i="1"/>
  <c r="KQ27" i="1"/>
  <c r="KQ31" i="1" s="1"/>
  <c r="KP27" i="1"/>
  <c r="KP31" i="1" s="1"/>
  <c r="KO27" i="1"/>
  <c r="KN27" i="1"/>
  <c r="KM27" i="1"/>
  <c r="KM31" i="1" s="1"/>
  <c r="KL27" i="1"/>
  <c r="KL31" i="1" s="1"/>
  <c r="KK27" i="1"/>
  <c r="KJ27" i="1"/>
  <c r="KI27" i="1"/>
  <c r="KI31" i="1" s="1"/>
  <c r="KH27" i="1"/>
  <c r="KH31" i="1" s="1"/>
  <c r="KG27" i="1"/>
  <c r="KF27" i="1"/>
  <c r="KE27" i="1"/>
  <c r="KE31" i="1" s="1"/>
  <c r="KD27" i="1"/>
  <c r="KD31" i="1" s="1"/>
  <c r="KC27" i="1"/>
  <c r="KB27" i="1"/>
  <c r="KA27" i="1"/>
  <c r="KA31" i="1" s="1"/>
  <c r="JZ27" i="1"/>
  <c r="JZ31" i="1" s="1"/>
  <c r="JY27" i="1"/>
  <c r="JX27" i="1"/>
  <c r="JW27" i="1"/>
  <c r="JW31" i="1" s="1"/>
  <c r="JV27" i="1"/>
  <c r="JV31" i="1" s="1"/>
  <c r="JU27" i="1"/>
  <c r="JT27" i="1"/>
  <c r="JS27" i="1"/>
  <c r="JS31" i="1" s="1"/>
  <c r="JR27" i="1"/>
  <c r="JR31" i="1" s="1"/>
  <c r="JQ27" i="1"/>
  <c r="JP27" i="1"/>
  <c r="JO27" i="1"/>
  <c r="JO31" i="1" s="1"/>
  <c r="JN27" i="1"/>
  <c r="JN31" i="1" s="1"/>
  <c r="JM27" i="1"/>
  <c r="JL27" i="1"/>
  <c r="JK27" i="1"/>
  <c r="JK31" i="1" s="1"/>
  <c r="JJ27" i="1"/>
  <c r="JJ31" i="1" s="1"/>
  <c r="JI27" i="1"/>
  <c r="JH27" i="1"/>
  <c r="JG27" i="1"/>
  <c r="JG31" i="1" s="1"/>
  <c r="JF27" i="1"/>
  <c r="JF31" i="1" s="1"/>
  <c r="JE27" i="1"/>
  <c r="JD27" i="1"/>
  <c r="JC27" i="1"/>
  <c r="JC31" i="1" s="1"/>
  <c r="JB27" i="1"/>
  <c r="JB31" i="1" s="1"/>
  <c r="JA27" i="1"/>
  <c r="IZ27" i="1"/>
  <c r="IY27" i="1"/>
  <c r="IY31" i="1" s="1"/>
  <c r="IX27" i="1"/>
  <c r="IX31" i="1" s="1"/>
  <c r="IW27" i="1"/>
  <c r="IV27" i="1"/>
  <c r="IU27" i="1"/>
  <c r="IU31" i="1" s="1"/>
  <c r="IT27" i="1"/>
  <c r="IT31" i="1" s="1"/>
  <c r="IS27" i="1"/>
  <c r="IR27" i="1"/>
  <c r="IQ27" i="1"/>
  <c r="IQ31" i="1" s="1"/>
  <c r="IP27" i="1"/>
  <c r="IP31" i="1" s="1"/>
  <c r="IO27" i="1"/>
  <c r="IN27" i="1"/>
  <c r="IM27" i="1"/>
  <c r="IM31" i="1" s="1"/>
  <c r="IL27" i="1"/>
  <c r="IL31" i="1" s="1"/>
  <c r="IK27" i="1"/>
  <c r="IJ27" i="1"/>
  <c r="II27" i="1"/>
  <c r="II31" i="1" s="1"/>
  <c r="IH27" i="1"/>
  <c r="IH31" i="1" s="1"/>
  <c r="IG27" i="1"/>
  <c r="IF27" i="1"/>
  <c r="IE27" i="1"/>
  <c r="IE31" i="1" s="1"/>
  <c r="ID27" i="1"/>
  <c r="ID31" i="1" s="1"/>
  <c r="IC27" i="1"/>
  <c r="IB27" i="1"/>
  <c r="IA27" i="1"/>
  <c r="IA31" i="1" s="1"/>
  <c r="HZ27" i="1"/>
  <c r="HZ31" i="1" s="1"/>
  <c r="HY27" i="1"/>
  <c r="HX27" i="1"/>
  <c r="HW27" i="1"/>
  <c r="HW31" i="1" s="1"/>
  <c r="HV27" i="1"/>
  <c r="HV31" i="1" s="1"/>
  <c r="HU27" i="1"/>
  <c r="HT27" i="1"/>
  <c r="HS27" i="1"/>
  <c r="HS31" i="1" s="1"/>
  <c r="HR27" i="1"/>
  <c r="HR31" i="1" s="1"/>
  <c r="HQ27" i="1"/>
  <c r="HP27" i="1"/>
  <c r="HO27" i="1"/>
  <c r="HO31" i="1" s="1"/>
  <c r="HN27" i="1"/>
  <c r="HN31" i="1" s="1"/>
  <c r="HM27" i="1"/>
  <c r="HL27" i="1"/>
  <c r="HK27" i="1"/>
  <c r="HK31" i="1" s="1"/>
  <c r="HJ27" i="1"/>
  <c r="HJ31" i="1" s="1"/>
  <c r="HI27" i="1"/>
  <c r="HH27" i="1"/>
  <c r="HG27" i="1"/>
  <c r="HG31" i="1" s="1"/>
  <c r="HF27" i="1"/>
  <c r="HF31" i="1" s="1"/>
  <c r="HE27" i="1"/>
  <c r="HD27" i="1"/>
  <c r="HC27" i="1"/>
  <c r="HC31" i="1" s="1"/>
  <c r="HB27" i="1"/>
  <c r="HB31" i="1" s="1"/>
  <c r="HA27" i="1"/>
  <c r="GZ27" i="1"/>
  <c r="GY27" i="1"/>
  <c r="GY31" i="1" s="1"/>
  <c r="GX27" i="1"/>
  <c r="GX31" i="1" s="1"/>
  <c r="GW27" i="1"/>
  <c r="GV27" i="1"/>
  <c r="GU27" i="1"/>
  <c r="GU31" i="1" s="1"/>
  <c r="GT27" i="1"/>
  <c r="GT31" i="1" s="1"/>
  <c r="GS27" i="1"/>
  <c r="GR27" i="1"/>
  <c r="GQ27" i="1"/>
  <c r="GQ31" i="1" s="1"/>
  <c r="GP27" i="1"/>
  <c r="GP31" i="1" s="1"/>
  <c r="GO27" i="1"/>
  <c r="GN27" i="1"/>
  <c r="GM27" i="1"/>
  <c r="GM31" i="1" s="1"/>
  <c r="GL27" i="1"/>
  <c r="GL31" i="1" s="1"/>
  <c r="GK27" i="1"/>
  <c r="GJ27" i="1"/>
  <c r="GI27" i="1"/>
  <c r="GI31" i="1" s="1"/>
  <c r="GH27" i="1"/>
  <c r="GH31" i="1" s="1"/>
  <c r="GG27" i="1"/>
  <c r="GF27" i="1"/>
  <c r="GE27" i="1"/>
  <c r="GE31" i="1" s="1"/>
  <c r="GD27" i="1"/>
  <c r="GD31" i="1" s="1"/>
  <c r="GC27" i="1"/>
  <c r="GB27" i="1"/>
  <c r="GA27" i="1"/>
  <c r="GA31" i="1" s="1"/>
  <c r="FZ27" i="1"/>
  <c r="FZ31" i="1" s="1"/>
  <c r="FY27" i="1"/>
  <c r="FX27" i="1"/>
  <c r="FW27" i="1"/>
  <c r="FW31" i="1" s="1"/>
  <c r="FV27" i="1"/>
  <c r="FV31" i="1" s="1"/>
  <c r="FU27" i="1"/>
  <c r="FT27" i="1"/>
  <c r="FS27" i="1"/>
  <c r="FS31" i="1" s="1"/>
  <c r="FR27" i="1"/>
  <c r="FR31" i="1" s="1"/>
  <c r="FQ27" i="1"/>
  <c r="FP27" i="1"/>
  <c r="FO27" i="1"/>
  <c r="FO31" i="1" s="1"/>
  <c r="FN27" i="1"/>
  <c r="FN31" i="1" s="1"/>
  <c r="FM27" i="1"/>
  <c r="FL27" i="1"/>
  <c r="FK27" i="1"/>
  <c r="FK31" i="1" s="1"/>
  <c r="FJ27" i="1"/>
  <c r="FJ31" i="1" s="1"/>
  <c r="FI27" i="1"/>
  <c r="FH27" i="1"/>
  <c r="FG27" i="1"/>
  <c r="FG31" i="1" s="1"/>
  <c r="FF27" i="1"/>
  <c r="FF31" i="1" s="1"/>
  <c r="FE27" i="1"/>
  <c r="FD27" i="1"/>
  <c r="FC27" i="1"/>
  <c r="FC31" i="1" s="1"/>
  <c r="FB27" i="1"/>
  <c r="FB31" i="1" s="1"/>
  <c r="FA27" i="1"/>
  <c r="EZ27" i="1"/>
  <c r="EY27" i="1"/>
  <c r="EY31" i="1" s="1"/>
  <c r="EX27" i="1"/>
  <c r="EX31" i="1" s="1"/>
  <c r="EW27" i="1"/>
  <c r="EV27" i="1"/>
  <c r="EU27" i="1"/>
  <c r="EU31" i="1" s="1"/>
  <c r="ET27" i="1"/>
  <c r="ET31" i="1" s="1"/>
  <c r="ES27" i="1"/>
  <c r="ER27" i="1"/>
  <c r="EQ27" i="1"/>
  <c r="EQ31" i="1" s="1"/>
  <c r="EP27" i="1"/>
  <c r="EP31" i="1" s="1"/>
  <c r="EO27" i="1"/>
  <c r="EN27" i="1"/>
  <c r="EM27" i="1"/>
  <c r="EM31" i="1" s="1"/>
  <c r="EL27" i="1"/>
  <c r="EL31" i="1" s="1"/>
  <c r="EK27" i="1"/>
  <c r="EJ27" i="1"/>
  <c r="EI27" i="1"/>
  <c r="EI31" i="1" s="1"/>
  <c r="EH27" i="1"/>
  <c r="EH31" i="1" s="1"/>
  <c r="EG27" i="1"/>
  <c r="EF27" i="1"/>
  <c r="EE27" i="1"/>
  <c r="EE31" i="1" s="1"/>
  <c r="ED27" i="1"/>
  <c r="ED31" i="1" s="1"/>
  <c r="EC27" i="1"/>
  <c r="EB27" i="1"/>
  <c r="EA27" i="1"/>
  <c r="EA31" i="1" s="1"/>
  <c r="DZ27" i="1"/>
  <c r="DZ31" i="1" s="1"/>
  <c r="DY27" i="1"/>
  <c r="DX27" i="1"/>
  <c r="DW27" i="1"/>
  <c r="DW31" i="1" s="1"/>
  <c r="DV27" i="1"/>
  <c r="DV31" i="1" s="1"/>
  <c r="DU27" i="1"/>
  <c r="DT27" i="1"/>
  <c r="DS27" i="1"/>
  <c r="DS31" i="1" s="1"/>
  <c r="DR27" i="1"/>
  <c r="DR31" i="1" s="1"/>
  <c r="DQ27" i="1"/>
  <c r="DP27" i="1"/>
  <c r="DO27" i="1"/>
  <c r="DO31" i="1" s="1"/>
  <c r="DN27" i="1"/>
  <c r="DN31" i="1" s="1"/>
  <c r="DM27" i="1"/>
  <c r="DL27" i="1"/>
  <c r="DK27" i="1"/>
  <c r="DK31" i="1" s="1"/>
  <c r="DJ27" i="1"/>
  <c r="DJ31" i="1" s="1"/>
  <c r="DI27" i="1"/>
  <c r="DH27" i="1"/>
  <c r="DG27" i="1"/>
  <c r="DG31" i="1" s="1"/>
  <c r="DF27" i="1"/>
  <c r="DF31" i="1" s="1"/>
  <c r="DE27" i="1"/>
  <c r="DD27" i="1"/>
  <c r="DC27" i="1"/>
  <c r="DC31" i="1" s="1"/>
  <c r="DB27" i="1"/>
  <c r="DB31" i="1" s="1"/>
  <c r="DA27" i="1"/>
  <c r="CZ27" i="1"/>
  <c r="CY27" i="1"/>
  <c r="CY31" i="1" s="1"/>
  <c r="CX27" i="1"/>
  <c r="CX31" i="1" s="1"/>
  <c r="CW27" i="1"/>
  <c r="CV27" i="1"/>
  <c r="CU27" i="1"/>
  <c r="CU31" i="1" s="1"/>
  <c r="CT27" i="1"/>
  <c r="CT31" i="1" s="1"/>
  <c r="CS27" i="1"/>
  <c r="CR27" i="1"/>
  <c r="CQ27" i="1"/>
  <c r="CQ31" i="1" s="1"/>
  <c r="CP27" i="1"/>
  <c r="CP31" i="1" s="1"/>
  <c r="CO27" i="1"/>
  <c r="CN27" i="1"/>
  <c r="CM27" i="1"/>
  <c r="CM31" i="1" s="1"/>
  <c r="CL27" i="1"/>
  <c r="CL31" i="1" s="1"/>
  <c r="CK27" i="1"/>
  <c r="CJ27" i="1"/>
  <c r="CI27" i="1"/>
  <c r="CI31" i="1" s="1"/>
  <c r="CH27" i="1"/>
  <c r="CH31" i="1" s="1"/>
  <c r="CG27" i="1"/>
  <c r="CF27" i="1"/>
  <c r="CE27" i="1"/>
  <c r="CE31" i="1" s="1"/>
  <c r="CD27" i="1"/>
  <c r="CD31" i="1" s="1"/>
  <c r="CC27" i="1"/>
  <c r="CB27" i="1"/>
  <c r="CA27" i="1"/>
  <c r="CA31" i="1" s="1"/>
  <c r="BZ27" i="1"/>
  <c r="BZ31" i="1" s="1"/>
  <c r="BY27" i="1"/>
  <c r="BX27" i="1"/>
  <c r="BW27" i="1"/>
  <c r="BW31" i="1" s="1"/>
  <c r="BV27" i="1"/>
  <c r="BV31" i="1" s="1"/>
  <c r="BU27" i="1"/>
  <c r="BT27" i="1"/>
  <c r="BS27" i="1"/>
  <c r="BS31" i="1" s="1"/>
  <c r="BR27" i="1"/>
  <c r="BR31" i="1" s="1"/>
  <c r="BQ27" i="1"/>
  <c r="BP27" i="1"/>
  <c r="BO27" i="1"/>
  <c r="BO31" i="1" s="1"/>
  <c r="BN27" i="1"/>
  <c r="BN31" i="1" s="1"/>
  <c r="BM27" i="1"/>
  <c r="BL27" i="1"/>
  <c r="BK27" i="1"/>
  <c r="BK31" i="1" s="1"/>
  <c r="BJ27" i="1"/>
  <c r="BJ31" i="1" s="1"/>
  <c r="BI27" i="1"/>
  <c r="BH27" i="1"/>
  <c r="BG27" i="1"/>
  <c r="BG31" i="1" s="1"/>
  <c r="BF27" i="1"/>
  <c r="BF31" i="1" s="1"/>
  <c r="BE27" i="1"/>
  <c r="BD27" i="1"/>
  <c r="BC27" i="1"/>
  <c r="BC31" i="1" s="1"/>
  <c r="BB27" i="1"/>
  <c r="BB31" i="1" s="1"/>
  <c r="BA27" i="1"/>
  <c r="AZ27" i="1"/>
  <c r="AY27" i="1"/>
  <c r="AY31" i="1" s="1"/>
  <c r="AX27" i="1"/>
  <c r="AX31" i="1" s="1"/>
  <c r="AW27" i="1"/>
  <c r="AV27" i="1"/>
  <c r="AU27" i="1"/>
  <c r="AU31" i="1" s="1"/>
  <c r="AT27" i="1"/>
  <c r="AT31" i="1" s="1"/>
  <c r="AS27" i="1"/>
  <c r="AR27" i="1"/>
  <c r="AQ27" i="1"/>
  <c r="AQ31" i="1" s="1"/>
  <c r="AP27" i="1"/>
  <c r="AP31" i="1" s="1"/>
  <c r="AO27" i="1"/>
  <c r="AN27" i="1"/>
  <c r="AM27" i="1"/>
  <c r="AM31" i="1" s="1"/>
  <c r="AL27" i="1"/>
  <c r="AL31" i="1" s="1"/>
  <c r="AK27" i="1"/>
  <c r="AJ27" i="1"/>
  <c r="AI27" i="1"/>
  <c r="AI31" i="1" s="1"/>
  <c r="AH27" i="1"/>
  <c r="AH31" i="1" s="1"/>
  <c r="AG27" i="1"/>
  <c r="AF27" i="1"/>
  <c r="AE27" i="1"/>
  <c r="AE31" i="1" s="1"/>
  <c r="AD27" i="1"/>
  <c r="AD31" i="1" s="1"/>
  <c r="AC27" i="1"/>
  <c r="AB27" i="1"/>
  <c r="AA27" i="1"/>
  <c r="AA31" i="1" s="1"/>
  <c r="Z27" i="1"/>
  <c r="Z31" i="1" s="1"/>
  <c r="Y27" i="1"/>
  <c r="X27" i="1"/>
  <c r="W27" i="1"/>
  <c r="W31" i="1" s="1"/>
  <c r="V27" i="1"/>
  <c r="V31" i="1" s="1"/>
  <c r="U27" i="1"/>
  <c r="T27" i="1"/>
  <c r="S27" i="1"/>
  <c r="S31" i="1" s="1"/>
  <c r="R27" i="1"/>
  <c r="R31" i="1" s="1"/>
  <c r="Q27" i="1"/>
  <c r="P27" i="1"/>
  <c r="O27" i="1"/>
  <c r="O31" i="1" s="1"/>
  <c r="N27" i="1"/>
  <c r="N31" i="1" s="1"/>
  <c r="M27" i="1"/>
  <c r="L27" i="1"/>
  <c r="K27" i="1"/>
  <c r="K31" i="1" s="1"/>
  <c r="J27" i="1"/>
  <c r="J31" i="1" s="1"/>
  <c r="I27" i="1"/>
  <c r="H27" i="1"/>
  <c r="G27" i="1"/>
  <c r="G31" i="1" s="1"/>
  <c r="F27" i="1"/>
  <c r="F32" i="1" s="1"/>
  <c r="ABI26" i="1"/>
  <c r="ABH26" i="1"/>
  <c r="ABH24" i="1" s="1"/>
  <c r="ABG26" i="1"/>
  <c r="ABG24" i="1" s="1"/>
  <c r="ABF26" i="1"/>
  <c r="ABE26" i="1"/>
  <c r="ABD26" i="1"/>
  <c r="ABD24" i="1" s="1"/>
  <c r="ABC26" i="1"/>
  <c r="ABB26" i="1"/>
  <c r="ABA26" i="1"/>
  <c r="AAZ26" i="1"/>
  <c r="AAZ2" i="1" s="1"/>
  <c r="AAZ3" i="1" s="1"/>
  <c r="AAY26" i="1"/>
  <c r="AAX26" i="1"/>
  <c r="AAW26" i="1"/>
  <c r="AAV26" i="1"/>
  <c r="AAV24" i="1" s="1"/>
  <c r="AAU26" i="1"/>
  <c r="AAU24" i="1" s="1"/>
  <c r="AAT26" i="1"/>
  <c r="AAS26" i="1"/>
  <c r="AAR26" i="1"/>
  <c r="AAR24" i="1" s="1"/>
  <c r="AAQ26" i="1"/>
  <c r="AAP26" i="1"/>
  <c r="AAO26" i="1"/>
  <c r="AAN26" i="1"/>
  <c r="AAN24" i="1" s="1"/>
  <c r="AAM26" i="1"/>
  <c r="AAL26" i="1"/>
  <c r="AAK26" i="1"/>
  <c r="AAJ26" i="1"/>
  <c r="AAJ2" i="1" s="1"/>
  <c r="AAJ3" i="1" s="1"/>
  <c r="AAI26" i="1"/>
  <c r="AAH26" i="1"/>
  <c r="AAG26" i="1"/>
  <c r="AAF26" i="1"/>
  <c r="AAE26" i="1"/>
  <c r="AAE24" i="1" s="1"/>
  <c r="AAD26" i="1"/>
  <c r="AAC26" i="1"/>
  <c r="AAB26" i="1"/>
  <c r="AAB24" i="1" s="1"/>
  <c r="AAA26" i="1"/>
  <c r="ZZ26" i="1"/>
  <c r="ZY26" i="1"/>
  <c r="ZX26" i="1"/>
  <c r="ZX24" i="1" s="1"/>
  <c r="ZW26" i="1"/>
  <c r="ZV26" i="1"/>
  <c r="ZU26" i="1"/>
  <c r="ZT26" i="1"/>
  <c r="ZT2" i="1" s="1"/>
  <c r="ZT3" i="1" s="1"/>
  <c r="ZS26" i="1"/>
  <c r="ZR26" i="1"/>
  <c r="ZQ26" i="1"/>
  <c r="ZP26" i="1"/>
  <c r="ZP24" i="1" s="1"/>
  <c r="ZO26" i="1"/>
  <c r="ZN26" i="1"/>
  <c r="ZM26" i="1"/>
  <c r="ZL26" i="1"/>
  <c r="ZL24" i="1" s="1"/>
  <c r="ZK26" i="1"/>
  <c r="ZJ26" i="1"/>
  <c r="ZI26" i="1"/>
  <c r="ZH26" i="1"/>
  <c r="ZH24" i="1" s="1"/>
  <c r="ZG26" i="1"/>
  <c r="ZF26" i="1"/>
  <c r="ZE26" i="1"/>
  <c r="ZD26" i="1"/>
  <c r="ZD2" i="1" s="1"/>
  <c r="ZD3" i="1" s="1"/>
  <c r="ZC26" i="1"/>
  <c r="ZB26" i="1"/>
  <c r="ZA26" i="1"/>
  <c r="YZ26" i="1"/>
  <c r="YY26" i="1"/>
  <c r="YY24" i="1" s="1"/>
  <c r="YX26" i="1"/>
  <c r="YW26" i="1"/>
  <c r="YV26" i="1"/>
  <c r="YV24" i="1" s="1"/>
  <c r="YU26" i="1"/>
  <c r="YT26" i="1"/>
  <c r="YS26" i="1"/>
  <c r="YR26" i="1"/>
  <c r="YR24" i="1" s="1"/>
  <c r="YQ26" i="1"/>
  <c r="YP26" i="1"/>
  <c r="YO26" i="1"/>
  <c r="YN26" i="1"/>
  <c r="YN2" i="1" s="1"/>
  <c r="YN3" i="1" s="1"/>
  <c r="YM26" i="1"/>
  <c r="YL26" i="1"/>
  <c r="YK26" i="1"/>
  <c r="YJ26" i="1"/>
  <c r="YJ24" i="1" s="1"/>
  <c r="YI26" i="1"/>
  <c r="YH26" i="1"/>
  <c r="YG26" i="1"/>
  <c r="YF26" i="1"/>
  <c r="YF24" i="1" s="1"/>
  <c r="YE26" i="1"/>
  <c r="YD26" i="1"/>
  <c r="YC26" i="1"/>
  <c r="YB26" i="1"/>
  <c r="YB24" i="1" s="1"/>
  <c r="YA26" i="1"/>
  <c r="XZ26" i="1"/>
  <c r="XY26" i="1"/>
  <c r="XX26" i="1"/>
  <c r="XX2" i="1" s="1"/>
  <c r="XX3" i="1" s="1"/>
  <c r="XW26" i="1"/>
  <c r="XV26" i="1"/>
  <c r="XU26" i="1"/>
  <c r="XT26" i="1"/>
  <c r="XS26" i="1"/>
  <c r="XR26" i="1"/>
  <c r="XQ26" i="1"/>
  <c r="XP26" i="1"/>
  <c r="XP24" i="1" s="1"/>
  <c r="XO26" i="1"/>
  <c r="XN26" i="1"/>
  <c r="XM26" i="1"/>
  <c r="XL26" i="1"/>
  <c r="XL24" i="1" s="1"/>
  <c r="XK26" i="1"/>
  <c r="XJ26" i="1"/>
  <c r="XI26" i="1"/>
  <c r="XH26" i="1"/>
  <c r="XH2" i="1" s="1"/>
  <c r="XH3" i="1" s="1"/>
  <c r="XG26" i="1"/>
  <c r="XF26" i="1"/>
  <c r="XE26" i="1"/>
  <c r="XD26" i="1"/>
  <c r="XD24" i="1" s="1"/>
  <c r="XC26" i="1"/>
  <c r="XC24" i="1" s="1"/>
  <c r="XB26" i="1"/>
  <c r="XA26" i="1"/>
  <c r="WZ26" i="1"/>
  <c r="WZ24" i="1" s="1"/>
  <c r="WY26" i="1"/>
  <c r="WX26" i="1"/>
  <c r="WW26" i="1"/>
  <c r="WV26" i="1"/>
  <c r="WV24" i="1" s="1"/>
  <c r="WU26" i="1"/>
  <c r="WT26" i="1"/>
  <c r="WS26" i="1"/>
  <c r="WR26" i="1"/>
  <c r="WR2" i="1" s="1"/>
  <c r="WR3" i="1" s="1"/>
  <c r="WQ26" i="1"/>
  <c r="WP26" i="1"/>
  <c r="WO26" i="1"/>
  <c r="WN26" i="1"/>
  <c r="WM26" i="1"/>
  <c r="WL26" i="1"/>
  <c r="WK26" i="1"/>
  <c r="WJ26" i="1"/>
  <c r="WJ24" i="1" s="1"/>
  <c r="WI26" i="1"/>
  <c r="WI24" i="1" s="1"/>
  <c r="WH26" i="1"/>
  <c r="WG26" i="1"/>
  <c r="WF26" i="1"/>
  <c r="WF24" i="1" s="1"/>
  <c r="WE26" i="1"/>
  <c r="WD26" i="1"/>
  <c r="WC26" i="1"/>
  <c r="WB26" i="1"/>
  <c r="WB2" i="1" s="1"/>
  <c r="WB3" i="1" s="1"/>
  <c r="WA26" i="1"/>
  <c r="VZ26" i="1"/>
  <c r="VY26" i="1"/>
  <c r="VX26" i="1"/>
  <c r="VX24" i="1" s="1"/>
  <c r="VW26" i="1"/>
  <c r="VV26" i="1"/>
  <c r="VU26" i="1"/>
  <c r="VT26" i="1"/>
  <c r="VT24" i="1" s="1"/>
  <c r="VS26" i="1"/>
  <c r="VR26" i="1"/>
  <c r="VQ26" i="1"/>
  <c r="VP26" i="1"/>
  <c r="VP24" i="1" s="1"/>
  <c r="VO26" i="1"/>
  <c r="VN26" i="1"/>
  <c r="VM26" i="1"/>
  <c r="VL26" i="1"/>
  <c r="VL2" i="1" s="1"/>
  <c r="VL3" i="1" s="1"/>
  <c r="VK26" i="1"/>
  <c r="VJ26" i="1"/>
  <c r="VI26" i="1"/>
  <c r="VH26" i="1"/>
  <c r="VG26" i="1"/>
  <c r="VF26" i="1"/>
  <c r="VE26" i="1"/>
  <c r="VD26" i="1"/>
  <c r="VD24" i="1" s="1"/>
  <c r="VC26" i="1"/>
  <c r="VC24" i="1" s="1"/>
  <c r="VB26" i="1"/>
  <c r="VA26" i="1"/>
  <c r="UZ26" i="1"/>
  <c r="UZ24" i="1" s="1"/>
  <c r="UY26" i="1"/>
  <c r="UX26" i="1"/>
  <c r="UW26" i="1"/>
  <c r="UV26" i="1"/>
  <c r="UV2" i="1" s="1"/>
  <c r="UV3" i="1" s="1"/>
  <c r="UU26" i="1"/>
  <c r="UT26" i="1"/>
  <c r="US26" i="1"/>
  <c r="UR26" i="1"/>
  <c r="UR24" i="1" s="1"/>
  <c r="UQ26" i="1"/>
  <c r="UP26" i="1"/>
  <c r="UO26" i="1"/>
  <c r="UN26" i="1"/>
  <c r="UN24" i="1" s="1"/>
  <c r="UM26" i="1"/>
  <c r="UL26" i="1"/>
  <c r="UK26" i="1"/>
  <c r="UJ26" i="1"/>
  <c r="UJ24" i="1" s="1"/>
  <c r="UI26" i="1"/>
  <c r="UH26" i="1"/>
  <c r="UG26" i="1"/>
  <c r="UF26" i="1"/>
  <c r="UF2" i="1" s="1"/>
  <c r="UF3" i="1" s="1"/>
  <c r="UE26" i="1"/>
  <c r="UD26" i="1"/>
  <c r="UC26" i="1"/>
  <c r="UB26" i="1"/>
  <c r="UA26" i="1"/>
  <c r="UA24" i="1" s="1"/>
  <c r="TZ26" i="1"/>
  <c r="TY26" i="1"/>
  <c r="TX26" i="1"/>
  <c r="TX24" i="1" s="1"/>
  <c r="TW26" i="1"/>
  <c r="TV26" i="1"/>
  <c r="TU26" i="1"/>
  <c r="TT26" i="1"/>
  <c r="TT24" i="1" s="1"/>
  <c r="TS26" i="1"/>
  <c r="TR26" i="1"/>
  <c r="TQ26" i="1"/>
  <c r="TP26" i="1"/>
  <c r="TP2" i="1" s="1"/>
  <c r="TP3" i="1" s="1"/>
  <c r="TO26" i="1"/>
  <c r="TN26" i="1"/>
  <c r="TM26" i="1"/>
  <c r="TL26" i="1"/>
  <c r="TL24" i="1" s="1"/>
  <c r="TK26" i="1"/>
  <c r="TK24" i="1" s="1"/>
  <c r="TJ26" i="1"/>
  <c r="TI26" i="1"/>
  <c r="TH26" i="1"/>
  <c r="TH24" i="1" s="1"/>
  <c r="TG26" i="1"/>
  <c r="TF26" i="1"/>
  <c r="TE26" i="1"/>
  <c r="TD26" i="1"/>
  <c r="TD24" i="1" s="1"/>
  <c r="TC26" i="1"/>
  <c r="TB26" i="1"/>
  <c r="TA26" i="1"/>
  <c r="SZ26" i="1"/>
  <c r="SZ2" i="1" s="1"/>
  <c r="SZ3" i="1" s="1"/>
  <c r="SY26" i="1"/>
  <c r="SX26" i="1"/>
  <c r="SW26" i="1"/>
  <c r="SV26" i="1"/>
  <c r="SU26" i="1"/>
  <c r="SU24" i="1" s="1"/>
  <c r="ST26" i="1"/>
  <c r="SS26" i="1"/>
  <c r="SR26" i="1"/>
  <c r="SR24" i="1" s="1"/>
  <c r="SQ26" i="1"/>
  <c r="SQ24" i="1" s="1"/>
  <c r="SP26" i="1"/>
  <c r="SO26" i="1"/>
  <c r="SN26" i="1"/>
  <c r="SN24" i="1" s="1"/>
  <c r="SM26" i="1"/>
  <c r="SL26" i="1"/>
  <c r="SK26" i="1"/>
  <c r="SJ26" i="1"/>
  <c r="SJ2" i="1" s="1"/>
  <c r="SJ3" i="1" s="1"/>
  <c r="SI26" i="1"/>
  <c r="SH26" i="1"/>
  <c r="SG26" i="1"/>
  <c r="SF26" i="1"/>
  <c r="SF24" i="1" s="1"/>
  <c r="SE26" i="1"/>
  <c r="SD26" i="1"/>
  <c r="SC26" i="1"/>
  <c r="SB26" i="1"/>
  <c r="SB24" i="1" s="1"/>
  <c r="SA26" i="1"/>
  <c r="RZ26" i="1"/>
  <c r="RY26" i="1"/>
  <c r="RX26" i="1"/>
  <c r="RX24" i="1" s="1"/>
  <c r="RW26" i="1"/>
  <c r="RV26" i="1"/>
  <c r="RU26" i="1"/>
  <c r="RT26" i="1"/>
  <c r="RT2" i="1" s="1"/>
  <c r="RT3" i="1" s="1"/>
  <c r="RS26" i="1"/>
  <c r="RR26" i="1"/>
  <c r="RQ26" i="1"/>
  <c r="RP26" i="1"/>
  <c r="RO26" i="1"/>
  <c r="RN26" i="1"/>
  <c r="RM26" i="1"/>
  <c r="RL26" i="1"/>
  <c r="RL24" i="1" s="1"/>
  <c r="RK26" i="1"/>
  <c r="RK24" i="1" s="1"/>
  <c r="RJ26" i="1"/>
  <c r="RI26" i="1"/>
  <c r="RH26" i="1"/>
  <c r="RH24" i="1" s="1"/>
  <c r="RG26" i="1"/>
  <c r="RF26" i="1"/>
  <c r="RE26" i="1"/>
  <c r="RD26" i="1"/>
  <c r="RD2" i="1" s="1"/>
  <c r="RD3" i="1" s="1"/>
  <c r="RC26" i="1"/>
  <c r="RB26" i="1"/>
  <c r="RA26" i="1"/>
  <c r="QZ26" i="1"/>
  <c r="QZ24" i="1" s="1"/>
  <c r="QY26" i="1"/>
  <c r="QY24" i="1" s="1"/>
  <c r="QX26" i="1"/>
  <c r="QW26" i="1"/>
  <c r="QV26" i="1"/>
  <c r="QV24" i="1" s="1"/>
  <c r="QU26" i="1"/>
  <c r="QT26" i="1"/>
  <c r="QS26" i="1"/>
  <c r="QR26" i="1"/>
  <c r="QR24" i="1" s="1"/>
  <c r="QQ26" i="1"/>
  <c r="QP26" i="1"/>
  <c r="QO26" i="1"/>
  <c r="QN26" i="1"/>
  <c r="QN2" i="1" s="1"/>
  <c r="QN3" i="1" s="1"/>
  <c r="QM26" i="1"/>
  <c r="QL26" i="1"/>
  <c r="QK26" i="1"/>
  <c r="QJ26" i="1"/>
  <c r="QI26" i="1"/>
  <c r="QI24" i="1" s="1"/>
  <c r="QH26" i="1"/>
  <c r="QG26" i="1"/>
  <c r="QF26" i="1"/>
  <c r="QF24" i="1" s="1"/>
  <c r="QE26" i="1"/>
  <c r="QD26" i="1"/>
  <c r="QC26" i="1"/>
  <c r="QB26" i="1"/>
  <c r="QB24" i="1" s="1"/>
  <c r="QA26" i="1"/>
  <c r="PZ26" i="1"/>
  <c r="PY26" i="1"/>
  <c r="PX26" i="1"/>
  <c r="PX2" i="1" s="1"/>
  <c r="PX3" i="1" s="1"/>
  <c r="PW26" i="1"/>
  <c r="PV26" i="1"/>
  <c r="PU26" i="1"/>
  <c r="PT26" i="1"/>
  <c r="PT24" i="1" s="1"/>
  <c r="PS26" i="1"/>
  <c r="PS24" i="1" s="1"/>
  <c r="PR26" i="1"/>
  <c r="PQ26" i="1"/>
  <c r="PP26" i="1"/>
  <c r="PP24" i="1" s="1"/>
  <c r="PO26" i="1"/>
  <c r="PN26" i="1"/>
  <c r="PM26" i="1"/>
  <c r="PL26" i="1"/>
  <c r="PL24" i="1" s="1"/>
  <c r="PK26" i="1"/>
  <c r="PJ26" i="1"/>
  <c r="PI26" i="1"/>
  <c r="PH26" i="1"/>
  <c r="PH2" i="1" s="1"/>
  <c r="PH3" i="1" s="1"/>
  <c r="PG26" i="1"/>
  <c r="PF26" i="1"/>
  <c r="PE26" i="1"/>
  <c r="PD26" i="1"/>
  <c r="PC26" i="1"/>
  <c r="PC24" i="1" s="1"/>
  <c r="PB26" i="1"/>
  <c r="PA26" i="1"/>
  <c r="OZ26" i="1"/>
  <c r="OZ24" i="1" s="1"/>
  <c r="OY26" i="1"/>
  <c r="OX26" i="1"/>
  <c r="OW26" i="1"/>
  <c r="OV26" i="1"/>
  <c r="OV24" i="1" s="1"/>
  <c r="OU26" i="1"/>
  <c r="OT26" i="1"/>
  <c r="OS26" i="1"/>
  <c r="OR26" i="1"/>
  <c r="OR2" i="1" s="1"/>
  <c r="OR3" i="1" s="1"/>
  <c r="OQ26" i="1"/>
  <c r="OP26" i="1"/>
  <c r="OO26" i="1"/>
  <c r="ON26" i="1"/>
  <c r="ON24" i="1" s="1"/>
  <c r="OM26" i="1"/>
  <c r="OL26" i="1"/>
  <c r="OK26" i="1"/>
  <c r="OJ26" i="1"/>
  <c r="OJ24" i="1" s="1"/>
  <c r="OI26" i="1"/>
  <c r="OH26" i="1"/>
  <c r="OG26" i="1"/>
  <c r="OF26" i="1"/>
  <c r="OF24" i="1" s="1"/>
  <c r="OE26" i="1"/>
  <c r="OD26" i="1"/>
  <c r="OC26" i="1"/>
  <c r="OB26" i="1"/>
  <c r="OB2" i="1" s="1"/>
  <c r="OB3" i="1" s="1"/>
  <c r="OA26" i="1"/>
  <c r="NZ26" i="1"/>
  <c r="NY26" i="1"/>
  <c r="NX26" i="1"/>
  <c r="NW26" i="1"/>
  <c r="NV26" i="1"/>
  <c r="NU26" i="1"/>
  <c r="NT26" i="1"/>
  <c r="NT24" i="1" s="1"/>
  <c r="NS26" i="1"/>
  <c r="NR26" i="1"/>
  <c r="NQ26" i="1"/>
  <c r="NP26" i="1"/>
  <c r="NP24" i="1" s="1"/>
  <c r="NO26" i="1"/>
  <c r="NN26" i="1"/>
  <c r="NM26" i="1"/>
  <c r="NL26" i="1"/>
  <c r="NL2" i="1" s="1"/>
  <c r="NL3" i="1" s="1"/>
  <c r="NK26" i="1"/>
  <c r="NJ26" i="1"/>
  <c r="NI26" i="1"/>
  <c r="NH26" i="1"/>
  <c r="NH24" i="1" s="1"/>
  <c r="NG26" i="1"/>
  <c r="NF26" i="1"/>
  <c r="NE26" i="1"/>
  <c r="ND26" i="1"/>
  <c r="ND24" i="1" s="1"/>
  <c r="NC26" i="1"/>
  <c r="NB26" i="1"/>
  <c r="NA26" i="1"/>
  <c r="MZ26" i="1"/>
  <c r="MZ24" i="1" s="1"/>
  <c r="MY26" i="1"/>
  <c r="MX26" i="1"/>
  <c r="MW26" i="1"/>
  <c r="MV26" i="1"/>
  <c r="MV2" i="1" s="1"/>
  <c r="MV3" i="1" s="1"/>
  <c r="MU26" i="1"/>
  <c r="MT26" i="1"/>
  <c r="MS26" i="1"/>
  <c r="MR26" i="1"/>
  <c r="MQ26" i="1"/>
  <c r="MP26" i="1"/>
  <c r="MO26" i="1"/>
  <c r="MN26" i="1"/>
  <c r="MN24" i="1" s="1"/>
  <c r="MM26" i="1"/>
  <c r="MM24" i="1" s="1"/>
  <c r="ML26" i="1"/>
  <c r="MK26" i="1"/>
  <c r="MJ26" i="1"/>
  <c r="MJ24" i="1" s="1"/>
  <c r="MI26" i="1"/>
  <c r="MH26" i="1"/>
  <c r="MG26" i="1"/>
  <c r="MF26" i="1"/>
  <c r="MF2" i="1" s="1"/>
  <c r="MF3" i="1" s="1"/>
  <c r="ME26" i="1"/>
  <c r="MD26" i="1"/>
  <c r="MC26" i="1"/>
  <c r="MB26" i="1"/>
  <c r="MB24" i="1" s="1"/>
  <c r="MA26" i="1"/>
  <c r="LZ26" i="1"/>
  <c r="LY26" i="1"/>
  <c r="LX26" i="1"/>
  <c r="LX24" i="1" s="1"/>
  <c r="LW26" i="1"/>
  <c r="LV26" i="1"/>
  <c r="LU26" i="1"/>
  <c r="LT26" i="1"/>
  <c r="LT24" i="1" s="1"/>
  <c r="LS26" i="1"/>
  <c r="LR26" i="1"/>
  <c r="LQ26" i="1"/>
  <c r="LP26" i="1"/>
  <c r="LP2" i="1" s="1"/>
  <c r="LP3" i="1" s="1"/>
  <c r="LO26" i="1"/>
  <c r="LN26" i="1"/>
  <c r="LM26" i="1"/>
  <c r="LL26" i="1"/>
  <c r="LK26" i="1"/>
  <c r="LJ26" i="1"/>
  <c r="LI26" i="1"/>
  <c r="LH26" i="1"/>
  <c r="LH24" i="1" s="1"/>
  <c r="LG26" i="1"/>
  <c r="LG24" i="1" s="1"/>
  <c r="LF26" i="1"/>
  <c r="LE26" i="1"/>
  <c r="LD26" i="1"/>
  <c r="LD24" i="1" s="1"/>
  <c r="LC26" i="1"/>
  <c r="LB26" i="1"/>
  <c r="LA26" i="1"/>
  <c r="KZ26" i="1"/>
  <c r="KZ2" i="1" s="1"/>
  <c r="KZ3" i="1" s="1"/>
  <c r="KY26" i="1"/>
  <c r="KX26" i="1"/>
  <c r="KW26" i="1"/>
  <c r="KV26" i="1"/>
  <c r="KV24" i="1" s="1"/>
  <c r="KU26" i="1"/>
  <c r="KT26" i="1"/>
  <c r="KS26" i="1"/>
  <c r="KR26" i="1"/>
  <c r="KR24" i="1" s="1"/>
  <c r="KQ26" i="1"/>
  <c r="KP26" i="1"/>
  <c r="KO26" i="1"/>
  <c r="KN26" i="1"/>
  <c r="KN24" i="1" s="1"/>
  <c r="KM26" i="1"/>
  <c r="KL26" i="1"/>
  <c r="KK26" i="1"/>
  <c r="KJ26" i="1"/>
  <c r="KJ2" i="1" s="1"/>
  <c r="KJ3" i="1" s="1"/>
  <c r="KI26" i="1"/>
  <c r="KH26" i="1"/>
  <c r="KG26" i="1"/>
  <c r="KF26" i="1"/>
  <c r="KE26" i="1"/>
  <c r="KD26" i="1"/>
  <c r="KC26" i="1"/>
  <c r="KB26" i="1"/>
  <c r="KB24" i="1" s="1"/>
  <c r="KA26" i="1"/>
  <c r="KA24" i="1" s="1"/>
  <c r="JZ26" i="1"/>
  <c r="JY26" i="1"/>
  <c r="JX26" i="1"/>
  <c r="JX24" i="1" s="1"/>
  <c r="JW26" i="1"/>
  <c r="JV26" i="1"/>
  <c r="JU26" i="1"/>
  <c r="JT26" i="1"/>
  <c r="JT2" i="1" s="1"/>
  <c r="JT3" i="1" s="1"/>
  <c r="JS26" i="1"/>
  <c r="JR26" i="1"/>
  <c r="JQ26" i="1"/>
  <c r="JP26" i="1"/>
  <c r="JP24" i="1" s="1"/>
  <c r="JO26" i="1"/>
  <c r="JN26" i="1"/>
  <c r="JM26" i="1"/>
  <c r="JL26" i="1"/>
  <c r="JL24" i="1" s="1"/>
  <c r="JK26" i="1"/>
  <c r="JJ26" i="1"/>
  <c r="JI26" i="1"/>
  <c r="JH26" i="1"/>
  <c r="JH24" i="1" s="1"/>
  <c r="JG26" i="1"/>
  <c r="JF26" i="1"/>
  <c r="JE26" i="1"/>
  <c r="JD26" i="1"/>
  <c r="JD2" i="1" s="1"/>
  <c r="JD3" i="1" s="1"/>
  <c r="JC26" i="1"/>
  <c r="JB26" i="1"/>
  <c r="JA26" i="1"/>
  <c r="IZ26" i="1"/>
  <c r="IY26" i="1"/>
  <c r="IY24" i="1" s="1"/>
  <c r="IX26" i="1"/>
  <c r="IW26" i="1"/>
  <c r="IV26" i="1"/>
  <c r="IV24" i="1" s="1"/>
  <c r="IU26" i="1"/>
  <c r="IT26" i="1"/>
  <c r="IS26" i="1"/>
  <c r="IR26" i="1"/>
  <c r="IR24" i="1" s="1"/>
  <c r="IQ26" i="1"/>
  <c r="IP26" i="1"/>
  <c r="IO26" i="1"/>
  <c r="IN26" i="1"/>
  <c r="IN2" i="1" s="1"/>
  <c r="IN3" i="1" s="1"/>
  <c r="IM26" i="1"/>
  <c r="IL26" i="1"/>
  <c r="IK26" i="1"/>
  <c r="IJ26" i="1"/>
  <c r="IJ24" i="1" s="1"/>
  <c r="II26" i="1"/>
  <c r="IH26" i="1"/>
  <c r="IG26" i="1"/>
  <c r="IF26" i="1"/>
  <c r="IF24" i="1" s="1"/>
  <c r="IE26" i="1"/>
  <c r="ID26" i="1"/>
  <c r="IC26" i="1"/>
  <c r="IB26" i="1"/>
  <c r="IB24" i="1" s="1"/>
  <c r="IA26" i="1"/>
  <c r="HZ26" i="1"/>
  <c r="HY26" i="1"/>
  <c r="HX26" i="1"/>
  <c r="HX2" i="1" s="1"/>
  <c r="HX3" i="1" s="1"/>
  <c r="HW26" i="1"/>
  <c r="HV26" i="1"/>
  <c r="HU26" i="1"/>
  <c r="HT26" i="1"/>
  <c r="HS26" i="1"/>
  <c r="HR26" i="1"/>
  <c r="HQ26" i="1"/>
  <c r="HP26" i="1"/>
  <c r="HP24" i="1" s="1"/>
  <c r="HO26" i="1"/>
  <c r="HO24" i="1" s="1"/>
  <c r="HN26" i="1"/>
  <c r="HM26" i="1"/>
  <c r="HL26" i="1"/>
  <c r="HL24" i="1" s="1"/>
  <c r="HK26" i="1"/>
  <c r="HJ26" i="1"/>
  <c r="HI26" i="1"/>
  <c r="HH26" i="1"/>
  <c r="HH2" i="1" s="1"/>
  <c r="HH3" i="1" s="1"/>
  <c r="HG26" i="1"/>
  <c r="HF26" i="1"/>
  <c r="HE26" i="1"/>
  <c r="HD26" i="1"/>
  <c r="HD24" i="1" s="1"/>
  <c r="HC26" i="1"/>
  <c r="HB26" i="1"/>
  <c r="HA26" i="1"/>
  <c r="GZ26" i="1"/>
  <c r="GZ24" i="1" s="1"/>
  <c r="GY26" i="1"/>
  <c r="GX26" i="1"/>
  <c r="GW26" i="1"/>
  <c r="GV26" i="1"/>
  <c r="GV24" i="1" s="1"/>
  <c r="GU26" i="1"/>
  <c r="GT26" i="1"/>
  <c r="GS26" i="1"/>
  <c r="GR26" i="1"/>
  <c r="GR2" i="1" s="1"/>
  <c r="GR3" i="1" s="1"/>
  <c r="GQ26" i="1"/>
  <c r="GP26" i="1"/>
  <c r="GO26" i="1"/>
  <c r="GN26" i="1"/>
  <c r="GM26" i="1"/>
  <c r="GL26" i="1"/>
  <c r="GK26" i="1"/>
  <c r="GJ26" i="1"/>
  <c r="GJ24" i="1" s="1"/>
  <c r="GI26" i="1"/>
  <c r="GI24" i="1" s="1"/>
  <c r="GH26" i="1"/>
  <c r="GG26" i="1"/>
  <c r="GF26" i="1"/>
  <c r="GF24" i="1" s="1"/>
  <c r="GE26" i="1"/>
  <c r="GD26" i="1"/>
  <c r="GC26" i="1"/>
  <c r="GB26" i="1"/>
  <c r="GB2" i="1" s="1"/>
  <c r="GB3" i="1" s="1"/>
  <c r="GA26" i="1"/>
  <c r="FZ26" i="1"/>
  <c r="FY26" i="1"/>
  <c r="FX26" i="1"/>
  <c r="FX24" i="1" s="1"/>
  <c r="FW26" i="1"/>
  <c r="FV26" i="1"/>
  <c r="FU26" i="1"/>
  <c r="FT26" i="1"/>
  <c r="FT24" i="1" s="1"/>
  <c r="FS26" i="1"/>
  <c r="FR26" i="1"/>
  <c r="FQ26" i="1"/>
  <c r="FP26" i="1"/>
  <c r="FP24" i="1" s="1"/>
  <c r="FO26" i="1"/>
  <c r="FN26" i="1"/>
  <c r="FM26" i="1"/>
  <c r="FL26" i="1"/>
  <c r="FL2" i="1" s="1"/>
  <c r="FL3" i="1" s="1"/>
  <c r="FK26" i="1"/>
  <c r="FJ26" i="1"/>
  <c r="FI26" i="1"/>
  <c r="FH26" i="1"/>
  <c r="FG26" i="1"/>
  <c r="FG24" i="1" s="1"/>
  <c r="FF26" i="1"/>
  <c r="FE26" i="1"/>
  <c r="FD26" i="1"/>
  <c r="FD24" i="1" s="1"/>
  <c r="FC26" i="1"/>
  <c r="FB26" i="1"/>
  <c r="FA26" i="1"/>
  <c r="EZ26" i="1"/>
  <c r="EZ24" i="1" s="1"/>
  <c r="EY26" i="1"/>
  <c r="EX26" i="1"/>
  <c r="EW26" i="1"/>
  <c r="EV26" i="1"/>
  <c r="EV2" i="1" s="1"/>
  <c r="EV3" i="1" s="1"/>
  <c r="EU26" i="1"/>
  <c r="ET26" i="1"/>
  <c r="ES26" i="1"/>
  <c r="ER26" i="1"/>
  <c r="ER24" i="1" s="1"/>
  <c r="EQ26" i="1"/>
  <c r="EQ24" i="1" s="1"/>
  <c r="EP26" i="1"/>
  <c r="EO26" i="1"/>
  <c r="EN26" i="1"/>
  <c r="EN24" i="1" s="1"/>
  <c r="EM26" i="1"/>
  <c r="EL26" i="1"/>
  <c r="EK26" i="1"/>
  <c r="EJ26" i="1"/>
  <c r="EJ24" i="1" s="1"/>
  <c r="EI26" i="1"/>
  <c r="EH26" i="1"/>
  <c r="EG26" i="1"/>
  <c r="EF26" i="1"/>
  <c r="EF2" i="1" s="1"/>
  <c r="EF3" i="1" s="1"/>
  <c r="EE26" i="1"/>
  <c r="ED26" i="1"/>
  <c r="EC26" i="1"/>
  <c r="EB26" i="1"/>
  <c r="EA26" i="1"/>
  <c r="EA24" i="1" s="1"/>
  <c r="DZ26" i="1"/>
  <c r="DY26" i="1"/>
  <c r="DX26" i="1"/>
  <c r="DX24" i="1" s="1"/>
  <c r="DW26" i="1"/>
  <c r="DV26" i="1"/>
  <c r="DU26" i="1"/>
  <c r="DT26" i="1"/>
  <c r="DT24" i="1" s="1"/>
  <c r="DS26" i="1"/>
  <c r="DR26" i="1"/>
  <c r="DQ26" i="1"/>
  <c r="DP26" i="1"/>
  <c r="DP2" i="1" s="1"/>
  <c r="DP3" i="1" s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Z2" i="1" s="1"/>
  <c r="CZ3" i="1" s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J2" i="1" s="1"/>
  <c r="CJ3" i="1" s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T2" i="1" s="1"/>
  <c r="BT3" i="1" s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D2" i="1" s="1"/>
  <c r="BD3" i="1" s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N2" i="1" s="1"/>
  <c r="AN3" i="1" s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X2" i="1" s="1"/>
  <c r="X3" i="1" s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H2" i="1" s="1"/>
  <c r="H3" i="1" s="1"/>
  <c r="G26" i="1"/>
  <c r="F26" i="1"/>
  <c r="ABF24" i="1"/>
  <c r="ABB24" i="1"/>
  <c r="AAZ24" i="1"/>
  <c r="AAQ24" i="1"/>
  <c r="AAP24" i="1"/>
  <c r="AAL24" i="1"/>
  <c r="AAJ24" i="1"/>
  <c r="AAF24" i="1"/>
  <c r="ZZ24" i="1"/>
  <c r="ZV24" i="1"/>
  <c r="ZT24" i="1"/>
  <c r="ZK24" i="1"/>
  <c r="ZJ24" i="1"/>
  <c r="ZF24" i="1"/>
  <c r="ZD24" i="1"/>
  <c r="YZ24" i="1"/>
  <c r="YT24" i="1"/>
  <c r="YP24" i="1"/>
  <c r="YN24" i="1"/>
  <c r="YE24" i="1"/>
  <c r="YD24" i="1"/>
  <c r="XZ24" i="1"/>
  <c r="XX24" i="1"/>
  <c r="XT24" i="1"/>
  <c r="XN24" i="1"/>
  <c r="XJ24" i="1"/>
  <c r="XH24" i="1"/>
  <c r="WY24" i="1"/>
  <c r="WX24" i="1"/>
  <c r="WT24" i="1"/>
  <c r="WR24" i="1"/>
  <c r="WN24" i="1"/>
  <c r="WH24" i="1"/>
  <c r="WD24" i="1"/>
  <c r="WB24" i="1"/>
  <c r="VS24" i="1"/>
  <c r="VR24" i="1"/>
  <c r="VN24" i="1"/>
  <c r="VL24" i="1"/>
  <c r="VH24" i="1"/>
  <c r="VB24" i="1"/>
  <c r="UX24" i="1"/>
  <c r="UV24" i="1"/>
  <c r="UM24" i="1"/>
  <c r="UL24" i="1"/>
  <c r="UH24" i="1"/>
  <c r="UF24" i="1"/>
  <c r="UB24" i="1"/>
  <c r="TV24" i="1"/>
  <c r="TR24" i="1"/>
  <c r="TP24" i="1"/>
  <c r="TG24" i="1"/>
  <c r="TF24" i="1"/>
  <c r="TB24" i="1"/>
  <c r="SZ24" i="1"/>
  <c r="SV24" i="1"/>
  <c r="SP24" i="1"/>
  <c r="SL24" i="1"/>
  <c r="SJ24" i="1"/>
  <c r="SA24" i="1"/>
  <c r="RZ24" i="1"/>
  <c r="RV24" i="1"/>
  <c r="RT24" i="1"/>
  <c r="RP24" i="1"/>
  <c r="RJ24" i="1"/>
  <c r="RF24" i="1"/>
  <c r="RD24" i="1"/>
  <c r="QU24" i="1"/>
  <c r="QT24" i="1"/>
  <c r="QP24" i="1"/>
  <c r="QN24" i="1"/>
  <c r="QJ24" i="1"/>
  <c r="QD24" i="1"/>
  <c r="PZ24" i="1"/>
  <c r="PX24" i="1"/>
  <c r="PO24" i="1"/>
  <c r="PN24" i="1"/>
  <c r="PJ24" i="1"/>
  <c r="PH24" i="1"/>
  <c r="PD24" i="1"/>
  <c r="OX24" i="1"/>
  <c r="OT24" i="1"/>
  <c r="OR24" i="1"/>
  <c r="OI24" i="1"/>
  <c r="OH24" i="1"/>
  <c r="OD24" i="1"/>
  <c r="OB24" i="1"/>
  <c r="NX24" i="1"/>
  <c r="NR24" i="1"/>
  <c r="NN24" i="1"/>
  <c r="NL24" i="1"/>
  <c r="NC24" i="1"/>
  <c r="NB24" i="1"/>
  <c r="MX24" i="1"/>
  <c r="MV24" i="1"/>
  <c r="MR24" i="1"/>
  <c r="ML24" i="1"/>
  <c r="MH24" i="1"/>
  <c r="MF24" i="1"/>
  <c r="LW24" i="1"/>
  <c r="LV24" i="1"/>
  <c r="LR24" i="1"/>
  <c r="LP24" i="1"/>
  <c r="LL24" i="1"/>
  <c r="LF24" i="1"/>
  <c r="LB24" i="1"/>
  <c r="KZ24" i="1"/>
  <c r="KQ24" i="1"/>
  <c r="KP24" i="1"/>
  <c r="KL24" i="1"/>
  <c r="KJ24" i="1"/>
  <c r="KF24" i="1"/>
  <c r="JZ24" i="1"/>
  <c r="JV24" i="1"/>
  <c r="JT24" i="1"/>
  <c r="JK24" i="1"/>
  <c r="JJ24" i="1"/>
  <c r="JF24" i="1"/>
  <c r="JD24" i="1"/>
  <c r="IZ24" i="1"/>
  <c r="IT24" i="1"/>
  <c r="IP24" i="1"/>
  <c r="IN24" i="1"/>
  <c r="IE24" i="1"/>
  <c r="ID24" i="1"/>
  <c r="HZ24" i="1"/>
  <c r="HX24" i="1"/>
  <c r="HT24" i="1"/>
  <c r="HN24" i="1"/>
  <c r="HJ24" i="1"/>
  <c r="HH24" i="1"/>
  <c r="GY24" i="1"/>
  <c r="GX24" i="1"/>
  <c r="GT24" i="1"/>
  <c r="GR24" i="1"/>
  <c r="GN24" i="1"/>
  <c r="GH24" i="1"/>
  <c r="GD24" i="1"/>
  <c r="GB24" i="1"/>
  <c r="FS24" i="1"/>
  <c r="FR24" i="1"/>
  <c r="FN24" i="1"/>
  <c r="FL24" i="1"/>
  <c r="FH24" i="1"/>
  <c r="FB24" i="1"/>
  <c r="EX24" i="1"/>
  <c r="EV24" i="1"/>
  <c r="EM24" i="1"/>
  <c r="EL24" i="1"/>
  <c r="EH24" i="1"/>
  <c r="EF24" i="1"/>
  <c r="EB24" i="1"/>
  <c r="DV24" i="1"/>
  <c r="DR24" i="1"/>
  <c r="DP24" i="1"/>
  <c r="DM24" i="1"/>
  <c r="DL24" i="1"/>
  <c r="DI24" i="1"/>
  <c r="DH24" i="1"/>
  <c r="DE24" i="1"/>
  <c r="DD24" i="1"/>
  <c r="DA24" i="1"/>
  <c r="CZ24" i="1"/>
  <c r="CW24" i="1"/>
  <c r="CV24" i="1"/>
  <c r="CS24" i="1"/>
  <c r="CR24" i="1"/>
  <c r="CO24" i="1"/>
  <c r="CN24" i="1"/>
  <c r="CK24" i="1"/>
  <c r="CJ24" i="1"/>
  <c r="CG24" i="1"/>
  <c r="CF24" i="1"/>
  <c r="CC24" i="1"/>
  <c r="CB24" i="1"/>
  <c r="BY24" i="1"/>
  <c r="BX24" i="1"/>
  <c r="BU24" i="1"/>
  <c r="BT24" i="1"/>
  <c r="BQ24" i="1"/>
  <c r="BP24" i="1"/>
  <c r="BM24" i="1"/>
  <c r="BL24" i="1"/>
  <c r="BI24" i="1"/>
  <c r="BH24" i="1"/>
  <c r="BE24" i="1"/>
  <c r="BD24" i="1"/>
  <c r="BA24" i="1"/>
  <c r="AZ24" i="1"/>
  <c r="AW24" i="1"/>
  <c r="AV24" i="1"/>
  <c r="AS24" i="1"/>
  <c r="AR24" i="1"/>
  <c r="AO24" i="1"/>
  <c r="AN24" i="1"/>
  <c r="AK24" i="1"/>
  <c r="AJ24" i="1"/>
  <c r="AG24" i="1"/>
  <c r="AF24" i="1"/>
  <c r="AC24" i="1"/>
  <c r="AB24" i="1"/>
  <c r="Y24" i="1"/>
  <c r="X24" i="1"/>
  <c r="U24" i="1"/>
  <c r="T24" i="1"/>
  <c r="Q24" i="1"/>
  <c r="P24" i="1"/>
  <c r="M24" i="1"/>
  <c r="L24" i="1"/>
  <c r="I24" i="1"/>
  <c r="H24" i="1"/>
  <c r="ABI22" i="1"/>
  <c r="ABH22" i="1"/>
  <c r="ABA22" i="1"/>
  <c r="AAZ22" i="1"/>
  <c r="AAS22" i="1"/>
  <c r="AAR22" i="1"/>
  <c r="AAK22" i="1"/>
  <c r="AAJ22" i="1"/>
  <c r="AAC22" i="1"/>
  <c r="AAB22" i="1"/>
  <c r="ZU22" i="1"/>
  <c r="ZT22" i="1"/>
  <c r="ZM22" i="1"/>
  <c r="ZL22" i="1"/>
  <c r="ZE22" i="1"/>
  <c r="ZD22" i="1"/>
  <c r="YW22" i="1"/>
  <c r="YV22" i="1"/>
  <c r="YO22" i="1"/>
  <c r="YN22" i="1"/>
  <c r="YG22" i="1"/>
  <c r="YF22" i="1"/>
  <c r="XY22" i="1"/>
  <c r="XX22" i="1"/>
  <c r="XQ22" i="1"/>
  <c r="XP22" i="1"/>
  <c r="XI22" i="1"/>
  <c r="XH22" i="1"/>
  <c r="XA22" i="1"/>
  <c r="WZ22" i="1"/>
  <c r="WS22" i="1"/>
  <c r="WR22" i="1"/>
  <c r="WK22" i="1"/>
  <c r="WJ22" i="1"/>
  <c r="WC22" i="1"/>
  <c r="WB22" i="1"/>
  <c r="VU22" i="1"/>
  <c r="VT22" i="1"/>
  <c r="VM22" i="1"/>
  <c r="VL22" i="1"/>
  <c r="VE22" i="1"/>
  <c r="VD22" i="1"/>
  <c r="UW22" i="1"/>
  <c r="UV22" i="1"/>
  <c r="UO22" i="1"/>
  <c r="UN22" i="1"/>
  <c r="UG22" i="1"/>
  <c r="UF22" i="1"/>
  <c r="TY22" i="1"/>
  <c r="TX22" i="1"/>
  <c r="TQ22" i="1"/>
  <c r="TP22" i="1"/>
  <c r="TI22" i="1"/>
  <c r="TH22" i="1"/>
  <c r="TA22" i="1"/>
  <c r="SZ22" i="1"/>
  <c r="SS22" i="1"/>
  <c r="SR22" i="1"/>
  <c r="SK22" i="1"/>
  <c r="SJ22" i="1"/>
  <c r="SC22" i="1"/>
  <c r="SB22" i="1"/>
  <c r="RU22" i="1"/>
  <c r="RT22" i="1"/>
  <c r="RM22" i="1"/>
  <c r="RL22" i="1"/>
  <c r="RE22" i="1"/>
  <c r="RD22" i="1"/>
  <c r="QW22" i="1"/>
  <c r="QV22" i="1"/>
  <c r="QO22" i="1"/>
  <c r="QN22" i="1"/>
  <c r="QG22" i="1"/>
  <c r="QF22" i="1"/>
  <c r="PY22" i="1"/>
  <c r="PX22" i="1"/>
  <c r="PQ22" i="1"/>
  <c r="PP22" i="1"/>
  <c r="PI22" i="1"/>
  <c r="PH22" i="1"/>
  <c r="PA22" i="1"/>
  <c r="OZ22" i="1"/>
  <c r="OS22" i="1"/>
  <c r="OR22" i="1"/>
  <c r="OK22" i="1"/>
  <c r="OJ22" i="1"/>
  <c r="OC22" i="1"/>
  <c r="OB22" i="1"/>
  <c r="NU22" i="1"/>
  <c r="NT22" i="1"/>
  <c r="NM22" i="1"/>
  <c r="NL22" i="1"/>
  <c r="NE22" i="1"/>
  <c r="ND22" i="1"/>
  <c r="MW22" i="1"/>
  <c r="MV22" i="1"/>
  <c r="MO22" i="1"/>
  <c r="MN22" i="1"/>
  <c r="MG22" i="1"/>
  <c r="MF22" i="1"/>
  <c r="LY22" i="1"/>
  <c r="LX22" i="1"/>
  <c r="LQ22" i="1"/>
  <c r="LP22" i="1"/>
  <c r="LI22" i="1"/>
  <c r="LH22" i="1"/>
  <c r="LA22" i="1"/>
  <c r="KZ22" i="1"/>
  <c r="KS22" i="1"/>
  <c r="KR22" i="1"/>
  <c r="KK22" i="1"/>
  <c r="KJ22" i="1"/>
  <c r="KC22" i="1"/>
  <c r="KB22" i="1"/>
  <c r="JU22" i="1"/>
  <c r="JT22" i="1"/>
  <c r="JM22" i="1"/>
  <c r="JL22" i="1"/>
  <c r="JE22" i="1"/>
  <c r="JD22" i="1"/>
  <c r="IW22" i="1"/>
  <c r="IV22" i="1"/>
  <c r="IO22" i="1"/>
  <c r="IN22" i="1"/>
  <c r="IG22" i="1"/>
  <c r="IF22" i="1"/>
  <c r="HY22" i="1"/>
  <c r="HX22" i="1"/>
  <c r="HQ22" i="1"/>
  <c r="HP22" i="1"/>
  <c r="HI22" i="1"/>
  <c r="HH22" i="1"/>
  <c r="HA22" i="1"/>
  <c r="GZ22" i="1"/>
  <c r="GS22" i="1"/>
  <c r="GR22" i="1"/>
  <c r="GK22" i="1"/>
  <c r="GJ22" i="1"/>
  <c r="GC22" i="1"/>
  <c r="GB22" i="1"/>
  <c r="FU22" i="1"/>
  <c r="FT22" i="1"/>
  <c r="FM22" i="1"/>
  <c r="FL22" i="1"/>
  <c r="FE22" i="1"/>
  <c r="FD22" i="1"/>
  <c r="EW22" i="1"/>
  <c r="EV22" i="1"/>
  <c r="EO22" i="1"/>
  <c r="EN22" i="1"/>
  <c r="EG22" i="1"/>
  <c r="EF22" i="1"/>
  <c r="DY22" i="1"/>
  <c r="DX22" i="1"/>
  <c r="DQ22" i="1"/>
  <c r="DP22" i="1"/>
  <c r="DI22" i="1"/>
  <c r="DH22" i="1"/>
  <c r="DA22" i="1"/>
  <c r="CZ22" i="1"/>
  <c r="CS22" i="1"/>
  <c r="CR22" i="1"/>
  <c r="CK22" i="1"/>
  <c r="CJ22" i="1"/>
  <c r="CC22" i="1"/>
  <c r="CB22" i="1"/>
  <c r="BU22" i="1"/>
  <c r="BT22" i="1"/>
  <c r="BM22" i="1"/>
  <c r="BL22" i="1"/>
  <c r="BE22" i="1"/>
  <c r="BD22" i="1"/>
  <c r="AW22" i="1"/>
  <c r="AV22" i="1"/>
  <c r="AO22" i="1"/>
  <c r="AN22" i="1"/>
  <c r="AG22" i="1"/>
  <c r="AF22" i="1"/>
  <c r="Y22" i="1"/>
  <c r="X22" i="1"/>
  <c r="Q22" i="1"/>
  <c r="P22" i="1"/>
  <c r="I22" i="1"/>
  <c r="H22" i="1"/>
  <c r="ABI21" i="1"/>
  <c r="ABI37" i="1" s="1"/>
  <c r="ABH21" i="1"/>
  <c r="ABH37" i="1" s="1"/>
  <c r="ABE21" i="1"/>
  <c r="ABE37" i="1" s="1"/>
  <c r="ABD21" i="1"/>
  <c r="ABD37" i="1" s="1"/>
  <c r="ABA21" i="1"/>
  <c r="ABA37" i="1" s="1"/>
  <c r="AAZ21" i="1"/>
  <c r="AAZ37" i="1" s="1"/>
  <c r="AAW21" i="1"/>
  <c r="AAW37" i="1" s="1"/>
  <c r="AAV21" i="1"/>
  <c r="AAV37" i="1" s="1"/>
  <c r="AAS21" i="1"/>
  <c r="AAS37" i="1" s="1"/>
  <c r="AAR21" i="1"/>
  <c r="AAR37" i="1" s="1"/>
  <c r="AAO21" i="1"/>
  <c r="AAO37" i="1" s="1"/>
  <c r="AAN21" i="1"/>
  <c r="AAN37" i="1" s="1"/>
  <c r="AAK21" i="1"/>
  <c r="AAK37" i="1" s="1"/>
  <c r="AAJ21" i="1"/>
  <c r="AAJ37" i="1" s="1"/>
  <c r="AAG21" i="1"/>
  <c r="AAG37" i="1" s="1"/>
  <c r="AAF21" i="1"/>
  <c r="AAF37" i="1" s="1"/>
  <c r="AAC21" i="1"/>
  <c r="AAC37" i="1" s="1"/>
  <c r="AAB21" i="1"/>
  <c r="AAB37" i="1" s="1"/>
  <c r="ZY21" i="1"/>
  <c r="ZY37" i="1" s="1"/>
  <c r="ZX21" i="1"/>
  <c r="ZX37" i="1" s="1"/>
  <c r="ZU21" i="1"/>
  <c r="ZU37" i="1" s="1"/>
  <c r="ZT21" i="1"/>
  <c r="ZT37" i="1" s="1"/>
  <c r="ZQ21" i="1"/>
  <c r="ZQ37" i="1" s="1"/>
  <c r="ZP21" i="1"/>
  <c r="ZP37" i="1" s="1"/>
  <c r="ZM21" i="1"/>
  <c r="ZM37" i="1" s="1"/>
  <c r="ZL21" i="1"/>
  <c r="ZL37" i="1" s="1"/>
  <c r="ZI21" i="1"/>
  <c r="ZI37" i="1" s="1"/>
  <c r="ZH21" i="1"/>
  <c r="ZH37" i="1" s="1"/>
  <c r="ZE21" i="1"/>
  <c r="ZE37" i="1" s="1"/>
  <c r="ZD21" i="1"/>
  <c r="ZD37" i="1" s="1"/>
  <c r="ZA21" i="1"/>
  <c r="ZA37" i="1" s="1"/>
  <c r="YZ21" i="1"/>
  <c r="YZ37" i="1" s="1"/>
  <c r="YW21" i="1"/>
  <c r="YW37" i="1" s="1"/>
  <c r="YV21" i="1"/>
  <c r="YV37" i="1" s="1"/>
  <c r="YS21" i="1"/>
  <c r="YS37" i="1" s="1"/>
  <c r="YR21" i="1"/>
  <c r="YR37" i="1" s="1"/>
  <c r="YO21" i="1"/>
  <c r="YO37" i="1" s="1"/>
  <c r="YN21" i="1"/>
  <c r="YN37" i="1" s="1"/>
  <c r="YK21" i="1"/>
  <c r="YK37" i="1" s="1"/>
  <c r="YJ21" i="1"/>
  <c r="YJ37" i="1" s="1"/>
  <c r="YG21" i="1"/>
  <c r="YG37" i="1" s="1"/>
  <c r="YF21" i="1"/>
  <c r="YF37" i="1" s="1"/>
  <c r="YC21" i="1"/>
  <c r="YC37" i="1" s="1"/>
  <c r="YB21" i="1"/>
  <c r="YB37" i="1" s="1"/>
  <c r="XY21" i="1"/>
  <c r="XY37" i="1" s="1"/>
  <c r="XX21" i="1"/>
  <c r="XX37" i="1" s="1"/>
  <c r="XU21" i="1"/>
  <c r="XU37" i="1" s="1"/>
  <c r="XT21" i="1"/>
  <c r="XT37" i="1" s="1"/>
  <c r="XQ21" i="1"/>
  <c r="XQ37" i="1" s="1"/>
  <c r="XP21" i="1"/>
  <c r="XP37" i="1" s="1"/>
  <c r="XM21" i="1"/>
  <c r="XM37" i="1" s="1"/>
  <c r="XL21" i="1"/>
  <c r="XL37" i="1" s="1"/>
  <c r="XI21" i="1"/>
  <c r="XI37" i="1" s="1"/>
  <c r="XH21" i="1"/>
  <c r="XH37" i="1" s="1"/>
  <c r="XE21" i="1"/>
  <c r="XE37" i="1" s="1"/>
  <c r="XD21" i="1"/>
  <c r="XD37" i="1" s="1"/>
  <c r="XA21" i="1"/>
  <c r="XA37" i="1" s="1"/>
  <c r="WZ21" i="1"/>
  <c r="WZ37" i="1" s="1"/>
  <c r="WW21" i="1"/>
  <c r="WW37" i="1" s="1"/>
  <c r="WV21" i="1"/>
  <c r="WV37" i="1" s="1"/>
  <c r="WS21" i="1"/>
  <c r="WS37" i="1" s="1"/>
  <c r="WR21" i="1"/>
  <c r="WR37" i="1" s="1"/>
  <c r="WO21" i="1"/>
  <c r="WO37" i="1" s="1"/>
  <c r="WN21" i="1"/>
  <c r="WN37" i="1" s="1"/>
  <c r="WK21" i="1"/>
  <c r="WK37" i="1" s="1"/>
  <c r="WJ21" i="1"/>
  <c r="WJ37" i="1" s="1"/>
  <c r="WG21" i="1"/>
  <c r="WG37" i="1" s="1"/>
  <c r="WF21" i="1"/>
  <c r="WF37" i="1" s="1"/>
  <c r="WC21" i="1"/>
  <c r="WC37" i="1" s="1"/>
  <c r="WB21" i="1"/>
  <c r="WB37" i="1" s="1"/>
  <c r="VY21" i="1"/>
  <c r="VY37" i="1" s="1"/>
  <c r="VX21" i="1"/>
  <c r="VX37" i="1" s="1"/>
  <c r="VU21" i="1"/>
  <c r="VU37" i="1" s="1"/>
  <c r="VT21" i="1"/>
  <c r="VT37" i="1" s="1"/>
  <c r="VQ21" i="1"/>
  <c r="VQ37" i="1" s="1"/>
  <c r="VP21" i="1"/>
  <c r="VP37" i="1" s="1"/>
  <c r="VM21" i="1"/>
  <c r="VM37" i="1" s="1"/>
  <c r="VL21" i="1"/>
  <c r="VL37" i="1" s="1"/>
  <c r="VI21" i="1"/>
  <c r="VI37" i="1" s="1"/>
  <c r="VH21" i="1"/>
  <c r="VH37" i="1" s="1"/>
  <c r="VE21" i="1"/>
  <c r="VE37" i="1" s="1"/>
  <c r="VD21" i="1"/>
  <c r="VD37" i="1" s="1"/>
  <c r="VA21" i="1"/>
  <c r="VA37" i="1" s="1"/>
  <c r="UZ21" i="1"/>
  <c r="UZ37" i="1" s="1"/>
  <c r="UW21" i="1"/>
  <c r="UW37" i="1" s="1"/>
  <c r="UV21" i="1"/>
  <c r="UV37" i="1" s="1"/>
  <c r="US21" i="1"/>
  <c r="US37" i="1" s="1"/>
  <c r="UR21" i="1"/>
  <c r="UR37" i="1" s="1"/>
  <c r="UO21" i="1"/>
  <c r="UO37" i="1" s="1"/>
  <c r="UN21" i="1"/>
  <c r="UN37" i="1" s="1"/>
  <c r="UK21" i="1"/>
  <c r="UK37" i="1" s="1"/>
  <c r="UJ21" i="1"/>
  <c r="UJ37" i="1" s="1"/>
  <c r="UG21" i="1"/>
  <c r="UG37" i="1" s="1"/>
  <c r="UF21" i="1"/>
  <c r="UF37" i="1" s="1"/>
  <c r="UC21" i="1"/>
  <c r="UC37" i="1" s="1"/>
  <c r="UB21" i="1"/>
  <c r="UB37" i="1" s="1"/>
  <c r="TY21" i="1"/>
  <c r="TY37" i="1" s="1"/>
  <c r="TX21" i="1"/>
  <c r="TX37" i="1" s="1"/>
  <c r="TU21" i="1"/>
  <c r="TU37" i="1" s="1"/>
  <c r="TT21" i="1"/>
  <c r="TT37" i="1" s="1"/>
  <c r="TQ21" i="1"/>
  <c r="TQ37" i="1" s="1"/>
  <c r="TP21" i="1"/>
  <c r="TP37" i="1" s="1"/>
  <c r="TM21" i="1"/>
  <c r="TM37" i="1" s="1"/>
  <c r="TL21" i="1"/>
  <c r="TL37" i="1" s="1"/>
  <c r="TI21" i="1"/>
  <c r="TI37" i="1" s="1"/>
  <c r="TH21" i="1"/>
  <c r="TH37" i="1" s="1"/>
  <c r="TE21" i="1"/>
  <c r="TE37" i="1" s="1"/>
  <c r="TD21" i="1"/>
  <c r="TD37" i="1" s="1"/>
  <c r="TA21" i="1"/>
  <c r="TA37" i="1" s="1"/>
  <c r="SZ21" i="1"/>
  <c r="SZ37" i="1" s="1"/>
  <c r="SW21" i="1"/>
  <c r="SW37" i="1" s="1"/>
  <c r="SV21" i="1"/>
  <c r="SV37" i="1" s="1"/>
  <c r="SS21" i="1"/>
  <c r="SS37" i="1" s="1"/>
  <c r="SR21" i="1"/>
  <c r="SR37" i="1" s="1"/>
  <c r="SO21" i="1"/>
  <c r="SO37" i="1" s="1"/>
  <c r="SN21" i="1"/>
  <c r="SN37" i="1" s="1"/>
  <c r="SK21" i="1"/>
  <c r="SK37" i="1" s="1"/>
  <c r="SJ21" i="1"/>
  <c r="SJ37" i="1" s="1"/>
  <c r="SG21" i="1"/>
  <c r="SG37" i="1" s="1"/>
  <c r="SF21" i="1"/>
  <c r="SF37" i="1" s="1"/>
  <c r="SC21" i="1"/>
  <c r="SC37" i="1" s="1"/>
  <c r="SB21" i="1"/>
  <c r="SB37" i="1" s="1"/>
  <c r="RY21" i="1"/>
  <c r="RY37" i="1" s="1"/>
  <c r="RX21" i="1"/>
  <c r="RX37" i="1" s="1"/>
  <c r="RU21" i="1"/>
  <c r="RU37" i="1" s="1"/>
  <c r="RT21" i="1"/>
  <c r="RT37" i="1" s="1"/>
  <c r="RQ21" i="1"/>
  <c r="RQ37" i="1" s="1"/>
  <c r="RP21" i="1"/>
  <c r="RP37" i="1" s="1"/>
  <c r="RM21" i="1"/>
  <c r="RM37" i="1" s="1"/>
  <c r="RL21" i="1"/>
  <c r="RL37" i="1" s="1"/>
  <c r="RI21" i="1"/>
  <c r="RI37" i="1" s="1"/>
  <c r="RH21" i="1"/>
  <c r="RH37" i="1" s="1"/>
  <c r="RE21" i="1"/>
  <c r="RE37" i="1" s="1"/>
  <c r="RD21" i="1"/>
  <c r="RD37" i="1" s="1"/>
  <c r="RA21" i="1"/>
  <c r="RA37" i="1" s="1"/>
  <c r="QZ21" i="1"/>
  <c r="QZ37" i="1" s="1"/>
  <c r="QW21" i="1"/>
  <c r="QW37" i="1" s="1"/>
  <c r="QV21" i="1"/>
  <c r="QV37" i="1" s="1"/>
  <c r="QS21" i="1"/>
  <c r="QS37" i="1" s="1"/>
  <c r="QR21" i="1"/>
  <c r="QR37" i="1" s="1"/>
  <c r="QO21" i="1"/>
  <c r="QO37" i="1" s="1"/>
  <c r="QN21" i="1"/>
  <c r="QN37" i="1" s="1"/>
  <c r="QK21" i="1"/>
  <c r="QK37" i="1" s="1"/>
  <c r="QJ21" i="1"/>
  <c r="QJ37" i="1" s="1"/>
  <c r="QG21" i="1"/>
  <c r="QG37" i="1" s="1"/>
  <c r="QF21" i="1"/>
  <c r="QF37" i="1" s="1"/>
  <c r="QC21" i="1"/>
  <c r="QC37" i="1" s="1"/>
  <c r="QB21" i="1"/>
  <c r="QB37" i="1" s="1"/>
  <c r="PY21" i="1"/>
  <c r="PY37" i="1" s="1"/>
  <c r="PX21" i="1"/>
  <c r="PX37" i="1" s="1"/>
  <c r="PU21" i="1"/>
  <c r="PU37" i="1" s="1"/>
  <c r="PT21" i="1"/>
  <c r="PT37" i="1" s="1"/>
  <c r="PQ21" i="1"/>
  <c r="PQ37" i="1" s="1"/>
  <c r="PP21" i="1"/>
  <c r="PP37" i="1" s="1"/>
  <c r="PM21" i="1"/>
  <c r="PM37" i="1" s="1"/>
  <c r="PL21" i="1"/>
  <c r="PL37" i="1" s="1"/>
  <c r="PI21" i="1"/>
  <c r="PI37" i="1" s="1"/>
  <c r="PH21" i="1"/>
  <c r="PH37" i="1" s="1"/>
  <c r="PE21" i="1"/>
  <c r="PE37" i="1" s="1"/>
  <c r="PD21" i="1"/>
  <c r="PD37" i="1" s="1"/>
  <c r="PA21" i="1"/>
  <c r="PA37" i="1" s="1"/>
  <c r="OZ21" i="1"/>
  <c r="OZ37" i="1" s="1"/>
  <c r="OW21" i="1"/>
  <c r="OW37" i="1" s="1"/>
  <c r="OV21" i="1"/>
  <c r="OV37" i="1" s="1"/>
  <c r="OS21" i="1"/>
  <c r="OS37" i="1" s="1"/>
  <c r="OR21" i="1"/>
  <c r="OR37" i="1" s="1"/>
  <c r="OO21" i="1"/>
  <c r="OO37" i="1" s="1"/>
  <c r="ON21" i="1"/>
  <c r="ON37" i="1" s="1"/>
  <c r="OK21" i="1"/>
  <c r="OK37" i="1" s="1"/>
  <c r="OJ21" i="1"/>
  <c r="OJ37" i="1" s="1"/>
  <c r="OG21" i="1"/>
  <c r="OG37" i="1" s="1"/>
  <c r="OF21" i="1"/>
  <c r="OF37" i="1" s="1"/>
  <c r="OC21" i="1"/>
  <c r="OC37" i="1" s="1"/>
  <c r="OB21" i="1"/>
  <c r="OB37" i="1" s="1"/>
  <c r="NY21" i="1"/>
  <c r="NY37" i="1" s="1"/>
  <c r="NX21" i="1"/>
  <c r="NX37" i="1" s="1"/>
  <c r="NU21" i="1"/>
  <c r="NU37" i="1" s="1"/>
  <c r="NT21" i="1"/>
  <c r="NT37" i="1" s="1"/>
  <c r="NQ21" i="1"/>
  <c r="NQ37" i="1" s="1"/>
  <c r="NP21" i="1"/>
  <c r="NP37" i="1" s="1"/>
  <c r="NM21" i="1"/>
  <c r="NM37" i="1" s="1"/>
  <c r="NL21" i="1"/>
  <c r="NL37" i="1" s="1"/>
  <c r="NI21" i="1"/>
  <c r="NI37" i="1" s="1"/>
  <c r="NH21" i="1"/>
  <c r="NH37" i="1" s="1"/>
  <c r="NE21" i="1"/>
  <c r="NE37" i="1" s="1"/>
  <c r="ND21" i="1"/>
  <c r="ND37" i="1" s="1"/>
  <c r="NA21" i="1"/>
  <c r="NA37" i="1" s="1"/>
  <c r="MZ21" i="1"/>
  <c r="MZ37" i="1" s="1"/>
  <c r="MW21" i="1"/>
  <c r="MW37" i="1" s="1"/>
  <c r="MV21" i="1"/>
  <c r="MV37" i="1" s="1"/>
  <c r="MS21" i="1"/>
  <c r="MS37" i="1" s="1"/>
  <c r="MR21" i="1"/>
  <c r="MR37" i="1" s="1"/>
  <c r="MO21" i="1"/>
  <c r="MO37" i="1" s="1"/>
  <c r="MN21" i="1"/>
  <c r="MN37" i="1" s="1"/>
  <c r="MK21" i="1"/>
  <c r="MK37" i="1" s="1"/>
  <c r="MJ21" i="1"/>
  <c r="MJ37" i="1" s="1"/>
  <c r="MG21" i="1"/>
  <c r="MG37" i="1" s="1"/>
  <c r="MF21" i="1"/>
  <c r="MF37" i="1" s="1"/>
  <c r="MC21" i="1"/>
  <c r="MC37" i="1" s="1"/>
  <c r="MB21" i="1"/>
  <c r="MB37" i="1" s="1"/>
  <c r="LY21" i="1"/>
  <c r="LY37" i="1" s="1"/>
  <c r="LX21" i="1"/>
  <c r="LX37" i="1" s="1"/>
  <c r="LU21" i="1"/>
  <c r="LU37" i="1" s="1"/>
  <c r="LT21" i="1"/>
  <c r="LT37" i="1" s="1"/>
  <c r="LQ21" i="1"/>
  <c r="LQ37" i="1" s="1"/>
  <c r="LP21" i="1"/>
  <c r="LP37" i="1" s="1"/>
  <c r="LM21" i="1"/>
  <c r="LM37" i="1" s="1"/>
  <c r="LL21" i="1"/>
  <c r="LL37" i="1" s="1"/>
  <c r="LI21" i="1"/>
  <c r="LI37" i="1" s="1"/>
  <c r="LH21" i="1"/>
  <c r="LH37" i="1" s="1"/>
  <c r="LE21" i="1"/>
  <c r="LE37" i="1" s="1"/>
  <c r="LD21" i="1"/>
  <c r="LD37" i="1" s="1"/>
  <c r="LA21" i="1"/>
  <c r="LA37" i="1" s="1"/>
  <c r="KZ21" i="1"/>
  <c r="KZ37" i="1" s="1"/>
  <c r="KW21" i="1"/>
  <c r="KW37" i="1" s="1"/>
  <c r="KV21" i="1"/>
  <c r="KV37" i="1" s="1"/>
  <c r="KS21" i="1"/>
  <c r="KS37" i="1" s="1"/>
  <c r="KR21" i="1"/>
  <c r="KR37" i="1" s="1"/>
  <c r="KO21" i="1"/>
  <c r="KO37" i="1" s="1"/>
  <c r="KN21" i="1"/>
  <c r="KN37" i="1" s="1"/>
  <c r="KK21" i="1"/>
  <c r="KK37" i="1" s="1"/>
  <c r="KJ21" i="1"/>
  <c r="KJ37" i="1" s="1"/>
  <c r="KG21" i="1"/>
  <c r="KG37" i="1" s="1"/>
  <c r="KF21" i="1"/>
  <c r="KF37" i="1" s="1"/>
  <c r="KC21" i="1"/>
  <c r="KC37" i="1" s="1"/>
  <c r="KB21" i="1"/>
  <c r="KB37" i="1" s="1"/>
  <c r="JY21" i="1"/>
  <c r="JY37" i="1" s="1"/>
  <c r="JX21" i="1"/>
  <c r="JX37" i="1" s="1"/>
  <c r="JU21" i="1"/>
  <c r="JU37" i="1" s="1"/>
  <c r="JT21" i="1"/>
  <c r="JT37" i="1" s="1"/>
  <c r="JQ21" i="1"/>
  <c r="JQ37" i="1" s="1"/>
  <c r="JP21" i="1"/>
  <c r="JP37" i="1" s="1"/>
  <c r="JM21" i="1"/>
  <c r="JM37" i="1" s="1"/>
  <c r="JL21" i="1"/>
  <c r="JL37" i="1" s="1"/>
  <c r="JI21" i="1"/>
  <c r="JI37" i="1" s="1"/>
  <c r="JH21" i="1"/>
  <c r="JH37" i="1" s="1"/>
  <c r="JE21" i="1"/>
  <c r="JE37" i="1" s="1"/>
  <c r="JD21" i="1"/>
  <c r="JD37" i="1" s="1"/>
  <c r="JA21" i="1"/>
  <c r="JA37" i="1" s="1"/>
  <c r="IZ21" i="1"/>
  <c r="IZ37" i="1" s="1"/>
  <c r="IW21" i="1"/>
  <c r="IW37" i="1" s="1"/>
  <c r="IV21" i="1"/>
  <c r="IV37" i="1" s="1"/>
  <c r="IS21" i="1"/>
  <c r="IS37" i="1" s="1"/>
  <c r="IR21" i="1"/>
  <c r="IR37" i="1" s="1"/>
  <c r="IO21" i="1"/>
  <c r="IO37" i="1" s="1"/>
  <c r="IN21" i="1"/>
  <c r="IN37" i="1" s="1"/>
  <c r="IK21" i="1"/>
  <c r="IK37" i="1" s="1"/>
  <c r="IJ21" i="1"/>
  <c r="IJ37" i="1" s="1"/>
  <c r="IG21" i="1"/>
  <c r="IG37" i="1" s="1"/>
  <c r="IF21" i="1"/>
  <c r="IF37" i="1" s="1"/>
  <c r="IC21" i="1"/>
  <c r="IC37" i="1" s="1"/>
  <c r="IB21" i="1"/>
  <c r="IB37" i="1" s="1"/>
  <c r="HY21" i="1"/>
  <c r="HY37" i="1" s="1"/>
  <c r="HX21" i="1"/>
  <c r="HX37" i="1" s="1"/>
  <c r="HU21" i="1"/>
  <c r="HU37" i="1" s="1"/>
  <c r="HT21" i="1"/>
  <c r="HT37" i="1" s="1"/>
  <c r="HQ21" i="1"/>
  <c r="HQ37" i="1" s="1"/>
  <c r="HP21" i="1"/>
  <c r="HP37" i="1" s="1"/>
  <c r="HM21" i="1"/>
  <c r="HM37" i="1" s="1"/>
  <c r="HL21" i="1"/>
  <c r="HL37" i="1" s="1"/>
  <c r="HI21" i="1"/>
  <c r="HI37" i="1" s="1"/>
  <c r="HH21" i="1"/>
  <c r="HH37" i="1" s="1"/>
  <c r="HE21" i="1"/>
  <c r="HE37" i="1" s="1"/>
  <c r="HD21" i="1"/>
  <c r="HD37" i="1" s="1"/>
  <c r="HA21" i="1"/>
  <c r="HA37" i="1" s="1"/>
  <c r="GZ21" i="1"/>
  <c r="GZ37" i="1" s="1"/>
  <c r="GW21" i="1"/>
  <c r="GW37" i="1" s="1"/>
  <c r="GV21" i="1"/>
  <c r="GV37" i="1" s="1"/>
  <c r="GS21" i="1"/>
  <c r="GS37" i="1" s="1"/>
  <c r="GR21" i="1"/>
  <c r="GR37" i="1" s="1"/>
  <c r="GO21" i="1"/>
  <c r="GO37" i="1" s="1"/>
  <c r="GN21" i="1"/>
  <c r="GN37" i="1" s="1"/>
  <c r="GK21" i="1"/>
  <c r="GK37" i="1" s="1"/>
  <c r="GJ21" i="1"/>
  <c r="GJ37" i="1" s="1"/>
  <c r="GG21" i="1"/>
  <c r="GG37" i="1" s="1"/>
  <c r="GF21" i="1"/>
  <c r="GF37" i="1" s="1"/>
  <c r="GC21" i="1"/>
  <c r="GC37" i="1" s="1"/>
  <c r="GB21" i="1"/>
  <c r="GB37" i="1" s="1"/>
  <c r="FY21" i="1"/>
  <c r="FY37" i="1" s="1"/>
  <c r="FX21" i="1"/>
  <c r="FX37" i="1" s="1"/>
  <c r="FU21" i="1"/>
  <c r="FU37" i="1" s="1"/>
  <c r="FT21" i="1"/>
  <c r="FT37" i="1" s="1"/>
  <c r="FQ21" i="1"/>
  <c r="FQ37" i="1" s="1"/>
  <c r="FP21" i="1"/>
  <c r="FP37" i="1" s="1"/>
  <c r="FM21" i="1"/>
  <c r="FM37" i="1" s="1"/>
  <c r="FL21" i="1"/>
  <c r="FL37" i="1" s="1"/>
  <c r="FI21" i="1"/>
  <c r="FI37" i="1" s="1"/>
  <c r="FH21" i="1"/>
  <c r="FH37" i="1" s="1"/>
  <c r="FE21" i="1"/>
  <c r="FE37" i="1" s="1"/>
  <c r="FD21" i="1"/>
  <c r="FD37" i="1" s="1"/>
  <c r="FA21" i="1"/>
  <c r="FA37" i="1" s="1"/>
  <c r="EZ21" i="1"/>
  <c r="EZ37" i="1" s="1"/>
  <c r="EW21" i="1"/>
  <c r="EW37" i="1" s="1"/>
  <c r="EV21" i="1"/>
  <c r="EV37" i="1" s="1"/>
  <c r="ES21" i="1"/>
  <c r="ES37" i="1" s="1"/>
  <c r="ER21" i="1"/>
  <c r="ER37" i="1" s="1"/>
  <c r="EO21" i="1"/>
  <c r="EO37" i="1" s="1"/>
  <c r="EN21" i="1"/>
  <c r="EN37" i="1" s="1"/>
  <c r="EK21" i="1"/>
  <c r="EK37" i="1" s="1"/>
  <c r="EJ21" i="1"/>
  <c r="EJ37" i="1" s="1"/>
  <c r="EG21" i="1"/>
  <c r="EG37" i="1" s="1"/>
  <c r="EF21" i="1"/>
  <c r="EF37" i="1" s="1"/>
  <c r="EC21" i="1"/>
  <c r="EC37" i="1" s="1"/>
  <c r="EB21" i="1"/>
  <c r="EB37" i="1" s="1"/>
  <c r="DY21" i="1"/>
  <c r="DY37" i="1" s="1"/>
  <c r="DX21" i="1"/>
  <c r="DX37" i="1" s="1"/>
  <c r="DU21" i="1"/>
  <c r="DU37" i="1" s="1"/>
  <c r="DT21" i="1"/>
  <c r="DT37" i="1" s="1"/>
  <c r="DQ21" i="1"/>
  <c r="DQ37" i="1" s="1"/>
  <c r="DP21" i="1"/>
  <c r="DP37" i="1" s="1"/>
  <c r="DM21" i="1"/>
  <c r="DM37" i="1" s="1"/>
  <c r="DL21" i="1"/>
  <c r="DL37" i="1" s="1"/>
  <c r="DI21" i="1"/>
  <c r="DI37" i="1" s="1"/>
  <c r="DH21" i="1"/>
  <c r="DH37" i="1" s="1"/>
  <c r="DE21" i="1"/>
  <c r="DE37" i="1" s="1"/>
  <c r="DD21" i="1"/>
  <c r="DD37" i="1" s="1"/>
  <c r="DA21" i="1"/>
  <c r="DA37" i="1" s="1"/>
  <c r="CZ21" i="1"/>
  <c r="CZ37" i="1" s="1"/>
  <c r="CW21" i="1"/>
  <c r="CW37" i="1" s="1"/>
  <c r="CV21" i="1"/>
  <c r="CV37" i="1" s="1"/>
  <c r="CS21" i="1"/>
  <c r="CS37" i="1" s="1"/>
  <c r="CR21" i="1"/>
  <c r="CR37" i="1" s="1"/>
  <c r="CO21" i="1"/>
  <c r="CO37" i="1" s="1"/>
  <c r="CN21" i="1"/>
  <c r="CN37" i="1" s="1"/>
  <c r="CK21" i="1"/>
  <c r="CK37" i="1" s="1"/>
  <c r="CJ21" i="1"/>
  <c r="CJ37" i="1" s="1"/>
  <c r="CG21" i="1"/>
  <c r="CG37" i="1" s="1"/>
  <c r="CF21" i="1"/>
  <c r="CF37" i="1" s="1"/>
  <c r="CC21" i="1"/>
  <c r="CC37" i="1" s="1"/>
  <c r="CB21" i="1"/>
  <c r="CB37" i="1" s="1"/>
  <c r="BY21" i="1"/>
  <c r="BY37" i="1" s="1"/>
  <c r="BX21" i="1"/>
  <c r="BX37" i="1" s="1"/>
  <c r="BU21" i="1"/>
  <c r="BU37" i="1" s="1"/>
  <c r="BT21" i="1"/>
  <c r="BT37" i="1" s="1"/>
  <c r="BQ21" i="1"/>
  <c r="BQ37" i="1" s="1"/>
  <c r="BP21" i="1"/>
  <c r="BP37" i="1" s="1"/>
  <c r="BM21" i="1"/>
  <c r="BM37" i="1" s="1"/>
  <c r="BL21" i="1"/>
  <c r="BL37" i="1" s="1"/>
  <c r="BI21" i="1"/>
  <c r="BI37" i="1" s="1"/>
  <c r="BH21" i="1"/>
  <c r="BH37" i="1" s="1"/>
  <c r="BE21" i="1"/>
  <c r="BE37" i="1" s="1"/>
  <c r="BD21" i="1"/>
  <c r="BD37" i="1" s="1"/>
  <c r="BA21" i="1"/>
  <c r="BA37" i="1" s="1"/>
  <c r="AZ21" i="1"/>
  <c r="AZ37" i="1" s="1"/>
  <c r="AW21" i="1"/>
  <c r="AW37" i="1" s="1"/>
  <c r="AV21" i="1"/>
  <c r="AV37" i="1" s="1"/>
  <c r="AS21" i="1"/>
  <c r="AS37" i="1" s="1"/>
  <c r="AR21" i="1"/>
  <c r="AR37" i="1" s="1"/>
  <c r="AO21" i="1"/>
  <c r="AO37" i="1" s="1"/>
  <c r="AN21" i="1"/>
  <c r="AN37" i="1" s="1"/>
  <c r="AK21" i="1"/>
  <c r="AK37" i="1" s="1"/>
  <c r="AJ21" i="1"/>
  <c r="AJ37" i="1" s="1"/>
  <c r="AG21" i="1"/>
  <c r="AG37" i="1" s="1"/>
  <c r="AF21" i="1"/>
  <c r="AF37" i="1" s="1"/>
  <c r="AC21" i="1"/>
  <c r="AC37" i="1" s="1"/>
  <c r="AB21" i="1"/>
  <c r="AB37" i="1" s="1"/>
  <c r="Y21" i="1"/>
  <c r="Y37" i="1" s="1"/>
  <c r="X21" i="1"/>
  <c r="X37" i="1" s="1"/>
  <c r="U21" i="1"/>
  <c r="U37" i="1" s="1"/>
  <c r="T21" i="1"/>
  <c r="T37" i="1" s="1"/>
  <c r="Q21" i="1"/>
  <c r="Q37" i="1" s="1"/>
  <c r="P21" i="1"/>
  <c r="P37" i="1" s="1"/>
  <c r="M21" i="1"/>
  <c r="M37" i="1" s="1"/>
  <c r="L21" i="1"/>
  <c r="L37" i="1" s="1"/>
  <c r="I21" i="1"/>
  <c r="I37" i="1" s="1"/>
  <c r="H21" i="1"/>
  <c r="H37" i="1" s="1"/>
  <c r="H20" i="1"/>
  <c r="E20" i="1"/>
  <c r="H18" i="1"/>
  <c r="G18" i="1"/>
  <c r="E18" i="1"/>
  <c r="E16" i="1"/>
  <c r="ABI3" i="1"/>
  <c r="ABE3" i="1"/>
  <c r="ABD3" i="1"/>
  <c r="AAS3" i="1"/>
  <c r="AAO3" i="1"/>
  <c r="AAN3" i="1"/>
  <c r="AAC3" i="1"/>
  <c r="ZY3" i="1"/>
  <c r="ZX3" i="1"/>
  <c r="ZM3" i="1"/>
  <c r="ZI3" i="1"/>
  <c r="ZH3" i="1"/>
  <c r="YW3" i="1"/>
  <c r="YS3" i="1"/>
  <c r="YR3" i="1"/>
  <c r="YG3" i="1"/>
  <c r="YC3" i="1"/>
  <c r="YB3" i="1"/>
  <c r="XQ3" i="1"/>
  <c r="XM3" i="1"/>
  <c r="XL3" i="1"/>
  <c r="XA3" i="1"/>
  <c r="WW3" i="1"/>
  <c r="WV3" i="1"/>
  <c r="WK3" i="1"/>
  <c r="WG3" i="1"/>
  <c r="WF3" i="1"/>
  <c r="VU3" i="1"/>
  <c r="VQ3" i="1"/>
  <c r="VP3" i="1"/>
  <c r="VE3" i="1"/>
  <c r="VA3" i="1"/>
  <c r="UZ3" i="1"/>
  <c r="UO3" i="1"/>
  <c r="UK3" i="1"/>
  <c r="UJ3" i="1"/>
  <c r="TY3" i="1"/>
  <c r="TU3" i="1"/>
  <c r="TT3" i="1"/>
  <c r="TI3" i="1"/>
  <c r="TE3" i="1"/>
  <c r="TD3" i="1"/>
  <c r="SS3" i="1"/>
  <c r="SO3" i="1"/>
  <c r="SN3" i="1"/>
  <c r="SC3" i="1"/>
  <c r="RY3" i="1"/>
  <c r="RX3" i="1"/>
  <c r="RM3" i="1"/>
  <c r="RI3" i="1"/>
  <c r="RH3" i="1"/>
  <c r="QW3" i="1"/>
  <c r="QS3" i="1"/>
  <c r="QR3" i="1"/>
  <c r="QG3" i="1"/>
  <c r="QC3" i="1"/>
  <c r="QB3" i="1"/>
  <c r="PQ3" i="1"/>
  <c r="PM3" i="1"/>
  <c r="PL3" i="1"/>
  <c r="PA3" i="1"/>
  <c r="OW3" i="1"/>
  <c r="OV3" i="1"/>
  <c r="OK3" i="1"/>
  <c r="OG3" i="1"/>
  <c r="OF3" i="1"/>
  <c r="NU3" i="1"/>
  <c r="NQ3" i="1"/>
  <c r="NP3" i="1"/>
  <c r="NE3" i="1"/>
  <c r="NA3" i="1"/>
  <c r="MZ3" i="1"/>
  <c r="MO3" i="1"/>
  <c r="MK3" i="1"/>
  <c r="MJ3" i="1"/>
  <c r="LY3" i="1"/>
  <c r="LU3" i="1"/>
  <c r="LT3" i="1"/>
  <c r="LI3" i="1"/>
  <c r="LE3" i="1"/>
  <c r="LD3" i="1"/>
  <c r="KS3" i="1"/>
  <c r="KO3" i="1"/>
  <c r="KN3" i="1"/>
  <c r="KC3" i="1"/>
  <c r="JY3" i="1"/>
  <c r="JX3" i="1"/>
  <c r="JM3" i="1"/>
  <c r="JI3" i="1"/>
  <c r="JH3" i="1"/>
  <c r="IW3" i="1"/>
  <c r="IS3" i="1"/>
  <c r="IR3" i="1"/>
  <c r="IG3" i="1"/>
  <c r="IC3" i="1"/>
  <c r="IB3" i="1"/>
  <c r="HQ3" i="1"/>
  <c r="HM3" i="1"/>
  <c r="HL3" i="1"/>
  <c r="HA3" i="1"/>
  <c r="GW3" i="1"/>
  <c r="GV3" i="1"/>
  <c r="GK3" i="1"/>
  <c r="GG3" i="1"/>
  <c r="GF3" i="1"/>
  <c r="FU3" i="1"/>
  <c r="FQ3" i="1"/>
  <c r="FP3" i="1"/>
  <c r="FE3" i="1"/>
  <c r="FA3" i="1"/>
  <c r="EZ3" i="1"/>
  <c r="EO3" i="1"/>
  <c r="EK3" i="1"/>
  <c r="EJ3" i="1"/>
  <c r="DY3" i="1"/>
  <c r="DU3" i="1"/>
  <c r="DT3" i="1"/>
  <c r="DI3" i="1"/>
  <c r="DE3" i="1"/>
  <c r="DD3" i="1"/>
  <c r="CS3" i="1"/>
  <c r="CO3" i="1"/>
  <c r="CN3" i="1"/>
  <c r="CC3" i="1"/>
  <c r="BY3" i="1"/>
  <c r="BX3" i="1"/>
  <c r="BM3" i="1"/>
  <c r="BI3" i="1"/>
  <c r="BH3" i="1"/>
  <c r="AW3" i="1"/>
  <c r="AS3" i="1"/>
  <c r="AR3" i="1"/>
  <c r="AG3" i="1"/>
  <c r="AC3" i="1"/>
  <c r="AB3" i="1"/>
  <c r="Q3" i="1"/>
  <c r="M3" i="1"/>
  <c r="L3" i="1"/>
  <c r="ABI2" i="1"/>
  <c r="ABH2" i="1"/>
  <c r="ABH3" i="1" s="1"/>
  <c r="ABF2" i="1"/>
  <c r="ABF3" i="1" s="1"/>
  <c r="ABE2" i="1"/>
  <c r="ABD2" i="1"/>
  <c r="ABB2" i="1"/>
  <c r="ABB3" i="1" s="1"/>
  <c r="ABA2" i="1"/>
  <c r="ABA3" i="1" s="1"/>
  <c r="AAX2" i="1"/>
  <c r="AAX3" i="1" s="1"/>
  <c r="AAW2" i="1"/>
  <c r="AAW3" i="1" s="1"/>
  <c r="AAV2" i="1"/>
  <c r="AAV3" i="1" s="1"/>
  <c r="AAT2" i="1"/>
  <c r="AAT3" i="1" s="1"/>
  <c r="AAS2" i="1"/>
  <c r="AAR2" i="1"/>
  <c r="AAR3" i="1" s="1"/>
  <c r="AAP2" i="1"/>
  <c r="AAP3" i="1" s="1"/>
  <c r="AAO2" i="1"/>
  <c r="AAN2" i="1"/>
  <c r="AAL2" i="1"/>
  <c r="AAL3" i="1" s="1"/>
  <c r="AAK2" i="1"/>
  <c r="AAK3" i="1" s="1"/>
  <c r="AAH2" i="1"/>
  <c r="AAH3" i="1" s="1"/>
  <c r="AAG2" i="1"/>
  <c r="AAG3" i="1" s="1"/>
  <c r="AAF2" i="1"/>
  <c r="AAF3" i="1" s="1"/>
  <c r="AAD2" i="1"/>
  <c r="AAD3" i="1" s="1"/>
  <c r="AAC2" i="1"/>
  <c r="AAB2" i="1"/>
  <c r="AAB3" i="1" s="1"/>
  <c r="ZZ2" i="1"/>
  <c r="ZZ3" i="1" s="1"/>
  <c r="ZY2" i="1"/>
  <c r="ZX2" i="1"/>
  <c r="ZV2" i="1"/>
  <c r="ZV3" i="1" s="1"/>
  <c r="ZU2" i="1"/>
  <c r="ZU3" i="1" s="1"/>
  <c r="ZR2" i="1"/>
  <c r="ZR3" i="1" s="1"/>
  <c r="ZQ2" i="1"/>
  <c r="ZQ3" i="1" s="1"/>
  <c r="ZP2" i="1"/>
  <c r="ZP3" i="1" s="1"/>
  <c r="ZN2" i="1"/>
  <c r="ZN3" i="1" s="1"/>
  <c r="ZM2" i="1"/>
  <c r="ZL2" i="1"/>
  <c r="ZL3" i="1" s="1"/>
  <c r="ZJ2" i="1"/>
  <c r="ZJ3" i="1" s="1"/>
  <c r="ZI2" i="1"/>
  <c r="ZH2" i="1"/>
  <c r="ZF2" i="1"/>
  <c r="ZF3" i="1" s="1"/>
  <c r="ZE2" i="1"/>
  <c r="ZE3" i="1" s="1"/>
  <c r="ZB2" i="1"/>
  <c r="ZB3" i="1" s="1"/>
  <c r="ZA2" i="1"/>
  <c r="ZA3" i="1" s="1"/>
  <c r="YZ2" i="1"/>
  <c r="YZ3" i="1" s="1"/>
  <c r="YX2" i="1"/>
  <c r="YX3" i="1" s="1"/>
  <c r="YW2" i="1"/>
  <c r="YV2" i="1"/>
  <c r="YV3" i="1" s="1"/>
  <c r="YT2" i="1"/>
  <c r="YT3" i="1" s="1"/>
  <c r="YS2" i="1"/>
  <c r="YR2" i="1"/>
  <c r="YP2" i="1"/>
  <c r="YP3" i="1" s="1"/>
  <c r="YO2" i="1"/>
  <c r="YO3" i="1" s="1"/>
  <c r="YL2" i="1"/>
  <c r="YL3" i="1" s="1"/>
  <c r="YK2" i="1"/>
  <c r="YK3" i="1" s="1"/>
  <c r="YJ2" i="1"/>
  <c r="YJ3" i="1" s="1"/>
  <c r="YH2" i="1"/>
  <c r="YH3" i="1" s="1"/>
  <c r="YG2" i="1"/>
  <c r="YF2" i="1"/>
  <c r="YF3" i="1" s="1"/>
  <c r="YD2" i="1"/>
  <c r="YD3" i="1" s="1"/>
  <c r="YC2" i="1"/>
  <c r="YB2" i="1"/>
  <c r="XZ2" i="1"/>
  <c r="XZ3" i="1" s="1"/>
  <c r="XY2" i="1"/>
  <c r="XY3" i="1" s="1"/>
  <c r="XV2" i="1"/>
  <c r="XV3" i="1" s="1"/>
  <c r="XU2" i="1"/>
  <c r="XU3" i="1" s="1"/>
  <c r="XT2" i="1"/>
  <c r="XT3" i="1" s="1"/>
  <c r="XR2" i="1"/>
  <c r="XR3" i="1" s="1"/>
  <c r="XQ2" i="1"/>
  <c r="XP2" i="1"/>
  <c r="XP3" i="1" s="1"/>
  <c r="XN2" i="1"/>
  <c r="XN3" i="1" s="1"/>
  <c r="XM2" i="1"/>
  <c r="XL2" i="1"/>
  <c r="XJ2" i="1"/>
  <c r="XJ3" i="1" s="1"/>
  <c r="XI2" i="1"/>
  <c r="XI3" i="1" s="1"/>
  <c r="XF2" i="1"/>
  <c r="XF3" i="1" s="1"/>
  <c r="XE2" i="1"/>
  <c r="XE3" i="1" s="1"/>
  <c r="XD2" i="1"/>
  <c r="XD3" i="1" s="1"/>
  <c r="XB2" i="1"/>
  <c r="XB3" i="1" s="1"/>
  <c r="XA2" i="1"/>
  <c r="WZ2" i="1"/>
  <c r="WZ3" i="1" s="1"/>
  <c r="WX2" i="1"/>
  <c r="WX3" i="1" s="1"/>
  <c r="WW2" i="1"/>
  <c r="WV2" i="1"/>
  <c r="WT2" i="1"/>
  <c r="WT3" i="1" s="1"/>
  <c r="WS2" i="1"/>
  <c r="WS3" i="1" s="1"/>
  <c r="WP2" i="1"/>
  <c r="WP3" i="1" s="1"/>
  <c r="WO2" i="1"/>
  <c r="WO3" i="1" s="1"/>
  <c r="WN2" i="1"/>
  <c r="WN3" i="1" s="1"/>
  <c r="WL2" i="1"/>
  <c r="WL3" i="1" s="1"/>
  <c r="WK2" i="1"/>
  <c r="WJ2" i="1"/>
  <c r="WJ3" i="1" s="1"/>
  <c r="WH2" i="1"/>
  <c r="WH3" i="1" s="1"/>
  <c r="WG2" i="1"/>
  <c r="WF2" i="1"/>
  <c r="WD2" i="1"/>
  <c r="WD3" i="1" s="1"/>
  <c r="WC2" i="1"/>
  <c r="WC3" i="1" s="1"/>
  <c r="VZ2" i="1"/>
  <c r="VZ3" i="1" s="1"/>
  <c r="VY2" i="1"/>
  <c r="VY3" i="1" s="1"/>
  <c r="VX2" i="1"/>
  <c r="VX3" i="1" s="1"/>
  <c r="VV2" i="1"/>
  <c r="VV3" i="1" s="1"/>
  <c r="VU2" i="1"/>
  <c r="VT2" i="1"/>
  <c r="VT3" i="1" s="1"/>
  <c r="VR2" i="1"/>
  <c r="VR3" i="1" s="1"/>
  <c r="VQ2" i="1"/>
  <c r="VP2" i="1"/>
  <c r="VN2" i="1"/>
  <c r="VN3" i="1" s="1"/>
  <c r="VM2" i="1"/>
  <c r="VM3" i="1" s="1"/>
  <c r="VJ2" i="1"/>
  <c r="VJ3" i="1" s="1"/>
  <c r="VI2" i="1"/>
  <c r="VI3" i="1" s="1"/>
  <c r="VH2" i="1"/>
  <c r="VH3" i="1" s="1"/>
  <c r="VF2" i="1"/>
  <c r="VF3" i="1" s="1"/>
  <c r="VE2" i="1"/>
  <c r="VD2" i="1"/>
  <c r="VD3" i="1" s="1"/>
  <c r="VB2" i="1"/>
  <c r="VB3" i="1" s="1"/>
  <c r="VA2" i="1"/>
  <c r="UZ2" i="1"/>
  <c r="UX2" i="1"/>
  <c r="UX3" i="1" s="1"/>
  <c r="UW2" i="1"/>
  <c r="UW3" i="1" s="1"/>
  <c r="UT2" i="1"/>
  <c r="UT3" i="1" s="1"/>
  <c r="US2" i="1"/>
  <c r="US3" i="1" s="1"/>
  <c r="UR2" i="1"/>
  <c r="UR3" i="1" s="1"/>
  <c r="UP2" i="1"/>
  <c r="UP3" i="1" s="1"/>
  <c r="UO2" i="1"/>
  <c r="UN2" i="1"/>
  <c r="UN3" i="1" s="1"/>
  <c r="UL2" i="1"/>
  <c r="UL3" i="1" s="1"/>
  <c r="UK2" i="1"/>
  <c r="UJ2" i="1"/>
  <c r="UH2" i="1"/>
  <c r="UH3" i="1" s="1"/>
  <c r="UG2" i="1"/>
  <c r="UG3" i="1" s="1"/>
  <c r="UD2" i="1"/>
  <c r="UD3" i="1" s="1"/>
  <c r="UC2" i="1"/>
  <c r="UC3" i="1" s="1"/>
  <c r="UB2" i="1"/>
  <c r="UB3" i="1" s="1"/>
  <c r="TZ2" i="1"/>
  <c r="TZ3" i="1" s="1"/>
  <c r="TY2" i="1"/>
  <c r="TX2" i="1"/>
  <c r="TX3" i="1" s="1"/>
  <c r="TV2" i="1"/>
  <c r="TV3" i="1" s="1"/>
  <c r="TU2" i="1"/>
  <c r="TT2" i="1"/>
  <c r="TR2" i="1"/>
  <c r="TR3" i="1" s="1"/>
  <c r="TQ2" i="1"/>
  <c r="TQ3" i="1" s="1"/>
  <c r="TN2" i="1"/>
  <c r="TN3" i="1" s="1"/>
  <c r="TM2" i="1"/>
  <c r="TM3" i="1" s="1"/>
  <c r="TL2" i="1"/>
  <c r="TL3" i="1" s="1"/>
  <c r="TJ2" i="1"/>
  <c r="TJ3" i="1" s="1"/>
  <c r="TI2" i="1"/>
  <c r="TH2" i="1"/>
  <c r="TH3" i="1" s="1"/>
  <c r="TF2" i="1"/>
  <c r="TF3" i="1" s="1"/>
  <c r="TE2" i="1"/>
  <c r="TD2" i="1"/>
  <c r="TB2" i="1"/>
  <c r="TB3" i="1" s="1"/>
  <c r="TA2" i="1"/>
  <c r="TA3" i="1" s="1"/>
  <c r="SX2" i="1"/>
  <c r="SX3" i="1" s="1"/>
  <c r="SW2" i="1"/>
  <c r="SW3" i="1" s="1"/>
  <c r="SV2" i="1"/>
  <c r="SV3" i="1" s="1"/>
  <c r="ST2" i="1"/>
  <c r="ST3" i="1" s="1"/>
  <c r="SS2" i="1"/>
  <c r="SR2" i="1"/>
  <c r="SR3" i="1" s="1"/>
  <c r="SP2" i="1"/>
  <c r="SP3" i="1" s="1"/>
  <c r="SO2" i="1"/>
  <c r="SN2" i="1"/>
  <c r="SL2" i="1"/>
  <c r="SL3" i="1" s="1"/>
  <c r="SK2" i="1"/>
  <c r="SK3" i="1" s="1"/>
  <c r="SH2" i="1"/>
  <c r="SH3" i="1" s="1"/>
  <c r="SG2" i="1"/>
  <c r="SG3" i="1" s="1"/>
  <c r="SF2" i="1"/>
  <c r="SF3" i="1" s="1"/>
  <c r="SD2" i="1"/>
  <c r="SD3" i="1" s="1"/>
  <c r="SC2" i="1"/>
  <c r="SB2" i="1"/>
  <c r="SB3" i="1" s="1"/>
  <c r="RZ2" i="1"/>
  <c r="RZ3" i="1" s="1"/>
  <c r="RY2" i="1"/>
  <c r="RX2" i="1"/>
  <c r="RV2" i="1"/>
  <c r="RV3" i="1" s="1"/>
  <c r="RU2" i="1"/>
  <c r="RU3" i="1" s="1"/>
  <c r="RR2" i="1"/>
  <c r="RR3" i="1" s="1"/>
  <c r="RQ2" i="1"/>
  <c r="RQ3" i="1" s="1"/>
  <c r="RP2" i="1"/>
  <c r="RP3" i="1" s="1"/>
  <c r="RN2" i="1"/>
  <c r="RN3" i="1" s="1"/>
  <c r="RM2" i="1"/>
  <c r="RL2" i="1"/>
  <c r="RL3" i="1" s="1"/>
  <c r="RJ2" i="1"/>
  <c r="RJ3" i="1" s="1"/>
  <c r="RI2" i="1"/>
  <c r="RH2" i="1"/>
  <c r="RF2" i="1"/>
  <c r="RF3" i="1" s="1"/>
  <c r="RE2" i="1"/>
  <c r="RE3" i="1" s="1"/>
  <c r="RB2" i="1"/>
  <c r="RB3" i="1" s="1"/>
  <c r="RA2" i="1"/>
  <c r="RA3" i="1" s="1"/>
  <c r="QZ2" i="1"/>
  <c r="QZ3" i="1" s="1"/>
  <c r="QX2" i="1"/>
  <c r="QX3" i="1" s="1"/>
  <c r="QW2" i="1"/>
  <c r="QV2" i="1"/>
  <c r="QV3" i="1" s="1"/>
  <c r="QT2" i="1"/>
  <c r="QT3" i="1" s="1"/>
  <c r="QS2" i="1"/>
  <c r="QR2" i="1"/>
  <c r="QP2" i="1"/>
  <c r="QP3" i="1" s="1"/>
  <c r="QO2" i="1"/>
  <c r="QO3" i="1" s="1"/>
  <c r="QL2" i="1"/>
  <c r="QL3" i="1" s="1"/>
  <c r="QK2" i="1"/>
  <c r="QK3" i="1" s="1"/>
  <c r="QJ2" i="1"/>
  <c r="QJ3" i="1" s="1"/>
  <c r="QH2" i="1"/>
  <c r="QH3" i="1" s="1"/>
  <c r="QG2" i="1"/>
  <c r="QF2" i="1"/>
  <c r="QF3" i="1" s="1"/>
  <c r="QD2" i="1"/>
  <c r="QD3" i="1" s="1"/>
  <c r="QC2" i="1"/>
  <c r="QB2" i="1"/>
  <c r="PZ2" i="1"/>
  <c r="PZ3" i="1" s="1"/>
  <c r="PY2" i="1"/>
  <c r="PY3" i="1" s="1"/>
  <c r="PV2" i="1"/>
  <c r="PV3" i="1" s="1"/>
  <c r="PU2" i="1"/>
  <c r="PU3" i="1" s="1"/>
  <c r="PT2" i="1"/>
  <c r="PT3" i="1" s="1"/>
  <c r="PR2" i="1"/>
  <c r="PR3" i="1" s="1"/>
  <c r="PQ2" i="1"/>
  <c r="PP2" i="1"/>
  <c r="PP3" i="1" s="1"/>
  <c r="PN2" i="1"/>
  <c r="PN3" i="1" s="1"/>
  <c r="PM2" i="1"/>
  <c r="PL2" i="1"/>
  <c r="PJ2" i="1"/>
  <c r="PJ3" i="1" s="1"/>
  <c r="PI2" i="1"/>
  <c r="PI3" i="1" s="1"/>
  <c r="PF2" i="1"/>
  <c r="PF3" i="1" s="1"/>
  <c r="PE2" i="1"/>
  <c r="PE3" i="1" s="1"/>
  <c r="PD2" i="1"/>
  <c r="PD3" i="1" s="1"/>
  <c r="PB2" i="1"/>
  <c r="PB3" i="1" s="1"/>
  <c r="PA2" i="1"/>
  <c r="OZ2" i="1"/>
  <c r="OZ3" i="1" s="1"/>
  <c r="OX2" i="1"/>
  <c r="OX3" i="1" s="1"/>
  <c r="OW2" i="1"/>
  <c r="OV2" i="1"/>
  <c r="OT2" i="1"/>
  <c r="OT3" i="1" s="1"/>
  <c r="OS2" i="1"/>
  <c r="OS3" i="1" s="1"/>
  <c r="OP2" i="1"/>
  <c r="OP3" i="1" s="1"/>
  <c r="OO2" i="1"/>
  <c r="OO3" i="1" s="1"/>
  <c r="ON2" i="1"/>
  <c r="ON3" i="1" s="1"/>
  <c r="OL2" i="1"/>
  <c r="OL3" i="1" s="1"/>
  <c r="OK2" i="1"/>
  <c r="OJ2" i="1"/>
  <c r="OJ3" i="1" s="1"/>
  <c r="OH2" i="1"/>
  <c r="OH3" i="1" s="1"/>
  <c r="OG2" i="1"/>
  <c r="OF2" i="1"/>
  <c r="OD2" i="1"/>
  <c r="OD3" i="1" s="1"/>
  <c r="OC2" i="1"/>
  <c r="OC3" i="1" s="1"/>
  <c r="NZ2" i="1"/>
  <c r="NZ3" i="1" s="1"/>
  <c r="NY2" i="1"/>
  <c r="NY3" i="1" s="1"/>
  <c r="NX2" i="1"/>
  <c r="NX3" i="1" s="1"/>
  <c r="NV2" i="1"/>
  <c r="NV3" i="1" s="1"/>
  <c r="NU2" i="1"/>
  <c r="NT2" i="1"/>
  <c r="NT3" i="1" s="1"/>
  <c r="NR2" i="1"/>
  <c r="NR3" i="1" s="1"/>
  <c r="NQ2" i="1"/>
  <c r="NP2" i="1"/>
  <c r="NN2" i="1"/>
  <c r="NN3" i="1" s="1"/>
  <c r="NM2" i="1"/>
  <c r="NM3" i="1" s="1"/>
  <c r="NJ2" i="1"/>
  <c r="NJ3" i="1" s="1"/>
  <c r="NI2" i="1"/>
  <c r="NI3" i="1" s="1"/>
  <c r="NH2" i="1"/>
  <c r="NH3" i="1" s="1"/>
  <c r="NF2" i="1"/>
  <c r="NF3" i="1" s="1"/>
  <c r="NE2" i="1"/>
  <c r="ND2" i="1"/>
  <c r="ND3" i="1" s="1"/>
  <c r="NB2" i="1"/>
  <c r="NB3" i="1" s="1"/>
  <c r="NA2" i="1"/>
  <c r="MZ2" i="1"/>
  <c r="MX2" i="1"/>
  <c r="MX3" i="1" s="1"/>
  <c r="MW2" i="1"/>
  <c r="MW3" i="1" s="1"/>
  <c r="MT2" i="1"/>
  <c r="MT3" i="1" s="1"/>
  <c r="MS2" i="1"/>
  <c r="MS3" i="1" s="1"/>
  <c r="MR2" i="1"/>
  <c r="MR3" i="1" s="1"/>
  <c r="MP2" i="1"/>
  <c r="MP3" i="1" s="1"/>
  <c r="MO2" i="1"/>
  <c r="MN2" i="1"/>
  <c r="MN3" i="1" s="1"/>
  <c r="ML2" i="1"/>
  <c r="ML3" i="1" s="1"/>
  <c r="MK2" i="1"/>
  <c r="MJ2" i="1"/>
  <c r="MH2" i="1"/>
  <c r="MH3" i="1" s="1"/>
  <c r="MG2" i="1"/>
  <c r="MG3" i="1" s="1"/>
  <c r="MD2" i="1"/>
  <c r="MD3" i="1" s="1"/>
  <c r="MC2" i="1"/>
  <c r="MC3" i="1" s="1"/>
  <c r="MB2" i="1"/>
  <c r="MB3" i="1" s="1"/>
  <c r="LZ2" i="1"/>
  <c r="LZ3" i="1" s="1"/>
  <c r="LY2" i="1"/>
  <c r="LX2" i="1"/>
  <c r="LX3" i="1" s="1"/>
  <c r="LV2" i="1"/>
  <c r="LV3" i="1" s="1"/>
  <c r="LU2" i="1"/>
  <c r="LT2" i="1"/>
  <c r="LR2" i="1"/>
  <c r="LR3" i="1" s="1"/>
  <c r="LQ2" i="1"/>
  <c r="LQ3" i="1" s="1"/>
  <c r="LN2" i="1"/>
  <c r="LN3" i="1" s="1"/>
  <c r="LM2" i="1"/>
  <c r="LM3" i="1" s="1"/>
  <c r="LL2" i="1"/>
  <c r="LL3" i="1" s="1"/>
  <c r="LJ2" i="1"/>
  <c r="LJ3" i="1" s="1"/>
  <c r="LI2" i="1"/>
  <c r="LH2" i="1"/>
  <c r="LH3" i="1" s="1"/>
  <c r="LF2" i="1"/>
  <c r="LF3" i="1" s="1"/>
  <c r="LE2" i="1"/>
  <c r="LD2" i="1"/>
  <c r="LB2" i="1"/>
  <c r="LB3" i="1" s="1"/>
  <c r="LA2" i="1"/>
  <c r="LA3" i="1" s="1"/>
  <c r="KX2" i="1"/>
  <c r="KX3" i="1" s="1"/>
  <c r="KW2" i="1"/>
  <c r="KW3" i="1" s="1"/>
  <c r="KV2" i="1"/>
  <c r="KV3" i="1" s="1"/>
  <c r="KT2" i="1"/>
  <c r="KT3" i="1" s="1"/>
  <c r="KS2" i="1"/>
  <c r="KR2" i="1"/>
  <c r="KR3" i="1" s="1"/>
  <c r="KP2" i="1"/>
  <c r="KP3" i="1" s="1"/>
  <c r="KO2" i="1"/>
  <c r="KN2" i="1"/>
  <c r="KL2" i="1"/>
  <c r="KL3" i="1" s="1"/>
  <c r="KK2" i="1"/>
  <c r="KK3" i="1" s="1"/>
  <c r="KH2" i="1"/>
  <c r="KH3" i="1" s="1"/>
  <c r="KG2" i="1"/>
  <c r="KG3" i="1" s="1"/>
  <c r="KF2" i="1"/>
  <c r="KF3" i="1" s="1"/>
  <c r="KD2" i="1"/>
  <c r="KD3" i="1" s="1"/>
  <c r="KC2" i="1"/>
  <c r="KB2" i="1"/>
  <c r="KB3" i="1" s="1"/>
  <c r="JZ2" i="1"/>
  <c r="JZ3" i="1" s="1"/>
  <c r="JY2" i="1"/>
  <c r="JX2" i="1"/>
  <c r="JV2" i="1"/>
  <c r="JV3" i="1" s="1"/>
  <c r="JU2" i="1"/>
  <c r="JU3" i="1" s="1"/>
  <c r="JR2" i="1"/>
  <c r="JR3" i="1" s="1"/>
  <c r="JQ2" i="1"/>
  <c r="JQ3" i="1" s="1"/>
  <c r="JP2" i="1"/>
  <c r="JP3" i="1" s="1"/>
  <c r="JN2" i="1"/>
  <c r="JN3" i="1" s="1"/>
  <c r="JM2" i="1"/>
  <c r="JL2" i="1"/>
  <c r="JL3" i="1" s="1"/>
  <c r="JJ2" i="1"/>
  <c r="JJ3" i="1" s="1"/>
  <c r="JI2" i="1"/>
  <c r="JH2" i="1"/>
  <c r="JF2" i="1"/>
  <c r="JF3" i="1" s="1"/>
  <c r="JE2" i="1"/>
  <c r="JE3" i="1" s="1"/>
  <c r="JB2" i="1"/>
  <c r="JB3" i="1" s="1"/>
  <c r="JA2" i="1"/>
  <c r="JA3" i="1" s="1"/>
  <c r="IZ2" i="1"/>
  <c r="IZ3" i="1" s="1"/>
  <c r="IX2" i="1"/>
  <c r="IX3" i="1" s="1"/>
  <c r="IW2" i="1"/>
  <c r="IV2" i="1"/>
  <c r="IV3" i="1" s="1"/>
  <c r="IT2" i="1"/>
  <c r="IT3" i="1" s="1"/>
  <c r="IS2" i="1"/>
  <c r="IR2" i="1"/>
  <c r="IP2" i="1"/>
  <c r="IP3" i="1" s="1"/>
  <c r="IO2" i="1"/>
  <c r="IO3" i="1" s="1"/>
  <c r="IL2" i="1"/>
  <c r="IL3" i="1" s="1"/>
  <c r="IK2" i="1"/>
  <c r="IK3" i="1" s="1"/>
  <c r="IJ2" i="1"/>
  <c r="IJ3" i="1" s="1"/>
  <c r="IH2" i="1"/>
  <c r="IH3" i="1" s="1"/>
  <c r="IG2" i="1"/>
  <c r="IF2" i="1"/>
  <c r="IF3" i="1" s="1"/>
  <c r="ID2" i="1"/>
  <c r="ID3" i="1" s="1"/>
  <c r="IC2" i="1"/>
  <c r="IB2" i="1"/>
  <c r="HZ2" i="1"/>
  <c r="HZ3" i="1" s="1"/>
  <c r="HY2" i="1"/>
  <c r="HY3" i="1" s="1"/>
  <c r="HV2" i="1"/>
  <c r="HV3" i="1" s="1"/>
  <c r="HU2" i="1"/>
  <c r="HU3" i="1" s="1"/>
  <c r="HT2" i="1"/>
  <c r="HT3" i="1" s="1"/>
  <c r="HR2" i="1"/>
  <c r="HR3" i="1" s="1"/>
  <c r="HQ2" i="1"/>
  <c r="HP2" i="1"/>
  <c r="HP3" i="1" s="1"/>
  <c r="HN2" i="1"/>
  <c r="HN3" i="1" s="1"/>
  <c r="HM2" i="1"/>
  <c r="HL2" i="1"/>
  <c r="HJ2" i="1"/>
  <c r="HJ3" i="1" s="1"/>
  <c r="HI2" i="1"/>
  <c r="HI3" i="1" s="1"/>
  <c r="HF2" i="1"/>
  <c r="HF3" i="1" s="1"/>
  <c r="HE2" i="1"/>
  <c r="HE3" i="1" s="1"/>
  <c r="HD2" i="1"/>
  <c r="HD3" i="1" s="1"/>
  <c r="HB2" i="1"/>
  <c r="HB3" i="1" s="1"/>
  <c r="HA2" i="1"/>
  <c r="GZ2" i="1"/>
  <c r="GZ3" i="1" s="1"/>
  <c r="GX2" i="1"/>
  <c r="GX3" i="1" s="1"/>
  <c r="GW2" i="1"/>
  <c r="GV2" i="1"/>
  <c r="GT2" i="1"/>
  <c r="GT3" i="1" s="1"/>
  <c r="GS2" i="1"/>
  <c r="GS3" i="1" s="1"/>
  <c r="GP2" i="1"/>
  <c r="GP3" i="1" s="1"/>
  <c r="GO2" i="1"/>
  <c r="GO3" i="1" s="1"/>
  <c r="GN2" i="1"/>
  <c r="GN3" i="1" s="1"/>
  <c r="GL2" i="1"/>
  <c r="GL3" i="1" s="1"/>
  <c r="GK2" i="1"/>
  <c r="GJ2" i="1"/>
  <c r="GJ3" i="1" s="1"/>
  <c r="GH2" i="1"/>
  <c r="GH3" i="1" s="1"/>
  <c r="GG2" i="1"/>
  <c r="GF2" i="1"/>
  <c r="GD2" i="1"/>
  <c r="GD3" i="1" s="1"/>
  <c r="GC2" i="1"/>
  <c r="GC3" i="1" s="1"/>
  <c r="FZ2" i="1"/>
  <c r="FZ3" i="1" s="1"/>
  <c r="FY2" i="1"/>
  <c r="FY3" i="1" s="1"/>
  <c r="FX2" i="1"/>
  <c r="FX3" i="1" s="1"/>
  <c r="FV2" i="1"/>
  <c r="FV3" i="1" s="1"/>
  <c r="FU2" i="1"/>
  <c r="FT2" i="1"/>
  <c r="FT3" i="1" s="1"/>
  <c r="FR2" i="1"/>
  <c r="FR3" i="1" s="1"/>
  <c r="FQ2" i="1"/>
  <c r="FP2" i="1"/>
  <c r="FN2" i="1"/>
  <c r="FN3" i="1" s="1"/>
  <c r="FM2" i="1"/>
  <c r="FM3" i="1" s="1"/>
  <c r="FJ2" i="1"/>
  <c r="FJ3" i="1" s="1"/>
  <c r="FI2" i="1"/>
  <c r="FI3" i="1" s="1"/>
  <c r="FH2" i="1"/>
  <c r="FH3" i="1" s="1"/>
  <c r="FF2" i="1"/>
  <c r="FF3" i="1" s="1"/>
  <c r="FE2" i="1"/>
  <c r="FD2" i="1"/>
  <c r="FD3" i="1" s="1"/>
  <c r="FB2" i="1"/>
  <c r="FB3" i="1" s="1"/>
  <c r="FA2" i="1"/>
  <c r="EZ2" i="1"/>
  <c r="EX2" i="1"/>
  <c r="EX3" i="1" s="1"/>
  <c r="EW2" i="1"/>
  <c r="EW3" i="1" s="1"/>
  <c r="ET2" i="1"/>
  <c r="ET3" i="1" s="1"/>
  <c r="ES2" i="1"/>
  <c r="ES3" i="1" s="1"/>
  <c r="ER2" i="1"/>
  <c r="ER3" i="1" s="1"/>
  <c r="EP2" i="1"/>
  <c r="EP3" i="1" s="1"/>
  <c r="EO2" i="1"/>
  <c r="EN2" i="1"/>
  <c r="EN3" i="1" s="1"/>
  <c r="EL2" i="1"/>
  <c r="EL3" i="1" s="1"/>
  <c r="EK2" i="1"/>
  <c r="EJ2" i="1"/>
  <c r="EH2" i="1"/>
  <c r="EH3" i="1" s="1"/>
  <c r="EG2" i="1"/>
  <c r="EG3" i="1" s="1"/>
  <c r="ED2" i="1"/>
  <c r="ED3" i="1" s="1"/>
  <c r="EC2" i="1"/>
  <c r="EC3" i="1" s="1"/>
  <c r="EB2" i="1"/>
  <c r="EB3" i="1" s="1"/>
  <c r="DZ2" i="1"/>
  <c r="DZ3" i="1" s="1"/>
  <c r="DY2" i="1"/>
  <c r="DX2" i="1"/>
  <c r="DX3" i="1" s="1"/>
  <c r="DV2" i="1"/>
  <c r="DV3" i="1" s="1"/>
  <c r="DU2" i="1"/>
  <c r="DT2" i="1"/>
  <c r="DR2" i="1"/>
  <c r="DR3" i="1" s="1"/>
  <c r="DQ2" i="1"/>
  <c r="DQ3" i="1" s="1"/>
  <c r="DN2" i="1"/>
  <c r="DN3" i="1" s="1"/>
  <c r="DM2" i="1"/>
  <c r="DM3" i="1" s="1"/>
  <c r="DL2" i="1"/>
  <c r="DL3" i="1" s="1"/>
  <c r="DJ2" i="1"/>
  <c r="DJ3" i="1" s="1"/>
  <c r="DI2" i="1"/>
  <c r="DH2" i="1"/>
  <c r="DH3" i="1" s="1"/>
  <c r="DF2" i="1"/>
  <c r="DF3" i="1" s="1"/>
  <c r="DE2" i="1"/>
  <c r="DD2" i="1"/>
  <c r="DB2" i="1"/>
  <c r="DB3" i="1" s="1"/>
  <c r="DA2" i="1"/>
  <c r="DA3" i="1" s="1"/>
  <c r="CX2" i="1"/>
  <c r="CX3" i="1" s="1"/>
  <c r="CW2" i="1"/>
  <c r="CW3" i="1" s="1"/>
  <c r="CV2" i="1"/>
  <c r="CV3" i="1" s="1"/>
  <c r="CT2" i="1"/>
  <c r="CT3" i="1" s="1"/>
  <c r="CS2" i="1"/>
  <c r="CR2" i="1"/>
  <c r="CR3" i="1" s="1"/>
  <c r="CP2" i="1"/>
  <c r="CP3" i="1" s="1"/>
  <c r="CO2" i="1"/>
  <c r="CN2" i="1"/>
  <c r="CL2" i="1"/>
  <c r="CL3" i="1" s="1"/>
  <c r="CK2" i="1"/>
  <c r="CK3" i="1" s="1"/>
  <c r="CH2" i="1"/>
  <c r="CH3" i="1" s="1"/>
  <c r="CG2" i="1"/>
  <c r="CG3" i="1" s="1"/>
  <c r="CF2" i="1"/>
  <c r="CF3" i="1" s="1"/>
  <c r="CD2" i="1"/>
  <c r="CD3" i="1" s="1"/>
  <c r="CC2" i="1"/>
  <c r="CB2" i="1"/>
  <c r="CB3" i="1" s="1"/>
  <c r="BZ2" i="1"/>
  <c r="BZ3" i="1" s="1"/>
  <c r="BY2" i="1"/>
  <c r="BX2" i="1"/>
  <c r="BV2" i="1"/>
  <c r="BV3" i="1" s="1"/>
  <c r="BU2" i="1"/>
  <c r="BU3" i="1" s="1"/>
  <c r="BR2" i="1"/>
  <c r="BR3" i="1" s="1"/>
  <c r="BQ2" i="1"/>
  <c r="BQ3" i="1" s="1"/>
  <c r="BP2" i="1"/>
  <c r="BP3" i="1" s="1"/>
  <c r="BN2" i="1"/>
  <c r="BN3" i="1" s="1"/>
  <c r="BM2" i="1"/>
  <c r="BL2" i="1"/>
  <c r="BL3" i="1" s="1"/>
  <c r="BJ2" i="1"/>
  <c r="BJ3" i="1" s="1"/>
  <c r="BI2" i="1"/>
  <c r="BH2" i="1"/>
  <c r="BF2" i="1"/>
  <c r="BF3" i="1" s="1"/>
  <c r="BE2" i="1"/>
  <c r="BE3" i="1" s="1"/>
  <c r="BB2" i="1"/>
  <c r="BB3" i="1" s="1"/>
  <c r="BA2" i="1"/>
  <c r="BA3" i="1" s="1"/>
  <c r="AZ2" i="1"/>
  <c r="AZ3" i="1" s="1"/>
  <c r="AX2" i="1"/>
  <c r="AX3" i="1" s="1"/>
  <c r="AW2" i="1"/>
  <c r="AV2" i="1"/>
  <c r="AV3" i="1" s="1"/>
  <c r="AT2" i="1"/>
  <c r="AT3" i="1" s="1"/>
  <c r="AS2" i="1"/>
  <c r="AR2" i="1"/>
  <c r="AP2" i="1"/>
  <c r="AP3" i="1" s="1"/>
  <c r="AO2" i="1"/>
  <c r="AO3" i="1" s="1"/>
  <c r="AL2" i="1"/>
  <c r="AL3" i="1" s="1"/>
  <c r="AK2" i="1"/>
  <c r="AK3" i="1" s="1"/>
  <c r="AJ2" i="1"/>
  <c r="AJ3" i="1" s="1"/>
  <c r="AH2" i="1"/>
  <c r="AH3" i="1" s="1"/>
  <c r="AG2" i="1"/>
  <c r="AF2" i="1"/>
  <c r="AF3" i="1" s="1"/>
  <c r="AD2" i="1"/>
  <c r="AD3" i="1" s="1"/>
  <c r="AC2" i="1"/>
  <c r="AB2" i="1"/>
  <c r="Z2" i="1"/>
  <c r="Z3" i="1" s="1"/>
  <c r="Y2" i="1"/>
  <c r="Y3" i="1" s="1"/>
  <c r="V2" i="1"/>
  <c r="V3" i="1" s="1"/>
  <c r="U2" i="1"/>
  <c r="U3" i="1" s="1"/>
  <c r="T2" i="1"/>
  <c r="T3" i="1" s="1"/>
  <c r="R2" i="1"/>
  <c r="R3" i="1" s="1"/>
  <c r="Q2" i="1"/>
  <c r="P2" i="1"/>
  <c r="P3" i="1" s="1"/>
  <c r="N2" i="1"/>
  <c r="N3" i="1" s="1"/>
  <c r="M2" i="1"/>
  <c r="L2" i="1"/>
  <c r="J2" i="1"/>
  <c r="J3" i="1" s="1"/>
  <c r="I2" i="1"/>
  <c r="I3" i="1" s="1"/>
  <c r="F2" i="1"/>
  <c r="F3" i="1" s="1"/>
  <c r="F51" i="1" l="1"/>
  <c r="F42" i="1"/>
  <c r="F40" i="1"/>
  <c r="F36" i="1"/>
  <c r="EA38" i="1"/>
  <c r="EQ38" i="1"/>
  <c r="EQ34" i="1"/>
  <c r="EQ33" i="1"/>
  <c r="EQ44" i="1" s="1"/>
  <c r="EQ32" i="1"/>
  <c r="EQ35" i="1"/>
  <c r="EQ51" i="1" s="1"/>
  <c r="FG38" i="1"/>
  <c r="FG34" i="1"/>
  <c r="FG33" i="1"/>
  <c r="FG44" i="1" s="1"/>
  <c r="FG32" i="1"/>
  <c r="GI38" i="1"/>
  <c r="GI34" i="1"/>
  <c r="GI46" i="1" s="1"/>
  <c r="GI33" i="1"/>
  <c r="GI44" i="1" s="1"/>
  <c r="GI32" i="1"/>
  <c r="HO38" i="1"/>
  <c r="HO34" i="1"/>
  <c r="HO46" i="1" s="1"/>
  <c r="HO33" i="1"/>
  <c r="HO32" i="1"/>
  <c r="IY38" i="1"/>
  <c r="IY34" i="1"/>
  <c r="IY33" i="1"/>
  <c r="IY44" i="1" s="1"/>
  <c r="IY32" i="1"/>
  <c r="KA38" i="1"/>
  <c r="KA34" i="1"/>
  <c r="KA46" i="1" s="1"/>
  <c r="KA33" i="1"/>
  <c r="KA44" i="1" s="1"/>
  <c r="KA32" i="1"/>
  <c r="LG38" i="1"/>
  <c r="LG34" i="1"/>
  <c r="LG46" i="1" s="1"/>
  <c r="LG33" i="1"/>
  <c r="LG44" i="1" s="1"/>
  <c r="LG32" i="1"/>
  <c r="MM38" i="1"/>
  <c r="MM34" i="1"/>
  <c r="MM46" i="1" s="1"/>
  <c r="MM33" i="1"/>
  <c r="MM32" i="1"/>
  <c r="PC38" i="1"/>
  <c r="PC34" i="1"/>
  <c r="PC33" i="1"/>
  <c r="PC44" i="1" s="1"/>
  <c r="PC32" i="1"/>
  <c r="PS38" i="1"/>
  <c r="PS34" i="1"/>
  <c r="PS33" i="1"/>
  <c r="PS44" i="1" s="1"/>
  <c r="PS32" i="1"/>
  <c r="QI38" i="1"/>
  <c r="QI34" i="1"/>
  <c r="QI33" i="1"/>
  <c r="QI44" i="1" s="1"/>
  <c r="QI32" i="1"/>
  <c r="QY38" i="1"/>
  <c r="QY34" i="1"/>
  <c r="QY33" i="1"/>
  <c r="QY32" i="1"/>
  <c r="RK38" i="1"/>
  <c r="RK34" i="1"/>
  <c r="RK33" i="1"/>
  <c r="RK44" i="1" s="1"/>
  <c r="RK32" i="1"/>
  <c r="SQ38" i="1"/>
  <c r="SQ34" i="1"/>
  <c r="SQ46" i="1" s="1"/>
  <c r="SQ33" i="1"/>
  <c r="SQ44" i="1" s="1"/>
  <c r="SQ32" i="1"/>
  <c r="SU38" i="1"/>
  <c r="SU34" i="1"/>
  <c r="SU33" i="1"/>
  <c r="SU44" i="1" s="1"/>
  <c r="SU32" i="1"/>
  <c r="TK38" i="1"/>
  <c r="TK34" i="1"/>
  <c r="TK33" i="1"/>
  <c r="TK32" i="1"/>
  <c r="UA38" i="1"/>
  <c r="UA34" i="1"/>
  <c r="UA33" i="1"/>
  <c r="UA44" i="1" s="1"/>
  <c r="UA32" i="1"/>
  <c r="VC38" i="1"/>
  <c r="VC34" i="1"/>
  <c r="VC46" i="1" s="1"/>
  <c r="VC33" i="1"/>
  <c r="VC44" i="1" s="1"/>
  <c r="VC32" i="1"/>
  <c r="WI38" i="1"/>
  <c r="WI34" i="1"/>
  <c r="WI46" i="1" s="1"/>
  <c r="WI33" i="1"/>
  <c r="WI44" i="1" s="1"/>
  <c r="WI32" i="1"/>
  <c r="XC38" i="1"/>
  <c r="XC34" i="1"/>
  <c r="XC33" i="1"/>
  <c r="XC32" i="1"/>
  <c r="YY38" i="1"/>
  <c r="YY34" i="1"/>
  <c r="YY33" i="1"/>
  <c r="YY44" i="1" s="1"/>
  <c r="YY32" i="1"/>
  <c r="AAE38" i="1"/>
  <c r="AAE34" i="1"/>
  <c r="AAE33" i="1"/>
  <c r="AAE44" i="1" s="1"/>
  <c r="AAE32" i="1"/>
  <c r="AAU38" i="1"/>
  <c r="AAU34" i="1"/>
  <c r="AAU33" i="1"/>
  <c r="AAU44" i="1" s="1"/>
  <c r="AAU32" i="1"/>
  <c r="ABG38" i="1"/>
  <c r="ABG34" i="1"/>
  <c r="ABG46" i="1" s="1"/>
  <c r="ABG33" i="1"/>
  <c r="ABG32" i="1"/>
  <c r="Y33" i="1"/>
  <c r="ER38" i="1"/>
  <c r="ER33" i="1"/>
  <c r="ER44" i="1" s="1"/>
  <c r="ER32" i="1"/>
  <c r="ER35" i="1"/>
  <c r="ER51" i="1" s="1"/>
  <c r="ER34" i="1"/>
  <c r="FX38" i="1"/>
  <c r="HD38" i="1"/>
  <c r="HD50" i="1" s="1"/>
  <c r="HD33" i="1"/>
  <c r="HD44" i="1" s="1"/>
  <c r="HD32" i="1"/>
  <c r="HD35" i="1"/>
  <c r="HD51" i="1" s="1"/>
  <c r="HD34" i="1"/>
  <c r="HD47" i="1" s="1"/>
  <c r="IJ38" i="1"/>
  <c r="IJ33" i="1"/>
  <c r="IJ32" i="1"/>
  <c r="IJ35" i="1"/>
  <c r="IJ51" i="1" s="1"/>
  <c r="IJ34" i="1"/>
  <c r="JP38" i="1"/>
  <c r="JP33" i="1"/>
  <c r="JP44" i="1" s="1"/>
  <c r="JP32" i="1"/>
  <c r="JP35" i="1"/>
  <c r="JP34" i="1"/>
  <c r="KV38" i="1"/>
  <c r="KV33" i="1"/>
  <c r="KV44" i="1" s="1"/>
  <c r="KV32" i="1"/>
  <c r="KV35" i="1"/>
  <c r="KV34" i="1"/>
  <c r="MB38" i="1"/>
  <c r="MB50" i="1" s="1"/>
  <c r="MB33" i="1"/>
  <c r="MB44" i="1" s="1"/>
  <c r="MB32" i="1"/>
  <c r="MB35" i="1"/>
  <c r="MB51" i="1" s="1"/>
  <c r="MB34" i="1"/>
  <c r="MB47" i="1" s="1"/>
  <c r="NH38" i="1"/>
  <c r="NH33" i="1"/>
  <c r="NH32" i="1"/>
  <c r="NH35" i="1"/>
  <c r="NH51" i="1" s="1"/>
  <c r="NH34" i="1"/>
  <c r="ON38" i="1"/>
  <c r="ON33" i="1"/>
  <c r="ON44" i="1" s="1"/>
  <c r="ON32" i="1"/>
  <c r="ON35" i="1"/>
  <c r="ON34" i="1"/>
  <c r="PT38" i="1"/>
  <c r="PT33" i="1"/>
  <c r="PT44" i="1" s="1"/>
  <c r="PT32" i="1"/>
  <c r="PT35" i="1"/>
  <c r="PT50" i="1" s="1"/>
  <c r="PT34" i="1"/>
  <c r="QZ38" i="1"/>
  <c r="QZ50" i="1" s="1"/>
  <c r="QZ33" i="1"/>
  <c r="QZ44" i="1" s="1"/>
  <c r="QZ32" i="1"/>
  <c r="QZ35" i="1"/>
  <c r="QZ34" i="1"/>
  <c r="QZ47" i="1" s="1"/>
  <c r="SF38" i="1"/>
  <c r="SF33" i="1"/>
  <c r="SF32" i="1"/>
  <c r="SF35" i="1"/>
  <c r="SF34" i="1"/>
  <c r="TL38" i="1"/>
  <c r="TL33" i="1"/>
  <c r="TL44" i="1" s="1"/>
  <c r="TL32" i="1"/>
  <c r="TL35" i="1"/>
  <c r="TL34" i="1"/>
  <c r="UR38" i="1"/>
  <c r="UR33" i="1"/>
  <c r="UR44" i="1" s="1"/>
  <c r="UR32" i="1"/>
  <c r="UR35" i="1"/>
  <c r="UR50" i="1" s="1"/>
  <c r="UR34" i="1"/>
  <c r="VX38" i="1"/>
  <c r="VX50" i="1" s="1"/>
  <c r="VX33" i="1"/>
  <c r="VX44" i="1" s="1"/>
  <c r="VX32" i="1"/>
  <c r="VX35" i="1"/>
  <c r="VX34" i="1"/>
  <c r="VX47" i="1" s="1"/>
  <c r="XD38" i="1"/>
  <c r="XD33" i="1"/>
  <c r="XD32" i="1"/>
  <c r="XD35" i="1"/>
  <c r="XD34" i="1"/>
  <c r="YJ38" i="1"/>
  <c r="YJ33" i="1"/>
  <c r="YJ44" i="1" s="1"/>
  <c r="YJ32" i="1"/>
  <c r="YJ35" i="1"/>
  <c r="YJ34" i="1"/>
  <c r="ZP38" i="1"/>
  <c r="ZP33" i="1"/>
  <c r="ZP44" i="1" s="1"/>
  <c r="ZP32" i="1"/>
  <c r="ZP35" i="1"/>
  <c r="ZP34" i="1"/>
  <c r="AAV38" i="1"/>
  <c r="AAV50" i="1" s="1"/>
  <c r="AAV33" i="1"/>
  <c r="AAV44" i="1" s="1"/>
  <c r="AAV32" i="1"/>
  <c r="AAV35" i="1"/>
  <c r="AAV34" i="1"/>
  <c r="AAV47" i="1" s="1"/>
  <c r="M23" i="1"/>
  <c r="AC23" i="1"/>
  <c r="AS23" i="1"/>
  <c r="BA23" i="1"/>
  <c r="BQ23" i="1"/>
  <c r="CG23" i="1"/>
  <c r="CW23" i="1"/>
  <c r="DM23" i="1"/>
  <c r="DU23" i="1"/>
  <c r="EK23" i="1"/>
  <c r="FA23" i="1"/>
  <c r="FQ23" i="1"/>
  <c r="GG23" i="1"/>
  <c r="GW23" i="1"/>
  <c r="HU23" i="1"/>
  <c r="IK23" i="1"/>
  <c r="JA23" i="1"/>
  <c r="JQ23" i="1"/>
  <c r="KG23" i="1"/>
  <c r="KW23" i="1"/>
  <c r="LM23" i="1"/>
  <c r="MC23" i="1"/>
  <c r="MS23" i="1"/>
  <c r="NI23" i="1"/>
  <c r="NY23" i="1"/>
  <c r="OO23" i="1"/>
  <c r="PE23" i="1"/>
  <c r="PU23" i="1"/>
  <c r="QK23" i="1"/>
  <c r="RA23" i="1"/>
  <c r="RQ23" i="1"/>
  <c r="SG23" i="1"/>
  <c r="SO23" i="1"/>
  <c r="TE23" i="1"/>
  <c r="UC23" i="1"/>
  <c r="US23" i="1"/>
  <c r="VQ23" i="1"/>
  <c r="WG23" i="1"/>
  <c r="WO23" i="1"/>
  <c r="XE23" i="1"/>
  <c r="XU23" i="1"/>
  <c r="YK23" i="1"/>
  <c r="ZA23" i="1"/>
  <c r="ZQ23" i="1"/>
  <c r="AAG23" i="1"/>
  <c r="AAO23" i="1"/>
  <c r="ABE23" i="1"/>
  <c r="Q32" i="1"/>
  <c r="Q38" i="1"/>
  <c r="Q35" i="1"/>
  <c r="Q34" i="1"/>
  <c r="Q47" i="1" s="1"/>
  <c r="Q33" i="1"/>
  <c r="AO32" i="1"/>
  <c r="AO35" i="1"/>
  <c r="AO34" i="1"/>
  <c r="AO47" i="1" s="1"/>
  <c r="AO38" i="1"/>
  <c r="BE32" i="1"/>
  <c r="BE35" i="1"/>
  <c r="BE34" i="1"/>
  <c r="BE47" i="1" s="1"/>
  <c r="BE38" i="1"/>
  <c r="BU32" i="1"/>
  <c r="BU35" i="1"/>
  <c r="BU34" i="1"/>
  <c r="BU47" i="1" s="1"/>
  <c r="BU38" i="1"/>
  <c r="CK38" i="1"/>
  <c r="DA32" i="1"/>
  <c r="DA35" i="1"/>
  <c r="DA34" i="1"/>
  <c r="DA47" i="1" s="1"/>
  <c r="DA38" i="1"/>
  <c r="DR38" i="1"/>
  <c r="DR35" i="1"/>
  <c r="DR34" i="1"/>
  <c r="DR33" i="1"/>
  <c r="DR32" i="1"/>
  <c r="EX38" i="1"/>
  <c r="EX34" i="1"/>
  <c r="EX33" i="1"/>
  <c r="EX32" i="1"/>
  <c r="FS38" i="1"/>
  <c r="FS34" i="1"/>
  <c r="FS46" i="1" s="1"/>
  <c r="FS33" i="1"/>
  <c r="FS32" i="1"/>
  <c r="GN38" i="1"/>
  <c r="GN33" i="1"/>
  <c r="GN32" i="1"/>
  <c r="GN35" i="1"/>
  <c r="GN51" i="1" s="1"/>
  <c r="GN34" i="1"/>
  <c r="HJ38" i="1"/>
  <c r="HJ34" i="1"/>
  <c r="HJ33" i="1"/>
  <c r="HJ32" i="1"/>
  <c r="IE38" i="1"/>
  <c r="IE34" i="1"/>
  <c r="IE46" i="1" s="1"/>
  <c r="IE33" i="1"/>
  <c r="IE44" i="1" s="1"/>
  <c r="IE32" i="1"/>
  <c r="JK38" i="1"/>
  <c r="JK34" i="1"/>
  <c r="JK46" i="1" s="1"/>
  <c r="JK33" i="1"/>
  <c r="JK32" i="1"/>
  <c r="KF38" i="1"/>
  <c r="KF33" i="1"/>
  <c r="KF32" i="1"/>
  <c r="KF35" i="1"/>
  <c r="KF51" i="1" s="1"/>
  <c r="KF34" i="1"/>
  <c r="LB38" i="1"/>
  <c r="LB34" i="1"/>
  <c r="LB33" i="1"/>
  <c r="LB32" i="1"/>
  <c r="LW38" i="1"/>
  <c r="LW34" i="1"/>
  <c r="LW46" i="1" s="1"/>
  <c r="LW33" i="1"/>
  <c r="LW44" i="1" s="1"/>
  <c r="LW32" i="1"/>
  <c r="MR38" i="1"/>
  <c r="MR33" i="1"/>
  <c r="MR44" i="1" s="1"/>
  <c r="MR32" i="1"/>
  <c r="MR35" i="1"/>
  <c r="MR51" i="1" s="1"/>
  <c r="MR34" i="1"/>
  <c r="NN38" i="1"/>
  <c r="NN34" i="1"/>
  <c r="NN33" i="1"/>
  <c r="NN32" i="1"/>
  <c r="OT38" i="1"/>
  <c r="OT34" i="1"/>
  <c r="OT33" i="1"/>
  <c r="OT32" i="1"/>
  <c r="PO38" i="1"/>
  <c r="PO34" i="1"/>
  <c r="PO46" i="1" s="1"/>
  <c r="PO33" i="1"/>
  <c r="PO44" i="1" s="1"/>
  <c r="PO32" i="1"/>
  <c r="QJ38" i="1"/>
  <c r="QJ33" i="1"/>
  <c r="QJ44" i="1" s="1"/>
  <c r="QJ32" i="1"/>
  <c r="QJ35" i="1"/>
  <c r="QJ34" i="1"/>
  <c r="RF38" i="1"/>
  <c r="RF34" i="1"/>
  <c r="RF33" i="1"/>
  <c r="RF32" i="1"/>
  <c r="SA38" i="1"/>
  <c r="SA34" i="1"/>
  <c r="SA46" i="1" s="1"/>
  <c r="SA33" i="1"/>
  <c r="SA44" i="1" s="1"/>
  <c r="SA32" i="1"/>
  <c r="SV38" i="1"/>
  <c r="SV33" i="1"/>
  <c r="SV44" i="1" s="1"/>
  <c r="SV32" i="1"/>
  <c r="SV35" i="1"/>
  <c r="SV34" i="1"/>
  <c r="TR38" i="1"/>
  <c r="TR34" i="1"/>
  <c r="TR33" i="1"/>
  <c r="TR32" i="1"/>
  <c r="UM38" i="1"/>
  <c r="UM34" i="1"/>
  <c r="UM33" i="1"/>
  <c r="UM44" i="1" s="1"/>
  <c r="UM32" i="1"/>
  <c r="VH38" i="1"/>
  <c r="VH50" i="1" s="1"/>
  <c r="VH33" i="1"/>
  <c r="VH44" i="1" s="1"/>
  <c r="VH32" i="1"/>
  <c r="VH35" i="1"/>
  <c r="VH51" i="1" s="1"/>
  <c r="VH34" i="1"/>
  <c r="VH47" i="1" s="1"/>
  <c r="WD38" i="1"/>
  <c r="WD34" i="1"/>
  <c r="WD33" i="1"/>
  <c r="WD32" i="1"/>
  <c r="WY38" i="1"/>
  <c r="WY34" i="1"/>
  <c r="WY46" i="1" s="1"/>
  <c r="WY33" i="1"/>
  <c r="WY32" i="1"/>
  <c r="XT38" i="1"/>
  <c r="XT33" i="1"/>
  <c r="XT32" i="1"/>
  <c r="XT35" i="1"/>
  <c r="XT34" i="1"/>
  <c r="YP38" i="1"/>
  <c r="YP34" i="1"/>
  <c r="YP33" i="1"/>
  <c r="YP32" i="1"/>
  <c r="ZK38" i="1"/>
  <c r="ZK34" i="1"/>
  <c r="ZK46" i="1" s="1"/>
  <c r="ZK33" i="1"/>
  <c r="ZK44" i="1" s="1"/>
  <c r="ZK32" i="1"/>
  <c r="AAQ38" i="1"/>
  <c r="AAQ34" i="1"/>
  <c r="AAQ46" i="1" s="1"/>
  <c r="AAQ33" i="1"/>
  <c r="AAQ32" i="1"/>
  <c r="G24" i="1"/>
  <c r="G21" i="1"/>
  <c r="G2" i="1"/>
  <c r="G3" i="1" s="1"/>
  <c r="O24" i="1"/>
  <c r="O21" i="1"/>
  <c r="O2" i="1"/>
  <c r="O3" i="1" s="1"/>
  <c r="S24" i="1"/>
  <c r="S21" i="1"/>
  <c r="S2" i="1"/>
  <c r="S3" i="1" s="1"/>
  <c r="AA24" i="1"/>
  <c r="AA21" i="1"/>
  <c r="AA2" i="1"/>
  <c r="AA3" i="1" s="1"/>
  <c r="AI24" i="1"/>
  <c r="AI21" i="1"/>
  <c r="AI2" i="1"/>
  <c r="AI3" i="1" s="1"/>
  <c r="AQ24" i="1"/>
  <c r="AQ21" i="1"/>
  <c r="AQ2" i="1"/>
  <c r="AQ3" i="1" s="1"/>
  <c r="AY24" i="1"/>
  <c r="AY21" i="1"/>
  <c r="AY2" i="1"/>
  <c r="AY3" i="1" s="1"/>
  <c r="BG24" i="1"/>
  <c r="BG21" i="1"/>
  <c r="BG2" i="1"/>
  <c r="BG3" i="1" s="1"/>
  <c r="BO24" i="1"/>
  <c r="BO21" i="1"/>
  <c r="BO2" i="1"/>
  <c r="BO3" i="1" s="1"/>
  <c r="BW24" i="1"/>
  <c r="BW21" i="1"/>
  <c r="BW2" i="1"/>
  <c r="BW3" i="1" s="1"/>
  <c r="CE24" i="1"/>
  <c r="CE21" i="1"/>
  <c r="CE2" i="1"/>
  <c r="CE3" i="1" s="1"/>
  <c r="CI24" i="1"/>
  <c r="CI21" i="1"/>
  <c r="CI2" i="1"/>
  <c r="CI3" i="1" s="1"/>
  <c r="CQ24" i="1"/>
  <c r="CQ21" i="1"/>
  <c r="CQ2" i="1"/>
  <c r="CQ3" i="1" s="1"/>
  <c r="CY24" i="1"/>
  <c r="CY21" i="1"/>
  <c r="CY2" i="1"/>
  <c r="CY3" i="1" s="1"/>
  <c r="DG24" i="1"/>
  <c r="DG21" i="1"/>
  <c r="DG2" i="1"/>
  <c r="DG3" i="1" s="1"/>
  <c r="DO24" i="1"/>
  <c r="DO21" i="1"/>
  <c r="DO2" i="1"/>
  <c r="DO3" i="1" s="1"/>
  <c r="DW21" i="1"/>
  <c r="DW2" i="1"/>
  <c r="DW3" i="1" s="1"/>
  <c r="EE24" i="1"/>
  <c r="EE21" i="1"/>
  <c r="EE2" i="1"/>
  <c r="EE3" i="1" s="1"/>
  <c r="EM21" i="1"/>
  <c r="EM2" i="1"/>
  <c r="EM3" i="1" s="1"/>
  <c r="EU24" i="1"/>
  <c r="EU21" i="1"/>
  <c r="EU2" i="1"/>
  <c r="EU3" i="1" s="1"/>
  <c r="FC21" i="1"/>
  <c r="FC2" i="1"/>
  <c r="FC3" i="1" s="1"/>
  <c r="FK24" i="1"/>
  <c r="FK21" i="1"/>
  <c r="FK2" i="1"/>
  <c r="FK3" i="1" s="1"/>
  <c r="FS21" i="1"/>
  <c r="FS2" i="1"/>
  <c r="FS3" i="1" s="1"/>
  <c r="FW21" i="1"/>
  <c r="FW2" i="1"/>
  <c r="FW3" i="1" s="1"/>
  <c r="GE21" i="1"/>
  <c r="GE2" i="1"/>
  <c r="GE3" i="1" s="1"/>
  <c r="GE24" i="1"/>
  <c r="GM21" i="1"/>
  <c r="GM2" i="1"/>
  <c r="GM3" i="1" s="1"/>
  <c r="GU21" i="1"/>
  <c r="GU2" i="1"/>
  <c r="GU3" i="1" s="1"/>
  <c r="GU24" i="1"/>
  <c r="HC21" i="1"/>
  <c r="HC2" i="1"/>
  <c r="HC3" i="1" s="1"/>
  <c r="HK21" i="1"/>
  <c r="HK2" i="1"/>
  <c r="HK3" i="1" s="1"/>
  <c r="HK24" i="1"/>
  <c r="HS21" i="1"/>
  <c r="HS2" i="1"/>
  <c r="HS3" i="1" s="1"/>
  <c r="IA21" i="1"/>
  <c r="IA2" i="1"/>
  <c r="IA3" i="1" s="1"/>
  <c r="IA24" i="1"/>
  <c r="II21" i="1"/>
  <c r="II2" i="1"/>
  <c r="II3" i="1" s="1"/>
  <c r="IU21" i="1"/>
  <c r="IU2" i="1"/>
  <c r="IU3" i="1" s="1"/>
  <c r="JC24" i="1"/>
  <c r="JC21" i="1"/>
  <c r="JC2" i="1"/>
  <c r="JC3" i="1" s="1"/>
  <c r="JO21" i="1"/>
  <c r="JO2" i="1"/>
  <c r="JO3" i="1" s="1"/>
  <c r="JW21" i="1"/>
  <c r="JW2" i="1"/>
  <c r="JW3" i="1" s="1"/>
  <c r="JW24" i="1"/>
  <c r="KE21" i="1"/>
  <c r="KE2" i="1"/>
  <c r="KE3" i="1" s="1"/>
  <c r="KM21" i="1"/>
  <c r="KM2" i="1"/>
  <c r="KM3" i="1" s="1"/>
  <c r="KM24" i="1"/>
  <c r="KU21" i="1"/>
  <c r="KU2" i="1"/>
  <c r="KU3" i="1" s="1"/>
  <c r="LC21" i="1"/>
  <c r="LC2" i="1"/>
  <c r="LC3" i="1" s="1"/>
  <c r="LC24" i="1"/>
  <c r="LK21" i="1"/>
  <c r="LK2" i="1"/>
  <c r="LK3" i="1" s="1"/>
  <c r="LS21" i="1"/>
  <c r="LS2" i="1"/>
  <c r="LS3" i="1" s="1"/>
  <c r="LS24" i="1"/>
  <c r="MA21" i="1"/>
  <c r="MA2" i="1"/>
  <c r="MA3" i="1" s="1"/>
  <c r="MI21" i="1"/>
  <c r="MI2" i="1"/>
  <c r="MI3" i="1" s="1"/>
  <c r="MI24" i="1"/>
  <c r="MQ21" i="1"/>
  <c r="MQ2" i="1"/>
  <c r="MQ3" i="1" s="1"/>
  <c r="MY21" i="1"/>
  <c r="MY2" i="1"/>
  <c r="MY3" i="1" s="1"/>
  <c r="MY24" i="1"/>
  <c r="NG21" i="1"/>
  <c r="NG2" i="1"/>
  <c r="NG3" i="1" s="1"/>
  <c r="NS21" i="1"/>
  <c r="NS2" i="1"/>
  <c r="NS3" i="1" s="1"/>
  <c r="NW21" i="1"/>
  <c r="NW2" i="1"/>
  <c r="NW3" i="1" s="1"/>
  <c r="OE21" i="1"/>
  <c r="OE2" i="1"/>
  <c r="OE3" i="1" s="1"/>
  <c r="OE24" i="1"/>
  <c r="OM21" i="1"/>
  <c r="OM2" i="1"/>
  <c r="OM3" i="1" s="1"/>
  <c r="OU21" i="1"/>
  <c r="OU2" i="1"/>
  <c r="OU3" i="1" s="1"/>
  <c r="OU24" i="1"/>
  <c r="OY21" i="1"/>
  <c r="OY2" i="1"/>
  <c r="OY3" i="1" s="1"/>
  <c r="PG24" i="1"/>
  <c r="PG21" i="1"/>
  <c r="PG2" i="1"/>
  <c r="PG3" i="1" s="1"/>
  <c r="PO21" i="1"/>
  <c r="PO2" i="1"/>
  <c r="PO3" i="1" s="1"/>
  <c r="PW24" i="1"/>
  <c r="PW21" i="1"/>
  <c r="PW2" i="1"/>
  <c r="PW3" i="1" s="1"/>
  <c r="QE21" i="1"/>
  <c r="QE2" i="1"/>
  <c r="QE3" i="1" s="1"/>
  <c r="QM24" i="1"/>
  <c r="QM21" i="1"/>
  <c r="QM2" i="1"/>
  <c r="QM3" i="1" s="1"/>
  <c r="QU21" i="1"/>
  <c r="QU2" i="1"/>
  <c r="QU3" i="1" s="1"/>
  <c r="RC24" i="1"/>
  <c r="RC21" i="1"/>
  <c r="RC2" i="1"/>
  <c r="RC3" i="1" s="1"/>
  <c r="RO21" i="1"/>
  <c r="RO2" i="1"/>
  <c r="RO3" i="1" s="1"/>
  <c r="RW21" i="1"/>
  <c r="RW2" i="1"/>
  <c r="RW3" i="1" s="1"/>
  <c r="RW24" i="1"/>
  <c r="SE21" i="1"/>
  <c r="SE2" i="1"/>
  <c r="SE3" i="1" s="1"/>
  <c r="SM21" i="1"/>
  <c r="SM2" i="1"/>
  <c r="SM3" i="1" s="1"/>
  <c r="SM24" i="1"/>
  <c r="SY24" i="1"/>
  <c r="SY21" i="1"/>
  <c r="SY2" i="1"/>
  <c r="SY3" i="1" s="1"/>
  <c r="TG21" i="1"/>
  <c r="TG2" i="1"/>
  <c r="TG3" i="1" s="1"/>
  <c r="TO24" i="1"/>
  <c r="TO21" i="1"/>
  <c r="TO2" i="1"/>
  <c r="TO3" i="1" s="1"/>
  <c r="TW21" i="1"/>
  <c r="TW2" i="1"/>
  <c r="TW3" i="1" s="1"/>
  <c r="UI21" i="1"/>
  <c r="UI2" i="1"/>
  <c r="UI3" i="1" s="1"/>
  <c r="UI24" i="1"/>
  <c r="UQ21" i="1"/>
  <c r="UQ2" i="1"/>
  <c r="UQ3" i="1" s="1"/>
  <c r="UY21" i="1"/>
  <c r="UY2" i="1"/>
  <c r="UY3" i="1" s="1"/>
  <c r="UY24" i="1"/>
  <c r="VG21" i="1"/>
  <c r="VG2" i="1"/>
  <c r="VG3" i="1" s="1"/>
  <c r="VO21" i="1"/>
  <c r="VO2" i="1"/>
  <c r="VO3" i="1" s="1"/>
  <c r="VO24" i="1"/>
  <c r="VW21" i="1"/>
  <c r="VW2" i="1"/>
  <c r="VW3" i="1" s="1"/>
  <c r="WE21" i="1"/>
  <c r="WE2" i="1"/>
  <c r="WE3" i="1" s="1"/>
  <c r="WE24" i="1"/>
  <c r="WM21" i="1"/>
  <c r="WM2" i="1"/>
  <c r="WM3" i="1" s="1"/>
  <c r="WU21" i="1"/>
  <c r="WU2" i="1"/>
  <c r="WU3" i="1" s="1"/>
  <c r="WU24" i="1"/>
  <c r="XG24" i="1"/>
  <c r="XG21" i="1"/>
  <c r="XG2" i="1"/>
  <c r="XG3" i="1" s="1"/>
  <c r="XO21" i="1"/>
  <c r="XO2" i="1"/>
  <c r="XO3" i="1" s="1"/>
  <c r="XS21" i="1"/>
  <c r="XS2" i="1"/>
  <c r="XS3" i="1" s="1"/>
  <c r="YA21" i="1"/>
  <c r="YA2" i="1"/>
  <c r="YA3" i="1" s="1"/>
  <c r="YA24" i="1"/>
  <c r="YI21" i="1"/>
  <c r="YI2" i="1"/>
  <c r="YI3" i="1" s="1"/>
  <c r="YU21" i="1"/>
  <c r="YU2" i="1"/>
  <c r="YU3" i="1" s="1"/>
  <c r="ZC24" i="1"/>
  <c r="ZC21" i="1"/>
  <c r="ZC2" i="1"/>
  <c r="ZC3" i="1" s="1"/>
  <c r="ZG21" i="1"/>
  <c r="ZG2" i="1"/>
  <c r="ZG3" i="1" s="1"/>
  <c r="ZG24" i="1"/>
  <c r="ZO21" i="1"/>
  <c r="ZO2" i="1"/>
  <c r="ZO3" i="1" s="1"/>
  <c r="AAA21" i="1"/>
  <c r="AAA2" i="1"/>
  <c r="AAA3" i="1" s="1"/>
  <c r="AAI24" i="1"/>
  <c r="AAI21" i="1"/>
  <c r="AAI2" i="1"/>
  <c r="AAI3" i="1" s="1"/>
  <c r="AAY24" i="1"/>
  <c r="AAY21" i="1"/>
  <c r="AAY2" i="1"/>
  <c r="AAY3" i="1" s="1"/>
  <c r="F4" i="1"/>
  <c r="L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EZ22" i="1"/>
  <c r="FH22" i="1"/>
  <c r="FP22" i="1"/>
  <c r="FX22" i="1"/>
  <c r="GF22" i="1"/>
  <c r="GN22" i="1"/>
  <c r="GV22" i="1"/>
  <c r="HD22" i="1"/>
  <c r="HL22" i="1"/>
  <c r="HT22" i="1"/>
  <c r="IB22" i="1"/>
  <c r="IJ22" i="1"/>
  <c r="IR22" i="1"/>
  <c r="IZ22" i="1"/>
  <c r="JH22" i="1"/>
  <c r="JP22" i="1"/>
  <c r="JX22" i="1"/>
  <c r="KF22" i="1"/>
  <c r="KN22" i="1"/>
  <c r="KV22" i="1"/>
  <c r="LD22" i="1"/>
  <c r="LL22" i="1"/>
  <c r="LT22" i="1"/>
  <c r="MB22" i="1"/>
  <c r="MJ22" i="1"/>
  <c r="MR22" i="1"/>
  <c r="MZ22" i="1"/>
  <c r="NH22" i="1"/>
  <c r="NP22" i="1"/>
  <c r="NX22" i="1"/>
  <c r="OF22" i="1"/>
  <c r="ON22" i="1"/>
  <c r="OV22" i="1"/>
  <c r="PD22" i="1"/>
  <c r="PL22" i="1"/>
  <c r="PT22" i="1"/>
  <c r="QB22" i="1"/>
  <c r="QJ22" i="1"/>
  <c r="QR22" i="1"/>
  <c r="QZ22" i="1"/>
  <c r="RH22" i="1"/>
  <c r="RP22" i="1"/>
  <c r="RX22" i="1"/>
  <c r="SF22" i="1"/>
  <c r="SN22" i="1"/>
  <c r="SV22" i="1"/>
  <c r="TD22" i="1"/>
  <c r="TL22" i="1"/>
  <c r="TT22" i="1"/>
  <c r="UB22" i="1"/>
  <c r="UJ22" i="1"/>
  <c r="UR22" i="1"/>
  <c r="UZ22" i="1"/>
  <c r="VH22" i="1"/>
  <c r="VP22" i="1"/>
  <c r="VX22" i="1"/>
  <c r="WF22" i="1"/>
  <c r="WN22" i="1"/>
  <c r="WV22" i="1"/>
  <c r="XD22" i="1"/>
  <c r="XL22" i="1"/>
  <c r="XT22" i="1"/>
  <c r="YB22" i="1"/>
  <c r="YJ22" i="1"/>
  <c r="YR22" i="1"/>
  <c r="YZ22" i="1"/>
  <c r="ZH22" i="1"/>
  <c r="ZP22" i="1"/>
  <c r="ZX22" i="1"/>
  <c r="AAF22" i="1"/>
  <c r="AAN22" i="1"/>
  <c r="AAV22" i="1"/>
  <c r="ABD22" i="1"/>
  <c r="H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FD23" i="1"/>
  <c r="FL23" i="1"/>
  <c r="FT23" i="1"/>
  <c r="GB23" i="1"/>
  <c r="GJ23" i="1"/>
  <c r="GR23" i="1"/>
  <c r="GZ23" i="1"/>
  <c r="HH23" i="1"/>
  <c r="HP23" i="1"/>
  <c r="HX23" i="1"/>
  <c r="IF23" i="1"/>
  <c r="IN23" i="1"/>
  <c r="IV23" i="1"/>
  <c r="JD23" i="1"/>
  <c r="JL23" i="1"/>
  <c r="JT23" i="1"/>
  <c r="KB23" i="1"/>
  <c r="KJ23" i="1"/>
  <c r="KR23" i="1"/>
  <c r="KZ23" i="1"/>
  <c r="LH23" i="1"/>
  <c r="LP23" i="1"/>
  <c r="LX23" i="1"/>
  <c r="MF23" i="1"/>
  <c r="MN23" i="1"/>
  <c r="MV23" i="1"/>
  <c r="ND23" i="1"/>
  <c r="NL23" i="1"/>
  <c r="NT23" i="1"/>
  <c r="OB23" i="1"/>
  <c r="OJ23" i="1"/>
  <c r="OR23" i="1"/>
  <c r="OZ23" i="1"/>
  <c r="PH23" i="1"/>
  <c r="PP23" i="1"/>
  <c r="PX23" i="1"/>
  <c r="QF23" i="1"/>
  <c r="QN23" i="1"/>
  <c r="QV23" i="1"/>
  <c r="RD23" i="1"/>
  <c r="RL23" i="1"/>
  <c r="RT23" i="1"/>
  <c r="SB23" i="1"/>
  <c r="SJ23" i="1"/>
  <c r="SR23" i="1"/>
  <c r="SZ23" i="1"/>
  <c r="TH23" i="1"/>
  <c r="TP23" i="1"/>
  <c r="TX23" i="1"/>
  <c r="UF23" i="1"/>
  <c r="UN23" i="1"/>
  <c r="UV23" i="1"/>
  <c r="VD23" i="1"/>
  <c r="VL23" i="1"/>
  <c r="VT23" i="1"/>
  <c r="WB23" i="1"/>
  <c r="WJ23" i="1"/>
  <c r="WR23" i="1"/>
  <c r="WZ23" i="1"/>
  <c r="XH23" i="1"/>
  <c r="XP23" i="1"/>
  <c r="XX23" i="1"/>
  <c r="YF23" i="1"/>
  <c r="YN23" i="1"/>
  <c r="YV23" i="1"/>
  <c r="ZD23" i="1"/>
  <c r="ZL23" i="1"/>
  <c r="ZT23" i="1"/>
  <c r="AAB23" i="1"/>
  <c r="AAJ23" i="1"/>
  <c r="AAR23" i="1"/>
  <c r="AAZ23" i="1"/>
  <c r="ABH23" i="1"/>
  <c r="L38" i="1"/>
  <c r="T38" i="1"/>
  <c r="T33" i="1"/>
  <c r="T44" i="1" s="1"/>
  <c r="T32" i="1"/>
  <c r="T35" i="1"/>
  <c r="T34" i="1"/>
  <c r="AB38" i="1"/>
  <c r="AB33" i="1"/>
  <c r="AB32" i="1"/>
  <c r="AB35" i="1"/>
  <c r="AB51" i="1" s="1"/>
  <c r="AJ38" i="1"/>
  <c r="AJ33" i="1"/>
  <c r="AJ44" i="1" s="1"/>
  <c r="AJ32" i="1"/>
  <c r="AJ35" i="1"/>
  <c r="AJ51" i="1" s="1"/>
  <c r="AJ34" i="1"/>
  <c r="AR38" i="1"/>
  <c r="AR33" i="1"/>
  <c r="AR32" i="1"/>
  <c r="AR35" i="1"/>
  <c r="AR51" i="1" s="1"/>
  <c r="AZ38" i="1"/>
  <c r="AZ33" i="1"/>
  <c r="AZ32" i="1"/>
  <c r="AZ35" i="1"/>
  <c r="AZ51" i="1" s="1"/>
  <c r="AZ34" i="1"/>
  <c r="BH38" i="1"/>
  <c r="BP38" i="1"/>
  <c r="BX38" i="1"/>
  <c r="BX33" i="1"/>
  <c r="BX32" i="1"/>
  <c r="BX35" i="1"/>
  <c r="CF38" i="1"/>
  <c r="CF33" i="1"/>
  <c r="CF44" i="1" s="1"/>
  <c r="CF32" i="1"/>
  <c r="CF35" i="1"/>
  <c r="CF34" i="1"/>
  <c r="CN38" i="1"/>
  <c r="CN33" i="1"/>
  <c r="CN32" i="1"/>
  <c r="CN35" i="1"/>
  <c r="CN51" i="1" s="1"/>
  <c r="CV38" i="1"/>
  <c r="CV33" i="1"/>
  <c r="CV44" i="1" s="1"/>
  <c r="CV32" i="1"/>
  <c r="CV35" i="1"/>
  <c r="CV51" i="1" s="1"/>
  <c r="CV34" i="1"/>
  <c r="DD38" i="1"/>
  <c r="DD33" i="1"/>
  <c r="DD32" i="1"/>
  <c r="DD35" i="1"/>
  <c r="DD51" i="1" s="1"/>
  <c r="DL38" i="1"/>
  <c r="DV38" i="1"/>
  <c r="DV50" i="1" s="1"/>
  <c r="DV35" i="1"/>
  <c r="DV34" i="1"/>
  <c r="DV46" i="1" s="1"/>
  <c r="DV33" i="1"/>
  <c r="DV45" i="1" s="1"/>
  <c r="DV32" i="1"/>
  <c r="EF38" i="1"/>
  <c r="EF33" i="1"/>
  <c r="EF44" i="1" s="1"/>
  <c r="EF32" i="1"/>
  <c r="EF35" i="1"/>
  <c r="EF34" i="1"/>
  <c r="EF47" i="1" s="1"/>
  <c r="FB38" i="1"/>
  <c r="FL38" i="1"/>
  <c r="FL33" i="1"/>
  <c r="FL32" i="1"/>
  <c r="FL35" i="1"/>
  <c r="FL51" i="1" s="1"/>
  <c r="FL34" i="1"/>
  <c r="FL47" i="1" s="1"/>
  <c r="FW24" i="1"/>
  <c r="GH38" i="1"/>
  <c r="GH34" i="1"/>
  <c r="GH46" i="1" s="1"/>
  <c r="GH33" i="1"/>
  <c r="GH32" i="1"/>
  <c r="GR38" i="1"/>
  <c r="GR33" i="1"/>
  <c r="GR44" i="1" s="1"/>
  <c r="GR32" i="1"/>
  <c r="GR35" i="1"/>
  <c r="GR51" i="1" s="1"/>
  <c r="GR34" i="1"/>
  <c r="GR47" i="1" s="1"/>
  <c r="HC24" i="1"/>
  <c r="HN38" i="1"/>
  <c r="HN34" i="1"/>
  <c r="HN46" i="1" s="1"/>
  <c r="HN33" i="1"/>
  <c r="HN45" i="1" s="1"/>
  <c r="HN32" i="1"/>
  <c r="HN41" i="1" s="1"/>
  <c r="HX38" i="1"/>
  <c r="HX33" i="1"/>
  <c r="HX44" i="1" s="1"/>
  <c r="HX32" i="1"/>
  <c r="HX35" i="1"/>
  <c r="HX34" i="1"/>
  <c r="HX47" i="1" s="1"/>
  <c r="II24" i="1"/>
  <c r="IT38" i="1"/>
  <c r="IT34" i="1"/>
  <c r="IT46" i="1" s="1"/>
  <c r="IT33" i="1"/>
  <c r="IT32" i="1"/>
  <c r="JD38" i="1"/>
  <c r="JD50" i="1" s="1"/>
  <c r="JD33" i="1"/>
  <c r="JD32" i="1"/>
  <c r="JD35" i="1"/>
  <c r="JD51" i="1" s="1"/>
  <c r="JD34" i="1"/>
  <c r="JO24" i="1"/>
  <c r="JZ38" i="1"/>
  <c r="JZ34" i="1"/>
  <c r="JZ33" i="1"/>
  <c r="JZ32" i="1"/>
  <c r="KJ38" i="1"/>
  <c r="KJ33" i="1"/>
  <c r="KJ32" i="1"/>
  <c r="KJ35" i="1"/>
  <c r="KJ51" i="1" s="1"/>
  <c r="KJ34" i="1"/>
  <c r="KJ47" i="1" s="1"/>
  <c r="KU24" i="1"/>
  <c r="LF38" i="1"/>
  <c r="LF34" i="1"/>
  <c r="LF46" i="1" s="1"/>
  <c r="LF33" i="1"/>
  <c r="LF32" i="1"/>
  <c r="LP38" i="1"/>
  <c r="LP33" i="1"/>
  <c r="LP32" i="1"/>
  <c r="LP35" i="1"/>
  <c r="LP51" i="1" s="1"/>
  <c r="LP34" i="1"/>
  <c r="LP47" i="1" s="1"/>
  <c r="MA24" i="1"/>
  <c r="ML38" i="1"/>
  <c r="ML34" i="1"/>
  <c r="ML46" i="1" s="1"/>
  <c r="ML33" i="1"/>
  <c r="ML32" i="1"/>
  <c r="MV38" i="1"/>
  <c r="MV33" i="1"/>
  <c r="MV32" i="1"/>
  <c r="MV35" i="1"/>
  <c r="MV34" i="1"/>
  <c r="MV47" i="1" s="1"/>
  <c r="NG24" i="1"/>
  <c r="NR38" i="1"/>
  <c r="NR34" i="1"/>
  <c r="NR46" i="1" s="1"/>
  <c r="NR33" i="1"/>
  <c r="NR32" i="1"/>
  <c r="OB38" i="1"/>
  <c r="OB50" i="1" s="1"/>
  <c r="OB33" i="1"/>
  <c r="OB32" i="1"/>
  <c r="OB35" i="1"/>
  <c r="OB34" i="1"/>
  <c r="OM24" i="1"/>
  <c r="OX38" i="1"/>
  <c r="OX34" i="1"/>
  <c r="OX33" i="1"/>
  <c r="OX32" i="1"/>
  <c r="PH38" i="1"/>
  <c r="PH33" i="1"/>
  <c r="PH32" i="1"/>
  <c r="PH35" i="1"/>
  <c r="PH51" i="1" s="1"/>
  <c r="PH34" i="1"/>
  <c r="PH47" i="1" s="1"/>
  <c r="QD38" i="1"/>
  <c r="QD34" i="1"/>
  <c r="QD46" i="1" s="1"/>
  <c r="QD33" i="1"/>
  <c r="QD32" i="1"/>
  <c r="QN38" i="1"/>
  <c r="QN33" i="1"/>
  <c r="QN32" i="1"/>
  <c r="QN35" i="1"/>
  <c r="QN34" i="1"/>
  <c r="QN47" i="1" s="1"/>
  <c r="RJ38" i="1"/>
  <c r="RJ34" i="1"/>
  <c r="RJ33" i="1"/>
  <c r="RJ32" i="1"/>
  <c r="RT38" i="1"/>
  <c r="RT33" i="1"/>
  <c r="RT32" i="1"/>
  <c r="RT35" i="1"/>
  <c r="RT51" i="1" s="1"/>
  <c r="RT34" i="1"/>
  <c r="RT47" i="1" s="1"/>
  <c r="SE24" i="1"/>
  <c r="SP38" i="1"/>
  <c r="SP34" i="1"/>
  <c r="SP46" i="1" s="1"/>
  <c r="SP33" i="1"/>
  <c r="SP32" i="1"/>
  <c r="SZ38" i="1"/>
  <c r="SZ33" i="1"/>
  <c r="SZ32" i="1"/>
  <c r="SZ35" i="1"/>
  <c r="SZ34" i="1"/>
  <c r="SZ47" i="1" s="1"/>
  <c r="TV38" i="1"/>
  <c r="TV34" i="1"/>
  <c r="TV46" i="1" s="1"/>
  <c r="TV33" i="1"/>
  <c r="TV32" i="1"/>
  <c r="UF38" i="1"/>
  <c r="UF50" i="1" s="1"/>
  <c r="UF33" i="1"/>
  <c r="UF32" i="1"/>
  <c r="UF35" i="1"/>
  <c r="UF34" i="1"/>
  <c r="UQ24" i="1"/>
  <c r="VB38" i="1"/>
  <c r="VB34" i="1"/>
  <c r="VB33" i="1"/>
  <c r="VB32" i="1"/>
  <c r="VL33" i="1"/>
  <c r="VL32" i="1"/>
  <c r="VL38" i="1"/>
  <c r="VL35" i="1"/>
  <c r="VL34" i="1"/>
  <c r="VL47" i="1" s="1"/>
  <c r="VW24" i="1"/>
  <c r="WH38" i="1"/>
  <c r="WH34" i="1"/>
  <c r="WH46" i="1" s="1"/>
  <c r="WH33" i="1"/>
  <c r="WH32" i="1"/>
  <c r="WR38" i="1"/>
  <c r="WR33" i="1"/>
  <c r="WR32" i="1"/>
  <c r="WR35" i="1"/>
  <c r="WR34" i="1"/>
  <c r="WR47" i="1" s="1"/>
  <c r="XN38" i="1"/>
  <c r="XN34" i="1"/>
  <c r="XN46" i="1" s="1"/>
  <c r="XN33" i="1"/>
  <c r="XN32" i="1"/>
  <c r="XX33" i="1"/>
  <c r="XX32" i="1"/>
  <c r="XX38" i="1"/>
  <c r="XX35" i="1"/>
  <c r="XX34" i="1"/>
  <c r="YI24" i="1"/>
  <c r="YT38" i="1"/>
  <c r="YT34" i="1"/>
  <c r="YT33" i="1"/>
  <c r="YT32" i="1"/>
  <c r="ZD38" i="1"/>
  <c r="ZD33" i="1"/>
  <c r="ZD32" i="1"/>
  <c r="ZD35" i="1"/>
  <c r="ZD34" i="1"/>
  <c r="ZD47" i="1" s="1"/>
  <c r="ZO24" i="1"/>
  <c r="ZZ38" i="1"/>
  <c r="ZZ34" i="1"/>
  <c r="ZZ46" i="1" s="1"/>
  <c r="ZZ33" i="1"/>
  <c r="ZZ32" i="1"/>
  <c r="AAJ33" i="1"/>
  <c r="AAJ32" i="1"/>
  <c r="AAJ38" i="1"/>
  <c r="AAJ35" i="1"/>
  <c r="AAJ34" i="1"/>
  <c r="AAJ47" i="1" s="1"/>
  <c r="ABF38" i="1"/>
  <c r="ABF34" i="1"/>
  <c r="ABF46" i="1" s="1"/>
  <c r="ABF33" i="1"/>
  <c r="ABF32" i="1"/>
  <c r="DT38" i="1"/>
  <c r="DX38" i="1"/>
  <c r="DX50" i="1" s="1"/>
  <c r="DX33" i="1"/>
  <c r="DX44" i="1" s="1"/>
  <c r="DX32" i="1"/>
  <c r="DX35" i="1"/>
  <c r="DX51" i="1" s="1"/>
  <c r="DX34" i="1"/>
  <c r="EJ38" i="1"/>
  <c r="EJ33" i="1"/>
  <c r="EJ32" i="1"/>
  <c r="EJ35" i="1"/>
  <c r="EN38" i="1"/>
  <c r="EZ38" i="1"/>
  <c r="EZ33" i="1"/>
  <c r="EZ32" i="1"/>
  <c r="EZ35" i="1"/>
  <c r="EZ51" i="1" s="1"/>
  <c r="FD38" i="1"/>
  <c r="FD33" i="1"/>
  <c r="FD44" i="1" s="1"/>
  <c r="FD32" i="1"/>
  <c r="FD35" i="1"/>
  <c r="FD51" i="1" s="1"/>
  <c r="FD34" i="1"/>
  <c r="FD47" i="1" s="1"/>
  <c r="FP38" i="1"/>
  <c r="FT38" i="1"/>
  <c r="FT33" i="1"/>
  <c r="FT32" i="1"/>
  <c r="FT35" i="1"/>
  <c r="FT34" i="1"/>
  <c r="FT47" i="1" s="1"/>
  <c r="GF38" i="1"/>
  <c r="GF33" i="1"/>
  <c r="GF32" i="1"/>
  <c r="GF35" i="1"/>
  <c r="GF51" i="1" s="1"/>
  <c r="GJ38" i="1"/>
  <c r="GJ50" i="1" s="1"/>
  <c r="GJ33" i="1"/>
  <c r="GJ44" i="1" s="1"/>
  <c r="GJ32" i="1"/>
  <c r="GJ35" i="1"/>
  <c r="GJ51" i="1" s="1"/>
  <c r="GJ34" i="1"/>
  <c r="GV38" i="1"/>
  <c r="GV33" i="1"/>
  <c r="GV32" i="1"/>
  <c r="GV35" i="1"/>
  <c r="GZ38" i="1"/>
  <c r="GZ33" i="1"/>
  <c r="GZ44" i="1" s="1"/>
  <c r="GZ32" i="1"/>
  <c r="GZ35" i="1"/>
  <c r="GZ34" i="1"/>
  <c r="GZ47" i="1" s="1"/>
  <c r="HL38" i="1"/>
  <c r="HL33" i="1"/>
  <c r="HL32" i="1"/>
  <c r="HL35" i="1"/>
  <c r="HL51" i="1" s="1"/>
  <c r="HP38" i="1"/>
  <c r="HP33" i="1"/>
  <c r="HP44" i="1" s="1"/>
  <c r="HP32" i="1"/>
  <c r="HP35" i="1"/>
  <c r="HP51" i="1" s="1"/>
  <c r="HP34" i="1"/>
  <c r="HP47" i="1" s="1"/>
  <c r="IB38" i="1"/>
  <c r="IB33" i="1"/>
  <c r="IB32" i="1"/>
  <c r="IB35" i="1"/>
  <c r="IB51" i="1" s="1"/>
  <c r="IF38" i="1"/>
  <c r="IF33" i="1"/>
  <c r="IF32" i="1"/>
  <c r="IF35" i="1"/>
  <c r="IF34" i="1"/>
  <c r="IF47" i="1" s="1"/>
  <c r="IR38" i="1"/>
  <c r="IR33" i="1"/>
  <c r="IR32" i="1"/>
  <c r="IR35" i="1"/>
  <c r="IR51" i="1" s="1"/>
  <c r="IV38" i="1"/>
  <c r="IV50" i="1" s="1"/>
  <c r="IV33" i="1"/>
  <c r="IV44" i="1" s="1"/>
  <c r="IV32" i="1"/>
  <c r="IV35" i="1"/>
  <c r="IV51" i="1" s="1"/>
  <c r="IV34" i="1"/>
  <c r="JH38" i="1"/>
  <c r="JH33" i="1"/>
  <c r="JH32" i="1"/>
  <c r="JH35" i="1"/>
  <c r="JL38" i="1"/>
  <c r="JL33" i="1"/>
  <c r="JL44" i="1" s="1"/>
  <c r="JL32" i="1"/>
  <c r="JL35" i="1"/>
  <c r="JL34" i="1"/>
  <c r="JL47" i="1" s="1"/>
  <c r="JX38" i="1"/>
  <c r="JX33" i="1"/>
  <c r="JX32" i="1"/>
  <c r="JX35" i="1"/>
  <c r="JX51" i="1" s="1"/>
  <c r="KB38" i="1"/>
  <c r="KB33" i="1"/>
  <c r="KB44" i="1" s="1"/>
  <c r="KB32" i="1"/>
  <c r="KB35" i="1"/>
  <c r="KB34" i="1"/>
  <c r="KB47" i="1" s="1"/>
  <c r="KN38" i="1"/>
  <c r="KN33" i="1"/>
  <c r="KN32" i="1"/>
  <c r="KN35" i="1"/>
  <c r="KN51" i="1" s="1"/>
  <c r="KR38" i="1"/>
  <c r="KR33" i="1"/>
  <c r="KR32" i="1"/>
  <c r="KR35" i="1"/>
  <c r="KR34" i="1"/>
  <c r="KR47" i="1" s="1"/>
  <c r="LD38" i="1"/>
  <c r="LD50" i="1" s="1"/>
  <c r="LD33" i="1"/>
  <c r="LD44" i="1" s="1"/>
  <c r="LD32" i="1"/>
  <c r="LD35" i="1"/>
  <c r="LD51" i="1" s="1"/>
  <c r="LH38" i="1"/>
  <c r="LH33" i="1"/>
  <c r="LH44" i="1" s="1"/>
  <c r="LH32" i="1"/>
  <c r="LH35" i="1"/>
  <c r="LH51" i="1" s="1"/>
  <c r="LH34" i="1"/>
  <c r="LT38" i="1"/>
  <c r="LT33" i="1"/>
  <c r="LT44" i="1" s="1"/>
  <c r="LT32" i="1"/>
  <c r="LT35" i="1"/>
  <c r="LX38" i="1"/>
  <c r="LX33" i="1"/>
  <c r="LX44" i="1" s="1"/>
  <c r="LX32" i="1"/>
  <c r="LX35" i="1"/>
  <c r="LX34" i="1"/>
  <c r="LX47" i="1" s="1"/>
  <c r="MJ38" i="1"/>
  <c r="MJ33" i="1"/>
  <c r="MJ44" i="1" s="1"/>
  <c r="MJ32" i="1"/>
  <c r="MJ35" i="1"/>
  <c r="MJ51" i="1" s="1"/>
  <c r="MN38" i="1"/>
  <c r="MN33" i="1"/>
  <c r="MN44" i="1" s="1"/>
  <c r="MN32" i="1"/>
  <c r="MN35" i="1"/>
  <c r="MN51" i="1" s="1"/>
  <c r="MN34" i="1"/>
  <c r="MN47" i="1" s="1"/>
  <c r="MZ38" i="1"/>
  <c r="MZ33" i="1"/>
  <c r="MZ32" i="1"/>
  <c r="MZ35" i="1"/>
  <c r="ND38" i="1"/>
  <c r="ND33" i="1"/>
  <c r="ND32" i="1"/>
  <c r="ND35" i="1"/>
  <c r="ND34" i="1"/>
  <c r="ND47" i="1" s="1"/>
  <c r="NP38" i="1"/>
  <c r="NP50" i="1" s="1"/>
  <c r="NP33" i="1"/>
  <c r="NP44" i="1" s="1"/>
  <c r="NP32" i="1"/>
  <c r="NP35" i="1"/>
  <c r="NT38" i="1"/>
  <c r="NT33" i="1"/>
  <c r="NT44" i="1" s="1"/>
  <c r="NT32" i="1"/>
  <c r="NT35" i="1"/>
  <c r="NT51" i="1" s="1"/>
  <c r="NT34" i="1"/>
  <c r="OF38" i="1"/>
  <c r="OF33" i="1"/>
  <c r="OF44" i="1" s="1"/>
  <c r="OF32" i="1"/>
  <c r="OF35" i="1"/>
  <c r="OJ38" i="1"/>
  <c r="OJ33" i="1"/>
  <c r="OJ44" i="1" s="1"/>
  <c r="OJ32" i="1"/>
  <c r="OJ35" i="1"/>
  <c r="OJ34" i="1"/>
  <c r="OJ47" i="1" s="1"/>
  <c r="OV38" i="1"/>
  <c r="OV33" i="1"/>
  <c r="OV44" i="1" s="1"/>
  <c r="OV32" i="1"/>
  <c r="OV35" i="1"/>
  <c r="OZ38" i="1"/>
  <c r="OZ33" i="1"/>
  <c r="OZ44" i="1" s="1"/>
  <c r="OZ32" i="1"/>
  <c r="OZ35" i="1"/>
  <c r="OZ51" i="1" s="1"/>
  <c r="OZ34" i="1"/>
  <c r="OZ47" i="1" s="1"/>
  <c r="PL38" i="1"/>
  <c r="PL33" i="1"/>
  <c r="PL32" i="1"/>
  <c r="PL35" i="1"/>
  <c r="PP38" i="1"/>
  <c r="PP33" i="1"/>
  <c r="PP32" i="1"/>
  <c r="PP35" i="1"/>
  <c r="PP34" i="1"/>
  <c r="PP47" i="1" s="1"/>
  <c r="QB38" i="1"/>
  <c r="QB50" i="1" s="1"/>
  <c r="QB33" i="1"/>
  <c r="QB32" i="1"/>
  <c r="QB35" i="1"/>
  <c r="QF38" i="1"/>
  <c r="QF33" i="1"/>
  <c r="QF44" i="1" s="1"/>
  <c r="QF32" i="1"/>
  <c r="QF35" i="1"/>
  <c r="QF51" i="1" s="1"/>
  <c r="QF34" i="1"/>
  <c r="QR38" i="1"/>
  <c r="QR33" i="1"/>
  <c r="QR44" i="1" s="1"/>
  <c r="QR32" i="1"/>
  <c r="QR35" i="1"/>
  <c r="QV38" i="1"/>
  <c r="QV33" i="1"/>
  <c r="QV44" i="1" s="1"/>
  <c r="QV32" i="1"/>
  <c r="QV35" i="1"/>
  <c r="QV34" i="1"/>
  <c r="QV47" i="1" s="1"/>
  <c r="RH38" i="1"/>
  <c r="RH33" i="1"/>
  <c r="RH44" i="1" s="1"/>
  <c r="RH32" i="1"/>
  <c r="RH35" i="1"/>
  <c r="RL38" i="1"/>
  <c r="RL33" i="1"/>
  <c r="RL44" i="1" s="1"/>
  <c r="RL32" i="1"/>
  <c r="RL35" i="1"/>
  <c r="RL51" i="1" s="1"/>
  <c r="RL34" i="1"/>
  <c r="RL47" i="1" s="1"/>
  <c r="RX38" i="1"/>
  <c r="RX33" i="1"/>
  <c r="RX32" i="1"/>
  <c r="RX35" i="1"/>
  <c r="SB38" i="1"/>
  <c r="SB33" i="1"/>
  <c r="SB32" i="1"/>
  <c r="SB35" i="1"/>
  <c r="SB34" i="1"/>
  <c r="SB47" i="1" s="1"/>
  <c r="SN38" i="1"/>
  <c r="SN50" i="1" s="1"/>
  <c r="SN33" i="1"/>
  <c r="SN44" i="1" s="1"/>
  <c r="SN32" i="1"/>
  <c r="SN35" i="1"/>
  <c r="SR38" i="1"/>
  <c r="SR33" i="1"/>
  <c r="SR44" i="1" s="1"/>
  <c r="SR32" i="1"/>
  <c r="SR35" i="1"/>
  <c r="SR34" i="1"/>
  <c r="TD38" i="1"/>
  <c r="TD33" i="1"/>
  <c r="TD44" i="1" s="1"/>
  <c r="TD32" i="1"/>
  <c r="TD35" i="1"/>
  <c r="TH38" i="1"/>
  <c r="TH33" i="1"/>
  <c r="TH44" i="1" s="1"/>
  <c r="TH32" i="1"/>
  <c r="TH35" i="1"/>
  <c r="TH34" i="1"/>
  <c r="TH47" i="1" s="1"/>
  <c r="TT38" i="1"/>
  <c r="TT33" i="1"/>
  <c r="TT44" i="1" s="1"/>
  <c r="TT32" i="1"/>
  <c r="TT35" i="1"/>
  <c r="TX38" i="1"/>
  <c r="TX33" i="1"/>
  <c r="TX44" i="1" s="1"/>
  <c r="TX32" i="1"/>
  <c r="TX35" i="1"/>
  <c r="TX34" i="1"/>
  <c r="TX47" i="1" s="1"/>
  <c r="UJ38" i="1"/>
  <c r="UJ33" i="1"/>
  <c r="UJ32" i="1"/>
  <c r="UJ35" i="1"/>
  <c r="UN38" i="1"/>
  <c r="UN33" i="1"/>
  <c r="UN32" i="1"/>
  <c r="UN35" i="1"/>
  <c r="UN49" i="1" s="1"/>
  <c r="UN34" i="1"/>
  <c r="UN47" i="1" s="1"/>
  <c r="UZ38" i="1"/>
  <c r="UZ50" i="1" s="1"/>
  <c r="UZ33" i="1"/>
  <c r="UZ44" i="1" s="1"/>
  <c r="UZ32" i="1"/>
  <c r="UZ35" i="1"/>
  <c r="VD38" i="1"/>
  <c r="VD33" i="1"/>
  <c r="VD44" i="1" s="1"/>
  <c r="VD32" i="1"/>
  <c r="VD35" i="1"/>
  <c r="VD34" i="1"/>
  <c r="VP38" i="1"/>
  <c r="VP33" i="1"/>
  <c r="VP44" i="1" s="1"/>
  <c r="VP32" i="1"/>
  <c r="VP35" i="1"/>
  <c r="VT38" i="1"/>
  <c r="VT33" i="1"/>
  <c r="VT44" i="1" s="1"/>
  <c r="VT32" i="1"/>
  <c r="VT35" i="1"/>
  <c r="VT34" i="1"/>
  <c r="VT47" i="1" s="1"/>
  <c r="WF38" i="1"/>
  <c r="WF33" i="1"/>
  <c r="WF44" i="1" s="1"/>
  <c r="WF32" i="1"/>
  <c r="WF35" i="1"/>
  <c r="WJ38" i="1"/>
  <c r="WJ33" i="1"/>
  <c r="WJ44" i="1" s="1"/>
  <c r="WJ32" i="1"/>
  <c r="WJ35" i="1"/>
  <c r="WJ34" i="1"/>
  <c r="WJ47" i="1" s="1"/>
  <c r="WV38" i="1"/>
  <c r="WV33" i="1"/>
  <c r="WV32" i="1"/>
  <c r="WV35" i="1"/>
  <c r="WZ38" i="1"/>
  <c r="WZ33" i="1"/>
  <c r="WZ32" i="1"/>
  <c r="WZ35" i="1"/>
  <c r="WZ49" i="1" s="1"/>
  <c r="WZ34" i="1"/>
  <c r="WZ47" i="1" s="1"/>
  <c r="XL38" i="1"/>
  <c r="XL50" i="1" s="1"/>
  <c r="XL33" i="1"/>
  <c r="XL44" i="1" s="1"/>
  <c r="XL32" i="1"/>
  <c r="XL35" i="1"/>
  <c r="XP38" i="1"/>
  <c r="XP33" i="1"/>
  <c r="XP44" i="1" s="1"/>
  <c r="XP32" i="1"/>
  <c r="XP35" i="1"/>
  <c r="XP34" i="1"/>
  <c r="YB38" i="1"/>
  <c r="YB33" i="1"/>
  <c r="YB44" i="1" s="1"/>
  <c r="YB32" i="1"/>
  <c r="YB35" i="1"/>
  <c r="YB49" i="1" s="1"/>
  <c r="YF38" i="1"/>
  <c r="YF33" i="1"/>
  <c r="YF44" i="1" s="1"/>
  <c r="YF32" i="1"/>
  <c r="YF35" i="1"/>
  <c r="YF34" i="1"/>
  <c r="YF47" i="1" s="1"/>
  <c r="YR38" i="1"/>
  <c r="YR33" i="1"/>
  <c r="YR44" i="1" s="1"/>
  <c r="YR32" i="1"/>
  <c r="YR35" i="1"/>
  <c r="YV38" i="1"/>
  <c r="YV33" i="1"/>
  <c r="YV44" i="1" s="1"/>
  <c r="YV32" i="1"/>
  <c r="YV35" i="1"/>
  <c r="YV34" i="1"/>
  <c r="YV47" i="1" s="1"/>
  <c r="ZH38" i="1"/>
  <c r="ZH33" i="1"/>
  <c r="ZH32" i="1"/>
  <c r="ZH35" i="1"/>
  <c r="ZL38" i="1"/>
  <c r="ZL33" i="1"/>
  <c r="ZL32" i="1"/>
  <c r="ZL35" i="1"/>
  <c r="ZL49" i="1" s="1"/>
  <c r="ZL34" i="1"/>
  <c r="ZL47" i="1" s="1"/>
  <c r="ZX38" i="1"/>
  <c r="ZX50" i="1" s="1"/>
  <c r="ZX33" i="1"/>
  <c r="ZX44" i="1" s="1"/>
  <c r="ZX32" i="1"/>
  <c r="ZX35" i="1"/>
  <c r="AAB38" i="1"/>
  <c r="AAB33" i="1"/>
  <c r="AAB44" i="1" s="1"/>
  <c r="AAB32" i="1"/>
  <c r="AAB35" i="1"/>
  <c r="AAB34" i="1"/>
  <c r="AAN38" i="1"/>
  <c r="AAN33" i="1"/>
  <c r="AAN44" i="1" s="1"/>
  <c r="AAN32" i="1"/>
  <c r="AAN35" i="1"/>
  <c r="AAN49" i="1" s="1"/>
  <c r="AAR38" i="1"/>
  <c r="AAR33" i="1"/>
  <c r="AAR44" i="1" s="1"/>
  <c r="AAR32" i="1"/>
  <c r="AAR35" i="1"/>
  <c r="AAR34" i="1"/>
  <c r="AAR47" i="1" s="1"/>
  <c r="ABD38" i="1"/>
  <c r="ABD33" i="1"/>
  <c r="ABD44" i="1" s="1"/>
  <c r="ABD32" i="1"/>
  <c r="ABD35" i="1"/>
  <c r="ABH38" i="1"/>
  <c r="ABH33" i="1"/>
  <c r="ABH44" i="1" s="1"/>
  <c r="ABH32" i="1"/>
  <c r="ABH35" i="1"/>
  <c r="ABH34" i="1"/>
  <c r="ABH47" i="1" s="1"/>
  <c r="GF34" i="1"/>
  <c r="IR34" i="1"/>
  <c r="LD34" i="1"/>
  <c r="NP34" i="1"/>
  <c r="QB34" i="1"/>
  <c r="SN34" i="1"/>
  <c r="UZ34" i="1"/>
  <c r="XL34" i="1"/>
  <c r="ZX34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FA22" i="1"/>
  <c r="FI22" i="1"/>
  <c r="FQ22" i="1"/>
  <c r="FY22" i="1"/>
  <c r="GG22" i="1"/>
  <c r="GO22" i="1"/>
  <c r="GW22" i="1"/>
  <c r="HE22" i="1"/>
  <c r="HM22" i="1"/>
  <c r="HU22" i="1"/>
  <c r="IC22" i="1"/>
  <c r="IK22" i="1"/>
  <c r="IS22" i="1"/>
  <c r="JA22" i="1"/>
  <c r="JI22" i="1"/>
  <c r="JQ22" i="1"/>
  <c r="JY22" i="1"/>
  <c r="KG22" i="1"/>
  <c r="KO22" i="1"/>
  <c r="KW22" i="1"/>
  <c r="LE22" i="1"/>
  <c r="LM22" i="1"/>
  <c r="LU22" i="1"/>
  <c r="MC22" i="1"/>
  <c r="MK22" i="1"/>
  <c r="MS22" i="1"/>
  <c r="NA22" i="1"/>
  <c r="NI22" i="1"/>
  <c r="NQ22" i="1"/>
  <c r="NY22" i="1"/>
  <c r="OG22" i="1"/>
  <c r="OO22" i="1"/>
  <c r="OW22" i="1"/>
  <c r="PE22" i="1"/>
  <c r="PM22" i="1"/>
  <c r="PU22" i="1"/>
  <c r="QC22" i="1"/>
  <c r="QK22" i="1"/>
  <c r="QS22" i="1"/>
  <c r="RA22" i="1"/>
  <c r="RI22" i="1"/>
  <c r="RQ22" i="1"/>
  <c r="RY22" i="1"/>
  <c r="SG22" i="1"/>
  <c r="SO22" i="1"/>
  <c r="SW22" i="1"/>
  <c r="TE22" i="1"/>
  <c r="TM22" i="1"/>
  <c r="TU22" i="1"/>
  <c r="UC22" i="1"/>
  <c r="UK22" i="1"/>
  <c r="US22" i="1"/>
  <c r="VA22" i="1"/>
  <c r="VI22" i="1"/>
  <c r="VQ22" i="1"/>
  <c r="VY22" i="1"/>
  <c r="WG22" i="1"/>
  <c r="WO22" i="1"/>
  <c r="WW22" i="1"/>
  <c r="XE22" i="1"/>
  <c r="XM22" i="1"/>
  <c r="XU22" i="1"/>
  <c r="YC22" i="1"/>
  <c r="YK22" i="1"/>
  <c r="YS22" i="1"/>
  <c r="ZA22" i="1"/>
  <c r="ZI22" i="1"/>
  <c r="ZQ22" i="1"/>
  <c r="ZY22" i="1"/>
  <c r="AAG22" i="1"/>
  <c r="AAO22" i="1"/>
  <c r="AAW22" i="1"/>
  <c r="ABE22" i="1"/>
  <c r="I23" i="1"/>
  <c r="Q23" i="1"/>
  <c r="Y23" i="1"/>
  <c r="AG23" i="1"/>
  <c r="AO23" i="1"/>
  <c r="AW23" i="1"/>
  <c r="BE23" i="1"/>
  <c r="BM23" i="1"/>
  <c r="BU23" i="1"/>
  <c r="CC23" i="1"/>
  <c r="CK23" i="1"/>
  <c r="CS23" i="1"/>
  <c r="DA23" i="1"/>
  <c r="DI23" i="1"/>
  <c r="DQ23" i="1"/>
  <c r="DY23" i="1"/>
  <c r="EG23" i="1"/>
  <c r="EO23" i="1"/>
  <c r="EW23" i="1"/>
  <c r="FE23" i="1"/>
  <c r="FM23" i="1"/>
  <c r="FU23" i="1"/>
  <c r="GC23" i="1"/>
  <c r="GK23" i="1"/>
  <c r="GS23" i="1"/>
  <c r="HA23" i="1"/>
  <c r="HI23" i="1"/>
  <c r="HQ23" i="1"/>
  <c r="HY23" i="1"/>
  <c r="IG23" i="1"/>
  <c r="IO23" i="1"/>
  <c r="IW23" i="1"/>
  <c r="JE23" i="1"/>
  <c r="JM23" i="1"/>
  <c r="JU23" i="1"/>
  <c r="KC23" i="1"/>
  <c r="KK23" i="1"/>
  <c r="KS23" i="1"/>
  <c r="LA23" i="1"/>
  <c r="LI23" i="1"/>
  <c r="LQ23" i="1"/>
  <c r="LY23" i="1"/>
  <c r="MG23" i="1"/>
  <c r="MO23" i="1"/>
  <c r="MW23" i="1"/>
  <c r="NE23" i="1"/>
  <c r="NM23" i="1"/>
  <c r="NU23" i="1"/>
  <c r="OC23" i="1"/>
  <c r="OK23" i="1"/>
  <c r="OS23" i="1"/>
  <c r="PA23" i="1"/>
  <c r="PI23" i="1"/>
  <c r="PQ23" i="1"/>
  <c r="PY23" i="1"/>
  <c r="QG23" i="1"/>
  <c r="QO23" i="1"/>
  <c r="QW23" i="1"/>
  <c r="RE23" i="1"/>
  <c r="RM23" i="1"/>
  <c r="RU23" i="1"/>
  <c r="SC23" i="1"/>
  <c r="SK23" i="1"/>
  <c r="SS23" i="1"/>
  <c r="TA23" i="1"/>
  <c r="TI23" i="1"/>
  <c r="TQ23" i="1"/>
  <c r="TY23" i="1"/>
  <c r="UG23" i="1"/>
  <c r="UO23" i="1"/>
  <c r="UW23" i="1"/>
  <c r="VE23" i="1"/>
  <c r="VM23" i="1"/>
  <c r="VU23" i="1"/>
  <c r="WC23" i="1"/>
  <c r="WK23" i="1"/>
  <c r="WS23" i="1"/>
  <c r="XA23" i="1"/>
  <c r="XI23" i="1"/>
  <c r="XQ23" i="1"/>
  <c r="XY23" i="1"/>
  <c r="YG23" i="1"/>
  <c r="YO23" i="1"/>
  <c r="YW23" i="1"/>
  <c r="ZE23" i="1"/>
  <c r="ZM23" i="1"/>
  <c r="ZU23" i="1"/>
  <c r="AAC23" i="1"/>
  <c r="AAK23" i="1"/>
  <c r="AAS23" i="1"/>
  <c r="ABA23" i="1"/>
  <c r="ABI23" i="1"/>
  <c r="M32" i="1"/>
  <c r="M35" i="1"/>
  <c r="M38" i="1"/>
  <c r="M34" i="1"/>
  <c r="M33" i="1"/>
  <c r="U38" i="1"/>
  <c r="U50" i="1" s="1"/>
  <c r="U32" i="1"/>
  <c r="U35" i="1"/>
  <c r="U34" i="1"/>
  <c r="U33" i="1"/>
  <c r="AC32" i="1"/>
  <c r="AC35" i="1"/>
  <c r="AC38" i="1"/>
  <c r="AC34" i="1"/>
  <c r="AC33" i="1"/>
  <c r="AK38" i="1"/>
  <c r="AK35" i="1"/>
  <c r="AK34" i="1"/>
  <c r="AK33" i="1"/>
  <c r="AS32" i="1"/>
  <c r="AS35" i="1"/>
  <c r="AS50" i="1" s="1"/>
  <c r="AS38" i="1"/>
  <c r="AS34" i="1"/>
  <c r="AS33" i="1"/>
  <c r="BA38" i="1"/>
  <c r="BA50" i="1" s="1"/>
  <c r="BA32" i="1"/>
  <c r="BA35" i="1"/>
  <c r="BA34" i="1"/>
  <c r="BA33" i="1"/>
  <c r="BA45" i="1" s="1"/>
  <c r="BI38" i="1"/>
  <c r="BQ38" i="1"/>
  <c r="BQ32" i="1"/>
  <c r="BQ35" i="1"/>
  <c r="BQ34" i="1"/>
  <c r="BQ33" i="1"/>
  <c r="BY32" i="1"/>
  <c r="BY35" i="1"/>
  <c r="BY38" i="1"/>
  <c r="BY34" i="1"/>
  <c r="BY33" i="1"/>
  <c r="CG38" i="1"/>
  <c r="CG50" i="1" s="1"/>
  <c r="CG32" i="1"/>
  <c r="CG35" i="1"/>
  <c r="CG34" i="1"/>
  <c r="CG33" i="1"/>
  <c r="CO32" i="1"/>
  <c r="CO35" i="1"/>
  <c r="CO38" i="1"/>
  <c r="CO34" i="1"/>
  <c r="CO33" i="1"/>
  <c r="CW38" i="1"/>
  <c r="CW32" i="1"/>
  <c r="CW35" i="1"/>
  <c r="CW34" i="1"/>
  <c r="CW33" i="1"/>
  <c r="DE32" i="1"/>
  <c r="DE35" i="1"/>
  <c r="DE38" i="1"/>
  <c r="DM38" i="1"/>
  <c r="DW24" i="1"/>
  <c r="EH38" i="1"/>
  <c r="FC24" i="1"/>
  <c r="FN38" i="1"/>
  <c r="FN34" i="1"/>
  <c r="FN33" i="1"/>
  <c r="FN32" i="1"/>
  <c r="GT38" i="1"/>
  <c r="GT34" i="1"/>
  <c r="GT33" i="1"/>
  <c r="GT44" i="1" s="1"/>
  <c r="GT32" i="1"/>
  <c r="HZ38" i="1"/>
  <c r="HZ34" i="1"/>
  <c r="HZ33" i="1"/>
  <c r="HZ32" i="1"/>
  <c r="IU24" i="1"/>
  <c r="JF38" i="1"/>
  <c r="JF34" i="1"/>
  <c r="JF33" i="1"/>
  <c r="JF32" i="1"/>
  <c r="KL38" i="1"/>
  <c r="KL34" i="1"/>
  <c r="KL33" i="1"/>
  <c r="KL32" i="1"/>
  <c r="LR38" i="1"/>
  <c r="LR34" i="1"/>
  <c r="LR33" i="1"/>
  <c r="LR32" i="1"/>
  <c r="MX38" i="1"/>
  <c r="MX34" i="1"/>
  <c r="MX33" i="1"/>
  <c r="MX32" i="1"/>
  <c r="NS24" i="1"/>
  <c r="OD38" i="1"/>
  <c r="OD34" i="1"/>
  <c r="OD33" i="1"/>
  <c r="OD32" i="1"/>
  <c r="OY24" i="1"/>
  <c r="PJ38" i="1"/>
  <c r="PJ34" i="1"/>
  <c r="PJ33" i="1"/>
  <c r="PJ32" i="1"/>
  <c r="QE24" i="1"/>
  <c r="QP38" i="1"/>
  <c r="QP34" i="1"/>
  <c r="QP33" i="1"/>
  <c r="QP44" i="1" s="1"/>
  <c r="QP32" i="1"/>
  <c r="RV38" i="1"/>
  <c r="RV34" i="1"/>
  <c r="RV33" i="1"/>
  <c r="RV32" i="1"/>
  <c r="TB38" i="1"/>
  <c r="TB34" i="1"/>
  <c r="TB33" i="1"/>
  <c r="TB32" i="1"/>
  <c r="TW24" i="1"/>
  <c r="UH38" i="1"/>
  <c r="UH34" i="1"/>
  <c r="UH33" i="1"/>
  <c r="UH44" i="1" s="1"/>
  <c r="UH32" i="1"/>
  <c r="VN38" i="1"/>
  <c r="VN34" i="1"/>
  <c r="VN33" i="1"/>
  <c r="VN32" i="1"/>
  <c r="WT38" i="1"/>
  <c r="WT34" i="1"/>
  <c r="WT33" i="1"/>
  <c r="WT32" i="1"/>
  <c r="XO24" i="1"/>
  <c r="XZ38" i="1"/>
  <c r="XZ34" i="1"/>
  <c r="XZ33" i="1"/>
  <c r="XZ44" i="1" s="1"/>
  <c r="XZ32" i="1"/>
  <c r="YU24" i="1"/>
  <c r="ZF38" i="1"/>
  <c r="ZF34" i="1"/>
  <c r="ZF33" i="1"/>
  <c r="ZF32" i="1"/>
  <c r="AAA24" i="1"/>
  <c r="AAL38" i="1"/>
  <c r="AAL34" i="1"/>
  <c r="AAL33" i="1"/>
  <c r="AAL44" i="1" s="1"/>
  <c r="AAL32" i="1"/>
  <c r="AO33" i="1"/>
  <c r="AO45" i="1" s="1"/>
  <c r="DA33" i="1"/>
  <c r="DA45" i="1" s="1"/>
  <c r="BX34" i="1"/>
  <c r="EJ34" i="1"/>
  <c r="GV34" i="1"/>
  <c r="JH34" i="1"/>
  <c r="LT34" i="1"/>
  <c r="OF34" i="1"/>
  <c r="QR34" i="1"/>
  <c r="TD34" i="1"/>
  <c r="VP34" i="1"/>
  <c r="YB34" i="1"/>
  <c r="AAN34" i="1"/>
  <c r="L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EZ23" i="1"/>
  <c r="FH23" i="1"/>
  <c r="FP23" i="1"/>
  <c r="FX23" i="1"/>
  <c r="GF23" i="1"/>
  <c r="GN23" i="1"/>
  <c r="GV23" i="1"/>
  <c r="HD23" i="1"/>
  <c r="HL23" i="1"/>
  <c r="HT23" i="1"/>
  <c r="IB23" i="1"/>
  <c r="IJ23" i="1"/>
  <c r="IR23" i="1"/>
  <c r="IZ23" i="1"/>
  <c r="JH23" i="1"/>
  <c r="JP23" i="1"/>
  <c r="JX23" i="1"/>
  <c r="KF23" i="1"/>
  <c r="KN23" i="1"/>
  <c r="KV23" i="1"/>
  <c r="LD23" i="1"/>
  <c r="LL23" i="1"/>
  <c r="LT23" i="1"/>
  <c r="MB23" i="1"/>
  <c r="MJ23" i="1"/>
  <c r="MR23" i="1"/>
  <c r="MZ23" i="1"/>
  <c r="NH23" i="1"/>
  <c r="NP23" i="1"/>
  <c r="NX23" i="1"/>
  <c r="OF23" i="1"/>
  <c r="ON23" i="1"/>
  <c r="OV23" i="1"/>
  <c r="PD23" i="1"/>
  <c r="PL23" i="1"/>
  <c r="PT23" i="1"/>
  <c r="QB23" i="1"/>
  <c r="QJ23" i="1"/>
  <c r="QR23" i="1"/>
  <c r="QZ23" i="1"/>
  <c r="RH23" i="1"/>
  <c r="RP23" i="1"/>
  <c r="RX23" i="1"/>
  <c r="SF23" i="1"/>
  <c r="SN23" i="1"/>
  <c r="SV23" i="1"/>
  <c r="TD23" i="1"/>
  <c r="TL23" i="1"/>
  <c r="TT23" i="1"/>
  <c r="UB23" i="1"/>
  <c r="UJ23" i="1"/>
  <c r="UR23" i="1"/>
  <c r="UZ23" i="1"/>
  <c r="VH23" i="1"/>
  <c r="VP23" i="1"/>
  <c r="VX23" i="1"/>
  <c r="WF23" i="1"/>
  <c r="WN23" i="1"/>
  <c r="WV23" i="1"/>
  <c r="XD23" i="1"/>
  <c r="XL23" i="1"/>
  <c r="XT23" i="1"/>
  <c r="YB23" i="1"/>
  <c r="YJ23" i="1"/>
  <c r="YR23" i="1"/>
  <c r="YZ23" i="1"/>
  <c r="ZH23" i="1"/>
  <c r="ZP23" i="1"/>
  <c r="ZX23" i="1"/>
  <c r="AAF23" i="1"/>
  <c r="AAN23" i="1"/>
  <c r="AAV23" i="1"/>
  <c r="ABD23" i="1"/>
  <c r="H38" i="1"/>
  <c r="H33" i="1"/>
  <c r="H44" i="1" s="1"/>
  <c r="H32" i="1"/>
  <c r="H35" i="1"/>
  <c r="H51" i="1" s="1"/>
  <c r="H34" i="1"/>
  <c r="H47" i="1" s="1"/>
  <c r="P38" i="1"/>
  <c r="P33" i="1"/>
  <c r="P32" i="1"/>
  <c r="P35" i="1"/>
  <c r="P34" i="1"/>
  <c r="P47" i="1" s="1"/>
  <c r="X38" i="1"/>
  <c r="X50" i="1" s="1"/>
  <c r="X33" i="1"/>
  <c r="X44" i="1" s="1"/>
  <c r="X32" i="1"/>
  <c r="X35" i="1"/>
  <c r="X51" i="1" s="1"/>
  <c r="X34" i="1"/>
  <c r="AF38" i="1"/>
  <c r="AN38" i="1"/>
  <c r="AV38" i="1"/>
  <c r="AV33" i="1"/>
  <c r="AV32" i="1"/>
  <c r="AV35" i="1"/>
  <c r="AV51" i="1" s="1"/>
  <c r="AV34" i="1"/>
  <c r="AV47" i="1" s="1"/>
  <c r="BD38" i="1"/>
  <c r="BD50" i="1" s="1"/>
  <c r="BD33" i="1"/>
  <c r="BD44" i="1" s="1"/>
  <c r="BD32" i="1"/>
  <c r="BD35" i="1"/>
  <c r="BD51" i="1" s="1"/>
  <c r="BD34" i="1"/>
  <c r="BL38" i="1"/>
  <c r="BL33" i="1"/>
  <c r="BL44" i="1" s="1"/>
  <c r="BL32" i="1"/>
  <c r="BL35" i="1"/>
  <c r="BL34" i="1"/>
  <c r="BL47" i="1" s="1"/>
  <c r="BT38" i="1"/>
  <c r="BT33" i="1"/>
  <c r="BT44" i="1" s="1"/>
  <c r="BT32" i="1"/>
  <c r="BT35" i="1"/>
  <c r="BT51" i="1" s="1"/>
  <c r="BT34" i="1"/>
  <c r="BT47" i="1" s="1"/>
  <c r="CB38" i="1"/>
  <c r="CB33" i="1"/>
  <c r="CC33" i="1" s="1"/>
  <c r="CB32" i="1"/>
  <c r="CB35" i="1"/>
  <c r="CB34" i="1"/>
  <c r="CB47" i="1" s="1"/>
  <c r="CJ38" i="1"/>
  <c r="CR38" i="1"/>
  <c r="CZ38" i="1"/>
  <c r="CZ33" i="1"/>
  <c r="CZ44" i="1" s="1"/>
  <c r="CZ32" i="1"/>
  <c r="CZ35" i="1"/>
  <c r="CZ51" i="1" s="1"/>
  <c r="CZ34" i="1"/>
  <c r="CZ47" i="1" s="1"/>
  <c r="DH38" i="1"/>
  <c r="DH33" i="1"/>
  <c r="DH32" i="1"/>
  <c r="DH35" i="1"/>
  <c r="DH51" i="1" s="1"/>
  <c r="DH34" i="1"/>
  <c r="DH47" i="1" s="1"/>
  <c r="DP38" i="1"/>
  <c r="DP50" i="1" s="1"/>
  <c r="DP33" i="1"/>
  <c r="DP44" i="1" s="1"/>
  <c r="DP32" i="1"/>
  <c r="DP35" i="1"/>
  <c r="DP51" i="1" s="1"/>
  <c r="DP34" i="1"/>
  <c r="EL38" i="1"/>
  <c r="EL35" i="1"/>
  <c r="EL34" i="1"/>
  <c r="EL46" i="1" s="1"/>
  <c r="EL33" i="1"/>
  <c r="EL32" i="1"/>
  <c r="EV38" i="1"/>
  <c r="FR38" i="1"/>
  <c r="FR34" i="1"/>
  <c r="FR46" i="1" s="1"/>
  <c r="FR33" i="1"/>
  <c r="FR45" i="1" s="1"/>
  <c r="FR32" i="1"/>
  <c r="GB38" i="1"/>
  <c r="GB50" i="1" s="1"/>
  <c r="GB33" i="1"/>
  <c r="GB44" i="1" s="1"/>
  <c r="GB32" i="1"/>
  <c r="GB35" i="1"/>
  <c r="GB51" i="1" s="1"/>
  <c r="GB34" i="1"/>
  <c r="GM24" i="1"/>
  <c r="GX38" i="1"/>
  <c r="GX34" i="1"/>
  <c r="GX33" i="1"/>
  <c r="GX45" i="1" s="1"/>
  <c r="GX32" i="1"/>
  <c r="HH38" i="1"/>
  <c r="HH33" i="1"/>
  <c r="HH32" i="1"/>
  <c r="HH35" i="1"/>
  <c r="HH51" i="1" s="1"/>
  <c r="HH34" i="1"/>
  <c r="HH47" i="1" s="1"/>
  <c r="HS24" i="1"/>
  <c r="ID38" i="1"/>
  <c r="ID34" i="1"/>
  <c r="ID46" i="1" s="1"/>
  <c r="ID33" i="1"/>
  <c r="ID32" i="1"/>
  <c r="IN38" i="1"/>
  <c r="IN33" i="1"/>
  <c r="IN32" i="1"/>
  <c r="IN35" i="1"/>
  <c r="IN51" i="1" s="1"/>
  <c r="IN34" i="1"/>
  <c r="IN47" i="1" s="1"/>
  <c r="JJ38" i="1"/>
  <c r="JJ34" i="1"/>
  <c r="JJ46" i="1" s="1"/>
  <c r="JJ33" i="1"/>
  <c r="JJ32" i="1"/>
  <c r="JT38" i="1"/>
  <c r="JT50" i="1" s="1"/>
  <c r="JT33" i="1"/>
  <c r="JT32" i="1"/>
  <c r="JT35" i="1"/>
  <c r="JT51" i="1" s="1"/>
  <c r="JT34" i="1"/>
  <c r="KE24" i="1"/>
  <c r="KP38" i="1"/>
  <c r="KP34" i="1"/>
  <c r="KP33" i="1"/>
  <c r="KP32" i="1"/>
  <c r="KZ38" i="1"/>
  <c r="KZ33" i="1"/>
  <c r="KZ32" i="1"/>
  <c r="KZ35" i="1"/>
  <c r="KZ51" i="1" s="1"/>
  <c r="KZ34" i="1"/>
  <c r="KZ47" i="1" s="1"/>
  <c r="LK24" i="1"/>
  <c r="LV38" i="1"/>
  <c r="LV34" i="1"/>
  <c r="LV46" i="1" s="1"/>
  <c r="LV33" i="1"/>
  <c r="LV32" i="1"/>
  <c r="MF38" i="1"/>
  <c r="MF33" i="1"/>
  <c r="MF32" i="1"/>
  <c r="MF35" i="1"/>
  <c r="MF51" i="1" s="1"/>
  <c r="MF34" i="1"/>
  <c r="MF47" i="1" s="1"/>
  <c r="MQ24" i="1"/>
  <c r="NB38" i="1"/>
  <c r="NB34" i="1"/>
  <c r="NB46" i="1" s="1"/>
  <c r="NB33" i="1"/>
  <c r="NB32" i="1"/>
  <c r="NL38" i="1"/>
  <c r="NL33" i="1"/>
  <c r="NL32" i="1"/>
  <c r="NL35" i="1"/>
  <c r="NL34" i="1"/>
  <c r="NL47" i="1" s="1"/>
  <c r="NW24" i="1"/>
  <c r="OH38" i="1"/>
  <c r="OH34" i="1"/>
  <c r="OH46" i="1" s="1"/>
  <c r="OH33" i="1"/>
  <c r="OH32" i="1"/>
  <c r="OR38" i="1"/>
  <c r="OR50" i="1" s="1"/>
  <c r="OR33" i="1"/>
  <c r="OR32" i="1"/>
  <c r="OR35" i="1"/>
  <c r="OR51" i="1" s="1"/>
  <c r="OR34" i="1"/>
  <c r="PN38" i="1"/>
  <c r="PN34" i="1"/>
  <c r="PN46" i="1" s="1"/>
  <c r="PN33" i="1"/>
  <c r="PN32" i="1"/>
  <c r="PX38" i="1"/>
  <c r="PX33" i="1"/>
  <c r="PX32" i="1"/>
  <c r="PX35" i="1"/>
  <c r="PX51" i="1" s="1"/>
  <c r="PX34" i="1"/>
  <c r="PX47" i="1" s="1"/>
  <c r="QT38" i="1"/>
  <c r="QT34" i="1"/>
  <c r="QT46" i="1" s="1"/>
  <c r="QT33" i="1"/>
  <c r="QT32" i="1"/>
  <c r="RD38" i="1"/>
  <c r="RD50" i="1" s="1"/>
  <c r="RD33" i="1"/>
  <c r="RD32" i="1"/>
  <c r="RD35" i="1"/>
  <c r="RD51" i="1" s="1"/>
  <c r="RD34" i="1"/>
  <c r="RO24" i="1"/>
  <c r="RZ38" i="1"/>
  <c r="RZ34" i="1"/>
  <c r="RZ33" i="1"/>
  <c r="RZ32" i="1"/>
  <c r="SJ38" i="1"/>
  <c r="SJ33" i="1"/>
  <c r="SJ32" i="1"/>
  <c r="SJ35" i="1"/>
  <c r="SJ51" i="1" s="1"/>
  <c r="SJ34" i="1"/>
  <c r="SJ47" i="1" s="1"/>
  <c r="TF38" i="1"/>
  <c r="TF34" i="1"/>
  <c r="TF46" i="1" s="1"/>
  <c r="TF33" i="1"/>
  <c r="TF32" i="1"/>
  <c r="TP38" i="1"/>
  <c r="TP33" i="1"/>
  <c r="TP32" i="1"/>
  <c r="TP35" i="1"/>
  <c r="TP34" i="1"/>
  <c r="TP47" i="1" s="1"/>
  <c r="UL38" i="1"/>
  <c r="UL34" i="1"/>
  <c r="UL33" i="1"/>
  <c r="UL32" i="1"/>
  <c r="UV33" i="1"/>
  <c r="UV38" i="1"/>
  <c r="UV50" i="1" s="1"/>
  <c r="UV32" i="1"/>
  <c r="UV35" i="1"/>
  <c r="UV51" i="1" s="1"/>
  <c r="UV34" i="1"/>
  <c r="UV47" i="1" s="1"/>
  <c r="VG24" i="1"/>
  <c r="VR38" i="1"/>
  <c r="VR34" i="1"/>
  <c r="VR46" i="1" s="1"/>
  <c r="VR33" i="1"/>
  <c r="VR32" i="1"/>
  <c r="WB33" i="1"/>
  <c r="WB32" i="1"/>
  <c r="WB35" i="1"/>
  <c r="WB38" i="1"/>
  <c r="WB34" i="1"/>
  <c r="WB47" i="1" s="1"/>
  <c r="WM24" i="1"/>
  <c r="WX38" i="1"/>
  <c r="WX34" i="1"/>
  <c r="WX46" i="1" s="1"/>
  <c r="WX33" i="1"/>
  <c r="WX32" i="1"/>
  <c r="XH33" i="1"/>
  <c r="XH38" i="1"/>
  <c r="XH32" i="1"/>
  <c r="XH35" i="1"/>
  <c r="XH34" i="1"/>
  <c r="XH47" i="1" s="1"/>
  <c r="XS24" i="1"/>
  <c r="YD38" i="1"/>
  <c r="YD34" i="1"/>
  <c r="YD46" i="1" s="1"/>
  <c r="YD33" i="1"/>
  <c r="YD32" i="1"/>
  <c r="YN33" i="1"/>
  <c r="YN32" i="1"/>
  <c r="YN35" i="1"/>
  <c r="YN34" i="1"/>
  <c r="YN47" i="1" s="1"/>
  <c r="YN38" i="1"/>
  <c r="ZJ38" i="1"/>
  <c r="ZJ34" i="1"/>
  <c r="ZJ46" i="1" s="1"/>
  <c r="ZJ33" i="1"/>
  <c r="ZJ32" i="1"/>
  <c r="ZT33" i="1"/>
  <c r="ZT38" i="1"/>
  <c r="ZT32" i="1"/>
  <c r="ZT35" i="1"/>
  <c r="ZT51" i="1" s="1"/>
  <c r="ZT34" i="1"/>
  <c r="ZT47" i="1" s="1"/>
  <c r="AAP38" i="1"/>
  <c r="AAP34" i="1"/>
  <c r="AAP46" i="1" s="1"/>
  <c r="AAP33" i="1"/>
  <c r="AAP32" i="1"/>
  <c r="AAZ33" i="1"/>
  <c r="AAZ43" i="1" s="1"/>
  <c r="AAZ32" i="1"/>
  <c r="AAZ35" i="1"/>
  <c r="AAZ34" i="1"/>
  <c r="AAZ47" i="1" s="1"/>
  <c r="AAZ38" i="1"/>
  <c r="F31" i="1"/>
  <c r="D27" i="1"/>
  <c r="F23" i="1"/>
  <c r="D28" i="1"/>
  <c r="BE33" i="1"/>
  <c r="BE45" i="1" s="1"/>
  <c r="AB34" i="1"/>
  <c r="CN34" i="1"/>
  <c r="EZ34" i="1"/>
  <c r="HL34" i="1"/>
  <c r="JX34" i="1"/>
  <c r="MJ34" i="1"/>
  <c r="OV34" i="1"/>
  <c r="RH34" i="1"/>
  <c r="TT34" i="1"/>
  <c r="WF34" i="1"/>
  <c r="YR34" i="1"/>
  <c r="ABD34" i="1"/>
  <c r="U23" i="1"/>
  <c r="AK23" i="1"/>
  <c r="BI23" i="1"/>
  <c r="BY23" i="1"/>
  <c r="CO23" i="1"/>
  <c r="DE23" i="1"/>
  <c r="EC23" i="1"/>
  <c r="ES23" i="1"/>
  <c r="FI23" i="1"/>
  <c r="FY23" i="1"/>
  <c r="GO23" i="1"/>
  <c r="HE23" i="1"/>
  <c r="HM23" i="1"/>
  <c r="IC23" i="1"/>
  <c r="IS23" i="1"/>
  <c r="JI23" i="1"/>
  <c r="JY23" i="1"/>
  <c r="KO23" i="1"/>
  <c r="LE23" i="1"/>
  <c r="LU23" i="1"/>
  <c r="MK23" i="1"/>
  <c r="NA23" i="1"/>
  <c r="NQ23" i="1"/>
  <c r="OG23" i="1"/>
  <c r="OW23" i="1"/>
  <c r="PM23" i="1"/>
  <c r="QC23" i="1"/>
  <c r="QS23" i="1"/>
  <c r="RI23" i="1"/>
  <c r="RY23" i="1"/>
  <c r="SW23" i="1"/>
  <c r="TM23" i="1"/>
  <c r="TU23" i="1"/>
  <c r="UK23" i="1"/>
  <c r="VA23" i="1"/>
  <c r="VI23" i="1"/>
  <c r="VY23" i="1"/>
  <c r="WW23" i="1"/>
  <c r="XM23" i="1"/>
  <c r="YC23" i="1"/>
  <c r="YS23" i="1"/>
  <c r="ZI23" i="1"/>
  <c r="ZY23" i="1"/>
  <c r="AAW23" i="1"/>
  <c r="I32" i="1"/>
  <c r="I35" i="1"/>
  <c r="I34" i="1"/>
  <c r="I47" i="1" s="1"/>
  <c r="I38" i="1"/>
  <c r="Y32" i="1"/>
  <c r="Y35" i="1"/>
  <c r="Y38" i="1"/>
  <c r="AG38" i="1"/>
  <c r="AW32" i="1"/>
  <c r="AW38" i="1"/>
  <c r="AW35" i="1"/>
  <c r="AW34" i="1"/>
  <c r="AW47" i="1" s="1"/>
  <c r="AW33" i="1"/>
  <c r="BM32" i="1"/>
  <c r="BM38" i="1"/>
  <c r="BM35" i="1"/>
  <c r="BM34" i="1"/>
  <c r="BM47" i="1" s="1"/>
  <c r="BM33" i="1"/>
  <c r="CC32" i="1"/>
  <c r="CC38" i="1"/>
  <c r="CC35" i="1"/>
  <c r="CC50" i="1" s="1"/>
  <c r="CC34" i="1"/>
  <c r="CC47" i="1" s="1"/>
  <c r="CS32" i="1"/>
  <c r="CS38" i="1"/>
  <c r="CS35" i="1"/>
  <c r="CS34" i="1"/>
  <c r="CS33" i="1"/>
  <c r="DI32" i="1"/>
  <c r="DI38" i="1"/>
  <c r="DI35" i="1"/>
  <c r="DI34" i="1"/>
  <c r="DI47" i="1" s="1"/>
  <c r="DI33" i="1"/>
  <c r="EB38" i="1"/>
  <c r="EM38" i="1"/>
  <c r="EM34" i="1"/>
  <c r="EM46" i="1" s="1"/>
  <c r="EM33" i="1"/>
  <c r="EM44" i="1" s="1"/>
  <c r="EM32" i="1"/>
  <c r="EM35" i="1"/>
  <c r="FH38" i="1"/>
  <c r="FH33" i="1"/>
  <c r="FH44" i="1" s="1"/>
  <c r="FH32" i="1"/>
  <c r="FH35" i="1"/>
  <c r="FH34" i="1"/>
  <c r="GD38" i="1"/>
  <c r="GY38" i="1"/>
  <c r="GY34" i="1"/>
  <c r="GY33" i="1"/>
  <c r="GY44" i="1" s="1"/>
  <c r="GY32" i="1"/>
  <c r="HT38" i="1"/>
  <c r="HT50" i="1" s="1"/>
  <c r="HT33" i="1"/>
  <c r="HT44" i="1" s="1"/>
  <c r="HT32" i="1"/>
  <c r="HT35" i="1"/>
  <c r="HT51" i="1" s="1"/>
  <c r="HT34" i="1"/>
  <c r="HT47" i="1" s="1"/>
  <c r="IP38" i="1"/>
  <c r="IP34" i="1"/>
  <c r="IP33" i="1"/>
  <c r="IP32" i="1"/>
  <c r="IZ38" i="1"/>
  <c r="IZ33" i="1"/>
  <c r="IZ44" i="1" s="1"/>
  <c r="IZ32" i="1"/>
  <c r="IZ35" i="1"/>
  <c r="IZ51" i="1" s="1"/>
  <c r="IZ34" i="1"/>
  <c r="JV38" i="1"/>
  <c r="JV34" i="1"/>
  <c r="JV33" i="1"/>
  <c r="JV32" i="1"/>
  <c r="KQ38" i="1"/>
  <c r="KQ34" i="1"/>
  <c r="KQ46" i="1" s="1"/>
  <c r="KQ33" i="1"/>
  <c r="KQ44" i="1" s="1"/>
  <c r="KQ32" i="1"/>
  <c r="LL38" i="1"/>
  <c r="LL33" i="1"/>
  <c r="LL44" i="1" s="1"/>
  <c r="LL32" i="1"/>
  <c r="LL35" i="1"/>
  <c r="LL34" i="1"/>
  <c r="MH38" i="1"/>
  <c r="MH34" i="1"/>
  <c r="MH33" i="1"/>
  <c r="MH32" i="1"/>
  <c r="NC38" i="1"/>
  <c r="NC34" i="1"/>
  <c r="NC33" i="1"/>
  <c r="NC44" i="1" s="1"/>
  <c r="NC32" i="1"/>
  <c r="NX38" i="1"/>
  <c r="NX50" i="1" s="1"/>
  <c r="NX33" i="1"/>
  <c r="NX44" i="1" s="1"/>
  <c r="NX32" i="1"/>
  <c r="NX35" i="1"/>
  <c r="NX51" i="1" s="1"/>
  <c r="NX34" i="1"/>
  <c r="NX47" i="1" s="1"/>
  <c r="OI38" i="1"/>
  <c r="OI34" i="1"/>
  <c r="OI46" i="1" s="1"/>
  <c r="OI33" i="1"/>
  <c r="OI44" i="1" s="1"/>
  <c r="OI32" i="1"/>
  <c r="PD38" i="1"/>
  <c r="PD33" i="1"/>
  <c r="PD44" i="1" s="1"/>
  <c r="PD32" i="1"/>
  <c r="PD35" i="1"/>
  <c r="PD34" i="1"/>
  <c r="PZ38" i="1"/>
  <c r="PZ34" i="1"/>
  <c r="PZ33" i="1"/>
  <c r="PZ32" i="1"/>
  <c r="QU38" i="1"/>
  <c r="QU34" i="1"/>
  <c r="QU46" i="1" s="1"/>
  <c r="QU33" i="1"/>
  <c r="QU44" i="1" s="1"/>
  <c r="QU32" i="1"/>
  <c r="RP38" i="1"/>
  <c r="RP33" i="1"/>
  <c r="RP44" i="1" s="1"/>
  <c r="RP32" i="1"/>
  <c r="RP35" i="1"/>
  <c r="RP34" i="1"/>
  <c r="SL38" i="1"/>
  <c r="SL34" i="1"/>
  <c r="SL33" i="1"/>
  <c r="SL32" i="1"/>
  <c r="TG38" i="1"/>
  <c r="TG34" i="1"/>
  <c r="TG33" i="1"/>
  <c r="TG44" i="1" s="1"/>
  <c r="TG32" i="1"/>
  <c r="UB38" i="1"/>
  <c r="UB50" i="1" s="1"/>
  <c r="UB33" i="1"/>
  <c r="UB44" i="1" s="1"/>
  <c r="UB32" i="1"/>
  <c r="UB35" i="1"/>
  <c r="UB51" i="1" s="1"/>
  <c r="UB34" i="1"/>
  <c r="UB47" i="1" s="1"/>
  <c r="UX38" i="1"/>
  <c r="UX34" i="1"/>
  <c r="UX33" i="1"/>
  <c r="UX32" i="1"/>
  <c r="VS38" i="1"/>
  <c r="VS34" i="1"/>
  <c r="VS46" i="1" s="1"/>
  <c r="VS33" i="1"/>
  <c r="VS32" i="1"/>
  <c r="WN38" i="1"/>
  <c r="WN33" i="1"/>
  <c r="WN32" i="1"/>
  <c r="WN35" i="1"/>
  <c r="WN51" i="1" s="1"/>
  <c r="WN34" i="1"/>
  <c r="XJ38" i="1"/>
  <c r="XJ34" i="1"/>
  <c r="XJ33" i="1"/>
  <c r="XJ32" i="1"/>
  <c r="YE38" i="1"/>
  <c r="YE34" i="1"/>
  <c r="YE46" i="1" s="1"/>
  <c r="YE33" i="1"/>
  <c r="YE44" i="1" s="1"/>
  <c r="YE32" i="1"/>
  <c r="YZ38" i="1"/>
  <c r="YZ33" i="1"/>
  <c r="YZ44" i="1" s="1"/>
  <c r="YZ32" i="1"/>
  <c r="YZ35" i="1"/>
  <c r="YZ51" i="1" s="1"/>
  <c r="YZ34" i="1"/>
  <c r="ZV38" i="1"/>
  <c r="ZV34" i="1"/>
  <c r="ZV33" i="1"/>
  <c r="ZV32" i="1"/>
  <c r="AAF38" i="1"/>
  <c r="AAF33" i="1"/>
  <c r="AAF44" i="1" s="1"/>
  <c r="AAF32" i="1"/>
  <c r="AAF35" i="1"/>
  <c r="AAF34" i="1"/>
  <c r="AAF47" i="1" s="1"/>
  <c r="ABB38" i="1"/>
  <c r="ABB34" i="1"/>
  <c r="ABB33" i="1"/>
  <c r="ABB32" i="1"/>
  <c r="K24" i="1"/>
  <c r="K21" i="1"/>
  <c r="K2" i="1"/>
  <c r="K3" i="1" s="1"/>
  <c r="W24" i="1"/>
  <c r="W21" i="1"/>
  <c r="W2" i="1"/>
  <c r="W3" i="1" s="1"/>
  <c r="AE24" i="1"/>
  <c r="AE21" i="1"/>
  <c r="AE2" i="1"/>
  <c r="AE3" i="1" s="1"/>
  <c r="AM24" i="1"/>
  <c r="AM21" i="1"/>
  <c r="AM2" i="1"/>
  <c r="AM3" i="1" s="1"/>
  <c r="AU24" i="1"/>
  <c r="AU21" i="1"/>
  <c r="AU2" i="1"/>
  <c r="AU3" i="1" s="1"/>
  <c r="BC24" i="1"/>
  <c r="BC21" i="1"/>
  <c r="BC2" i="1"/>
  <c r="BC3" i="1" s="1"/>
  <c r="BK24" i="1"/>
  <c r="BK21" i="1"/>
  <c r="BK2" i="1"/>
  <c r="BK3" i="1" s="1"/>
  <c r="BS24" i="1"/>
  <c r="BS21" i="1"/>
  <c r="BS2" i="1"/>
  <c r="BS3" i="1" s="1"/>
  <c r="CA24" i="1"/>
  <c r="CA21" i="1"/>
  <c r="CA2" i="1"/>
  <c r="CA3" i="1" s="1"/>
  <c r="CM24" i="1"/>
  <c r="CM21" i="1"/>
  <c r="CM2" i="1"/>
  <c r="CM3" i="1" s="1"/>
  <c r="CU24" i="1"/>
  <c r="CU21" i="1"/>
  <c r="CU2" i="1"/>
  <c r="CU3" i="1" s="1"/>
  <c r="DC24" i="1"/>
  <c r="DC21" i="1"/>
  <c r="DC2" i="1"/>
  <c r="DC3" i="1" s="1"/>
  <c r="DK24" i="1"/>
  <c r="DK21" i="1"/>
  <c r="DK2" i="1"/>
  <c r="DK3" i="1" s="1"/>
  <c r="DS21" i="1"/>
  <c r="DS2" i="1"/>
  <c r="DS3" i="1" s="1"/>
  <c r="DS24" i="1"/>
  <c r="EA21" i="1"/>
  <c r="EA2" i="1"/>
  <c r="EA3" i="1" s="1"/>
  <c r="EI21" i="1"/>
  <c r="EI2" i="1"/>
  <c r="EI3" i="1" s="1"/>
  <c r="EI24" i="1"/>
  <c r="EQ21" i="1"/>
  <c r="EQ2" i="1"/>
  <c r="EQ3" i="1" s="1"/>
  <c r="EY21" i="1"/>
  <c r="EY2" i="1"/>
  <c r="EY3" i="1" s="1"/>
  <c r="EY24" i="1"/>
  <c r="FG21" i="1"/>
  <c r="FG2" i="1"/>
  <c r="FG3" i="1" s="1"/>
  <c r="FO21" i="1"/>
  <c r="FO2" i="1"/>
  <c r="FO3" i="1" s="1"/>
  <c r="FO24" i="1"/>
  <c r="GA24" i="1"/>
  <c r="GA21" i="1"/>
  <c r="GA2" i="1"/>
  <c r="GA3" i="1" s="1"/>
  <c r="GI21" i="1"/>
  <c r="GI2" i="1"/>
  <c r="GI3" i="1" s="1"/>
  <c r="GQ24" i="1"/>
  <c r="GQ21" i="1"/>
  <c r="GQ2" i="1"/>
  <c r="GQ3" i="1" s="1"/>
  <c r="GY21" i="1"/>
  <c r="GY2" i="1"/>
  <c r="GY3" i="1" s="1"/>
  <c r="HG24" i="1"/>
  <c r="HG21" i="1"/>
  <c r="HG2" i="1"/>
  <c r="HG3" i="1" s="1"/>
  <c r="HO21" i="1"/>
  <c r="HO2" i="1"/>
  <c r="HO3" i="1" s="1"/>
  <c r="HW24" i="1"/>
  <c r="HW21" i="1"/>
  <c r="HW2" i="1"/>
  <c r="HW3" i="1" s="1"/>
  <c r="IE21" i="1"/>
  <c r="IE2" i="1"/>
  <c r="IE3" i="1" s="1"/>
  <c r="IM24" i="1"/>
  <c r="IM21" i="1"/>
  <c r="IM2" i="1"/>
  <c r="IM3" i="1" s="1"/>
  <c r="IQ21" i="1"/>
  <c r="IQ2" i="1"/>
  <c r="IQ3" i="1" s="1"/>
  <c r="IQ24" i="1"/>
  <c r="IY21" i="1"/>
  <c r="IY2" i="1"/>
  <c r="IY3" i="1" s="1"/>
  <c r="JG21" i="1"/>
  <c r="JG2" i="1"/>
  <c r="JG3" i="1" s="1"/>
  <c r="JG24" i="1"/>
  <c r="JK21" i="1"/>
  <c r="JK2" i="1"/>
  <c r="JK3" i="1" s="1"/>
  <c r="JS24" i="1"/>
  <c r="JS21" i="1"/>
  <c r="JS2" i="1"/>
  <c r="JS3" i="1" s="1"/>
  <c r="KA21" i="1"/>
  <c r="KA2" i="1"/>
  <c r="KA3" i="1" s="1"/>
  <c r="KI24" i="1"/>
  <c r="KI21" i="1"/>
  <c r="KI2" i="1"/>
  <c r="KI3" i="1" s="1"/>
  <c r="KQ21" i="1"/>
  <c r="KQ2" i="1"/>
  <c r="KQ3" i="1" s="1"/>
  <c r="KY24" i="1"/>
  <c r="KY21" i="1"/>
  <c r="KY2" i="1"/>
  <c r="KY3" i="1" s="1"/>
  <c r="LG21" i="1"/>
  <c r="LG2" i="1"/>
  <c r="LG3" i="1" s="1"/>
  <c r="LO24" i="1"/>
  <c r="LO21" i="1"/>
  <c r="LO2" i="1"/>
  <c r="LO3" i="1" s="1"/>
  <c r="LW21" i="1"/>
  <c r="LW2" i="1"/>
  <c r="LW3" i="1" s="1"/>
  <c r="ME24" i="1"/>
  <c r="ME21" i="1"/>
  <c r="ME2" i="1"/>
  <c r="ME3" i="1" s="1"/>
  <c r="MM21" i="1"/>
  <c r="MM2" i="1"/>
  <c r="MM3" i="1" s="1"/>
  <c r="MU24" i="1"/>
  <c r="MU21" i="1"/>
  <c r="MU2" i="1"/>
  <c r="MU3" i="1" s="1"/>
  <c r="NC21" i="1"/>
  <c r="NC2" i="1"/>
  <c r="NC3" i="1" s="1"/>
  <c r="NK24" i="1"/>
  <c r="NK21" i="1"/>
  <c r="NK2" i="1"/>
  <c r="NK3" i="1" s="1"/>
  <c r="NO21" i="1"/>
  <c r="NO2" i="1"/>
  <c r="NO3" i="1" s="1"/>
  <c r="NO24" i="1"/>
  <c r="OA24" i="1"/>
  <c r="OA21" i="1"/>
  <c r="OA2" i="1"/>
  <c r="OA3" i="1" s="1"/>
  <c r="OI21" i="1"/>
  <c r="OI2" i="1"/>
  <c r="OI3" i="1" s="1"/>
  <c r="OQ24" i="1"/>
  <c r="OQ21" i="1"/>
  <c r="OQ2" i="1"/>
  <c r="OQ3" i="1" s="1"/>
  <c r="PC21" i="1"/>
  <c r="PC2" i="1"/>
  <c r="PC3" i="1" s="1"/>
  <c r="PK21" i="1"/>
  <c r="PK2" i="1"/>
  <c r="PK3" i="1" s="1"/>
  <c r="PK24" i="1"/>
  <c r="PS21" i="1"/>
  <c r="PS2" i="1"/>
  <c r="PS3" i="1" s="1"/>
  <c r="QA21" i="1"/>
  <c r="QA2" i="1"/>
  <c r="QA3" i="1" s="1"/>
  <c r="QA24" i="1"/>
  <c r="QI21" i="1"/>
  <c r="QI2" i="1"/>
  <c r="QI3" i="1" s="1"/>
  <c r="QQ21" i="1"/>
  <c r="QQ2" i="1"/>
  <c r="QQ3" i="1" s="1"/>
  <c r="QQ24" i="1"/>
  <c r="QY21" i="1"/>
  <c r="QY2" i="1"/>
  <c r="QY3" i="1" s="1"/>
  <c r="RG21" i="1"/>
  <c r="RG2" i="1"/>
  <c r="RG3" i="1" s="1"/>
  <c r="RG24" i="1"/>
  <c r="RK21" i="1"/>
  <c r="RK2" i="1"/>
  <c r="RK3" i="1" s="1"/>
  <c r="RS24" i="1"/>
  <c r="RS21" i="1"/>
  <c r="RS2" i="1"/>
  <c r="RS3" i="1" s="1"/>
  <c r="SA21" i="1"/>
  <c r="SA2" i="1"/>
  <c r="SA3" i="1" s="1"/>
  <c r="SI24" i="1"/>
  <c r="SI21" i="1"/>
  <c r="SI2" i="1"/>
  <c r="SI3" i="1" s="1"/>
  <c r="SQ21" i="1"/>
  <c r="SQ2" i="1"/>
  <c r="SQ3" i="1" s="1"/>
  <c r="SU21" i="1"/>
  <c r="SU2" i="1"/>
  <c r="SU3" i="1" s="1"/>
  <c r="TC21" i="1"/>
  <c r="TC2" i="1"/>
  <c r="TC3" i="1" s="1"/>
  <c r="TC24" i="1"/>
  <c r="TK21" i="1"/>
  <c r="TK2" i="1"/>
  <c r="TK3" i="1" s="1"/>
  <c r="TS21" i="1"/>
  <c r="TS2" i="1"/>
  <c r="TS3" i="1" s="1"/>
  <c r="TS24" i="1"/>
  <c r="UA21" i="1"/>
  <c r="UA2" i="1"/>
  <c r="UA3" i="1" s="1"/>
  <c r="UE24" i="1"/>
  <c r="UE21" i="1"/>
  <c r="UE2" i="1"/>
  <c r="UE3" i="1" s="1"/>
  <c r="UM21" i="1"/>
  <c r="UM2" i="1"/>
  <c r="UM3" i="1" s="1"/>
  <c r="UU24" i="1"/>
  <c r="UU21" i="1"/>
  <c r="UU2" i="1"/>
  <c r="UU3" i="1" s="1"/>
  <c r="VC21" i="1"/>
  <c r="VC2" i="1"/>
  <c r="VC3" i="1" s="1"/>
  <c r="VK24" i="1"/>
  <c r="VK21" i="1"/>
  <c r="VK2" i="1"/>
  <c r="VK3" i="1" s="1"/>
  <c r="VS21" i="1"/>
  <c r="VS2" i="1"/>
  <c r="VS3" i="1" s="1"/>
  <c r="WA24" i="1"/>
  <c r="WA21" i="1"/>
  <c r="WA2" i="1"/>
  <c r="WA3" i="1" s="1"/>
  <c r="WI21" i="1"/>
  <c r="WI2" i="1"/>
  <c r="WI3" i="1" s="1"/>
  <c r="WQ24" i="1"/>
  <c r="WQ21" i="1"/>
  <c r="WQ2" i="1"/>
  <c r="WQ3" i="1" s="1"/>
  <c r="WY21" i="1"/>
  <c r="WY2" i="1"/>
  <c r="WY3" i="1" s="1"/>
  <c r="XC21" i="1"/>
  <c r="XC2" i="1"/>
  <c r="XC3" i="1" s="1"/>
  <c r="XK21" i="1"/>
  <c r="XK2" i="1"/>
  <c r="XK3" i="1" s="1"/>
  <c r="XK24" i="1"/>
  <c r="XW24" i="1"/>
  <c r="XW21" i="1"/>
  <c r="XW2" i="1"/>
  <c r="XW3" i="1" s="1"/>
  <c r="YE21" i="1"/>
  <c r="YE2" i="1"/>
  <c r="YE3" i="1" s="1"/>
  <c r="YM24" i="1"/>
  <c r="YM21" i="1"/>
  <c r="YM2" i="1"/>
  <c r="YM3" i="1" s="1"/>
  <c r="YQ21" i="1"/>
  <c r="YQ2" i="1"/>
  <c r="YQ3" i="1" s="1"/>
  <c r="YQ24" i="1"/>
  <c r="YY21" i="1"/>
  <c r="YY2" i="1"/>
  <c r="YY3" i="1" s="1"/>
  <c r="ZK21" i="1"/>
  <c r="ZK2" i="1"/>
  <c r="ZK3" i="1" s="1"/>
  <c r="ZS24" i="1"/>
  <c r="ZS21" i="1"/>
  <c r="ZS2" i="1"/>
  <c r="ZS3" i="1" s="1"/>
  <c r="ZW21" i="1"/>
  <c r="ZW2" i="1"/>
  <c r="ZW3" i="1" s="1"/>
  <c r="ZW24" i="1"/>
  <c r="AAE21" i="1"/>
  <c r="AAE2" i="1"/>
  <c r="AAE3" i="1" s="1"/>
  <c r="AAM21" i="1"/>
  <c r="AAM2" i="1"/>
  <c r="AAM3" i="1" s="1"/>
  <c r="AAM24" i="1"/>
  <c r="AAQ21" i="1"/>
  <c r="AAQ2" i="1"/>
  <c r="AAQ3" i="1" s="1"/>
  <c r="AAU21" i="1"/>
  <c r="AAU2" i="1"/>
  <c r="AAU3" i="1" s="1"/>
  <c r="ABC21" i="1"/>
  <c r="ABC2" i="1"/>
  <c r="ABC3" i="1" s="1"/>
  <c r="ABC24" i="1"/>
  <c r="ABG21" i="1"/>
  <c r="ABG2" i="1"/>
  <c r="ABG3" i="1" s="1"/>
  <c r="F45" i="1"/>
  <c r="F43" i="1"/>
  <c r="I33" i="1"/>
  <c r="BU33" i="1"/>
  <c r="BU45" i="1" s="1"/>
  <c r="AR34" i="1"/>
  <c r="DD34" i="1"/>
  <c r="DE34" i="1" s="1"/>
  <c r="IB34" i="1"/>
  <c r="KN34" i="1"/>
  <c r="MZ34" i="1"/>
  <c r="PL34" i="1"/>
  <c r="RX34" i="1"/>
  <c r="UJ34" i="1"/>
  <c r="WV34" i="1"/>
  <c r="ZH34" i="1"/>
  <c r="GR31" i="1"/>
  <c r="GV31" i="1"/>
  <c r="GZ31" i="1"/>
  <c r="HD31" i="1"/>
  <c r="HH31" i="1"/>
  <c r="HL31" i="1"/>
  <c r="HP31" i="1"/>
  <c r="HT31" i="1"/>
  <c r="HX31" i="1"/>
  <c r="IB31" i="1"/>
  <c r="IF31" i="1"/>
  <c r="IJ31" i="1"/>
  <c r="IN31" i="1"/>
  <c r="IR31" i="1"/>
  <c r="IV31" i="1"/>
  <c r="IZ31" i="1"/>
  <c r="JD31" i="1"/>
  <c r="JH31" i="1"/>
  <c r="JL31" i="1"/>
  <c r="JP31" i="1"/>
  <c r="JT31" i="1"/>
  <c r="JX31" i="1"/>
  <c r="KB31" i="1"/>
  <c r="KF31" i="1"/>
  <c r="KJ31" i="1"/>
  <c r="KN31" i="1"/>
  <c r="KR31" i="1"/>
  <c r="KV31" i="1"/>
  <c r="KZ31" i="1"/>
  <c r="LD31" i="1"/>
  <c r="LH31" i="1"/>
  <c r="LL31" i="1"/>
  <c r="LP31" i="1"/>
  <c r="LT31" i="1"/>
  <c r="LX31" i="1"/>
  <c r="MB31" i="1"/>
  <c r="MF31" i="1"/>
  <c r="MJ31" i="1"/>
  <c r="MN31" i="1"/>
  <c r="MR31" i="1"/>
  <c r="MV31" i="1"/>
  <c r="MZ31" i="1"/>
  <c r="ND31" i="1"/>
  <c r="NH31" i="1"/>
  <c r="NL31" i="1"/>
  <c r="NP31" i="1"/>
  <c r="NT31" i="1"/>
  <c r="NX31" i="1"/>
  <c r="OB31" i="1"/>
  <c r="OF31" i="1"/>
  <c r="OJ31" i="1"/>
  <c r="ON31" i="1"/>
  <c r="OR31" i="1"/>
  <c r="OV31" i="1"/>
  <c r="OZ31" i="1"/>
  <c r="PD31" i="1"/>
  <c r="PH31" i="1"/>
  <c r="PL31" i="1"/>
  <c r="PP31" i="1"/>
  <c r="PT31" i="1"/>
  <c r="PX31" i="1"/>
  <c r="QB31" i="1"/>
  <c r="QF31" i="1"/>
  <c r="QJ31" i="1"/>
  <c r="QN31" i="1"/>
  <c r="QR31" i="1"/>
  <c r="QV31" i="1"/>
  <c r="QZ31" i="1"/>
  <c r="RD31" i="1"/>
  <c r="RH31" i="1"/>
  <c r="RL31" i="1"/>
  <c r="RP31" i="1"/>
  <c r="RT31" i="1"/>
  <c r="RX31" i="1"/>
  <c r="SB31" i="1"/>
  <c r="SF31" i="1"/>
  <c r="SJ31" i="1"/>
  <c r="SN31" i="1"/>
  <c r="SR31" i="1"/>
  <c r="SV31" i="1"/>
  <c r="SZ31" i="1"/>
  <c r="TD31" i="1"/>
  <c r="TH31" i="1"/>
  <c r="TL31" i="1"/>
  <c r="TP31" i="1"/>
  <c r="TT31" i="1"/>
  <c r="TX31" i="1"/>
  <c r="UB31" i="1"/>
  <c r="UF31" i="1"/>
  <c r="UJ31" i="1"/>
  <c r="UN31" i="1"/>
  <c r="UR31" i="1"/>
  <c r="UV31" i="1"/>
  <c r="UZ31" i="1"/>
  <c r="VD31" i="1"/>
  <c r="VH31" i="1"/>
  <c r="VL31" i="1"/>
  <c r="VP31" i="1"/>
  <c r="VT31" i="1"/>
  <c r="VX31" i="1"/>
  <c r="WB31" i="1"/>
  <c r="WF31" i="1"/>
  <c r="WJ31" i="1"/>
  <c r="WN31" i="1"/>
  <c r="WR31" i="1"/>
  <c r="WV31" i="1"/>
  <c r="WZ31" i="1"/>
  <c r="XD31" i="1"/>
  <c r="XH31" i="1"/>
  <c r="XL31" i="1"/>
  <c r="XP31" i="1"/>
  <c r="XT31" i="1"/>
  <c r="XX31" i="1"/>
  <c r="YB31" i="1"/>
  <c r="YF31" i="1"/>
  <c r="YJ31" i="1"/>
  <c r="YN31" i="1"/>
  <c r="YR31" i="1"/>
  <c r="YV31" i="1"/>
  <c r="YZ31" i="1"/>
  <c r="ZD31" i="1"/>
  <c r="ZH31" i="1"/>
  <c r="ZL31" i="1"/>
  <c r="ZP31" i="1"/>
  <c r="ZT31" i="1"/>
  <c r="ZX31" i="1"/>
  <c r="AAB31" i="1"/>
  <c r="AAF31" i="1"/>
  <c r="AAJ31" i="1"/>
  <c r="AAN31" i="1"/>
  <c r="AAR31" i="1"/>
  <c r="AAV31" i="1"/>
  <c r="AAZ31" i="1"/>
  <c r="ABD31" i="1"/>
  <c r="F48" i="1"/>
  <c r="F46" i="1"/>
  <c r="D30" i="1"/>
  <c r="ABI24" i="1"/>
  <c r="ABE24" i="1"/>
  <c r="ABA24" i="1"/>
  <c r="AAW24" i="1"/>
  <c r="AAS24" i="1"/>
  <c r="AAO24" i="1"/>
  <c r="AAK24" i="1"/>
  <c r="AAG24" i="1"/>
  <c r="AAC24" i="1"/>
  <c r="ZY24" i="1"/>
  <c r="ZU24" i="1"/>
  <c r="ZQ24" i="1"/>
  <c r="ZM24" i="1"/>
  <c r="ZI24" i="1"/>
  <c r="ZE24" i="1"/>
  <c r="ZA24" i="1"/>
  <c r="YW24" i="1"/>
  <c r="YS24" i="1"/>
  <c r="YO24" i="1"/>
  <c r="YK24" i="1"/>
  <c r="YG24" i="1"/>
  <c r="YC24" i="1"/>
  <c r="XY24" i="1"/>
  <c r="XU24" i="1"/>
  <c r="XQ24" i="1"/>
  <c r="XM24" i="1"/>
  <c r="XI24" i="1"/>
  <c r="XE24" i="1"/>
  <c r="XA24" i="1"/>
  <c r="WW24" i="1"/>
  <c r="WS24" i="1"/>
  <c r="WO24" i="1"/>
  <c r="WK24" i="1"/>
  <c r="WG24" i="1"/>
  <c r="WC24" i="1"/>
  <c r="VY24" i="1"/>
  <c r="VU24" i="1"/>
  <c r="VQ24" i="1"/>
  <c r="VM24" i="1"/>
  <c r="VI24" i="1"/>
  <c r="VE24" i="1"/>
  <c r="VA24" i="1"/>
  <c r="UW24" i="1"/>
  <c r="US24" i="1"/>
  <c r="UO24" i="1"/>
  <c r="UK24" i="1"/>
  <c r="UG24" i="1"/>
  <c r="UC24" i="1"/>
  <c r="TY24" i="1"/>
  <c r="TU24" i="1"/>
  <c r="TQ24" i="1"/>
  <c r="TM24" i="1"/>
  <c r="TI24" i="1"/>
  <c r="TE24" i="1"/>
  <c r="TA24" i="1"/>
  <c r="SW24" i="1"/>
  <c r="SS24" i="1"/>
  <c r="SO24" i="1"/>
  <c r="SK24" i="1"/>
  <c r="SG24" i="1"/>
  <c r="SC24" i="1"/>
  <c r="RY24" i="1"/>
  <c r="RU24" i="1"/>
  <c r="RQ24" i="1"/>
  <c r="RM24" i="1"/>
  <c r="RI24" i="1"/>
  <c r="RE24" i="1"/>
  <c r="RA24" i="1"/>
  <c r="QW24" i="1"/>
  <c r="QS24" i="1"/>
  <c r="QO24" i="1"/>
  <c r="QK24" i="1"/>
  <c r="QG24" i="1"/>
  <c r="QC24" i="1"/>
  <c r="PY24" i="1"/>
  <c r="PU24" i="1"/>
  <c r="PQ24" i="1"/>
  <c r="PM24" i="1"/>
  <c r="PI24" i="1"/>
  <c r="PE24" i="1"/>
  <c r="PA24" i="1"/>
  <c r="OW24" i="1"/>
  <c r="OS24" i="1"/>
  <c r="OO24" i="1"/>
  <c r="OK24" i="1"/>
  <c r="OG24" i="1"/>
  <c r="OC24" i="1"/>
  <c r="NY24" i="1"/>
  <c r="NU24" i="1"/>
  <c r="NQ24" i="1"/>
  <c r="NM24" i="1"/>
  <c r="NI24" i="1"/>
  <c r="NE24" i="1"/>
  <c r="NA24" i="1"/>
  <c r="MW24" i="1"/>
  <c r="MS24" i="1"/>
  <c r="MO24" i="1"/>
  <c r="MK24" i="1"/>
  <c r="MG24" i="1"/>
  <c r="MC24" i="1"/>
  <c r="LY24" i="1"/>
  <c r="LU24" i="1"/>
  <c r="LQ24" i="1"/>
  <c r="LM24" i="1"/>
  <c r="LI24" i="1"/>
  <c r="LE24" i="1"/>
  <c r="LA24" i="1"/>
  <c r="KW24" i="1"/>
  <c r="KS24" i="1"/>
  <c r="KO24" i="1"/>
  <c r="KK24" i="1"/>
  <c r="KG24" i="1"/>
  <c r="KC24" i="1"/>
  <c r="JY24" i="1"/>
  <c r="JU24" i="1"/>
  <c r="JQ24" i="1"/>
  <c r="JM24" i="1"/>
  <c r="JI24" i="1"/>
  <c r="JE24" i="1"/>
  <c r="JA24" i="1"/>
  <c r="IW24" i="1"/>
  <c r="IS24" i="1"/>
  <c r="IO24" i="1"/>
  <c r="IK24" i="1"/>
  <c r="IG24" i="1"/>
  <c r="IC24" i="1"/>
  <c r="HY24" i="1"/>
  <c r="HU24" i="1"/>
  <c r="HQ24" i="1"/>
  <c r="HM24" i="1"/>
  <c r="HI24" i="1"/>
  <c r="HE24" i="1"/>
  <c r="HA24" i="1"/>
  <c r="GW24" i="1"/>
  <c r="GS24" i="1"/>
  <c r="GO24" i="1"/>
  <c r="GK24" i="1"/>
  <c r="GG24" i="1"/>
  <c r="GC24" i="1"/>
  <c r="FY24" i="1"/>
  <c r="FU24" i="1"/>
  <c r="FQ24" i="1"/>
  <c r="FM24" i="1"/>
  <c r="FI24" i="1"/>
  <c r="FE24" i="1"/>
  <c r="FA24" i="1"/>
  <c r="EW24" i="1"/>
  <c r="ES24" i="1"/>
  <c r="EO24" i="1"/>
  <c r="EK24" i="1"/>
  <c r="EG24" i="1"/>
  <c r="EC24" i="1"/>
  <c r="DY24" i="1"/>
  <c r="DU24" i="1"/>
  <c r="DQ24" i="1"/>
  <c r="F21" i="1"/>
  <c r="J21" i="1"/>
  <c r="N21" i="1"/>
  <c r="R21" i="1"/>
  <c r="V21" i="1"/>
  <c r="Z21" i="1"/>
  <c r="AD21" i="1"/>
  <c r="AH21" i="1"/>
  <c r="AL21" i="1"/>
  <c r="AP21" i="1"/>
  <c r="AT21" i="1"/>
  <c r="AX21" i="1"/>
  <c r="BB21" i="1"/>
  <c r="BF21" i="1"/>
  <c r="BJ21" i="1"/>
  <c r="BN21" i="1"/>
  <c r="BR21" i="1"/>
  <c r="BV21" i="1"/>
  <c r="BZ21" i="1"/>
  <c r="CD21" i="1"/>
  <c r="CH21" i="1"/>
  <c r="CL21" i="1"/>
  <c r="CP21" i="1"/>
  <c r="CT21" i="1"/>
  <c r="CX21" i="1"/>
  <c r="DB21" i="1"/>
  <c r="DF21" i="1"/>
  <c r="DJ21" i="1"/>
  <c r="DN21" i="1"/>
  <c r="DR21" i="1"/>
  <c r="DV21" i="1"/>
  <c r="DZ21" i="1"/>
  <c r="ED21" i="1"/>
  <c r="EH21" i="1"/>
  <c r="EL21" i="1"/>
  <c r="EP21" i="1"/>
  <c r="ET21" i="1"/>
  <c r="EX21" i="1"/>
  <c r="FB21" i="1"/>
  <c r="FF21" i="1"/>
  <c r="FJ21" i="1"/>
  <c r="FN21" i="1"/>
  <c r="FR21" i="1"/>
  <c r="FV21" i="1"/>
  <c r="FZ21" i="1"/>
  <c r="GD21" i="1"/>
  <c r="GH21" i="1"/>
  <c r="GL21" i="1"/>
  <c r="GP21" i="1"/>
  <c r="GT21" i="1"/>
  <c r="GX21" i="1"/>
  <c r="HB21" i="1"/>
  <c r="HF21" i="1"/>
  <c r="HJ21" i="1"/>
  <c r="HN21" i="1"/>
  <c r="HR21" i="1"/>
  <c r="HV21" i="1"/>
  <c r="HZ21" i="1"/>
  <c r="ID21" i="1"/>
  <c r="IH21" i="1"/>
  <c r="IL21" i="1"/>
  <c r="IP21" i="1"/>
  <c r="IT21" i="1"/>
  <c r="IX21" i="1"/>
  <c r="JB21" i="1"/>
  <c r="JF21" i="1"/>
  <c r="JJ21" i="1"/>
  <c r="JN21" i="1"/>
  <c r="JR21" i="1"/>
  <c r="JV21" i="1"/>
  <c r="JZ21" i="1"/>
  <c r="KD21" i="1"/>
  <c r="KH21" i="1"/>
  <c r="KL21" i="1"/>
  <c r="KP21" i="1"/>
  <c r="KT21" i="1"/>
  <c r="KX21" i="1"/>
  <c r="LB21" i="1"/>
  <c r="LF21" i="1"/>
  <c r="LJ21" i="1"/>
  <c r="LN21" i="1"/>
  <c r="LR21" i="1"/>
  <c r="LV21" i="1"/>
  <c r="LZ21" i="1"/>
  <c r="MD21" i="1"/>
  <c r="MH21" i="1"/>
  <c r="ML21" i="1"/>
  <c r="MP21" i="1"/>
  <c r="MT21" i="1"/>
  <c r="MX21" i="1"/>
  <c r="NB21" i="1"/>
  <c r="NF21" i="1"/>
  <c r="NJ21" i="1"/>
  <c r="NN21" i="1"/>
  <c r="NR21" i="1"/>
  <c r="NV21" i="1"/>
  <c r="NZ21" i="1"/>
  <c r="OD21" i="1"/>
  <c r="OH21" i="1"/>
  <c r="OL21" i="1"/>
  <c r="OP21" i="1"/>
  <c r="OT21" i="1"/>
  <c r="OX21" i="1"/>
  <c r="PB21" i="1"/>
  <c r="PF21" i="1"/>
  <c r="PJ21" i="1"/>
  <c r="PN21" i="1"/>
  <c r="PR21" i="1"/>
  <c r="PV21" i="1"/>
  <c r="PZ21" i="1"/>
  <c r="QD21" i="1"/>
  <c r="QH21" i="1"/>
  <c r="QL21" i="1"/>
  <c r="QP21" i="1"/>
  <c r="QT21" i="1"/>
  <c r="QX21" i="1"/>
  <c r="RB21" i="1"/>
  <c r="RF21" i="1"/>
  <c r="RJ21" i="1"/>
  <c r="RN21" i="1"/>
  <c r="RR21" i="1"/>
  <c r="RV21" i="1"/>
  <c r="RZ21" i="1"/>
  <c r="SD21" i="1"/>
  <c r="SH21" i="1"/>
  <c r="SL21" i="1"/>
  <c r="SP21" i="1"/>
  <c r="ST21" i="1"/>
  <c r="SX21" i="1"/>
  <c r="TB21" i="1"/>
  <c r="TF21" i="1"/>
  <c r="TJ21" i="1"/>
  <c r="TN21" i="1"/>
  <c r="TR21" i="1"/>
  <c r="TV21" i="1"/>
  <c r="TZ21" i="1"/>
  <c r="UD21" i="1"/>
  <c r="UH21" i="1"/>
  <c r="UL21" i="1"/>
  <c r="UP21" i="1"/>
  <c r="UT21" i="1"/>
  <c r="UX21" i="1"/>
  <c r="VB21" i="1"/>
  <c r="VF21" i="1"/>
  <c r="VJ21" i="1"/>
  <c r="VN21" i="1"/>
  <c r="VR21" i="1"/>
  <c r="VV21" i="1"/>
  <c r="VZ21" i="1"/>
  <c r="WD21" i="1"/>
  <c r="WH21" i="1"/>
  <c r="WL21" i="1"/>
  <c r="WP21" i="1"/>
  <c r="WT21" i="1"/>
  <c r="WX21" i="1"/>
  <c r="XB21" i="1"/>
  <c r="XF21" i="1"/>
  <c r="XJ21" i="1"/>
  <c r="XN21" i="1"/>
  <c r="XR21" i="1"/>
  <c r="XV21" i="1"/>
  <c r="XZ21" i="1"/>
  <c r="YD21" i="1"/>
  <c r="YH21" i="1"/>
  <c r="YL21" i="1"/>
  <c r="YP21" i="1"/>
  <c r="YT21" i="1"/>
  <c r="YX21" i="1"/>
  <c r="ZB21" i="1"/>
  <c r="ZF21" i="1"/>
  <c r="ZJ21" i="1"/>
  <c r="ZN21" i="1"/>
  <c r="ZR21" i="1"/>
  <c r="ZV21" i="1"/>
  <c r="ZZ21" i="1"/>
  <c r="AAD21" i="1"/>
  <c r="AAH21" i="1"/>
  <c r="AAL21" i="1"/>
  <c r="AAP21" i="1"/>
  <c r="AAT21" i="1"/>
  <c r="AAX21" i="1"/>
  <c r="ABB21" i="1"/>
  <c r="ABF21" i="1"/>
  <c r="F24" i="1"/>
  <c r="J24" i="1"/>
  <c r="N24" i="1"/>
  <c r="R24" i="1"/>
  <c r="V24" i="1"/>
  <c r="Z24" i="1"/>
  <c r="AD24" i="1"/>
  <c r="AH24" i="1"/>
  <c r="AL24" i="1"/>
  <c r="AP24" i="1"/>
  <c r="AT24" i="1"/>
  <c r="AX24" i="1"/>
  <c r="BB24" i="1"/>
  <c r="BF24" i="1"/>
  <c r="BJ24" i="1"/>
  <c r="BN24" i="1"/>
  <c r="BR24" i="1"/>
  <c r="BV24" i="1"/>
  <c r="BZ24" i="1"/>
  <c r="CD24" i="1"/>
  <c r="CH24" i="1"/>
  <c r="CL24" i="1"/>
  <c r="CP24" i="1"/>
  <c r="CT24" i="1"/>
  <c r="CX24" i="1"/>
  <c r="DB24" i="1"/>
  <c r="DF24" i="1"/>
  <c r="DJ24" i="1"/>
  <c r="DN24" i="1"/>
  <c r="ED24" i="1"/>
  <c r="ET24" i="1"/>
  <c r="FJ24" i="1"/>
  <c r="FZ24" i="1"/>
  <c r="GP24" i="1"/>
  <c r="HF24" i="1"/>
  <c r="HV24" i="1"/>
  <c r="IL24" i="1"/>
  <c r="JB24" i="1"/>
  <c r="JR24" i="1"/>
  <c r="KH24" i="1"/>
  <c r="KX24" i="1"/>
  <c r="LN24" i="1"/>
  <c r="MD24" i="1"/>
  <c r="MT24" i="1"/>
  <c r="NJ24" i="1"/>
  <c r="NZ24" i="1"/>
  <c r="OP24" i="1"/>
  <c r="PF24" i="1"/>
  <c r="PV24" i="1"/>
  <c r="QL24" i="1"/>
  <c r="RB24" i="1"/>
  <c r="RR24" i="1"/>
  <c r="SH24" i="1"/>
  <c r="SX24" i="1"/>
  <c r="TN24" i="1"/>
  <c r="UD24" i="1"/>
  <c r="UT24" i="1"/>
  <c r="VJ24" i="1"/>
  <c r="VZ24" i="1"/>
  <c r="WP24" i="1"/>
  <c r="XF24" i="1"/>
  <c r="XV24" i="1"/>
  <c r="YL24" i="1"/>
  <c r="ZB24" i="1"/>
  <c r="ZR24" i="1"/>
  <c r="AAH24" i="1"/>
  <c r="AAX24" i="1"/>
  <c r="H31" i="1"/>
  <c r="L31" i="1"/>
  <c r="P31" i="1"/>
  <c r="T31" i="1"/>
  <c r="X31" i="1"/>
  <c r="AB31" i="1"/>
  <c r="AF31" i="1"/>
  <c r="AJ31" i="1"/>
  <c r="AN31" i="1"/>
  <c r="AR31" i="1"/>
  <c r="AV31" i="1"/>
  <c r="AZ31" i="1"/>
  <c r="BD31" i="1"/>
  <c r="BH31" i="1"/>
  <c r="BL31" i="1"/>
  <c r="BP31" i="1"/>
  <c r="BT31" i="1"/>
  <c r="BX31" i="1"/>
  <c r="CB31" i="1"/>
  <c r="CF31" i="1"/>
  <c r="CJ31" i="1"/>
  <c r="CN31" i="1"/>
  <c r="CR31" i="1"/>
  <c r="CV31" i="1"/>
  <c r="CZ31" i="1"/>
  <c r="DD31" i="1"/>
  <c r="DH31" i="1"/>
  <c r="DL31" i="1"/>
  <c r="DP31" i="1"/>
  <c r="DT31" i="1"/>
  <c r="DX31" i="1"/>
  <c r="EB31" i="1"/>
  <c r="EF31" i="1"/>
  <c r="EJ31" i="1"/>
  <c r="EN31" i="1"/>
  <c r="ER31" i="1"/>
  <c r="EV31" i="1"/>
  <c r="EZ31" i="1"/>
  <c r="FD31" i="1"/>
  <c r="FH31" i="1"/>
  <c r="FL31" i="1"/>
  <c r="FP31" i="1"/>
  <c r="FT31" i="1"/>
  <c r="FX31" i="1"/>
  <c r="GB31" i="1"/>
  <c r="GF31" i="1"/>
  <c r="GJ31" i="1"/>
  <c r="GN31" i="1"/>
  <c r="G20" i="1"/>
  <c r="DZ24" i="1"/>
  <c r="EP24" i="1"/>
  <c r="FF24" i="1"/>
  <c r="FV24" i="1"/>
  <c r="GL24" i="1"/>
  <c r="HB24" i="1"/>
  <c r="HR24" i="1"/>
  <c r="IH24" i="1"/>
  <c r="IX24" i="1"/>
  <c r="JN24" i="1"/>
  <c r="KD24" i="1"/>
  <c r="KT24" i="1"/>
  <c r="LJ24" i="1"/>
  <c r="LZ24" i="1"/>
  <c r="MP24" i="1"/>
  <c r="NF24" i="1"/>
  <c r="NV24" i="1"/>
  <c r="OL24" i="1"/>
  <c r="PB24" i="1"/>
  <c r="PR24" i="1"/>
  <c r="QH24" i="1"/>
  <c r="QX24" i="1"/>
  <c r="RN24" i="1"/>
  <c r="SD24" i="1"/>
  <c r="ST24" i="1"/>
  <c r="TJ24" i="1"/>
  <c r="TZ24" i="1"/>
  <c r="UP24" i="1"/>
  <c r="VF24" i="1"/>
  <c r="VV24" i="1"/>
  <c r="WL24" i="1"/>
  <c r="XB24" i="1"/>
  <c r="XR24" i="1"/>
  <c r="YH24" i="1"/>
  <c r="YX24" i="1"/>
  <c r="ZN24" i="1"/>
  <c r="AAD24" i="1"/>
  <c r="AAT24" i="1"/>
  <c r="I31" i="1"/>
  <c r="M31" i="1"/>
  <c r="Q31" i="1"/>
  <c r="U31" i="1"/>
  <c r="Y31" i="1"/>
  <c r="AC31" i="1"/>
  <c r="AG31" i="1"/>
  <c r="AK31" i="1"/>
  <c r="AO31" i="1"/>
  <c r="AS31" i="1"/>
  <c r="AW31" i="1"/>
  <c r="BA31" i="1"/>
  <c r="BE31" i="1"/>
  <c r="BI31" i="1"/>
  <c r="BM31" i="1"/>
  <c r="BQ31" i="1"/>
  <c r="BU31" i="1"/>
  <c r="BY31" i="1"/>
  <c r="CC31" i="1"/>
  <c r="CG31" i="1"/>
  <c r="CK31" i="1"/>
  <c r="CO31" i="1"/>
  <c r="CS31" i="1"/>
  <c r="CW31" i="1"/>
  <c r="DA31" i="1"/>
  <c r="DE31" i="1"/>
  <c r="DI31" i="1"/>
  <c r="DM31" i="1"/>
  <c r="DQ31" i="1"/>
  <c r="DU31" i="1"/>
  <c r="DY31" i="1"/>
  <c r="EC31" i="1"/>
  <c r="EG31" i="1"/>
  <c r="EK31" i="1"/>
  <c r="EO31" i="1"/>
  <c r="ES31" i="1"/>
  <c r="EW31" i="1"/>
  <c r="FA31" i="1"/>
  <c r="FE31" i="1"/>
  <c r="FI31" i="1"/>
  <c r="FM31" i="1"/>
  <c r="FQ31" i="1"/>
  <c r="FU31" i="1"/>
  <c r="FY31" i="1"/>
  <c r="GC31" i="1"/>
  <c r="GG31" i="1"/>
  <c r="GK31" i="1"/>
  <c r="GO31" i="1"/>
  <c r="GS31" i="1"/>
  <c r="GW31" i="1"/>
  <c r="HA31" i="1"/>
  <c r="HE31" i="1"/>
  <c r="HI31" i="1"/>
  <c r="HM31" i="1"/>
  <c r="HQ31" i="1"/>
  <c r="HU31" i="1"/>
  <c r="HY31" i="1"/>
  <c r="IC31" i="1"/>
  <c r="IG31" i="1"/>
  <c r="IK31" i="1"/>
  <c r="IO31" i="1"/>
  <c r="IS31" i="1"/>
  <c r="IW31" i="1"/>
  <c r="JA31" i="1"/>
  <c r="JE31" i="1"/>
  <c r="JI31" i="1"/>
  <c r="JM31" i="1"/>
  <c r="JQ31" i="1"/>
  <c r="JU31" i="1"/>
  <c r="JY31" i="1"/>
  <c r="KC31" i="1"/>
  <c r="KG31" i="1"/>
  <c r="KK31" i="1"/>
  <c r="KO31" i="1"/>
  <c r="KS31" i="1"/>
  <c r="KW31" i="1"/>
  <c r="LA31" i="1"/>
  <c r="LE31" i="1"/>
  <c r="LI31" i="1"/>
  <c r="LM31" i="1"/>
  <c r="LQ31" i="1"/>
  <c r="LU31" i="1"/>
  <c r="LY31" i="1"/>
  <c r="MC31" i="1"/>
  <c r="MG31" i="1"/>
  <c r="MK31" i="1"/>
  <c r="MO31" i="1"/>
  <c r="MS31" i="1"/>
  <c r="MW31" i="1"/>
  <c r="NA31" i="1"/>
  <c r="NE31" i="1"/>
  <c r="NI31" i="1"/>
  <c r="NM31" i="1"/>
  <c r="NQ31" i="1"/>
  <c r="NU31" i="1"/>
  <c r="NY31" i="1"/>
  <c r="OC31" i="1"/>
  <c r="OG31" i="1"/>
  <c r="OK31" i="1"/>
  <c r="OO31" i="1"/>
  <c r="OS31" i="1"/>
  <c r="OW31" i="1"/>
  <c r="PA31" i="1"/>
  <c r="PE31" i="1"/>
  <c r="PI31" i="1"/>
  <c r="PM31" i="1"/>
  <c r="PQ31" i="1"/>
  <c r="PU31" i="1"/>
  <c r="PY31" i="1"/>
  <c r="QC31" i="1"/>
  <c r="QG31" i="1"/>
  <c r="QK31" i="1"/>
  <c r="QO31" i="1"/>
  <c r="QS31" i="1"/>
  <c r="QW31" i="1"/>
  <c r="RA31" i="1"/>
  <c r="RE31" i="1"/>
  <c r="RI31" i="1"/>
  <c r="RM31" i="1"/>
  <c r="RQ31" i="1"/>
  <c r="RU31" i="1"/>
  <c r="RY31" i="1"/>
  <c r="SC31" i="1"/>
  <c r="SG31" i="1"/>
  <c r="SK31" i="1"/>
  <c r="SO31" i="1"/>
  <c r="SS31" i="1"/>
  <c r="SW31" i="1"/>
  <c r="TA31" i="1"/>
  <c r="TE31" i="1"/>
  <c r="TI31" i="1"/>
  <c r="TM31" i="1"/>
  <c r="TQ31" i="1"/>
  <c r="TU31" i="1"/>
  <c r="TY31" i="1"/>
  <c r="UC31" i="1"/>
  <c r="UG31" i="1"/>
  <c r="UK31" i="1"/>
  <c r="UO31" i="1"/>
  <c r="US31" i="1"/>
  <c r="UW31" i="1"/>
  <c r="VA31" i="1"/>
  <c r="VE31" i="1"/>
  <c r="VI31" i="1"/>
  <c r="VM31" i="1"/>
  <c r="VQ31" i="1"/>
  <c r="VU31" i="1"/>
  <c r="VY31" i="1"/>
  <c r="WC31" i="1"/>
  <c r="WG31" i="1"/>
  <c r="WK31" i="1"/>
  <c r="WO31" i="1"/>
  <c r="WS31" i="1"/>
  <c r="WW31" i="1"/>
  <c r="XA31" i="1"/>
  <c r="XE31" i="1"/>
  <c r="XI31" i="1"/>
  <c r="XM31" i="1"/>
  <c r="XQ31" i="1"/>
  <c r="XU31" i="1"/>
  <c r="XY31" i="1"/>
  <c r="YC31" i="1"/>
  <c r="YG31" i="1"/>
  <c r="YK31" i="1"/>
  <c r="YO31" i="1"/>
  <c r="YS31" i="1"/>
  <c r="YW31" i="1"/>
  <c r="ZA31" i="1"/>
  <c r="ZE31" i="1"/>
  <c r="ZI31" i="1"/>
  <c r="ZM31" i="1"/>
  <c r="ZQ31" i="1"/>
  <c r="ZU31" i="1"/>
  <c r="ZY31" i="1"/>
  <c r="AAC31" i="1"/>
  <c r="AAG31" i="1"/>
  <c r="AAK31" i="1"/>
  <c r="AAO31" i="1"/>
  <c r="AAS31" i="1"/>
  <c r="AAW31" i="1"/>
  <c r="ABA31" i="1"/>
  <c r="ABE31" i="1"/>
  <c r="ABI31" i="1"/>
  <c r="ABG41" i="1"/>
  <c r="AAQ41" i="1"/>
  <c r="AAE41" i="1"/>
  <c r="YY41" i="1"/>
  <c r="XC41" i="1"/>
  <c r="WY41" i="1"/>
  <c r="VS41" i="1"/>
  <c r="VC41" i="1"/>
  <c r="UM41" i="1"/>
  <c r="UA41" i="1"/>
  <c r="TK41" i="1"/>
  <c r="TG41" i="1"/>
  <c r="SQ41" i="1"/>
  <c r="SA41" i="1"/>
  <c r="RK41" i="1"/>
  <c r="QY41" i="1"/>
  <c r="QU41" i="1"/>
  <c r="PS41" i="1"/>
  <c r="PC41" i="1"/>
  <c r="NC41" i="1"/>
  <c r="MM41" i="1"/>
  <c r="KQ41" i="1"/>
  <c r="KA41" i="1"/>
  <c r="JK41" i="1"/>
  <c r="IY41" i="1"/>
  <c r="HO41" i="1"/>
  <c r="GY41" i="1"/>
  <c r="FS41" i="1"/>
  <c r="FG41" i="1"/>
  <c r="EQ41" i="1"/>
  <c r="EM41" i="1"/>
  <c r="AAZ41" i="1"/>
  <c r="AAJ41" i="1"/>
  <c r="ZD41" i="1"/>
  <c r="YN41" i="1"/>
  <c r="XX41" i="1"/>
  <c r="XH41" i="1"/>
  <c r="WB41" i="1"/>
  <c r="UV41" i="1"/>
  <c r="UF41" i="1"/>
  <c r="TP41" i="1"/>
  <c r="SJ41" i="1"/>
  <c r="RT41" i="1"/>
  <c r="RD41" i="1"/>
  <c r="QN41" i="1"/>
  <c r="PX41" i="1"/>
  <c r="PH41" i="1"/>
  <c r="OR41" i="1"/>
  <c r="OB41" i="1"/>
  <c r="NL41" i="1"/>
  <c r="MV41" i="1"/>
  <c r="KZ41" i="1"/>
  <c r="KJ41" i="1"/>
  <c r="JT41" i="1"/>
  <c r="JD41" i="1"/>
  <c r="ABD41" i="1"/>
  <c r="AAN41" i="1"/>
  <c r="ZX41" i="1"/>
  <c r="ZH41" i="1"/>
  <c r="YR41" i="1"/>
  <c r="YB41" i="1"/>
  <c r="XL41" i="1"/>
  <c r="WV41" i="1"/>
  <c r="WF41" i="1"/>
  <c r="VP41" i="1"/>
  <c r="UZ41" i="1"/>
  <c r="UJ41" i="1"/>
  <c r="TT41" i="1"/>
  <c r="TD41" i="1"/>
  <c r="SN41" i="1"/>
  <c r="RX41" i="1"/>
  <c r="RH41" i="1"/>
  <c r="QR41" i="1"/>
  <c r="QB41" i="1"/>
  <c r="PL41" i="1"/>
  <c r="OV41" i="1"/>
  <c r="OF41" i="1"/>
  <c r="NP41" i="1"/>
  <c r="MZ41" i="1"/>
  <c r="MJ41" i="1"/>
  <c r="LT41" i="1"/>
  <c r="LD41" i="1"/>
  <c r="KN41" i="1"/>
  <c r="JX41" i="1"/>
  <c r="JH41" i="1"/>
  <c r="IR41" i="1"/>
  <c r="IB41" i="1"/>
  <c r="ABB41" i="1"/>
  <c r="AAR41" i="1"/>
  <c r="AAL41" i="1"/>
  <c r="AAB41" i="1"/>
  <c r="ZV41" i="1"/>
  <c r="ZL41" i="1"/>
  <c r="ZF41" i="1"/>
  <c r="YF41" i="1"/>
  <c r="XZ41" i="1"/>
  <c r="XP41" i="1"/>
  <c r="WZ41" i="1"/>
  <c r="WT41" i="1"/>
  <c r="WD41" i="1"/>
  <c r="VT41" i="1"/>
  <c r="VN41" i="1"/>
  <c r="VD41" i="1"/>
  <c r="UX41" i="1"/>
  <c r="UN41" i="1"/>
  <c r="UH41" i="1"/>
  <c r="TR41" i="1"/>
  <c r="TH41" i="1"/>
  <c r="TB41" i="1"/>
  <c r="SR41" i="1"/>
  <c r="SL41" i="1"/>
  <c r="SB41" i="1"/>
  <c r="RV41" i="1"/>
  <c r="RF41" i="1"/>
  <c r="QV41" i="1"/>
  <c r="QP41" i="1"/>
  <c r="QF41" i="1"/>
  <c r="PZ41" i="1"/>
  <c r="PP41" i="1"/>
  <c r="PJ41" i="1"/>
  <c r="OJ41" i="1"/>
  <c r="OD41" i="1"/>
  <c r="NT41" i="1"/>
  <c r="NN41" i="1"/>
  <c r="ND41" i="1"/>
  <c r="MX41" i="1"/>
  <c r="MH41" i="1"/>
  <c r="LX41" i="1"/>
  <c r="LR41" i="1"/>
  <c r="LH41" i="1"/>
  <c r="KR41" i="1"/>
  <c r="KL41" i="1"/>
  <c r="JV41" i="1"/>
  <c r="JL41" i="1"/>
  <c r="IV41" i="1"/>
  <c r="AAV41" i="1"/>
  <c r="ZZ41" i="1"/>
  <c r="YJ41" i="1"/>
  <c r="XN41" i="1"/>
  <c r="VX41" i="1"/>
  <c r="VB41" i="1"/>
  <c r="SP41" i="1"/>
  <c r="QZ41" i="1"/>
  <c r="ON41" i="1"/>
  <c r="NR41" i="1"/>
  <c r="MB41" i="1"/>
  <c r="LF41" i="1"/>
  <c r="IT41" i="1"/>
  <c r="IN41" i="1"/>
  <c r="IF41" i="1"/>
  <c r="HT41" i="1"/>
  <c r="HD41" i="1"/>
  <c r="GX41" i="1"/>
  <c r="GN41" i="1"/>
  <c r="GH41" i="1"/>
  <c r="FR41" i="1"/>
  <c r="FH41" i="1"/>
  <c r="EL41" i="1"/>
  <c r="CF41" i="1"/>
  <c r="AZ41" i="1"/>
  <c r="Y41" i="1"/>
  <c r="T41" i="1"/>
  <c r="I41" i="1"/>
  <c r="AAP41" i="1"/>
  <c r="YD41" i="1"/>
  <c r="WN41" i="1"/>
  <c r="VR41" i="1"/>
  <c r="UB41" i="1"/>
  <c r="RP41" i="1"/>
  <c r="QT41" i="1"/>
  <c r="OH41" i="1"/>
  <c r="LV41" i="1"/>
  <c r="KF41" i="1"/>
  <c r="JJ41" i="1"/>
  <c r="ID41" i="1"/>
  <c r="HX41" i="1"/>
  <c r="HH41" i="1"/>
  <c r="GR41" i="1"/>
  <c r="GB41" i="1"/>
  <c r="FL41" i="1"/>
  <c r="EF41" i="1"/>
  <c r="DP41" i="1"/>
  <c r="DE41" i="1"/>
  <c r="CO41" i="1"/>
  <c r="BY41" i="1"/>
  <c r="BT41" i="1"/>
  <c r="BD41" i="1"/>
  <c r="AS41" i="1"/>
  <c r="AC41" i="1"/>
  <c r="X41" i="1"/>
  <c r="M41" i="1"/>
  <c r="H41" i="1"/>
  <c r="ABF41" i="1"/>
  <c r="ZP41" i="1"/>
  <c r="YT41" i="1"/>
  <c r="XD41" i="1"/>
  <c r="WH41" i="1"/>
  <c r="UR41" i="1"/>
  <c r="TV41" i="1"/>
  <c r="SF41" i="1"/>
  <c r="RJ41" i="1"/>
  <c r="PT41" i="1"/>
  <c r="OX41" i="1"/>
  <c r="NH41" i="1"/>
  <c r="KV41" i="1"/>
  <c r="JZ41" i="1"/>
  <c r="IP41" i="1"/>
  <c r="IJ41" i="1"/>
  <c r="GV41" i="1"/>
  <c r="GF41" i="1"/>
  <c r="EJ41" i="1"/>
  <c r="DI41" i="1"/>
  <c r="DD41" i="1"/>
  <c r="CS41" i="1"/>
  <c r="BX41" i="1"/>
  <c r="BM41" i="1"/>
  <c r="AW41" i="1"/>
  <c r="AR41" i="1"/>
  <c r="Q41" i="1"/>
  <c r="F41" i="1"/>
  <c r="AV41" i="1"/>
  <c r="BQ41" i="1"/>
  <c r="DH41" i="1"/>
  <c r="EX41" i="1"/>
  <c r="FT41" i="1"/>
  <c r="KP41" i="1"/>
  <c r="NX41" i="1"/>
  <c r="UL41" i="1"/>
  <c r="XT41" i="1"/>
  <c r="BA41" i="1"/>
  <c r="FD41" i="1"/>
  <c r="GT41" i="1"/>
  <c r="LL41" i="1"/>
  <c r="RZ41" i="1"/>
  <c r="VH41" i="1"/>
  <c r="P41" i="1"/>
  <c r="CB41" i="1"/>
  <c r="CW41" i="1"/>
  <c r="DR41" i="1"/>
  <c r="GZ41" i="1"/>
  <c r="PN41" i="1"/>
  <c r="SV41" i="1"/>
  <c r="ZJ41" i="1"/>
  <c r="H43" i="1"/>
  <c r="M43" i="1"/>
  <c r="X43" i="1"/>
  <c r="AC43" i="1"/>
  <c r="AS43" i="1"/>
  <c r="BD43" i="1"/>
  <c r="BT43" i="1"/>
  <c r="BY43" i="1"/>
  <c r="CO43" i="1"/>
  <c r="CZ43" i="1"/>
  <c r="DP43" i="1"/>
  <c r="EF43" i="1"/>
  <c r="FL43" i="1"/>
  <c r="GB43" i="1"/>
  <c r="GR43" i="1"/>
  <c r="HX43" i="1"/>
  <c r="IN43" i="1"/>
  <c r="JD43" i="1"/>
  <c r="JT43" i="1"/>
  <c r="KJ43" i="1"/>
  <c r="LD43" i="1"/>
  <c r="MJ43" i="1"/>
  <c r="NP43" i="1"/>
  <c r="OV43" i="1"/>
  <c r="T43" i="1"/>
  <c r="Y43" i="1"/>
  <c r="AJ43" i="1"/>
  <c r="AO43" i="1"/>
  <c r="BE43" i="1"/>
  <c r="BU43" i="1"/>
  <c r="CF43" i="1"/>
  <c r="CV43" i="1"/>
  <c r="DA43" i="1"/>
  <c r="DV43" i="1"/>
  <c r="ER43" i="1"/>
  <c r="FH43" i="1"/>
  <c r="FR43" i="1"/>
  <c r="GX43" i="1"/>
  <c r="HD43" i="1"/>
  <c r="HN43" i="1"/>
  <c r="HT43" i="1"/>
  <c r="ID43" i="1"/>
  <c r="IT43" i="1"/>
  <c r="IZ43" i="1"/>
  <c r="JJ43" i="1"/>
  <c r="JP43" i="1"/>
  <c r="JZ43" i="1"/>
  <c r="KP43" i="1"/>
  <c r="KV43" i="1"/>
  <c r="LP43" i="1"/>
  <c r="MV43" i="1"/>
  <c r="OB43" i="1"/>
  <c r="ABH43" i="1"/>
  <c r="ABD43" i="1"/>
  <c r="AAV43" i="1"/>
  <c r="AAR43" i="1"/>
  <c r="AAN43" i="1"/>
  <c r="AAJ43" i="1"/>
  <c r="AAF43" i="1"/>
  <c r="AAB43" i="1"/>
  <c r="ZX43" i="1"/>
  <c r="ZT43" i="1"/>
  <c r="ZP43" i="1"/>
  <c r="ZD43" i="1"/>
  <c r="YZ43" i="1"/>
  <c r="YV43" i="1"/>
  <c r="YR43" i="1"/>
  <c r="YN43" i="1"/>
  <c r="YJ43" i="1"/>
  <c r="YF43" i="1"/>
  <c r="YB43" i="1"/>
  <c r="XX43" i="1"/>
  <c r="XP43" i="1"/>
  <c r="XL43" i="1"/>
  <c r="XH43" i="1"/>
  <c r="WR43" i="1"/>
  <c r="WJ43" i="1"/>
  <c r="WF43" i="1"/>
  <c r="WB43" i="1"/>
  <c r="VX43" i="1"/>
  <c r="VT43" i="1"/>
  <c r="VP43" i="1"/>
  <c r="VL43" i="1"/>
  <c r="VH43" i="1"/>
  <c r="VD43" i="1"/>
  <c r="UZ43" i="1"/>
  <c r="UV43" i="1"/>
  <c r="UR43" i="1"/>
  <c r="UF43" i="1"/>
  <c r="UB43" i="1"/>
  <c r="TX43" i="1"/>
  <c r="TT43" i="1"/>
  <c r="TP43" i="1"/>
  <c r="TL43" i="1"/>
  <c r="TH43" i="1"/>
  <c r="TD43" i="1"/>
  <c r="SZ43" i="1"/>
  <c r="SV43" i="1"/>
  <c r="SR43" i="1"/>
  <c r="SN43" i="1"/>
  <c r="SJ43" i="1"/>
  <c r="RT43" i="1"/>
  <c r="RP43" i="1"/>
  <c r="RL43" i="1"/>
  <c r="RH43" i="1"/>
  <c r="RD43" i="1"/>
  <c r="QZ43" i="1"/>
  <c r="QV43" i="1"/>
  <c r="QR43" i="1"/>
  <c r="QN43" i="1"/>
  <c r="QJ43" i="1"/>
  <c r="AAU43" i="1"/>
  <c r="AAE43" i="1"/>
  <c r="ZK43" i="1"/>
  <c r="YY43" i="1"/>
  <c r="YE43" i="1"/>
  <c r="WI43" i="1"/>
  <c r="VC43" i="1"/>
  <c r="UM43" i="1"/>
  <c r="UA43" i="1"/>
  <c r="TG43" i="1"/>
  <c r="SU43" i="1"/>
  <c r="SQ43" i="1"/>
  <c r="SA43" i="1"/>
  <c r="RK43" i="1"/>
  <c r="QU43" i="1"/>
  <c r="QI43" i="1"/>
  <c r="PS43" i="1"/>
  <c r="PO43" i="1"/>
  <c r="PC43" i="1"/>
  <c r="OI43" i="1"/>
  <c r="NC43" i="1"/>
  <c r="LW43" i="1"/>
  <c r="LG43" i="1"/>
  <c r="KQ43" i="1"/>
  <c r="KA43" i="1"/>
  <c r="IY43" i="1"/>
  <c r="IE43" i="1"/>
  <c r="GY43" i="1"/>
  <c r="GI43" i="1"/>
  <c r="FG43" i="1"/>
  <c r="EQ43" i="1"/>
  <c r="EM43" i="1"/>
  <c r="ABF43" i="1"/>
  <c r="AAP43" i="1"/>
  <c r="YT43" i="1"/>
  <c r="YD43" i="1"/>
  <c r="XN43" i="1"/>
  <c r="WX43" i="1"/>
  <c r="VB43" i="1"/>
  <c r="UL43" i="1"/>
  <c r="TV43" i="1"/>
  <c r="TF43" i="1"/>
  <c r="RZ43" i="1"/>
  <c r="RJ43" i="1"/>
  <c r="QT43" i="1"/>
  <c r="QF43" i="1"/>
  <c r="PZ43" i="1"/>
  <c r="PP43" i="1"/>
  <c r="PJ43" i="1"/>
  <c r="OZ43" i="1"/>
  <c r="OT43" i="1"/>
  <c r="OJ43" i="1"/>
  <c r="NT43" i="1"/>
  <c r="NN43" i="1"/>
  <c r="ND43" i="1"/>
  <c r="MX43" i="1"/>
  <c r="MN43" i="1"/>
  <c r="MH43" i="1"/>
  <c r="LX43" i="1"/>
  <c r="LR43" i="1"/>
  <c r="LH43" i="1"/>
  <c r="LB43" i="1"/>
  <c r="QD43" i="1"/>
  <c r="PT43" i="1"/>
  <c r="PD43" i="1"/>
  <c r="OX43" i="1"/>
  <c r="ON43" i="1"/>
  <c r="OH43" i="1"/>
  <c r="NX43" i="1"/>
  <c r="NR43" i="1"/>
  <c r="NB43" i="1"/>
  <c r="MR43" i="1"/>
  <c r="ML43" i="1"/>
  <c r="MB43" i="1"/>
  <c r="LL43" i="1"/>
  <c r="LF43" i="1"/>
  <c r="AAL43" i="1"/>
  <c r="ZV43" i="1"/>
  <c r="ZF43" i="1"/>
  <c r="YP43" i="1"/>
  <c r="XZ43" i="1"/>
  <c r="XJ43" i="1"/>
  <c r="WT43" i="1"/>
  <c r="VN43" i="1"/>
  <c r="UH43" i="1"/>
  <c r="TR43" i="1"/>
  <c r="TB43" i="1"/>
  <c r="SL43" i="1"/>
  <c r="RV43" i="1"/>
  <c r="RF43" i="1"/>
  <c r="QP43" i="1"/>
  <c r="PX43" i="1"/>
  <c r="AK43" i="1"/>
  <c r="BL43" i="1"/>
  <c r="BQ43" i="1"/>
  <c r="CW43" i="1"/>
  <c r="DR43" i="1"/>
  <c r="DX43" i="1"/>
  <c r="FD43" i="1"/>
  <c r="FN43" i="1"/>
  <c r="GJ43" i="1"/>
  <c r="GT43" i="1"/>
  <c r="GZ43" i="1"/>
  <c r="HJ43" i="1"/>
  <c r="HP43" i="1"/>
  <c r="HZ43" i="1"/>
  <c r="IV43" i="1"/>
  <c r="JF43" i="1"/>
  <c r="JL43" i="1"/>
  <c r="JV43" i="1"/>
  <c r="KB43" i="1"/>
  <c r="LT43" i="1"/>
  <c r="OF43" i="1"/>
  <c r="ABF44" i="1"/>
  <c r="ABH45" i="1"/>
  <c r="ABD47" i="1"/>
  <c r="DR45" i="1"/>
  <c r="FN45" i="1"/>
  <c r="GT45" i="1"/>
  <c r="HJ45" i="1"/>
  <c r="HZ45" i="1"/>
  <c r="IV45" i="1"/>
  <c r="JL45" i="1"/>
  <c r="KB45" i="1"/>
  <c r="LH45" i="1"/>
  <c r="LX45" i="1"/>
  <c r="MN45" i="1"/>
  <c r="NT45" i="1"/>
  <c r="OJ45" i="1"/>
  <c r="OZ45" i="1"/>
  <c r="QF45" i="1"/>
  <c r="QV45" i="1"/>
  <c r="RL45" i="1"/>
  <c r="SR45" i="1"/>
  <c r="TH45" i="1"/>
  <c r="TX45" i="1"/>
  <c r="VD45" i="1"/>
  <c r="VT45" i="1"/>
  <c r="WJ45" i="1"/>
  <c r="XP45" i="1"/>
  <c r="YF45" i="1"/>
  <c r="YV45" i="1"/>
  <c r="AAB45" i="1"/>
  <c r="AAR45" i="1"/>
  <c r="AAU45" i="1"/>
  <c r="AAQ45" i="1"/>
  <c r="AAE45" i="1"/>
  <c r="ZK45" i="1"/>
  <c r="YY45" i="1"/>
  <c r="YE45" i="1"/>
  <c r="WY45" i="1"/>
  <c r="WI45" i="1"/>
  <c r="VS45" i="1"/>
  <c r="VC45" i="1"/>
  <c r="UM45" i="1"/>
  <c r="UA45" i="1"/>
  <c r="TG45" i="1"/>
  <c r="SU45" i="1"/>
  <c r="SQ45" i="1"/>
  <c r="SA45" i="1"/>
  <c r="RK45" i="1"/>
  <c r="QU45" i="1"/>
  <c r="QI45" i="1"/>
  <c r="PS45" i="1"/>
  <c r="PO45" i="1"/>
  <c r="PC45" i="1"/>
  <c r="OI45" i="1"/>
  <c r="NC45" i="1"/>
  <c r="LW45" i="1"/>
  <c r="LG45" i="1"/>
  <c r="KQ45" i="1"/>
  <c r="KA45" i="1"/>
  <c r="JK45" i="1"/>
  <c r="IY45" i="1"/>
  <c r="ABF45" i="1"/>
  <c r="ABB45" i="1"/>
  <c r="AAP45" i="1"/>
  <c r="AAL45" i="1"/>
  <c r="ZV45" i="1"/>
  <c r="ZF45" i="1"/>
  <c r="YT45" i="1"/>
  <c r="YP45" i="1"/>
  <c r="YD45" i="1"/>
  <c r="XZ45" i="1"/>
  <c r="XN45" i="1"/>
  <c r="XJ45" i="1"/>
  <c r="WX45" i="1"/>
  <c r="WT45" i="1"/>
  <c r="WD45" i="1"/>
  <c r="VN45" i="1"/>
  <c r="VB45" i="1"/>
  <c r="UX45" i="1"/>
  <c r="UL45" i="1"/>
  <c r="UH45" i="1"/>
  <c r="TV45" i="1"/>
  <c r="TR45" i="1"/>
  <c r="TF45" i="1"/>
  <c r="TB45" i="1"/>
  <c r="SL45" i="1"/>
  <c r="RZ45" i="1"/>
  <c r="RV45" i="1"/>
  <c r="RJ45" i="1"/>
  <c r="RF45" i="1"/>
  <c r="QT45" i="1"/>
  <c r="QP45" i="1"/>
  <c r="QD45" i="1"/>
  <c r="PZ45" i="1"/>
  <c r="PJ45" i="1"/>
  <c r="OX45" i="1"/>
  <c r="OT45" i="1"/>
  <c r="OH45" i="1"/>
  <c r="OD45" i="1"/>
  <c r="NR45" i="1"/>
  <c r="NN45" i="1"/>
  <c r="NB45" i="1"/>
  <c r="MX45" i="1"/>
  <c r="ML45" i="1"/>
  <c r="MH45" i="1"/>
  <c r="LR45" i="1"/>
  <c r="LB45" i="1"/>
  <c r="KP45" i="1"/>
  <c r="KL45" i="1"/>
  <c r="JZ45" i="1"/>
  <c r="JV45" i="1"/>
  <c r="JJ45" i="1"/>
  <c r="JF45" i="1"/>
  <c r="IT45" i="1"/>
  <c r="IP45" i="1"/>
  <c r="ABD45" i="1"/>
  <c r="AAV45" i="1"/>
  <c r="AAN45" i="1"/>
  <c r="AAF45" i="1"/>
  <c r="ZX45" i="1"/>
  <c r="ZP45" i="1"/>
  <c r="ZH45" i="1"/>
  <c r="YZ45" i="1"/>
  <c r="YR45" i="1"/>
  <c r="YJ45" i="1"/>
  <c r="YB45" i="1"/>
  <c r="XL45" i="1"/>
  <c r="WV45" i="1"/>
  <c r="WF45" i="1"/>
  <c r="VX45" i="1"/>
  <c r="VP45" i="1"/>
  <c r="VH45" i="1"/>
  <c r="UZ45" i="1"/>
  <c r="UR45" i="1"/>
  <c r="UJ45" i="1"/>
  <c r="UB45" i="1"/>
  <c r="TT45" i="1"/>
  <c r="TL45" i="1"/>
  <c r="TD45" i="1"/>
  <c r="SV45" i="1"/>
  <c r="SN45" i="1"/>
  <c r="RX45" i="1"/>
  <c r="RP45" i="1"/>
  <c r="RH45" i="1"/>
  <c r="QZ45" i="1"/>
  <c r="QR45" i="1"/>
  <c r="QJ45" i="1"/>
  <c r="QB45" i="1"/>
  <c r="PT45" i="1"/>
  <c r="PL45" i="1"/>
  <c r="PD45" i="1"/>
  <c r="OV45" i="1"/>
  <c r="ON45" i="1"/>
  <c r="OF45" i="1"/>
  <c r="NX45" i="1"/>
  <c r="NP45" i="1"/>
  <c r="MZ45" i="1"/>
  <c r="MR45" i="1"/>
  <c r="MJ45" i="1"/>
  <c r="MB45" i="1"/>
  <c r="LT45" i="1"/>
  <c r="LL45" i="1"/>
  <c r="LD45" i="1"/>
  <c r="KV45" i="1"/>
  <c r="KN45" i="1"/>
  <c r="JX45" i="1"/>
  <c r="JP45" i="1"/>
  <c r="JH45" i="1"/>
  <c r="IZ45" i="1"/>
  <c r="IR45" i="1"/>
  <c r="IF45" i="1"/>
  <c r="HX45" i="1"/>
  <c r="HT45" i="1"/>
  <c r="HP45" i="1"/>
  <c r="HL45" i="1"/>
  <c r="HD45" i="1"/>
  <c r="GZ45" i="1"/>
  <c r="GV45" i="1"/>
  <c r="GR45" i="1"/>
  <c r="GJ45" i="1"/>
  <c r="GF45" i="1"/>
  <c r="GB45" i="1"/>
  <c r="FT45" i="1"/>
  <c r="FH45" i="1"/>
  <c r="FD45" i="1"/>
  <c r="EZ45" i="1"/>
  <c r="ER45" i="1"/>
  <c r="EJ45" i="1"/>
  <c r="EF45" i="1"/>
  <c r="DX45" i="1"/>
  <c r="DP45" i="1"/>
  <c r="DH45" i="1"/>
  <c r="CZ45" i="1"/>
  <c r="CV45" i="1"/>
  <c r="CN45" i="1"/>
  <c r="CF45" i="1"/>
  <c r="CB45" i="1"/>
  <c r="BX45" i="1"/>
  <c r="BT45" i="1"/>
  <c r="BL45" i="1"/>
  <c r="BD45" i="1"/>
  <c r="AV45" i="1"/>
  <c r="AJ45" i="1"/>
  <c r="AB45" i="1"/>
  <c r="X45" i="1"/>
  <c r="T45" i="1"/>
  <c r="P45" i="1"/>
  <c r="H45" i="1"/>
  <c r="IE45" i="1"/>
  <c r="GY45" i="1"/>
  <c r="GI45" i="1"/>
  <c r="FG45" i="1"/>
  <c r="EQ45" i="1"/>
  <c r="EM45" i="1"/>
  <c r="M45" i="1"/>
  <c r="AC45" i="1"/>
  <c r="AK45" i="1"/>
  <c r="AS45" i="1"/>
  <c r="BQ45" i="1"/>
  <c r="BY45" i="1"/>
  <c r="CO45" i="1"/>
  <c r="CW45" i="1"/>
  <c r="I40" i="1"/>
  <c r="M40" i="1"/>
  <c r="Q40" i="1"/>
  <c r="U40" i="1"/>
  <c r="Y40" i="1"/>
  <c r="AC40" i="1"/>
  <c r="AS40" i="1"/>
  <c r="AW40" i="1"/>
  <c r="BA40" i="1"/>
  <c r="BM40" i="1"/>
  <c r="BQ40" i="1"/>
  <c r="BY40" i="1"/>
  <c r="CG40" i="1"/>
  <c r="CO40" i="1"/>
  <c r="CS40" i="1"/>
  <c r="CW40" i="1"/>
  <c r="DE40" i="1"/>
  <c r="DI40" i="1"/>
  <c r="I42" i="1"/>
  <c r="M42" i="1"/>
  <c r="Q42" i="1"/>
  <c r="U42" i="1"/>
  <c r="Y42" i="1"/>
  <c r="AC42" i="1"/>
  <c r="AS42" i="1"/>
  <c r="AW42" i="1"/>
  <c r="BA42" i="1"/>
  <c r="BM42" i="1"/>
  <c r="BQ42" i="1"/>
  <c r="BY42" i="1"/>
  <c r="CG42" i="1"/>
  <c r="CO42" i="1"/>
  <c r="CS42" i="1"/>
  <c r="CW42" i="1"/>
  <c r="DE42" i="1"/>
  <c r="DI42" i="1"/>
  <c r="M44" i="1"/>
  <c r="Q44" i="1"/>
  <c r="U44" i="1"/>
  <c r="AC44" i="1"/>
  <c r="AK44" i="1"/>
  <c r="AO44" i="1"/>
  <c r="AS44" i="1"/>
  <c r="AW44" i="1"/>
  <c r="BA44" i="1"/>
  <c r="BE44" i="1"/>
  <c r="BM44" i="1"/>
  <c r="BQ44" i="1"/>
  <c r="BU44" i="1"/>
  <c r="BY44" i="1"/>
  <c r="CG44" i="1"/>
  <c r="CO44" i="1"/>
  <c r="CS44" i="1"/>
  <c r="CW44" i="1"/>
  <c r="DA44" i="1"/>
  <c r="DI44" i="1"/>
  <c r="T47" i="1"/>
  <c r="AB47" i="1"/>
  <c r="AJ47" i="1"/>
  <c r="AR47" i="1"/>
  <c r="AZ47" i="1"/>
  <c r="BX47" i="1"/>
  <c r="CF47" i="1"/>
  <c r="CN47" i="1"/>
  <c r="CV47" i="1"/>
  <c r="DD47" i="1"/>
  <c r="EJ47" i="1"/>
  <c r="ER47" i="1"/>
  <c r="FH47" i="1"/>
  <c r="GF47" i="1"/>
  <c r="GN47" i="1"/>
  <c r="GV47" i="1"/>
  <c r="HL47" i="1"/>
  <c r="IB47" i="1"/>
  <c r="IJ47" i="1"/>
  <c r="IR47" i="1"/>
  <c r="IZ47" i="1"/>
  <c r="JP47" i="1"/>
  <c r="JX47" i="1"/>
  <c r="KF47" i="1"/>
  <c r="KN47" i="1"/>
  <c r="KV47" i="1"/>
  <c r="LL47" i="1"/>
  <c r="LT47" i="1"/>
  <c r="MJ47" i="1"/>
  <c r="MR47" i="1"/>
  <c r="MZ47" i="1"/>
  <c r="NH47" i="1"/>
  <c r="NP47" i="1"/>
  <c r="OF47" i="1"/>
  <c r="ON47" i="1"/>
  <c r="PD47" i="1"/>
  <c r="PT47" i="1"/>
  <c r="QB47" i="1"/>
  <c r="QJ47" i="1"/>
  <c r="QR47" i="1"/>
  <c r="RH47" i="1"/>
  <c r="RP47" i="1"/>
  <c r="RX47" i="1"/>
  <c r="SF47" i="1"/>
  <c r="SN47" i="1"/>
  <c r="SV47" i="1"/>
  <c r="TL47" i="1"/>
  <c r="TT47" i="1"/>
  <c r="UJ47" i="1"/>
  <c r="UR47" i="1"/>
  <c r="VP47" i="1"/>
  <c r="WF47" i="1"/>
  <c r="WN47" i="1"/>
  <c r="WV47" i="1"/>
  <c r="XD47" i="1"/>
  <c r="XL47" i="1"/>
  <c r="XT47" i="1"/>
  <c r="YB47" i="1"/>
  <c r="YJ47" i="1"/>
  <c r="YZ47" i="1"/>
  <c r="ZH47" i="1"/>
  <c r="ZP47" i="1"/>
  <c r="ZX47" i="1"/>
  <c r="AAN47" i="1"/>
  <c r="ABF48" i="1"/>
  <c r="EL49" i="1"/>
  <c r="DV49" i="1"/>
  <c r="DR49" i="1"/>
  <c r="F49" i="1"/>
  <c r="ABD49" i="1"/>
  <c r="AAV49" i="1"/>
  <c r="AAF49" i="1"/>
  <c r="ZX49" i="1"/>
  <c r="ZP49" i="1"/>
  <c r="ZH49" i="1"/>
  <c r="YZ49" i="1"/>
  <c r="YR49" i="1"/>
  <c r="YJ49" i="1"/>
  <c r="XT49" i="1"/>
  <c r="XL49" i="1"/>
  <c r="XD49" i="1"/>
  <c r="WV49" i="1"/>
  <c r="WN49" i="1"/>
  <c r="WF49" i="1"/>
  <c r="VX49" i="1"/>
  <c r="VH49" i="1"/>
  <c r="UZ49" i="1"/>
  <c r="UJ49" i="1"/>
  <c r="UB49" i="1"/>
  <c r="TT49" i="1"/>
  <c r="TL49" i="1"/>
  <c r="SN49" i="1"/>
  <c r="SF49" i="1"/>
  <c r="RX49" i="1"/>
  <c r="RH49" i="1"/>
  <c r="QZ49" i="1"/>
  <c r="QJ49" i="1"/>
  <c r="QB49" i="1"/>
  <c r="PT49" i="1"/>
  <c r="PL49" i="1"/>
  <c r="PD49" i="1"/>
  <c r="OV49" i="1"/>
  <c r="ON49" i="1"/>
  <c r="NX49" i="1"/>
  <c r="NP49" i="1"/>
  <c r="NH49" i="1"/>
  <c r="MZ49" i="1"/>
  <c r="MR49" i="1"/>
  <c r="MJ49" i="1"/>
  <c r="MB49" i="1"/>
  <c r="LD49" i="1"/>
  <c r="KN49" i="1"/>
  <c r="KF49" i="1"/>
  <c r="JX49" i="1"/>
  <c r="JP49" i="1"/>
  <c r="IZ49" i="1"/>
  <c r="IR49" i="1"/>
  <c r="IJ49" i="1"/>
  <c r="IB49" i="1"/>
  <c r="HT49" i="1"/>
  <c r="HL49" i="1"/>
  <c r="HD49" i="1"/>
  <c r="GN49" i="1"/>
  <c r="GF49" i="1"/>
  <c r="EZ49" i="1"/>
  <c r="ER49" i="1"/>
  <c r="DP49" i="1"/>
  <c r="CZ49" i="1"/>
  <c r="CO49" i="1"/>
  <c r="BT49" i="1"/>
  <c r="BD49" i="1"/>
  <c r="AC49" i="1"/>
  <c r="X49" i="1"/>
  <c r="H49" i="1"/>
  <c r="EQ49" i="1"/>
  <c r="DD49" i="1"/>
  <c r="CS49" i="1"/>
  <c r="CN49" i="1"/>
  <c r="CC49" i="1"/>
  <c r="BM49" i="1"/>
  <c r="AR49" i="1"/>
  <c r="AB49" i="1"/>
  <c r="Q49" i="1"/>
  <c r="AAZ49" i="1"/>
  <c r="AAJ49" i="1"/>
  <c r="ZT49" i="1"/>
  <c r="ZD49" i="1"/>
  <c r="YN49" i="1"/>
  <c r="XX49" i="1"/>
  <c r="WR49" i="1"/>
  <c r="VL49" i="1"/>
  <c r="UV49" i="1"/>
  <c r="UF49" i="1"/>
  <c r="SZ49" i="1"/>
  <c r="SJ49" i="1"/>
  <c r="RT49" i="1"/>
  <c r="RD49" i="1"/>
  <c r="QN49" i="1"/>
  <c r="PX49" i="1"/>
  <c r="PH49" i="1"/>
  <c r="OR49" i="1"/>
  <c r="OB49" i="1"/>
  <c r="MF49" i="1"/>
  <c r="LP49" i="1"/>
  <c r="KZ49" i="1"/>
  <c r="KJ49" i="1"/>
  <c r="JT49" i="1"/>
  <c r="JD49" i="1"/>
  <c r="IN49" i="1"/>
  <c r="HH49" i="1"/>
  <c r="GR49" i="1"/>
  <c r="GB49" i="1"/>
  <c r="FL49" i="1"/>
  <c r="DX49" i="1"/>
  <c r="CG49" i="1"/>
  <c r="BA49" i="1"/>
  <c r="U49" i="1"/>
  <c r="DA49" i="1"/>
  <c r="BU49" i="1"/>
  <c r="AZ49" i="1"/>
  <c r="AO49" i="1"/>
  <c r="I49" i="1"/>
  <c r="AV49" i="1"/>
  <c r="DH49" i="1"/>
  <c r="FD49" i="1"/>
  <c r="GJ49" i="1"/>
  <c r="HP49" i="1"/>
  <c r="IV49" i="1"/>
  <c r="KB49" i="1"/>
  <c r="LH49" i="1"/>
  <c r="MN49" i="1"/>
  <c r="NT49" i="1"/>
  <c r="OZ49" i="1"/>
  <c r="QF49" i="1"/>
  <c r="RL49" i="1"/>
  <c r="SR49" i="1"/>
  <c r="TX49" i="1"/>
  <c r="VD49" i="1"/>
  <c r="WJ49" i="1"/>
  <c r="XP49" i="1"/>
  <c r="YV49" i="1"/>
  <c r="AAB49" i="1"/>
  <c r="ABH49" i="1"/>
  <c r="F44" i="1"/>
  <c r="DR44" i="1"/>
  <c r="DV44" i="1"/>
  <c r="FN44" i="1"/>
  <c r="FR44" i="1"/>
  <c r="GX44" i="1"/>
  <c r="HJ44" i="1"/>
  <c r="HN44" i="1"/>
  <c r="HZ44" i="1"/>
  <c r="IT44" i="1"/>
  <c r="JF44" i="1"/>
  <c r="JJ44" i="1"/>
  <c r="JV44" i="1"/>
  <c r="JZ44" i="1"/>
  <c r="KP44" i="1"/>
  <c r="LB44" i="1"/>
  <c r="LR44" i="1"/>
  <c r="MH44" i="1"/>
  <c r="ML44" i="1"/>
  <c r="MX44" i="1"/>
  <c r="NB44" i="1"/>
  <c r="NN44" i="1"/>
  <c r="NR44" i="1"/>
  <c r="OH44" i="1"/>
  <c r="OT44" i="1"/>
  <c r="OX44" i="1"/>
  <c r="PJ44" i="1"/>
  <c r="PZ44" i="1"/>
  <c r="QD44" i="1"/>
  <c r="QT44" i="1"/>
  <c r="RF44" i="1"/>
  <c r="RJ44" i="1"/>
  <c r="RV44" i="1"/>
  <c r="RZ44" i="1"/>
  <c r="SL44" i="1"/>
  <c r="TB44" i="1"/>
  <c r="TF44" i="1"/>
  <c r="TR44" i="1"/>
  <c r="TV44" i="1"/>
  <c r="UL44" i="1"/>
  <c r="VB44" i="1"/>
  <c r="VN44" i="1"/>
  <c r="WT44" i="1"/>
  <c r="WX44" i="1"/>
  <c r="XJ44" i="1"/>
  <c r="XN44" i="1"/>
  <c r="YD44" i="1"/>
  <c r="YP44" i="1"/>
  <c r="YT44" i="1"/>
  <c r="ZF44" i="1"/>
  <c r="ZV44" i="1"/>
  <c r="AAP44" i="1"/>
  <c r="ABG47" i="1"/>
  <c r="AAU47" i="1"/>
  <c r="AAQ47" i="1"/>
  <c r="AAE47" i="1"/>
  <c r="ZK47" i="1"/>
  <c r="YE47" i="1"/>
  <c r="XC47" i="1"/>
  <c r="WY47" i="1"/>
  <c r="WI47" i="1"/>
  <c r="VS47" i="1"/>
  <c r="VC47" i="1"/>
  <c r="TK47" i="1"/>
  <c r="SU47" i="1"/>
  <c r="SQ47" i="1"/>
  <c r="SA47" i="1"/>
  <c r="QY47" i="1"/>
  <c r="QU47" i="1"/>
  <c r="QI47" i="1"/>
  <c r="PS47" i="1"/>
  <c r="PO47" i="1"/>
  <c r="OI47" i="1"/>
  <c r="MM47" i="1"/>
  <c r="LW47" i="1"/>
  <c r="LG47" i="1"/>
  <c r="KQ47" i="1"/>
  <c r="KA47" i="1"/>
  <c r="JK47" i="1"/>
  <c r="IE47" i="1"/>
  <c r="HO47" i="1"/>
  <c r="GI47" i="1"/>
  <c r="FS47" i="1"/>
  <c r="FG47" i="1"/>
  <c r="EM47" i="1"/>
  <c r="ABF47" i="1"/>
  <c r="ABB47" i="1"/>
  <c r="AAP47" i="1"/>
  <c r="AAL47" i="1"/>
  <c r="ZZ47" i="1"/>
  <c r="ZV47" i="1"/>
  <c r="ZJ47" i="1"/>
  <c r="ZF47" i="1"/>
  <c r="YP47" i="1"/>
  <c r="YD47" i="1"/>
  <c r="XZ47" i="1"/>
  <c r="XN47" i="1"/>
  <c r="XJ47" i="1"/>
  <c r="WX47" i="1"/>
  <c r="WT47" i="1"/>
  <c r="WH47" i="1"/>
  <c r="WD47" i="1"/>
  <c r="VR47" i="1"/>
  <c r="UX47" i="1"/>
  <c r="UH47" i="1"/>
  <c r="TV47" i="1"/>
  <c r="TF47" i="1"/>
  <c r="TB47" i="1"/>
  <c r="SP47" i="1"/>
  <c r="RF47" i="1"/>
  <c r="QT47" i="1"/>
  <c r="QP47" i="1"/>
  <c r="QD47" i="1"/>
  <c r="PZ47" i="1"/>
  <c r="PN47" i="1"/>
  <c r="PJ47" i="1"/>
  <c r="OT47" i="1"/>
  <c r="OH47" i="1"/>
  <c r="OD47" i="1"/>
  <c r="NR47" i="1"/>
  <c r="NN47" i="1"/>
  <c r="NB47" i="1"/>
  <c r="MX47" i="1"/>
  <c r="ML47" i="1"/>
  <c r="LV47" i="1"/>
  <c r="LF47" i="1"/>
  <c r="LB47" i="1"/>
  <c r="KL47" i="1"/>
  <c r="JV47" i="1"/>
  <c r="JJ47" i="1"/>
  <c r="JF47" i="1"/>
  <c r="IT47" i="1"/>
  <c r="IP47" i="1"/>
  <c r="ID47" i="1"/>
  <c r="HN47" i="1"/>
  <c r="HJ47" i="1"/>
  <c r="GT47" i="1"/>
  <c r="GH47" i="1"/>
  <c r="FR47" i="1"/>
  <c r="FN47" i="1"/>
  <c r="EX47" i="1"/>
  <c r="EL47" i="1"/>
  <c r="DV47" i="1"/>
  <c r="DR47" i="1"/>
  <c r="F47" i="1"/>
  <c r="M47" i="1"/>
  <c r="U47" i="1"/>
  <c r="AK47" i="1"/>
  <c r="AS47" i="1"/>
  <c r="BA47" i="1"/>
  <c r="BQ47" i="1"/>
  <c r="BY47" i="1"/>
  <c r="CG47" i="1"/>
  <c r="CW47" i="1"/>
  <c r="AJ49" i="1"/>
  <c r="BE49" i="1"/>
  <c r="CV49" i="1"/>
  <c r="H46" i="1"/>
  <c r="P46" i="1"/>
  <c r="T46" i="1"/>
  <c r="AB46" i="1"/>
  <c r="AJ46" i="1"/>
  <c r="AR46" i="1"/>
  <c r="AV46" i="1"/>
  <c r="AZ46" i="1"/>
  <c r="BL46" i="1"/>
  <c r="BT46" i="1"/>
  <c r="BX46" i="1"/>
  <c r="CB46" i="1"/>
  <c r="CF46" i="1"/>
  <c r="CN46" i="1"/>
  <c r="CV46" i="1"/>
  <c r="CZ46" i="1"/>
  <c r="DD46" i="1"/>
  <c r="DH46" i="1"/>
  <c r="EF46" i="1"/>
  <c r="EJ46" i="1"/>
  <c r="ER46" i="1"/>
  <c r="FD46" i="1"/>
  <c r="FH46" i="1"/>
  <c r="FL46" i="1"/>
  <c r="FT46" i="1"/>
  <c r="GF46" i="1"/>
  <c r="GN46" i="1"/>
  <c r="GR46" i="1"/>
  <c r="GV46" i="1"/>
  <c r="GZ46" i="1"/>
  <c r="HH46" i="1"/>
  <c r="HL46" i="1"/>
  <c r="HP46" i="1"/>
  <c r="HX46" i="1"/>
  <c r="IB46" i="1"/>
  <c r="IF46" i="1"/>
  <c r="IJ46" i="1"/>
  <c r="IN46" i="1"/>
  <c r="IR46" i="1"/>
  <c r="IZ46" i="1"/>
  <c r="JL46" i="1"/>
  <c r="JP46" i="1"/>
  <c r="JX46" i="1"/>
  <c r="KB46" i="1"/>
  <c r="KF46" i="1"/>
  <c r="KJ46" i="1"/>
  <c r="KN46" i="1"/>
  <c r="KR46" i="1"/>
  <c r="KV46" i="1"/>
  <c r="KZ46" i="1"/>
  <c r="LL46" i="1"/>
  <c r="LP46" i="1"/>
  <c r="LT46" i="1"/>
  <c r="LX46" i="1"/>
  <c r="MB46" i="1"/>
  <c r="MF46" i="1"/>
  <c r="MJ46" i="1"/>
  <c r="MN46" i="1"/>
  <c r="MR46" i="1"/>
  <c r="MV46" i="1"/>
  <c r="MZ46" i="1"/>
  <c r="ND46" i="1"/>
  <c r="NH46" i="1"/>
  <c r="NL46" i="1"/>
  <c r="NP46" i="1"/>
  <c r="NX46" i="1"/>
  <c r="OF46" i="1"/>
  <c r="OJ46" i="1"/>
  <c r="ON46" i="1"/>
  <c r="OZ46" i="1"/>
  <c r="PD46" i="1"/>
  <c r="PH46" i="1"/>
  <c r="PP46" i="1"/>
  <c r="PT46" i="1"/>
  <c r="PX46" i="1"/>
  <c r="QB46" i="1"/>
  <c r="QJ46" i="1"/>
  <c r="QN46" i="1"/>
  <c r="QR46" i="1"/>
  <c r="QV46" i="1"/>
  <c r="RH46" i="1"/>
  <c r="RL46" i="1"/>
  <c r="RP46" i="1"/>
  <c r="RT46" i="1"/>
  <c r="RX46" i="1"/>
  <c r="SB46" i="1"/>
  <c r="SF46" i="1"/>
  <c r="SJ46" i="1"/>
  <c r="SN46" i="1"/>
  <c r="SV46" i="1"/>
  <c r="SZ46" i="1"/>
  <c r="TH46" i="1"/>
  <c r="TL46" i="1"/>
  <c r="TP46" i="1"/>
  <c r="TT46" i="1"/>
  <c r="TX46" i="1"/>
  <c r="UB46" i="1"/>
  <c r="UJ46" i="1"/>
  <c r="UN46" i="1"/>
  <c r="UR46" i="1"/>
  <c r="UV46" i="1"/>
  <c r="VH46" i="1"/>
  <c r="VL46" i="1"/>
  <c r="VP46" i="1"/>
  <c r="VT46" i="1"/>
  <c r="VX46" i="1"/>
  <c r="WB46" i="1"/>
  <c r="WF46" i="1"/>
  <c r="WJ46" i="1"/>
  <c r="WN46" i="1"/>
  <c r="WR46" i="1"/>
  <c r="WV46" i="1"/>
  <c r="WZ46" i="1"/>
  <c r="XD46" i="1"/>
  <c r="XH46" i="1"/>
  <c r="XL46" i="1"/>
  <c r="XT46" i="1"/>
  <c r="YB46" i="1"/>
  <c r="YF46" i="1"/>
  <c r="YJ46" i="1"/>
  <c r="YN46" i="1"/>
  <c r="YV46" i="1"/>
  <c r="YZ46" i="1"/>
  <c r="ZD46" i="1"/>
  <c r="ZL46" i="1"/>
  <c r="ZP46" i="1"/>
  <c r="ZT46" i="1"/>
  <c r="ZX46" i="1"/>
  <c r="AAF46" i="1"/>
  <c r="AAJ46" i="1"/>
  <c r="AAN46" i="1"/>
  <c r="AAR46" i="1"/>
  <c r="AAZ46" i="1"/>
  <c r="ABD46" i="1"/>
  <c r="ABH46" i="1"/>
  <c r="H48" i="1"/>
  <c r="P48" i="1"/>
  <c r="T48" i="1"/>
  <c r="X48" i="1"/>
  <c r="AB48" i="1"/>
  <c r="AJ48" i="1"/>
  <c r="AR48" i="1"/>
  <c r="AV48" i="1"/>
  <c r="AZ48" i="1"/>
  <c r="BD48" i="1"/>
  <c r="BL48" i="1"/>
  <c r="BT48" i="1"/>
  <c r="BX48" i="1"/>
  <c r="CB48" i="1"/>
  <c r="CF48" i="1"/>
  <c r="DA48" i="1"/>
  <c r="DV48" i="1"/>
  <c r="EL48" i="1"/>
  <c r="FR48" i="1"/>
  <c r="GH48" i="1"/>
  <c r="GX48" i="1"/>
  <c r="HN48" i="1"/>
  <c r="ID48" i="1"/>
  <c r="IT48" i="1"/>
  <c r="JJ48" i="1"/>
  <c r="KP48" i="1"/>
  <c r="LF48" i="1"/>
  <c r="LV48" i="1"/>
  <c r="ML48" i="1"/>
  <c r="NB48" i="1"/>
  <c r="NR48" i="1"/>
  <c r="OH48" i="1"/>
  <c r="PN48" i="1"/>
  <c r="QD48" i="1"/>
  <c r="QT48" i="1"/>
  <c r="RZ48" i="1"/>
  <c r="SP48" i="1"/>
  <c r="TF48" i="1"/>
  <c r="TV48" i="1"/>
  <c r="UL48" i="1"/>
  <c r="VR48" i="1"/>
  <c r="WH48" i="1"/>
  <c r="WX48" i="1"/>
  <c r="XN48" i="1"/>
  <c r="YD48" i="1"/>
  <c r="ZJ48" i="1"/>
  <c r="ZZ48" i="1"/>
  <c r="AAP48" i="1"/>
  <c r="I46" i="1"/>
  <c r="M46" i="1"/>
  <c r="Q46" i="1"/>
  <c r="U46" i="1"/>
  <c r="AK46" i="1"/>
  <c r="AO46" i="1"/>
  <c r="AS46" i="1"/>
  <c r="AW46" i="1"/>
  <c r="BA46" i="1"/>
  <c r="BE46" i="1"/>
  <c r="BM46" i="1"/>
  <c r="BQ46" i="1"/>
  <c r="BU46" i="1"/>
  <c r="BY46" i="1"/>
  <c r="CC46" i="1"/>
  <c r="CG46" i="1"/>
  <c r="CS46" i="1"/>
  <c r="CW46" i="1"/>
  <c r="DA46" i="1"/>
  <c r="DI46" i="1"/>
  <c r="DI48" i="1"/>
  <c r="ABH48" i="1"/>
  <c r="ABD48" i="1"/>
  <c r="AAZ48" i="1"/>
  <c r="AAV48" i="1"/>
  <c r="AAR48" i="1"/>
  <c r="AAN48" i="1"/>
  <c r="AAJ48" i="1"/>
  <c r="AAF48" i="1"/>
  <c r="ZX48" i="1"/>
  <c r="ZT48" i="1"/>
  <c r="ZP48" i="1"/>
  <c r="ZL48" i="1"/>
  <c r="ZD48" i="1"/>
  <c r="YZ48" i="1"/>
  <c r="YV48" i="1"/>
  <c r="YN48" i="1"/>
  <c r="YJ48" i="1"/>
  <c r="YF48" i="1"/>
  <c r="YB48" i="1"/>
  <c r="XT48" i="1"/>
  <c r="XL48" i="1"/>
  <c r="XH48" i="1"/>
  <c r="XD48" i="1"/>
  <c r="WZ48" i="1"/>
  <c r="WV48" i="1"/>
  <c r="WR48" i="1"/>
  <c r="WN48" i="1"/>
  <c r="WJ48" i="1"/>
  <c r="WF48" i="1"/>
  <c r="WB48" i="1"/>
  <c r="VX48" i="1"/>
  <c r="VT48" i="1"/>
  <c r="VP48" i="1"/>
  <c r="VL48" i="1"/>
  <c r="VH48" i="1"/>
  <c r="UV48" i="1"/>
  <c r="UR48" i="1"/>
  <c r="UN48" i="1"/>
  <c r="UJ48" i="1"/>
  <c r="UB48" i="1"/>
  <c r="TX48" i="1"/>
  <c r="TT48" i="1"/>
  <c r="TP48" i="1"/>
  <c r="TL48" i="1"/>
  <c r="TH48" i="1"/>
  <c r="SZ48" i="1"/>
  <c r="SV48" i="1"/>
  <c r="SN48" i="1"/>
  <c r="SJ48" i="1"/>
  <c r="SF48" i="1"/>
  <c r="SB48" i="1"/>
  <c r="RX48" i="1"/>
  <c r="RT48" i="1"/>
  <c r="RP48" i="1"/>
  <c r="RL48" i="1"/>
  <c r="RH48" i="1"/>
  <c r="QV48" i="1"/>
  <c r="QR48" i="1"/>
  <c r="QN48" i="1"/>
  <c r="QJ48" i="1"/>
  <c r="QB48" i="1"/>
  <c r="PX48" i="1"/>
  <c r="PT48" i="1"/>
  <c r="PP48" i="1"/>
  <c r="PH48" i="1"/>
  <c r="PD48" i="1"/>
  <c r="OZ48" i="1"/>
  <c r="ON48" i="1"/>
  <c r="OJ48" i="1"/>
  <c r="OF48" i="1"/>
  <c r="NX48" i="1"/>
  <c r="NP48" i="1"/>
  <c r="NL48" i="1"/>
  <c r="NH48" i="1"/>
  <c r="ND48" i="1"/>
  <c r="MZ48" i="1"/>
  <c r="MV48" i="1"/>
  <c r="MR48" i="1"/>
  <c r="MN48" i="1"/>
  <c r="MJ48" i="1"/>
  <c r="MF48" i="1"/>
  <c r="MB48" i="1"/>
  <c r="LX48" i="1"/>
  <c r="LT48" i="1"/>
  <c r="LP48" i="1"/>
  <c r="LL48" i="1"/>
  <c r="KZ48" i="1"/>
  <c r="KV48" i="1"/>
  <c r="KR48" i="1"/>
  <c r="KN48" i="1"/>
  <c r="KJ48" i="1"/>
  <c r="KF48" i="1"/>
  <c r="KB48" i="1"/>
  <c r="JX48" i="1"/>
  <c r="JP48" i="1"/>
  <c r="JL48" i="1"/>
  <c r="IZ48" i="1"/>
  <c r="IR48" i="1"/>
  <c r="IN48" i="1"/>
  <c r="IJ48" i="1"/>
  <c r="IF48" i="1"/>
  <c r="IB48" i="1"/>
  <c r="HX48" i="1"/>
  <c r="HP48" i="1"/>
  <c r="HL48" i="1"/>
  <c r="HH48" i="1"/>
  <c r="GZ48" i="1"/>
  <c r="GV48" i="1"/>
  <c r="GR48" i="1"/>
  <c r="GN48" i="1"/>
  <c r="GF48" i="1"/>
  <c r="FT48" i="1"/>
  <c r="FL48" i="1"/>
  <c r="FH48" i="1"/>
  <c r="FD48" i="1"/>
  <c r="ER48" i="1"/>
  <c r="EJ48" i="1"/>
  <c r="EF48" i="1"/>
  <c r="DH48" i="1"/>
  <c r="DD48" i="1"/>
  <c r="CZ48" i="1"/>
  <c r="CV48" i="1"/>
  <c r="CN48" i="1"/>
  <c r="I48" i="1"/>
  <c r="M48" i="1"/>
  <c r="Q48" i="1"/>
  <c r="U48" i="1"/>
  <c r="AK48" i="1"/>
  <c r="AO48" i="1"/>
  <c r="AS48" i="1"/>
  <c r="AW48" i="1"/>
  <c r="BA48" i="1"/>
  <c r="BE48" i="1"/>
  <c r="BM48" i="1"/>
  <c r="BQ48" i="1"/>
  <c r="BU48" i="1"/>
  <c r="BY48" i="1"/>
  <c r="CC48" i="1"/>
  <c r="CG48" i="1"/>
  <c r="CW48" i="1"/>
  <c r="EM48" i="1"/>
  <c r="FS48" i="1"/>
  <c r="GI48" i="1"/>
  <c r="GY48" i="1"/>
  <c r="HO48" i="1"/>
  <c r="IE48" i="1"/>
  <c r="JK48" i="1"/>
  <c r="KA48" i="1"/>
  <c r="KQ48" i="1"/>
  <c r="LG48" i="1"/>
  <c r="LW48" i="1"/>
  <c r="MM48" i="1"/>
  <c r="NC48" i="1"/>
  <c r="OI48" i="1"/>
  <c r="PO48" i="1"/>
  <c r="QU48" i="1"/>
  <c r="SA48" i="1"/>
  <c r="SQ48" i="1"/>
  <c r="TG48" i="1"/>
  <c r="VC48" i="1"/>
  <c r="VS48" i="1"/>
  <c r="WI48" i="1"/>
  <c r="WY48" i="1"/>
  <c r="YE48" i="1"/>
  <c r="ZK48" i="1"/>
  <c r="AAQ48" i="1"/>
  <c r="ABG48" i="1"/>
  <c r="ABD50" i="1"/>
  <c r="AAN50" i="1"/>
  <c r="ZH50" i="1"/>
  <c r="YR50" i="1"/>
  <c r="YB50" i="1"/>
  <c r="WV50" i="1"/>
  <c r="WF50" i="1"/>
  <c r="VT50" i="1"/>
  <c r="VL50" i="1"/>
  <c r="VD50" i="1"/>
  <c r="UN50" i="1"/>
  <c r="UJ50" i="1"/>
  <c r="TX50" i="1"/>
  <c r="TT50" i="1"/>
  <c r="TL50" i="1"/>
  <c r="TH50" i="1"/>
  <c r="SZ50" i="1"/>
  <c r="SR50" i="1"/>
  <c r="SJ50" i="1"/>
  <c r="SF50" i="1"/>
  <c r="SB50" i="1"/>
  <c r="RX50" i="1"/>
  <c r="RT50" i="1"/>
  <c r="RL50" i="1"/>
  <c r="RH50" i="1"/>
  <c r="QV50" i="1"/>
  <c r="QJ50" i="1"/>
  <c r="QF50" i="1"/>
  <c r="PX50" i="1"/>
  <c r="PP50" i="1"/>
  <c r="PL50" i="1"/>
  <c r="PH50" i="1"/>
  <c r="PD50" i="1"/>
  <c r="OZ50" i="1"/>
  <c r="OV50" i="1"/>
  <c r="ON50" i="1"/>
  <c r="OJ50" i="1"/>
  <c r="NT50" i="1"/>
  <c r="NH50" i="1"/>
  <c r="ND50" i="1"/>
  <c r="MZ50" i="1"/>
  <c r="MR50" i="1"/>
  <c r="MN50" i="1"/>
  <c r="MJ50" i="1"/>
  <c r="MF50" i="1"/>
  <c r="LX50" i="1"/>
  <c r="LP50" i="1"/>
  <c r="LH50" i="1"/>
  <c r="KZ50" i="1"/>
  <c r="KR50" i="1"/>
  <c r="KN50" i="1"/>
  <c r="ABH50" i="1"/>
  <c r="AAB50" i="1"/>
  <c r="ZL50" i="1"/>
  <c r="YV50" i="1"/>
  <c r="XP50" i="1"/>
  <c r="WZ50" i="1"/>
  <c r="WJ50" i="1"/>
  <c r="ZP50" i="1"/>
  <c r="YJ50" i="1"/>
  <c r="XD50" i="1"/>
  <c r="KJ50" i="1"/>
  <c r="IZ50" i="1"/>
  <c r="IR50" i="1"/>
  <c r="IN50" i="1"/>
  <c r="IJ50" i="1"/>
  <c r="IF50" i="1"/>
  <c r="IB50" i="1"/>
  <c r="HP50" i="1"/>
  <c r="HL50" i="1"/>
  <c r="HH50" i="1"/>
  <c r="GV50" i="1"/>
  <c r="GR50" i="1"/>
  <c r="GN50" i="1"/>
  <c r="GF50" i="1"/>
  <c r="FT50" i="1"/>
  <c r="FL50" i="1"/>
  <c r="FD50" i="1"/>
  <c r="EZ50" i="1"/>
  <c r="ER50" i="1"/>
  <c r="EJ50" i="1"/>
  <c r="DH50" i="1"/>
  <c r="DD50" i="1"/>
  <c r="CZ50" i="1"/>
  <c r="CV50" i="1"/>
  <c r="CN50" i="1"/>
  <c r="CB50" i="1"/>
  <c r="BT50" i="1"/>
  <c r="AZ50" i="1"/>
  <c r="AV50" i="1"/>
  <c r="AR50" i="1"/>
  <c r="AJ50" i="1"/>
  <c r="AB50" i="1"/>
  <c r="P50" i="1"/>
  <c r="H50" i="1"/>
  <c r="AAJ50" i="1"/>
  <c r="ZD50" i="1"/>
  <c r="XX50" i="1"/>
  <c r="WR50" i="1"/>
  <c r="JX50" i="1"/>
  <c r="EQ50" i="1"/>
  <c r="M50" i="1"/>
  <c r="AC50" i="1"/>
  <c r="BY50" i="1"/>
  <c r="CO50" i="1"/>
  <c r="DE50" i="1"/>
  <c r="KF50" i="1"/>
  <c r="ZT50" i="1"/>
  <c r="EL50" i="1"/>
  <c r="JL50" i="1"/>
  <c r="WN50" i="1"/>
  <c r="YZ50" i="1"/>
  <c r="E63" i="1"/>
  <c r="B65" i="1"/>
  <c r="ABD51" i="1"/>
  <c r="AAN51" i="1"/>
  <c r="ZX51" i="1"/>
  <c r="ZH51" i="1"/>
  <c r="YR51" i="1"/>
  <c r="YB51" i="1"/>
  <c r="XL51" i="1"/>
  <c r="WV51" i="1"/>
  <c r="WF51" i="1"/>
  <c r="VP51" i="1"/>
  <c r="UZ51" i="1"/>
  <c r="UJ51" i="1"/>
  <c r="TT51" i="1"/>
  <c r="TD51" i="1"/>
  <c r="SN51" i="1"/>
  <c r="ABH51" i="1"/>
  <c r="AAB51" i="1"/>
  <c r="ZL51" i="1"/>
  <c r="YV51" i="1"/>
  <c r="XP51" i="1"/>
  <c r="WZ51" i="1"/>
  <c r="WJ51" i="1"/>
  <c r="VD51" i="1"/>
  <c r="UN51" i="1"/>
  <c r="TX51" i="1"/>
  <c r="SR51" i="1"/>
  <c r="I51" i="1"/>
  <c r="Q51" i="1"/>
  <c r="U51" i="1"/>
  <c r="Y51" i="1"/>
  <c r="AC51" i="1"/>
  <c r="AO51" i="1"/>
  <c r="AW51" i="1"/>
  <c r="BA51" i="1"/>
  <c r="BE51" i="1"/>
  <c r="BM51" i="1"/>
  <c r="BQ51" i="1"/>
  <c r="BU51" i="1"/>
  <c r="CC51" i="1"/>
  <c r="CG51" i="1"/>
  <c r="CO51" i="1"/>
  <c r="CS51" i="1"/>
  <c r="CW51" i="1"/>
  <c r="DA51" i="1"/>
  <c r="DI51" i="1"/>
  <c r="MZ51" i="1"/>
  <c r="NP51" i="1"/>
  <c r="OF51" i="1"/>
  <c r="ON51" i="1"/>
  <c r="OV51" i="1"/>
  <c r="PD51" i="1"/>
  <c r="PL51" i="1"/>
  <c r="PT51" i="1"/>
  <c r="QB51" i="1"/>
  <c r="QJ51" i="1"/>
  <c r="QR51" i="1"/>
  <c r="QZ51" i="1"/>
  <c r="RH51" i="1"/>
  <c r="RP51" i="1"/>
  <c r="RX51" i="1"/>
  <c r="SF51" i="1"/>
  <c r="SZ51" i="1"/>
  <c r="UF51" i="1"/>
  <c r="VL51" i="1"/>
  <c r="WR51" i="1"/>
  <c r="XX51" i="1"/>
  <c r="ZD51" i="1"/>
  <c r="AAJ51" i="1"/>
  <c r="DR51" i="1"/>
  <c r="DV51" i="1"/>
  <c r="EL51" i="1"/>
  <c r="MV51" i="1"/>
  <c r="NL51" i="1"/>
  <c r="OB51" i="1"/>
  <c r="TL51" i="1"/>
  <c r="VX51" i="1"/>
  <c r="XD51" i="1"/>
  <c r="YJ51" i="1"/>
  <c r="ZP51" i="1"/>
  <c r="AAV51" i="1"/>
  <c r="CC45" i="1" l="1"/>
  <c r="CC43" i="1"/>
  <c r="CC44" i="1"/>
  <c r="TP51" i="1"/>
  <c r="TP50" i="1"/>
  <c r="TP49" i="1"/>
  <c r="LV43" i="1"/>
  <c r="LV44" i="1"/>
  <c r="LV45" i="1"/>
  <c r="JH46" i="1"/>
  <c r="JH48" i="1"/>
  <c r="TW38" i="1"/>
  <c r="TW34" i="1"/>
  <c r="TW33" i="1"/>
  <c r="TW32" i="1"/>
  <c r="FN42" i="1"/>
  <c r="FN40" i="1"/>
  <c r="FN41" i="1"/>
  <c r="AK49" i="1"/>
  <c r="AK50" i="1"/>
  <c r="VL42" i="1"/>
  <c r="VL36" i="1"/>
  <c r="VL40" i="1"/>
  <c r="VL41" i="1"/>
  <c r="PH44" i="1"/>
  <c r="PH45" i="1"/>
  <c r="BX51" i="1"/>
  <c r="BX49" i="1"/>
  <c r="ZK42" i="1"/>
  <c r="ZK40" i="1"/>
  <c r="ZK41" i="1"/>
  <c r="TR48" i="1"/>
  <c r="TR46" i="1"/>
  <c r="TR47" i="1"/>
  <c r="BU36" i="1"/>
  <c r="BU40" i="1"/>
  <c r="BU42" i="1"/>
  <c r="NH44" i="1"/>
  <c r="NH43" i="1"/>
  <c r="NH45" i="1"/>
  <c r="BX50" i="1"/>
  <c r="AAV46" i="1"/>
  <c r="BA43" i="1"/>
  <c r="ZN34" i="1"/>
  <c r="ZN38" i="1"/>
  <c r="ZN33" i="1"/>
  <c r="ZN32" i="1"/>
  <c r="XB34" i="1"/>
  <c r="XB38" i="1"/>
  <c r="XB33" i="1"/>
  <c r="XB32" i="1"/>
  <c r="UP34" i="1"/>
  <c r="UP38" i="1"/>
  <c r="UP33" i="1"/>
  <c r="UP32" i="1"/>
  <c r="SD38" i="1"/>
  <c r="SD34" i="1"/>
  <c r="SD33" i="1"/>
  <c r="SD32" i="1"/>
  <c r="PR38" i="1"/>
  <c r="PR34" i="1"/>
  <c r="PR33" i="1"/>
  <c r="PR32" i="1"/>
  <c r="NF38" i="1"/>
  <c r="NF34" i="1"/>
  <c r="NF33" i="1"/>
  <c r="NF32" i="1"/>
  <c r="KT38" i="1"/>
  <c r="KT34" i="1"/>
  <c r="KT33" i="1"/>
  <c r="KT32" i="1"/>
  <c r="IH38" i="1"/>
  <c r="IH34" i="1"/>
  <c r="IH33" i="1"/>
  <c r="IH32" i="1"/>
  <c r="FV38" i="1"/>
  <c r="FV34" i="1"/>
  <c r="FV33" i="1"/>
  <c r="FV32" i="1"/>
  <c r="ZB38" i="1"/>
  <c r="ZB34" i="1"/>
  <c r="ZB33" i="1"/>
  <c r="ZB32" i="1"/>
  <c r="WP38" i="1"/>
  <c r="WP34" i="1"/>
  <c r="WP33" i="1"/>
  <c r="WP32" i="1"/>
  <c r="UD38" i="1"/>
  <c r="UD34" i="1"/>
  <c r="UD33" i="1"/>
  <c r="UD32" i="1"/>
  <c r="RR38" i="1"/>
  <c r="RR35" i="1"/>
  <c r="RR34" i="1"/>
  <c r="RR33" i="1"/>
  <c r="RR32" i="1"/>
  <c r="PF38" i="1"/>
  <c r="PF34" i="1"/>
  <c r="PF33" i="1"/>
  <c r="PF32" i="1"/>
  <c r="MT38" i="1"/>
  <c r="MT34" i="1"/>
  <c r="MT33" i="1"/>
  <c r="MT32" i="1"/>
  <c r="KH38" i="1"/>
  <c r="KH34" i="1"/>
  <c r="KH33" i="1"/>
  <c r="KH32" i="1"/>
  <c r="HV38" i="1"/>
  <c r="HV35" i="1"/>
  <c r="HV34" i="1"/>
  <c r="HV33" i="1"/>
  <c r="HV32" i="1"/>
  <c r="FJ38" i="1"/>
  <c r="FJ32" i="1"/>
  <c r="DJ38" i="1"/>
  <c r="DJ35" i="1"/>
  <c r="DJ34" i="1"/>
  <c r="DJ33" i="1"/>
  <c r="DJ32" i="1"/>
  <c r="CT38" i="1"/>
  <c r="CT35" i="1"/>
  <c r="CT34" i="1"/>
  <c r="CT33" i="1"/>
  <c r="CT32" i="1"/>
  <c r="CD38" i="1"/>
  <c r="CD35" i="1"/>
  <c r="CD34" i="1"/>
  <c r="CD33" i="1"/>
  <c r="CD32" i="1"/>
  <c r="BN38" i="1"/>
  <c r="BN35" i="1"/>
  <c r="BN34" i="1"/>
  <c r="BN33" i="1"/>
  <c r="BN32" i="1"/>
  <c r="AX38" i="1"/>
  <c r="AX35" i="1"/>
  <c r="AX34" i="1"/>
  <c r="AX33" i="1"/>
  <c r="AX32" i="1"/>
  <c r="AH38" i="1"/>
  <c r="AH35" i="1"/>
  <c r="AH34" i="1"/>
  <c r="AH33" i="1"/>
  <c r="AH32" i="1"/>
  <c r="R38" i="1"/>
  <c r="R35" i="1"/>
  <c r="R34" i="1"/>
  <c r="R33" i="1"/>
  <c r="R32" i="1"/>
  <c r="ABF37" i="1"/>
  <c r="ABF35" i="1" s="1"/>
  <c r="ABF23" i="1"/>
  <c r="ABF22" i="1"/>
  <c r="AAP37" i="1"/>
  <c r="AAP35" i="1" s="1"/>
  <c r="AAP23" i="1"/>
  <c r="AAP22" i="1"/>
  <c r="ZZ37" i="1"/>
  <c r="ZZ35" i="1" s="1"/>
  <c r="ZZ23" i="1"/>
  <c r="ZZ22" i="1"/>
  <c r="ZJ37" i="1"/>
  <c r="ZJ35" i="1" s="1"/>
  <c r="ZJ23" i="1"/>
  <c r="ZJ22" i="1"/>
  <c r="YT37" i="1"/>
  <c r="YT35" i="1" s="1"/>
  <c r="YT23" i="1"/>
  <c r="YT22" i="1"/>
  <c r="YD37" i="1"/>
  <c r="YD35" i="1" s="1"/>
  <c r="YD23" i="1"/>
  <c r="YD22" i="1"/>
  <c r="XN37" i="1"/>
  <c r="XN35" i="1" s="1"/>
  <c r="XN23" i="1"/>
  <c r="XN22" i="1"/>
  <c r="WX37" i="1"/>
  <c r="WX35" i="1" s="1"/>
  <c r="WX23" i="1"/>
  <c r="WX22" i="1"/>
  <c r="WH37" i="1"/>
  <c r="WH35" i="1" s="1"/>
  <c r="WH23" i="1"/>
  <c r="WH22" i="1"/>
  <c r="VR37" i="1"/>
  <c r="VR35" i="1" s="1"/>
  <c r="VR23" i="1"/>
  <c r="VR22" i="1"/>
  <c r="VB37" i="1"/>
  <c r="VB35" i="1" s="1"/>
  <c r="VB23" i="1"/>
  <c r="VB22" i="1"/>
  <c r="UL37" i="1"/>
  <c r="UL35" i="1" s="1"/>
  <c r="UL23" i="1"/>
  <c r="UL22" i="1"/>
  <c r="TV37" i="1"/>
  <c r="TV35" i="1" s="1"/>
  <c r="TV23" i="1"/>
  <c r="TV22" i="1"/>
  <c r="TF37" i="1"/>
  <c r="TF35" i="1" s="1"/>
  <c r="TF23" i="1"/>
  <c r="TF22" i="1"/>
  <c r="SP37" i="1"/>
  <c r="SP35" i="1" s="1"/>
  <c r="SP23" i="1"/>
  <c r="SP22" i="1"/>
  <c r="RZ37" i="1"/>
  <c r="RZ35" i="1" s="1"/>
  <c r="RZ23" i="1"/>
  <c r="RZ22" i="1"/>
  <c r="RJ37" i="1"/>
  <c r="RJ35" i="1" s="1"/>
  <c r="RJ23" i="1"/>
  <c r="RJ22" i="1"/>
  <c r="QT37" i="1"/>
  <c r="QT35" i="1" s="1"/>
  <c r="QT23" i="1"/>
  <c r="QT22" i="1"/>
  <c r="QD37" i="1"/>
  <c r="QD35" i="1" s="1"/>
  <c r="QD23" i="1"/>
  <c r="QD22" i="1"/>
  <c r="PN37" i="1"/>
  <c r="PN35" i="1" s="1"/>
  <c r="PN23" i="1"/>
  <c r="PN22" i="1"/>
  <c r="OX37" i="1"/>
  <c r="OX35" i="1" s="1"/>
  <c r="OX23" i="1"/>
  <c r="OX22" i="1"/>
  <c r="OH37" i="1"/>
  <c r="OH35" i="1" s="1"/>
  <c r="OH23" i="1"/>
  <c r="OH22" i="1"/>
  <c r="NR37" i="1"/>
  <c r="NR35" i="1" s="1"/>
  <c r="NR23" i="1"/>
  <c r="NR22" i="1"/>
  <c r="NB37" i="1"/>
  <c r="NB35" i="1" s="1"/>
  <c r="NB23" i="1"/>
  <c r="NB22" i="1"/>
  <c r="ML37" i="1"/>
  <c r="ML35" i="1" s="1"/>
  <c r="ML23" i="1"/>
  <c r="ML22" i="1"/>
  <c r="LV37" i="1"/>
  <c r="LV35" i="1" s="1"/>
  <c r="LV23" i="1"/>
  <c r="LV22" i="1"/>
  <c r="LF37" i="1"/>
  <c r="LF35" i="1" s="1"/>
  <c r="LF23" i="1"/>
  <c r="LF22" i="1"/>
  <c r="KP37" i="1"/>
  <c r="KP35" i="1" s="1"/>
  <c r="KP23" i="1"/>
  <c r="KP22" i="1"/>
  <c r="JZ37" i="1"/>
  <c r="JZ35" i="1" s="1"/>
  <c r="JZ23" i="1"/>
  <c r="JZ22" i="1"/>
  <c r="JJ37" i="1"/>
  <c r="JJ35" i="1" s="1"/>
  <c r="JJ23" i="1"/>
  <c r="JJ22" i="1"/>
  <c r="IT37" i="1"/>
  <c r="IT35" i="1" s="1"/>
  <c r="IT23" i="1"/>
  <c r="IT22" i="1"/>
  <c r="ID37" i="1"/>
  <c r="ID35" i="1" s="1"/>
  <c r="ID23" i="1"/>
  <c r="ID22" i="1"/>
  <c r="HN37" i="1"/>
  <c r="HN35" i="1" s="1"/>
  <c r="HN23" i="1"/>
  <c r="HN22" i="1"/>
  <c r="GX37" i="1"/>
  <c r="GX35" i="1" s="1"/>
  <c r="GX23" i="1"/>
  <c r="GX22" i="1"/>
  <c r="GH37" i="1"/>
  <c r="GH35" i="1" s="1"/>
  <c r="GH23" i="1"/>
  <c r="GH22" i="1"/>
  <c r="FR37" i="1"/>
  <c r="FR35" i="1" s="1"/>
  <c r="FR23" i="1"/>
  <c r="FR22" i="1"/>
  <c r="FB37" i="1"/>
  <c r="FB35" i="1" s="1"/>
  <c r="FB23" i="1"/>
  <c r="FB22" i="1"/>
  <c r="EL37" i="1"/>
  <c r="EL23" i="1"/>
  <c r="EL22" i="1"/>
  <c r="DV37" i="1"/>
  <c r="DV23" i="1"/>
  <c r="DV22" i="1"/>
  <c r="DF37" i="1"/>
  <c r="DF23" i="1"/>
  <c r="DF22" i="1"/>
  <c r="CP37" i="1"/>
  <c r="CP23" i="1"/>
  <c r="CP22" i="1"/>
  <c r="BZ37" i="1"/>
  <c r="BZ23" i="1"/>
  <c r="BZ22" i="1"/>
  <c r="BJ37" i="1"/>
  <c r="BJ23" i="1"/>
  <c r="BJ22" i="1"/>
  <c r="AT37" i="1"/>
  <c r="AT23" i="1"/>
  <c r="AT22" i="1"/>
  <c r="AD37" i="1"/>
  <c r="AD23" i="1"/>
  <c r="AD22" i="1"/>
  <c r="N37" i="1"/>
  <c r="N23" i="1"/>
  <c r="N22" i="1"/>
  <c r="DU32" i="1"/>
  <c r="DU35" i="1"/>
  <c r="DU38" i="1"/>
  <c r="DU34" i="1"/>
  <c r="DU33" i="1"/>
  <c r="EK32" i="1"/>
  <c r="EK35" i="1"/>
  <c r="EK38" i="1"/>
  <c r="EK34" i="1"/>
  <c r="EK33" i="1"/>
  <c r="FA32" i="1"/>
  <c r="FA35" i="1"/>
  <c r="FA38" i="1"/>
  <c r="FA34" i="1"/>
  <c r="FA33" i="1"/>
  <c r="FQ38" i="1"/>
  <c r="GG32" i="1"/>
  <c r="GG35" i="1"/>
  <c r="GG38" i="1"/>
  <c r="GG34" i="1"/>
  <c r="GG33" i="1"/>
  <c r="GW32" i="1"/>
  <c r="GW35" i="1"/>
  <c r="GW38" i="1"/>
  <c r="GW34" i="1"/>
  <c r="GW33" i="1"/>
  <c r="HM32" i="1"/>
  <c r="HM35" i="1"/>
  <c r="HM38" i="1"/>
  <c r="HM34" i="1"/>
  <c r="HM33" i="1"/>
  <c r="IC32" i="1"/>
  <c r="IC35" i="1"/>
  <c r="IC38" i="1"/>
  <c r="IC34" i="1"/>
  <c r="IC33" i="1"/>
  <c r="IS32" i="1"/>
  <c r="IS35" i="1"/>
  <c r="IS38" i="1"/>
  <c r="IS34" i="1"/>
  <c r="IS33" i="1"/>
  <c r="JI32" i="1"/>
  <c r="JI35" i="1"/>
  <c r="JI38" i="1"/>
  <c r="JI34" i="1"/>
  <c r="JI33" i="1"/>
  <c r="JY32" i="1"/>
  <c r="JY35" i="1"/>
  <c r="JY38" i="1"/>
  <c r="JY34" i="1"/>
  <c r="JY33" i="1"/>
  <c r="KO32" i="1"/>
  <c r="KO35" i="1"/>
  <c r="KO38" i="1"/>
  <c r="KO34" i="1"/>
  <c r="KO33" i="1"/>
  <c r="LE32" i="1"/>
  <c r="LE35" i="1"/>
  <c r="LE38" i="1"/>
  <c r="LE34" i="1"/>
  <c r="LE33" i="1"/>
  <c r="LU32" i="1"/>
  <c r="LU35" i="1"/>
  <c r="LU38" i="1"/>
  <c r="LU34" i="1"/>
  <c r="LU33" i="1"/>
  <c r="MK32" i="1"/>
  <c r="MK35" i="1"/>
  <c r="MK38" i="1"/>
  <c r="MK34" i="1"/>
  <c r="MK33" i="1"/>
  <c r="NA32" i="1"/>
  <c r="NA35" i="1"/>
  <c r="NA38" i="1"/>
  <c r="NA34" i="1"/>
  <c r="NA33" i="1"/>
  <c r="NQ32" i="1"/>
  <c r="NQ35" i="1"/>
  <c r="NQ38" i="1"/>
  <c r="NQ34" i="1"/>
  <c r="NQ33" i="1"/>
  <c r="OG32" i="1"/>
  <c r="OG35" i="1"/>
  <c r="OG38" i="1"/>
  <c r="OG34" i="1"/>
  <c r="OG33" i="1"/>
  <c r="OW32" i="1"/>
  <c r="OW35" i="1"/>
  <c r="OW38" i="1"/>
  <c r="OW34" i="1"/>
  <c r="OW33" i="1"/>
  <c r="PM32" i="1"/>
  <c r="PM35" i="1"/>
  <c r="PM38" i="1"/>
  <c r="PM34" i="1"/>
  <c r="PM33" i="1"/>
  <c r="QC32" i="1"/>
  <c r="QC35" i="1"/>
  <c r="QC38" i="1"/>
  <c r="QC34" i="1"/>
  <c r="QC33" i="1"/>
  <c r="QS32" i="1"/>
  <c r="QS35" i="1"/>
  <c r="QS38" i="1"/>
  <c r="QS34" i="1"/>
  <c r="QS33" i="1"/>
  <c r="RI32" i="1"/>
  <c r="RI35" i="1"/>
  <c r="RI38" i="1"/>
  <c r="RI34" i="1"/>
  <c r="RI33" i="1"/>
  <c r="RY32" i="1"/>
  <c r="RY35" i="1"/>
  <c r="RY38" i="1"/>
  <c r="RY34" i="1"/>
  <c r="RY33" i="1"/>
  <c r="SO32" i="1"/>
  <c r="SO35" i="1"/>
  <c r="SO38" i="1"/>
  <c r="SO34" i="1"/>
  <c r="SO33" i="1"/>
  <c r="TE32" i="1"/>
  <c r="TE35" i="1"/>
  <c r="TE38" i="1"/>
  <c r="TE34" i="1"/>
  <c r="TE33" i="1"/>
  <c r="TU32" i="1"/>
  <c r="TU35" i="1"/>
  <c r="TU38" i="1"/>
  <c r="TU34" i="1"/>
  <c r="TU33" i="1"/>
  <c r="UK32" i="1"/>
  <c r="UK35" i="1"/>
  <c r="UK34" i="1"/>
  <c r="UK38" i="1"/>
  <c r="UK33" i="1"/>
  <c r="VA38" i="1"/>
  <c r="VA32" i="1"/>
  <c r="VA35" i="1"/>
  <c r="VA34" i="1"/>
  <c r="VA33" i="1"/>
  <c r="VQ32" i="1"/>
  <c r="VQ38" i="1"/>
  <c r="VQ35" i="1"/>
  <c r="VQ34" i="1"/>
  <c r="VQ33" i="1"/>
  <c r="WG32" i="1"/>
  <c r="WG35" i="1"/>
  <c r="WG38" i="1"/>
  <c r="WG34" i="1"/>
  <c r="WG33" i="1"/>
  <c r="WW32" i="1"/>
  <c r="WW35" i="1"/>
  <c r="WW34" i="1"/>
  <c r="WW33" i="1"/>
  <c r="WW38" i="1"/>
  <c r="XM38" i="1"/>
  <c r="XM32" i="1"/>
  <c r="XM35" i="1"/>
  <c r="XM34" i="1"/>
  <c r="XM33" i="1"/>
  <c r="YC32" i="1"/>
  <c r="YC38" i="1"/>
  <c r="YC35" i="1"/>
  <c r="YC34" i="1"/>
  <c r="YC33" i="1"/>
  <c r="YS32" i="1"/>
  <c r="YS35" i="1"/>
  <c r="YS38" i="1"/>
  <c r="YS34" i="1"/>
  <c r="YS33" i="1"/>
  <c r="ZI32" i="1"/>
  <c r="ZI35" i="1"/>
  <c r="ZI34" i="1"/>
  <c r="ZI38" i="1"/>
  <c r="ZI33" i="1"/>
  <c r="ZY38" i="1"/>
  <c r="ZY32" i="1"/>
  <c r="ZY35" i="1"/>
  <c r="ZY34" i="1"/>
  <c r="ZY33" i="1"/>
  <c r="AAO32" i="1"/>
  <c r="AAO38" i="1"/>
  <c r="AAO35" i="1"/>
  <c r="AAO34" i="1"/>
  <c r="AAO33" i="1"/>
  <c r="ABE32" i="1"/>
  <c r="ABE35" i="1"/>
  <c r="ABE38" i="1"/>
  <c r="ABE34" i="1"/>
  <c r="ABE33" i="1"/>
  <c r="DE48" i="1"/>
  <c r="DE47" i="1"/>
  <c r="DE46" i="1"/>
  <c r="YE40" i="1"/>
  <c r="YE42" i="1"/>
  <c r="YE41" i="1"/>
  <c r="XJ40" i="1"/>
  <c r="XJ42" i="1"/>
  <c r="XJ41" i="1"/>
  <c r="TG46" i="1"/>
  <c r="TG47" i="1"/>
  <c r="SL48" i="1"/>
  <c r="SL46" i="1"/>
  <c r="SL47" i="1"/>
  <c r="LL51" i="1"/>
  <c r="LL49" i="1"/>
  <c r="LL50" i="1"/>
  <c r="IZ42" i="1"/>
  <c r="IZ40" i="1"/>
  <c r="IZ36" i="1"/>
  <c r="IZ41" i="1"/>
  <c r="IP43" i="1"/>
  <c r="IP44" i="1"/>
  <c r="DI50" i="1"/>
  <c r="DI49" i="1"/>
  <c r="CS48" i="1"/>
  <c r="CS47" i="1"/>
  <c r="CC36" i="1"/>
  <c r="CC42" i="1"/>
  <c r="CC41" i="1"/>
  <c r="CC40" i="1"/>
  <c r="AW50" i="1"/>
  <c r="AW49" i="1"/>
  <c r="VG38" i="1"/>
  <c r="VG34" i="1"/>
  <c r="VG33" i="1"/>
  <c r="VG32" i="1"/>
  <c r="UL46" i="1"/>
  <c r="UL47" i="1"/>
  <c r="OR47" i="1"/>
  <c r="OR46" i="1"/>
  <c r="OR48" i="1"/>
  <c r="NL49" i="1"/>
  <c r="NL50" i="1"/>
  <c r="NB42" i="1"/>
  <c r="NB40" i="1"/>
  <c r="NB41" i="1"/>
  <c r="NB36" i="1"/>
  <c r="HS38" i="1"/>
  <c r="HS34" i="1"/>
  <c r="HS33" i="1"/>
  <c r="HS32" i="1"/>
  <c r="HH44" i="1"/>
  <c r="HH43" i="1"/>
  <c r="HH45" i="1"/>
  <c r="GX46" i="1"/>
  <c r="GX47" i="1"/>
  <c r="EL45" i="1"/>
  <c r="EL43" i="1"/>
  <c r="EL44" i="1"/>
  <c r="DP47" i="1"/>
  <c r="DP46" i="1"/>
  <c r="DP48" i="1"/>
  <c r="DH44" i="1"/>
  <c r="DH43" i="1"/>
  <c r="CZ42" i="1"/>
  <c r="CZ40" i="1"/>
  <c r="CZ36" i="1"/>
  <c r="CZ41" i="1"/>
  <c r="X47" i="1"/>
  <c r="X46" i="1"/>
  <c r="Y34" i="1"/>
  <c r="P44" i="1"/>
  <c r="P43" i="1"/>
  <c r="H42" i="1"/>
  <c r="H36" i="1"/>
  <c r="H40" i="1"/>
  <c r="NS38" i="1"/>
  <c r="NS34" i="1"/>
  <c r="NS33" i="1"/>
  <c r="NS32" i="1"/>
  <c r="LR48" i="1"/>
  <c r="LR46" i="1"/>
  <c r="LR47" i="1"/>
  <c r="UZ47" i="1"/>
  <c r="UZ46" i="1"/>
  <c r="UZ48" i="1"/>
  <c r="LD47" i="1"/>
  <c r="LD46" i="1"/>
  <c r="LD48" i="1"/>
  <c r="FD42" i="1"/>
  <c r="FD40" i="1"/>
  <c r="FD36" i="1"/>
  <c r="EZ42" i="1"/>
  <c r="EZ40" i="1"/>
  <c r="EZ36" i="1"/>
  <c r="EZ41" i="1"/>
  <c r="XX47" i="1"/>
  <c r="XX46" i="1"/>
  <c r="XX48" i="1"/>
  <c r="XX44" i="1"/>
  <c r="XX45" i="1"/>
  <c r="WR42" i="1"/>
  <c r="WR36" i="1"/>
  <c r="WR40" i="1"/>
  <c r="WR41" i="1"/>
  <c r="WH43" i="1"/>
  <c r="WH44" i="1"/>
  <c r="WH45" i="1"/>
  <c r="QN51" i="1"/>
  <c r="QN50" i="1"/>
  <c r="QD42" i="1"/>
  <c r="QD40" i="1"/>
  <c r="QD36" i="1"/>
  <c r="QD41" i="1"/>
  <c r="KU38" i="1"/>
  <c r="KU34" i="1"/>
  <c r="KU33" i="1"/>
  <c r="KU32" i="1"/>
  <c r="KJ44" i="1"/>
  <c r="KJ45" i="1"/>
  <c r="JZ46" i="1"/>
  <c r="JZ47" i="1"/>
  <c r="JZ48" i="1"/>
  <c r="AAQ44" i="1"/>
  <c r="AAQ43" i="1"/>
  <c r="MR40" i="1"/>
  <c r="MR42" i="1"/>
  <c r="MR36" i="1"/>
  <c r="MR41" i="1"/>
  <c r="IE42" i="1"/>
  <c r="IE40" i="1"/>
  <c r="IE41" i="1"/>
  <c r="HJ42" i="1"/>
  <c r="HJ40" i="1"/>
  <c r="HJ41" i="1"/>
  <c r="YJ36" i="1"/>
  <c r="YJ42" i="1"/>
  <c r="YJ40" i="1"/>
  <c r="ON42" i="1"/>
  <c r="ON40" i="1"/>
  <c r="ON36" i="1"/>
  <c r="XC44" i="1"/>
  <c r="XC43" i="1"/>
  <c r="XC45" i="1"/>
  <c r="SU42" i="1"/>
  <c r="SU40" i="1"/>
  <c r="SU41" i="1"/>
  <c r="PC46" i="1"/>
  <c r="PC48" i="1"/>
  <c r="PC47" i="1"/>
  <c r="HO44" i="1"/>
  <c r="HO43" i="1"/>
  <c r="HO45" i="1"/>
  <c r="PL46" i="1"/>
  <c r="PL48" i="1"/>
  <c r="WN44" i="1"/>
  <c r="WN43" i="1"/>
  <c r="WN45" i="1"/>
  <c r="PD40" i="1"/>
  <c r="PD42" i="1"/>
  <c r="PD36" i="1"/>
  <c r="PD41" i="1"/>
  <c r="EM51" i="1"/>
  <c r="EM50" i="1"/>
  <c r="EM49" i="1"/>
  <c r="OV47" i="1"/>
  <c r="OV46" i="1"/>
  <c r="OV48" i="1"/>
  <c r="ZT42" i="1"/>
  <c r="ZT36" i="1"/>
  <c r="ZT40" i="1"/>
  <c r="TF42" i="1"/>
  <c r="TF36" i="1"/>
  <c r="TF40" i="1"/>
  <c r="TF41" i="1"/>
  <c r="MF42" i="1"/>
  <c r="MF40" i="1"/>
  <c r="MF36" i="1"/>
  <c r="MF41" i="1"/>
  <c r="GB47" i="1"/>
  <c r="GB46" i="1"/>
  <c r="GB48" i="1"/>
  <c r="TD46" i="1"/>
  <c r="TD48" i="1"/>
  <c r="KL44" i="1"/>
  <c r="KL43" i="1"/>
  <c r="EN35" i="1"/>
  <c r="VB46" i="1"/>
  <c r="VB47" i="1"/>
  <c r="VB48" i="1"/>
  <c r="JD47" i="1"/>
  <c r="JD46" i="1"/>
  <c r="JD48" i="1"/>
  <c r="HX51" i="1"/>
  <c r="HX50" i="1"/>
  <c r="HX49" i="1"/>
  <c r="CV40" i="1"/>
  <c r="CV42" i="1"/>
  <c r="CV36" i="1"/>
  <c r="CV41" i="1"/>
  <c r="CF51" i="1"/>
  <c r="CF50" i="1"/>
  <c r="CF49" i="1"/>
  <c r="UM46" i="1"/>
  <c r="UM47" i="1"/>
  <c r="LW40" i="1"/>
  <c r="LW42" i="1"/>
  <c r="LW41" i="1"/>
  <c r="GN44" i="1"/>
  <c r="GN45" i="1"/>
  <c r="BE36" i="1"/>
  <c r="BE40" i="1"/>
  <c r="BE41" i="1"/>
  <c r="BE42" i="1"/>
  <c r="XD44" i="1"/>
  <c r="XD43" i="1"/>
  <c r="XD45" i="1"/>
  <c r="KV51" i="1"/>
  <c r="KV50" i="1"/>
  <c r="ABG44" i="1"/>
  <c r="ABG43" i="1"/>
  <c r="WI42" i="1"/>
  <c r="WI40" i="1"/>
  <c r="WI41" i="1"/>
  <c r="RK46" i="1"/>
  <c r="RK48" i="1"/>
  <c r="RK47" i="1"/>
  <c r="MM44" i="1"/>
  <c r="MM43" i="1"/>
  <c r="GI42" i="1"/>
  <c r="GI40" i="1"/>
  <c r="GI41" i="1"/>
  <c r="EQ46" i="1"/>
  <c r="EQ48" i="1"/>
  <c r="EQ47" i="1"/>
  <c r="AK51" i="1"/>
  <c r="QZ46" i="1"/>
  <c r="HT46" i="1"/>
  <c r="HD46" i="1"/>
  <c r="KV49" i="1"/>
  <c r="PL47" i="1"/>
  <c r="JH47" i="1"/>
  <c r="BU41" i="1"/>
  <c r="YZ36" i="1"/>
  <c r="YZ40" i="1"/>
  <c r="YZ42" i="1"/>
  <c r="YZ41" i="1"/>
  <c r="NC46" i="1"/>
  <c r="NC47" i="1"/>
  <c r="MH48" i="1"/>
  <c r="MH46" i="1"/>
  <c r="MH47" i="1"/>
  <c r="WB51" i="1"/>
  <c r="WB50" i="1"/>
  <c r="WB49" i="1"/>
  <c r="VR44" i="1"/>
  <c r="VR43" i="1"/>
  <c r="VR45" i="1"/>
  <c r="RD47" i="1"/>
  <c r="RD46" i="1"/>
  <c r="RD48" i="1"/>
  <c r="PX42" i="1"/>
  <c r="PX36" i="1"/>
  <c r="PX40" i="1"/>
  <c r="PN44" i="1"/>
  <c r="PN43" i="1"/>
  <c r="PN45" i="1"/>
  <c r="JT47" i="1"/>
  <c r="JT46" i="1"/>
  <c r="JT48" i="1"/>
  <c r="IN42" i="1"/>
  <c r="IN36" i="1"/>
  <c r="IN40" i="1"/>
  <c r="ID45" i="1"/>
  <c r="ID44" i="1"/>
  <c r="XO38" i="1"/>
  <c r="XO34" i="1"/>
  <c r="XO33" i="1"/>
  <c r="XO32" i="1"/>
  <c r="XO35" i="1"/>
  <c r="VN48" i="1"/>
  <c r="VN46" i="1"/>
  <c r="VN47" i="1"/>
  <c r="QE38" i="1"/>
  <c r="QE34" i="1"/>
  <c r="QE33" i="1"/>
  <c r="QE32" i="1"/>
  <c r="OD44" i="1"/>
  <c r="OD43" i="1"/>
  <c r="HZ48" i="1"/>
  <c r="HZ46" i="1"/>
  <c r="HZ47" i="1"/>
  <c r="EJ51" i="1"/>
  <c r="EJ49" i="1"/>
  <c r="DX47" i="1"/>
  <c r="DX48" i="1"/>
  <c r="DX46" i="1"/>
  <c r="ZO38" i="1"/>
  <c r="ZO34" i="1"/>
  <c r="ZO33" i="1"/>
  <c r="ZO32" i="1"/>
  <c r="ZD44" i="1"/>
  <c r="ZD45" i="1"/>
  <c r="YT46" i="1"/>
  <c r="YT47" i="1"/>
  <c r="YT48" i="1"/>
  <c r="SE38" i="1"/>
  <c r="SE34" i="1"/>
  <c r="SE33" i="1"/>
  <c r="SE32" i="1"/>
  <c r="SE35" i="1"/>
  <c r="RT44" i="1"/>
  <c r="RT45" i="1"/>
  <c r="RJ46" i="1"/>
  <c r="RJ47" i="1"/>
  <c r="RJ48" i="1"/>
  <c r="LP42" i="1"/>
  <c r="LP36" i="1"/>
  <c r="LP40" i="1"/>
  <c r="LP41" i="1"/>
  <c r="LF44" i="1"/>
  <c r="LF45" i="1"/>
  <c r="FW38" i="1"/>
  <c r="FW34" i="1"/>
  <c r="FW33" i="1"/>
  <c r="FW32" i="1"/>
  <c r="FL44" i="1"/>
  <c r="FL45" i="1"/>
  <c r="AZ44" i="1"/>
  <c r="AZ43" i="1"/>
  <c r="AZ45" i="1"/>
  <c r="AR44" i="1"/>
  <c r="AR43" i="1"/>
  <c r="AR45" i="1"/>
  <c r="AJ40" i="1"/>
  <c r="AJ36" i="1"/>
  <c r="AJ42" i="1"/>
  <c r="AK32" i="1"/>
  <c r="AJ41" i="1"/>
  <c r="AB42" i="1"/>
  <c r="AB40" i="1"/>
  <c r="AB36" i="1"/>
  <c r="AB41" i="1"/>
  <c r="T51" i="1"/>
  <c r="T49" i="1"/>
  <c r="T50" i="1"/>
  <c r="AAA37" i="1"/>
  <c r="AAA23" i="1"/>
  <c r="AAA22" i="1"/>
  <c r="ZC38" i="1"/>
  <c r="ZC34" i="1"/>
  <c r="ZC33" i="1"/>
  <c r="ZC32" i="1"/>
  <c r="YI37" i="1"/>
  <c r="YI23" i="1"/>
  <c r="YI22" i="1"/>
  <c r="WE38" i="1"/>
  <c r="WE34" i="1"/>
  <c r="WE33" i="1"/>
  <c r="WE32" i="1"/>
  <c r="WE35" i="1"/>
  <c r="VW37" i="1"/>
  <c r="VW35" i="1" s="1"/>
  <c r="VW23" i="1"/>
  <c r="VW22" i="1"/>
  <c r="UY37" i="1"/>
  <c r="UY23" i="1"/>
  <c r="UY22" i="1"/>
  <c r="TG37" i="1"/>
  <c r="TG35" i="1" s="1"/>
  <c r="TG23" i="1"/>
  <c r="TG22" i="1"/>
  <c r="SM38" i="1"/>
  <c r="SM34" i="1"/>
  <c r="SM33" i="1"/>
  <c r="SM32" i="1"/>
  <c r="SE37" i="1"/>
  <c r="SE23" i="1"/>
  <c r="SE22" i="1"/>
  <c r="RC38" i="1"/>
  <c r="RC34" i="1"/>
  <c r="RC33" i="1"/>
  <c r="RC32" i="1"/>
  <c r="QM37" i="1"/>
  <c r="QM23" i="1"/>
  <c r="QM22" i="1"/>
  <c r="PO37" i="1"/>
  <c r="PO35" i="1" s="1"/>
  <c r="PO23" i="1"/>
  <c r="PO22" i="1"/>
  <c r="OU37" i="1"/>
  <c r="OU23" i="1"/>
  <c r="OU22" i="1"/>
  <c r="MY38" i="1"/>
  <c r="MY34" i="1"/>
  <c r="MY33" i="1"/>
  <c r="MY32" i="1"/>
  <c r="MY35" i="1"/>
  <c r="MQ37" i="1"/>
  <c r="MQ35" i="1" s="1"/>
  <c r="MQ23" i="1"/>
  <c r="MQ22" i="1"/>
  <c r="LS37" i="1"/>
  <c r="LS23" i="1"/>
  <c r="LS22" i="1"/>
  <c r="KM38" i="1"/>
  <c r="KM34" i="1"/>
  <c r="KM33" i="1"/>
  <c r="KM32" i="1"/>
  <c r="KE37" i="1"/>
  <c r="KE23" i="1"/>
  <c r="KE22" i="1"/>
  <c r="JC38" i="1"/>
  <c r="JC34" i="1"/>
  <c r="JC33" i="1"/>
  <c r="JC32" i="1"/>
  <c r="II37" i="1"/>
  <c r="II23" i="1"/>
  <c r="II22" i="1"/>
  <c r="HK37" i="1"/>
  <c r="HK23" i="1"/>
  <c r="HK22" i="1"/>
  <c r="GE38" i="1"/>
  <c r="GE34" i="1"/>
  <c r="GE33" i="1"/>
  <c r="GE32" i="1"/>
  <c r="FW37" i="1"/>
  <c r="FW23" i="1"/>
  <c r="FW22" i="1"/>
  <c r="FK37" i="1"/>
  <c r="FK23" i="1"/>
  <c r="FK22" i="1"/>
  <c r="EM37" i="1"/>
  <c r="EM23" i="1"/>
  <c r="EM22" i="1"/>
  <c r="DO38" i="1"/>
  <c r="DO34" i="1"/>
  <c r="DO33" i="1"/>
  <c r="DO32" i="1"/>
  <c r="DO35" i="1"/>
  <c r="CQ37" i="1"/>
  <c r="CQ23" i="1"/>
  <c r="CQ22" i="1"/>
  <c r="CI38" i="1"/>
  <c r="CI34" i="1"/>
  <c r="CI33" i="1"/>
  <c r="CI32" i="1"/>
  <c r="CI35" i="1"/>
  <c r="BO37" i="1"/>
  <c r="BO23" i="1"/>
  <c r="BO22" i="1"/>
  <c r="BG38" i="1"/>
  <c r="BG34" i="1"/>
  <c r="BG33" i="1"/>
  <c r="BG32" i="1"/>
  <c r="BG35" i="1"/>
  <c r="AI37" i="1"/>
  <c r="AI23" i="1"/>
  <c r="AI22" i="1"/>
  <c r="AA38" i="1"/>
  <c r="AA34" i="1"/>
  <c r="AA33" i="1"/>
  <c r="AA32" i="1"/>
  <c r="AA35" i="1"/>
  <c r="G37" i="1"/>
  <c r="G23" i="1"/>
  <c r="G22" i="1"/>
  <c r="WY44" i="1"/>
  <c r="WY43" i="1"/>
  <c r="WD44" i="1"/>
  <c r="WD43" i="1"/>
  <c r="PO42" i="1"/>
  <c r="PO40" i="1"/>
  <c r="PO36" i="1"/>
  <c r="PO41" i="1"/>
  <c r="OT42" i="1"/>
  <c r="OT40" i="1"/>
  <c r="OT41" i="1"/>
  <c r="JK44" i="1"/>
  <c r="JK43" i="1"/>
  <c r="DR40" i="1"/>
  <c r="DR36" i="1"/>
  <c r="DR42" i="1"/>
  <c r="DA36" i="1"/>
  <c r="DA40" i="1"/>
  <c r="DA41" i="1"/>
  <c r="DA42" i="1"/>
  <c r="SF44" i="1"/>
  <c r="SF43" i="1"/>
  <c r="SF45" i="1"/>
  <c r="IJ44" i="1"/>
  <c r="IJ43" i="1"/>
  <c r="IJ45" i="1"/>
  <c r="ER42" i="1"/>
  <c r="ER40" i="1"/>
  <c r="ER36" i="1"/>
  <c r="ER41" i="1"/>
  <c r="YY46" i="1"/>
  <c r="YY48" i="1"/>
  <c r="YY47" i="1"/>
  <c r="TK44" i="1"/>
  <c r="TK43" i="1"/>
  <c r="TK45" i="1"/>
  <c r="QI42" i="1"/>
  <c r="QI40" i="1"/>
  <c r="QI41" i="1"/>
  <c r="IY46" i="1"/>
  <c r="IY48" i="1"/>
  <c r="IY47" i="1"/>
  <c r="ZH46" i="1"/>
  <c r="ZH48" i="1"/>
  <c r="I45" i="1"/>
  <c r="I43" i="1"/>
  <c r="I44" i="1"/>
  <c r="RP49" i="1"/>
  <c r="RP50" i="1"/>
  <c r="FH51" i="1"/>
  <c r="FH49" i="1"/>
  <c r="FH50" i="1"/>
  <c r="YR47" i="1"/>
  <c r="YR46" i="1"/>
  <c r="YR48" i="1"/>
  <c r="EZ47" i="1"/>
  <c r="EZ46" i="1"/>
  <c r="EZ48" i="1"/>
  <c r="AAZ44" i="1"/>
  <c r="AAZ45" i="1"/>
  <c r="ZJ44" i="1"/>
  <c r="ZJ43" i="1"/>
  <c r="ZJ45" i="1"/>
  <c r="RV48" i="1"/>
  <c r="RV46" i="1"/>
  <c r="RV47" i="1"/>
  <c r="AS49" i="1"/>
  <c r="AS51" i="1"/>
  <c r="VW38" i="1"/>
  <c r="VW34" i="1"/>
  <c r="VW33" i="1"/>
  <c r="VW32" i="1"/>
  <c r="OX46" i="1"/>
  <c r="OX47" i="1"/>
  <c r="OX48" i="1"/>
  <c r="HN42" i="1"/>
  <c r="HN40" i="1"/>
  <c r="HN36" i="1"/>
  <c r="DD44" i="1"/>
  <c r="DD43" i="1"/>
  <c r="DD45" i="1"/>
  <c r="DE33" i="1"/>
  <c r="CN42" i="1"/>
  <c r="CN40" i="1"/>
  <c r="CN36" i="1"/>
  <c r="CN41" i="1"/>
  <c r="YP42" i="1"/>
  <c r="YP40" i="1"/>
  <c r="YP41" i="1"/>
  <c r="LB40" i="1"/>
  <c r="LB42" i="1"/>
  <c r="LB41" i="1"/>
  <c r="AO36" i="1"/>
  <c r="AO40" i="1"/>
  <c r="AO41" i="1"/>
  <c r="AO42" i="1"/>
  <c r="UR51" i="1"/>
  <c r="UM48" i="1"/>
  <c r="HD48" i="1"/>
  <c r="HT48" i="1"/>
  <c r="QZ48" i="1"/>
  <c r="UR49" i="1"/>
  <c r="TD47" i="1"/>
  <c r="MM45" i="1"/>
  <c r="ABG45" i="1"/>
  <c r="PH43" i="1"/>
  <c r="GN43" i="1"/>
  <c r="ZT41" i="1"/>
  <c r="ABC37" i="1"/>
  <c r="ABC35" i="1" s="1"/>
  <c r="ABC23" i="1"/>
  <c r="ABC22" i="1"/>
  <c r="AAQ37" i="1"/>
  <c r="AAQ35" i="1" s="1"/>
  <c r="AAQ23" i="1"/>
  <c r="AAQ22" i="1"/>
  <c r="ZW37" i="1"/>
  <c r="ZW23" i="1"/>
  <c r="ZW22" i="1"/>
  <c r="YQ38" i="1"/>
  <c r="YQ34" i="1"/>
  <c r="YQ33" i="1"/>
  <c r="YQ32" i="1"/>
  <c r="YM37" i="1"/>
  <c r="YM23" i="1"/>
  <c r="YM22" i="1"/>
  <c r="WQ38" i="1"/>
  <c r="WQ34" i="1"/>
  <c r="WQ33" i="1"/>
  <c r="WQ32" i="1"/>
  <c r="WA37" i="1"/>
  <c r="WA23" i="1"/>
  <c r="WA22" i="1"/>
  <c r="VC37" i="1"/>
  <c r="VC35" i="1" s="1"/>
  <c r="VC23" i="1"/>
  <c r="VC22" i="1"/>
  <c r="UE38" i="1"/>
  <c r="UE34" i="1"/>
  <c r="UE33" i="1"/>
  <c r="UE32" i="1"/>
  <c r="TC38" i="1"/>
  <c r="TC34" i="1"/>
  <c r="TC33" i="1"/>
  <c r="TC32" i="1"/>
  <c r="SU37" i="1"/>
  <c r="SU35" i="1" s="1"/>
  <c r="SU36" i="1" s="1"/>
  <c r="SU23" i="1"/>
  <c r="SU22" i="1"/>
  <c r="SI37" i="1"/>
  <c r="SI23" i="1"/>
  <c r="SI22" i="1"/>
  <c r="RK37" i="1"/>
  <c r="RK35" i="1" s="1"/>
  <c r="RK23" i="1"/>
  <c r="RK22" i="1"/>
  <c r="QQ37" i="1"/>
  <c r="QQ23" i="1"/>
  <c r="QQ22" i="1"/>
  <c r="PK38" i="1"/>
  <c r="PK34" i="1"/>
  <c r="PK33" i="1"/>
  <c r="PK32" i="1"/>
  <c r="PC37" i="1"/>
  <c r="PC35" i="1" s="1"/>
  <c r="PC23" i="1"/>
  <c r="PC22" i="1"/>
  <c r="OA38" i="1"/>
  <c r="OA34" i="1"/>
  <c r="OA33" i="1"/>
  <c r="OA32" i="1"/>
  <c r="NC37" i="1"/>
  <c r="NC35" i="1" s="1"/>
  <c r="NC23" i="1"/>
  <c r="NC22" i="1"/>
  <c r="ME38" i="1"/>
  <c r="ME34" i="1"/>
  <c r="ME33" i="1"/>
  <c r="ME32" i="1"/>
  <c r="LO37" i="1"/>
  <c r="LO35" i="1" s="1"/>
  <c r="LO23" i="1"/>
  <c r="LO22" i="1"/>
  <c r="KQ37" i="1"/>
  <c r="KQ35" i="1" s="1"/>
  <c r="KQ23" i="1"/>
  <c r="KQ22" i="1"/>
  <c r="JS38" i="1"/>
  <c r="JS34" i="1"/>
  <c r="JS33" i="1"/>
  <c r="JS32" i="1"/>
  <c r="IQ38" i="1"/>
  <c r="IQ34" i="1"/>
  <c r="IQ33" i="1"/>
  <c r="IQ32" i="1"/>
  <c r="IM37" i="1"/>
  <c r="IM23" i="1"/>
  <c r="IM22" i="1"/>
  <c r="HO37" i="1"/>
  <c r="HO35" i="1" s="1"/>
  <c r="HO23" i="1"/>
  <c r="HO22" i="1"/>
  <c r="GQ38" i="1"/>
  <c r="GQ34" i="1"/>
  <c r="GQ33" i="1"/>
  <c r="GQ32" i="1"/>
  <c r="GQ35" i="1"/>
  <c r="GA37" i="1"/>
  <c r="GA23" i="1"/>
  <c r="GA22" i="1"/>
  <c r="FO37" i="1"/>
  <c r="FO35" i="1" s="1"/>
  <c r="FO23" i="1"/>
  <c r="FO22" i="1"/>
  <c r="EI38" i="1"/>
  <c r="EI34" i="1"/>
  <c r="EI33" i="1"/>
  <c r="EI32" i="1"/>
  <c r="EI35" i="1"/>
  <c r="EA37" i="1"/>
  <c r="EA23" i="1"/>
  <c r="EA22" i="1"/>
  <c r="DC37" i="1"/>
  <c r="DC23" i="1"/>
  <c r="DC22" i="1"/>
  <c r="CU38" i="1"/>
  <c r="CU34" i="1"/>
  <c r="CU33" i="1"/>
  <c r="CU32" i="1"/>
  <c r="CU35" i="1"/>
  <c r="BS37" i="1"/>
  <c r="BS23" i="1"/>
  <c r="BS22" i="1"/>
  <c r="BK38" i="1"/>
  <c r="BK34" i="1"/>
  <c r="BK33" i="1"/>
  <c r="BK32" i="1"/>
  <c r="BK35" i="1"/>
  <c r="AM37" i="1"/>
  <c r="AM23" i="1"/>
  <c r="AM22" i="1"/>
  <c r="AE38" i="1"/>
  <c r="AE34" i="1"/>
  <c r="AE33" i="1"/>
  <c r="AE32" i="1"/>
  <c r="AE35" i="1"/>
  <c r="ABB44" i="1"/>
  <c r="ABB43" i="1"/>
  <c r="VS44" i="1"/>
  <c r="VS43" i="1"/>
  <c r="UX44" i="1"/>
  <c r="UX43" i="1"/>
  <c r="OI40" i="1"/>
  <c r="OI42" i="1"/>
  <c r="OI36" i="1"/>
  <c r="OI41" i="1"/>
  <c r="GY46" i="1"/>
  <c r="GY47" i="1"/>
  <c r="YN44" i="1"/>
  <c r="YN45" i="1"/>
  <c r="XH51" i="1"/>
  <c r="XH49" i="1"/>
  <c r="XH50" i="1"/>
  <c r="WX42" i="1"/>
  <c r="WX36" i="1"/>
  <c r="WX40" i="1"/>
  <c r="WX41" i="1"/>
  <c r="SJ44" i="1"/>
  <c r="SJ45" i="1"/>
  <c r="RZ46" i="1"/>
  <c r="RZ47" i="1"/>
  <c r="LK38" i="1"/>
  <c r="LK34" i="1"/>
  <c r="LK33" i="1"/>
  <c r="LK32" i="1"/>
  <c r="KZ44" i="1"/>
  <c r="KZ45" i="1"/>
  <c r="KZ43" i="1"/>
  <c r="KP46" i="1"/>
  <c r="KP47" i="1"/>
  <c r="CB44" i="1"/>
  <c r="CB43" i="1"/>
  <c r="BT42" i="1"/>
  <c r="BT36" i="1"/>
  <c r="BT40" i="1"/>
  <c r="BL51" i="1"/>
  <c r="BL49" i="1"/>
  <c r="BL50" i="1"/>
  <c r="BD47" i="1"/>
  <c r="BD46" i="1"/>
  <c r="AV44" i="1"/>
  <c r="AV43" i="1"/>
  <c r="AAA38" i="1"/>
  <c r="AAA34" i="1"/>
  <c r="AAA33" i="1"/>
  <c r="AAA32" i="1"/>
  <c r="AAA35" i="1"/>
  <c r="JF42" i="1"/>
  <c r="JF40" i="1"/>
  <c r="JF41" i="1"/>
  <c r="DE49" i="1"/>
  <c r="DE51" i="1"/>
  <c r="CW49" i="1"/>
  <c r="CW50" i="1"/>
  <c r="CO48" i="1"/>
  <c r="CO47" i="1"/>
  <c r="CO46" i="1"/>
  <c r="CG43" i="1"/>
  <c r="CG45" i="1"/>
  <c r="BY49" i="1"/>
  <c r="BY51" i="1"/>
  <c r="BQ49" i="1"/>
  <c r="BQ50" i="1"/>
  <c r="AC48" i="1"/>
  <c r="AC47" i="1"/>
  <c r="AC46" i="1"/>
  <c r="U43" i="1"/>
  <c r="U45" i="1"/>
  <c r="M49" i="1"/>
  <c r="M51" i="1"/>
  <c r="ABH42" i="1"/>
  <c r="ABH36" i="1"/>
  <c r="ABH40" i="1"/>
  <c r="ABH41" i="1"/>
  <c r="ABD42" i="1"/>
  <c r="ABD40" i="1"/>
  <c r="ABD36" i="1"/>
  <c r="AAR49" i="1"/>
  <c r="AAR50" i="1"/>
  <c r="AAR51" i="1"/>
  <c r="AAB47" i="1"/>
  <c r="AAB48" i="1"/>
  <c r="AAB46" i="1"/>
  <c r="ZL44" i="1"/>
  <c r="ZL45" i="1"/>
  <c r="ZL43" i="1"/>
  <c r="ZH44" i="1"/>
  <c r="ZH43" i="1"/>
  <c r="YV42" i="1"/>
  <c r="YV36" i="1"/>
  <c r="YV40" i="1"/>
  <c r="YV41" i="1"/>
  <c r="YR42" i="1"/>
  <c r="YR40" i="1"/>
  <c r="YR36" i="1"/>
  <c r="YF49" i="1"/>
  <c r="YF50" i="1"/>
  <c r="YF51" i="1"/>
  <c r="XP47" i="1"/>
  <c r="XP48" i="1"/>
  <c r="XP46" i="1"/>
  <c r="WZ44" i="1"/>
  <c r="WZ45" i="1"/>
  <c r="WZ43" i="1"/>
  <c r="WV44" i="1"/>
  <c r="WV43" i="1"/>
  <c r="WJ42" i="1"/>
  <c r="WJ36" i="1"/>
  <c r="WJ40" i="1"/>
  <c r="WJ41" i="1"/>
  <c r="WF42" i="1"/>
  <c r="WF40" i="1"/>
  <c r="WF36" i="1"/>
  <c r="VT49" i="1"/>
  <c r="VT51" i="1"/>
  <c r="VP49" i="1"/>
  <c r="VP50" i="1"/>
  <c r="VD47" i="1"/>
  <c r="VD48" i="1"/>
  <c r="VD46" i="1"/>
  <c r="UN44" i="1"/>
  <c r="UN45" i="1"/>
  <c r="UN43" i="1"/>
  <c r="UJ44" i="1"/>
  <c r="UJ43" i="1"/>
  <c r="TX42" i="1"/>
  <c r="TX36" i="1"/>
  <c r="TX40" i="1"/>
  <c r="TX41" i="1"/>
  <c r="TT42" i="1"/>
  <c r="TT40" i="1"/>
  <c r="TT36" i="1"/>
  <c r="TH49" i="1"/>
  <c r="TH51" i="1"/>
  <c r="TD49" i="1"/>
  <c r="TD50" i="1"/>
  <c r="SR47" i="1"/>
  <c r="SR48" i="1"/>
  <c r="SR46" i="1"/>
  <c r="SB44" i="1"/>
  <c r="SB45" i="1"/>
  <c r="SB43" i="1"/>
  <c r="RX44" i="1"/>
  <c r="RX43" i="1"/>
  <c r="RL42" i="1"/>
  <c r="RL40" i="1"/>
  <c r="RL36" i="1"/>
  <c r="RL41" i="1"/>
  <c r="RH42" i="1"/>
  <c r="RH40" i="1"/>
  <c r="RH36" i="1"/>
  <c r="QV51" i="1"/>
  <c r="QV49" i="1"/>
  <c r="QR49" i="1"/>
  <c r="QR50" i="1"/>
  <c r="QF47" i="1"/>
  <c r="QF48" i="1"/>
  <c r="QF46" i="1"/>
  <c r="PP44" i="1"/>
  <c r="PP45" i="1"/>
  <c r="PL44" i="1"/>
  <c r="PL43" i="1"/>
  <c r="OZ42" i="1"/>
  <c r="OZ40" i="1"/>
  <c r="OZ36" i="1"/>
  <c r="OZ41" i="1"/>
  <c r="OV42" i="1"/>
  <c r="OV40" i="1"/>
  <c r="OV36" i="1"/>
  <c r="OJ51" i="1"/>
  <c r="OJ49" i="1"/>
  <c r="OF49" i="1"/>
  <c r="OF50" i="1"/>
  <c r="NT47" i="1"/>
  <c r="NT48" i="1"/>
  <c r="NT46" i="1"/>
  <c r="ND44" i="1"/>
  <c r="ND45" i="1"/>
  <c r="MZ44" i="1"/>
  <c r="MZ43" i="1"/>
  <c r="MN42" i="1"/>
  <c r="MN40" i="1"/>
  <c r="MN36" i="1"/>
  <c r="MN41" i="1"/>
  <c r="MJ42" i="1"/>
  <c r="MJ40" i="1"/>
  <c r="MJ36" i="1"/>
  <c r="LX51" i="1"/>
  <c r="LX49" i="1"/>
  <c r="LT51" i="1"/>
  <c r="LT49" i="1"/>
  <c r="LT50" i="1"/>
  <c r="LH47" i="1"/>
  <c r="LH48" i="1"/>
  <c r="LH46" i="1"/>
  <c r="KR44" i="1"/>
  <c r="KR45" i="1"/>
  <c r="KR43" i="1"/>
  <c r="KN44" i="1"/>
  <c r="KN43" i="1"/>
  <c r="KB42" i="1"/>
  <c r="KB40" i="1"/>
  <c r="KB36" i="1"/>
  <c r="KB41" i="1"/>
  <c r="JX42" i="1"/>
  <c r="JX40" i="1"/>
  <c r="JX36" i="1"/>
  <c r="JL51" i="1"/>
  <c r="JL49" i="1"/>
  <c r="JH51" i="1"/>
  <c r="JH49" i="1"/>
  <c r="JH50" i="1"/>
  <c r="IV47" i="1"/>
  <c r="IV48" i="1"/>
  <c r="IV46" i="1"/>
  <c r="IF44" i="1"/>
  <c r="IF43" i="1"/>
  <c r="IB44" i="1"/>
  <c r="IB43" i="1"/>
  <c r="IB45" i="1"/>
  <c r="HP42" i="1"/>
  <c r="HP40" i="1"/>
  <c r="HP36" i="1"/>
  <c r="HP41" i="1"/>
  <c r="HL42" i="1"/>
  <c r="HL40" i="1"/>
  <c r="HL36" i="1"/>
  <c r="HL41" i="1"/>
  <c r="GZ51" i="1"/>
  <c r="GZ49" i="1"/>
  <c r="GZ50" i="1"/>
  <c r="GV51" i="1"/>
  <c r="GV49" i="1"/>
  <c r="GJ47" i="1"/>
  <c r="GJ48" i="1"/>
  <c r="GJ46" i="1"/>
  <c r="FT44" i="1"/>
  <c r="FT43" i="1"/>
  <c r="ZZ43" i="1"/>
  <c r="ZZ44" i="1"/>
  <c r="ZZ45" i="1"/>
  <c r="UF47" i="1"/>
  <c r="UF46" i="1"/>
  <c r="UF48" i="1"/>
  <c r="SZ42" i="1"/>
  <c r="SZ36" i="1"/>
  <c r="SZ40" i="1"/>
  <c r="SZ41" i="1"/>
  <c r="SP43" i="1"/>
  <c r="SP44" i="1"/>
  <c r="SP45" i="1"/>
  <c r="OB47" i="1"/>
  <c r="OB46" i="1"/>
  <c r="OB48" i="1"/>
  <c r="MV49" i="1"/>
  <c r="MV50" i="1"/>
  <c r="ML42" i="1"/>
  <c r="ML40" i="1"/>
  <c r="ML41" i="1"/>
  <c r="GR42" i="1"/>
  <c r="GR36" i="1"/>
  <c r="GR40" i="1"/>
  <c r="GH45" i="1"/>
  <c r="GH44" i="1"/>
  <c r="GH43" i="1"/>
  <c r="EF51" i="1"/>
  <c r="EF50" i="1"/>
  <c r="EF49" i="1"/>
  <c r="DV42" i="1"/>
  <c r="DV40" i="1"/>
  <c r="DV36" i="1"/>
  <c r="DV41" i="1"/>
  <c r="H4" i="1"/>
  <c r="I4" i="1" s="1"/>
  <c r="XT44" i="1"/>
  <c r="XT43" i="1"/>
  <c r="XT45" i="1"/>
  <c r="SV51" i="1"/>
  <c r="SV49" i="1"/>
  <c r="SV50" i="1"/>
  <c r="QJ42" i="1"/>
  <c r="QJ40" i="1"/>
  <c r="QJ36" i="1"/>
  <c r="QJ41" i="1"/>
  <c r="KF44" i="1"/>
  <c r="KF45" i="1"/>
  <c r="KF43" i="1"/>
  <c r="FS44" i="1"/>
  <c r="FS43" i="1"/>
  <c r="FS45" i="1"/>
  <c r="EX44" i="1"/>
  <c r="EX45" i="1"/>
  <c r="EX43" i="1"/>
  <c r="TL36" i="1"/>
  <c r="TL42" i="1"/>
  <c r="TL40" i="1"/>
  <c r="TL41" i="1"/>
  <c r="JP42" i="1"/>
  <c r="JP40" i="1"/>
  <c r="JP36" i="1"/>
  <c r="JP41" i="1"/>
  <c r="Y45" i="1"/>
  <c r="Y44" i="1"/>
  <c r="AAU42" i="1"/>
  <c r="AAU36" i="1"/>
  <c r="AAU40" i="1"/>
  <c r="AAU41" i="1"/>
  <c r="UA46" i="1"/>
  <c r="UA48" i="1"/>
  <c r="UA47" i="1"/>
  <c r="QY44" i="1"/>
  <c r="QY43" i="1"/>
  <c r="QY45" i="1"/>
  <c r="LG42" i="1"/>
  <c r="LG40" i="1"/>
  <c r="LG41" i="1"/>
  <c r="YX38" i="1"/>
  <c r="YX34" i="1"/>
  <c r="YX33" i="1"/>
  <c r="YX32" i="1"/>
  <c r="WL38" i="1"/>
  <c r="WL34" i="1"/>
  <c r="WL33" i="1"/>
  <c r="WL32" i="1"/>
  <c r="TZ38" i="1"/>
  <c r="TZ34" i="1"/>
  <c r="TZ33" i="1"/>
  <c r="TZ32" i="1"/>
  <c r="RN38" i="1"/>
  <c r="RN34" i="1"/>
  <c r="RN33" i="1"/>
  <c r="RN32" i="1"/>
  <c r="PB38" i="1"/>
  <c r="PB34" i="1"/>
  <c r="PB33" i="1"/>
  <c r="PB32" i="1"/>
  <c r="MP38" i="1"/>
  <c r="MP34" i="1"/>
  <c r="MP33" i="1"/>
  <c r="MP32" i="1"/>
  <c r="KD38" i="1"/>
  <c r="KD34" i="1"/>
  <c r="KD33" i="1"/>
  <c r="KD32" i="1"/>
  <c r="HR38" i="1"/>
  <c r="HR34" i="1"/>
  <c r="HR33" i="1"/>
  <c r="HR32" i="1"/>
  <c r="FF38" i="1"/>
  <c r="FF34" i="1"/>
  <c r="FF33" i="1"/>
  <c r="FF32" i="1"/>
  <c r="AAX38" i="1"/>
  <c r="AAX34" i="1"/>
  <c r="AAX33" i="1"/>
  <c r="AAX32" i="1"/>
  <c r="YL38" i="1"/>
  <c r="YL34" i="1"/>
  <c r="YL33" i="1"/>
  <c r="YL32" i="1"/>
  <c r="VZ38" i="1"/>
  <c r="VZ34" i="1"/>
  <c r="VZ33" i="1"/>
  <c r="VZ32" i="1"/>
  <c r="TN38" i="1"/>
  <c r="TN34" i="1"/>
  <c r="TN33" i="1"/>
  <c r="TN32" i="1"/>
  <c r="RB38" i="1"/>
  <c r="RB34" i="1"/>
  <c r="RB33" i="1"/>
  <c r="RB32" i="1"/>
  <c r="OP38" i="1"/>
  <c r="OP34" i="1"/>
  <c r="OP33" i="1"/>
  <c r="OP32" i="1"/>
  <c r="MD38" i="1"/>
  <c r="MD34" i="1"/>
  <c r="MD33" i="1"/>
  <c r="MD32" i="1"/>
  <c r="JR38" i="1"/>
  <c r="JR34" i="1"/>
  <c r="JR33" i="1"/>
  <c r="JR32" i="1"/>
  <c r="HF38" i="1"/>
  <c r="HF34" i="1"/>
  <c r="HF33" i="1"/>
  <c r="HF32" i="1"/>
  <c r="ET38" i="1"/>
  <c r="ET34" i="1"/>
  <c r="ET33" i="1"/>
  <c r="ET32" i="1"/>
  <c r="DF38" i="1"/>
  <c r="DF35" i="1"/>
  <c r="DF34" i="1"/>
  <c r="DF32" i="1"/>
  <c r="CP38" i="1"/>
  <c r="CP35" i="1"/>
  <c r="CP34" i="1"/>
  <c r="CQ34" i="1" s="1"/>
  <c r="CP33" i="1"/>
  <c r="CP32" i="1"/>
  <c r="BZ38" i="1"/>
  <c r="BZ35" i="1"/>
  <c r="BZ34" i="1"/>
  <c r="BZ33" i="1"/>
  <c r="BZ32" i="1"/>
  <c r="BJ38" i="1"/>
  <c r="BJ35" i="1"/>
  <c r="BJ34" i="1"/>
  <c r="BJ33" i="1"/>
  <c r="BJ32" i="1"/>
  <c r="AT38" i="1"/>
  <c r="AT35" i="1"/>
  <c r="AT34" i="1"/>
  <c r="AT33" i="1"/>
  <c r="AT32" i="1"/>
  <c r="AD38" i="1"/>
  <c r="AD35" i="1"/>
  <c r="AD34" i="1"/>
  <c r="AD33" i="1"/>
  <c r="AD32" i="1"/>
  <c r="N38" i="1"/>
  <c r="N35" i="1"/>
  <c r="N34" i="1"/>
  <c r="N33" i="1"/>
  <c r="N32" i="1"/>
  <c r="ABB37" i="1"/>
  <c r="ABB35" i="1" s="1"/>
  <c r="ABB23" i="1"/>
  <c r="ABB22" i="1"/>
  <c r="AAL37" i="1"/>
  <c r="AAL35" i="1" s="1"/>
  <c r="AAL23" i="1"/>
  <c r="AAL22" i="1"/>
  <c r="ZV37" i="1"/>
  <c r="ZV35" i="1" s="1"/>
  <c r="ZV23" i="1"/>
  <c r="ZV22" i="1"/>
  <c r="ZF37" i="1"/>
  <c r="ZF35" i="1" s="1"/>
  <c r="ZF23" i="1"/>
  <c r="ZF22" i="1"/>
  <c r="YP37" i="1"/>
  <c r="YP35" i="1" s="1"/>
  <c r="YP36" i="1" s="1"/>
  <c r="YP23" i="1"/>
  <c r="YP22" i="1"/>
  <c r="XZ37" i="1"/>
  <c r="XZ35" i="1" s="1"/>
  <c r="XZ23" i="1"/>
  <c r="XZ22" i="1"/>
  <c r="XJ37" i="1"/>
  <c r="XJ35" i="1" s="1"/>
  <c r="XJ23" i="1"/>
  <c r="XJ22" i="1"/>
  <c r="WT37" i="1"/>
  <c r="WT35" i="1" s="1"/>
  <c r="WT23" i="1"/>
  <c r="WT22" i="1"/>
  <c r="WD37" i="1"/>
  <c r="WD35" i="1" s="1"/>
  <c r="WD23" i="1"/>
  <c r="WD22" i="1"/>
  <c r="VN37" i="1"/>
  <c r="VN35" i="1" s="1"/>
  <c r="VN23" i="1"/>
  <c r="VN22" i="1"/>
  <c r="UX37" i="1"/>
  <c r="UX35" i="1" s="1"/>
  <c r="UX23" i="1"/>
  <c r="UX22" i="1"/>
  <c r="UH37" i="1"/>
  <c r="UH35" i="1" s="1"/>
  <c r="UH23" i="1"/>
  <c r="UH22" i="1"/>
  <c r="TR37" i="1"/>
  <c r="TR35" i="1" s="1"/>
  <c r="TR23" i="1"/>
  <c r="TR22" i="1"/>
  <c r="TB37" i="1"/>
  <c r="TB35" i="1" s="1"/>
  <c r="TB23" i="1"/>
  <c r="TB22" i="1"/>
  <c r="SL37" i="1"/>
  <c r="SL35" i="1" s="1"/>
  <c r="SL23" i="1"/>
  <c r="SL22" i="1"/>
  <c r="RV37" i="1"/>
  <c r="RV35" i="1" s="1"/>
  <c r="RV23" i="1"/>
  <c r="RV22" i="1"/>
  <c r="RF37" i="1"/>
  <c r="RF35" i="1" s="1"/>
  <c r="RF23" i="1"/>
  <c r="RF22" i="1"/>
  <c r="QP37" i="1"/>
  <c r="QP35" i="1" s="1"/>
  <c r="QP36" i="1" s="1"/>
  <c r="QP23" i="1"/>
  <c r="QP22" i="1"/>
  <c r="PZ37" i="1"/>
  <c r="PZ35" i="1" s="1"/>
  <c r="PZ23" i="1"/>
  <c r="PZ22" i="1"/>
  <c r="PJ37" i="1"/>
  <c r="PJ35" i="1" s="1"/>
  <c r="PJ23" i="1"/>
  <c r="PJ22" i="1"/>
  <c r="OT37" i="1"/>
  <c r="OT35" i="1" s="1"/>
  <c r="OT23" i="1"/>
  <c r="OT22" i="1"/>
  <c r="OD37" i="1"/>
  <c r="OD35" i="1" s="1"/>
  <c r="OD23" i="1"/>
  <c r="OD22" i="1"/>
  <c r="NN37" i="1"/>
  <c r="NN35" i="1" s="1"/>
  <c r="NN23" i="1"/>
  <c r="NN22" i="1"/>
  <c r="MX37" i="1"/>
  <c r="MX35" i="1" s="1"/>
  <c r="MX23" i="1"/>
  <c r="MX22" i="1"/>
  <c r="MH37" i="1"/>
  <c r="MH35" i="1" s="1"/>
  <c r="MH23" i="1"/>
  <c r="MH22" i="1"/>
  <c r="LR37" i="1"/>
  <c r="LR35" i="1" s="1"/>
  <c r="LR23" i="1"/>
  <c r="LR22" i="1"/>
  <c r="LB37" i="1"/>
  <c r="LB35" i="1" s="1"/>
  <c r="LB23" i="1"/>
  <c r="LB22" i="1"/>
  <c r="KL37" i="1"/>
  <c r="KL35" i="1" s="1"/>
  <c r="KL23" i="1"/>
  <c r="KL22" i="1"/>
  <c r="JV37" i="1"/>
  <c r="JV35" i="1" s="1"/>
  <c r="JV23" i="1"/>
  <c r="JV22" i="1"/>
  <c r="JF37" i="1"/>
  <c r="JF35" i="1" s="1"/>
  <c r="JF36" i="1" s="1"/>
  <c r="JF23" i="1"/>
  <c r="JF22" i="1"/>
  <c r="IP37" i="1"/>
  <c r="IP35" i="1" s="1"/>
  <c r="IP23" i="1"/>
  <c r="IP22" i="1"/>
  <c r="HZ37" i="1"/>
  <c r="HZ35" i="1" s="1"/>
  <c r="HZ23" i="1"/>
  <c r="HZ22" i="1"/>
  <c r="HJ37" i="1"/>
  <c r="HJ35" i="1" s="1"/>
  <c r="HJ36" i="1" s="1"/>
  <c r="HJ23" i="1"/>
  <c r="HJ22" i="1"/>
  <c r="GT37" i="1"/>
  <c r="GT35" i="1" s="1"/>
  <c r="GT23" i="1"/>
  <c r="GT22" i="1"/>
  <c r="GD37" i="1"/>
  <c r="GD23" i="1"/>
  <c r="GD22" i="1"/>
  <c r="FN37" i="1"/>
  <c r="FN35" i="1" s="1"/>
  <c r="FN36" i="1" s="1"/>
  <c r="FN23" i="1"/>
  <c r="FN22" i="1"/>
  <c r="EX37" i="1"/>
  <c r="EX35" i="1" s="1"/>
  <c r="EX23" i="1"/>
  <c r="EX22" i="1"/>
  <c r="EH37" i="1"/>
  <c r="EH23" i="1"/>
  <c r="EH22" i="1"/>
  <c r="DR37" i="1"/>
  <c r="DR23" i="1"/>
  <c r="DR22" i="1"/>
  <c r="DB37" i="1"/>
  <c r="DB23" i="1"/>
  <c r="DB22" i="1"/>
  <c r="CL37" i="1"/>
  <c r="CL23" i="1"/>
  <c r="CL22" i="1"/>
  <c r="BV37" i="1"/>
  <c r="BV23" i="1"/>
  <c r="BV22" i="1"/>
  <c r="BF37" i="1"/>
  <c r="BF23" i="1"/>
  <c r="BF22" i="1"/>
  <c r="AP37" i="1"/>
  <c r="AP23" i="1"/>
  <c r="AP22" i="1"/>
  <c r="Z37" i="1"/>
  <c r="Z23" i="1"/>
  <c r="Z22" i="1"/>
  <c r="J37" i="1"/>
  <c r="J23" i="1"/>
  <c r="J4" i="1" s="1"/>
  <c r="J22" i="1"/>
  <c r="DY32" i="1"/>
  <c r="DY38" i="1"/>
  <c r="DY35" i="1"/>
  <c r="DY34" i="1"/>
  <c r="DY33" i="1"/>
  <c r="EO32" i="1"/>
  <c r="EO38" i="1"/>
  <c r="EO35" i="1"/>
  <c r="EO33" i="1"/>
  <c r="FE32" i="1"/>
  <c r="FE38" i="1"/>
  <c r="FE35" i="1"/>
  <c r="FE34" i="1"/>
  <c r="FE33" i="1"/>
  <c r="FU32" i="1"/>
  <c r="FU38" i="1"/>
  <c r="FU35" i="1"/>
  <c r="FU34" i="1"/>
  <c r="FU33" i="1"/>
  <c r="GK32" i="1"/>
  <c r="GK38" i="1"/>
  <c r="GK35" i="1"/>
  <c r="GK34" i="1"/>
  <c r="GK33" i="1"/>
  <c r="HA32" i="1"/>
  <c r="HA38" i="1"/>
  <c r="HA35" i="1"/>
  <c r="HA34" i="1"/>
  <c r="HA33" i="1"/>
  <c r="HQ32" i="1"/>
  <c r="HQ38" i="1"/>
  <c r="HQ35" i="1"/>
  <c r="HQ34" i="1"/>
  <c r="HQ33" i="1"/>
  <c r="IG32" i="1"/>
  <c r="IG38" i="1"/>
  <c r="IG35" i="1"/>
  <c r="IG34" i="1"/>
  <c r="IG33" i="1"/>
  <c r="IW32" i="1"/>
  <c r="IW38" i="1"/>
  <c r="IW35" i="1"/>
  <c r="IW34" i="1"/>
  <c r="IW33" i="1"/>
  <c r="JM32" i="1"/>
  <c r="JM38" i="1"/>
  <c r="JM35" i="1"/>
  <c r="JM34" i="1"/>
  <c r="JM33" i="1"/>
  <c r="KC32" i="1"/>
  <c r="KC38" i="1"/>
  <c r="KC35" i="1"/>
  <c r="KC34" i="1"/>
  <c r="KC33" i="1"/>
  <c r="KS32" i="1"/>
  <c r="KS38" i="1"/>
  <c r="KS35" i="1"/>
  <c r="KS34" i="1"/>
  <c r="KS33" i="1"/>
  <c r="LI32" i="1"/>
  <c r="LI38" i="1"/>
  <c r="LI35" i="1"/>
  <c r="LI34" i="1"/>
  <c r="LI33" i="1"/>
  <c r="LY32" i="1"/>
  <c r="LY38" i="1"/>
  <c r="LY35" i="1"/>
  <c r="LY34" i="1"/>
  <c r="LY33" i="1"/>
  <c r="MO32" i="1"/>
  <c r="MO38" i="1"/>
  <c r="MO35" i="1"/>
  <c r="MO34" i="1"/>
  <c r="MO33" i="1"/>
  <c r="NE32" i="1"/>
  <c r="NE38" i="1"/>
  <c r="NE35" i="1"/>
  <c r="NE34" i="1"/>
  <c r="NE33" i="1"/>
  <c r="NU32" i="1"/>
  <c r="NU38" i="1"/>
  <c r="NU35" i="1"/>
  <c r="NU34" i="1"/>
  <c r="NU33" i="1"/>
  <c r="OK32" i="1"/>
  <c r="OK38" i="1"/>
  <c r="OK35" i="1"/>
  <c r="OK34" i="1"/>
  <c r="OK33" i="1"/>
  <c r="PA32" i="1"/>
  <c r="PA38" i="1"/>
  <c r="PA35" i="1"/>
  <c r="PA34" i="1"/>
  <c r="PA33" i="1"/>
  <c r="PQ32" i="1"/>
  <c r="PQ38" i="1"/>
  <c r="PQ35" i="1"/>
  <c r="PQ34" i="1"/>
  <c r="PQ33" i="1"/>
  <c r="QG32" i="1"/>
  <c r="QG38" i="1"/>
  <c r="QG35" i="1"/>
  <c r="QG34" i="1"/>
  <c r="QG33" i="1"/>
  <c r="QW32" i="1"/>
  <c r="QW38" i="1"/>
  <c r="QW35" i="1"/>
  <c r="QW34" i="1"/>
  <c r="QW33" i="1"/>
  <c r="RM32" i="1"/>
  <c r="RM38" i="1"/>
  <c r="RM35" i="1"/>
  <c r="RM34" i="1"/>
  <c r="RM33" i="1"/>
  <c r="SC32" i="1"/>
  <c r="SC38" i="1"/>
  <c r="SC35" i="1"/>
  <c r="SC34" i="1"/>
  <c r="SC33" i="1"/>
  <c r="SS32" i="1"/>
  <c r="SS38" i="1"/>
  <c r="SS35" i="1"/>
  <c r="SS34" i="1"/>
  <c r="SS33" i="1"/>
  <c r="TI32" i="1"/>
  <c r="TI38" i="1"/>
  <c r="TI35" i="1"/>
  <c r="TI34" i="1"/>
  <c r="TI33" i="1"/>
  <c r="TY38" i="1"/>
  <c r="TY32" i="1"/>
  <c r="TY35" i="1"/>
  <c r="TY34" i="1"/>
  <c r="TY33" i="1"/>
  <c r="UO38" i="1"/>
  <c r="UO32" i="1"/>
  <c r="UO35" i="1"/>
  <c r="UO34" i="1"/>
  <c r="UO33" i="1"/>
  <c r="VE38" i="1"/>
  <c r="VE32" i="1"/>
  <c r="VE35" i="1"/>
  <c r="VE34" i="1"/>
  <c r="VE33" i="1"/>
  <c r="VU38" i="1"/>
  <c r="VU32" i="1"/>
  <c r="VU35" i="1"/>
  <c r="VU34" i="1"/>
  <c r="VU33" i="1"/>
  <c r="WK38" i="1"/>
  <c r="WK32" i="1"/>
  <c r="WK35" i="1"/>
  <c r="WK34" i="1"/>
  <c r="WK33" i="1"/>
  <c r="XA38" i="1"/>
  <c r="XA32" i="1"/>
  <c r="XA35" i="1"/>
  <c r="XA34" i="1"/>
  <c r="XA33" i="1"/>
  <c r="XQ38" i="1"/>
  <c r="XQ32" i="1"/>
  <c r="XQ35" i="1"/>
  <c r="XQ34" i="1"/>
  <c r="XQ33" i="1"/>
  <c r="YG38" i="1"/>
  <c r="YG32" i="1"/>
  <c r="YG35" i="1"/>
  <c r="YG34" i="1"/>
  <c r="YG33" i="1"/>
  <c r="YW38" i="1"/>
  <c r="YW32" i="1"/>
  <c r="YW35" i="1"/>
  <c r="YW34" i="1"/>
  <c r="YW33" i="1"/>
  <c r="ZM38" i="1"/>
  <c r="ZM32" i="1"/>
  <c r="ZM35" i="1"/>
  <c r="ZM34" i="1"/>
  <c r="ZM33" i="1"/>
  <c r="AAC38" i="1"/>
  <c r="AAC32" i="1"/>
  <c r="AAC35" i="1"/>
  <c r="AAC34" i="1"/>
  <c r="AAC33" i="1"/>
  <c r="AAS38" i="1"/>
  <c r="AAS32" i="1"/>
  <c r="AAS35" i="1"/>
  <c r="AAS34" i="1"/>
  <c r="AAS33" i="1"/>
  <c r="ABI38" i="1"/>
  <c r="ABI32" i="1"/>
  <c r="ABI35" i="1"/>
  <c r="ABI34" i="1"/>
  <c r="ABI33" i="1"/>
  <c r="ABG37" i="1"/>
  <c r="ABG35" i="1" s="1"/>
  <c r="ABG23" i="1"/>
  <c r="ABG22" i="1"/>
  <c r="AAM38" i="1"/>
  <c r="AAM34" i="1"/>
  <c r="AAM33" i="1"/>
  <c r="AAM32" i="1"/>
  <c r="AAE37" i="1"/>
  <c r="AAE35" i="1" s="1"/>
  <c r="AAE23" i="1"/>
  <c r="AAE22" i="1"/>
  <c r="ZK37" i="1"/>
  <c r="ZK35" i="1" s="1"/>
  <c r="ZK36" i="1" s="1"/>
  <c r="ZK23" i="1"/>
  <c r="ZK22" i="1"/>
  <c r="YM38" i="1"/>
  <c r="YM34" i="1"/>
  <c r="YM33" i="1"/>
  <c r="YM32" i="1"/>
  <c r="YM35" i="1"/>
  <c r="XW37" i="1"/>
  <c r="XW35" i="1" s="1"/>
  <c r="XW23" i="1"/>
  <c r="XW22" i="1"/>
  <c r="XK37" i="1"/>
  <c r="XK23" i="1"/>
  <c r="XK22" i="1"/>
  <c r="WY37" i="1"/>
  <c r="WY35" i="1" s="1"/>
  <c r="WY23" i="1"/>
  <c r="WY22" i="1"/>
  <c r="WA38" i="1"/>
  <c r="WA34" i="1"/>
  <c r="WA33" i="1"/>
  <c r="WA32" i="1"/>
  <c r="WA35" i="1"/>
  <c r="VK37" i="1"/>
  <c r="VK35" i="1" s="1"/>
  <c r="VK23" i="1"/>
  <c r="VK22" i="1"/>
  <c r="UM37" i="1"/>
  <c r="UM35" i="1" s="1"/>
  <c r="UM23" i="1"/>
  <c r="UM22" i="1"/>
  <c r="TS37" i="1"/>
  <c r="TS23" i="1"/>
  <c r="TS22" i="1"/>
  <c r="SI38" i="1"/>
  <c r="SI34" i="1"/>
  <c r="SI33" i="1"/>
  <c r="SI32" i="1"/>
  <c r="SI35" i="1"/>
  <c r="RS37" i="1"/>
  <c r="RS23" i="1"/>
  <c r="RS22" i="1"/>
  <c r="RG38" i="1"/>
  <c r="RG34" i="1"/>
  <c r="RG33" i="1"/>
  <c r="RG32" i="1"/>
  <c r="QY37" i="1"/>
  <c r="QY35" i="1" s="1"/>
  <c r="QY23" i="1"/>
  <c r="QY22" i="1"/>
  <c r="QA37" i="1"/>
  <c r="QA23" i="1"/>
  <c r="QA22" i="1"/>
  <c r="OI37" i="1"/>
  <c r="OI35" i="1" s="1"/>
  <c r="OI23" i="1"/>
  <c r="OI22" i="1"/>
  <c r="NO38" i="1"/>
  <c r="NO34" i="1"/>
  <c r="NO33" i="1"/>
  <c r="NO32" i="1"/>
  <c r="NK37" i="1"/>
  <c r="NK23" i="1"/>
  <c r="NK22" i="1"/>
  <c r="MM37" i="1"/>
  <c r="MM35" i="1" s="1"/>
  <c r="MM23" i="1"/>
  <c r="MM22" i="1"/>
  <c r="LO38" i="1"/>
  <c r="LO34" i="1"/>
  <c r="LO33" i="1"/>
  <c r="LO32" i="1"/>
  <c r="KY37" i="1"/>
  <c r="KY35" i="1" s="1"/>
  <c r="KY23" i="1"/>
  <c r="KY22" i="1"/>
  <c r="KA37" i="1"/>
  <c r="KA35" i="1" s="1"/>
  <c r="KA23" i="1"/>
  <c r="KA22" i="1"/>
  <c r="JG37" i="1"/>
  <c r="JG23" i="1"/>
  <c r="JG22" i="1"/>
  <c r="IM38" i="1"/>
  <c r="IM34" i="1"/>
  <c r="IM33" i="1"/>
  <c r="IM32" i="1"/>
  <c r="IM35" i="1"/>
  <c r="HW37" i="1"/>
  <c r="HW35" i="1" s="1"/>
  <c r="HW23" i="1"/>
  <c r="HW22" i="1"/>
  <c r="GY37" i="1"/>
  <c r="GY35" i="1" s="1"/>
  <c r="GY23" i="1"/>
  <c r="GY22" i="1"/>
  <c r="GA38" i="1"/>
  <c r="GA34" i="1"/>
  <c r="GA33" i="1"/>
  <c r="GA32" i="1"/>
  <c r="GA35" i="1"/>
  <c r="EY37" i="1"/>
  <c r="EY23" i="1"/>
  <c r="EY22" i="1"/>
  <c r="DS38" i="1"/>
  <c r="DS34" i="1"/>
  <c r="DS33" i="1"/>
  <c r="DS32" i="1"/>
  <c r="DS35" i="1"/>
  <c r="DK37" i="1"/>
  <c r="DK23" i="1"/>
  <c r="DK22" i="1"/>
  <c r="DC38" i="1"/>
  <c r="DC34" i="1"/>
  <c r="DC33" i="1"/>
  <c r="DC32" i="1"/>
  <c r="DC35" i="1"/>
  <c r="CA37" i="1"/>
  <c r="CA23" i="1"/>
  <c r="CA22" i="1"/>
  <c r="BS38" i="1"/>
  <c r="BS34" i="1"/>
  <c r="BS33" i="1"/>
  <c r="BS32" i="1"/>
  <c r="BS35" i="1"/>
  <c r="AU37" i="1"/>
  <c r="AU23" i="1"/>
  <c r="AU22" i="1"/>
  <c r="AM38" i="1"/>
  <c r="AM32" i="1"/>
  <c r="K37" i="1"/>
  <c r="K23" i="1"/>
  <c r="K22" i="1"/>
  <c r="ABB48" i="1"/>
  <c r="ABB46" i="1"/>
  <c r="AAF51" i="1"/>
  <c r="AAF50" i="1"/>
  <c r="ZV40" i="1"/>
  <c r="ZV36" i="1"/>
  <c r="ZV42" i="1"/>
  <c r="UX48" i="1"/>
  <c r="UX46" i="1"/>
  <c r="RP40" i="1"/>
  <c r="RP36" i="1"/>
  <c r="RP42" i="1"/>
  <c r="QU40" i="1"/>
  <c r="QU42" i="1"/>
  <c r="PZ40" i="1"/>
  <c r="PZ42" i="1"/>
  <c r="PZ36" i="1"/>
  <c r="LL42" i="1"/>
  <c r="LL40" i="1"/>
  <c r="LL36" i="1"/>
  <c r="KQ42" i="1"/>
  <c r="KQ40" i="1"/>
  <c r="KQ36" i="1"/>
  <c r="JV42" i="1"/>
  <c r="JV40" i="1"/>
  <c r="JV36" i="1"/>
  <c r="IP48" i="1"/>
  <c r="IP46" i="1"/>
  <c r="FH40" i="1"/>
  <c r="FH42" i="1"/>
  <c r="FH36" i="1"/>
  <c r="EM40" i="1"/>
  <c r="EM42" i="1"/>
  <c r="EM36" i="1"/>
  <c r="CS50" i="1"/>
  <c r="BM45" i="1"/>
  <c r="BM43" i="1"/>
  <c r="BM36" i="1"/>
  <c r="AAP42" i="1"/>
  <c r="AAP36" i="1"/>
  <c r="AAP40" i="1"/>
  <c r="YD42" i="1"/>
  <c r="YD36" i="1"/>
  <c r="YD40" i="1"/>
  <c r="XH42" i="1"/>
  <c r="XH36" i="1"/>
  <c r="XH40" i="1"/>
  <c r="WM38" i="1"/>
  <c r="WM34" i="1"/>
  <c r="WM33" i="1"/>
  <c r="WM32" i="1"/>
  <c r="WB42" i="1"/>
  <c r="WB36" i="1"/>
  <c r="WB40" i="1"/>
  <c r="UV44" i="1"/>
  <c r="UV45" i="1"/>
  <c r="TP42" i="1"/>
  <c r="TP36" i="1"/>
  <c r="TP40" i="1"/>
  <c r="QT42" i="1"/>
  <c r="QT40" i="1"/>
  <c r="QT36" i="1"/>
  <c r="PX44" i="1"/>
  <c r="PX45" i="1"/>
  <c r="OH42" i="1"/>
  <c r="OH40" i="1"/>
  <c r="OH36" i="1"/>
  <c r="NL42" i="1"/>
  <c r="NL36" i="1"/>
  <c r="NL40" i="1"/>
  <c r="MQ38" i="1"/>
  <c r="MQ34" i="1"/>
  <c r="MQ33" i="1"/>
  <c r="MQ32" i="1"/>
  <c r="MF44" i="1"/>
  <c r="MF45" i="1"/>
  <c r="MF43" i="1"/>
  <c r="JJ42" i="1"/>
  <c r="JJ40" i="1"/>
  <c r="JJ36" i="1"/>
  <c r="IN44" i="1"/>
  <c r="IN45" i="1"/>
  <c r="FR42" i="1"/>
  <c r="FR40" i="1"/>
  <c r="FR36" i="1"/>
  <c r="BL42" i="1"/>
  <c r="BL40" i="1"/>
  <c r="BL36" i="1"/>
  <c r="BL41" i="1"/>
  <c r="AAL48" i="1"/>
  <c r="AAL46" i="1"/>
  <c r="ZF42" i="1"/>
  <c r="ZF40" i="1"/>
  <c r="ZF36" i="1"/>
  <c r="XZ48" i="1"/>
  <c r="XZ46" i="1"/>
  <c r="WT42" i="1"/>
  <c r="WT40" i="1"/>
  <c r="WT36" i="1"/>
  <c r="UH48" i="1"/>
  <c r="UH46" i="1"/>
  <c r="TB42" i="1"/>
  <c r="TB40" i="1"/>
  <c r="TB36" i="1"/>
  <c r="QP48" i="1"/>
  <c r="QP46" i="1"/>
  <c r="PJ42" i="1"/>
  <c r="PJ40" i="1"/>
  <c r="PJ36" i="1"/>
  <c r="OD48" i="1"/>
  <c r="OD46" i="1"/>
  <c r="MX42" i="1"/>
  <c r="MX40" i="1"/>
  <c r="MX36" i="1"/>
  <c r="KL48" i="1"/>
  <c r="KL46" i="1"/>
  <c r="IU38" i="1"/>
  <c r="IU34" i="1"/>
  <c r="IU33" i="1"/>
  <c r="IU32" i="1"/>
  <c r="GT48" i="1"/>
  <c r="GT46" i="1"/>
  <c r="FC38" i="1"/>
  <c r="FC35" i="1"/>
  <c r="CW36" i="1"/>
  <c r="BY36" i="1"/>
  <c r="BQ36" i="1"/>
  <c r="AS36" i="1"/>
  <c r="M36" i="1"/>
  <c r="AAR42" i="1"/>
  <c r="AAR36" i="1"/>
  <c r="AAR40" i="1"/>
  <c r="AAN42" i="1"/>
  <c r="AAN40" i="1"/>
  <c r="AAN36" i="1"/>
  <c r="YF42" i="1"/>
  <c r="YF36" i="1"/>
  <c r="YF40" i="1"/>
  <c r="YB42" i="1"/>
  <c r="YB40" i="1"/>
  <c r="YB36" i="1"/>
  <c r="VT42" i="1"/>
  <c r="VT36" i="1"/>
  <c r="VT40" i="1"/>
  <c r="VP42" i="1"/>
  <c r="VP40" i="1"/>
  <c r="VP36" i="1"/>
  <c r="TH42" i="1"/>
  <c r="TH36" i="1"/>
  <c r="TH40" i="1"/>
  <c r="TD42" i="1"/>
  <c r="TD40" i="1"/>
  <c r="TD36" i="1"/>
  <c r="QV42" i="1"/>
  <c r="QV40" i="1"/>
  <c r="QV36" i="1"/>
  <c r="QR42" i="1"/>
  <c r="QR40" i="1"/>
  <c r="QR36" i="1"/>
  <c r="OJ42" i="1"/>
  <c r="OJ40" i="1"/>
  <c r="OJ36" i="1"/>
  <c r="OF42" i="1"/>
  <c r="OF40" i="1"/>
  <c r="OF36" i="1"/>
  <c r="LX42" i="1"/>
  <c r="LX40" i="1"/>
  <c r="LX36" i="1"/>
  <c r="LT42" i="1"/>
  <c r="LT40" i="1"/>
  <c r="LT36" i="1"/>
  <c r="JX44" i="1"/>
  <c r="JX43" i="1"/>
  <c r="JL42" i="1"/>
  <c r="JL40" i="1"/>
  <c r="JL36" i="1"/>
  <c r="JH42" i="1"/>
  <c r="JH40" i="1"/>
  <c r="JH36" i="1"/>
  <c r="HL44" i="1"/>
  <c r="HL43" i="1"/>
  <c r="GZ42" i="1"/>
  <c r="GZ40" i="1"/>
  <c r="GZ36" i="1"/>
  <c r="GV42" i="1"/>
  <c r="GV40" i="1"/>
  <c r="GV36" i="1"/>
  <c r="EZ44" i="1"/>
  <c r="EZ43" i="1"/>
  <c r="EN32" i="1"/>
  <c r="EJ42" i="1"/>
  <c r="EJ40" i="1"/>
  <c r="EJ36" i="1"/>
  <c r="ABF42" i="1"/>
  <c r="ABF36" i="1"/>
  <c r="ABF40" i="1"/>
  <c r="AAJ42" i="1"/>
  <c r="AAJ36" i="1"/>
  <c r="AAJ40" i="1"/>
  <c r="XN42" i="1"/>
  <c r="XN36" i="1"/>
  <c r="XN40" i="1"/>
  <c r="WR44" i="1"/>
  <c r="WR45" i="1"/>
  <c r="VL44" i="1"/>
  <c r="VL45" i="1"/>
  <c r="TV42" i="1"/>
  <c r="TV40" i="1"/>
  <c r="SZ44" i="1"/>
  <c r="SZ45" i="1"/>
  <c r="QN42" i="1"/>
  <c r="QN36" i="1"/>
  <c r="QN40" i="1"/>
  <c r="NR42" i="1"/>
  <c r="NR40" i="1"/>
  <c r="NR36" i="1"/>
  <c r="MV42" i="1"/>
  <c r="MV40" i="1"/>
  <c r="MV36" i="1"/>
  <c r="MA38" i="1"/>
  <c r="MA34" i="1"/>
  <c r="MA33" i="1"/>
  <c r="MA32" i="1"/>
  <c r="LP44" i="1"/>
  <c r="LP45" i="1"/>
  <c r="IT42" i="1"/>
  <c r="IT40" i="1"/>
  <c r="IT36" i="1"/>
  <c r="HX42" i="1"/>
  <c r="HX40" i="1"/>
  <c r="HX36" i="1"/>
  <c r="HC38" i="1"/>
  <c r="HC34" i="1"/>
  <c r="HC33" i="1"/>
  <c r="HC32" i="1"/>
  <c r="EF42" i="1"/>
  <c r="EF36" i="1"/>
  <c r="EF40" i="1"/>
  <c r="CN44" i="1"/>
  <c r="CN43" i="1"/>
  <c r="CF42" i="1"/>
  <c r="CF40" i="1"/>
  <c r="CF36" i="1"/>
  <c r="BX42" i="1"/>
  <c r="BX40" i="1"/>
  <c r="BX36" i="1"/>
  <c r="AB44" i="1"/>
  <c r="AB43" i="1"/>
  <c r="T42" i="1"/>
  <c r="T40" i="1"/>
  <c r="T36" i="1"/>
  <c r="AAI37" i="1"/>
  <c r="AAI35" i="1" s="1"/>
  <c r="AAI23" i="1"/>
  <c r="AAI22" i="1"/>
  <c r="ZG37" i="1"/>
  <c r="ZG23" i="1"/>
  <c r="ZG22" i="1"/>
  <c r="YA38" i="1"/>
  <c r="YA34" i="1"/>
  <c r="YA33" i="1"/>
  <c r="YA32" i="1"/>
  <c r="XS37" i="1"/>
  <c r="XS23" i="1"/>
  <c r="XS22" i="1"/>
  <c r="XG37" i="1"/>
  <c r="XG23" i="1"/>
  <c r="XG22" i="1"/>
  <c r="WU37" i="1"/>
  <c r="WU35" i="1" s="1"/>
  <c r="WU23" i="1"/>
  <c r="WU22" i="1"/>
  <c r="VO38" i="1"/>
  <c r="VO34" i="1"/>
  <c r="VO33" i="1"/>
  <c r="VO32" i="1"/>
  <c r="VO35" i="1"/>
  <c r="VG37" i="1"/>
  <c r="VG35" i="1" s="1"/>
  <c r="VG23" i="1"/>
  <c r="VG22" i="1"/>
  <c r="UI37" i="1"/>
  <c r="UI23" i="1"/>
  <c r="UI22" i="1"/>
  <c r="TO37" i="1"/>
  <c r="TO35" i="1" s="1"/>
  <c r="TO23" i="1"/>
  <c r="TO22" i="1"/>
  <c r="RW38" i="1"/>
  <c r="RW34" i="1"/>
  <c r="RW33" i="1"/>
  <c r="RW32" i="1"/>
  <c r="RO37" i="1"/>
  <c r="RO23" i="1"/>
  <c r="RO22" i="1"/>
  <c r="QM38" i="1"/>
  <c r="QM34" i="1"/>
  <c r="QM33" i="1"/>
  <c r="QM32" i="1"/>
  <c r="QM35" i="1"/>
  <c r="PW37" i="1"/>
  <c r="PW23" i="1"/>
  <c r="PW22" i="1"/>
  <c r="OY37" i="1"/>
  <c r="OY23" i="1"/>
  <c r="OY22" i="1"/>
  <c r="OE37" i="1"/>
  <c r="OE23" i="1"/>
  <c r="OE22" i="1"/>
  <c r="NS37" i="1"/>
  <c r="NS35" i="1" s="1"/>
  <c r="NS23" i="1"/>
  <c r="NS22" i="1"/>
  <c r="MI38" i="1"/>
  <c r="MI34" i="1"/>
  <c r="MI33" i="1"/>
  <c r="MI32" i="1"/>
  <c r="MA37" i="1"/>
  <c r="MA35" i="1" s="1"/>
  <c r="MA23" i="1"/>
  <c r="MA22" i="1"/>
  <c r="LC37" i="1"/>
  <c r="LC23" i="1"/>
  <c r="LC22" i="1"/>
  <c r="JW38" i="1"/>
  <c r="JW34" i="1"/>
  <c r="JW33" i="1"/>
  <c r="JW32" i="1"/>
  <c r="JO37" i="1"/>
  <c r="JO35" i="1" s="1"/>
  <c r="JO23" i="1"/>
  <c r="JO22" i="1"/>
  <c r="IA38" i="1"/>
  <c r="IA34" i="1"/>
  <c r="IA33" i="1"/>
  <c r="IA32" i="1"/>
  <c r="IA35" i="1"/>
  <c r="HS37" i="1"/>
  <c r="HS35" i="1" s="1"/>
  <c r="HS23" i="1"/>
  <c r="HS22" i="1"/>
  <c r="GU37" i="1"/>
  <c r="GU23" i="1"/>
  <c r="GU22" i="1"/>
  <c r="FK38" i="1"/>
  <c r="EU37" i="1"/>
  <c r="EU23" i="1"/>
  <c r="EU22" i="1"/>
  <c r="DW37" i="1"/>
  <c r="DW23" i="1"/>
  <c r="DW22" i="1"/>
  <c r="CY37" i="1"/>
  <c r="CY23" i="1"/>
  <c r="CY22" i="1"/>
  <c r="CQ38" i="1"/>
  <c r="CQ33" i="1"/>
  <c r="CQ32" i="1"/>
  <c r="BW37" i="1"/>
  <c r="BW23" i="1"/>
  <c r="BW22" i="1"/>
  <c r="BO38" i="1"/>
  <c r="BO34" i="1"/>
  <c r="BO33" i="1"/>
  <c r="BO35" i="1"/>
  <c r="AQ37" i="1"/>
  <c r="AQ23" i="1"/>
  <c r="AQ22" i="1"/>
  <c r="AI38" i="1"/>
  <c r="AI34" i="1"/>
  <c r="AI33" i="1"/>
  <c r="AI32" i="1"/>
  <c r="AI35" i="1"/>
  <c r="O37" i="1"/>
  <c r="O23" i="1"/>
  <c r="O22" i="1"/>
  <c r="G38" i="1"/>
  <c r="G34" i="1"/>
  <c r="G33" i="1"/>
  <c r="G32" i="1"/>
  <c r="G35" i="1"/>
  <c r="WD48" i="1"/>
  <c r="WD46" i="1"/>
  <c r="SV36" i="1"/>
  <c r="SV42" i="1"/>
  <c r="SV40" i="1"/>
  <c r="SA42" i="1"/>
  <c r="SA40" i="1"/>
  <c r="RF42" i="1"/>
  <c r="RF40" i="1"/>
  <c r="RF36" i="1"/>
  <c r="NN40" i="1"/>
  <c r="NN36" i="1"/>
  <c r="NN42" i="1"/>
  <c r="EX48" i="1"/>
  <c r="EX46" i="1"/>
  <c r="Q45" i="1"/>
  <c r="Q43" i="1"/>
  <c r="Q36" i="1"/>
  <c r="ZP42" i="1"/>
  <c r="ZP36" i="1"/>
  <c r="ZP40" i="1"/>
  <c r="UR42" i="1"/>
  <c r="UR36" i="1"/>
  <c r="UR40" i="1"/>
  <c r="PT42" i="1"/>
  <c r="PT40" i="1"/>
  <c r="PT36" i="1"/>
  <c r="KV42" i="1"/>
  <c r="KV40" i="1"/>
  <c r="KV36" i="1"/>
  <c r="AAE42" i="1"/>
  <c r="AAE40" i="1"/>
  <c r="XC46" i="1"/>
  <c r="XC48" i="1"/>
  <c r="VC36" i="1"/>
  <c r="VC42" i="1"/>
  <c r="VC40" i="1"/>
  <c r="TK46" i="1"/>
  <c r="TK48" i="1"/>
  <c r="SQ36" i="1"/>
  <c r="SQ42" i="1"/>
  <c r="SQ40" i="1"/>
  <c r="QY46" i="1"/>
  <c r="QY48" i="1"/>
  <c r="PS42" i="1"/>
  <c r="PS40" i="1"/>
  <c r="KA42" i="1"/>
  <c r="KA40" i="1"/>
  <c r="FG42" i="1"/>
  <c r="FG40" i="1"/>
  <c r="AAT38" i="1"/>
  <c r="AAT34" i="1"/>
  <c r="AAT33" i="1"/>
  <c r="AAT32" i="1"/>
  <c r="YH38" i="1"/>
  <c r="YH34" i="1"/>
  <c r="YH33" i="1"/>
  <c r="YH32" i="1"/>
  <c r="VV38" i="1"/>
  <c r="VV35" i="1"/>
  <c r="VV34" i="1"/>
  <c r="VV33" i="1"/>
  <c r="VV32" i="1"/>
  <c r="TJ38" i="1"/>
  <c r="TJ35" i="1"/>
  <c r="TJ34" i="1"/>
  <c r="TJ33" i="1"/>
  <c r="TJ32" i="1"/>
  <c r="QX38" i="1"/>
  <c r="QX34" i="1"/>
  <c r="QX33" i="1"/>
  <c r="QX32" i="1"/>
  <c r="OL38" i="1"/>
  <c r="OL34" i="1"/>
  <c r="OL33" i="1"/>
  <c r="OL32" i="1"/>
  <c r="LZ38" i="1"/>
  <c r="LZ35" i="1"/>
  <c r="LZ34" i="1"/>
  <c r="LZ33" i="1"/>
  <c r="LZ32" i="1"/>
  <c r="JN38" i="1"/>
  <c r="JN35" i="1"/>
  <c r="JN34" i="1"/>
  <c r="JN33" i="1"/>
  <c r="JN32" i="1"/>
  <c r="HB38" i="1"/>
  <c r="HB34" i="1"/>
  <c r="HB33" i="1"/>
  <c r="HB32" i="1"/>
  <c r="EP38" i="1"/>
  <c r="EP35" i="1"/>
  <c r="EP34" i="1"/>
  <c r="EP33" i="1"/>
  <c r="EP32" i="1"/>
  <c r="AAH38" i="1"/>
  <c r="AAH35" i="1"/>
  <c r="AAH34" i="1"/>
  <c r="AAH33" i="1"/>
  <c r="AAH32" i="1"/>
  <c r="XV38" i="1"/>
  <c r="XV35" i="1"/>
  <c r="XV34" i="1"/>
  <c r="XV33" i="1"/>
  <c r="XV32" i="1"/>
  <c r="VJ38" i="1"/>
  <c r="VJ34" i="1"/>
  <c r="VJ33" i="1"/>
  <c r="VJ32" i="1"/>
  <c r="SX38" i="1"/>
  <c r="SX34" i="1"/>
  <c r="SX33" i="1"/>
  <c r="SX32" i="1"/>
  <c r="QL38" i="1"/>
  <c r="QL35" i="1"/>
  <c r="QL34" i="1"/>
  <c r="QL33" i="1"/>
  <c r="QL32" i="1"/>
  <c r="NZ38" i="1"/>
  <c r="NZ35" i="1"/>
  <c r="NZ34" i="1"/>
  <c r="NZ33" i="1"/>
  <c r="NZ32" i="1"/>
  <c r="LN38" i="1"/>
  <c r="LN34" i="1"/>
  <c r="LN33" i="1"/>
  <c r="LN32" i="1"/>
  <c r="JB38" i="1"/>
  <c r="JB34" i="1"/>
  <c r="JB33" i="1"/>
  <c r="JB32" i="1"/>
  <c r="GP38" i="1"/>
  <c r="GP35" i="1"/>
  <c r="GP34" i="1"/>
  <c r="GP33" i="1"/>
  <c r="GP32" i="1"/>
  <c r="ED38" i="1"/>
  <c r="ED35" i="1"/>
  <c r="ED34" i="1"/>
  <c r="ED33" i="1"/>
  <c r="ED32" i="1"/>
  <c r="DB38" i="1"/>
  <c r="DB35" i="1"/>
  <c r="DB34" i="1"/>
  <c r="DB33" i="1"/>
  <c r="DB32" i="1"/>
  <c r="CL38" i="1"/>
  <c r="CL35" i="1"/>
  <c r="CL34" i="1"/>
  <c r="CL33" i="1"/>
  <c r="CL32" i="1"/>
  <c r="BV38" i="1"/>
  <c r="BV35" i="1"/>
  <c r="BV34" i="1"/>
  <c r="BW34" i="1" s="1"/>
  <c r="BV33" i="1"/>
  <c r="BV32" i="1"/>
  <c r="BF38" i="1"/>
  <c r="BF35" i="1"/>
  <c r="BF34" i="1"/>
  <c r="BF33" i="1"/>
  <c r="BF32" i="1"/>
  <c r="AP38" i="1"/>
  <c r="AP35" i="1"/>
  <c r="AP34" i="1"/>
  <c r="AP33" i="1"/>
  <c r="AP32" i="1"/>
  <c r="Z38" i="1"/>
  <c r="Z35" i="1"/>
  <c r="Z34" i="1"/>
  <c r="Z33" i="1"/>
  <c r="Z32" i="1"/>
  <c r="J38" i="1"/>
  <c r="J35" i="1"/>
  <c r="K35" i="1" s="1"/>
  <c r="J34" i="1"/>
  <c r="J33" i="1"/>
  <c r="J32" i="1"/>
  <c r="AAX37" i="1"/>
  <c r="AAX35" i="1" s="1"/>
  <c r="AAX23" i="1"/>
  <c r="AAX22" i="1"/>
  <c r="AAH37" i="1"/>
  <c r="AAH23" i="1"/>
  <c r="AAH22" i="1"/>
  <c r="ZR37" i="1"/>
  <c r="ZR23" i="1"/>
  <c r="ZR22" i="1"/>
  <c r="ZB37" i="1"/>
  <c r="ZB35" i="1" s="1"/>
  <c r="ZB23" i="1"/>
  <c r="ZB22" i="1"/>
  <c r="YL37" i="1"/>
  <c r="YL35" i="1" s="1"/>
  <c r="YL23" i="1"/>
  <c r="YL22" i="1"/>
  <c r="XV37" i="1"/>
  <c r="XV23" i="1"/>
  <c r="XV22" i="1"/>
  <c r="XF37" i="1"/>
  <c r="XF23" i="1"/>
  <c r="XF22" i="1"/>
  <c r="WP37" i="1"/>
  <c r="WP35" i="1" s="1"/>
  <c r="WP23" i="1"/>
  <c r="WP22" i="1"/>
  <c r="VZ37" i="1"/>
  <c r="VZ35" i="1" s="1"/>
  <c r="VZ23" i="1"/>
  <c r="VZ22" i="1"/>
  <c r="VJ37" i="1"/>
  <c r="VJ35" i="1" s="1"/>
  <c r="VJ23" i="1"/>
  <c r="VJ22" i="1"/>
  <c r="UT37" i="1"/>
  <c r="UT23" i="1"/>
  <c r="UT22" i="1"/>
  <c r="UD37" i="1"/>
  <c r="UD35" i="1" s="1"/>
  <c r="UD23" i="1"/>
  <c r="UD22" i="1"/>
  <c r="TN37" i="1"/>
  <c r="TN35" i="1" s="1"/>
  <c r="TN23" i="1"/>
  <c r="TN22" i="1"/>
  <c r="SX37" i="1"/>
  <c r="SX35" i="1" s="1"/>
  <c r="SX23" i="1"/>
  <c r="SX22" i="1"/>
  <c r="SH37" i="1"/>
  <c r="SH23" i="1"/>
  <c r="SH22" i="1"/>
  <c r="RR37" i="1"/>
  <c r="RR23" i="1"/>
  <c r="RR22" i="1"/>
  <c r="RB37" i="1"/>
  <c r="RB35" i="1" s="1"/>
  <c r="RB23" i="1"/>
  <c r="RB22" i="1"/>
  <c r="QL37" i="1"/>
  <c r="QL23" i="1"/>
  <c r="QL22" i="1"/>
  <c r="PV37" i="1"/>
  <c r="PV23" i="1"/>
  <c r="PV22" i="1"/>
  <c r="PF37" i="1"/>
  <c r="PF35" i="1" s="1"/>
  <c r="PF23" i="1"/>
  <c r="PF22" i="1"/>
  <c r="OP37" i="1"/>
  <c r="OP35" i="1" s="1"/>
  <c r="OP23" i="1"/>
  <c r="OP22" i="1"/>
  <c r="NZ37" i="1"/>
  <c r="NZ23" i="1"/>
  <c r="NZ22" i="1"/>
  <c r="NJ37" i="1"/>
  <c r="NJ23" i="1"/>
  <c r="NJ22" i="1"/>
  <c r="MT37" i="1"/>
  <c r="MT35" i="1" s="1"/>
  <c r="MT23" i="1"/>
  <c r="MT22" i="1"/>
  <c r="MD37" i="1"/>
  <c r="MD35" i="1" s="1"/>
  <c r="MD23" i="1"/>
  <c r="MD22" i="1"/>
  <c r="LN37" i="1"/>
  <c r="LN35" i="1" s="1"/>
  <c r="LN23" i="1"/>
  <c r="LN22" i="1"/>
  <c r="KX37" i="1"/>
  <c r="KX23" i="1"/>
  <c r="KX22" i="1"/>
  <c r="KH37" i="1"/>
  <c r="KH35" i="1" s="1"/>
  <c r="KH23" i="1"/>
  <c r="KH22" i="1"/>
  <c r="JR37" i="1"/>
  <c r="JR35" i="1" s="1"/>
  <c r="JR23" i="1"/>
  <c r="JR22" i="1"/>
  <c r="JB37" i="1"/>
  <c r="JB35" i="1" s="1"/>
  <c r="JB23" i="1"/>
  <c r="JB22" i="1"/>
  <c r="IL37" i="1"/>
  <c r="IL23" i="1"/>
  <c r="IL22" i="1"/>
  <c r="HV37" i="1"/>
  <c r="HV23" i="1"/>
  <c r="HV22" i="1"/>
  <c r="HF37" i="1"/>
  <c r="HF35" i="1" s="1"/>
  <c r="HF23" i="1"/>
  <c r="HF22" i="1"/>
  <c r="GP37" i="1"/>
  <c r="GP23" i="1"/>
  <c r="GP22" i="1"/>
  <c r="FZ37" i="1"/>
  <c r="FZ23" i="1"/>
  <c r="FZ22" i="1"/>
  <c r="FJ37" i="1"/>
  <c r="FJ35" i="1" s="1"/>
  <c r="FJ23" i="1"/>
  <c r="FJ22" i="1"/>
  <c r="ET37" i="1"/>
  <c r="ET35" i="1" s="1"/>
  <c r="ET23" i="1"/>
  <c r="ET22" i="1"/>
  <c r="ED37" i="1"/>
  <c r="ED23" i="1"/>
  <c r="ED22" i="1"/>
  <c r="DN37" i="1"/>
  <c r="DN23" i="1"/>
  <c r="DN22" i="1"/>
  <c r="CX37" i="1"/>
  <c r="CX23" i="1"/>
  <c r="CX22" i="1"/>
  <c r="CH37" i="1"/>
  <c r="CH23" i="1"/>
  <c r="CH22" i="1"/>
  <c r="BR37" i="1"/>
  <c r="BR23" i="1"/>
  <c r="BR22" i="1"/>
  <c r="BB37" i="1"/>
  <c r="BB23" i="1"/>
  <c r="BB22" i="1"/>
  <c r="AL37" i="1"/>
  <c r="AL23" i="1"/>
  <c r="AL22" i="1"/>
  <c r="V37" i="1"/>
  <c r="V23" i="1"/>
  <c r="V22" i="1"/>
  <c r="F37" i="1"/>
  <c r="F22" i="1"/>
  <c r="E21" i="1"/>
  <c r="EC38" i="1"/>
  <c r="EC32" i="1"/>
  <c r="EC35" i="1"/>
  <c r="EC34" i="1"/>
  <c r="EC33" i="1"/>
  <c r="ES38" i="1"/>
  <c r="ES32" i="1"/>
  <c r="ES35" i="1"/>
  <c r="ES34" i="1"/>
  <c r="ES33" i="1"/>
  <c r="FI38" i="1"/>
  <c r="FI32" i="1"/>
  <c r="FI35" i="1"/>
  <c r="FI34" i="1"/>
  <c r="FI33" i="1"/>
  <c r="FJ33" i="1" s="1"/>
  <c r="FY38" i="1"/>
  <c r="FY32" i="1"/>
  <c r="FY35" i="1"/>
  <c r="FY34" i="1"/>
  <c r="FY33" i="1"/>
  <c r="GO38" i="1"/>
  <c r="GO32" i="1"/>
  <c r="GO35" i="1"/>
  <c r="GO34" i="1"/>
  <c r="GO33" i="1"/>
  <c r="HE38" i="1"/>
  <c r="HE32" i="1"/>
  <c r="HE35" i="1"/>
  <c r="HE34" i="1"/>
  <c r="HE33" i="1"/>
  <c r="HU38" i="1"/>
  <c r="HU32" i="1"/>
  <c r="HU35" i="1"/>
  <c r="HU34" i="1"/>
  <c r="HU33" i="1"/>
  <c r="IK38" i="1"/>
  <c r="IK32" i="1"/>
  <c r="IK35" i="1"/>
  <c r="IK34" i="1"/>
  <c r="IK33" i="1"/>
  <c r="JA38" i="1"/>
  <c r="JA32" i="1"/>
  <c r="JA35" i="1"/>
  <c r="JA34" i="1"/>
  <c r="JA33" i="1"/>
  <c r="JQ38" i="1"/>
  <c r="JQ32" i="1"/>
  <c r="JQ35" i="1"/>
  <c r="JQ34" i="1"/>
  <c r="JQ33" i="1"/>
  <c r="KG38" i="1"/>
  <c r="KG32" i="1"/>
  <c r="KG35" i="1"/>
  <c r="KG34" i="1"/>
  <c r="KG33" i="1"/>
  <c r="KW38" i="1"/>
  <c r="KW32" i="1"/>
  <c r="KW35" i="1"/>
  <c r="KW34" i="1"/>
  <c r="KW33" i="1"/>
  <c r="LM38" i="1"/>
  <c r="LM32" i="1"/>
  <c r="LM35" i="1"/>
  <c r="LM34" i="1"/>
  <c r="LM33" i="1"/>
  <c r="MC38" i="1"/>
  <c r="MC32" i="1"/>
  <c r="MC35" i="1"/>
  <c r="MC34" i="1"/>
  <c r="MC33" i="1"/>
  <c r="MS38" i="1"/>
  <c r="MS32" i="1"/>
  <c r="MS35" i="1"/>
  <c r="MS34" i="1"/>
  <c r="MS33" i="1"/>
  <c r="NI38" i="1"/>
  <c r="NI32" i="1"/>
  <c r="NI35" i="1"/>
  <c r="NI34" i="1"/>
  <c r="NI33" i="1"/>
  <c r="NY38" i="1"/>
  <c r="NY32" i="1"/>
  <c r="NY35" i="1"/>
  <c r="NY34" i="1"/>
  <c r="NY33" i="1"/>
  <c r="OO38" i="1"/>
  <c r="OO32" i="1"/>
  <c r="OO35" i="1"/>
  <c r="OO34" i="1"/>
  <c r="OO33" i="1"/>
  <c r="PE38" i="1"/>
  <c r="PE32" i="1"/>
  <c r="PE35" i="1"/>
  <c r="PE34" i="1"/>
  <c r="PE33" i="1"/>
  <c r="PU38" i="1"/>
  <c r="PU32" i="1"/>
  <c r="PU35" i="1"/>
  <c r="PU34" i="1"/>
  <c r="PU33" i="1"/>
  <c r="QK38" i="1"/>
  <c r="QK32" i="1"/>
  <c r="QK35" i="1"/>
  <c r="QK34" i="1"/>
  <c r="QK33" i="1"/>
  <c r="RA38" i="1"/>
  <c r="RA32" i="1"/>
  <c r="RA35" i="1"/>
  <c r="RA34" i="1"/>
  <c r="RA33" i="1"/>
  <c r="RQ38" i="1"/>
  <c r="RQ32" i="1"/>
  <c r="RQ35" i="1"/>
  <c r="RQ34" i="1"/>
  <c r="RQ33" i="1"/>
  <c r="SG38" i="1"/>
  <c r="SG32" i="1"/>
  <c r="SG35" i="1"/>
  <c r="SG34" i="1"/>
  <c r="SG33" i="1"/>
  <c r="SW38" i="1"/>
  <c r="SW32" i="1"/>
  <c r="SW35" i="1"/>
  <c r="SW34" i="1"/>
  <c r="SW33" i="1"/>
  <c r="TM38" i="1"/>
  <c r="TM32" i="1"/>
  <c r="TM35" i="1"/>
  <c r="TM34" i="1"/>
  <c r="TM33" i="1"/>
  <c r="UC38" i="1"/>
  <c r="UC32" i="1"/>
  <c r="UC35" i="1"/>
  <c r="UC34" i="1"/>
  <c r="UC33" i="1"/>
  <c r="US38" i="1"/>
  <c r="US32" i="1"/>
  <c r="US35" i="1"/>
  <c r="US34" i="1"/>
  <c r="US33" i="1"/>
  <c r="VI38" i="1"/>
  <c r="VI32" i="1"/>
  <c r="VI35" i="1"/>
  <c r="VI34" i="1"/>
  <c r="VI33" i="1"/>
  <c r="VY38" i="1"/>
  <c r="VY32" i="1"/>
  <c r="VY35" i="1"/>
  <c r="VY34" i="1"/>
  <c r="VY33" i="1"/>
  <c r="WO38" i="1"/>
  <c r="WO32" i="1"/>
  <c r="WO35" i="1"/>
  <c r="WO34" i="1"/>
  <c r="WO33" i="1"/>
  <c r="XE38" i="1"/>
  <c r="XE32" i="1"/>
  <c r="XE35" i="1"/>
  <c r="XE34" i="1"/>
  <c r="XE33" i="1"/>
  <c r="XU38" i="1"/>
  <c r="XU32" i="1"/>
  <c r="XU35" i="1"/>
  <c r="XU34" i="1"/>
  <c r="XU33" i="1"/>
  <c r="YK38" i="1"/>
  <c r="YK32" i="1"/>
  <c r="YK35" i="1"/>
  <c r="YK34" i="1"/>
  <c r="YK33" i="1"/>
  <c r="ZA38" i="1"/>
  <c r="ZA32" i="1"/>
  <c r="ZA35" i="1"/>
  <c r="ZA34" i="1"/>
  <c r="ZA33" i="1"/>
  <c r="ZQ38" i="1"/>
  <c r="ZQ32" i="1"/>
  <c r="ZQ35" i="1"/>
  <c r="ZQ34" i="1"/>
  <c r="ZQ33" i="1"/>
  <c r="AAG38" i="1"/>
  <c r="AAG32" i="1"/>
  <c r="AAG35" i="1"/>
  <c r="AAG34" i="1"/>
  <c r="AAG33" i="1"/>
  <c r="AAW38" i="1"/>
  <c r="AAW32" i="1"/>
  <c r="AAW35" i="1"/>
  <c r="AAW34" i="1"/>
  <c r="AAW33" i="1"/>
  <c r="ABC38" i="1"/>
  <c r="ABC34" i="1"/>
  <c r="ABC33" i="1"/>
  <c r="ABC32" i="1"/>
  <c r="AAU37" i="1"/>
  <c r="AAU35" i="1" s="1"/>
  <c r="AAU23" i="1"/>
  <c r="AAU22" i="1"/>
  <c r="ZW38" i="1"/>
  <c r="ZW34" i="1"/>
  <c r="ZW33" i="1"/>
  <c r="ZW32" i="1"/>
  <c r="ZW35" i="1"/>
  <c r="ZS37" i="1"/>
  <c r="ZS23" i="1"/>
  <c r="ZS22" i="1"/>
  <c r="YQ37" i="1"/>
  <c r="YQ35" i="1" s="1"/>
  <c r="YQ23" i="1"/>
  <c r="YQ22" i="1"/>
  <c r="XW38" i="1"/>
  <c r="XW34" i="1"/>
  <c r="XW33" i="1"/>
  <c r="XW32" i="1"/>
  <c r="WI37" i="1"/>
  <c r="WI35" i="1" s="1"/>
  <c r="WI23" i="1"/>
  <c r="WI22" i="1"/>
  <c r="VK38" i="1"/>
  <c r="VK34" i="1"/>
  <c r="VK33" i="1"/>
  <c r="VK32" i="1"/>
  <c r="UU37" i="1"/>
  <c r="UU23" i="1"/>
  <c r="UU22" i="1"/>
  <c r="UA37" i="1"/>
  <c r="UA35" i="1" s="1"/>
  <c r="UA23" i="1"/>
  <c r="UA22" i="1"/>
  <c r="TC37" i="1"/>
  <c r="TC35" i="1" s="1"/>
  <c r="TC23" i="1"/>
  <c r="TC22" i="1"/>
  <c r="SQ37" i="1"/>
  <c r="SQ35" i="1" s="1"/>
  <c r="SQ23" i="1"/>
  <c r="SQ22" i="1"/>
  <c r="RS38" i="1"/>
  <c r="RS34" i="1"/>
  <c r="RS33" i="1"/>
  <c r="RS32" i="1"/>
  <c r="RS35" i="1"/>
  <c r="QQ38" i="1"/>
  <c r="QQ34" i="1"/>
  <c r="QQ33" i="1"/>
  <c r="QQ32" i="1"/>
  <c r="QQ35" i="1"/>
  <c r="QI37" i="1"/>
  <c r="QI35" i="1" s="1"/>
  <c r="QI23" i="1"/>
  <c r="QI22" i="1"/>
  <c r="PK37" i="1"/>
  <c r="PK35" i="1" s="1"/>
  <c r="PK23" i="1"/>
  <c r="PK22" i="1"/>
  <c r="OQ37" i="1"/>
  <c r="OQ35" i="1" s="1"/>
  <c r="OQ23" i="1"/>
  <c r="OQ22" i="1"/>
  <c r="NK38" i="1"/>
  <c r="NK34" i="1"/>
  <c r="NK33" i="1"/>
  <c r="NK32" i="1"/>
  <c r="NK35" i="1"/>
  <c r="MU37" i="1"/>
  <c r="MU23" i="1"/>
  <c r="MU22" i="1"/>
  <c r="LW37" i="1"/>
  <c r="LW35" i="1" s="1"/>
  <c r="LW36" i="1" s="1"/>
  <c r="LW23" i="1"/>
  <c r="LW22" i="1"/>
  <c r="KY38" i="1"/>
  <c r="KY34" i="1"/>
  <c r="KY33" i="1"/>
  <c r="KY32" i="1"/>
  <c r="KI37" i="1"/>
  <c r="KI23" i="1"/>
  <c r="KI22" i="1"/>
  <c r="JK37" i="1"/>
  <c r="JK35" i="1" s="1"/>
  <c r="JK23" i="1"/>
  <c r="JK22" i="1"/>
  <c r="IQ37" i="1"/>
  <c r="IQ35" i="1" s="1"/>
  <c r="IQ23" i="1"/>
  <c r="IQ22" i="1"/>
  <c r="HW38" i="1"/>
  <c r="HW34" i="1"/>
  <c r="HW33" i="1"/>
  <c r="HW32" i="1"/>
  <c r="HG37" i="1"/>
  <c r="HG35" i="1" s="1"/>
  <c r="HG23" i="1"/>
  <c r="HG22" i="1"/>
  <c r="GI37" i="1"/>
  <c r="GI35" i="1" s="1"/>
  <c r="GI36" i="1" s="1"/>
  <c r="GI23" i="1"/>
  <c r="GI22" i="1"/>
  <c r="FO38" i="1"/>
  <c r="FO34" i="1"/>
  <c r="FO33" i="1"/>
  <c r="FO32" i="1"/>
  <c r="FG37" i="1"/>
  <c r="FG35" i="1" s="1"/>
  <c r="FG23" i="1"/>
  <c r="FG22" i="1"/>
  <c r="EI37" i="1"/>
  <c r="EI23" i="1"/>
  <c r="EI22" i="1"/>
  <c r="DK38" i="1"/>
  <c r="DK34" i="1"/>
  <c r="DK33" i="1"/>
  <c r="DK32" i="1"/>
  <c r="DK35" i="1"/>
  <c r="CM37" i="1"/>
  <c r="CM23" i="1"/>
  <c r="CM22" i="1"/>
  <c r="CA38" i="1"/>
  <c r="CA34" i="1"/>
  <c r="CA33" i="1"/>
  <c r="CA32" i="1"/>
  <c r="CA35" i="1"/>
  <c r="BC37" i="1"/>
  <c r="BC23" i="1"/>
  <c r="BC22" i="1"/>
  <c r="AU38" i="1"/>
  <c r="AU33" i="1"/>
  <c r="AU32" i="1"/>
  <c r="AU35" i="1"/>
  <c r="W37" i="1"/>
  <c r="W23" i="1"/>
  <c r="W22" i="1"/>
  <c r="K38" i="1"/>
  <c r="K34" i="1"/>
  <c r="K33" i="1"/>
  <c r="K32" i="1"/>
  <c r="AAF36" i="1"/>
  <c r="AAF42" i="1"/>
  <c r="AAF40" i="1"/>
  <c r="AAF41" i="1"/>
  <c r="XJ48" i="1"/>
  <c r="XJ46" i="1"/>
  <c r="UB36" i="1"/>
  <c r="UB40" i="1"/>
  <c r="UB42" i="1"/>
  <c r="TG36" i="1"/>
  <c r="TG40" i="1"/>
  <c r="TG42" i="1"/>
  <c r="SL40" i="1"/>
  <c r="SL42" i="1"/>
  <c r="SL36" i="1"/>
  <c r="NX42" i="1"/>
  <c r="NX40" i="1"/>
  <c r="NX36" i="1"/>
  <c r="NC42" i="1"/>
  <c r="NC40" i="1"/>
  <c r="NC36" i="1"/>
  <c r="MH42" i="1"/>
  <c r="MH40" i="1"/>
  <c r="MH36" i="1"/>
  <c r="HT40" i="1"/>
  <c r="HT36" i="1"/>
  <c r="HT42" i="1"/>
  <c r="GY40" i="1"/>
  <c r="GY36" i="1"/>
  <c r="GY42" i="1"/>
  <c r="DI45" i="1"/>
  <c r="DI43" i="1"/>
  <c r="DI36" i="1"/>
  <c r="AW45" i="1"/>
  <c r="AW43" i="1"/>
  <c r="AW36" i="1"/>
  <c r="Y50" i="1"/>
  <c r="Y49" i="1"/>
  <c r="I50" i="1"/>
  <c r="AAZ51" i="1"/>
  <c r="AAZ50" i="1"/>
  <c r="ZT44" i="1"/>
  <c r="ZT45" i="1"/>
  <c r="YN50" i="1"/>
  <c r="YN51" i="1"/>
  <c r="XS38" i="1"/>
  <c r="XS34" i="1"/>
  <c r="XS33" i="1"/>
  <c r="XS32" i="1"/>
  <c r="XS35" i="1"/>
  <c r="WB44" i="1"/>
  <c r="WB45" i="1"/>
  <c r="UL42" i="1"/>
  <c r="UL36" i="1"/>
  <c r="UL40" i="1"/>
  <c r="TP44" i="1"/>
  <c r="TP45" i="1"/>
  <c r="RZ42" i="1"/>
  <c r="RZ40" i="1"/>
  <c r="RZ36" i="1"/>
  <c r="RD42" i="1"/>
  <c r="RD40" i="1"/>
  <c r="RD36" i="1"/>
  <c r="OR42" i="1"/>
  <c r="OR40" i="1"/>
  <c r="OR36" i="1"/>
  <c r="NW38" i="1"/>
  <c r="NW34" i="1"/>
  <c r="NW33" i="1"/>
  <c r="NW32" i="1"/>
  <c r="NL44" i="1"/>
  <c r="NL45" i="1"/>
  <c r="NL43" i="1"/>
  <c r="KP42" i="1"/>
  <c r="KP40" i="1"/>
  <c r="KP36" i="1"/>
  <c r="JT42" i="1"/>
  <c r="JT40" i="1"/>
  <c r="JT36" i="1"/>
  <c r="GX42" i="1"/>
  <c r="GX40" i="1"/>
  <c r="GX36" i="1"/>
  <c r="GB42" i="1"/>
  <c r="GB36" i="1"/>
  <c r="GB40" i="1"/>
  <c r="DP42" i="1"/>
  <c r="DP36" i="1"/>
  <c r="DP40" i="1"/>
  <c r="CB51" i="1"/>
  <c r="CB49" i="1"/>
  <c r="BD42" i="1"/>
  <c r="BD36" i="1"/>
  <c r="BD40" i="1"/>
  <c r="X42" i="1"/>
  <c r="X40" i="1"/>
  <c r="X36" i="1"/>
  <c r="P51" i="1"/>
  <c r="P49" i="1"/>
  <c r="YU38" i="1"/>
  <c r="YU34" i="1"/>
  <c r="YU33" i="1"/>
  <c r="YU32" i="1"/>
  <c r="YU35" i="1"/>
  <c r="VN42" i="1"/>
  <c r="VN40" i="1"/>
  <c r="RV42" i="1"/>
  <c r="RV40" i="1"/>
  <c r="RV36" i="1"/>
  <c r="OY38" i="1"/>
  <c r="OY34" i="1"/>
  <c r="OY33" i="1"/>
  <c r="OY32" i="1"/>
  <c r="OY35" i="1"/>
  <c r="LR42" i="1"/>
  <c r="LR40" i="1"/>
  <c r="JF48" i="1"/>
  <c r="JF46" i="1"/>
  <c r="HZ42" i="1"/>
  <c r="HZ40" i="1"/>
  <c r="HZ36" i="1"/>
  <c r="HZ41" i="1"/>
  <c r="FN48" i="1"/>
  <c r="FN46" i="1"/>
  <c r="AAB42" i="1"/>
  <c r="AAB36" i="1"/>
  <c r="AAB40" i="1"/>
  <c r="ZX42" i="1"/>
  <c r="ZX40" i="1"/>
  <c r="ZX36" i="1"/>
  <c r="XP42" i="1"/>
  <c r="XP36" i="1"/>
  <c r="XP40" i="1"/>
  <c r="XL42" i="1"/>
  <c r="XL40" i="1"/>
  <c r="XL36" i="1"/>
  <c r="VD42" i="1"/>
  <c r="VD36" i="1"/>
  <c r="VD40" i="1"/>
  <c r="UZ42" i="1"/>
  <c r="UZ40" i="1"/>
  <c r="UZ36" i="1"/>
  <c r="SR42" i="1"/>
  <c r="SR36" i="1"/>
  <c r="SR40" i="1"/>
  <c r="SN42" i="1"/>
  <c r="SN40" i="1"/>
  <c r="SN36" i="1"/>
  <c r="SB51" i="1"/>
  <c r="SB49" i="1"/>
  <c r="QF42" i="1"/>
  <c r="QF40" i="1"/>
  <c r="QF36" i="1"/>
  <c r="QB42" i="1"/>
  <c r="QB40" i="1"/>
  <c r="QB36" i="1"/>
  <c r="PP51" i="1"/>
  <c r="PP49" i="1"/>
  <c r="NT42" i="1"/>
  <c r="NT40" i="1"/>
  <c r="NT36" i="1"/>
  <c r="NP42" i="1"/>
  <c r="NP40" i="1"/>
  <c r="NP36" i="1"/>
  <c r="ND51" i="1"/>
  <c r="ND49" i="1"/>
  <c r="LH42" i="1"/>
  <c r="LH40" i="1"/>
  <c r="LH36" i="1"/>
  <c r="LD42" i="1"/>
  <c r="LD40" i="1"/>
  <c r="LD36" i="1"/>
  <c r="KR51" i="1"/>
  <c r="KR49" i="1"/>
  <c r="JH44" i="1"/>
  <c r="JH43" i="1"/>
  <c r="IV42" i="1"/>
  <c r="IV40" i="1"/>
  <c r="IV36" i="1"/>
  <c r="IR42" i="1"/>
  <c r="IR40" i="1"/>
  <c r="IR36" i="1"/>
  <c r="IF51" i="1"/>
  <c r="IF49" i="1"/>
  <c r="GV44" i="1"/>
  <c r="GV43" i="1"/>
  <c r="GJ42" i="1"/>
  <c r="GJ40" i="1"/>
  <c r="GJ36" i="1"/>
  <c r="GJ41" i="1"/>
  <c r="GF42" i="1"/>
  <c r="GF40" i="1"/>
  <c r="GF36" i="1"/>
  <c r="FT51" i="1"/>
  <c r="FT49" i="1"/>
  <c r="EN33" i="1"/>
  <c r="EJ44" i="1"/>
  <c r="EJ43" i="1"/>
  <c r="DX42" i="1"/>
  <c r="DX40" i="1"/>
  <c r="DX36" i="1"/>
  <c r="DX41" i="1"/>
  <c r="AAJ44" i="1"/>
  <c r="AAJ45" i="1"/>
  <c r="YT42" i="1"/>
  <c r="YT36" i="1"/>
  <c r="YT40" i="1"/>
  <c r="VB42" i="1"/>
  <c r="VB36" i="1"/>
  <c r="VB40" i="1"/>
  <c r="UF42" i="1"/>
  <c r="UF36" i="1"/>
  <c r="UF40" i="1"/>
  <c r="RJ42" i="1"/>
  <c r="RJ40" i="1"/>
  <c r="QN44" i="1"/>
  <c r="QN45" i="1"/>
  <c r="OX42" i="1"/>
  <c r="OX40" i="1"/>
  <c r="OB42" i="1"/>
  <c r="OB36" i="1"/>
  <c r="OB40" i="1"/>
  <c r="NG38" i="1"/>
  <c r="NG34" i="1"/>
  <c r="NG33" i="1"/>
  <c r="NG32" i="1"/>
  <c r="MV44" i="1"/>
  <c r="MV45" i="1"/>
  <c r="JZ42" i="1"/>
  <c r="JZ40" i="1"/>
  <c r="JZ36" i="1"/>
  <c r="JD42" i="1"/>
  <c r="JD36" i="1"/>
  <c r="JD40" i="1"/>
  <c r="II38" i="1"/>
  <c r="II34" i="1"/>
  <c r="II33" i="1"/>
  <c r="II32" i="1"/>
  <c r="II35" i="1"/>
  <c r="BX44" i="1"/>
  <c r="BX43" i="1"/>
  <c r="AAY37" i="1"/>
  <c r="AAY23" i="1"/>
  <c r="AAY22" i="1"/>
  <c r="AAI38" i="1"/>
  <c r="AAI34" i="1"/>
  <c r="AAI33" i="1"/>
  <c r="AAI32" i="1"/>
  <c r="ZO37" i="1"/>
  <c r="ZO35" i="1" s="1"/>
  <c r="ZO23" i="1"/>
  <c r="ZO22" i="1"/>
  <c r="YU37" i="1"/>
  <c r="YU23" i="1"/>
  <c r="YU22" i="1"/>
  <c r="XG38" i="1"/>
  <c r="XG34" i="1"/>
  <c r="XG33" i="1"/>
  <c r="XG32" i="1"/>
  <c r="XG35" i="1"/>
  <c r="WE37" i="1"/>
  <c r="WE23" i="1"/>
  <c r="WE22" i="1"/>
  <c r="UY38" i="1"/>
  <c r="UY34" i="1"/>
  <c r="UY33" i="1"/>
  <c r="UY32" i="1"/>
  <c r="UY35" i="1"/>
  <c r="UQ37" i="1"/>
  <c r="UQ23" i="1"/>
  <c r="UQ22" i="1"/>
  <c r="TO38" i="1"/>
  <c r="TO34" i="1"/>
  <c r="TO33" i="1"/>
  <c r="TO32" i="1"/>
  <c r="SY37" i="1"/>
  <c r="SY23" i="1"/>
  <c r="SY22" i="1"/>
  <c r="SM37" i="1"/>
  <c r="SM35" i="1" s="1"/>
  <c r="SM23" i="1"/>
  <c r="SM22" i="1"/>
  <c r="QU37" i="1"/>
  <c r="QU35" i="1" s="1"/>
  <c r="QU36" i="1" s="1"/>
  <c r="QU23" i="1"/>
  <c r="QU22" i="1"/>
  <c r="PW38" i="1"/>
  <c r="PW34" i="1"/>
  <c r="PW33" i="1"/>
  <c r="PW32" i="1"/>
  <c r="PW35" i="1"/>
  <c r="PG37" i="1"/>
  <c r="PG23" i="1"/>
  <c r="PG22" i="1"/>
  <c r="OU38" i="1"/>
  <c r="OU34" i="1"/>
  <c r="OU33" i="1"/>
  <c r="OU32" i="1"/>
  <c r="OU35" i="1"/>
  <c r="OM37" i="1"/>
  <c r="OM35" i="1" s="1"/>
  <c r="OM23" i="1"/>
  <c r="OM22" i="1"/>
  <c r="MY37" i="1"/>
  <c r="MY23" i="1"/>
  <c r="MY22" i="1"/>
  <c r="LS38" i="1"/>
  <c r="LS34" i="1"/>
  <c r="LS33" i="1"/>
  <c r="LS32" i="1"/>
  <c r="LS35" i="1"/>
  <c r="LK37" i="1"/>
  <c r="LK35" i="1" s="1"/>
  <c r="LK23" i="1"/>
  <c r="LK22" i="1"/>
  <c r="KM37" i="1"/>
  <c r="KM35" i="1" s="1"/>
  <c r="KM23" i="1"/>
  <c r="KM22" i="1"/>
  <c r="IU37" i="1"/>
  <c r="IU35" i="1" s="1"/>
  <c r="IU23" i="1"/>
  <c r="IU22" i="1"/>
  <c r="HK38" i="1"/>
  <c r="HK34" i="1"/>
  <c r="HK33" i="1"/>
  <c r="HK32" i="1"/>
  <c r="HK35" i="1"/>
  <c r="HC37" i="1"/>
  <c r="HC35" i="1" s="1"/>
  <c r="HC23" i="1"/>
  <c r="HC22" i="1"/>
  <c r="GE37" i="1"/>
  <c r="GE35" i="1" s="1"/>
  <c r="GE23" i="1"/>
  <c r="GE22" i="1"/>
  <c r="FS37" i="1"/>
  <c r="FS35" i="1" s="1"/>
  <c r="FS23" i="1"/>
  <c r="FS22" i="1"/>
  <c r="EU38" i="1"/>
  <c r="EU34" i="1"/>
  <c r="EU32" i="1"/>
  <c r="EE37" i="1"/>
  <c r="EE23" i="1"/>
  <c r="EE22" i="1"/>
  <c r="DG37" i="1"/>
  <c r="DG23" i="1"/>
  <c r="DG22" i="1"/>
  <c r="CY38" i="1"/>
  <c r="CY34" i="1"/>
  <c r="CY35" i="1"/>
  <c r="CE37" i="1"/>
  <c r="CE23" i="1"/>
  <c r="CE22" i="1"/>
  <c r="BW38" i="1"/>
  <c r="BW33" i="1"/>
  <c r="BW32" i="1"/>
  <c r="AY37" i="1"/>
  <c r="AY23" i="1"/>
  <c r="AY22" i="1"/>
  <c r="AQ38" i="1"/>
  <c r="AQ34" i="1"/>
  <c r="AQ33" i="1"/>
  <c r="AQ32" i="1"/>
  <c r="AQ35" i="1"/>
  <c r="S37" i="1"/>
  <c r="S23" i="1"/>
  <c r="S22" i="1"/>
  <c r="O38" i="1"/>
  <c r="O34" i="1"/>
  <c r="O33" i="1"/>
  <c r="O32" i="1"/>
  <c r="O35" i="1"/>
  <c r="YP48" i="1"/>
  <c r="YP46" i="1"/>
  <c r="XT51" i="1"/>
  <c r="XT50" i="1"/>
  <c r="VH36" i="1"/>
  <c r="VH42" i="1"/>
  <c r="VH40" i="1"/>
  <c r="UM42" i="1"/>
  <c r="UM36" i="1"/>
  <c r="UM40" i="1"/>
  <c r="TR42" i="1"/>
  <c r="TR40" i="1"/>
  <c r="TR36" i="1"/>
  <c r="OT48" i="1"/>
  <c r="OT46" i="1"/>
  <c r="LB48" i="1"/>
  <c r="LB46" i="1"/>
  <c r="HJ48" i="1"/>
  <c r="HJ46" i="1"/>
  <c r="DR48" i="1"/>
  <c r="DR46" i="1"/>
  <c r="AAV36" i="1"/>
  <c r="AAV42" i="1"/>
  <c r="AAV40" i="1"/>
  <c r="VX36" i="1"/>
  <c r="VX42" i="1"/>
  <c r="VX40" i="1"/>
  <c r="QZ42" i="1"/>
  <c r="QZ40" i="1"/>
  <c r="QZ36" i="1"/>
  <c r="MB42" i="1"/>
  <c r="MB40" i="1"/>
  <c r="MB36" i="1"/>
  <c r="HD42" i="1"/>
  <c r="HD40" i="1"/>
  <c r="HD36" i="1"/>
  <c r="AAU46" i="1"/>
  <c r="AAU48" i="1"/>
  <c r="YY42" i="1"/>
  <c r="YY40" i="1"/>
  <c r="UA42" i="1"/>
  <c r="UA36" i="1"/>
  <c r="UA40" i="1"/>
  <c r="SU46" i="1"/>
  <c r="SU48" i="1"/>
  <c r="RK42" i="1"/>
  <c r="RK40" i="1"/>
  <c r="RK36" i="1"/>
  <c r="QI46" i="1"/>
  <c r="QI48" i="1"/>
  <c r="PC42" i="1"/>
  <c r="PC40" i="1"/>
  <c r="PC36" i="1"/>
  <c r="IY42" i="1"/>
  <c r="IY40" i="1"/>
  <c r="EQ42" i="1"/>
  <c r="EQ40" i="1"/>
  <c r="EQ36" i="1"/>
  <c r="AAD35" i="1"/>
  <c r="AAD34" i="1"/>
  <c r="AAD33" i="1"/>
  <c r="AAD32" i="1"/>
  <c r="AAD38" i="1"/>
  <c r="XR34" i="1"/>
  <c r="XR33" i="1"/>
  <c r="XR32" i="1"/>
  <c r="XR38" i="1"/>
  <c r="VF34" i="1"/>
  <c r="VF33" i="1"/>
  <c r="VF32" i="1"/>
  <c r="VF38" i="1"/>
  <c r="ST38" i="1"/>
  <c r="ST35" i="1"/>
  <c r="ST34" i="1"/>
  <c r="ST33" i="1"/>
  <c r="ST32" i="1"/>
  <c r="QH38" i="1"/>
  <c r="QH34" i="1"/>
  <c r="QH33" i="1"/>
  <c r="QH32" i="1"/>
  <c r="NV38" i="1"/>
  <c r="NV34" i="1"/>
  <c r="NV33" i="1"/>
  <c r="NV32" i="1"/>
  <c r="LJ38" i="1"/>
  <c r="LJ35" i="1"/>
  <c r="LJ34" i="1"/>
  <c r="LJ33" i="1"/>
  <c r="LJ32" i="1"/>
  <c r="IX38" i="1"/>
  <c r="IX35" i="1"/>
  <c r="IX34" i="1"/>
  <c r="IX33" i="1"/>
  <c r="IX32" i="1"/>
  <c r="GL38" i="1"/>
  <c r="GL34" i="1"/>
  <c r="GL33" i="1"/>
  <c r="GL32" i="1"/>
  <c r="DZ38" i="1"/>
  <c r="DZ35" i="1"/>
  <c r="DZ34" i="1"/>
  <c r="DZ33" i="1"/>
  <c r="DZ32" i="1"/>
  <c r="ZR38" i="1"/>
  <c r="ZR35" i="1"/>
  <c r="ZR34" i="1"/>
  <c r="ZR33" i="1"/>
  <c r="ZR32" i="1"/>
  <c r="XF38" i="1"/>
  <c r="XF35" i="1"/>
  <c r="XF34" i="1"/>
  <c r="XF33" i="1"/>
  <c r="XF32" i="1"/>
  <c r="UT38" i="1"/>
  <c r="UT35" i="1"/>
  <c r="UT34" i="1"/>
  <c r="UT33" i="1"/>
  <c r="UT32" i="1"/>
  <c r="SH38" i="1"/>
  <c r="SH35" i="1"/>
  <c r="SH34" i="1"/>
  <c r="SH33" i="1"/>
  <c r="SH32" i="1"/>
  <c r="PV38" i="1"/>
  <c r="PV35" i="1"/>
  <c r="PV34" i="1"/>
  <c r="PV33" i="1"/>
  <c r="PV32" i="1"/>
  <c r="NJ38" i="1"/>
  <c r="NJ35" i="1"/>
  <c r="NJ34" i="1"/>
  <c r="NJ33" i="1"/>
  <c r="NJ32" i="1"/>
  <c r="KX38" i="1"/>
  <c r="KX35" i="1"/>
  <c r="KX34" i="1"/>
  <c r="KX33" i="1"/>
  <c r="KX32" i="1"/>
  <c r="IL38" i="1"/>
  <c r="IL35" i="1"/>
  <c r="IL34" i="1"/>
  <c r="IL33" i="1"/>
  <c r="IL32" i="1"/>
  <c r="FZ38" i="1"/>
  <c r="FZ35" i="1"/>
  <c r="FZ34" i="1"/>
  <c r="FZ33" i="1"/>
  <c r="FZ32" i="1"/>
  <c r="DN38" i="1"/>
  <c r="DN35" i="1"/>
  <c r="DN34" i="1"/>
  <c r="DN33" i="1"/>
  <c r="DN32" i="1"/>
  <c r="CX38" i="1"/>
  <c r="CX35" i="1"/>
  <c r="CX34" i="1"/>
  <c r="CX33" i="1"/>
  <c r="CX32" i="1"/>
  <c r="CY32" i="1" s="1"/>
  <c r="CH38" i="1"/>
  <c r="CH35" i="1"/>
  <c r="CH34" i="1"/>
  <c r="CH33" i="1"/>
  <c r="CH32" i="1"/>
  <c r="BR38" i="1"/>
  <c r="BR35" i="1"/>
  <c r="BR34" i="1"/>
  <c r="BR33" i="1"/>
  <c r="BR32" i="1"/>
  <c r="BB38" i="1"/>
  <c r="BB35" i="1"/>
  <c r="BB34" i="1"/>
  <c r="BB33" i="1"/>
  <c r="BB32" i="1"/>
  <c r="AL38" i="1"/>
  <c r="AL35" i="1"/>
  <c r="AL34" i="1"/>
  <c r="AL33" i="1"/>
  <c r="AL32" i="1"/>
  <c r="V38" i="1"/>
  <c r="V35" i="1"/>
  <c r="V34" i="1"/>
  <c r="V33" i="1"/>
  <c r="V32" i="1"/>
  <c r="F38" i="1"/>
  <c r="F50" i="1" s="1"/>
  <c r="AAT37" i="1"/>
  <c r="AAT35" i="1" s="1"/>
  <c r="AAT23" i="1"/>
  <c r="AAT22" i="1"/>
  <c r="AAD37" i="1"/>
  <c r="AAD23" i="1"/>
  <c r="AAD22" i="1"/>
  <c r="ZN37" i="1"/>
  <c r="ZN35" i="1" s="1"/>
  <c r="ZN23" i="1"/>
  <c r="ZN22" i="1"/>
  <c r="YX37" i="1"/>
  <c r="YX35" i="1" s="1"/>
  <c r="YX23" i="1"/>
  <c r="YX22" i="1"/>
  <c r="YH37" i="1"/>
  <c r="YH35" i="1" s="1"/>
  <c r="YH23" i="1"/>
  <c r="YH22" i="1"/>
  <c r="XR37" i="1"/>
  <c r="XR35" i="1" s="1"/>
  <c r="XR23" i="1"/>
  <c r="XR22" i="1"/>
  <c r="XB37" i="1"/>
  <c r="XB35" i="1" s="1"/>
  <c r="XB23" i="1"/>
  <c r="XB22" i="1"/>
  <c r="WL37" i="1"/>
  <c r="WL35" i="1" s="1"/>
  <c r="WL23" i="1"/>
  <c r="WL22" i="1"/>
  <c r="VV37" i="1"/>
  <c r="VV23" i="1"/>
  <c r="VV22" i="1"/>
  <c r="VF37" i="1"/>
  <c r="VF35" i="1" s="1"/>
  <c r="VF23" i="1"/>
  <c r="VF22" i="1"/>
  <c r="UP37" i="1"/>
  <c r="UP35" i="1" s="1"/>
  <c r="UP23" i="1"/>
  <c r="UP22" i="1"/>
  <c r="TZ37" i="1"/>
  <c r="TZ35" i="1" s="1"/>
  <c r="TZ23" i="1"/>
  <c r="TZ22" i="1"/>
  <c r="TJ37" i="1"/>
  <c r="TJ23" i="1"/>
  <c r="TJ22" i="1"/>
  <c r="ST37" i="1"/>
  <c r="ST23" i="1"/>
  <c r="ST22" i="1"/>
  <c r="SD37" i="1"/>
  <c r="SD35" i="1" s="1"/>
  <c r="SD23" i="1"/>
  <c r="SD22" i="1"/>
  <c r="RN37" i="1"/>
  <c r="RN35" i="1" s="1"/>
  <c r="RN23" i="1"/>
  <c r="RN22" i="1"/>
  <c r="QX37" i="1"/>
  <c r="QX35" i="1" s="1"/>
  <c r="QX23" i="1"/>
  <c r="QX22" i="1"/>
  <c r="QH37" i="1"/>
  <c r="QH35" i="1" s="1"/>
  <c r="QH23" i="1"/>
  <c r="QH22" i="1"/>
  <c r="PR37" i="1"/>
  <c r="PR35" i="1" s="1"/>
  <c r="PR23" i="1"/>
  <c r="PR22" i="1"/>
  <c r="PB37" i="1"/>
  <c r="PB35" i="1" s="1"/>
  <c r="PB23" i="1"/>
  <c r="PB22" i="1"/>
  <c r="OL37" i="1"/>
  <c r="OL35" i="1" s="1"/>
  <c r="OL23" i="1"/>
  <c r="OL22" i="1"/>
  <c r="NV37" i="1"/>
  <c r="NV35" i="1" s="1"/>
  <c r="NV23" i="1"/>
  <c r="NV22" i="1"/>
  <c r="NF37" i="1"/>
  <c r="NF35" i="1" s="1"/>
  <c r="NF23" i="1"/>
  <c r="NF22" i="1"/>
  <c r="MP37" i="1"/>
  <c r="MP35" i="1" s="1"/>
  <c r="MP23" i="1"/>
  <c r="MP22" i="1"/>
  <c r="LZ37" i="1"/>
  <c r="LZ23" i="1"/>
  <c r="LZ22" i="1"/>
  <c r="LJ37" i="1"/>
  <c r="LJ23" i="1"/>
  <c r="LJ22" i="1"/>
  <c r="KT37" i="1"/>
  <c r="KT35" i="1" s="1"/>
  <c r="KT23" i="1"/>
  <c r="KT22" i="1"/>
  <c r="KD37" i="1"/>
  <c r="KD35" i="1" s="1"/>
  <c r="KD23" i="1"/>
  <c r="KD22" i="1"/>
  <c r="JN37" i="1"/>
  <c r="JN23" i="1"/>
  <c r="JN22" i="1"/>
  <c r="IX37" i="1"/>
  <c r="IX23" i="1"/>
  <c r="IX22" i="1"/>
  <c r="IH37" i="1"/>
  <c r="IH35" i="1" s="1"/>
  <c r="IH23" i="1"/>
  <c r="IH22" i="1"/>
  <c r="HR37" i="1"/>
  <c r="HR35" i="1" s="1"/>
  <c r="HR23" i="1"/>
  <c r="HR22" i="1"/>
  <c r="HB37" i="1"/>
  <c r="HB35" i="1" s="1"/>
  <c r="HB23" i="1"/>
  <c r="HB22" i="1"/>
  <c r="GL37" i="1"/>
  <c r="GL35" i="1" s="1"/>
  <c r="GL23" i="1"/>
  <c r="GL22" i="1"/>
  <c r="FV37" i="1"/>
  <c r="FV35" i="1" s="1"/>
  <c r="FV23" i="1"/>
  <c r="FV22" i="1"/>
  <c r="FF37" i="1"/>
  <c r="FF35" i="1" s="1"/>
  <c r="FF23" i="1"/>
  <c r="FF22" i="1"/>
  <c r="EP37" i="1"/>
  <c r="EP23" i="1"/>
  <c r="EP22" i="1"/>
  <c r="DZ37" i="1"/>
  <c r="DZ23" i="1"/>
  <c r="DZ22" i="1"/>
  <c r="DJ37" i="1"/>
  <c r="DJ23" i="1"/>
  <c r="DJ22" i="1"/>
  <c r="CT37" i="1"/>
  <c r="CT23" i="1"/>
  <c r="CT22" i="1"/>
  <c r="CD37" i="1"/>
  <c r="CD23" i="1"/>
  <c r="CD22" i="1"/>
  <c r="BN37" i="1"/>
  <c r="BN23" i="1"/>
  <c r="BN22" i="1"/>
  <c r="AX37" i="1"/>
  <c r="AX23" i="1"/>
  <c r="AX22" i="1"/>
  <c r="AH37" i="1"/>
  <c r="AH23" i="1"/>
  <c r="AH22" i="1"/>
  <c r="R37" i="1"/>
  <c r="R23" i="1"/>
  <c r="R22" i="1"/>
  <c r="DQ32" i="1"/>
  <c r="DQ35" i="1"/>
  <c r="DQ34" i="1"/>
  <c r="DQ38" i="1"/>
  <c r="DQ33" i="1"/>
  <c r="EG32" i="1"/>
  <c r="EG35" i="1"/>
  <c r="EG34" i="1"/>
  <c r="EG38" i="1"/>
  <c r="EG33" i="1"/>
  <c r="EW32" i="1"/>
  <c r="EW35" i="1"/>
  <c r="EW34" i="1"/>
  <c r="EW38" i="1"/>
  <c r="EW33" i="1"/>
  <c r="FM32" i="1"/>
  <c r="FM35" i="1"/>
  <c r="FM34" i="1"/>
  <c r="FM38" i="1"/>
  <c r="FM33" i="1"/>
  <c r="GC32" i="1"/>
  <c r="GC35" i="1"/>
  <c r="GC34" i="1"/>
  <c r="GC38" i="1"/>
  <c r="GC33" i="1"/>
  <c r="GS32" i="1"/>
  <c r="GS35" i="1"/>
  <c r="GS34" i="1"/>
  <c r="GS38" i="1"/>
  <c r="GS33" i="1"/>
  <c r="HI32" i="1"/>
  <c r="HI35" i="1"/>
  <c r="HI34" i="1"/>
  <c r="HI38" i="1"/>
  <c r="HI33" i="1"/>
  <c r="HY32" i="1"/>
  <c r="HY35" i="1"/>
  <c r="HY34" i="1"/>
  <c r="HY38" i="1"/>
  <c r="HY33" i="1"/>
  <c r="IO32" i="1"/>
  <c r="IO35" i="1"/>
  <c r="IO34" i="1"/>
  <c r="IO38" i="1"/>
  <c r="IO33" i="1"/>
  <c r="JE32" i="1"/>
  <c r="JE35" i="1"/>
  <c r="JE34" i="1"/>
  <c r="JE38" i="1"/>
  <c r="JE33" i="1"/>
  <c r="JU32" i="1"/>
  <c r="JU35" i="1"/>
  <c r="JU34" i="1"/>
  <c r="JU38" i="1"/>
  <c r="JU33" i="1"/>
  <c r="KK32" i="1"/>
  <c r="KK35" i="1"/>
  <c r="KK34" i="1"/>
  <c r="KK38" i="1"/>
  <c r="KK33" i="1"/>
  <c r="LA32" i="1"/>
  <c r="LA35" i="1"/>
  <c r="LA34" i="1"/>
  <c r="LA38" i="1"/>
  <c r="LA33" i="1"/>
  <c r="LQ32" i="1"/>
  <c r="LQ35" i="1"/>
  <c r="LQ34" i="1"/>
  <c r="LQ38" i="1"/>
  <c r="LQ33" i="1"/>
  <c r="MG32" i="1"/>
  <c r="MG35" i="1"/>
  <c r="MG34" i="1"/>
  <c r="MG38" i="1"/>
  <c r="MG33" i="1"/>
  <c r="MW32" i="1"/>
  <c r="MW35" i="1"/>
  <c r="MW34" i="1"/>
  <c r="MW38" i="1"/>
  <c r="MW33" i="1"/>
  <c r="NM32" i="1"/>
  <c r="NM35" i="1"/>
  <c r="NM34" i="1"/>
  <c r="NM38" i="1"/>
  <c r="NM33" i="1"/>
  <c r="OC32" i="1"/>
  <c r="OC35" i="1"/>
  <c r="OC34" i="1"/>
  <c r="OC38" i="1"/>
  <c r="OC33" i="1"/>
  <c r="OS32" i="1"/>
  <c r="OS35" i="1"/>
  <c r="OS34" i="1"/>
  <c r="OS38" i="1"/>
  <c r="OS33" i="1"/>
  <c r="PI32" i="1"/>
  <c r="PI35" i="1"/>
  <c r="PI34" i="1"/>
  <c r="PI38" i="1"/>
  <c r="PI33" i="1"/>
  <c r="PY32" i="1"/>
  <c r="PY35" i="1"/>
  <c r="PY34" i="1"/>
  <c r="PY38" i="1"/>
  <c r="PY33" i="1"/>
  <c r="QO32" i="1"/>
  <c r="QO35" i="1"/>
  <c r="QO34" i="1"/>
  <c r="QO38" i="1"/>
  <c r="QO33" i="1"/>
  <c r="RE32" i="1"/>
  <c r="RE35" i="1"/>
  <c r="RE34" i="1"/>
  <c r="RE38" i="1"/>
  <c r="RE33" i="1"/>
  <c r="RU32" i="1"/>
  <c r="RU35" i="1"/>
  <c r="RU34" i="1"/>
  <c r="RU38" i="1"/>
  <c r="RU33" i="1"/>
  <c r="SK32" i="1"/>
  <c r="SK35" i="1"/>
  <c r="SK34" i="1"/>
  <c r="SK38" i="1"/>
  <c r="SK33" i="1"/>
  <c r="TA32" i="1"/>
  <c r="TA35" i="1"/>
  <c r="TA34" i="1"/>
  <c r="TA38" i="1"/>
  <c r="TA33" i="1"/>
  <c r="TQ32" i="1"/>
  <c r="TQ35" i="1"/>
  <c r="TQ34" i="1"/>
  <c r="TQ38" i="1"/>
  <c r="TQ33" i="1"/>
  <c r="UG38" i="1"/>
  <c r="UG32" i="1"/>
  <c r="UG35" i="1"/>
  <c r="UG34" i="1"/>
  <c r="UG33" i="1"/>
  <c r="UW38" i="1"/>
  <c r="UW32" i="1"/>
  <c r="UW35" i="1"/>
  <c r="UW34" i="1"/>
  <c r="UW33" i="1"/>
  <c r="VM38" i="1"/>
  <c r="VM32" i="1"/>
  <c r="VM35" i="1"/>
  <c r="VM34" i="1"/>
  <c r="VM33" i="1"/>
  <c r="WC38" i="1"/>
  <c r="WC32" i="1"/>
  <c r="WC35" i="1"/>
  <c r="WC34" i="1"/>
  <c r="WC33" i="1"/>
  <c r="WS38" i="1"/>
  <c r="WS32" i="1"/>
  <c r="WS35" i="1"/>
  <c r="WS34" i="1"/>
  <c r="WS33" i="1"/>
  <c r="XI38" i="1"/>
  <c r="XI32" i="1"/>
  <c r="XI35" i="1"/>
  <c r="XI34" i="1"/>
  <c r="XI33" i="1"/>
  <c r="XY38" i="1"/>
  <c r="XY32" i="1"/>
  <c r="XY35" i="1"/>
  <c r="XY34" i="1"/>
  <c r="XY33" i="1"/>
  <c r="YO38" i="1"/>
  <c r="YO32" i="1"/>
  <c r="YO35" i="1"/>
  <c r="YO34" i="1"/>
  <c r="YO33" i="1"/>
  <c r="ZE38" i="1"/>
  <c r="ZE32" i="1"/>
  <c r="ZE35" i="1"/>
  <c r="ZE34" i="1"/>
  <c r="ZE33" i="1"/>
  <c r="ZU38" i="1"/>
  <c r="ZU32" i="1"/>
  <c r="ZU35" i="1"/>
  <c r="ZU34" i="1"/>
  <c r="ZU33" i="1"/>
  <c r="AAK38" i="1"/>
  <c r="AAK32" i="1"/>
  <c r="AAK35" i="1"/>
  <c r="AAK34" i="1"/>
  <c r="AAK33" i="1"/>
  <c r="ABA38" i="1"/>
  <c r="ABA32" i="1"/>
  <c r="ABA35" i="1"/>
  <c r="ABA34" i="1"/>
  <c r="ABA33" i="1"/>
  <c r="AAM37" i="1"/>
  <c r="AAM35" i="1" s="1"/>
  <c r="AAM23" i="1"/>
  <c r="AAM22" i="1"/>
  <c r="ZS38" i="1"/>
  <c r="ZS34" i="1"/>
  <c r="ZS33" i="1"/>
  <c r="ZS32" i="1"/>
  <c r="ZS35" i="1"/>
  <c r="YY37" i="1"/>
  <c r="YY35" i="1" s="1"/>
  <c r="YY36" i="1" s="1"/>
  <c r="YY23" i="1"/>
  <c r="YY22" i="1"/>
  <c r="YE37" i="1"/>
  <c r="YE35" i="1" s="1"/>
  <c r="YE36" i="1" s="1"/>
  <c r="YE23" i="1"/>
  <c r="YE22" i="1"/>
  <c r="XK38" i="1"/>
  <c r="XK34" i="1"/>
  <c r="XK33" i="1"/>
  <c r="XK32" i="1"/>
  <c r="XK35" i="1"/>
  <c r="XC37" i="1"/>
  <c r="XC35" i="1" s="1"/>
  <c r="XC23" i="1"/>
  <c r="XC22" i="1"/>
  <c r="WQ37" i="1"/>
  <c r="WQ35" i="1" s="1"/>
  <c r="WQ23" i="1"/>
  <c r="WQ22" i="1"/>
  <c r="VS37" i="1"/>
  <c r="VS35" i="1" s="1"/>
  <c r="VS23" i="1"/>
  <c r="VS22" i="1"/>
  <c r="UU38" i="1"/>
  <c r="UU34" i="1"/>
  <c r="UU33" i="1"/>
  <c r="UU32" i="1"/>
  <c r="UU35" i="1"/>
  <c r="UE37" i="1"/>
  <c r="UE35" i="1" s="1"/>
  <c r="UE23" i="1"/>
  <c r="UE22" i="1"/>
  <c r="TS38" i="1"/>
  <c r="TS34" i="1"/>
  <c r="TS33" i="1"/>
  <c r="TS32" i="1"/>
  <c r="TS35" i="1"/>
  <c r="TK37" i="1"/>
  <c r="TK35" i="1" s="1"/>
  <c r="TK23" i="1"/>
  <c r="TK22" i="1"/>
  <c r="SA37" i="1"/>
  <c r="SA35" i="1" s="1"/>
  <c r="SA23" i="1"/>
  <c r="SA22" i="1"/>
  <c r="RG37" i="1"/>
  <c r="RG35" i="1" s="1"/>
  <c r="RG23" i="1"/>
  <c r="RG22" i="1"/>
  <c r="QA38" i="1"/>
  <c r="QA34" i="1"/>
  <c r="QA33" i="1"/>
  <c r="QA32" i="1"/>
  <c r="QA35" i="1"/>
  <c r="PS37" i="1"/>
  <c r="PS35" i="1" s="1"/>
  <c r="PS23" i="1"/>
  <c r="PS22" i="1"/>
  <c r="OQ38" i="1"/>
  <c r="OQ34" i="1"/>
  <c r="OQ33" i="1"/>
  <c r="OQ32" i="1"/>
  <c r="OA37" i="1"/>
  <c r="OA35" i="1" s="1"/>
  <c r="OA23" i="1"/>
  <c r="OA22" i="1"/>
  <c r="NO37" i="1"/>
  <c r="NO35" i="1" s="1"/>
  <c r="NO23" i="1"/>
  <c r="NO22" i="1"/>
  <c r="MU38" i="1"/>
  <c r="MU34" i="1"/>
  <c r="MU33" i="1"/>
  <c r="MU32" i="1"/>
  <c r="MU35" i="1"/>
  <c r="ME37" i="1"/>
  <c r="ME35" i="1" s="1"/>
  <c r="ME23" i="1"/>
  <c r="ME22" i="1"/>
  <c r="LG37" i="1"/>
  <c r="LG35" i="1" s="1"/>
  <c r="LG36" i="1" s="1"/>
  <c r="LG23" i="1"/>
  <c r="LG22" i="1"/>
  <c r="KI38" i="1"/>
  <c r="KI34" i="1"/>
  <c r="KI33" i="1"/>
  <c r="KI32" i="1"/>
  <c r="KI35" i="1"/>
  <c r="JS37" i="1"/>
  <c r="JS35" i="1" s="1"/>
  <c r="JS23" i="1"/>
  <c r="JS22" i="1"/>
  <c r="JG38" i="1"/>
  <c r="JG34" i="1"/>
  <c r="JG33" i="1"/>
  <c r="JG32" i="1"/>
  <c r="JG35" i="1"/>
  <c r="IY37" i="1"/>
  <c r="IY35" i="1" s="1"/>
  <c r="IY36" i="1" s="1"/>
  <c r="IY23" i="1"/>
  <c r="IY22" i="1"/>
  <c r="IE37" i="1"/>
  <c r="IE35" i="1" s="1"/>
  <c r="IE36" i="1" s="1"/>
  <c r="IE23" i="1"/>
  <c r="IE22" i="1"/>
  <c r="HG38" i="1"/>
  <c r="HG34" i="1"/>
  <c r="HG33" i="1"/>
  <c r="HG32" i="1"/>
  <c r="GQ37" i="1"/>
  <c r="GQ23" i="1"/>
  <c r="GQ22" i="1"/>
  <c r="EY38" i="1"/>
  <c r="EY34" i="1"/>
  <c r="EY33" i="1"/>
  <c r="EY32" i="1"/>
  <c r="EY35" i="1"/>
  <c r="EQ37" i="1"/>
  <c r="EQ23" i="1"/>
  <c r="EQ22" i="1"/>
  <c r="DS37" i="1"/>
  <c r="DS23" i="1"/>
  <c r="DS22" i="1"/>
  <c r="CU37" i="1"/>
  <c r="CU23" i="1"/>
  <c r="CU22" i="1"/>
  <c r="CM38" i="1"/>
  <c r="CM34" i="1"/>
  <c r="CM33" i="1"/>
  <c r="CM32" i="1"/>
  <c r="CM35" i="1"/>
  <c r="BK37" i="1"/>
  <c r="BK23" i="1"/>
  <c r="BK22" i="1"/>
  <c r="BC38" i="1"/>
  <c r="BC34" i="1"/>
  <c r="BC33" i="1"/>
  <c r="BC32" i="1"/>
  <c r="BC35" i="1"/>
  <c r="AE37" i="1"/>
  <c r="AE23" i="1"/>
  <c r="AE22" i="1"/>
  <c r="W38" i="1"/>
  <c r="W34" i="1"/>
  <c r="W33" i="1"/>
  <c r="W32" i="1"/>
  <c r="W35" i="1"/>
  <c r="ABB42" i="1"/>
  <c r="ABB40" i="1"/>
  <c r="ABB36" i="1"/>
  <c r="ZV48" i="1"/>
  <c r="ZV46" i="1"/>
  <c r="WN36" i="1"/>
  <c r="WN40" i="1"/>
  <c r="WN42" i="1"/>
  <c r="VS40" i="1"/>
  <c r="VS42" i="1"/>
  <c r="UX40" i="1"/>
  <c r="UX36" i="1"/>
  <c r="UX42" i="1"/>
  <c r="PZ48" i="1"/>
  <c r="PZ46" i="1"/>
  <c r="JV48" i="1"/>
  <c r="JV46" i="1"/>
  <c r="IP40" i="1"/>
  <c r="IP42" i="1"/>
  <c r="IP36" i="1"/>
  <c r="CS45" i="1"/>
  <c r="CS43" i="1"/>
  <c r="CS36" i="1"/>
  <c r="BM50" i="1"/>
  <c r="Y36" i="1"/>
  <c r="I36" i="1"/>
  <c r="D31" i="1"/>
  <c r="AAZ42" i="1"/>
  <c r="AAZ36" i="1"/>
  <c r="AAZ40" i="1"/>
  <c r="ZJ42" i="1"/>
  <c r="ZJ36" i="1"/>
  <c r="ZJ40" i="1"/>
  <c r="YN42" i="1"/>
  <c r="YN36" i="1"/>
  <c r="YN40" i="1"/>
  <c r="XH44" i="1"/>
  <c r="XH45" i="1"/>
  <c r="VR42" i="1"/>
  <c r="VR36" i="1"/>
  <c r="VR40" i="1"/>
  <c r="UV42" i="1"/>
  <c r="UV36" i="1"/>
  <c r="UV40" i="1"/>
  <c r="SJ42" i="1"/>
  <c r="SJ36" i="1"/>
  <c r="SJ40" i="1"/>
  <c r="RO38" i="1"/>
  <c r="RO34" i="1"/>
  <c r="RO33" i="1"/>
  <c r="RO32" i="1"/>
  <c r="RO35" i="1"/>
  <c r="RD44" i="1"/>
  <c r="RD45" i="1"/>
  <c r="PN42" i="1"/>
  <c r="PN40" i="1"/>
  <c r="PN36" i="1"/>
  <c r="OR44" i="1"/>
  <c r="OR45" i="1"/>
  <c r="OR43" i="1"/>
  <c r="LV42" i="1"/>
  <c r="LV40" i="1"/>
  <c r="LV36" i="1"/>
  <c r="KZ42" i="1"/>
  <c r="KZ36" i="1"/>
  <c r="KZ40" i="1"/>
  <c r="KE38" i="1"/>
  <c r="KE34" i="1"/>
  <c r="KE33" i="1"/>
  <c r="KE32" i="1"/>
  <c r="KE35" i="1"/>
  <c r="JT44" i="1"/>
  <c r="JT45" i="1"/>
  <c r="ID42" i="1"/>
  <c r="ID40" i="1"/>
  <c r="ID36" i="1"/>
  <c r="HH42" i="1"/>
  <c r="HH40" i="1"/>
  <c r="HH36" i="1"/>
  <c r="GM38" i="1"/>
  <c r="GM34" i="1"/>
  <c r="GM33" i="1"/>
  <c r="GM32" i="1"/>
  <c r="EL42" i="1"/>
  <c r="EL40" i="1"/>
  <c r="EL36" i="1"/>
  <c r="DH42" i="1"/>
  <c r="DH40" i="1"/>
  <c r="DH36" i="1"/>
  <c r="CB42" i="1"/>
  <c r="CB40" i="1"/>
  <c r="CB36" i="1"/>
  <c r="AV42" i="1"/>
  <c r="AV40" i="1"/>
  <c r="AV36" i="1"/>
  <c r="P42" i="1"/>
  <c r="P40" i="1"/>
  <c r="P36" i="1"/>
  <c r="AAL42" i="1"/>
  <c r="AAL40" i="1"/>
  <c r="AAL36" i="1"/>
  <c r="ZF48" i="1"/>
  <c r="ZF46" i="1"/>
  <c r="XZ42" i="1"/>
  <c r="XZ40" i="1"/>
  <c r="WT48" i="1"/>
  <c r="WT46" i="1"/>
  <c r="UH42" i="1"/>
  <c r="UH40" i="1"/>
  <c r="UH36" i="1"/>
  <c r="TB48" i="1"/>
  <c r="TB46" i="1"/>
  <c r="QP42" i="1"/>
  <c r="QP40" i="1"/>
  <c r="PJ48" i="1"/>
  <c r="PJ46" i="1"/>
  <c r="OD42" i="1"/>
  <c r="OD40" i="1"/>
  <c r="OD36" i="1"/>
  <c r="MX48" i="1"/>
  <c r="MX46" i="1"/>
  <c r="KL42" i="1"/>
  <c r="KL40" i="1"/>
  <c r="KL36" i="1"/>
  <c r="GT42" i="1"/>
  <c r="GT40" i="1"/>
  <c r="GT36" i="1"/>
  <c r="DW38" i="1"/>
  <c r="DW34" i="1"/>
  <c r="DW33" i="1"/>
  <c r="DW32" i="1"/>
  <c r="DW35" i="1"/>
  <c r="CO36" i="1"/>
  <c r="CG36" i="1"/>
  <c r="CG41" i="1"/>
  <c r="BA36" i="1"/>
  <c r="AC36" i="1"/>
  <c r="U36" i="1"/>
  <c r="U41" i="1"/>
  <c r="ZL42" i="1"/>
  <c r="ZL36" i="1"/>
  <c r="ZL40" i="1"/>
  <c r="ZH42" i="1"/>
  <c r="ZH40" i="1"/>
  <c r="ZH36" i="1"/>
  <c r="WZ42" i="1"/>
  <c r="WZ36" i="1"/>
  <c r="WZ40" i="1"/>
  <c r="WV42" i="1"/>
  <c r="WV40" i="1"/>
  <c r="WV36" i="1"/>
  <c r="UN42" i="1"/>
  <c r="UN36" i="1"/>
  <c r="UN40" i="1"/>
  <c r="UJ42" i="1"/>
  <c r="UJ40" i="1"/>
  <c r="UJ36" i="1"/>
  <c r="SB42" i="1"/>
  <c r="SB40" i="1"/>
  <c r="SB36" i="1"/>
  <c r="RX42" i="1"/>
  <c r="RX40" i="1"/>
  <c r="RX36" i="1"/>
  <c r="QB43" i="1"/>
  <c r="QB44" i="1"/>
  <c r="PP42" i="1"/>
  <c r="PP40" i="1"/>
  <c r="PP36" i="1"/>
  <c r="PL42" i="1"/>
  <c r="PL40" i="1"/>
  <c r="PL36" i="1"/>
  <c r="ND42" i="1"/>
  <c r="ND40" i="1"/>
  <c r="ND36" i="1"/>
  <c r="MZ42" i="1"/>
  <c r="MZ40" i="1"/>
  <c r="MZ36" i="1"/>
  <c r="KR42" i="1"/>
  <c r="KR40" i="1"/>
  <c r="KR36" i="1"/>
  <c r="KN42" i="1"/>
  <c r="KN40" i="1"/>
  <c r="KN36" i="1"/>
  <c r="KB51" i="1"/>
  <c r="KB50" i="1"/>
  <c r="IR43" i="1"/>
  <c r="IR44" i="1"/>
  <c r="IF42" i="1"/>
  <c r="IF40" i="1"/>
  <c r="IF36" i="1"/>
  <c r="IB42" i="1"/>
  <c r="IB40" i="1"/>
  <c r="IB36" i="1"/>
  <c r="GF43" i="1"/>
  <c r="GF44" i="1"/>
  <c r="FT42" i="1"/>
  <c r="FT40" i="1"/>
  <c r="FT36" i="1"/>
  <c r="EN34" i="1"/>
  <c r="EO34" i="1" s="1"/>
  <c r="ZZ42" i="1"/>
  <c r="ZZ36" i="1"/>
  <c r="ZZ40" i="1"/>
  <c r="ZD42" i="1"/>
  <c r="ZD36" i="1"/>
  <c r="ZD40" i="1"/>
  <c r="YI38" i="1"/>
  <c r="YI34" i="1"/>
  <c r="YI33" i="1"/>
  <c r="YI32" i="1"/>
  <c r="YI35" i="1"/>
  <c r="XX42" i="1"/>
  <c r="XX36" i="1"/>
  <c r="XX40" i="1"/>
  <c r="WH42" i="1"/>
  <c r="WH36" i="1"/>
  <c r="WH40" i="1"/>
  <c r="UQ38" i="1"/>
  <c r="UQ34" i="1"/>
  <c r="UQ33" i="1"/>
  <c r="UQ32" i="1"/>
  <c r="UQ35" i="1"/>
  <c r="UF44" i="1"/>
  <c r="UF45" i="1"/>
  <c r="SP42" i="1"/>
  <c r="SP36" i="1"/>
  <c r="SP40" i="1"/>
  <c r="RT42" i="1"/>
  <c r="RT40" i="1"/>
  <c r="RT36" i="1"/>
  <c r="PH42" i="1"/>
  <c r="PH40" i="1"/>
  <c r="PH36" i="1"/>
  <c r="OM38" i="1"/>
  <c r="OM34" i="1"/>
  <c r="OM33" i="1"/>
  <c r="OM32" i="1"/>
  <c r="OB44" i="1"/>
  <c r="OB45" i="1"/>
  <c r="LF42" i="1"/>
  <c r="LF40" i="1"/>
  <c r="LF36" i="1"/>
  <c r="KJ42" i="1"/>
  <c r="KJ40" i="1"/>
  <c r="KJ36" i="1"/>
  <c r="JO38" i="1"/>
  <c r="JO34" i="1"/>
  <c r="JO33" i="1"/>
  <c r="JO32" i="1"/>
  <c r="JD44" i="1"/>
  <c r="JD45" i="1"/>
  <c r="GH42" i="1"/>
  <c r="GH40" i="1"/>
  <c r="GH36" i="1"/>
  <c r="FL42" i="1"/>
  <c r="FL40" i="1"/>
  <c r="FL36" i="1"/>
  <c r="DD42" i="1"/>
  <c r="DD40" i="1"/>
  <c r="DD36" i="1"/>
  <c r="AZ42" i="1"/>
  <c r="AZ40" i="1"/>
  <c r="AZ36" i="1"/>
  <c r="AR42" i="1"/>
  <c r="AR40" i="1"/>
  <c r="AR36" i="1"/>
  <c r="AAY38" i="1"/>
  <c r="AAY34" i="1"/>
  <c r="AAY33" i="1"/>
  <c r="AAY32" i="1"/>
  <c r="AAY35" i="1"/>
  <c r="ZG38" i="1"/>
  <c r="ZG34" i="1"/>
  <c r="ZG33" i="1"/>
  <c r="ZG32" i="1"/>
  <c r="ZG35" i="1"/>
  <c r="ZC37" i="1"/>
  <c r="ZC35" i="1" s="1"/>
  <c r="ZC23" i="1"/>
  <c r="ZC22" i="1"/>
  <c r="YA37" i="1"/>
  <c r="YA35" i="1" s="1"/>
  <c r="YA23" i="1"/>
  <c r="YA22" i="1"/>
  <c r="XO37" i="1"/>
  <c r="XO23" i="1"/>
  <c r="XO22" i="1"/>
  <c r="WU38" i="1"/>
  <c r="WU34" i="1"/>
  <c r="WU33" i="1"/>
  <c r="WU32" i="1"/>
  <c r="WM37" i="1"/>
  <c r="WM35" i="1" s="1"/>
  <c r="WM23" i="1"/>
  <c r="WM22" i="1"/>
  <c r="VO37" i="1"/>
  <c r="VO23" i="1"/>
  <c r="VO22" i="1"/>
  <c r="UI38" i="1"/>
  <c r="UI34" i="1"/>
  <c r="UI33" i="1"/>
  <c r="UI32" i="1"/>
  <c r="UI35" i="1"/>
  <c r="TW37" i="1"/>
  <c r="TW35" i="1" s="1"/>
  <c r="TW23" i="1"/>
  <c r="TW22" i="1"/>
  <c r="SY38" i="1"/>
  <c r="SY34" i="1"/>
  <c r="SY33" i="1"/>
  <c r="SY32" i="1"/>
  <c r="SY35" i="1"/>
  <c r="RW37" i="1"/>
  <c r="RW35" i="1" s="1"/>
  <c r="RW23" i="1"/>
  <c r="RW22" i="1"/>
  <c r="RC37" i="1"/>
  <c r="RC35" i="1" s="1"/>
  <c r="RC23" i="1"/>
  <c r="RC22" i="1"/>
  <c r="QE37" i="1"/>
  <c r="QE35" i="1" s="1"/>
  <c r="QE23" i="1"/>
  <c r="QE22" i="1"/>
  <c r="PG38" i="1"/>
  <c r="PG34" i="1"/>
  <c r="PG33" i="1"/>
  <c r="PG32" i="1"/>
  <c r="PG35" i="1"/>
  <c r="OE38" i="1"/>
  <c r="OE34" i="1"/>
  <c r="OE33" i="1"/>
  <c r="OE32" i="1"/>
  <c r="OE35" i="1"/>
  <c r="NW37" i="1"/>
  <c r="NW35" i="1" s="1"/>
  <c r="NW23" i="1"/>
  <c r="NW22" i="1"/>
  <c r="NG37" i="1"/>
  <c r="NG35" i="1" s="1"/>
  <c r="NG23" i="1"/>
  <c r="NG22" i="1"/>
  <c r="MI37" i="1"/>
  <c r="MI35" i="1" s="1"/>
  <c r="MI23" i="1"/>
  <c r="MI22" i="1"/>
  <c r="LC38" i="1"/>
  <c r="LC34" i="1"/>
  <c r="LC33" i="1"/>
  <c r="LC32" i="1"/>
  <c r="LC35" i="1"/>
  <c r="KU37" i="1"/>
  <c r="KU35" i="1" s="1"/>
  <c r="KU23" i="1"/>
  <c r="KU22" i="1"/>
  <c r="JW37" i="1"/>
  <c r="JW35" i="1" s="1"/>
  <c r="JW23" i="1"/>
  <c r="JW22" i="1"/>
  <c r="JC37" i="1"/>
  <c r="JC35" i="1" s="1"/>
  <c r="JC23" i="1"/>
  <c r="JC22" i="1"/>
  <c r="IA37" i="1"/>
  <c r="IA23" i="1"/>
  <c r="IA22" i="1"/>
  <c r="GU38" i="1"/>
  <c r="GU34" i="1"/>
  <c r="GU33" i="1"/>
  <c r="GU32" i="1"/>
  <c r="GU35" i="1"/>
  <c r="GM37" i="1"/>
  <c r="GM35" i="1" s="1"/>
  <c r="GM23" i="1"/>
  <c r="GM22" i="1"/>
  <c r="FC37" i="1"/>
  <c r="FC23" i="1"/>
  <c r="FC22" i="1"/>
  <c r="EE38" i="1"/>
  <c r="EE34" i="1"/>
  <c r="EE33" i="1"/>
  <c r="EE32" i="1"/>
  <c r="EE35" i="1"/>
  <c r="DO37" i="1"/>
  <c r="DO23" i="1"/>
  <c r="DO22" i="1"/>
  <c r="DG38" i="1"/>
  <c r="DG34" i="1"/>
  <c r="DG33" i="1"/>
  <c r="DG32" i="1"/>
  <c r="DG35" i="1"/>
  <c r="CI37" i="1"/>
  <c r="CI23" i="1"/>
  <c r="CI22" i="1"/>
  <c r="CE38" i="1"/>
  <c r="CE34" i="1"/>
  <c r="CE33" i="1"/>
  <c r="CE32" i="1"/>
  <c r="CE35" i="1"/>
  <c r="BG37" i="1"/>
  <c r="BG23" i="1"/>
  <c r="BG22" i="1"/>
  <c r="AY38" i="1"/>
  <c r="AY34" i="1"/>
  <c r="AY33" i="1"/>
  <c r="AY32" i="1"/>
  <c r="AY35" i="1"/>
  <c r="AA37" i="1"/>
  <c r="AA23" i="1"/>
  <c r="AA22" i="1"/>
  <c r="S38" i="1"/>
  <c r="S34" i="1"/>
  <c r="S33" i="1"/>
  <c r="S32" i="1"/>
  <c r="S35" i="1"/>
  <c r="G4" i="1"/>
  <c r="AAQ36" i="1"/>
  <c r="AAQ40" i="1"/>
  <c r="AAQ42" i="1"/>
  <c r="XT36" i="1"/>
  <c r="XT42" i="1"/>
  <c r="XT40" i="1"/>
  <c r="WY42" i="1"/>
  <c r="WY36" i="1"/>
  <c r="WY40" i="1"/>
  <c r="WD42" i="1"/>
  <c r="WD40" i="1"/>
  <c r="WD36" i="1"/>
  <c r="RF48" i="1"/>
  <c r="RF46" i="1"/>
  <c r="NN48" i="1"/>
  <c r="NN46" i="1"/>
  <c r="KF40" i="1"/>
  <c r="KF36" i="1"/>
  <c r="KF42" i="1"/>
  <c r="JK40" i="1"/>
  <c r="JK42" i="1"/>
  <c r="JK36" i="1"/>
  <c r="GN42" i="1"/>
  <c r="GN40" i="1"/>
  <c r="GN36" i="1"/>
  <c r="FS42" i="1"/>
  <c r="FS40" i="1"/>
  <c r="EX42" i="1"/>
  <c r="EX40" i="1"/>
  <c r="EX36" i="1"/>
  <c r="DR50" i="1"/>
  <c r="DA50" i="1"/>
  <c r="BU50" i="1"/>
  <c r="BE50" i="1"/>
  <c r="AO50" i="1"/>
  <c r="Q50" i="1"/>
  <c r="XD42" i="1"/>
  <c r="XD36" i="1"/>
  <c r="XD40" i="1"/>
  <c r="SF42" i="1"/>
  <c r="SF40" i="1"/>
  <c r="SF36" i="1"/>
  <c r="NH42" i="1"/>
  <c r="NH40" i="1"/>
  <c r="NH36" i="1"/>
  <c r="JP51" i="1"/>
  <c r="JP50" i="1"/>
  <c r="IJ42" i="1"/>
  <c r="IJ40" i="1"/>
  <c r="IJ36" i="1"/>
  <c r="ABG42" i="1"/>
  <c r="ABG36" i="1"/>
  <c r="ABG40" i="1"/>
  <c r="AAE46" i="1"/>
  <c r="AAE48" i="1"/>
  <c r="XC42" i="1"/>
  <c r="XC36" i="1"/>
  <c r="XC40" i="1"/>
  <c r="TK42" i="1"/>
  <c r="TK36" i="1"/>
  <c r="TK40" i="1"/>
  <c r="QY42" i="1"/>
  <c r="QY40" i="1"/>
  <c r="QY36" i="1"/>
  <c r="PS46" i="1"/>
  <c r="PS48" i="1"/>
  <c r="MM42" i="1"/>
  <c r="MM40" i="1"/>
  <c r="MM36" i="1"/>
  <c r="HO42" i="1"/>
  <c r="HO40" i="1"/>
  <c r="HO36" i="1"/>
  <c r="FG46" i="1"/>
  <c r="FG48" i="1"/>
  <c r="JW51" i="1" l="1"/>
  <c r="JW49" i="1"/>
  <c r="JW50" i="1"/>
  <c r="RW49" i="1"/>
  <c r="RW50" i="1"/>
  <c r="RW51" i="1"/>
  <c r="ZC50" i="1"/>
  <c r="ZC51" i="1"/>
  <c r="ZC49" i="1"/>
  <c r="FF50" i="1"/>
  <c r="FF49" i="1"/>
  <c r="FF51" i="1"/>
  <c r="KD49" i="1"/>
  <c r="KD50" i="1"/>
  <c r="KD51" i="1"/>
  <c r="TZ51" i="1"/>
  <c r="TZ49" i="1"/>
  <c r="TZ50" i="1"/>
  <c r="YX51" i="1"/>
  <c r="YX49" i="1"/>
  <c r="YX50" i="1"/>
  <c r="IU51" i="1"/>
  <c r="IU49" i="1"/>
  <c r="IU50" i="1"/>
  <c r="YQ49" i="1"/>
  <c r="YQ50" i="1"/>
  <c r="YQ51" i="1"/>
  <c r="JB49" i="1"/>
  <c r="JB50" i="1"/>
  <c r="JB51" i="1"/>
  <c r="SX49" i="1"/>
  <c r="SX51" i="1"/>
  <c r="SX50" i="1"/>
  <c r="WU49" i="1"/>
  <c r="WU50" i="1"/>
  <c r="WU51" i="1"/>
  <c r="VK49" i="1"/>
  <c r="VK50" i="1"/>
  <c r="VK51" i="1"/>
  <c r="CQ46" i="1"/>
  <c r="CR34" i="1"/>
  <c r="CQ48" i="1"/>
  <c r="CQ47" i="1"/>
  <c r="ABC49" i="1"/>
  <c r="ABC50" i="1"/>
  <c r="ABC51" i="1"/>
  <c r="JC51" i="1"/>
  <c r="JC49" i="1"/>
  <c r="JC50" i="1"/>
  <c r="NW50" i="1"/>
  <c r="NW49" i="1"/>
  <c r="NW51" i="1"/>
  <c r="RC49" i="1"/>
  <c r="RC50" i="1"/>
  <c r="RC51" i="1"/>
  <c r="YA49" i="1"/>
  <c r="YA51" i="1"/>
  <c r="YA50" i="1"/>
  <c r="EO47" i="1"/>
  <c r="EO48" i="1"/>
  <c r="EO46" i="1"/>
  <c r="OA49" i="1"/>
  <c r="OA50" i="1"/>
  <c r="OA51" i="1"/>
  <c r="WQ50" i="1"/>
  <c r="WQ49" i="1"/>
  <c r="WQ51" i="1"/>
  <c r="HB50" i="1"/>
  <c r="HB49" i="1"/>
  <c r="HB51" i="1"/>
  <c r="OL49" i="1"/>
  <c r="OL50" i="1"/>
  <c r="OL51" i="1"/>
  <c r="QX49" i="1"/>
  <c r="QX50" i="1"/>
  <c r="QX51" i="1"/>
  <c r="YH50" i="1"/>
  <c r="YH49" i="1"/>
  <c r="YH51" i="1"/>
  <c r="AAT49" i="1"/>
  <c r="AAT50" i="1"/>
  <c r="AAT51" i="1"/>
  <c r="GE51" i="1"/>
  <c r="GE50" i="1"/>
  <c r="GE49" i="1"/>
  <c r="OM50" i="1"/>
  <c r="OM51" i="1"/>
  <c r="OM49" i="1"/>
  <c r="ZO50" i="1"/>
  <c r="ZO51" i="1"/>
  <c r="ZO49" i="1"/>
  <c r="PK49" i="1"/>
  <c r="PK50" i="1"/>
  <c r="PK51" i="1"/>
  <c r="HS51" i="1"/>
  <c r="HS49" i="1"/>
  <c r="HS50" i="1"/>
  <c r="JO51" i="1"/>
  <c r="JO50" i="1"/>
  <c r="JO49" i="1"/>
  <c r="FW35" i="1"/>
  <c r="MP49" i="1"/>
  <c r="MP50" i="1"/>
  <c r="MP51" i="1"/>
  <c r="WL51" i="1"/>
  <c r="WL49" i="1"/>
  <c r="WL50" i="1"/>
  <c r="GM51" i="1"/>
  <c r="GM49" i="1"/>
  <c r="GM50" i="1"/>
  <c r="NG50" i="1"/>
  <c r="NG51" i="1"/>
  <c r="NG49" i="1"/>
  <c r="QE49" i="1"/>
  <c r="QE50" i="1"/>
  <c r="QE51" i="1"/>
  <c r="ME51" i="1"/>
  <c r="ME49" i="1"/>
  <c r="ME50" i="1"/>
  <c r="NO51" i="1"/>
  <c r="NO49" i="1"/>
  <c r="NO50" i="1"/>
  <c r="UE49" i="1"/>
  <c r="UE51" i="1"/>
  <c r="UE50" i="1"/>
  <c r="GL50" i="1"/>
  <c r="GL49" i="1"/>
  <c r="GL51" i="1"/>
  <c r="NV49" i="1"/>
  <c r="NV50" i="1"/>
  <c r="NV51" i="1"/>
  <c r="QH49" i="1"/>
  <c r="QH51" i="1"/>
  <c r="QH50" i="1"/>
  <c r="VF51" i="1"/>
  <c r="VF49" i="1"/>
  <c r="VF50" i="1"/>
  <c r="XR51" i="1"/>
  <c r="XR50" i="1"/>
  <c r="XR49" i="1"/>
  <c r="LK51" i="1"/>
  <c r="LK50" i="1"/>
  <c r="LK49" i="1"/>
  <c r="IQ51" i="1"/>
  <c r="IQ50" i="1"/>
  <c r="IQ49" i="1"/>
  <c r="OQ49" i="1"/>
  <c r="OQ50" i="1"/>
  <c r="OQ51" i="1"/>
  <c r="FJ49" i="1"/>
  <c r="FJ50" i="1"/>
  <c r="FJ51" i="1"/>
  <c r="FK35" i="1"/>
  <c r="KH49" i="1"/>
  <c r="KH50" i="1"/>
  <c r="KH51" i="1"/>
  <c r="MT49" i="1"/>
  <c r="MT50" i="1"/>
  <c r="MT51" i="1"/>
  <c r="PF49" i="1"/>
  <c r="PF50" i="1"/>
  <c r="PF51" i="1"/>
  <c r="UD49" i="1"/>
  <c r="UD50" i="1"/>
  <c r="UD51" i="1"/>
  <c r="WP49" i="1"/>
  <c r="WP50" i="1"/>
  <c r="WP51" i="1"/>
  <c r="ZB49" i="1"/>
  <c r="ZB50" i="1"/>
  <c r="ZB51" i="1"/>
  <c r="BW46" i="1"/>
  <c r="BW48" i="1"/>
  <c r="BW47" i="1"/>
  <c r="NS51" i="1"/>
  <c r="NS49" i="1"/>
  <c r="NS50" i="1"/>
  <c r="TO49" i="1"/>
  <c r="TO50" i="1"/>
  <c r="TO51" i="1"/>
  <c r="HW51" i="1"/>
  <c r="HW50" i="1"/>
  <c r="HW49" i="1"/>
  <c r="XW50" i="1"/>
  <c r="XW49" i="1"/>
  <c r="XW51" i="1"/>
  <c r="VW50" i="1"/>
  <c r="VW51" i="1"/>
  <c r="VW49" i="1"/>
  <c r="TW49" i="1"/>
  <c r="TW50" i="1"/>
  <c r="TW51" i="1"/>
  <c r="RG49" i="1"/>
  <c r="RG50" i="1"/>
  <c r="RG51" i="1"/>
  <c r="HR50" i="1"/>
  <c r="HR49" i="1"/>
  <c r="HR51" i="1"/>
  <c r="PB49" i="1"/>
  <c r="PB50" i="1"/>
  <c r="PB51" i="1"/>
  <c r="RN49" i="1"/>
  <c r="RN50" i="1"/>
  <c r="RN51" i="1"/>
  <c r="CY42" i="1"/>
  <c r="CY40" i="1"/>
  <c r="CY41" i="1"/>
  <c r="HC51" i="1"/>
  <c r="HC49" i="1"/>
  <c r="HC50" i="1"/>
  <c r="SM49" i="1"/>
  <c r="SM50" i="1"/>
  <c r="SM51" i="1"/>
  <c r="TC49" i="1"/>
  <c r="TC50" i="1"/>
  <c r="TC51" i="1"/>
  <c r="LN49" i="1"/>
  <c r="LN50" i="1"/>
  <c r="LN51" i="1"/>
  <c r="VJ49" i="1"/>
  <c r="VJ51" i="1"/>
  <c r="VJ50" i="1"/>
  <c r="VG50" i="1"/>
  <c r="VG49" i="1"/>
  <c r="VG51" i="1"/>
  <c r="AAI50" i="1"/>
  <c r="AAI49" i="1"/>
  <c r="AAI51" i="1"/>
  <c r="KY51" i="1"/>
  <c r="KY49" i="1"/>
  <c r="KY50" i="1"/>
  <c r="FO51" i="1"/>
  <c r="FO49" i="1"/>
  <c r="FP35" i="1"/>
  <c r="FO50" i="1"/>
  <c r="LO51" i="1"/>
  <c r="LO49" i="1"/>
  <c r="LO50" i="1"/>
  <c r="MQ50" i="1"/>
  <c r="MQ49" i="1"/>
  <c r="MQ51" i="1"/>
  <c r="KU51" i="1"/>
  <c r="KU50" i="1"/>
  <c r="KU49" i="1"/>
  <c r="MI51" i="1"/>
  <c r="MI49" i="1"/>
  <c r="MI50" i="1"/>
  <c r="WM49" i="1"/>
  <c r="WM50" i="1"/>
  <c r="WM51" i="1"/>
  <c r="JS51" i="1"/>
  <c r="JS49" i="1"/>
  <c r="JS50" i="1"/>
  <c r="AAM49" i="1"/>
  <c r="AAM51" i="1"/>
  <c r="AAM50" i="1"/>
  <c r="FV50" i="1"/>
  <c r="FV49" i="1"/>
  <c r="FV51" i="1"/>
  <c r="IH50" i="1"/>
  <c r="IH49" i="1"/>
  <c r="IH51" i="1"/>
  <c r="KT49" i="1"/>
  <c r="KT50" i="1"/>
  <c r="KT51" i="1"/>
  <c r="NF49" i="1"/>
  <c r="NF51" i="1"/>
  <c r="NF50" i="1"/>
  <c r="PR49" i="1"/>
  <c r="PR51" i="1"/>
  <c r="PR50" i="1"/>
  <c r="SD49" i="1"/>
  <c r="SD51" i="1"/>
  <c r="SD50" i="1"/>
  <c r="UP49" i="1"/>
  <c r="UP50" i="1"/>
  <c r="UP51" i="1"/>
  <c r="XB49" i="1"/>
  <c r="XB50" i="1"/>
  <c r="XB51" i="1"/>
  <c r="ZN49" i="1"/>
  <c r="ZN50" i="1"/>
  <c r="ZN51" i="1"/>
  <c r="KM51" i="1"/>
  <c r="KM49" i="1"/>
  <c r="KM50" i="1"/>
  <c r="HG51" i="1"/>
  <c r="HG49" i="1"/>
  <c r="HG50" i="1"/>
  <c r="FJ45" i="1"/>
  <c r="FJ43" i="1"/>
  <c r="FJ44" i="1"/>
  <c r="FK33" i="1"/>
  <c r="ET49" i="1"/>
  <c r="ET50" i="1"/>
  <c r="ET51" i="1"/>
  <c r="EU35" i="1"/>
  <c r="HF49" i="1"/>
  <c r="HF50" i="1"/>
  <c r="HF51" i="1"/>
  <c r="JR49" i="1"/>
  <c r="JR51" i="1"/>
  <c r="JR50" i="1"/>
  <c r="MD49" i="1"/>
  <c r="MD50" i="1"/>
  <c r="MD51" i="1"/>
  <c r="OP49" i="1"/>
  <c r="OP50" i="1"/>
  <c r="OP51" i="1"/>
  <c r="RB49" i="1"/>
  <c r="RB50" i="1"/>
  <c r="RB51" i="1"/>
  <c r="TN49" i="1"/>
  <c r="TN50" i="1"/>
  <c r="TN51" i="1"/>
  <c r="VZ49" i="1"/>
  <c r="VZ50" i="1"/>
  <c r="VZ51" i="1"/>
  <c r="YL49" i="1"/>
  <c r="YL50" i="1"/>
  <c r="YL51" i="1"/>
  <c r="AAX49" i="1"/>
  <c r="AAX50" i="1"/>
  <c r="AAX51" i="1"/>
  <c r="K51" i="1"/>
  <c r="K50" i="1"/>
  <c r="L35" i="1"/>
  <c r="K49" i="1"/>
  <c r="MA51" i="1"/>
  <c r="MA50" i="1"/>
  <c r="MA49" i="1"/>
  <c r="AY46" i="1"/>
  <c r="AY48" i="1"/>
  <c r="AY47" i="1"/>
  <c r="EE42" i="1"/>
  <c r="EE40" i="1"/>
  <c r="EE36" i="1"/>
  <c r="EE41" i="1"/>
  <c r="PG42" i="1"/>
  <c r="PG40" i="1"/>
  <c r="PG36" i="1"/>
  <c r="PG41" i="1"/>
  <c r="UI46" i="1"/>
  <c r="UI48" i="1"/>
  <c r="UI47" i="1"/>
  <c r="WU44" i="1"/>
  <c r="WU45" i="1"/>
  <c r="WU43" i="1"/>
  <c r="AAY42" i="1"/>
  <c r="AAY40" i="1"/>
  <c r="AAY36" i="1"/>
  <c r="AAY41" i="1"/>
  <c r="KI51" i="1"/>
  <c r="KI49" i="1"/>
  <c r="KI50" i="1"/>
  <c r="MU46" i="1"/>
  <c r="MU47" i="1"/>
  <c r="MU48" i="1"/>
  <c r="QA44" i="1"/>
  <c r="QA45" i="1"/>
  <c r="QA43" i="1"/>
  <c r="TS49" i="1"/>
  <c r="TS50" i="1"/>
  <c r="TS51" i="1"/>
  <c r="ABA43" i="1"/>
  <c r="ABA44" i="1"/>
  <c r="ABA45" i="1"/>
  <c r="ZU51" i="1"/>
  <c r="ZU50" i="1"/>
  <c r="ZU49" i="1"/>
  <c r="XI51" i="1"/>
  <c r="XI50" i="1"/>
  <c r="XI49" i="1"/>
  <c r="VM36" i="1"/>
  <c r="VM40" i="1"/>
  <c r="VM42" i="1"/>
  <c r="VM41" i="1"/>
  <c r="TQ43" i="1"/>
  <c r="TQ44" i="1"/>
  <c r="TQ45" i="1"/>
  <c r="SK47" i="1"/>
  <c r="SK46" i="1"/>
  <c r="SK48" i="1"/>
  <c r="RE36" i="1"/>
  <c r="RE40" i="1"/>
  <c r="RE41" i="1"/>
  <c r="RE42" i="1"/>
  <c r="OS44" i="1"/>
  <c r="OS43" i="1"/>
  <c r="OS45" i="1"/>
  <c r="NM47" i="1"/>
  <c r="NM46" i="1"/>
  <c r="NM48" i="1"/>
  <c r="MG36" i="1"/>
  <c r="MG40" i="1"/>
  <c r="MG41" i="1"/>
  <c r="MG42" i="1"/>
  <c r="JE50" i="1"/>
  <c r="JE51" i="1"/>
  <c r="JE49" i="1"/>
  <c r="HI36" i="1"/>
  <c r="HI41" i="1"/>
  <c r="HI40" i="1"/>
  <c r="HI42" i="1"/>
  <c r="EW45" i="1"/>
  <c r="EW44" i="1"/>
  <c r="EW43" i="1"/>
  <c r="DQ47" i="1"/>
  <c r="DQ46" i="1"/>
  <c r="DQ48" i="1"/>
  <c r="AL45" i="1"/>
  <c r="AL43" i="1"/>
  <c r="AL44" i="1"/>
  <c r="CH48" i="1"/>
  <c r="CH46" i="1"/>
  <c r="CH47" i="1"/>
  <c r="NJ42" i="1"/>
  <c r="NJ40" i="1"/>
  <c r="NJ36" i="1"/>
  <c r="NJ41" i="1"/>
  <c r="SH46" i="1"/>
  <c r="SH48" i="1"/>
  <c r="SH47" i="1"/>
  <c r="ZR49" i="1"/>
  <c r="ZR50" i="1"/>
  <c r="ZR51" i="1"/>
  <c r="IX42" i="1"/>
  <c r="IX40" i="1"/>
  <c r="IX36" i="1"/>
  <c r="IX41" i="1"/>
  <c r="NV46" i="1"/>
  <c r="NV48" i="1"/>
  <c r="NV47" i="1"/>
  <c r="VF46" i="1"/>
  <c r="VF48" i="1"/>
  <c r="VF47" i="1"/>
  <c r="O46" i="1"/>
  <c r="O48" i="1"/>
  <c r="O47" i="1"/>
  <c r="BW42" i="1"/>
  <c r="BW40" i="1"/>
  <c r="BW41" i="1"/>
  <c r="FS51" i="1"/>
  <c r="FS50" i="1"/>
  <c r="FS49" i="1"/>
  <c r="PW49" i="1"/>
  <c r="PW51" i="1"/>
  <c r="PW50" i="1"/>
  <c r="UY44" i="1"/>
  <c r="UY45" i="1"/>
  <c r="UY43" i="1"/>
  <c r="CA40" i="1"/>
  <c r="CA42" i="1"/>
  <c r="CA36" i="1"/>
  <c r="CA41" i="1"/>
  <c r="FO46" i="1"/>
  <c r="FO48" i="1"/>
  <c r="FO47" i="1"/>
  <c r="FP34" i="1"/>
  <c r="AAG49" i="1"/>
  <c r="AAG50" i="1"/>
  <c r="AAG51" i="1"/>
  <c r="YK36" i="1"/>
  <c r="YK42" i="1"/>
  <c r="YK40" i="1"/>
  <c r="YK41" i="1"/>
  <c r="WO45" i="1"/>
  <c r="WO43" i="1"/>
  <c r="WO44" i="1"/>
  <c r="VI49" i="1"/>
  <c r="VI50" i="1"/>
  <c r="VI51" i="1"/>
  <c r="SW49" i="1"/>
  <c r="SW50" i="1"/>
  <c r="SW51" i="1"/>
  <c r="RA36" i="1"/>
  <c r="RA42" i="1"/>
  <c r="RA41" i="1"/>
  <c r="RA40" i="1"/>
  <c r="PE45" i="1"/>
  <c r="PE43" i="1"/>
  <c r="PE44" i="1"/>
  <c r="NY51" i="1"/>
  <c r="NY49" i="1"/>
  <c r="NY50" i="1"/>
  <c r="KG43" i="1"/>
  <c r="KG45" i="1"/>
  <c r="KG44" i="1"/>
  <c r="IK46" i="1"/>
  <c r="IK47" i="1"/>
  <c r="IK48" i="1"/>
  <c r="FY46" i="1"/>
  <c r="FY47" i="1"/>
  <c r="FY48" i="1"/>
  <c r="ES36" i="1"/>
  <c r="ES41" i="1"/>
  <c r="ES42" i="1"/>
  <c r="ES40" i="1"/>
  <c r="Z46" i="1"/>
  <c r="Z48" i="1"/>
  <c r="Z47" i="1"/>
  <c r="CL46" i="1"/>
  <c r="CL47" i="1"/>
  <c r="CL48" i="1"/>
  <c r="GP49" i="1"/>
  <c r="GP50" i="1"/>
  <c r="GP51" i="1"/>
  <c r="JB46" i="1"/>
  <c r="JB48" i="1"/>
  <c r="JB47" i="1"/>
  <c r="QL49" i="1"/>
  <c r="QL50" i="1"/>
  <c r="QL51" i="1"/>
  <c r="SX46" i="1"/>
  <c r="SX48" i="1"/>
  <c r="SX47" i="1"/>
  <c r="QX45" i="1"/>
  <c r="QX43" i="1"/>
  <c r="QX44" i="1"/>
  <c r="VV49" i="1"/>
  <c r="VV50" i="1"/>
  <c r="VV51" i="1"/>
  <c r="CQ44" i="1"/>
  <c r="CR33" i="1"/>
  <c r="CQ43" i="1"/>
  <c r="CQ45" i="1"/>
  <c r="MI44" i="1"/>
  <c r="MI45" i="1"/>
  <c r="MI43" i="1"/>
  <c r="MQ44" i="1"/>
  <c r="MQ43" i="1"/>
  <c r="MQ45" i="1"/>
  <c r="SI42" i="1"/>
  <c r="SI40" i="1"/>
  <c r="SI36" i="1"/>
  <c r="SI41" i="1"/>
  <c r="UM50" i="1"/>
  <c r="UM49" i="1"/>
  <c r="UM51" i="1"/>
  <c r="AAE49" i="1"/>
  <c r="AAE50" i="1"/>
  <c r="AAE51" i="1"/>
  <c r="AAS43" i="1"/>
  <c r="AAS45" i="1"/>
  <c r="AAS44" i="1"/>
  <c r="ZM50" i="1"/>
  <c r="ZM49" i="1"/>
  <c r="ZM51" i="1"/>
  <c r="YG45" i="1"/>
  <c r="YG43" i="1"/>
  <c r="YG44" i="1"/>
  <c r="XQ36" i="1"/>
  <c r="XQ41" i="1"/>
  <c r="XQ42" i="1"/>
  <c r="XQ40" i="1"/>
  <c r="WK47" i="1"/>
  <c r="WK46" i="1"/>
  <c r="WK48" i="1"/>
  <c r="UO49" i="1"/>
  <c r="UO51" i="1"/>
  <c r="UO50" i="1"/>
  <c r="TI45" i="1"/>
  <c r="TI43" i="1"/>
  <c r="TI44" i="1"/>
  <c r="RM47" i="1"/>
  <c r="RM46" i="1"/>
  <c r="RM48" i="1"/>
  <c r="QW36" i="1"/>
  <c r="QW42" i="1"/>
  <c r="QW41" i="1"/>
  <c r="QW40" i="1"/>
  <c r="PQ51" i="1"/>
  <c r="PQ49" i="1"/>
  <c r="PQ50" i="1"/>
  <c r="OK45" i="1"/>
  <c r="OK43" i="1"/>
  <c r="OK44" i="1"/>
  <c r="MO47" i="1"/>
  <c r="MO46" i="1"/>
  <c r="MO48" i="1"/>
  <c r="LY36" i="1"/>
  <c r="LY42" i="1"/>
  <c r="LY41" i="1"/>
  <c r="LY40" i="1"/>
  <c r="KS49" i="1"/>
  <c r="KS50" i="1"/>
  <c r="KS51" i="1"/>
  <c r="JM43" i="1"/>
  <c r="JM45" i="1"/>
  <c r="JM44" i="1"/>
  <c r="IG50" i="1"/>
  <c r="IG49" i="1"/>
  <c r="IG51" i="1"/>
  <c r="HA45" i="1"/>
  <c r="HA43" i="1"/>
  <c r="HA44" i="1"/>
  <c r="FU50" i="1"/>
  <c r="FU49" i="1"/>
  <c r="FU51" i="1"/>
  <c r="EO45" i="1"/>
  <c r="EO43" i="1"/>
  <c r="EO44" i="1"/>
  <c r="LR50" i="1"/>
  <c r="LR49" i="1"/>
  <c r="LR51" i="1"/>
  <c r="VN50" i="1"/>
  <c r="VN49" i="1"/>
  <c r="VN51" i="1"/>
  <c r="XZ50" i="1"/>
  <c r="XZ49" i="1"/>
  <c r="XZ51" i="1"/>
  <c r="AAL50" i="1"/>
  <c r="AAL49" i="1"/>
  <c r="AAL51" i="1"/>
  <c r="AT48" i="1"/>
  <c r="AT46" i="1"/>
  <c r="AT47" i="1"/>
  <c r="BZ42" i="1"/>
  <c r="BZ40" i="1"/>
  <c r="BZ36" i="1"/>
  <c r="BZ41" i="1"/>
  <c r="DF46" i="1"/>
  <c r="DF47" i="1"/>
  <c r="DF48" i="1"/>
  <c r="HF42" i="1"/>
  <c r="HF40" i="1"/>
  <c r="HF36" i="1"/>
  <c r="HF41" i="1"/>
  <c r="MD46" i="1"/>
  <c r="MD48" i="1"/>
  <c r="MD47" i="1"/>
  <c r="RB42" i="1"/>
  <c r="RB40" i="1"/>
  <c r="RB36" i="1"/>
  <c r="RB41" i="1"/>
  <c r="VZ46" i="1"/>
  <c r="VZ48" i="1"/>
  <c r="VZ47" i="1"/>
  <c r="AAX42" i="1"/>
  <c r="AAX40" i="1"/>
  <c r="AAX36" i="1"/>
  <c r="AAX41" i="1"/>
  <c r="HR46" i="1"/>
  <c r="HR48" i="1"/>
  <c r="HR47" i="1"/>
  <c r="MP42" i="1"/>
  <c r="MP40" i="1"/>
  <c r="MP36" i="1"/>
  <c r="MP41" i="1"/>
  <c r="TZ43" i="1"/>
  <c r="TZ45" i="1"/>
  <c r="TZ44" i="1"/>
  <c r="AAA49" i="1"/>
  <c r="AAA50" i="1"/>
  <c r="AAA51" i="1"/>
  <c r="BK42" i="1"/>
  <c r="BK40" i="1"/>
  <c r="BK36" i="1"/>
  <c r="BK41" i="1"/>
  <c r="CU51" i="1"/>
  <c r="CU49" i="1"/>
  <c r="CU50" i="1"/>
  <c r="EI51" i="1"/>
  <c r="EI50" i="1"/>
  <c r="EI49" i="1"/>
  <c r="HO51" i="1"/>
  <c r="HO49" i="1"/>
  <c r="HO50" i="1"/>
  <c r="IQ46" i="1"/>
  <c r="IQ48" i="1"/>
  <c r="IQ47" i="1"/>
  <c r="NC51" i="1"/>
  <c r="NC49" i="1"/>
  <c r="NC50" i="1"/>
  <c r="PK42" i="1"/>
  <c r="PK40" i="1"/>
  <c r="PK36" i="1"/>
  <c r="PK41" i="1"/>
  <c r="TC42" i="1"/>
  <c r="TC40" i="1"/>
  <c r="TC36" i="1"/>
  <c r="TC41" i="1"/>
  <c r="UE46" i="1"/>
  <c r="UE47" i="1"/>
  <c r="UE48" i="1"/>
  <c r="WQ44" i="1"/>
  <c r="WQ45" i="1"/>
  <c r="WQ43" i="1"/>
  <c r="YQ46" i="1"/>
  <c r="YQ48" i="1"/>
  <c r="YQ47" i="1"/>
  <c r="CI51" i="1"/>
  <c r="CJ35" i="1"/>
  <c r="CI49" i="1"/>
  <c r="CI50" i="1"/>
  <c r="JC44" i="1"/>
  <c r="JC45" i="1"/>
  <c r="JC43" i="1"/>
  <c r="RC44" i="1"/>
  <c r="RC45" i="1"/>
  <c r="RC43" i="1"/>
  <c r="AK36" i="1"/>
  <c r="AK42" i="1"/>
  <c r="AK41" i="1"/>
  <c r="AK40" i="1"/>
  <c r="SE50" i="1"/>
  <c r="SE51" i="1"/>
  <c r="SE49" i="1"/>
  <c r="ZO44" i="1"/>
  <c r="ZO43" i="1"/>
  <c r="ZO45" i="1"/>
  <c r="NS42" i="1"/>
  <c r="NS40" i="1"/>
  <c r="NS36" i="1"/>
  <c r="NS41" i="1"/>
  <c r="ABE45" i="1"/>
  <c r="ABE44" i="1"/>
  <c r="ABE43" i="1"/>
  <c r="ZY50" i="1"/>
  <c r="ZY49" i="1"/>
  <c r="ZY51" i="1"/>
  <c r="YS45" i="1"/>
  <c r="YS44" i="1"/>
  <c r="YS43" i="1"/>
  <c r="WW45" i="1"/>
  <c r="WW43" i="1"/>
  <c r="WW44" i="1"/>
  <c r="WG36" i="1"/>
  <c r="WG41" i="1"/>
  <c r="WG40" i="1"/>
  <c r="WG42" i="1"/>
  <c r="TE51" i="1"/>
  <c r="TE49" i="1"/>
  <c r="TE50" i="1"/>
  <c r="RY47" i="1"/>
  <c r="RY48" i="1"/>
  <c r="RY46" i="1"/>
  <c r="RI36" i="1"/>
  <c r="RI41" i="1"/>
  <c r="RI40" i="1"/>
  <c r="RI42" i="1"/>
  <c r="OW45" i="1"/>
  <c r="OW44" i="1"/>
  <c r="OW43" i="1"/>
  <c r="OG49" i="1"/>
  <c r="OG50" i="1"/>
  <c r="OG51" i="1"/>
  <c r="NA47" i="1"/>
  <c r="NA48" i="1"/>
  <c r="NA46" i="1"/>
  <c r="MK36" i="1"/>
  <c r="MK41" i="1"/>
  <c r="MK40" i="1"/>
  <c r="MK42" i="1"/>
  <c r="JY45" i="1"/>
  <c r="JY43" i="1"/>
  <c r="JY44" i="1"/>
  <c r="JI49" i="1"/>
  <c r="JI51" i="1"/>
  <c r="JI50" i="1"/>
  <c r="HM43" i="1"/>
  <c r="HM44" i="1"/>
  <c r="HM45" i="1"/>
  <c r="GW49" i="1"/>
  <c r="GW51" i="1"/>
  <c r="GW50" i="1"/>
  <c r="EK49" i="1"/>
  <c r="EK51" i="1"/>
  <c r="EK50" i="1"/>
  <c r="ML49" i="1"/>
  <c r="ML51" i="1"/>
  <c r="ML50" i="1"/>
  <c r="OX51" i="1"/>
  <c r="OX49" i="1"/>
  <c r="OX50" i="1"/>
  <c r="R51" i="1"/>
  <c r="R50" i="1"/>
  <c r="R49" i="1"/>
  <c r="AX45" i="1"/>
  <c r="AX43" i="1"/>
  <c r="AX44" i="1"/>
  <c r="CT46" i="1"/>
  <c r="CT48" i="1"/>
  <c r="CT47" i="1"/>
  <c r="FJ42" i="1"/>
  <c r="FJ40" i="1"/>
  <c r="FJ36" i="1"/>
  <c r="FJ41" i="1"/>
  <c r="HV49" i="1"/>
  <c r="HV50" i="1"/>
  <c r="HV51" i="1"/>
  <c r="MT45" i="1"/>
  <c r="MT43" i="1"/>
  <c r="MT44" i="1"/>
  <c r="UD46" i="1"/>
  <c r="UD48" i="1"/>
  <c r="UD47" i="1"/>
  <c r="KT43" i="1"/>
  <c r="KT45" i="1"/>
  <c r="KT44" i="1"/>
  <c r="UP45" i="1"/>
  <c r="UP43" i="1"/>
  <c r="UP44" i="1"/>
  <c r="S42" i="1"/>
  <c r="S40" i="1"/>
  <c r="S36" i="1"/>
  <c r="S41" i="1"/>
  <c r="AY51" i="1"/>
  <c r="AY49" i="1"/>
  <c r="AY50" i="1"/>
  <c r="DG44" i="1"/>
  <c r="DG43" i="1"/>
  <c r="DG45" i="1"/>
  <c r="EE44" i="1"/>
  <c r="EE43" i="1"/>
  <c r="EE45" i="1"/>
  <c r="GU51" i="1"/>
  <c r="GU49" i="1"/>
  <c r="GU50" i="1"/>
  <c r="LC51" i="1"/>
  <c r="LC49" i="1"/>
  <c r="LC50" i="1"/>
  <c r="OE51" i="1"/>
  <c r="OE49" i="1"/>
  <c r="OE50" i="1"/>
  <c r="PG44" i="1"/>
  <c r="PG45" i="1"/>
  <c r="PG43" i="1"/>
  <c r="SY42" i="1"/>
  <c r="SY40" i="1"/>
  <c r="SY36" i="1"/>
  <c r="SY41" i="1"/>
  <c r="UI49" i="1"/>
  <c r="UI50" i="1"/>
  <c r="UI51" i="1"/>
  <c r="WU46" i="1"/>
  <c r="WU48" i="1"/>
  <c r="WU47" i="1"/>
  <c r="ZG49" i="1"/>
  <c r="ZG50" i="1"/>
  <c r="ZG51" i="1"/>
  <c r="AAY44" i="1"/>
  <c r="AAY45" i="1"/>
  <c r="AAY43" i="1"/>
  <c r="OM46" i="1"/>
  <c r="OM48" i="1"/>
  <c r="OM47" i="1"/>
  <c r="UQ46" i="1"/>
  <c r="UQ48" i="1"/>
  <c r="UQ47" i="1"/>
  <c r="YI50" i="1"/>
  <c r="YI51" i="1"/>
  <c r="YI49" i="1"/>
  <c r="DW44" i="1"/>
  <c r="DW43" i="1"/>
  <c r="DW45" i="1"/>
  <c r="GM46" i="1"/>
  <c r="GM48" i="1"/>
  <c r="GM47" i="1"/>
  <c r="KE44" i="1"/>
  <c r="KE43" i="1"/>
  <c r="KE45" i="1"/>
  <c r="RO46" i="1"/>
  <c r="RO48" i="1"/>
  <c r="RO47" i="1"/>
  <c r="W44" i="1"/>
  <c r="W45" i="1"/>
  <c r="W43" i="1"/>
  <c r="BC42" i="1"/>
  <c r="BC40" i="1"/>
  <c r="BC36" i="1"/>
  <c r="BC41" i="1"/>
  <c r="CM51" i="1"/>
  <c r="CM49" i="1"/>
  <c r="CM50" i="1"/>
  <c r="EY51" i="1"/>
  <c r="EY50" i="1"/>
  <c r="EY49" i="1"/>
  <c r="HG44" i="1"/>
  <c r="HG45" i="1"/>
  <c r="HG43" i="1"/>
  <c r="JG42" i="1"/>
  <c r="JG40" i="1"/>
  <c r="JG36" i="1"/>
  <c r="JG41" i="1"/>
  <c r="KI42" i="1"/>
  <c r="KI40" i="1"/>
  <c r="KI36" i="1"/>
  <c r="KI41" i="1"/>
  <c r="MU49" i="1"/>
  <c r="MU51" i="1"/>
  <c r="MU50" i="1"/>
  <c r="PS50" i="1"/>
  <c r="PS51" i="1"/>
  <c r="PS49" i="1"/>
  <c r="QA46" i="1"/>
  <c r="QA48" i="1"/>
  <c r="QA47" i="1"/>
  <c r="TS42" i="1"/>
  <c r="TS40" i="1"/>
  <c r="TS36" i="1"/>
  <c r="TS41" i="1"/>
  <c r="UU42" i="1"/>
  <c r="UU40" i="1"/>
  <c r="UU36" i="1"/>
  <c r="UU41" i="1"/>
  <c r="XK42" i="1"/>
  <c r="XK40" i="1"/>
  <c r="XK36" i="1"/>
  <c r="XK41" i="1"/>
  <c r="ZS42" i="1"/>
  <c r="ZS40" i="1"/>
  <c r="ZS36" i="1"/>
  <c r="ZS41" i="1"/>
  <c r="ABA47" i="1"/>
  <c r="ABA46" i="1"/>
  <c r="ABA48" i="1"/>
  <c r="AAK44" i="1"/>
  <c r="AAK45" i="1"/>
  <c r="AAK43" i="1"/>
  <c r="ZU36" i="1"/>
  <c r="ZU40" i="1"/>
  <c r="ZU41" i="1"/>
  <c r="ZU42" i="1"/>
  <c r="ZE50" i="1"/>
  <c r="ZE49" i="1"/>
  <c r="ZE51" i="1"/>
  <c r="YO47" i="1"/>
  <c r="YO46" i="1"/>
  <c r="YO48" i="1"/>
  <c r="XY44" i="1"/>
  <c r="XY45" i="1"/>
  <c r="XY43" i="1"/>
  <c r="XI36" i="1"/>
  <c r="XI41" i="1"/>
  <c r="XI40" i="1"/>
  <c r="XI42" i="1"/>
  <c r="WS50" i="1"/>
  <c r="WS49" i="1"/>
  <c r="WS51" i="1"/>
  <c r="WC47" i="1"/>
  <c r="WC46" i="1"/>
  <c r="WC48" i="1"/>
  <c r="VM44" i="1"/>
  <c r="VM43" i="1"/>
  <c r="VM45" i="1"/>
  <c r="UW36" i="1"/>
  <c r="UW40" i="1"/>
  <c r="UW42" i="1"/>
  <c r="UW41" i="1"/>
  <c r="UG50" i="1"/>
  <c r="UG49" i="1"/>
  <c r="UG51" i="1"/>
  <c r="TA44" i="1"/>
  <c r="TA45" i="1"/>
  <c r="TA43" i="1"/>
  <c r="TA36" i="1"/>
  <c r="TA40" i="1"/>
  <c r="TA41" i="1"/>
  <c r="TA42" i="1"/>
  <c r="SK51" i="1"/>
  <c r="SK50" i="1"/>
  <c r="SK49" i="1"/>
  <c r="RU47" i="1"/>
  <c r="RU46" i="1"/>
  <c r="RU48" i="1"/>
  <c r="QO44" i="1"/>
  <c r="QO43" i="1"/>
  <c r="QO45" i="1"/>
  <c r="QO36" i="1"/>
  <c r="QO40" i="1"/>
  <c r="QO41" i="1"/>
  <c r="QO42" i="1"/>
  <c r="PY51" i="1"/>
  <c r="PY50" i="1"/>
  <c r="PY49" i="1"/>
  <c r="PI47" i="1"/>
  <c r="PI46" i="1"/>
  <c r="PI48" i="1"/>
  <c r="OC44" i="1"/>
  <c r="OC43" i="1"/>
  <c r="OC45" i="1"/>
  <c r="OC36" i="1"/>
  <c r="OC41" i="1"/>
  <c r="OC40" i="1"/>
  <c r="OC42" i="1"/>
  <c r="NM50" i="1"/>
  <c r="NM51" i="1"/>
  <c r="NM49" i="1"/>
  <c r="MW47" i="1"/>
  <c r="MW46" i="1"/>
  <c r="MW48" i="1"/>
  <c r="LQ44" i="1"/>
  <c r="LQ43" i="1"/>
  <c r="LQ45" i="1"/>
  <c r="LQ36" i="1"/>
  <c r="LQ40" i="1"/>
  <c r="LQ42" i="1"/>
  <c r="LQ41" i="1"/>
  <c r="LA50" i="1"/>
  <c r="LA51" i="1"/>
  <c r="LA49" i="1"/>
  <c r="KK47" i="1"/>
  <c r="KK46" i="1"/>
  <c r="KK48" i="1"/>
  <c r="JE43" i="1"/>
  <c r="JE44" i="1"/>
  <c r="JE45" i="1"/>
  <c r="JE36" i="1"/>
  <c r="JE40" i="1"/>
  <c r="JE41" i="1"/>
  <c r="JE42" i="1"/>
  <c r="IO50" i="1"/>
  <c r="IO51" i="1"/>
  <c r="IO49" i="1"/>
  <c r="HY47" i="1"/>
  <c r="HY46" i="1"/>
  <c r="HY48" i="1"/>
  <c r="GS45" i="1"/>
  <c r="GS43" i="1"/>
  <c r="GS44" i="1"/>
  <c r="GS36" i="1"/>
  <c r="GS40" i="1"/>
  <c r="GS42" i="1"/>
  <c r="GS41" i="1"/>
  <c r="GC50" i="1"/>
  <c r="GC51" i="1"/>
  <c r="GC49" i="1"/>
  <c r="FM47" i="1"/>
  <c r="FM46" i="1"/>
  <c r="FM48" i="1"/>
  <c r="EG45" i="1"/>
  <c r="EH33" i="1"/>
  <c r="EG43" i="1"/>
  <c r="EG44" i="1"/>
  <c r="EG36" i="1"/>
  <c r="EG40" i="1"/>
  <c r="EH32" i="1"/>
  <c r="EG42" i="1"/>
  <c r="EG41" i="1"/>
  <c r="DQ50" i="1"/>
  <c r="DQ49" i="1"/>
  <c r="DQ51" i="1"/>
  <c r="V51" i="1"/>
  <c r="V49" i="1"/>
  <c r="V50" i="1"/>
  <c r="AL48" i="1"/>
  <c r="AL46" i="1"/>
  <c r="AL47" i="1"/>
  <c r="BB45" i="1"/>
  <c r="BB43" i="1"/>
  <c r="BB44" i="1"/>
  <c r="BR42" i="1"/>
  <c r="BR40" i="1"/>
  <c r="BR36" i="1"/>
  <c r="BR41" i="1"/>
  <c r="CH51" i="1"/>
  <c r="CH49" i="1"/>
  <c r="CH50" i="1"/>
  <c r="CX48" i="1"/>
  <c r="CX46" i="1"/>
  <c r="CX47" i="1"/>
  <c r="DN45" i="1"/>
  <c r="DN43" i="1"/>
  <c r="DN44" i="1"/>
  <c r="FZ42" i="1"/>
  <c r="FZ40" i="1"/>
  <c r="FZ36" i="1"/>
  <c r="FZ41" i="1"/>
  <c r="IL49" i="1"/>
  <c r="IL50" i="1"/>
  <c r="IL51" i="1"/>
  <c r="KX46" i="1"/>
  <c r="KX48" i="1"/>
  <c r="KX47" i="1"/>
  <c r="NJ45" i="1"/>
  <c r="NJ43" i="1"/>
  <c r="NJ44" i="1"/>
  <c r="PV42" i="1"/>
  <c r="PV40" i="1"/>
  <c r="PV36" i="1"/>
  <c r="PV41" i="1"/>
  <c r="SH49" i="1"/>
  <c r="SH50" i="1"/>
  <c r="SH51" i="1"/>
  <c r="UT46" i="1"/>
  <c r="UT48" i="1"/>
  <c r="UT47" i="1"/>
  <c r="XF45" i="1"/>
  <c r="XF43" i="1"/>
  <c r="XF44" i="1"/>
  <c r="ZR42" i="1"/>
  <c r="ZR40" i="1"/>
  <c r="ZR36" i="1"/>
  <c r="ZR41" i="1"/>
  <c r="DZ50" i="1"/>
  <c r="EA35" i="1"/>
  <c r="DZ49" i="1"/>
  <c r="DZ51" i="1"/>
  <c r="GL46" i="1"/>
  <c r="GL48" i="1"/>
  <c r="GL47" i="1"/>
  <c r="IX43" i="1"/>
  <c r="IX45" i="1"/>
  <c r="IX44" i="1"/>
  <c r="LJ42" i="1"/>
  <c r="LJ40" i="1"/>
  <c r="LJ36" i="1"/>
  <c r="LJ41" i="1"/>
  <c r="QH46" i="1"/>
  <c r="QH48" i="1"/>
  <c r="QH47" i="1"/>
  <c r="ST43" i="1"/>
  <c r="ST45" i="1"/>
  <c r="ST44" i="1"/>
  <c r="XR46" i="1"/>
  <c r="XR48" i="1"/>
  <c r="XR47" i="1"/>
  <c r="AAD43" i="1"/>
  <c r="AAD45" i="1"/>
  <c r="AAD44" i="1"/>
  <c r="O51" i="1"/>
  <c r="O50" i="1"/>
  <c r="O49" i="1"/>
  <c r="AQ46" i="1"/>
  <c r="AQ48" i="1"/>
  <c r="AQ47" i="1"/>
  <c r="BW44" i="1"/>
  <c r="BW43" i="1"/>
  <c r="BW45" i="1"/>
  <c r="EU42" i="1"/>
  <c r="EU40" i="1"/>
  <c r="EV32" i="1"/>
  <c r="EU41" i="1"/>
  <c r="HK42" i="1"/>
  <c r="HK40" i="1"/>
  <c r="HK36" i="1"/>
  <c r="HK41" i="1"/>
  <c r="LS46" i="1"/>
  <c r="LS48" i="1"/>
  <c r="LS47" i="1"/>
  <c r="OU42" i="1"/>
  <c r="OU40" i="1"/>
  <c r="OU36" i="1"/>
  <c r="OU41" i="1"/>
  <c r="PW42" i="1"/>
  <c r="PW40" i="1"/>
  <c r="PW36" i="1"/>
  <c r="PW41" i="1"/>
  <c r="UY46" i="1"/>
  <c r="UY48" i="1"/>
  <c r="UY47" i="1"/>
  <c r="XG42" i="1"/>
  <c r="XG40" i="1"/>
  <c r="XG36" i="1"/>
  <c r="XG41" i="1"/>
  <c r="AAI46" i="1"/>
  <c r="AAI47" i="1"/>
  <c r="AAI48" i="1"/>
  <c r="II42" i="1"/>
  <c r="II36" i="1"/>
  <c r="II40" i="1"/>
  <c r="II41" i="1"/>
  <c r="OX36" i="1"/>
  <c r="OY49" i="1"/>
  <c r="OY50" i="1"/>
  <c r="OY51" i="1"/>
  <c r="VN36" i="1"/>
  <c r="YU42" i="1"/>
  <c r="YU36" i="1"/>
  <c r="YU40" i="1"/>
  <c r="YU41" i="1"/>
  <c r="XS46" i="1"/>
  <c r="XS48" i="1"/>
  <c r="XS47" i="1"/>
  <c r="AU34" i="1"/>
  <c r="CA44" i="1"/>
  <c r="CA43" i="1"/>
  <c r="CA45" i="1"/>
  <c r="DK42" i="1"/>
  <c r="DK36" i="1"/>
  <c r="DK40" i="1"/>
  <c r="DL32" i="1"/>
  <c r="DK41" i="1"/>
  <c r="JK51" i="1"/>
  <c r="JK49" i="1"/>
  <c r="JK50" i="1"/>
  <c r="KY46" i="1"/>
  <c r="KY47" i="1"/>
  <c r="KY48" i="1"/>
  <c r="NK44" i="1"/>
  <c r="NK45" i="1"/>
  <c r="NK43" i="1"/>
  <c r="QQ42" i="1"/>
  <c r="QQ40" i="1"/>
  <c r="QQ36" i="1"/>
  <c r="QQ41" i="1"/>
  <c r="RS46" i="1"/>
  <c r="RS47" i="1"/>
  <c r="RS48" i="1"/>
  <c r="UA50" i="1"/>
  <c r="UA49" i="1"/>
  <c r="UA51" i="1"/>
  <c r="VK46" i="1"/>
  <c r="VK47" i="1"/>
  <c r="VK48" i="1"/>
  <c r="ZW46" i="1"/>
  <c r="ZW48" i="1"/>
  <c r="ZW47" i="1"/>
  <c r="ABC44" i="1"/>
  <c r="ABC45" i="1"/>
  <c r="ABC43" i="1"/>
  <c r="AAW43" i="1"/>
  <c r="AAW44" i="1"/>
  <c r="AAW45" i="1"/>
  <c r="AAG36" i="1"/>
  <c r="AAG42" i="1"/>
  <c r="AAG41" i="1"/>
  <c r="AAG40" i="1"/>
  <c r="ZQ49" i="1"/>
  <c r="ZQ50" i="1"/>
  <c r="ZQ51" i="1"/>
  <c r="ZA46" i="1"/>
  <c r="ZA48" i="1"/>
  <c r="ZA47" i="1"/>
  <c r="YK43" i="1"/>
  <c r="YK45" i="1"/>
  <c r="YK44" i="1"/>
  <c r="XU36" i="1"/>
  <c r="XU42" i="1"/>
  <c r="XU41" i="1"/>
  <c r="XU40" i="1"/>
  <c r="XE49" i="1"/>
  <c r="XE50" i="1"/>
  <c r="XE51" i="1"/>
  <c r="WO46" i="1"/>
  <c r="WO48" i="1"/>
  <c r="WO47" i="1"/>
  <c r="VY43" i="1"/>
  <c r="VY45" i="1"/>
  <c r="VY44" i="1"/>
  <c r="VI36" i="1"/>
  <c r="VI42" i="1"/>
  <c r="VI41" i="1"/>
  <c r="VI40" i="1"/>
  <c r="US49" i="1"/>
  <c r="US50" i="1"/>
  <c r="US51" i="1"/>
  <c r="UC46" i="1"/>
  <c r="UC48" i="1"/>
  <c r="UC47" i="1"/>
  <c r="TM43" i="1"/>
  <c r="TM45" i="1"/>
  <c r="TM44" i="1"/>
  <c r="SW36" i="1"/>
  <c r="SW42" i="1"/>
  <c r="SW41" i="1"/>
  <c r="SW40" i="1"/>
  <c r="SG49" i="1"/>
  <c r="SG50" i="1"/>
  <c r="SG51" i="1"/>
  <c r="RQ46" i="1"/>
  <c r="RQ48" i="1"/>
  <c r="RQ47" i="1"/>
  <c r="RA43" i="1"/>
  <c r="RA44" i="1"/>
  <c r="RA45" i="1"/>
  <c r="QK36" i="1"/>
  <c r="QK42" i="1"/>
  <c r="QK41" i="1"/>
  <c r="QK40" i="1"/>
  <c r="PU49" i="1"/>
  <c r="PU50" i="1"/>
  <c r="PU51" i="1"/>
  <c r="PE46" i="1"/>
  <c r="PE48" i="1"/>
  <c r="PE47" i="1"/>
  <c r="OO43" i="1"/>
  <c r="OO45" i="1"/>
  <c r="OO44" i="1"/>
  <c r="NY36" i="1"/>
  <c r="NY42" i="1"/>
  <c r="NY41" i="1"/>
  <c r="NY40" i="1"/>
  <c r="NI51" i="1"/>
  <c r="NI49" i="1"/>
  <c r="NI50" i="1"/>
  <c r="MS46" i="1"/>
  <c r="MS48" i="1"/>
  <c r="MS47" i="1"/>
  <c r="MC43" i="1"/>
  <c r="MC45" i="1"/>
  <c r="MC44" i="1"/>
  <c r="LM36" i="1"/>
  <c r="LM42" i="1"/>
  <c r="LM41" i="1"/>
  <c r="LM40" i="1"/>
  <c r="KW49" i="1"/>
  <c r="KW50" i="1"/>
  <c r="KW51" i="1"/>
  <c r="KG46" i="1"/>
  <c r="KG48" i="1"/>
  <c r="KG47" i="1"/>
  <c r="JQ43" i="1"/>
  <c r="JQ44" i="1"/>
  <c r="JQ45" i="1"/>
  <c r="JA36" i="1"/>
  <c r="JA42" i="1"/>
  <c r="JA41" i="1"/>
  <c r="JA40" i="1"/>
  <c r="IK49" i="1"/>
  <c r="IK51" i="1"/>
  <c r="IK50" i="1"/>
  <c r="HU46" i="1"/>
  <c r="HU48" i="1"/>
  <c r="HU47" i="1"/>
  <c r="HE43" i="1"/>
  <c r="HE45" i="1"/>
  <c r="HE44" i="1"/>
  <c r="GO36" i="1"/>
  <c r="GO41" i="1"/>
  <c r="GO42" i="1"/>
  <c r="GO40" i="1"/>
  <c r="FY49" i="1"/>
  <c r="FY50" i="1"/>
  <c r="FY51" i="1"/>
  <c r="FI46" i="1"/>
  <c r="FI48" i="1"/>
  <c r="FI47" i="1"/>
  <c r="ES43" i="1"/>
  <c r="ES45" i="1"/>
  <c r="ES44" i="1"/>
  <c r="EC36" i="1"/>
  <c r="EC42" i="1"/>
  <c r="EC41" i="1"/>
  <c r="EC40" i="1"/>
  <c r="J42" i="1"/>
  <c r="J40" i="1"/>
  <c r="J36" i="1"/>
  <c r="J41" i="1"/>
  <c r="Z51" i="1"/>
  <c r="Z50" i="1"/>
  <c r="Z49" i="1"/>
  <c r="AP46" i="1"/>
  <c r="AP48" i="1"/>
  <c r="AP47" i="1"/>
  <c r="BF43" i="1"/>
  <c r="BF44" i="1"/>
  <c r="BF45" i="1"/>
  <c r="BV42" i="1"/>
  <c r="BV40" i="1"/>
  <c r="BV36" i="1"/>
  <c r="BV41" i="1"/>
  <c r="CL51" i="1"/>
  <c r="CL50" i="1"/>
  <c r="CL49" i="1"/>
  <c r="DB46" i="1"/>
  <c r="DB47" i="1"/>
  <c r="DB48" i="1"/>
  <c r="ED45" i="1"/>
  <c r="ED43" i="1"/>
  <c r="ED44" i="1"/>
  <c r="GP42" i="1"/>
  <c r="GP40" i="1"/>
  <c r="GP36" i="1"/>
  <c r="GP41" i="1"/>
  <c r="LN46" i="1"/>
  <c r="LN48" i="1"/>
  <c r="LN47" i="1"/>
  <c r="NZ45" i="1"/>
  <c r="NZ43" i="1"/>
  <c r="NZ44" i="1"/>
  <c r="QL42" i="1"/>
  <c r="QL40" i="1"/>
  <c r="QL36" i="1"/>
  <c r="QL41" i="1"/>
  <c r="VJ46" i="1"/>
  <c r="VJ48" i="1"/>
  <c r="VJ47" i="1"/>
  <c r="XV45" i="1"/>
  <c r="XV43" i="1"/>
  <c r="XV44" i="1"/>
  <c r="AAH42" i="1"/>
  <c r="AAH40" i="1"/>
  <c r="AAH36" i="1"/>
  <c r="AAH41" i="1"/>
  <c r="EP50" i="1"/>
  <c r="EP49" i="1"/>
  <c r="EP51" i="1"/>
  <c r="HB46" i="1"/>
  <c r="HB48" i="1"/>
  <c r="HB47" i="1"/>
  <c r="JN45" i="1"/>
  <c r="JN44" i="1"/>
  <c r="JN43" i="1"/>
  <c r="LZ42" i="1"/>
  <c r="LZ40" i="1"/>
  <c r="LZ36" i="1"/>
  <c r="LZ41" i="1"/>
  <c r="QX46" i="1"/>
  <c r="QX48" i="1"/>
  <c r="QX47" i="1"/>
  <c r="TJ45" i="1"/>
  <c r="TJ43" i="1"/>
  <c r="TJ44" i="1"/>
  <c r="VV42" i="1"/>
  <c r="VV40" i="1"/>
  <c r="VV36" i="1"/>
  <c r="VV41" i="1"/>
  <c r="AAT46" i="1"/>
  <c r="AAT48" i="1"/>
  <c r="AAT47" i="1"/>
  <c r="AAE36" i="1"/>
  <c r="G44" i="1"/>
  <c r="G43" i="1"/>
  <c r="G45" i="1"/>
  <c r="AI42" i="1"/>
  <c r="AI40" i="1"/>
  <c r="AI36" i="1"/>
  <c r="AI41" i="1"/>
  <c r="BO51" i="1"/>
  <c r="BP35" i="1"/>
  <c r="BO49" i="1"/>
  <c r="BO50" i="1"/>
  <c r="IA42" i="1"/>
  <c r="IA40" i="1"/>
  <c r="IA36" i="1"/>
  <c r="IA41" i="1"/>
  <c r="MI46" i="1"/>
  <c r="MI48" i="1"/>
  <c r="MI47" i="1"/>
  <c r="QM46" i="1"/>
  <c r="QM47" i="1"/>
  <c r="QM48" i="1"/>
  <c r="RW44" i="1"/>
  <c r="RW45" i="1"/>
  <c r="RW43" i="1"/>
  <c r="VO42" i="1"/>
  <c r="VO40" i="1"/>
  <c r="VO36" i="1"/>
  <c r="VO41" i="1"/>
  <c r="YA44" i="1"/>
  <c r="YA45" i="1"/>
  <c r="YA43" i="1"/>
  <c r="MA46" i="1"/>
  <c r="MA48" i="1"/>
  <c r="MA47" i="1"/>
  <c r="EN42" i="1"/>
  <c r="EN40" i="1"/>
  <c r="EN36" i="1"/>
  <c r="EN41" i="1"/>
  <c r="IU44" i="1"/>
  <c r="IU43" i="1"/>
  <c r="IU45" i="1"/>
  <c r="MQ46" i="1"/>
  <c r="MQ48" i="1"/>
  <c r="MQ47" i="1"/>
  <c r="WM46" i="1"/>
  <c r="WM48" i="1"/>
  <c r="WM47" i="1"/>
  <c r="AM33" i="1"/>
  <c r="AM36" i="1" s="1"/>
  <c r="BS42" i="1"/>
  <c r="BS40" i="1"/>
  <c r="BS36" i="1"/>
  <c r="BS41" i="1"/>
  <c r="DC51" i="1"/>
  <c r="DC50" i="1"/>
  <c r="DC49" i="1"/>
  <c r="DS51" i="1"/>
  <c r="DS49" i="1"/>
  <c r="DS50" i="1"/>
  <c r="DT35" i="1"/>
  <c r="GA44" i="1"/>
  <c r="GA45" i="1"/>
  <c r="GA43" i="1"/>
  <c r="IM42" i="1"/>
  <c r="IM40" i="1"/>
  <c r="IM36" i="1"/>
  <c r="IM41" i="1"/>
  <c r="MM51" i="1"/>
  <c r="MM49" i="1"/>
  <c r="MM50" i="1"/>
  <c r="NO46" i="1"/>
  <c r="NO48" i="1"/>
  <c r="NO47" i="1"/>
  <c r="OI49" i="1"/>
  <c r="OI50" i="1"/>
  <c r="OI51" i="1"/>
  <c r="RG44" i="1"/>
  <c r="RG45" i="1"/>
  <c r="RG43" i="1"/>
  <c r="SI44" i="1"/>
  <c r="SI45" i="1"/>
  <c r="SI43" i="1"/>
  <c r="WA49" i="1"/>
  <c r="WA50" i="1"/>
  <c r="WA51" i="1"/>
  <c r="WY49" i="1"/>
  <c r="WY50" i="1"/>
  <c r="WY51" i="1"/>
  <c r="YM42" i="1"/>
  <c r="YM40" i="1"/>
  <c r="YM36" i="1"/>
  <c r="YM41" i="1"/>
  <c r="ABG49" i="1"/>
  <c r="ABG50" i="1"/>
  <c r="ABG51" i="1"/>
  <c r="ABI49" i="1"/>
  <c r="ABI50" i="1"/>
  <c r="ABI51" i="1"/>
  <c r="AAS47" i="1"/>
  <c r="AAS48" i="1"/>
  <c r="AAS46" i="1"/>
  <c r="AAC43" i="1"/>
  <c r="AAC45" i="1"/>
  <c r="AAC44" i="1"/>
  <c r="ZM36" i="1"/>
  <c r="ZM42" i="1"/>
  <c r="ZM40" i="1"/>
  <c r="ZM41" i="1"/>
  <c r="YW49" i="1"/>
  <c r="YW51" i="1"/>
  <c r="YW50" i="1"/>
  <c r="YG47" i="1"/>
  <c r="YG48" i="1"/>
  <c r="YG46" i="1"/>
  <c r="XQ43" i="1"/>
  <c r="XQ45" i="1"/>
  <c r="XQ44" i="1"/>
  <c r="XA36" i="1"/>
  <c r="XA42" i="1"/>
  <c r="XA40" i="1"/>
  <c r="XA41" i="1"/>
  <c r="WK49" i="1"/>
  <c r="WK51" i="1"/>
  <c r="WK50" i="1"/>
  <c r="VU47" i="1"/>
  <c r="VU48" i="1"/>
  <c r="VU46" i="1"/>
  <c r="VE43" i="1"/>
  <c r="VE45" i="1"/>
  <c r="VE44" i="1"/>
  <c r="UO36" i="1"/>
  <c r="UO42" i="1"/>
  <c r="UO40" i="1"/>
  <c r="UO41" i="1"/>
  <c r="TY49" i="1"/>
  <c r="TY50" i="1"/>
  <c r="TY51" i="1"/>
  <c r="TI47" i="1"/>
  <c r="TI48" i="1"/>
  <c r="TI46" i="1"/>
  <c r="SS43" i="1"/>
  <c r="SS45" i="1"/>
  <c r="SS44" i="1"/>
  <c r="SS36" i="1"/>
  <c r="SS41" i="1"/>
  <c r="SS42" i="1"/>
  <c r="SS40" i="1"/>
  <c r="RM51" i="1"/>
  <c r="RM49" i="1"/>
  <c r="RM50" i="1"/>
  <c r="QW47" i="1"/>
  <c r="QW48" i="1"/>
  <c r="QW46" i="1"/>
  <c r="QG43" i="1"/>
  <c r="QG45" i="1"/>
  <c r="QG44" i="1"/>
  <c r="QG36" i="1"/>
  <c r="QG41" i="1"/>
  <c r="QG42" i="1"/>
  <c r="QG40" i="1"/>
  <c r="PA51" i="1"/>
  <c r="PA49" i="1"/>
  <c r="PA50" i="1"/>
  <c r="OK47" i="1"/>
  <c r="OK48" i="1"/>
  <c r="OK46" i="1"/>
  <c r="NU43" i="1"/>
  <c r="NU45" i="1"/>
  <c r="NU44" i="1"/>
  <c r="NU36" i="1"/>
  <c r="NU41" i="1"/>
  <c r="NU42" i="1"/>
  <c r="NU40" i="1"/>
  <c r="MO49" i="1"/>
  <c r="MO50" i="1"/>
  <c r="MO51" i="1"/>
  <c r="LY47" i="1"/>
  <c r="LY48" i="1"/>
  <c r="LY46" i="1"/>
  <c r="LI43" i="1"/>
  <c r="LI45" i="1"/>
  <c r="LI44" i="1"/>
  <c r="LI36" i="1"/>
  <c r="LI41" i="1"/>
  <c r="LI42" i="1"/>
  <c r="LI40" i="1"/>
  <c r="KC49" i="1"/>
  <c r="KC50" i="1"/>
  <c r="KC51" i="1"/>
  <c r="JM47" i="1"/>
  <c r="JM48" i="1"/>
  <c r="JM46" i="1"/>
  <c r="IW43" i="1"/>
  <c r="IW45" i="1"/>
  <c r="IW44" i="1"/>
  <c r="IW36" i="1"/>
  <c r="IW41" i="1"/>
  <c r="IW42" i="1"/>
  <c r="IW40" i="1"/>
  <c r="HQ50" i="1"/>
  <c r="HQ49" i="1"/>
  <c r="HQ51" i="1"/>
  <c r="HA47" i="1"/>
  <c r="HA48" i="1"/>
  <c r="HA46" i="1"/>
  <c r="GK45" i="1"/>
  <c r="GK43" i="1"/>
  <c r="GK44" i="1"/>
  <c r="GK36" i="1"/>
  <c r="GK42" i="1"/>
  <c r="GK41" i="1"/>
  <c r="GK40" i="1"/>
  <c r="FE50" i="1"/>
  <c r="FE49" i="1"/>
  <c r="FE51" i="1"/>
  <c r="DY45" i="1"/>
  <c r="DY43" i="1"/>
  <c r="DY44" i="1"/>
  <c r="DY36" i="1"/>
  <c r="DY42" i="1"/>
  <c r="DY41" i="1"/>
  <c r="DY40" i="1"/>
  <c r="GD35" i="1"/>
  <c r="IP50" i="1"/>
  <c r="IP51" i="1"/>
  <c r="IP49" i="1"/>
  <c r="LB50" i="1"/>
  <c r="LB51" i="1"/>
  <c r="LB49" i="1"/>
  <c r="NN50" i="1"/>
  <c r="NN51" i="1"/>
  <c r="NN49" i="1"/>
  <c r="PZ50" i="1"/>
  <c r="PZ51" i="1"/>
  <c r="PZ49" i="1"/>
  <c r="SL50" i="1"/>
  <c r="SL51" i="1"/>
  <c r="SL49" i="1"/>
  <c r="UX50" i="1"/>
  <c r="UX51" i="1"/>
  <c r="UX49" i="1"/>
  <c r="XJ50" i="1"/>
  <c r="XJ51" i="1"/>
  <c r="XJ49" i="1"/>
  <c r="ZV50" i="1"/>
  <c r="ZV51" i="1"/>
  <c r="ZV49" i="1"/>
  <c r="N45" i="1"/>
  <c r="N43" i="1"/>
  <c r="N44" i="1"/>
  <c r="AD42" i="1"/>
  <c r="AD40" i="1"/>
  <c r="AD36" i="1"/>
  <c r="AD41" i="1"/>
  <c r="AT51" i="1"/>
  <c r="AT49" i="1"/>
  <c r="AT50" i="1"/>
  <c r="BJ48" i="1"/>
  <c r="BJ46" i="1"/>
  <c r="BJ47" i="1"/>
  <c r="BZ45" i="1"/>
  <c r="BZ43" i="1"/>
  <c r="BZ44" i="1"/>
  <c r="CP42" i="1"/>
  <c r="CP40" i="1"/>
  <c r="CP36" i="1"/>
  <c r="CP41" i="1"/>
  <c r="DF49" i="1"/>
  <c r="DF51" i="1"/>
  <c r="DF50" i="1"/>
  <c r="ET46" i="1"/>
  <c r="ET48" i="1"/>
  <c r="ET47" i="1"/>
  <c r="HF45" i="1"/>
  <c r="HF43" i="1"/>
  <c r="HF44" i="1"/>
  <c r="JR42" i="1"/>
  <c r="JR40" i="1"/>
  <c r="JR36" i="1"/>
  <c r="JR41" i="1"/>
  <c r="OP46" i="1"/>
  <c r="OP48" i="1"/>
  <c r="OP47" i="1"/>
  <c r="RB45" i="1"/>
  <c r="RB43" i="1"/>
  <c r="RB44" i="1"/>
  <c r="TN42" i="1"/>
  <c r="TN40" i="1"/>
  <c r="TN36" i="1"/>
  <c r="TN41" i="1"/>
  <c r="YL46" i="1"/>
  <c r="YL48" i="1"/>
  <c r="YL47" i="1"/>
  <c r="AAX45" i="1"/>
  <c r="AAX43" i="1"/>
  <c r="AAX44" i="1"/>
  <c r="FF42" i="1"/>
  <c r="FF40" i="1"/>
  <c r="FF36" i="1"/>
  <c r="FF41" i="1"/>
  <c r="KD46" i="1"/>
  <c r="KD48" i="1"/>
  <c r="KD47" i="1"/>
  <c r="MP43" i="1"/>
  <c r="MP45" i="1"/>
  <c r="MP44" i="1"/>
  <c r="PB42" i="1"/>
  <c r="PB40" i="1"/>
  <c r="PB36" i="1"/>
  <c r="PB41" i="1"/>
  <c r="TZ46" i="1"/>
  <c r="TZ48" i="1"/>
  <c r="TZ47" i="1"/>
  <c r="WL43" i="1"/>
  <c r="WL45" i="1"/>
  <c r="WL44" i="1"/>
  <c r="YX42" i="1"/>
  <c r="YX40" i="1"/>
  <c r="YX36" i="1"/>
  <c r="YX41" i="1"/>
  <c r="AAA36" i="1"/>
  <c r="AAA42" i="1"/>
  <c r="AAA40" i="1"/>
  <c r="AAA41" i="1"/>
  <c r="K4" i="1"/>
  <c r="AE46" i="1"/>
  <c r="AE48" i="1"/>
  <c r="AF34" i="1"/>
  <c r="AE47" i="1"/>
  <c r="BK44" i="1"/>
  <c r="BK43" i="1"/>
  <c r="BK45" i="1"/>
  <c r="CU42" i="1"/>
  <c r="CU40" i="1"/>
  <c r="CU36" i="1"/>
  <c r="CU41" i="1"/>
  <c r="EI42" i="1"/>
  <c r="EI40" i="1"/>
  <c r="EI36" i="1"/>
  <c r="EI41" i="1"/>
  <c r="GQ42" i="1"/>
  <c r="GQ40" i="1"/>
  <c r="GQ36" i="1"/>
  <c r="GQ41" i="1"/>
  <c r="JS44" i="1"/>
  <c r="JS45" i="1"/>
  <c r="JS43" i="1"/>
  <c r="ME42" i="1"/>
  <c r="ME40" i="1"/>
  <c r="ME36" i="1"/>
  <c r="ME41" i="1"/>
  <c r="OA46" i="1"/>
  <c r="OA47" i="1"/>
  <c r="OA48" i="1"/>
  <c r="PK44" i="1"/>
  <c r="PK45" i="1"/>
  <c r="PK43" i="1"/>
  <c r="TC44" i="1"/>
  <c r="TC45" i="1"/>
  <c r="TC43" i="1"/>
  <c r="VC49" i="1"/>
  <c r="VC50" i="1"/>
  <c r="VC51" i="1"/>
  <c r="WQ46" i="1"/>
  <c r="WQ47" i="1"/>
  <c r="WQ48" i="1"/>
  <c r="AAQ50" i="1"/>
  <c r="AAQ51" i="1"/>
  <c r="AAQ49" i="1"/>
  <c r="VW46" i="1"/>
  <c r="VW48" i="1"/>
  <c r="VW47" i="1"/>
  <c r="AA46" i="1"/>
  <c r="AA48" i="1"/>
  <c r="AA47" i="1"/>
  <c r="BG44" i="1"/>
  <c r="BH33" i="1"/>
  <c r="BG43" i="1"/>
  <c r="BG45" i="1"/>
  <c r="CI42" i="1"/>
  <c r="CI40" i="1"/>
  <c r="CI36" i="1"/>
  <c r="CJ32" i="1"/>
  <c r="CI41" i="1"/>
  <c r="DO51" i="1"/>
  <c r="DO49" i="1"/>
  <c r="DO50" i="1"/>
  <c r="JC46" i="1"/>
  <c r="JC47" i="1"/>
  <c r="JC48" i="1"/>
  <c r="KM44" i="1"/>
  <c r="KM45" i="1"/>
  <c r="KM43" i="1"/>
  <c r="MY42" i="1"/>
  <c r="MY40" i="1"/>
  <c r="MY36" i="1"/>
  <c r="MY41" i="1"/>
  <c r="PO50" i="1"/>
  <c r="PO49" i="1"/>
  <c r="PO51" i="1"/>
  <c r="RC46" i="1"/>
  <c r="RC47" i="1"/>
  <c r="RC48" i="1"/>
  <c r="SM44" i="1"/>
  <c r="SM45" i="1"/>
  <c r="SM43" i="1"/>
  <c r="WE42" i="1"/>
  <c r="WE40" i="1"/>
  <c r="WE36" i="1"/>
  <c r="WE41" i="1"/>
  <c r="ZC44" i="1"/>
  <c r="ZC45" i="1"/>
  <c r="ZC43" i="1"/>
  <c r="FW42" i="1"/>
  <c r="FW36" i="1"/>
  <c r="FW40" i="1"/>
  <c r="FW41" i="1"/>
  <c r="FX32" i="1"/>
  <c r="SE42" i="1"/>
  <c r="SE36" i="1"/>
  <c r="SE40" i="1"/>
  <c r="SE41" i="1"/>
  <c r="ZO46" i="1"/>
  <c r="ZO48" i="1"/>
  <c r="ZO47" i="1"/>
  <c r="QE42" i="1"/>
  <c r="QE40" i="1"/>
  <c r="QE36" i="1"/>
  <c r="QE41" i="1"/>
  <c r="XO36" i="1"/>
  <c r="XO42" i="1"/>
  <c r="XO40" i="1"/>
  <c r="XO41" i="1"/>
  <c r="KU42" i="1"/>
  <c r="KU36" i="1"/>
  <c r="KU40" i="1"/>
  <c r="KU41" i="1"/>
  <c r="NS44" i="1"/>
  <c r="NS43" i="1"/>
  <c r="NS45" i="1"/>
  <c r="Y47" i="1"/>
  <c r="Y46" i="1"/>
  <c r="Y48" i="1"/>
  <c r="ABE48" i="1"/>
  <c r="ABE47" i="1"/>
  <c r="ABE46" i="1"/>
  <c r="AAO45" i="1"/>
  <c r="AAO43" i="1"/>
  <c r="AAO44" i="1"/>
  <c r="AAO36" i="1"/>
  <c r="AAO40" i="1"/>
  <c r="AAO42" i="1"/>
  <c r="AAO41" i="1"/>
  <c r="ZY36" i="1"/>
  <c r="ZY40" i="1"/>
  <c r="ZY41" i="1"/>
  <c r="ZY42" i="1"/>
  <c r="ZI47" i="1"/>
  <c r="ZI48" i="1"/>
  <c r="ZI46" i="1"/>
  <c r="YS48" i="1"/>
  <c r="YS47" i="1"/>
  <c r="YS46" i="1"/>
  <c r="YC45" i="1"/>
  <c r="YC43" i="1"/>
  <c r="YC44" i="1"/>
  <c r="YC36" i="1"/>
  <c r="YC40" i="1"/>
  <c r="YC41" i="1"/>
  <c r="YC42" i="1"/>
  <c r="XM36" i="1"/>
  <c r="XM40" i="1"/>
  <c r="XM41" i="1"/>
  <c r="XM42" i="1"/>
  <c r="WW47" i="1"/>
  <c r="WW48" i="1"/>
  <c r="WW46" i="1"/>
  <c r="WG48" i="1"/>
  <c r="WG47" i="1"/>
  <c r="WG46" i="1"/>
  <c r="VQ45" i="1"/>
  <c r="VQ43" i="1"/>
  <c r="VQ44" i="1"/>
  <c r="VQ36" i="1"/>
  <c r="VQ40" i="1"/>
  <c r="VQ41" i="1"/>
  <c r="VQ42" i="1"/>
  <c r="VA36" i="1"/>
  <c r="VA40" i="1"/>
  <c r="VA41" i="1"/>
  <c r="VA42" i="1"/>
  <c r="UK47" i="1"/>
  <c r="UK48" i="1"/>
  <c r="UK46" i="1"/>
  <c r="TU48" i="1"/>
  <c r="TU47" i="1"/>
  <c r="TU46" i="1"/>
  <c r="TE45" i="1"/>
  <c r="TE43" i="1"/>
  <c r="TE44" i="1"/>
  <c r="TE36" i="1"/>
  <c r="TE40" i="1"/>
  <c r="TE42" i="1"/>
  <c r="TE41" i="1"/>
  <c r="SO50" i="1"/>
  <c r="SO49" i="1"/>
  <c r="SO51" i="1"/>
  <c r="RI48" i="1"/>
  <c r="RI47" i="1"/>
  <c r="RI46" i="1"/>
  <c r="QS45" i="1"/>
  <c r="QS43" i="1"/>
  <c r="QS44" i="1"/>
  <c r="QS36" i="1"/>
  <c r="QS40" i="1"/>
  <c r="QS41" i="1"/>
  <c r="QS42" i="1"/>
  <c r="QC50" i="1"/>
  <c r="QC49" i="1"/>
  <c r="QC51" i="1"/>
  <c r="OW48" i="1"/>
  <c r="OW47" i="1"/>
  <c r="OW46" i="1"/>
  <c r="OG45" i="1"/>
  <c r="OG43" i="1"/>
  <c r="OG44" i="1"/>
  <c r="OG36" i="1"/>
  <c r="OG40" i="1"/>
  <c r="OG41" i="1"/>
  <c r="OG42" i="1"/>
  <c r="NQ50" i="1"/>
  <c r="NQ49" i="1"/>
  <c r="NQ51" i="1"/>
  <c r="MK48" i="1"/>
  <c r="MK47" i="1"/>
  <c r="MK46" i="1"/>
  <c r="LU45" i="1"/>
  <c r="LU43" i="1"/>
  <c r="LU44" i="1"/>
  <c r="LU36" i="1"/>
  <c r="LU40" i="1"/>
  <c r="LU42" i="1"/>
  <c r="LU41" i="1"/>
  <c r="LE50" i="1"/>
  <c r="LE49" i="1"/>
  <c r="LE51" i="1"/>
  <c r="JY48" i="1"/>
  <c r="JY47" i="1"/>
  <c r="JY46" i="1"/>
  <c r="JI45" i="1"/>
  <c r="JI44" i="1"/>
  <c r="JI43" i="1"/>
  <c r="JI36" i="1"/>
  <c r="JI40" i="1"/>
  <c r="JI41" i="1"/>
  <c r="JI42" i="1"/>
  <c r="IS50" i="1"/>
  <c r="IS49" i="1"/>
  <c r="IS51" i="1"/>
  <c r="HM48" i="1"/>
  <c r="HM47" i="1"/>
  <c r="HM46" i="1"/>
  <c r="GW45" i="1"/>
  <c r="GW44" i="1"/>
  <c r="GW43" i="1"/>
  <c r="GW36" i="1"/>
  <c r="GW40" i="1"/>
  <c r="GW41" i="1"/>
  <c r="GW42" i="1"/>
  <c r="GG50" i="1"/>
  <c r="GG49" i="1"/>
  <c r="GG51" i="1"/>
  <c r="FA48" i="1"/>
  <c r="FA47" i="1"/>
  <c r="FA46" i="1"/>
  <c r="FB34" i="1"/>
  <c r="EK45" i="1"/>
  <c r="EK44" i="1"/>
  <c r="EK43" i="1"/>
  <c r="EK36" i="1"/>
  <c r="EK40" i="1"/>
  <c r="EK41" i="1"/>
  <c r="EK42" i="1"/>
  <c r="DU50" i="1"/>
  <c r="DU51" i="1"/>
  <c r="DU49" i="1"/>
  <c r="GX49" i="1"/>
  <c r="GX50" i="1"/>
  <c r="GX51" i="1"/>
  <c r="JJ49" i="1"/>
  <c r="JJ51" i="1"/>
  <c r="JJ50" i="1"/>
  <c r="LV50" i="1"/>
  <c r="LV49" i="1"/>
  <c r="LV51" i="1"/>
  <c r="OH50" i="1"/>
  <c r="OH51" i="1"/>
  <c r="OH49" i="1"/>
  <c r="QT50" i="1"/>
  <c r="QT51" i="1"/>
  <c r="QT49" i="1"/>
  <c r="TF51" i="1"/>
  <c r="TF50" i="1"/>
  <c r="TF49" i="1"/>
  <c r="VR51" i="1"/>
  <c r="VR50" i="1"/>
  <c r="VR49" i="1"/>
  <c r="YD51" i="1"/>
  <c r="YD49" i="1"/>
  <c r="YD50" i="1"/>
  <c r="AAP51" i="1"/>
  <c r="AAP49" i="1"/>
  <c r="AAP50" i="1"/>
  <c r="R42" i="1"/>
  <c r="R40" i="1"/>
  <c r="R36" i="1"/>
  <c r="R41" i="1"/>
  <c r="AH51" i="1"/>
  <c r="AH50" i="1"/>
  <c r="AH49" i="1"/>
  <c r="AX46" i="1"/>
  <c r="AX48" i="1"/>
  <c r="AX47" i="1"/>
  <c r="BN43" i="1"/>
  <c r="BN45" i="1"/>
  <c r="BN44" i="1"/>
  <c r="CD42" i="1"/>
  <c r="CD40" i="1"/>
  <c r="CD36" i="1"/>
  <c r="CD41" i="1"/>
  <c r="CT50" i="1"/>
  <c r="CT49" i="1"/>
  <c r="CT51" i="1"/>
  <c r="DJ46" i="1"/>
  <c r="DJ48" i="1"/>
  <c r="DJ47" i="1"/>
  <c r="HV42" i="1"/>
  <c r="HV40" i="1"/>
  <c r="HV36" i="1"/>
  <c r="HV41" i="1"/>
  <c r="MT46" i="1"/>
  <c r="MT48" i="1"/>
  <c r="MT47" i="1"/>
  <c r="PF43" i="1"/>
  <c r="PF45" i="1"/>
  <c r="PF44" i="1"/>
  <c r="RR42" i="1"/>
  <c r="RR40" i="1"/>
  <c r="RR36" i="1"/>
  <c r="RR41" i="1"/>
  <c r="WP46" i="1"/>
  <c r="WP48" i="1"/>
  <c r="WP47" i="1"/>
  <c r="ZB45" i="1"/>
  <c r="ZB43" i="1"/>
  <c r="ZB44" i="1"/>
  <c r="FV42" i="1"/>
  <c r="FV40" i="1"/>
  <c r="FV36" i="1"/>
  <c r="FV41" i="1"/>
  <c r="KT46" i="1"/>
  <c r="KT48" i="1"/>
  <c r="KT47" i="1"/>
  <c r="NF45" i="1"/>
  <c r="NF43" i="1"/>
  <c r="NF44" i="1"/>
  <c r="PR42" i="1"/>
  <c r="PR40" i="1"/>
  <c r="PR36" i="1"/>
  <c r="PR41" i="1"/>
  <c r="XB45" i="1"/>
  <c r="XB43" i="1"/>
  <c r="XB44" i="1"/>
  <c r="ZN42" i="1"/>
  <c r="ZN40" i="1"/>
  <c r="ZN36" i="1"/>
  <c r="ZN41" i="1"/>
  <c r="TW42" i="1"/>
  <c r="TW36" i="1"/>
  <c r="TW40" i="1"/>
  <c r="TW41" i="1"/>
  <c r="CE44" i="1"/>
  <c r="CE43" i="1"/>
  <c r="CE45" i="1"/>
  <c r="SY49" i="1"/>
  <c r="SY50" i="1"/>
  <c r="SY51" i="1"/>
  <c r="ZG46" i="1"/>
  <c r="ZG48" i="1"/>
  <c r="ZG47" i="1"/>
  <c r="JO46" i="1"/>
  <c r="JO48" i="1"/>
  <c r="JO47" i="1"/>
  <c r="YI46" i="1"/>
  <c r="YI48" i="1"/>
  <c r="YI47" i="1"/>
  <c r="KE42" i="1"/>
  <c r="KE40" i="1"/>
  <c r="KE36" i="1"/>
  <c r="KE41" i="1"/>
  <c r="W42" i="1"/>
  <c r="W40" i="1"/>
  <c r="W36" i="1"/>
  <c r="W41" i="1"/>
  <c r="EY46" i="1"/>
  <c r="EY48" i="1"/>
  <c r="EY47" i="1"/>
  <c r="JG51" i="1"/>
  <c r="JG49" i="1"/>
  <c r="JG50" i="1"/>
  <c r="OQ46" i="1"/>
  <c r="OQ47" i="1"/>
  <c r="OQ48" i="1"/>
  <c r="VS50" i="1"/>
  <c r="VS51" i="1"/>
  <c r="VS49" i="1"/>
  <c r="ZE47" i="1"/>
  <c r="ZE46" i="1"/>
  <c r="ZE48" i="1"/>
  <c r="WS47" i="1"/>
  <c r="WS46" i="1"/>
  <c r="WS48" i="1"/>
  <c r="UG47" i="1"/>
  <c r="UG46" i="1"/>
  <c r="UG48" i="1"/>
  <c r="TA50" i="1"/>
  <c r="TA51" i="1"/>
  <c r="TA49" i="1"/>
  <c r="RE43" i="1"/>
  <c r="RE44" i="1"/>
  <c r="RE45" i="1"/>
  <c r="PY47" i="1"/>
  <c r="PY46" i="1"/>
  <c r="PY48" i="1"/>
  <c r="OC51" i="1"/>
  <c r="OC50" i="1"/>
  <c r="OC49" i="1"/>
  <c r="MG44" i="1"/>
  <c r="MG43" i="1"/>
  <c r="MG45" i="1"/>
  <c r="LA47" i="1"/>
  <c r="LA46" i="1"/>
  <c r="LA48" i="1"/>
  <c r="JU44" i="1"/>
  <c r="JU45" i="1"/>
  <c r="JU43" i="1"/>
  <c r="IO47" i="1"/>
  <c r="IO46" i="1"/>
  <c r="IO48" i="1"/>
  <c r="GS50" i="1"/>
  <c r="GS51" i="1"/>
  <c r="GS49" i="1"/>
  <c r="EG50" i="1"/>
  <c r="EG49" i="1"/>
  <c r="EH35" i="1"/>
  <c r="EG51" i="1"/>
  <c r="V48" i="1"/>
  <c r="V46" i="1"/>
  <c r="V47" i="1"/>
  <c r="CX45" i="1"/>
  <c r="CX43" i="1"/>
  <c r="CX44" i="1"/>
  <c r="FZ49" i="1"/>
  <c r="FZ50" i="1"/>
  <c r="FZ51" i="1"/>
  <c r="KX45" i="1"/>
  <c r="KX44" i="1"/>
  <c r="KX43" i="1"/>
  <c r="UT45" i="1"/>
  <c r="UT43" i="1"/>
  <c r="UT44" i="1"/>
  <c r="DZ46" i="1"/>
  <c r="DZ48" i="1"/>
  <c r="DZ47" i="1"/>
  <c r="EA34" i="1"/>
  <c r="QH43" i="1"/>
  <c r="QH45" i="1"/>
  <c r="QH44" i="1"/>
  <c r="AAD42" i="1"/>
  <c r="AAD40" i="1"/>
  <c r="AAD36" i="1"/>
  <c r="AAD41" i="1"/>
  <c r="CY51" i="1"/>
  <c r="CY50" i="1"/>
  <c r="CY49" i="1"/>
  <c r="HK51" i="1"/>
  <c r="HK50" i="1"/>
  <c r="HK49" i="1"/>
  <c r="LS44" i="1"/>
  <c r="LS45" i="1"/>
  <c r="LS43" i="1"/>
  <c r="OU49" i="1"/>
  <c r="OU50" i="1"/>
  <c r="OU51" i="1"/>
  <c r="QU50" i="1"/>
  <c r="QU51" i="1"/>
  <c r="QU49" i="1"/>
  <c r="AAI44" i="1"/>
  <c r="AAI45" i="1"/>
  <c r="AAI43" i="1"/>
  <c r="OY46" i="1"/>
  <c r="OY48" i="1"/>
  <c r="OY47" i="1"/>
  <c r="NW46" i="1"/>
  <c r="NW48" i="1"/>
  <c r="NW47" i="1"/>
  <c r="FG51" i="1"/>
  <c r="FG49" i="1"/>
  <c r="FG50" i="1"/>
  <c r="HW46" i="1"/>
  <c r="HW47" i="1"/>
  <c r="HW48" i="1"/>
  <c r="NK42" i="1"/>
  <c r="NK40" i="1"/>
  <c r="NK36" i="1"/>
  <c r="NK41" i="1"/>
  <c r="ABC42" i="1"/>
  <c r="ABC40" i="1"/>
  <c r="ABC36" i="1"/>
  <c r="ABC41" i="1"/>
  <c r="AAW36" i="1"/>
  <c r="AAW42" i="1"/>
  <c r="AAW40" i="1"/>
  <c r="AAW41" i="1"/>
  <c r="ZA45" i="1"/>
  <c r="ZA43" i="1"/>
  <c r="ZA44" i="1"/>
  <c r="XU49" i="1"/>
  <c r="XU50" i="1"/>
  <c r="XU51" i="1"/>
  <c r="VY36" i="1"/>
  <c r="VY42" i="1"/>
  <c r="VY41" i="1"/>
  <c r="VY40" i="1"/>
  <c r="UC45" i="1"/>
  <c r="UC43" i="1"/>
  <c r="UC44" i="1"/>
  <c r="TM36" i="1"/>
  <c r="TM42" i="1"/>
  <c r="TM41" i="1"/>
  <c r="TM40" i="1"/>
  <c r="RQ45" i="1"/>
  <c r="RQ43" i="1"/>
  <c r="RQ44" i="1"/>
  <c r="QK49" i="1"/>
  <c r="QK50" i="1"/>
  <c r="QK51" i="1"/>
  <c r="OO36" i="1"/>
  <c r="OO42" i="1"/>
  <c r="OO40" i="1"/>
  <c r="OO41" i="1"/>
  <c r="MS45" i="1"/>
  <c r="MS43" i="1"/>
  <c r="MS44" i="1"/>
  <c r="LM49" i="1"/>
  <c r="LM50" i="1"/>
  <c r="LM51" i="1"/>
  <c r="JA49" i="1"/>
  <c r="JA50" i="1"/>
  <c r="JA51" i="1"/>
  <c r="GO49" i="1"/>
  <c r="GO50" i="1"/>
  <c r="GO51" i="1"/>
  <c r="FI43" i="1"/>
  <c r="FI45" i="1"/>
  <c r="FI44" i="1"/>
  <c r="EC50" i="1"/>
  <c r="EC51" i="1"/>
  <c r="EC49" i="1"/>
  <c r="AP45" i="1"/>
  <c r="AP44" i="1"/>
  <c r="AP43" i="1"/>
  <c r="BV51" i="1"/>
  <c r="BV50" i="1"/>
  <c r="BV49" i="1"/>
  <c r="ED42" i="1"/>
  <c r="ED40" i="1"/>
  <c r="ED36" i="1"/>
  <c r="ED41" i="1"/>
  <c r="NZ42" i="1"/>
  <c r="NZ40" i="1"/>
  <c r="NZ36" i="1"/>
  <c r="NZ41" i="1"/>
  <c r="VJ45" i="1"/>
  <c r="VJ44" i="1"/>
  <c r="VJ43" i="1"/>
  <c r="AAH49" i="1"/>
  <c r="AAH50" i="1"/>
  <c r="AAH51" i="1"/>
  <c r="HB45" i="1"/>
  <c r="HB44" i="1"/>
  <c r="HB43" i="1"/>
  <c r="LZ49" i="1"/>
  <c r="LZ50" i="1"/>
  <c r="LZ51" i="1"/>
  <c r="TJ42" i="1"/>
  <c r="TJ40" i="1"/>
  <c r="TJ36" i="1"/>
  <c r="TJ41" i="1"/>
  <c r="AAT45" i="1"/>
  <c r="AAT43" i="1"/>
  <c r="AAT44" i="1"/>
  <c r="G42" i="1"/>
  <c r="G40" i="1"/>
  <c r="G36" i="1"/>
  <c r="G41" i="1"/>
  <c r="IA51" i="1"/>
  <c r="IA49" i="1"/>
  <c r="IA50" i="1"/>
  <c r="RW42" i="1"/>
  <c r="RW40" i="1"/>
  <c r="RW36" i="1"/>
  <c r="RW41" i="1"/>
  <c r="YA42" i="1"/>
  <c r="YA40" i="1"/>
  <c r="YA36" i="1"/>
  <c r="YA41" i="1"/>
  <c r="HC46" i="1"/>
  <c r="HC48" i="1"/>
  <c r="HC47" i="1"/>
  <c r="BS51" i="1"/>
  <c r="BS49" i="1"/>
  <c r="BS50" i="1"/>
  <c r="DC48" i="1"/>
  <c r="DC46" i="1"/>
  <c r="DC47" i="1"/>
  <c r="DS46" i="1"/>
  <c r="DS48" i="1"/>
  <c r="DT34" i="1"/>
  <c r="DS47" i="1"/>
  <c r="GA42" i="1"/>
  <c r="GA40" i="1"/>
  <c r="GA36" i="1"/>
  <c r="GA41" i="1"/>
  <c r="IM51" i="1"/>
  <c r="IM49" i="1"/>
  <c r="IM50" i="1"/>
  <c r="KA51" i="1"/>
  <c r="KA49" i="1"/>
  <c r="KA50" i="1"/>
  <c r="LO46" i="1"/>
  <c r="LO47" i="1"/>
  <c r="LO48" i="1"/>
  <c r="NO44" i="1"/>
  <c r="NO45" i="1"/>
  <c r="NO43" i="1"/>
  <c r="RG42" i="1"/>
  <c r="RG40" i="1"/>
  <c r="RG36" i="1"/>
  <c r="RG41" i="1"/>
  <c r="WA46" i="1"/>
  <c r="WA47" i="1"/>
  <c r="WA48" i="1"/>
  <c r="YM49" i="1"/>
  <c r="YM50" i="1"/>
  <c r="YM51" i="1"/>
  <c r="ZK49" i="1"/>
  <c r="ZK50" i="1"/>
  <c r="ZK51" i="1"/>
  <c r="AAM46" i="1"/>
  <c r="AAM48" i="1"/>
  <c r="AAM47" i="1"/>
  <c r="ABI47" i="1"/>
  <c r="ABI46" i="1"/>
  <c r="ABI48" i="1"/>
  <c r="AAC36" i="1"/>
  <c r="AAC41" i="1"/>
  <c r="AAC42" i="1"/>
  <c r="AAC40" i="1"/>
  <c r="YW47" i="1"/>
  <c r="YW46" i="1"/>
  <c r="YW48" i="1"/>
  <c r="XA50" i="1"/>
  <c r="XA49" i="1"/>
  <c r="XA51" i="1"/>
  <c r="VU43" i="1"/>
  <c r="VU45" i="1"/>
  <c r="VU44" i="1"/>
  <c r="VE36" i="1"/>
  <c r="VE41" i="1"/>
  <c r="VE42" i="1"/>
  <c r="VE40" i="1"/>
  <c r="TY47" i="1"/>
  <c r="TY46" i="1"/>
  <c r="TY48" i="1"/>
  <c r="TI36" i="1"/>
  <c r="TI42" i="1"/>
  <c r="TI41" i="1"/>
  <c r="TI40" i="1"/>
  <c r="SC51" i="1"/>
  <c r="SC49" i="1"/>
  <c r="SC50" i="1"/>
  <c r="QW43" i="1"/>
  <c r="QW45" i="1"/>
  <c r="QW44" i="1"/>
  <c r="PA47" i="1"/>
  <c r="PA46" i="1"/>
  <c r="PA48" i="1"/>
  <c r="OK36" i="1"/>
  <c r="OK42" i="1"/>
  <c r="OK41" i="1"/>
  <c r="OK40" i="1"/>
  <c r="NE49" i="1"/>
  <c r="NE50" i="1"/>
  <c r="NE51" i="1"/>
  <c r="LY43" i="1"/>
  <c r="LY45" i="1"/>
  <c r="LY44" i="1"/>
  <c r="KC47" i="1"/>
  <c r="KC46" i="1"/>
  <c r="KC48" i="1"/>
  <c r="JM36" i="1"/>
  <c r="JM42" i="1"/>
  <c r="JM41" i="1"/>
  <c r="JM40" i="1"/>
  <c r="HQ47" i="1"/>
  <c r="HQ46" i="1"/>
  <c r="HQ48" i="1"/>
  <c r="HA36" i="1"/>
  <c r="HA42" i="1"/>
  <c r="HA41" i="1"/>
  <c r="HA40" i="1"/>
  <c r="FE47" i="1"/>
  <c r="FE46" i="1"/>
  <c r="FE48" i="1"/>
  <c r="EO36" i="1"/>
  <c r="EO42" i="1"/>
  <c r="EO41" i="1"/>
  <c r="EO40" i="1"/>
  <c r="GT50" i="1"/>
  <c r="GT49" i="1"/>
  <c r="GT51" i="1"/>
  <c r="JF50" i="1"/>
  <c r="JF49" i="1"/>
  <c r="JF51" i="1"/>
  <c r="OD50" i="1"/>
  <c r="OD51" i="1"/>
  <c r="OD49" i="1"/>
  <c r="QP50" i="1"/>
  <c r="QP51" i="1"/>
  <c r="QP49" i="1"/>
  <c r="TB50" i="1"/>
  <c r="TB51" i="1"/>
  <c r="TB49" i="1"/>
  <c r="N42" i="1"/>
  <c r="N40" i="1"/>
  <c r="N36" i="1"/>
  <c r="N41" i="1"/>
  <c r="AD51" i="1"/>
  <c r="AD49" i="1"/>
  <c r="AD50" i="1"/>
  <c r="BJ45" i="1"/>
  <c r="BJ44" i="1"/>
  <c r="BJ43" i="1"/>
  <c r="CP49" i="1"/>
  <c r="CP50" i="1"/>
  <c r="CP51" i="1"/>
  <c r="ET45" i="1"/>
  <c r="ET43" i="1"/>
  <c r="ET44" i="1"/>
  <c r="OP43" i="1"/>
  <c r="OP45" i="1"/>
  <c r="OP44" i="1"/>
  <c r="YL45" i="1"/>
  <c r="YL43" i="1"/>
  <c r="YL44" i="1"/>
  <c r="KD45" i="1"/>
  <c r="KD43" i="1"/>
  <c r="KD44" i="1"/>
  <c r="RN46" i="1"/>
  <c r="RN48" i="1"/>
  <c r="RN47" i="1"/>
  <c r="WL42" i="1"/>
  <c r="WL40" i="1"/>
  <c r="WL36" i="1"/>
  <c r="WL41" i="1"/>
  <c r="LK46" i="1"/>
  <c r="LK48" i="1"/>
  <c r="LK47" i="1"/>
  <c r="AE44" i="1"/>
  <c r="AF33" i="1"/>
  <c r="AE43" i="1"/>
  <c r="AE45" i="1"/>
  <c r="GQ51" i="1"/>
  <c r="GQ49" i="1"/>
  <c r="GQ50" i="1"/>
  <c r="JS42" i="1"/>
  <c r="JS40" i="1"/>
  <c r="JS36" i="1"/>
  <c r="JS41" i="1"/>
  <c r="OA44" i="1"/>
  <c r="OA45" i="1"/>
  <c r="OA43" i="1"/>
  <c r="DE43" i="1"/>
  <c r="DE45" i="1"/>
  <c r="DE44" i="1"/>
  <c r="VW44" i="1"/>
  <c r="VW43" i="1"/>
  <c r="VW45" i="1"/>
  <c r="AA44" i="1"/>
  <c r="AA43" i="1"/>
  <c r="AA45" i="1"/>
  <c r="BG42" i="1"/>
  <c r="BG40" i="1"/>
  <c r="BG36" i="1"/>
  <c r="BH32" i="1"/>
  <c r="BG41" i="1"/>
  <c r="DO46" i="1"/>
  <c r="DO47" i="1"/>
  <c r="DO48" i="1"/>
  <c r="GE46" i="1"/>
  <c r="GE48" i="1"/>
  <c r="GE47" i="1"/>
  <c r="KM42" i="1"/>
  <c r="KM40" i="1"/>
  <c r="KM36" i="1"/>
  <c r="KM41" i="1"/>
  <c r="MY51" i="1"/>
  <c r="MY49" i="1"/>
  <c r="MY50" i="1"/>
  <c r="SM42" i="1"/>
  <c r="SM40" i="1"/>
  <c r="SM36" i="1"/>
  <c r="SM41" i="1"/>
  <c r="WE49" i="1"/>
  <c r="WE50" i="1"/>
  <c r="WE51" i="1"/>
  <c r="ZC42" i="1"/>
  <c r="ZC40" i="1"/>
  <c r="ZC36" i="1"/>
  <c r="ZC41" i="1"/>
  <c r="XO49" i="1"/>
  <c r="XO50" i="1"/>
  <c r="XO51" i="1"/>
  <c r="HS46" i="1"/>
  <c r="HS48" i="1"/>
  <c r="HS47" i="1"/>
  <c r="VG46" i="1"/>
  <c r="VG48" i="1"/>
  <c r="VG47" i="1"/>
  <c r="ABE36" i="1"/>
  <c r="ABE41" i="1"/>
  <c r="ABE40" i="1"/>
  <c r="ABE42" i="1"/>
  <c r="YS36" i="1"/>
  <c r="YS41" i="1"/>
  <c r="YS40" i="1"/>
  <c r="YS42" i="1"/>
  <c r="XM49" i="1"/>
  <c r="XM50" i="1"/>
  <c r="XM51" i="1"/>
  <c r="WG45" i="1"/>
  <c r="WG44" i="1"/>
  <c r="WG43" i="1"/>
  <c r="VA50" i="1"/>
  <c r="VA49" i="1"/>
  <c r="VA51" i="1"/>
  <c r="TU45" i="1"/>
  <c r="TU44" i="1"/>
  <c r="TU43" i="1"/>
  <c r="TU36" i="1"/>
  <c r="TU41" i="1"/>
  <c r="TU40" i="1"/>
  <c r="TU42" i="1"/>
  <c r="RI45" i="1"/>
  <c r="RI44" i="1"/>
  <c r="RI43" i="1"/>
  <c r="QS49" i="1"/>
  <c r="QS51" i="1"/>
  <c r="QS50" i="1"/>
  <c r="PM47" i="1"/>
  <c r="PM48" i="1"/>
  <c r="PM46" i="1"/>
  <c r="OW36" i="1"/>
  <c r="OW41" i="1"/>
  <c r="OW40" i="1"/>
  <c r="OW42" i="1"/>
  <c r="MK45" i="1"/>
  <c r="MK43" i="1"/>
  <c r="MK44" i="1"/>
  <c r="LU49" i="1"/>
  <c r="LU51" i="1"/>
  <c r="LU50" i="1"/>
  <c r="KO47" i="1"/>
  <c r="KO48" i="1"/>
  <c r="KO46" i="1"/>
  <c r="JY36" i="1"/>
  <c r="JY41" i="1"/>
  <c r="JY40" i="1"/>
  <c r="JY42" i="1"/>
  <c r="IC47" i="1"/>
  <c r="IC48" i="1"/>
  <c r="IC46" i="1"/>
  <c r="HM36" i="1"/>
  <c r="HM40" i="1"/>
  <c r="HM42" i="1"/>
  <c r="HM41" i="1"/>
  <c r="FB33" i="1"/>
  <c r="FA43" i="1"/>
  <c r="FA44" i="1"/>
  <c r="FA45" i="1"/>
  <c r="FA36" i="1"/>
  <c r="FB32" i="1"/>
  <c r="FA40" i="1"/>
  <c r="FA41" i="1"/>
  <c r="FA42" i="1"/>
  <c r="FB49" i="1"/>
  <c r="FB50" i="1"/>
  <c r="FB51" i="1"/>
  <c r="HN49" i="1"/>
  <c r="HN50" i="1"/>
  <c r="HN51" i="1"/>
  <c r="JZ50" i="1"/>
  <c r="JZ49" i="1"/>
  <c r="JZ51" i="1"/>
  <c r="RJ51" i="1"/>
  <c r="RJ49" i="1"/>
  <c r="RJ50" i="1"/>
  <c r="TV49" i="1"/>
  <c r="TV50" i="1"/>
  <c r="TV51" i="1"/>
  <c r="WH49" i="1"/>
  <c r="WH51" i="1"/>
  <c r="WH50" i="1"/>
  <c r="YT50" i="1"/>
  <c r="YT49" i="1"/>
  <c r="YT51" i="1"/>
  <c r="ABF49" i="1"/>
  <c r="ABF51" i="1"/>
  <c r="ABF50" i="1"/>
  <c r="AH46" i="1"/>
  <c r="AH48" i="1"/>
  <c r="AH47" i="1"/>
  <c r="BN42" i="1"/>
  <c r="BN40" i="1"/>
  <c r="BN36" i="1"/>
  <c r="BN41" i="1"/>
  <c r="CD51" i="1"/>
  <c r="CD50" i="1"/>
  <c r="CD49" i="1"/>
  <c r="DJ45" i="1"/>
  <c r="DJ43" i="1"/>
  <c r="DJ44" i="1"/>
  <c r="KH46" i="1"/>
  <c r="KH48" i="1"/>
  <c r="KH47" i="1"/>
  <c r="PF42" i="1"/>
  <c r="PF40" i="1"/>
  <c r="PF36" i="1"/>
  <c r="PF41" i="1"/>
  <c r="RR49" i="1"/>
  <c r="RR50" i="1"/>
  <c r="RR51" i="1"/>
  <c r="WP45" i="1"/>
  <c r="WP44" i="1"/>
  <c r="WP43" i="1"/>
  <c r="ZB42" i="1"/>
  <c r="ZB40" i="1"/>
  <c r="ZB36" i="1"/>
  <c r="ZB41" i="1"/>
  <c r="IH46" i="1"/>
  <c r="IH48" i="1"/>
  <c r="IH47" i="1"/>
  <c r="NF42" i="1"/>
  <c r="NF40" i="1"/>
  <c r="NF36" i="1"/>
  <c r="NF41" i="1"/>
  <c r="SD46" i="1"/>
  <c r="SD48" i="1"/>
  <c r="SD47" i="1"/>
  <c r="XB42" i="1"/>
  <c r="XB40" i="1"/>
  <c r="XB36" i="1"/>
  <c r="XB41" i="1"/>
  <c r="ZN46" i="1"/>
  <c r="ZN48" i="1"/>
  <c r="ZN47" i="1"/>
  <c r="CE46" i="1"/>
  <c r="CE48" i="1"/>
  <c r="CE47" i="1"/>
  <c r="S44" i="1"/>
  <c r="S43" i="1"/>
  <c r="S45" i="1"/>
  <c r="AY42" i="1"/>
  <c r="AY36" i="1"/>
  <c r="AY40" i="1"/>
  <c r="AY41" i="1"/>
  <c r="CE51" i="1"/>
  <c r="CE49" i="1"/>
  <c r="CE50" i="1"/>
  <c r="DG46" i="1"/>
  <c r="DG47" i="1"/>
  <c r="DG48" i="1"/>
  <c r="EE46" i="1"/>
  <c r="EE47" i="1"/>
  <c r="EE48" i="1"/>
  <c r="GU42" i="1"/>
  <c r="GU40" i="1"/>
  <c r="GU36" i="1"/>
  <c r="GU41" i="1"/>
  <c r="LC42" i="1"/>
  <c r="LC40" i="1"/>
  <c r="LC36" i="1"/>
  <c r="LC41" i="1"/>
  <c r="OE42" i="1"/>
  <c r="OE40" i="1"/>
  <c r="OE36" i="1"/>
  <c r="OE41" i="1"/>
  <c r="PG46" i="1"/>
  <c r="PG47" i="1"/>
  <c r="PG48" i="1"/>
  <c r="SY44" i="1"/>
  <c r="SY45" i="1"/>
  <c r="SY43" i="1"/>
  <c r="UI42" i="1"/>
  <c r="UI40" i="1"/>
  <c r="UI36" i="1"/>
  <c r="UI41" i="1"/>
  <c r="ZG42" i="1"/>
  <c r="ZG40" i="1"/>
  <c r="ZG36" i="1"/>
  <c r="ZG41" i="1"/>
  <c r="AAY46" i="1"/>
  <c r="AAY47" i="1"/>
  <c r="AAY48" i="1"/>
  <c r="JO42" i="1"/>
  <c r="JO40" i="1"/>
  <c r="JO36" i="1"/>
  <c r="JO41" i="1"/>
  <c r="UQ50" i="1"/>
  <c r="UQ51" i="1"/>
  <c r="UQ49" i="1"/>
  <c r="YI42" i="1"/>
  <c r="YI36" i="1"/>
  <c r="YI40" i="1"/>
  <c r="YI41" i="1"/>
  <c r="DW46" i="1"/>
  <c r="DW48" i="1"/>
  <c r="DW47" i="1"/>
  <c r="KE46" i="1"/>
  <c r="KE48" i="1"/>
  <c r="KE47" i="1"/>
  <c r="RO50" i="1"/>
  <c r="RO49" i="1"/>
  <c r="RO51" i="1"/>
  <c r="VS36" i="1"/>
  <c r="W48" i="1"/>
  <c r="W46" i="1"/>
  <c r="W47" i="1"/>
  <c r="BC44" i="1"/>
  <c r="BC45" i="1"/>
  <c r="BC43" i="1"/>
  <c r="CM42" i="1"/>
  <c r="CM40" i="1"/>
  <c r="CM36" i="1"/>
  <c r="CM41" i="1"/>
  <c r="EY42" i="1"/>
  <c r="EY40" i="1"/>
  <c r="EY36" i="1"/>
  <c r="EY41" i="1"/>
  <c r="HG46" i="1"/>
  <c r="HG47" i="1"/>
  <c r="HG48" i="1"/>
  <c r="JG44" i="1"/>
  <c r="JG45" i="1"/>
  <c r="JG43" i="1"/>
  <c r="KI44" i="1"/>
  <c r="KI45" i="1"/>
  <c r="KI43" i="1"/>
  <c r="MU42" i="1"/>
  <c r="MU40" i="1"/>
  <c r="MU36" i="1"/>
  <c r="MU41" i="1"/>
  <c r="OQ42" i="1"/>
  <c r="OQ40" i="1"/>
  <c r="OQ36" i="1"/>
  <c r="OQ41" i="1"/>
  <c r="QA49" i="1"/>
  <c r="QA50" i="1"/>
  <c r="QA51" i="1"/>
  <c r="SA49" i="1"/>
  <c r="SA50" i="1"/>
  <c r="SA51" i="1"/>
  <c r="TS44" i="1"/>
  <c r="TS45" i="1"/>
  <c r="TS43" i="1"/>
  <c r="UU44" i="1"/>
  <c r="UU45" i="1"/>
  <c r="UU43" i="1"/>
  <c r="XK44" i="1"/>
  <c r="XK45" i="1"/>
  <c r="XK43" i="1"/>
  <c r="ZS44" i="1"/>
  <c r="ZS45" i="1"/>
  <c r="ZS43" i="1"/>
  <c r="ABA51" i="1"/>
  <c r="ABA50" i="1"/>
  <c r="ABA49" i="1"/>
  <c r="AAK47" i="1"/>
  <c r="AAK46" i="1"/>
  <c r="AAK48" i="1"/>
  <c r="ZU43" i="1"/>
  <c r="ZU44" i="1"/>
  <c r="ZU45" i="1"/>
  <c r="ZE36" i="1"/>
  <c r="ZE40" i="1"/>
  <c r="ZE41" i="1"/>
  <c r="ZE42" i="1"/>
  <c r="YO50" i="1"/>
  <c r="YO51" i="1"/>
  <c r="YO49" i="1"/>
  <c r="XY47" i="1"/>
  <c r="XY46" i="1"/>
  <c r="XY48" i="1"/>
  <c r="XI43" i="1"/>
  <c r="XI44" i="1"/>
  <c r="XI45" i="1"/>
  <c r="WS36" i="1"/>
  <c r="WS40" i="1"/>
  <c r="WS41" i="1"/>
  <c r="WS42" i="1"/>
  <c r="WC51" i="1"/>
  <c r="WC50" i="1"/>
  <c r="WC49" i="1"/>
  <c r="VM47" i="1"/>
  <c r="VM46" i="1"/>
  <c r="VM48" i="1"/>
  <c r="UW43" i="1"/>
  <c r="UW44" i="1"/>
  <c r="UW45" i="1"/>
  <c r="UG36" i="1"/>
  <c r="UG41" i="1"/>
  <c r="UG40" i="1"/>
  <c r="UG42" i="1"/>
  <c r="TQ47" i="1"/>
  <c r="TQ46" i="1"/>
  <c r="TQ48" i="1"/>
  <c r="SK43" i="1"/>
  <c r="SK44" i="1"/>
  <c r="SK45" i="1"/>
  <c r="SK36" i="1"/>
  <c r="SK40" i="1"/>
  <c r="SK41" i="1"/>
  <c r="SK42" i="1"/>
  <c r="RU51" i="1"/>
  <c r="RU50" i="1"/>
  <c r="RU49" i="1"/>
  <c r="RE47" i="1"/>
  <c r="RE46" i="1"/>
  <c r="RE48" i="1"/>
  <c r="PY43" i="1"/>
  <c r="PY44" i="1"/>
  <c r="PY45" i="1"/>
  <c r="PY36" i="1"/>
  <c r="PY40" i="1"/>
  <c r="PY41" i="1"/>
  <c r="PY42" i="1"/>
  <c r="PI51" i="1"/>
  <c r="PI50" i="1"/>
  <c r="PI49" i="1"/>
  <c r="OS47" i="1"/>
  <c r="OS46" i="1"/>
  <c r="OS48" i="1"/>
  <c r="NM43" i="1"/>
  <c r="NM44" i="1"/>
  <c r="NM45" i="1"/>
  <c r="NM36" i="1"/>
  <c r="NM41" i="1"/>
  <c r="NM40" i="1"/>
  <c r="NM42" i="1"/>
  <c r="MW51" i="1"/>
  <c r="MW50" i="1"/>
  <c r="MW49" i="1"/>
  <c r="MG47" i="1"/>
  <c r="MG46" i="1"/>
  <c r="MG48" i="1"/>
  <c r="LA43" i="1"/>
  <c r="LA44" i="1"/>
  <c r="LA45" i="1"/>
  <c r="LA36" i="1"/>
  <c r="LA40" i="1"/>
  <c r="LA42" i="1"/>
  <c r="LA41" i="1"/>
  <c r="KK50" i="1"/>
  <c r="KK49" i="1"/>
  <c r="KK51" i="1"/>
  <c r="JU47" i="1"/>
  <c r="JU46" i="1"/>
  <c r="JU48" i="1"/>
  <c r="IO44" i="1"/>
  <c r="IO43" i="1"/>
  <c r="IO45" i="1"/>
  <c r="IO36" i="1"/>
  <c r="IO40" i="1"/>
  <c r="IO42" i="1"/>
  <c r="IO41" i="1"/>
  <c r="HY50" i="1"/>
  <c r="HY49" i="1"/>
  <c r="HY51" i="1"/>
  <c r="HI47" i="1"/>
  <c r="HI46" i="1"/>
  <c r="HI48" i="1"/>
  <c r="GC45" i="1"/>
  <c r="GD33" i="1"/>
  <c r="GC44" i="1"/>
  <c r="GC43" i="1"/>
  <c r="GC36" i="1"/>
  <c r="GC40" i="1"/>
  <c r="GD32" i="1"/>
  <c r="GC41" i="1"/>
  <c r="GC42" i="1"/>
  <c r="FM50" i="1"/>
  <c r="FM49" i="1"/>
  <c r="FM51" i="1"/>
  <c r="EW47" i="1"/>
  <c r="EW46" i="1"/>
  <c r="EW48" i="1"/>
  <c r="DQ45" i="1"/>
  <c r="DQ44" i="1"/>
  <c r="DQ43" i="1"/>
  <c r="DQ36" i="1"/>
  <c r="DQ40" i="1"/>
  <c r="DQ41" i="1"/>
  <c r="DQ42" i="1"/>
  <c r="V42" i="1"/>
  <c r="V40" i="1"/>
  <c r="V36" i="1"/>
  <c r="V41" i="1"/>
  <c r="AL51" i="1"/>
  <c r="AL49" i="1"/>
  <c r="AL50" i="1"/>
  <c r="BB48" i="1"/>
  <c r="BB46" i="1"/>
  <c r="BB47" i="1"/>
  <c r="BR45" i="1"/>
  <c r="BR43" i="1"/>
  <c r="BR44" i="1"/>
  <c r="CH42" i="1"/>
  <c r="CH40" i="1"/>
  <c r="CH36" i="1"/>
  <c r="CH41" i="1"/>
  <c r="CX49" i="1"/>
  <c r="CX50" i="1"/>
  <c r="CX51" i="1"/>
  <c r="DN46" i="1"/>
  <c r="DN48" i="1"/>
  <c r="DN47" i="1"/>
  <c r="FZ45" i="1"/>
  <c r="FZ43" i="1"/>
  <c r="FZ44" i="1"/>
  <c r="IL42" i="1"/>
  <c r="IL40" i="1"/>
  <c r="IL36" i="1"/>
  <c r="IL41" i="1"/>
  <c r="KX49" i="1"/>
  <c r="KX50" i="1"/>
  <c r="KX51" i="1"/>
  <c r="NJ46" i="1"/>
  <c r="NJ48" i="1"/>
  <c r="NJ47" i="1"/>
  <c r="PV45" i="1"/>
  <c r="PV43" i="1"/>
  <c r="PV44" i="1"/>
  <c r="SH42" i="1"/>
  <c r="SH40" i="1"/>
  <c r="SH36" i="1"/>
  <c r="SH41" i="1"/>
  <c r="UT49" i="1"/>
  <c r="UT50" i="1"/>
  <c r="UT51" i="1"/>
  <c r="XF46" i="1"/>
  <c r="XF48" i="1"/>
  <c r="XF47" i="1"/>
  <c r="ZR45" i="1"/>
  <c r="ZR43" i="1"/>
  <c r="ZR44" i="1"/>
  <c r="DZ42" i="1"/>
  <c r="DZ40" i="1"/>
  <c r="DZ36" i="1"/>
  <c r="EA32" i="1"/>
  <c r="DZ41" i="1"/>
  <c r="IX46" i="1"/>
  <c r="IX48" i="1"/>
  <c r="IX47" i="1"/>
  <c r="LJ43" i="1"/>
  <c r="LJ45" i="1"/>
  <c r="LJ44" i="1"/>
  <c r="NV42" i="1"/>
  <c r="NV40" i="1"/>
  <c r="NV36" i="1"/>
  <c r="NV41" i="1"/>
  <c r="ST46" i="1"/>
  <c r="ST48" i="1"/>
  <c r="ST47" i="1"/>
  <c r="VF42" i="1"/>
  <c r="VF40" i="1"/>
  <c r="VF36" i="1"/>
  <c r="VF41" i="1"/>
  <c r="AAD46" i="1"/>
  <c r="AAD48" i="1"/>
  <c r="AAD47" i="1"/>
  <c r="O40" i="1"/>
  <c r="O42" i="1"/>
  <c r="O36" i="1"/>
  <c r="O41" i="1"/>
  <c r="AQ51" i="1"/>
  <c r="AQ49" i="1"/>
  <c r="AQ50" i="1"/>
  <c r="CY33" i="1"/>
  <c r="EU33" i="1"/>
  <c r="HK44" i="1"/>
  <c r="HK43" i="1"/>
  <c r="HK45" i="1"/>
  <c r="LS51" i="1"/>
  <c r="LS49" i="1"/>
  <c r="LS50" i="1"/>
  <c r="OU44" i="1"/>
  <c r="OU45" i="1"/>
  <c r="OU43" i="1"/>
  <c r="PW44" i="1"/>
  <c r="PW45" i="1"/>
  <c r="PW43" i="1"/>
  <c r="TO42" i="1"/>
  <c r="TO40" i="1"/>
  <c r="TO36" i="1"/>
  <c r="TO41" i="1"/>
  <c r="UY49" i="1"/>
  <c r="UY50" i="1"/>
  <c r="UY51" i="1"/>
  <c r="XG44" i="1"/>
  <c r="XG45" i="1"/>
  <c r="XG43" i="1"/>
  <c r="II44" i="1"/>
  <c r="II43" i="1"/>
  <c r="II45" i="1"/>
  <c r="NG42" i="1"/>
  <c r="NG36" i="1"/>
  <c r="NG40" i="1"/>
  <c r="NG41" i="1"/>
  <c r="RJ36" i="1"/>
  <c r="EN44" i="1"/>
  <c r="EN43" i="1"/>
  <c r="EN45" i="1"/>
  <c r="LR36" i="1"/>
  <c r="OY42" i="1"/>
  <c r="OY40" i="1"/>
  <c r="OY36" i="1"/>
  <c r="OY41" i="1"/>
  <c r="YU44" i="1"/>
  <c r="YU43" i="1"/>
  <c r="YU45" i="1"/>
  <c r="NW42" i="1"/>
  <c r="NW40" i="1"/>
  <c r="NW36" i="1"/>
  <c r="NW41" i="1"/>
  <c r="XS49" i="1"/>
  <c r="XS50" i="1"/>
  <c r="XS51" i="1"/>
  <c r="K42" i="1"/>
  <c r="K40" i="1"/>
  <c r="K36" i="1"/>
  <c r="L32" i="1"/>
  <c r="K41" i="1"/>
  <c r="AU51" i="1"/>
  <c r="AU49" i="1"/>
  <c r="AU50" i="1"/>
  <c r="CA46" i="1"/>
  <c r="CA48" i="1"/>
  <c r="CA47" i="1"/>
  <c r="DK44" i="1"/>
  <c r="DK43" i="1"/>
  <c r="DK45" i="1"/>
  <c r="DL33" i="1"/>
  <c r="FO42" i="1"/>
  <c r="FO40" i="1"/>
  <c r="FO36" i="1"/>
  <c r="FP32" i="1"/>
  <c r="FO41" i="1"/>
  <c r="HW42" i="1"/>
  <c r="HW40" i="1"/>
  <c r="HW36" i="1"/>
  <c r="HW41" i="1"/>
  <c r="LW51" i="1"/>
  <c r="LW50" i="1"/>
  <c r="LW49" i="1"/>
  <c r="NK46" i="1"/>
  <c r="NK47" i="1"/>
  <c r="NK48" i="1"/>
  <c r="QQ44" i="1"/>
  <c r="QQ45" i="1"/>
  <c r="QQ43" i="1"/>
  <c r="RS49" i="1"/>
  <c r="RS51" i="1"/>
  <c r="RS50" i="1"/>
  <c r="SQ49" i="1"/>
  <c r="SQ50" i="1"/>
  <c r="SQ51" i="1"/>
  <c r="WI49" i="1"/>
  <c r="WI50" i="1"/>
  <c r="WI51" i="1"/>
  <c r="XW42" i="1"/>
  <c r="XW40" i="1"/>
  <c r="XW36" i="1"/>
  <c r="XW41" i="1"/>
  <c r="ZW49" i="1"/>
  <c r="ZW50" i="1"/>
  <c r="ZW51" i="1"/>
  <c r="AAU50" i="1"/>
  <c r="AAU51" i="1"/>
  <c r="AAU49" i="1"/>
  <c r="ABC46" i="1"/>
  <c r="ABC48" i="1"/>
  <c r="ABC47" i="1"/>
  <c r="AAW46" i="1"/>
  <c r="AAW47" i="1"/>
  <c r="AAW48" i="1"/>
  <c r="AAG43" i="1"/>
  <c r="AAG45" i="1"/>
  <c r="AAG44" i="1"/>
  <c r="ZQ36" i="1"/>
  <c r="ZQ41" i="1"/>
  <c r="ZQ42" i="1"/>
  <c r="ZQ40" i="1"/>
  <c r="ZA49" i="1"/>
  <c r="ZA50" i="1"/>
  <c r="ZA51" i="1"/>
  <c r="YK46" i="1"/>
  <c r="YK47" i="1"/>
  <c r="YK48" i="1"/>
  <c r="XU43" i="1"/>
  <c r="XU45" i="1"/>
  <c r="XU44" i="1"/>
  <c r="XE36" i="1"/>
  <c r="XE41" i="1"/>
  <c r="XE42" i="1"/>
  <c r="XE40" i="1"/>
  <c r="WO49" i="1"/>
  <c r="WO50" i="1"/>
  <c r="WO51" i="1"/>
  <c r="VY46" i="1"/>
  <c r="VY47" i="1"/>
  <c r="VY48" i="1"/>
  <c r="VI43" i="1"/>
  <c r="VI45" i="1"/>
  <c r="VI44" i="1"/>
  <c r="US36" i="1"/>
  <c r="US41" i="1"/>
  <c r="US42" i="1"/>
  <c r="US40" i="1"/>
  <c r="UC49" i="1"/>
  <c r="UC50" i="1"/>
  <c r="UC51" i="1"/>
  <c r="TM46" i="1"/>
  <c r="TM47" i="1"/>
  <c r="TM48" i="1"/>
  <c r="SW43" i="1"/>
  <c r="SW45" i="1"/>
  <c r="SW44" i="1"/>
  <c r="SG36" i="1"/>
  <c r="SG41" i="1"/>
  <c r="SG42" i="1"/>
  <c r="SG40" i="1"/>
  <c r="RQ49" i="1"/>
  <c r="RQ50" i="1"/>
  <c r="RQ51" i="1"/>
  <c r="RA46" i="1"/>
  <c r="RA47" i="1"/>
  <c r="RA48" i="1"/>
  <c r="QK43" i="1"/>
  <c r="QK45" i="1"/>
  <c r="QK44" i="1"/>
  <c r="PU36" i="1"/>
  <c r="PU41" i="1"/>
  <c r="PU42" i="1"/>
  <c r="PU40" i="1"/>
  <c r="PE49" i="1"/>
  <c r="PE50" i="1"/>
  <c r="PE51" i="1"/>
  <c r="OO46" i="1"/>
  <c r="OO47" i="1"/>
  <c r="OO48" i="1"/>
  <c r="NY45" i="1"/>
  <c r="NY44" i="1"/>
  <c r="NY43" i="1"/>
  <c r="NI36" i="1"/>
  <c r="NI41" i="1"/>
  <c r="NI42" i="1"/>
  <c r="NI40" i="1"/>
  <c r="MS51" i="1"/>
  <c r="MS49" i="1"/>
  <c r="MS50" i="1"/>
  <c r="MC46" i="1"/>
  <c r="MC47" i="1"/>
  <c r="MC48" i="1"/>
  <c r="LM45" i="1"/>
  <c r="LM44" i="1"/>
  <c r="LM43" i="1"/>
  <c r="KW36" i="1"/>
  <c r="KW41" i="1"/>
  <c r="KW42" i="1"/>
  <c r="KW40" i="1"/>
  <c r="KG49" i="1"/>
  <c r="KG50" i="1"/>
  <c r="KG51" i="1"/>
  <c r="JQ46" i="1"/>
  <c r="JQ47" i="1"/>
  <c r="JQ48" i="1"/>
  <c r="JA43" i="1"/>
  <c r="JA45" i="1"/>
  <c r="JA44" i="1"/>
  <c r="IK36" i="1"/>
  <c r="IK42" i="1"/>
  <c r="IK41" i="1"/>
  <c r="IK40" i="1"/>
  <c r="HU49" i="1"/>
  <c r="HU50" i="1"/>
  <c r="HU51" i="1"/>
  <c r="HE46" i="1"/>
  <c r="HE47" i="1"/>
  <c r="HE48" i="1"/>
  <c r="GO43" i="1"/>
  <c r="GO44" i="1"/>
  <c r="GO45" i="1"/>
  <c r="FY36" i="1"/>
  <c r="FY41" i="1"/>
  <c r="FY42" i="1"/>
  <c r="FY40" i="1"/>
  <c r="FI49" i="1"/>
  <c r="FI50" i="1"/>
  <c r="FI51" i="1"/>
  <c r="ES46" i="1"/>
  <c r="ES47" i="1"/>
  <c r="ES48" i="1"/>
  <c r="EC43" i="1"/>
  <c r="EC44" i="1"/>
  <c r="EC45" i="1"/>
  <c r="J45" i="1"/>
  <c r="J44" i="1"/>
  <c r="J43" i="1"/>
  <c r="Z42" i="1"/>
  <c r="Z40" i="1"/>
  <c r="Z36" i="1"/>
  <c r="Z41" i="1"/>
  <c r="AP51" i="1"/>
  <c r="AP50" i="1"/>
  <c r="AP49" i="1"/>
  <c r="BF46" i="1"/>
  <c r="BF48" i="1"/>
  <c r="BF47" i="1"/>
  <c r="BV44" i="1"/>
  <c r="BV43" i="1"/>
  <c r="BV45" i="1"/>
  <c r="CL42" i="1"/>
  <c r="CL40" i="1"/>
  <c r="CL36" i="1"/>
  <c r="CL41" i="1"/>
  <c r="DB50" i="1"/>
  <c r="DB49" i="1"/>
  <c r="DB51" i="1"/>
  <c r="ED46" i="1"/>
  <c r="ED48" i="1"/>
  <c r="ED47" i="1"/>
  <c r="GP45" i="1"/>
  <c r="GP43" i="1"/>
  <c r="GP44" i="1"/>
  <c r="JB42" i="1"/>
  <c r="JB40" i="1"/>
  <c r="JB36" i="1"/>
  <c r="JB41" i="1"/>
  <c r="NZ46" i="1"/>
  <c r="NZ48" i="1"/>
  <c r="NZ47" i="1"/>
  <c r="QL45" i="1"/>
  <c r="QL44" i="1"/>
  <c r="QL43" i="1"/>
  <c r="SX42" i="1"/>
  <c r="SX40" i="1"/>
  <c r="SX36" i="1"/>
  <c r="SX41" i="1"/>
  <c r="XV46" i="1"/>
  <c r="XV48" i="1"/>
  <c r="XV47" i="1"/>
  <c r="AAH45" i="1"/>
  <c r="AAH43" i="1"/>
  <c r="AAH44" i="1"/>
  <c r="EP42" i="1"/>
  <c r="EP40" i="1"/>
  <c r="EP36" i="1"/>
  <c r="EP41" i="1"/>
  <c r="JN46" i="1"/>
  <c r="JN48" i="1"/>
  <c r="JN47" i="1"/>
  <c r="LZ45" i="1"/>
  <c r="LZ44" i="1"/>
  <c r="LZ43" i="1"/>
  <c r="OL42" i="1"/>
  <c r="OL40" i="1"/>
  <c r="OL36" i="1"/>
  <c r="OL41" i="1"/>
  <c r="TJ46" i="1"/>
  <c r="TJ48" i="1"/>
  <c r="TJ47" i="1"/>
  <c r="VV45" i="1"/>
  <c r="VV43" i="1"/>
  <c r="VV44" i="1"/>
  <c r="YH42" i="1"/>
  <c r="YH40" i="1"/>
  <c r="YH36" i="1"/>
  <c r="YH41" i="1"/>
  <c r="KA36" i="1"/>
  <c r="PS36" i="1"/>
  <c r="G48" i="1"/>
  <c r="G46" i="1"/>
  <c r="G47" i="1"/>
  <c r="AI44" i="1"/>
  <c r="AI43" i="1"/>
  <c r="AI45" i="1"/>
  <c r="BO32" i="1"/>
  <c r="CQ35" i="1"/>
  <c r="IA44" i="1"/>
  <c r="IA43" i="1"/>
  <c r="IA45" i="1"/>
  <c r="JW42" i="1"/>
  <c r="JW40" i="1"/>
  <c r="JW36" i="1"/>
  <c r="JW41" i="1"/>
  <c r="QM49" i="1"/>
  <c r="QM50" i="1"/>
  <c r="QM51" i="1"/>
  <c r="RW46" i="1"/>
  <c r="RW48" i="1"/>
  <c r="RW47" i="1"/>
  <c r="VO44" i="1"/>
  <c r="VO45" i="1"/>
  <c r="VO43" i="1"/>
  <c r="YA46" i="1"/>
  <c r="YA48" i="1"/>
  <c r="YA47" i="1"/>
  <c r="HC42" i="1"/>
  <c r="HC40" i="1"/>
  <c r="HC36" i="1"/>
  <c r="HC41" i="1"/>
  <c r="IU46" i="1"/>
  <c r="IU48" i="1"/>
  <c r="IU47" i="1"/>
  <c r="AM34" i="1"/>
  <c r="BS44" i="1"/>
  <c r="BS43" i="1"/>
  <c r="BS45" i="1"/>
  <c r="DC42" i="1"/>
  <c r="DC40" i="1"/>
  <c r="DC36" i="1"/>
  <c r="DC41" i="1"/>
  <c r="DS42" i="1"/>
  <c r="DS40" i="1"/>
  <c r="DS36" i="1"/>
  <c r="DT32" i="1"/>
  <c r="DS41" i="1"/>
  <c r="GA46" i="1"/>
  <c r="GA47" i="1"/>
  <c r="GA48" i="1"/>
  <c r="IM44" i="1"/>
  <c r="IM45" i="1"/>
  <c r="IM43" i="1"/>
  <c r="LO42" i="1"/>
  <c r="LO40" i="1"/>
  <c r="LO36" i="1"/>
  <c r="LO41" i="1"/>
  <c r="QY50" i="1"/>
  <c r="QY51" i="1"/>
  <c r="QY49" i="1"/>
  <c r="RG46" i="1"/>
  <c r="RG48" i="1"/>
  <c r="RG47" i="1"/>
  <c r="SI46" i="1"/>
  <c r="SI47" i="1"/>
  <c r="SI48" i="1"/>
  <c r="WA42" i="1"/>
  <c r="WA40" i="1"/>
  <c r="WA36" i="1"/>
  <c r="WA41" i="1"/>
  <c r="YM44" i="1"/>
  <c r="YM45" i="1"/>
  <c r="YM43" i="1"/>
  <c r="AAM42" i="1"/>
  <c r="AAM40" i="1"/>
  <c r="AAM36" i="1"/>
  <c r="AAM41" i="1"/>
  <c r="ABI36" i="1"/>
  <c r="ABI42" i="1"/>
  <c r="ABI41" i="1"/>
  <c r="ABI40" i="1"/>
  <c r="AAS49" i="1"/>
  <c r="AAS50" i="1"/>
  <c r="AAS51" i="1"/>
  <c r="AAC47" i="1"/>
  <c r="AAC46" i="1"/>
  <c r="AAC48" i="1"/>
  <c r="ZM45" i="1"/>
  <c r="ZM44" i="1"/>
  <c r="ZM43" i="1"/>
  <c r="YW36" i="1"/>
  <c r="YW42" i="1"/>
  <c r="YW41" i="1"/>
  <c r="YW40" i="1"/>
  <c r="YG49" i="1"/>
  <c r="YG50" i="1"/>
  <c r="YG51" i="1"/>
  <c r="XQ47" i="1"/>
  <c r="XQ46" i="1"/>
  <c r="XQ48" i="1"/>
  <c r="XA45" i="1"/>
  <c r="XA43" i="1"/>
  <c r="XA44" i="1"/>
  <c r="WK36" i="1"/>
  <c r="WK42" i="1"/>
  <c r="WK41" i="1"/>
  <c r="WK40" i="1"/>
  <c r="VU49" i="1"/>
  <c r="VU51" i="1"/>
  <c r="VU50" i="1"/>
  <c r="VE47" i="1"/>
  <c r="VE46" i="1"/>
  <c r="VE48" i="1"/>
  <c r="UO45" i="1"/>
  <c r="UO44" i="1"/>
  <c r="UO43" i="1"/>
  <c r="TY36" i="1"/>
  <c r="TY42" i="1"/>
  <c r="TY41" i="1"/>
  <c r="TY40" i="1"/>
  <c r="TI49" i="1"/>
  <c r="TI50" i="1"/>
  <c r="TI51" i="1"/>
  <c r="SS47" i="1"/>
  <c r="SS46" i="1"/>
  <c r="SS48" i="1"/>
  <c r="SC45" i="1"/>
  <c r="SC43" i="1"/>
  <c r="SC44" i="1"/>
  <c r="SC36" i="1"/>
  <c r="SC42" i="1"/>
  <c r="SC40" i="1"/>
  <c r="SC41" i="1"/>
  <c r="QW51" i="1"/>
  <c r="QW49" i="1"/>
  <c r="QW50" i="1"/>
  <c r="QG47" i="1"/>
  <c r="QG46" i="1"/>
  <c r="QG48" i="1"/>
  <c r="PQ45" i="1"/>
  <c r="PQ43" i="1"/>
  <c r="PQ44" i="1"/>
  <c r="PQ36" i="1"/>
  <c r="PQ42" i="1"/>
  <c r="PQ40" i="1"/>
  <c r="PQ41" i="1"/>
  <c r="OK51" i="1"/>
  <c r="OK49" i="1"/>
  <c r="OK50" i="1"/>
  <c r="NU47" i="1"/>
  <c r="NU46" i="1"/>
  <c r="NU48" i="1"/>
  <c r="NE45" i="1"/>
  <c r="NE44" i="1"/>
  <c r="NE43" i="1"/>
  <c r="NE36" i="1"/>
  <c r="NE42" i="1"/>
  <c r="NE40" i="1"/>
  <c r="NE41" i="1"/>
  <c r="LY49" i="1"/>
  <c r="LY51" i="1"/>
  <c r="LY50" i="1"/>
  <c r="LI47" i="1"/>
  <c r="LI46" i="1"/>
  <c r="LI48" i="1"/>
  <c r="KS43" i="1"/>
  <c r="KS45" i="1"/>
  <c r="KS44" i="1"/>
  <c r="KS36" i="1"/>
  <c r="KS42" i="1"/>
  <c r="KS40" i="1"/>
  <c r="KS41" i="1"/>
  <c r="JM50" i="1"/>
  <c r="JM49" i="1"/>
  <c r="JM51" i="1"/>
  <c r="IW47" i="1"/>
  <c r="IW46" i="1"/>
  <c r="IW48" i="1"/>
  <c r="IG45" i="1"/>
  <c r="IG43" i="1"/>
  <c r="IG44" i="1"/>
  <c r="IG36" i="1"/>
  <c r="IG42" i="1"/>
  <c r="IG40" i="1"/>
  <c r="IG41" i="1"/>
  <c r="HA50" i="1"/>
  <c r="HA49" i="1"/>
  <c r="HA51" i="1"/>
  <c r="GK47" i="1"/>
  <c r="GK46" i="1"/>
  <c r="GK48" i="1"/>
  <c r="FU45" i="1"/>
  <c r="FU43" i="1"/>
  <c r="FU44" i="1"/>
  <c r="FU36" i="1"/>
  <c r="FU41" i="1"/>
  <c r="FU42" i="1"/>
  <c r="FU40" i="1"/>
  <c r="EO50" i="1"/>
  <c r="EO49" i="1"/>
  <c r="EO51" i="1"/>
  <c r="DY47" i="1"/>
  <c r="DY46" i="1"/>
  <c r="DY48" i="1"/>
  <c r="FN50" i="1"/>
  <c r="FN49" i="1"/>
  <c r="FN51" i="1"/>
  <c r="HZ50" i="1"/>
  <c r="HZ49" i="1"/>
  <c r="HZ51" i="1"/>
  <c r="KL50" i="1"/>
  <c r="KL49" i="1"/>
  <c r="KL51" i="1"/>
  <c r="MX50" i="1"/>
  <c r="MX51" i="1"/>
  <c r="MX49" i="1"/>
  <c r="PJ50" i="1"/>
  <c r="PJ51" i="1"/>
  <c r="PJ49" i="1"/>
  <c r="RV50" i="1"/>
  <c r="RV51" i="1"/>
  <c r="RV49" i="1"/>
  <c r="UH50" i="1"/>
  <c r="UH51" i="1"/>
  <c r="UH49" i="1"/>
  <c r="WT51" i="1"/>
  <c r="WT49" i="1"/>
  <c r="WT50" i="1"/>
  <c r="ZF51" i="1"/>
  <c r="ZF50" i="1"/>
  <c r="ZF49" i="1"/>
  <c r="N48" i="1"/>
  <c r="N46" i="1"/>
  <c r="N47" i="1"/>
  <c r="AD45" i="1"/>
  <c r="AD43" i="1"/>
  <c r="AD44" i="1"/>
  <c r="AT42" i="1"/>
  <c r="AT40" i="1"/>
  <c r="AT36" i="1"/>
  <c r="AT41" i="1"/>
  <c r="BJ51" i="1"/>
  <c r="BJ49" i="1"/>
  <c r="BJ50" i="1"/>
  <c r="BZ48" i="1"/>
  <c r="BZ46" i="1"/>
  <c r="BZ47" i="1"/>
  <c r="CP45" i="1"/>
  <c r="CP43" i="1"/>
  <c r="CP44" i="1"/>
  <c r="DF42" i="1"/>
  <c r="DF40" i="1"/>
  <c r="DF41" i="1"/>
  <c r="HF46" i="1"/>
  <c r="HF48" i="1"/>
  <c r="HF47" i="1"/>
  <c r="JR43" i="1"/>
  <c r="JR45" i="1"/>
  <c r="JR44" i="1"/>
  <c r="MD42" i="1"/>
  <c r="MD40" i="1"/>
  <c r="MD36" i="1"/>
  <c r="MD41" i="1"/>
  <c r="RB46" i="1"/>
  <c r="RB48" i="1"/>
  <c r="RB47" i="1"/>
  <c r="TN45" i="1"/>
  <c r="TN43" i="1"/>
  <c r="TN44" i="1"/>
  <c r="VZ42" i="1"/>
  <c r="VZ40" i="1"/>
  <c r="VZ36" i="1"/>
  <c r="VZ41" i="1"/>
  <c r="AAX46" i="1"/>
  <c r="AAX48" i="1"/>
  <c r="AAX47" i="1"/>
  <c r="FF43" i="1"/>
  <c r="FF45" i="1"/>
  <c r="FF44" i="1"/>
  <c r="HR42" i="1"/>
  <c r="HR40" i="1"/>
  <c r="HR36" i="1"/>
  <c r="HR41" i="1"/>
  <c r="MP46" i="1"/>
  <c r="MP48" i="1"/>
  <c r="MP47" i="1"/>
  <c r="PB43" i="1"/>
  <c r="PB45" i="1"/>
  <c r="PB44" i="1"/>
  <c r="RN42" i="1"/>
  <c r="RN40" i="1"/>
  <c r="RN36" i="1"/>
  <c r="RN41" i="1"/>
  <c r="WL46" i="1"/>
  <c r="WL48" i="1"/>
  <c r="WL47" i="1"/>
  <c r="YX43" i="1"/>
  <c r="YX45" i="1"/>
  <c r="YX44" i="1"/>
  <c r="AAA44" i="1"/>
  <c r="AAA43" i="1"/>
  <c r="AAA45" i="1"/>
  <c r="LK42" i="1"/>
  <c r="LK40" i="1"/>
  <c r="LK36" i="1"/>
  <c r="LK41" i="1"/>
  <c r="AE51" i="1"/>
  <c r="AE50" i="1"/>
  <c r="AF35" i="1"/>
  <c r="AE49" i="1"/>
  <c r="BK46" i="1"/>
  <c r="BK48" i="1"/>
  <c r="BK47" i="1"/>
  <c r="CU44" i="1"/>
  <c r="CU43" i="1"/>
  <c r="CU45" i="1"/>
  <c r="EI44" i="1"/>
  <c r="EI43" i="1"/>
  <c r="EI45" i="1"/>
  <c r="GQ44" i="1"/>
  <c r="GQ43" i="1"/>
  <c r="GQ45" i="1"/>
  <c r="IQ42" i="1"/>
  <c r="IQ40" i="1"/>
  <c r="IQ36" i="1"/>
  <c r="IQ41" i="1"/>
  <c r="JS46" i="1"/>
  <c r="JS47" i="1"/>
  <c r="JS48" i="1"/>
  <c r="ME44" i="1"/>
  <c r="ME45" i="1"/>
  <c r="ME43" i="1"/>
  <c r="PC50" i="1"/>
  <c r="PC49" i="1"/>
  <c r="PC51" i="1"/>
  <c r="PK46" i="1"/>
  <c r="PK48" i="1"/>
  <c r="PK47" i="1"/>
  <c r="SU50" i="1"/>
  <c r="SU49" i="1"/>
  <c r="SU51" i="1"/>
  <c r="TC46" i="1"/>
  <c r="TC48" i="1"/>
  <c r="TC47" i="1"/>
  <c r="UE42" i="1"/>
  <c r="UE40" i="1"/>
  <c r="UE36" i="1"/>
  <c r="UE41" i="1"/>
  <c r="YQ42" i="1"/>
  <c r="YQ40" i="1"/>
  <c r="YQ36" i="1"/>
  <c r="YQ41" i="1"/>
  <c r="LB36" i="1"/>
  <c r="AA51" i="1"/>
  <c r="AA50" i="1"/>
  <c r="AA49" i="1"/>
  <c r="BG46" i="1"/>
  <c r="BG48" i="1"/>
  <c r="BH34" i="1"/>
  <c r="BG47" i="1"/>
  <c r="CI44" i="1"/>
  <c r="CJ33" i="1"/>
  <c r="CI45" i="1"/>
  <c r="CI43" i="1"/>
  <c r="DO42" i="1"/>
  <c r="DO40" i="1"/>
  <c r="DO36" i="1"/>
  <c r="DO41" i="1"/>
  <c r="GE42" i="1"/>
  <c r="GE40" i="1"/>
  <c r="GE36" i="1"/>
  <c r="GE41" i="1"/>
  <c r="KM46" i="1"/>
  <c r="KM48" i="1"/>
  <c r="KM47" i="1"/>
  <c r="MY44" i="1"/>
  <c r="MY45" i="1"/>
  <c r="MY43" i="1"/>
  <c r="SM46" i="1"/>
  <c r="SM48" i="1"/>
  <c r="SM47" i="1"/>
  <c r="TG49" i="1"/>
  <c r="TG50" i="1"/>
  <c r="TG51" i="1"/>
  <c r="WE44" i="1"/>
  <c r="WE45" i="1"/>
  <c r="WE43" i="1"/>
  <c r="ZC46" i="1"/>
  <c r="ZC47" i="1"/>
  <c r="ZC48" i="1"/>
  <c r="FW44" i="1"/>
  <c r="FW43" i="1"/>
  <c r="FW45" i="1"/>
  <c r="FX33" i="1"/>
  <c r="SE44" i="1"/>
  <c r="SE43" i="1"/>
  <c r="SE45" i="1"/>
  <c r="QE44" i="1"/>
  <c r="QE43" i="1"/>
  <c r="QE45" i="1"/>
  <c r="XO44" i="1"/>
  <c r="XO43" i="1"/>
  <c r="XO45" i="1"/>
  <c r="EN51" i="1"/>
  <c r="EN49" i="1"/>
  <c r="EN50" i="1"/>
  <c r="KU44" i="1"/>
  <c r="KU43" i="1"/>
  <c r="KU45" i="1"/>
  <c r="NS46" i="1"/>
  <c r="NS48" i="1"/>
  <c r="NS47" i="1"/>
  <c r="HS42" i="1"/>
  <c r="HS40" i="1"/>
  <c r="HS36" i="1"/>
  <c r="HS41" i="1"/>
  <c r="VG42" i="1"/>
  <c r="VG36" i="1"/>
  <c r="VG40" i="1"/>
  <c r="VG41" i="1"/>
  <c r="AAO47" i="1"/>
  <c r="AAO48" i="1"/>
  <c r="AAO46" i="1"/>
  <c r="ZY45" i="1"/>
  <c r="ZY44" i="1"/>
  <c r="ZY43" i="1"/>
  <c r="ZI51" i="1"/>
  <c r="ZI50" i="1"/>
  <c r="ZI49" i="1"/>
  <c r="YC47" i="1"/>
  <c r="YC48" i="1"/>
  <c r="YC46" i="1"/>
  <c r="XM45" i="1"/>
  <c r="XM44" i="1"/>
  <c r="XM43" i="1"/>
  <c r="WW51" i="1"/>
  <c r="WW50" i="1"/>
  <c r="WW49" i="1"/>
  <c r="VQ47" i="1"/>
  <c r="VQ48" i="1"/>
  <c r="VQ46" i="1"/>
  <c r="VA45" i="1"/>
  <c r="VA44" i="1"/>
  <c r="VA43" i="1"/>
  <c r="UK51" i="1"/>
  <c r="UK49" i="1"/>
  <c r="UK50" i="1"/>
  <c r="TE47" i="1"/>
  <c r="TE48" i="1"/>
  <c r="TE46" i="1"/>
  <c r="SO45" i="1"/>
  <c r="SO44" i="1"/>
  <c r="SO43" i="1"/>
  <c r="SO36" i="1"/>
  <c r="SO40" i="1"/>
  <c r="SO41" i="1"/>
  <c r="SO42" i="1"/>
  <c r="RY49" i="1"/>
  <c r="RY51" i="1"/>
  <c r="RY50" i="1"/>
  <c r="QS47" i="1"/>
  <c r="QS48" i="1"/>
  <c r="QS46" i="1"/>
  <c r="QC45" i="1"/>
  <c r="QC43" i="1"/>
  <c r="QC44" i="1"/>
  <c r="QC36" i="1"/>
  <c r="QC40" i="1"/>
  <c r="QC41" i="1"/>
  <c r="QC42" i="1"/>
  <c r="PM49" i="1"/>
  <c r="PM50" i="1"/>
  <c r="PM51" i="1"/>
  <c r="OG47" i="1"/>
  <c r="OG48" i="1"/>
  <c r="OG46" i="1"/>
  <c r="NQ45" i="1"/>
  <c r="NQ44" i="1"/>
  <c r="NQ43" i="1"/>
  <c r="NQ36" i="1"/>
  <c r="NQ40" i="1"/>
  <c r="NQ41" i="1"/>
  <c r="NQ42" i="1"/>
  <c r="NA49" i="1"/>
  <c r="NA50" i="1"/>
  <c r="NA51" i="1"/>
  <c r="LU47" i="1"/>
  <c r="LU48" i="1"/>
  <c r="LU46" i="1"/>
  <c r="LE45" i="1"/>
  <c r="LE43" i="1"/>
  <c r="LE44" i="1"/>
  <c r="LE36" i="1"/>
  <c r="LE40" i="1"/>
  <c r="LE41" i="1"/>
  <c r="LE42" i="1"/>
  <c r="KO49" i="1"/>
  <c r="KO51" i="1"/>
  <c r="KO50" i="1"/>
  <c r="JI47" i="1"/>
  <c r="JI48" i="1"/>
  <c r="JI46" i="1"/>
  <c r="IS45" i="1"/>
  <c r="IS44" i="1"/>
  <c r="IS43" i="1"/>
  <c r="IS36" i="1"/>
  <c r="IS40" i="1"/>
  <c r="IS41" i="1"/>
  <c r="IS42" i="1"/>
  <c r="IC49" i="1"/>
  <c r="IC51" i="1"/>
  <c r="IC50" i="1"/>
  <c r="GW47" i="1"/>
  <c r="GW48" i="1"/>
  <c r="GW46" i="1"/>
  <c r="GG44" i="1"/>
  <c r="GG45" i="1"/>
  <c r="GG43" i="1"/>
  <c r="GG36" i="1"/>
  <c r="GG41" i="1"/>
  <c r="GG40" i="1"/>
  <c r="GG42" i="1"/>
  <c r="EK47" i="1"/>
  <c r="EK48" i="1"/>
  <c r="EK46" i="1"/>
  <c r="DU44" i="1"/>
  <c r="DU45" i="1"/>
  <c r="DU43" i="1"/>
  <c r="DU36" i="1"/>
  <c r="DU41" i="1"/>
  <c r="DU40" i="1"/>
  <c r="DU42" i="1"/>
  <c r="GH49" i="1"/>
  <c r="GH50" i="1"/>
  <c r="GH51" i="1"/>
  <c r="IT49" i="1"/>
  <c r="IT50" i="1"/>
  <c r="IT51" i="1"/>
  <c r="LF49" i="1"/>
  <c r="LF51" i="1"/>
  <c r="LF50" i="1"/>
  <c r="NR51" i="1"/>
  <c r="NR49" i="1"/>
  <c r="NR50" i="1"/>
  <c r="QD51" i="1"/>
  <c r="QD49" i="1"/>
  <c r="QD50" i="1"/>
  <c r="SP49" i="1"/>
  <c r="SP50" i="1"/>
  <c r="SP51" i="1"/>
  <c r="VB49" i="1"/>
  <c r="VB51" i="1"/>
  <c r="VB50" i="1"/>
  <c r="XN50" i="1"/>
  <c r="XN49" i="1"/>
  <c r="XN51" i="1"/>
  <c r="ZZ49" i="1"/>
  <c r="ZZ50" i="1"/>
  <c r="ZZ51" i="1"/>
  <c r="R45" i="1"/>
  <c r="R44" i="1"/>
  <c r="R43" i="1"/>
  <c r="AH42" i="1"/>
  <c r="AH40" i="1"/>
  <c r="AH36" i="1"/>
  <c r="AH41" i="1"/>
  <c r="AX51" i="1"/>
  <c r="AX50" i="1"/>
  <c r="AX49" i="1"/>
  <c r="BN46" i="1"/>
  <c r="BN48" i="1"/>
  <c r="BN47" i="1"/>
  <c r="CD45" i="1"/>
  <c r="CD44" i="1"/>
  <c r="CD43" i="1"/>
  <c r="CT42" i="1"/>
  <c r="CT40" i="1"/>
  <c r="CT36" i="1"/>
  <c r="CT41" i="1"/>
  <c r="DJ50" i="1"/>
  <c r="DJ49" i="1"/>
  <c r="DJ51" i="1"/>
  <c r="FJ34" i="1"/>
  <c r="HV45" i="1"/>
  <c r="HV43" i="1"/>
  <c r="HV44" i="1"/>
  <c r="KH42" i="1"/>
  <c r="KH40" i="1"/>
  <c r="KH36" i="1"/>
  <c r="KH41" i="1"/>
  <c r="PF46" i="1"/>
  <c r="PF48" i="1"/>
  <c r="PF47" i="1"/>
  <c r="RR45" i="1"/>
  <c r="RR43" i="1"/>
  <c r="RR44" i="1"/>
  <c r="UD42" i="1"/>
  <c r="UD40" i="1"/>
  <c r="UD36" i="1"/>
  <c r="UD41" i="1"/>
  <c r="ZB46" i="1"/>
  <c r="ZB48" i="1"/>
  <c r="ZB47" i="1"/>
  <c r="FV45" i="1"/>
  <c r="FV43" i="1"/>
  <c r="FV44" i="1"/>
  <c r="IH42" i="1"/>
  <c r="IH40" i="1"/>
  <c r="IH36" i="1"/>
  <c r="IH41" i="1"/>
  <c r="NF46" i="1"/>
  <c r="NF48" i="1"/>
  <c r="NF47" i="1"/>
  <c r="PR43" i="1"/>
  <c r="PR45" i="1"/>
  <c r="PR44" i="1"/>
  <c r="SD42" i="1"/>
  <c r="SD40" i="1"/>
  <c r="SD36" i="1"/>
  <c r="SD41" i="1"/>
  <c r="UP46" i="1"/>
  <c r="UP48" i="1"/>
  <c r="UP47" i="1"/>
  <c r="ZN45" i="1"/>
  <c r="ZN43" i="1"/>
  <c r="ZN44" i="1"/>
  <c r="TW44" i="1"/>
  <c r="TW43" i="1"/>
  <c r="TW45" i="1"/>
  <c r="S51" i="1"/>
  <c r="S49" i="1"/>
  <c r="S50" i="1"/>
  <c r="DG42" i="1"/>
  <c r="DG40" i="1"/>
  <c r="DG36" i="1"/>
  <c r="DG41" i="1"/>
  <c r="GU46" i="1"/>
  <c r="GU48" i="1"/>
  <c r="GU47" i="1"/>
  <c r="LC46" i="1"/>
  <c r="LC48" i="1"/>
  <c r="LC47" i="1"/>
  <c r="OE46" i="1"/>
  <c r="OE48" i="1"/>
  <c r="OE47" i="1"/>
  <c r="OM44" i="1"/>
  <c r="OM43" i="1"/>
  <c r="OM45" i="1"/>
  <c r="UQ44" i="1"/>
  <c r="UQ43" i="1"/>
  <c r="UQ45" i="1"/>
  <c r="EN47" i="1"/>
  <c r="EN48" i="1"/>
  <c r="EN46" i="1"/>
  <c r="DW42" i="1"/>
  <c r="DW40" i="1"/>
  <c r="DW36" i="1"/>
  <c r="DW41" i="1"/>
  <c r="GM44" i="1"/>
  <c r="GM43" i="1"/>
  <c r="GM45" i="1"/>
  <c r="RO44" i="1"/>
  <c r="RO43" i="1"/>
  <c r="RO45" i="1"/>
  <c r="BC51" i="1"/>
  <c r="BC49" i="1"/>
  <c r="BC50" i="1"/>
  <c r="CM46" i="1"/>
  <c r="CM48" i="1"/>
  <c r="CM47" i="1"/>
  <c r="HG42" i="1"/>
  <c r="HG40" i="1"/>
  <c r="HG36" i="1"/>
  <c r="HG41" i="1"/>
  <c r="LG51" i="1"/>
  <c r="LG49" i="1"/>
  <c r="LG50" i="1"/>
  <c r="UU49" i="1"/>
  <c r="UU50" i="1"/>
  <c r="UU51" i="1"/>
  <c r="XK49" i="1"/>
  <c r="XK51" i="1"/>
  <c r="XK50" i="1"/>
  <c r="ZS50" i="1"/>
  <c r="ZS49" i="1"/>
  <c r="ZS51" i="1"/>
  <c r="AAK36" i="1"/>
  <c r="AAK40" i="1"/>
  <c r="AAK41" i="1"/>
  <c r="AAK42" i="1"/>
  <c r="YO43" i="1"/>
  <c r="YO44" i="1"/>
  <c r="YO45" i="1"/>
  <c r="XY36" i="1"/>
  <c r="XY41" i="1"/>
  <c r="XY40" i="1"/>
  <c r="XY42" i="1"/>
  <c r="WC43" i="1"/>
  <c r="WC44" i="1"/>
  <c r="WC45" i="1"/>
  <c r="UW51" i="1"/>
  <c r="UW50" i="1"/>
  <c r="UW49" i="1"/>
  <c r="TQ36" i="1"/>
  <c r="TQ41" i="1"/>
  <c r="TQ40" i="1"/>
  <c r="TQ42" i="1"/>
  <c r="QO51" i="1"/>
  <c r="QO50" i="1"/>
  <c r="QO49" i="1"/>
  <c r="OS36" i="1"/>
  <c r="OS40" i="1"/>
  <c r="OS41" i="1"/>
  <c r="OS42" i="1"/>
  <c r="LQ50" i="1"/>
  <c r="LQ51" i="1"/>
  <c r="LQ49" i="1"/>
  <c r="JU36" i="1"/>
  <c r="JU41" i="1"/>
  <c r="JU40" i="1"/>
  <c r="JU42" i="1"/>
  <c r="HI45" i="1"/>
  <c r="HI44" i="1"/>
  <c r="HI43" i="1"/>
  <c r="GC47" i="1"/>
  <c r="GC46" i="1"/>
  <c r="GC48" i="1"/>
  <c r="GD34" i="1"/>
  <c r="EW36" i="1"/>
  <c r="EW41" i="1"/>
  <c r="EW40" i="1"/>
  <c r="EW42" i="1"/>
  <c r="BB42" i="1"/>
  <c r="BB40" i="1"/>
  <c r="BB36" i="1"/>
  <c r="BB41" i="1"/>
  <c r="BR51" i="1"/>
  <c r="BR49" i="1"/>
  <c r="BR50" i="1"/>
  <c r="DN42" i="1"/>
  <c r="DN40" i="1"/>
  <c r="DN36" i="1"/>
  <c r="DN41" i="1"/>
  <c r="IL46" i="1"/>
  <c r="IL48" i="1"/>
  <c r="IL47" i="1"/>
  <c r="PV49" i="1"/>
  <c r="PV50" i="1"/>
  <c r="PV51" i="1"/>
  <c r="XF42" i="1"/>
  <c r="XF40" i="1"/>
  <c r="XF36" i="1"/>
  <c r="XF41" i="1"/>
  <c r="GL43" i="1"/>
  <c r="GL45" i="1"/>
  <c r="GL44" i="1"/>
  <c r="LJ49" i="1"/>
  <c r="LJ51" i="1"/>
  <c r="LJ50" i="1"/>
  <c r="ST42" i="1"/>
  <c r="ST40" i="1"/>
  <c r="ST36" i="1"/>
  <c r="ST41" i="1"/>
  <c r="XR43" i="1"/>
  <c r="XR45" i="1"/>
  <c r="XR44" i="1"/>
  <c r="AQ44" i="1"/>
  <c r="AQ43" i="1"/>
  <c r="AQ45" i="1"/>
  <c r="TO46" i="1"/>
  <c r="TO47" i="1"/>
  <c r="TO48" i="1"/>
  <c r="XG50" i="1"/>
  <c r="XG49" i="1"/>
  <c r="XG51" i="1"/>
  <c r="II51" i="1"/>
  <c r="II50" i="1"/>
  <c r="II49" i="1"/>
  <c r="NG46" i="1"/>
  <c r="NG48" i="1"/>
  <c r="NG47" i="1"/>
  <c r="YU49" i="1"/>
  <c r="YU50" i="1"/>
  <c r="YU51" i="1"/>
  <c r="XS44" i="1"/>
  <c r="XS43" i="1"/>
  <c r="XS45" i="1"/>
  <c r="K46" i="1"/>
  <c r="K48" i="1"/>
  <c r="K47" i="1"/>
  <c r="L34" i="1"/>
  <c r="AU44" i="1"/>
  <c r="AU43" i="1"/>
  <c r="AU45" i="1"/>
  <c r="DK51" i="1"/>
  <c r="DL35" i="1"/>
  <c r="DK49" i="1"/>
  <c r="DK50" i="1"/>
  <c r="GI51" i="1"/>
  <c r="GI49" i="1"/>
  <c r="GI50" i="1"/>
  <c r="KY44" i="1"/>
  <c r="KY45" i="1"/>
  <c r="KY43" i="1"/>
  <c r="QQ49" i="1"/>
  <c r="QQ50" i="1"/>
  <c r="QQ51" i="1"/>
  <c r="RS44" i="1"/>
  <c r="RS45" i="1"/>
  <c r="RS43" i="1"/>
  <c r="VK44" i="1"/>
  <c r="VK45" i="1"/>
  <c r="VK43" i="1"/>
  <c r="XW46" i="1"/>
  <c r="XW47" i="1"/>
  <c r="XW48" i="1"/>
  <c r="ZW44" i="1"/>
  <c r="ZW45" i="1"/>
  <c r="ZW43" i="1"/>
  <c r="ZQ46" i="1"/>
  <c r="ZQ47" i="1"/>
  <c r="ZQ48" i="1"/>
  <c r="XE46" i="1"/>
  <c r="XE47" i="1"/>
  <c r="XE48" i="1"/>
  <c r="US46" i="1"/>
  <c r="US47" i="1"/>
  <c r="US48" i="1"/>
  <c r="SG46" i="1"/>
  <c r="SG47" i="1"/>
  <c r="SG48" i="1"/>
  <c r="PU46" i="1"/>
  <c r="PU47" i="1"/>
  <c r="PU48" i="1"/>
  <c r="NI46" i="1"/>
  <c r="NI47" i="1"/>
  <c r="NI48" i="1"/>
  <c r="MC36" i="1"/>
  <c r="MC42" i="1"/>
  <c r="MC40" i="1"/>
  <c r="MC41" i="1"/>
  <c r="KW46" i="1"/>
  <c r="KW47" i="1"/>
  <c r="KW48" i="1"/>
  <c r="JQ36" i="1"/>
  <c r="JQ42" i="1"/>
  <c r="JQ40" i="1"/>
  <c r="JQ41" i="1"/>
  <c r="HU43" i="1"/>
  <c r="HU45" i="1"/>
  <c r="HU44" i="1"/>
  <c r="HE36" i="1"/>
  <c r="HE41" i="1"/>
  <c r="HE42" i="1"/>
  <c r="HE40" i="1"/>
  <c r="J51" i="1"/>
  <c r="J50" i="1"/>
  <c r="J49" i="1"/>
  <c r="BF40" i="1"/>
  <c r="BF42" i="1"/>
  <c r="BF36" i="1"/>
  <c r="BF41" i="1"/>
  <c r="DB44" i="1"/>
  <c r="DB43" i="1"/>
  <c r="DB45" i="1"/>
  <c r="LN45" i="1"/>
  <c r="LN44" i="1"/>
  <c r="LN43" i="1"/>
  <c r="XV42" i="1"/>
  <c r="XV40" i="1"/>
  <c r="XV36" i="1"/>
  <c r="XV41" i="1"/>
  <c r="EP46" i="1"/>
  <c r="EP48" i="1"/>
  <c r="EP47" i="1"/>
  <c r="JN42" i="1"/>
  <c r="JN40" i="1"/>
  <c r="JN36" i="1"/>
  <c r="JN41" i="1"/>
  <c r="OL46" i="1"/>
  <c r="OL48" i="1"/>
  <c r="OL47" i="1"/>
  <c r="YH46" i="1"/>
  <c r="YH48" i="1"/>
  <c r="YH47" i="1"/>
  <c r="AI51" i="1"/>
  <c r="AI49" i="1"/>
  <c r="AI50" i="1"/>
  <c r="BO46" i="1"/>
  <c r="BO48" i="1"/>
  <c r="BO47" i="1"/>
  <c r="BP34" i="1"/>
  <c r="JW46" i="1"/>
  <c r="JW48" i="1"/>
  <c r="JW47" i="1"/>
  <c r="QM44" i="1"/>
  <c r="QM45" i="1"/>
  <c r="QM43" i="1"/>
  <c r="VO49" i="1"/>
  <c r="VO50" i="1"/>
  <c r="VO51" i="1"/>
  <c r="MA44" i="1"/>
  <c r="MA43" i="1"/>
  <c r="MA45" i="1"/>
  <c r="FC51" i="1"/>
  <c r="FC49" i="1"/>
  <c r="FC50" i="1"/>
  <c r="IU42" i="1"/>
  <c r="IU40" i="1"/>
  <c r="IU36" i="1"/>
  <c r="IU41" i="1"/>
  <c r="WM44" i="1"/>
  <c r="WM43" i="1"/>
  <c r="WM45" i="1"/>
  <c r="AM42" i="1"/>
  <c r="AM40" i="1"/>
  <c r="AN32" i="1"/>
  <c r="AM41" i="1"/>
  <c r="FS36" i="1"/>
  <c r="S46" i="1"/>
  <c r="S48" i="1"/>
  <c r="S47" i="1"/>
  <c r="AY44" i="1"/>
  <c r="AY43" i="1"/>
  <c r="AY45" i="1"/>
  <c r="CE42" i="1"/>
  <c r="CE40" i="1"/>
  <c r="CE36" i="1"/>
  <c r="CE41" i="1"/>
  <c r="DG51" i="1"/>
  <c r="DG49" i="1"/>
  <c r="DG50" i="1"/>
  <c r="EE51" i="1"/>
  <c r="EE49" i="1"/>
  <c r="EE50" i="1"/>
  <c r="GU44" i="1"/>
  <c r="GU43" i="1"/>
  <c r="GU45" i="1"/>
  <c r="LC44" i="1"/>
  <c r="LC45" i="1"/>
  <c r="LC43" i="1"/>
  <c r="OE44" i="1"/>
  <c r="OE45" i="1"/>
  <c r="OE43" i="1"/>
  <c r="PG50" i="1"/>
  <c r="PG51" i="1"/>
  <c r="PG49" i="1"/>
  <c r="SY46" i="1"/>
  <c r="SY47" i="1"/>
  <c r="SY48" i="1"/>
  <c r="UI44" i="1"/>
  <c r="UI45" i="1"/>
  <c r="UI43" i="1"/>
  <c r="WU42" i="1"/>
  <c r="WU40" i="1"/>
  <c r="WU36" i="1"/>
  <c r="WU41" i="1"/>
  <c r="ZG44" i="1"/>
  <c r="ZG45" i="1"/>
  <c r="ZG43" i="1"/>
  <c r="AAY49" i="1"/>
  <c r="AAY50" i="1"/>
  <c r="AAY51" i="1"/>
  <c r="JO44" i="1"/>
  <c r="JO43" i="1"/>
  <c r="JO45" i="1"/>
  <c r="OM42" i="1"/>
  <c r="OM40" i="1"/>
  <c r="OM36" i="1"/>
  <c r="OM41" i="1"/>
  <c r="UQ42" i="1"/>
  <c r="UQ36" i="1"/>
  <c r="UQ40" i="1"/>
  <c r="UQ41" i="1"/>
  <c r="YI44" i="1"/>
  <c r="YI43" i="1"/>
  <c r="YI45" i="1"/>
  <c r="DW51" i="1"/>
  <c r="DW50" i="1"/>
  <c r="DW49" i="1"/>
  <c r="XZ36" i="1"/>
  <c r="GM42" i="1"/>
  <c r="GM40" i="1"/>
  <c r="GM36" i="1"/>
  <c r="GM41" i="1"/>
  <c r="KE51" i="1"/>
  <c r="KE50" i="1"/>
  <c r="KE49" i="1"/>
  <c r="RO42" i="1"/>
  <c r="RO40" i="1"/>
  <c r="RO36" i="1"/>
  <c r="RO41" i="1"/>
  <c r="W51" i="1"/>
  <c r="W49" i="1"/>
  <c r="W50" i="1"/>
  <c r="BC48" i="1"/>
  <c r="BC46" i="1"/>
  <c r="BC47" i="1"/>
  <c r="CM44" i="1"/>
  <c r="CM43" i="1"/>
  <c r="CM45" i="1"/>
  <c r="EY44" i="1"/>
  <c r="EY43" i="1"/>
  <c r="EY45" i="1"/>
  <c r="IE51" i="1"/>
  <c r="IE49" i="1"/>
  <c r="IE50" i="1"/>
  <c r="IY51" i="1"/>
  <c r="IY49" i="1"/>
  <c r="IY50" i="1"/>
  <c r="JG46" i="1"/>
  <c r="JG48" i="1"/>
  <c r="JG47" i="1"/>
  <c r="KI46" i="1"/>
  <c r="KI47" i="1"/>
  <c r="KI48" i="1"/>
  <c r="MU44" i="1"/>
  <c r="MU45" i="1"/>
  <c r="MU43" i="1"/>
  <c r="OQ44" i="1"/>
  <c r="OQ45" i="1"/>
  <c r="OQ43" i="1"/>
  <c r="QA42" i="1"/>
  <c r="QA40" i="1"/>
  <c r="QA36" i="1"/>
  <c r="QA41" i="1"/>
  <c r="TK50" i="1"/>
  <c r="TK51" i="1"/>
  <c r="TK49" i="1"/>
  <c r="TS46" i="1"/>
  <c r="TS48" i="1"/>
  <c r="TS47" i="1"/>
  <c r="UU46" i="1"/>
  <c r="UU47" i="1"/>
  <c r="UU48" i="1"/>
  <c r="XC50" i="1"/>
  <c r="XC51" i="1"/>
  <c r="XC49" i="1"/>
  <c r="XK46" i="1"/>
  <c r="XK48" i="1"/>
  <c r="XK47" i="1"/>
  <c r="YE49" i="1"/>
  <c r="YE50" i="1"/>
  <c r="YE51" i="1"/>
  <c r="YY49" i="1"/>
  <c r="YY50" i="1"/>
  <c r="YY51" i="1"/>
  <c r="ZS46" i="1"/>
  <c r="ZS47" i="1"/>
  <c r="ZS48" i="1"/>
  <c r="ABA36" i="1"/>
  <c r="ABA40" i="1"/>
  <c r="ABA41" i="1"/>
  <c r="ABA42" i="1"/>
  <c r="AAK50" i="1"/>
  <c r="AAK49" i="1"/>
  <c r="AAK51" i="1"/>
  <c r="ZU47" i="1"/>
  <c r="ZU46" i="1"/>
  <c r="ZU48" i="1"/>
  <c r="ZE43" i="1"/>
  <c r="ZE44" i="1"/>
  <c r="ZE45" i="1"/>
  <c r="YO36" i="1"/>
  <c r="YO41" i="1"/>
  <c r="YO40" i="1"/>
  <c r="YO42" i="1"/>
  <c r="XY50" i="1"/>
  <c r="XY51" i="1"/>
  <c r="XY49" i="1"/>
  <c r="XI47" i="1"/>
  <c r="XI46" i="1"/>
  <c r="XI48" i="1"/>
  <c r="WS44" i="1"/>
  <c r="WS45" i="1"/>
  <c r="WS43" i="1"/>
  <c r="WC36" i="1"/>
  <c r="WC40" i="1"/>
  <c r="WC41" i="1"/>
  <c r="WC42" i="1"/>
  <c r="VM50" i="1"/>
  <c r="VM51" i="1"/>
  <c r="VM49" i="1"/>
  <c r="UW47" i="1"/>
  <c r="UW46" i="1"/>
  <c r="UW48" i="1"/>
  <c r="UG43" i="1"/>
  <c r="UG44" i="1"/>
  <c r="UG45" i="1"/>
  <c r="TQ51" i="1"/>
  <c r="TQ50" i="1"/>
  <c r="TQ49" i="1"/>
  <c r="TA47" i="1"/>
  <c r="TA46" i="1"/>
  <c r="TA48" i="1"/>
  <c r="RU44" i="1"/>
  <c r="RU45" i="1"/>
  <c r="RU43" i="1"/>
  <c r="RU36" i="1"/>
  <c r="RU40" i="1"/>
  <c r="RU42" i="1"/>
  <c r="RU41" i="1"/>
  <c r="RE51" i="1"/>
  <c r="RE50" i="1"/>
  <c r="RE49" i="1"/>
  <c r="QO47" i="1"/>
  <c r="QO46" i="1"/>
  <c r="QO48" i="1"/>
  <c r="PI44" i="1"/>
  <c r="PI45" i="1"/>
  <c r="PI43" i="1"/>
  <c r="PI36" i="1"/>
  <c r="PI40" i="1"/>
  <c r="PI41" i="1"/>
  <c r="PI42" i="1"/>
  <c r="OS51" i="1"/>
  <c r="OS50" i="1"/>
  <c r="OS49" i="1"/>
  <c r="OC47" i="1"/>
  <c r="OC46" i="1"/>
  <c r="OC48" i="1"/>
  <c r="MW44" i="1"/>
  <c r="MW45" i="1"/>
  <c r="MW43" i="1"/>
  <c r="MW36" i="1"/>
  <c r="MW40" i="1"/>
  <c r="MW41" i="1"/>
  <c r="MW42" i="1"/>
  <c r="MG50" i="1"/>
  <c r="MG51" i="1"/>
  <c r="MG49" i="1"/>
  <c r="LQ47" i="1"/>
  <c r="LQ46" i="1"/>
  <c r="LQ48" i="1"/>
  <c r="KK44" i="1"/>
  <c r="KK45" i="1"/>
  <c r="KK43" i="1"/>
  <c r="KK36" i="1"/>
  <c r="KK41" i="1"/>
  <c r="KK40" i="1"/>
  <c r="KK42" i="1"/>
  <c r="JU50" i="1"/>
  <c r="JU51" i="1"/>
  <c r="JU49" i="1"/>
  <c r="JE47" i="1"/>
  <c r="JE46" i="1"/>
  <c r="JE48" i="1"/>
  <c r="HY45" i="1"/>
  <c r="HY44" i="1"/>
  <c r="HY43" i="1"/>
  <c r="HY36" i="1"/>
  <c r="HY40" i="1"/>
  <c r="HY41" i="1"/>
  <c r="HY42" i="1"/>
  <c r="HI50" i="1"/>
  <c r="HI51" i="1"/>
  <c r="HI49" i="1"/>
  <c r="GS47" i="1"/>
  <c r="GS46" i="1"/>
  <c r="GS48" i="1"/>
  <c r="FM45" i="1"/>
  <c r="FM44" i="1"/>
  <c r="FM43" i="1"/>
  <c r="FM36" i="1"/>
  <c r="FM40" i="1"/>
  <c r="FM41" i="1"/>
  <c r="FM42" i="1"/>
  <c r="EW50" i="1"/>
  <c r="EW51" i="1"/>
  <c r="EW49" i="1"/>
  <c r="EG47" i="1"/>
  <c r="EG46" i="1"/>
  <c r="EG48" i="1"/>
  <c r="EH34" i="1"/>
  <c r="V45" i="1"/>
  <c r="V43" i="1"/>
  <c r="V44" i="1"/>
  <c r="AL42" i="1"/>
  <c r="AL40" i="1"/>
  <c r="AL36" i="1"/>
  <c r="AL41" i="1"/>
  <c r="BB51" i="1"/>
  <c r="BB49" i="1"/>
  <c r="BB50" i="1"/>
  <c r="BR48" i="1"/>
  <c r="BR46" i="1"/>
  <c r="BR47" i="1"/>
  <c r="CH45" i="1"/>
  <c r="CH43" i="1"/>
  <c r="CH44" i="1"/>
  <c r="CX42" i="1"/>
  <c r="CX40" i="1"/>
  <c r="CX36" i="1"/>
  <c r="CX41" i="1"/>
  <c r="DN49" i="1"/>
  <c r="DN50" i="1"/>
  <c r="DN51" i="1"/>
  <c r="FZ46" i="1"/>
  <c r="FZ48" i="1"/>
  <c r="FZ47" i="1"/>
  <c r="IL43" i="1"/>
  <c r="IL45" i="1"/>
  <c r="IL44" i="1"/>
  <c r="KX42" i="1"/>
  <c r="KX40" i="1"/>
  <c r="KX36" i="1"/>
  <c r="KX41" i="1"/>
  <c r="NJ49" i="1"/>
  <c r="NJ50" i="1"/>
  <c r="NJ51" i="1"/>
  <c r="PV46" i="1"/>
  <c r="PV48" i="1"/>
  <c r="PV47" i="1"/>
  <c r="SH45" i="1"/>
  <c r="SH43" i="1"/>
  <c r="SH44" i="1"/>
  <c r="UT42" i="1"/>
  <c r="UT40" i="1"/>
  <c r="UT36" i="1"/>
  <c r="UT41" i="1"/>
  <c r="XF49" i="1"/>
  <c r="XF51" i="1"/>
  <c r="XF50" i="1"/>
  <c r="ZR46" i="1"/>
  <c r="ZR48" i="1"/>
  <c r="ZR47" i="1"/>
  <c r="DZ43" i="1"/>
  <c r="DZ45" i="1"/>
  <c r="DZ44" i="1"/>
  <c r="EA33" i="1"/>
  <c r="GL42" i="1"/>
  <c r="GL40" i="1"/>
  <c r="GL36" i="1"/>
  <c r="GL41" i="1"/>
  <c r="IX50" i="1"/>
  <c r="IX49" i="1"/>
  <c r="IX51" i="1"/>
  <c r="LJ46" i="1"/>
  <c r="LJ48" i="1"/>
  <c r="LJ47" i="1"/>
  <c r="NV43" i="1"/>
  <c r="NV45" i="1"/>
  <c r="NV44" i="1"/>
  <c r="QH42" i="1"/>
  <c r="QH40" i="1"/>
  <c r="QH36" i="1"/>
  <c r="QH41" i="1"/>
  <c r="ST51" i="1"/>
  <c r="ST49" i="1"/>
  <c r="ST50" i="1"/>
  <c r="VF43" i="1"/>
  <c r="VF45" i="1"/>
  <c r="VF44" i="1"/>
  <c r="XR42" i="1"/>
  <c r="XR40" i="1"/>
  <c r="XR36" i="1"/>
  <c r="XR41" i="1"/>
  <c r="AAD51" i="1"/>
  <c r="AAD50" i="1"/>
  <c r="AAD49" i="1"/>
  <c r="O44" i="1"/>
  <c r="O43" i="1"/>
  <c r="O45" i="1"/>
  <c r="AQ42" i="1"/>
  <c r="AQ40" i="1"/>
  <c r="AQ36" i="1"/>
  <c r="AQ41" i="1"/>
  <c r="BW35" i="1"/>
  <c r="CY48" i="1"/>
  <c r="CY46" i="1"/>
  <c r="CY47" i="1"/>
  <c r="EU46" i="1"/>
  <c r="EU47" i="1"/>
  <c r="EU48" i="1"/>
  <c r="EV34" i="1"/>
  <c r="HK46" i="1"/>
  <c r="HK48" i="1"/>
  <c r="HK47" i="1"/>
  <c r="LS42" i="1"/>
  <c r="LS40" i="1"/>
  <c r="LS36" i="1"/>
  <c r="LS41" i="1"/>
  <c r="OU46" i="1"/>
  <c r="OU48" i="1"/>
  <c r="OU47" i="1"/>
  <c r="PW46" i="1"/>
  <c r="PW47" i="1"/>
  <c r="PW48" i="1"/>
  <c r="TO44" i="1"/>
  <c r="TO45" i="1"/>
  <c r="TO43" i="1"/>
  <c r="UY42" i="1"/>
  <c r="UY40" i="1"/>
  <c r="UY36" i="1"/>
  <c r="UY41" i="1"/>
  <c r="XG46" i="1"/>
  <c r="XG47" i="1"/>
  <c r="XG48" i="1"/>
  <c r="AAI42" i="1"/>
  <c r="AAI40" i="1"/>
  <c r="AAI36" i="1"/>
  <c r="AAI41" i="1"/>
  <c r="II46" i="1"/>
  <c r="II48" i="1"/>
  <c r="II47" i="1"/>
  <c r="NG44" i="1"/>
  <c r="NG43" i="1"/>
  <c r="NG45" i="1"/>
  <c r="OY44" i="1"/>
  <c r="OY43" i="1"/>
  <c r="OY45" i="1"/>
  <c r="YU46" i="1"/>
  <c r="YU48" i="1"/>
  <c r="YU47" i="1"/>
  <c r="NW44" i="1"/>
  <c r="NW43" i="1"/>
  <c r="NW45" i="1"/>
  <c r="XS42" i="1"/>
  <c r="XS36" i="1"/>
  <c r="XS40" i="1"/>
  <c r="XS41" i="1"/>
  <c r="K44" i="1"/>
  <c r="L33" i="1"/>
  <c r="K43" i="1"/>
  <c r="K45" i="1"/>
  <c r="AU42" i="1"/>
  <c r="AU40" i="1"/>
  <c r="AU36" i="1"/>
  <c r="AU41" i="1"/>
  <c r="CA51" i="1"/>
  <c r="CA50" i="1"/>
  <c r="CA49" i="1"/>
  <c r="DK46" i="1"/>
  <c r="DK48" i="1"/>
  <c r="DK47" i="1"/>
  <c r="DL34" i="1"/>
  <c r="FO44" i="1"/>
  <c r="FO43" i="1"/>
  <c r="FO45" i="1"/>
  <c r="FP33" i="1"/>
  <c r="HW44" i="1"/>
  <c r="HW43" i="1"/>
  <c r="HW45" i="1"/>
  <c r="KY42" i="1"/>
  <c r="KY40" i="1"/>
  <c r="KY36" i="1"/>
  <c r="KY41" i="1"/>
  <c r="NK49" i="1"/>
  <c r="NK51" i="1"/>
  <c r="NK50" i="1"/>
  <c r="QI50" i="1"/>
  <c r="QI49" i="1"/>
  <c r="QI51" i="1"/>
  <c r="QQ46" i="1"/>
  <c r="QQ48" i="1"/>
  <c r="QQ47" i="1"/>
  <c r="RS42" i="1"/>
  <c r="RS40" i="1"/>
  <c r="RS36" i="1"/>
  <c r="RS41" i="1"/>
  <c r="VK42" i="1"/>
  <c r="VK40" i="1"/>
  <c r="VK36" i="1"/>
  <c r="VK41" i="1"/>
  <c r="XW44" i="1"/>
  <c r="XW45" i="1"/>
  <c r="XW43" i="1"/>
  <c r="ZW42" i="1"/>
  <c r="ZW40" i="1"/>
  <c r="ZW36" i="1"/>
  <c r="ZW41" i="1"/>
  <c r="AAW49" i="1"/>
  <c r="AAW51" i="1"/>
  <c r="AAW50" i="1"/>
  <c r="AAG46" i="1"/>
  <c r="AAG48" i="1"/>
  <c r="AAG47" i="1"/>
  <c r="ZQ43" i="1"/>
  <c r="ZQ45" i="1"/>
  <c r="ZQ44" i="1"/>
  <c r="ZA36" i="1"/>
  <c r="ZA41" i="1"/>
  <c r="ZA42" i="1"/>
  <c r="ZA40" i="1"/>
  <c r="YK49" i="1"/>
  <c r="YK51" i="1"/>
  <c r="YK50" i="1"/>
  <c r="XU46" i="1"/>
  <c r="XU48" i="1"/>
  <c r="XU47" i="1"/>
  <c r="XE43" i="1"/>
  <c r="XE45" i="1"/>
  <c r="XE44" i="1"/>
  <c r="WO36" i="1"/>
  <c r="WO41" i="1"/>
  <c r="WO42" i="1"/>
  <c r="WO40" i="1"/>
  <c r="VY49" i="1"/>
  <c r="VY51" i="1"/>
  <c r="VY50" i="1"/>
  <c r="VI46" i="1"/>
  <c r="VI48" i="1"/>
  <c r="VI47" i="1"/>
  <c r="US43" i="1"/>
  <c r="US45" i="1"/>
  <c r="US44" i="1"/>
  <c r="UC36" i="1"/>
  <c r="UC41" i="1"/>
  <c r="UC42" i="1"/>
  <c r="UC40" i="1"/>
  <c r="TM49" i="1"/>
  <c r="TM51" i="1"/>
  <c r="TM50" i="1"/>
  <c r="SW46" i="1"/>
  <c r="SW48" i="1"/>
  <c r="SW47" i="1"/>
  <c r="SG43" i="1"/>
  <c r="SG45" i="1"/>
  <c r="SG44" i="1"/>
  <c r="RQ36" i="1"/>
  <c r="RQ41" i="1"/>
  <c r="RQ42" i="1"/>
  <c r="RQ40" i="1"/>
  <c r="RA49" i="1"/>
  <c r="RA50" i="1"/>
  <c r="RA51" i="1"/>
  <c r="QK46" i="1"/>
  <c r="QK48" i="1"/>
  <c r="QK47" i="1"/>
  <c r="PU45" i="1"/>
  <c r="PU43" i="1"/>
  <c r="PU44" i="1"/>
  <c r="PE36" i="1"/>
  <c r="PE41" i="1"/>
  <c r="PE42" i="1"/>
  <c r="PE40" i="1"/>
  <c r="OO49" i="1"/>
  <c r="OO50" i="1"/>
  <c r="OO51" i="1"/>
  <c r="NY46" i="1"/>
  <c r="NY48" i="1"/>
  <c r="NY47" i="1"/>
  <c r="NI45" i="1"/>
  <c r="NI43" i="1"/>
  <c r="NI44" i="1"/>
  <c r="MS36" i="1"/>
  <c r="MS41" i="1"/>
  <c r="MS42" i="1"/>
  <c r="MS40" i="1"/>
  <c r="MC49" i="1"/>
  <c r="MC50" i="1"/>
  <c r="MC51" i="1"/>
  <c r="LM46" i="1"/>
  <c r="LM48" i="1"/>
  <c r="LM47" i="1"/>
  <c r="KW45" i="1"/>
  <c r="KW43" i="1"/>
  <c r="KW44" i="1"/>
  <c r="KG36" i="1"/>
  <c r="KG41" i="1"/>
  <c r="KG42" i="1"/>
  <c r="KG40" i="1"/>
  <c r="JQ50" i="1"/>
  <c r="JQ49" i="1"/>
  <c r="JQ51" i="1"/>
  <c r="JA46" i="1"/>
  <c r="JA48" i="1"/>
  <c r="JA47" i="1"/>
  <c r="IK45" i="1"/>
  <c r="IK44" i="1"/>
  <c r="IK43" i="1"/>
  <c r="HU36" i="1"/>
  <c r="HU41" i="1"/>
  <c r="HU42" i="1"/>
  <c r="HU40" i="1"/>
  <c r="HE49" i="1"/>
  <c r="HE50" i="1"/>
  <c r="HE51" i="1"/>
  <c r="GO46" i="1"/>
  <c r="GO48" i="1"/>
  <c r="GO47" i="1"/>
  <c r="FY45" i="1"/>
  <c r="FY44" i="1"/>
  <c r="FY43" i="1"/>
  <c r="FI36" i="1"/>
  <c r="FI41" i="1"/>
  <c r="FI42" i="1"/>
  <c r="FI40" i="1"/>
  <c r="ES49" i="1"/>
  <c r="ES50" i="1"/>
  <c r="ES51" i="1"/>
  <c r="EC46" i="1"/>
  <c r="EC48" i="1"/>
  <c r="EC47" i="1"/>
  <c r="J46" i="1"/>
  <c r="J48" i="1"/>
  <c r="J47" i="1"/>
  <c r="Z45" i="1"/>
  <c r="Z44" i="1"/>
  <c r="Z43" i="1"/>
  <c r="AP42" i="1"/>
  <c r="AP40" i="1"/>
  <c r="AP36" i="1"/>
  <c r="AP41" i="1"/>
  <c r="BF51" i="1"/>
  <c r="BF50" i="1"/>
  <c r="BF49" i="1"/>
  <c r="BV46" i="1"/>
  <c r="BV48" i="1"/>
  <c r="BV47" i="1"/>
  <c r="CL44" i="1"/>
  <c r="CL45" i="1"/>
  <c r="CL43" i="1"/>
  <c r="DB42" i="1"/>
  <c r="DB40" i="1"/>
  <c r="DB41" i="1"/>
  <c r="DB36" i="1"/>
  <c r="ED49" i="1"/>
  <c r="ED50" i="1"/>
  <c r="ED51" i="1"/>
  <c r="GP46" i="1"/>
  <c r="GP48" i="1"/>
  <c r="GP47" i="1"/>
  <c r="JB43" i="1"/>
  <c r="JB45" i="1"/>
  <c r="JB44" i="1"/>
  <c r="LN42" i="1"/>
  <c r="LN40" i="1"/>
  <c r="LN36" i="1"/>
  <c r="LN41" i="1"/>
  <c r="NZ49" i="1"/>
  <c r="NZ50" i="1"/>
  <c r="NZ51" i="1"/>
  <c r="QL46" i="1"/>
  <c r="QL48" i="1"/>
  <c r="QL47" i="1"/>
  <c r="SX45" i="1"/>
  <c r="SX43" i="1"/>
  <c r="SX44" i="1"/>
  <c r="VJ42" i="1"/>
  <c r="VJ40" i="1"/>
  <c r="VJ36" i="1"/>
  <c r="VJ41" i="1"/>
  <c r="XV49" i="1"/>
  <c r="XV50" i="1"/>
  <c r="XV51" i="1"/>
  <c r="AAH46" i="1"/>
  <c r="AAH48" i="1"/>
  <c r="AAH47" i="1"/>
  <c r="EP45" i="1"/>
  <c r="EP44" i="1"/>
  <c r="EP43" i="1"/>
  <c r="HB42" i="1"/>
  <c r="HB40" i="1"/>
  <c r="HB36" i="1"/>
  <c r="HB41" i="1"/>
  <c r="JN49" i="1"/>
  <c r="JN50" i="1"/>
  <c r="JN51" i="1"/>
  <c r="LZ46" i="1"/>
  <c r="LZ48" i="1"/>
  <c r="LZ47" i="1"/>
  <c r="OL43" i="1"/>
  <c r="OL45" i="1"/>
  <c r="OL44" i="1"/>
  <c r="QX42" i="1"/>
  <c r="QX40" i="1"/>
  <c r="QX36" i="1"/>
  <c r="QX41" i="1"/>
  <c r="TJ49" i="1"/>
  <c r="TJ50" i="1"/>
  <c r="TJ51" i="1"/>
  <c r="VV46" i="1"/>
  <c r="VV48" i="1"/>
  <c r="VV47" i="1"/>
  <c r="YH45" i="1"/>
  <c r="YH43" i="1"/>
  <c r="YH44" i="1"/>
  <c r="AAT42" i="1"/>
  <c r="AAT40" i="1"/>
  <c r="AAT36" i="1"/>
  <c r="AAT41" i="1"/>
  <c r="FG36" i="1"/>
  <c r="SA36" i="1"/>
  <c r="G51" i="1"/>
  <c r="G49" i="1"/>
  <c r="G50" i="1"/>
  <c r="AI46" i="1"/>
  <c r="AI48" i="1"/>
  <c r="AI47" i="1"/>
  <c r="BO44" i="1"/>
  <c r="BP33" i="1"/>
  <c r="BO43" i="1"/>
  <c r="BO45" i="1"/>
  <c r="CQ42" i="1"/>
  <c r="CQ40" i="1"/>
  <c r="CQ41" i="1"/>
  <c r="CR32" i="1"/>
  <c r="FK32" i="1"/>
  <c r="IA46" i="1"/>
  <c r="IA48" i="1"/>
  <c r="IA47" i="1"/>
  <c r="JW44" i="1"/>
  <c r="JW45" i="1"/>
  <c r="JW43" i="1"/>
  <c r="MI42" i="1"/>
  <c r="MI40" i="1"/>
  <c r="MI36" i="1"/>
  <c r="MI41" i="1"/>
  <c r="QM42" i="1"/>
  <c r="QM40" i="1"/>
  <c r="QM36" i="1"/>
  <c r="QM41" i="1"/>
  <c r="VO46" i="1"/>
  <c r="VO48" i="1"/>
  <c r="VO47" i="1"/>
  <c r="HC44" i="1"/>
  <c r="HC43" i="1"/>
  <c r="HC45" i="1"/>
  <c r="MA42" i="1"/>
  <c r="MA40" i="1"/>
  <c r="MA36" i="1"/>
  <c r="MA41" i="1"/>
  <c r="TV36" i="1"/>
  <c r="DE36" i="1"/>
  <c r="MQ42" i="1"/>
  <c r="MQ40" i="1"/>
  <c r="MQ36" i="1"/>
  <c r="MQ41" i="1"/>
  <c r="WM42" i="1"/>
  <c r="WM36" i="1"/>
  <c r="WM40" i="1"/>
  <c r="WM41" i="1"/>
  <c r="AM35" i="1"/>
  <c r="BS48" i="1"/>
  <c r="BS46" i="1"/>
  <c r="BS47" i="1"/>
  <c r="DC44" i="1"/>
  <c r="DC43" i="1"/>
  <c r="DC45" i="1"/>
  <c r="DS44" i="1"/>
  <c r="DT33" i="1"/>
  <c r="DS43" i="1"/>
  <c r="DS45" i="1"/>
  <c r="GA51" i="1"/>
  <c r="GA49" i="1"/>
  <c r="GA50" i="1"/>
  <c r="GY51" i="1"/>
  <c r="GY50" i="1"/>
  <c r="GY49" i="1"/>
  <c r="IM46" i="1"/>
  <c r="IM47" i="1"/>
  <c r="IM48" i="1"/>
  <c r="LO44" i="1"/>
  <c r="LO45" i="1"/>
  <c r="LO43" i="1"/>
  <c r="NO42" i="1"/>
  <c r="NO40" i="1"/>
  <c r="NO36" i="1"/>
  <c r="NO41" i="1"/>
  <c r="SI49" i="1"/>
  <c r="SI51" i="1"/>
  <c r="SI50" i="1"/>
  <c r="WA44" i="1"/>
  <c r="WA45" i="1"/>
  <c r="WA43" i="1"/>
  <c r="YM46" i="1"/>
  <c r="YM47" i="1"/>
  <c r="YM48" i="1"/>
  <c r="AAM44" i="1"/>
  <c r="AAM45" i="1"/>
  <c r="AAM43" i="1"/>
  <c r="ABI45" i="1"/>
  <c r="ABI44" i="1"/>
  <c r="ABI43" i="1"/>
  <c r="AAS36" i="1"/>
  <c r="AAS42" i="1"/>
  <c r="AAS41" i="1"/>
  <c r="AAS40" i="1"/>
  <c r="AAC49" i="1"/>
  <c r="AAC50" i="1"/>
  <c r="AAC51" i="1"/>
  <c r="ZM47" i="1"/>
  <c r="ZM46" i="1"/>
  <c r="ZM48" i="1"/>
  <c r="YW43" i="1"/>
  <c r="YW45" i="1"/>
  <c r="YW44" i="1"/>
  <c r="YG36" i="1"/>
  <c r="YG42" i="1"/>
  <c r="YG41" i="1"/>
  <c r="YG40" i="1"/>
  <c r="XQ49" i="1"/>
  <c r="XQ50" i="1"/>
  <c r="XQ51" i="1"/>
  <c r="XA47" i="1"/>
  <c r="XA46" i="1"/>
  <c r="XA48" i="1"/>
  <c r="WK45" i="1"/>
  <c r="WK44" i="1"/>
  <c r="WK43" i="1"/>
  <c r="VU36" i="1"/>
  <c r="VU42" i="1"/>
  <c r="VU41" i="1"/>
  <c r="VU40" i="1"/>
  <c r="VE49" i="1"/>
  <c r="VE51" i="1"/>
  <c r="VE50" i="1"/>
  <c r="UO47" i="1"/>
  <c r="UO46" i="1"/>
  <c r="UO48" i="1"/>
  <c r="TY43" i="1"/>
  <c r="TY45" i="1"/>
  <c r="TY44" i="1"/>
  <c r="SS49" i="1"/>
  <c r="SS51" i="1"/>
  <c r="SS50" i="1"/>
  <c r="SC47" i="1"/>
  <c r="SC46" i="1"/>
  <c r="SC48" i="1"/>
  <c r="RM45" i="1"/>
  <c r="RM44" i="1"/>
  <c r="RM43" i="1"/>
  <c r="RM36" i="1"/>
  <c r="RM42" i="1"/>
  <c r="RM41" i="1"/>
  <c r="RM40" i="1"/>
  <c r="QG51" i="1"/>
  <c r="QG49" i="1"/>
  <c r="QG50" i="1"/>
  <c r="PQ47" i="1"/>
  <c r="PQ46" i="1"/>
  <c r="PQ48" i="1"/>
  <c r="PA43" i="1"/>
  <c r="PA45" i="1"/>
  <c r="PA44" i="1"/>
  <c r="PA36" i="1"/>
  <c r="PA42" i="1"/>
  <c r="PA41" i="1"/>
  <c r="PA40" i="1"/>
  <c r="NU49" i="1"/>
  <c r="NU50" i="1"/>
  <c r="NU51" i="1"/>
  <c r="NE47" i="1"/>
  <c r="NE46" i="1"/>
  <c r="NE48" i="1"/>
  <c r="MO45" i="1"/>
  <c r="MO44" i="1"/>
  <c r="MO43" i="1"/>
  <c r="MO36" i="1"/>
  <c r="MO42" i="1"/>
  <c r="MO41" i="1"/>
  <c r="MO40" i="1"/>
  <c r="LI49" i="1"/>
  <c r="LI50" i="1"/>
  <c r="LI51" i="1"/>
  <c r="KS47" i="1"/>
  <c r="KS46" i="1"/>
  <c r="KS48" i="1"/>
  <c r="KC43" i="1"/>
  <c r="KC45" i="1"/>
  <c r="KC44" i="1"/>
  <c r="KC36" i="1"/>
  <c r="KC42" i="1"/>
  <c r="KC41" i="1"/>
  <c r="KC40" i="1"/>
  <c r="IW50" i="1"/>
  <c r="IW49" i="1"/>
  <c r="IW51" i="1"/>
  <c r="IG47" i="1"/>
  <c r="IG46" i="1"/>
  <c r="IG48" i="1"/>
  <c r="HQ45" i="1"/>
  <c r="HQ43" i="1"/>
  <c r="HQ44" i="1"/>
  <c r="HQ36" i="1"/>
  <c r="HQ42" i="1"/>
  <c r="HQ40" i="1"/>
  <c r="HQ41" i="1"/>
  <c r="GK50" i="1"/>
  <c r="GK49" i="1"/>
  <c r="GK51" i="1"/>
  <c r="FU47" i="1"/>
  <c r="FU46" i="1"/>
  <c r="FU48" i="1"/>
  <c r="FE45" i="1"/>
  <c r="FE43" i="1"/>
  <c r="FE44" i="1"/>
  <c r="FE36" i="1"/>
  <c r="FE42" i="1"/>
  <c r="FE40" i="1"/>
  <c r="FE41" i="1"/>
  <c r="DY50" i="1"/>
  <c r="DY49" i="1"/>
  <c r="DY51" i="1"/>
  <c r="EX50" i="1"/>
  <c r="EX49" i="1"/>
  <c r="EX51" i="1"/>
  <c r="HJ50" i="1"/>
  <c r="HJ49" i="1"/>
  <c r="HJ51" i="1"/>
  <c r="JV50" i="1"/>
  <c r="JV49" i="1"/>
  <c r="JV51" i="1"/>
  <c r="MH50" i="1"/>
  <c r="MH49" i="1"/>
  <c r="MH51" i="1"/>
  <c r="OT50" i="1"/>
  <c r="OT51" i="1"/>
  <c r="OT49" i="1"/>
  <c r="RF50" i="1"/>
  <c r="RF51" i="1"/>
  <c r="RF49" i="1"/>
  <c r="TR50" i="1"/>
  <c r="TR49" i="1"/>
  <c r="TR51" i="1"/>
  <c r="WD50" i="1"/>
  <c r="WD49" i="1"/>
  <c r="WD51" i="1"/>
  <c r="YP50" i="1"/>
  <c r="YP49" i="1"/>
  <c r="YP51" i="1"/>
  <c r="ABB50" i="1"/>
  <c r="ABB49" i="1"/>
  <c r="ABB51" i="1"/>
  <c r="N51" i="1"/>
  <c r="N49" i="1"/>
  <c r="N50" i="1"/>
  <c r="AD48" i="1"/>
  <c r="AD46" i="1"/>
  <c r="AD47" i="1"/>
  <c r="AT45" i="1"/>
  <c r="AT44" i="1"/>
  <c r="AT43" i="1"/>
  <c r="BJ42" i="1"/>
  <c r="BJ40" i="1"/>
  <c r="BJ36" i="1"/>
  <c r="BJ41" i="1"/>
  <c r="BZ51" i="1"/>
  <c r="BZ49" i="1"/>
  <c r="BZ50" i="1"/>
  <c r="CP46" i="1"/>
  <c r="CP48" i="1"/>
  <c r="CP47" i="1"/>
  <c r="DF33" i="1"/>
  <c r="DF36" i="1" s="1"/>
  <c r="ET42" i="1"/>
  <c r="ET40" i="1"/>
  <c r="ET36" i="1"/>
  <c r="ET41" i="1"/>
  <c r="JR46" i="1"/>
  <c r="JR48" i="1"/>
  <c r="JR47" i="1"/>
  <c r="MD45" i="1"/>
  <c r="MD43" i="1"/>
  <c r="MD44" i="1"/>
  <c r="OP42" i="1"/>
  <c r="OP40" i="1"/>
  <c r="OP36" i="1"/>
  <c r="OP41" i="1"/>
  <c r="TN46" i="1"/>
  <c r="TN48" i="1"/>
  <c r="TN47" i="1"/>
  <c r="VZ45" i="1"/>
  <c r="VZ43" i="1"/>
  <c r="VZ44" i="1"/>
  <c r="YL42" i="1"/>
  <c r="YL40" i="1"/>
  <c r="YL36" i="1"/>
  <c r="YL41" i="1"/>
  <c r="FF46" i="1"/>
  <c r="FF48" i="1"/>
  <c r="FF47" i="1"/>
  <c r="HR43" i="1"/>
  <c r="HR45" i="1"/>
  <c r="HR44" i="1"/>
  <c r="KD42" i="1"/>
  <c r="KD40" i="1"/>
  <c r="KD36" i="1"/>
  <c r="KD41" i="1"/>
  <c r="PB46" i="1"/>
  <c r="PB48" i="1"/>
  <c r="PB47" i="1"/>
  <c r="RN43" i="1"/>
  <c r="RN45" i="1"/>
  <c r="RN44" i="1"/>
  <c r="TZ42" i="1"/>
  <c r="TZ40" i="1"/>
  <c r="TZ36" i="1"/>
  <c r="TZ41" i="1"/>
  <c r="YX46" i="1"/>
  <c r="YX48" i="1"/>
  <c r="YX47" i="1"/>
  <c r="ML36" i="1"/>
  <c r="AAA46" i="1"/>
  <c r="AAA48" i="1"/>
  <c r="AAA47" i="1"/>
  <c r="LK44" i="1"/>
  <c r="LK43" i="1"/>
  <c r="LK45" i="1"/>
  <c r="AE42" i="1"/>
  <c r="AE40" i="1"/>
  <c r="AE36" i="1"/>
  <c r="AE41" i="1"/>
  <c r="AF32" i="1"/>
  <c r="BK51" i="1"/>
  <c r="BK49" i="1"/>
  <c r="BK50" i="1"/>
  <c r="CU46" i="1"/>
  <c r="CU47" i="1"/>
  <c r="CU48" i="1"/>
  <c r="EI46" i="1"/>
  <c r="EI48" i="1"/>
  <c r="EI47" i="1"/>
  <c r="GQ46" i="1"/>
  <c r="GQ47" i="1"/>
  <c r="GQ48" i="1"/>
  <c r="IQ44" i="1"/>
  <c r="IQ45" i="1"/>
  <c r="IQ43" i="1"/>
  <c r="KQ51" i="1"/>
  <c r="KQ50" i="1"/>
  <c r="KQ49" i="1"/>
  <c r="ME46" i="1"/>
  <c r="ME47" i="1"/>
  <c r="ME48" i="1"/>
  <c r="OA42" i="1"/>
  <c r="OA40" i="1"/>
  <c r="OA36" i="1"/>
  <c r="OA41" i="1"/>
  <c r="RK49" i="1"/>
  <c r="RK50" i="1"/>
  <c r="RK51" i="1"/>
  <c r="UE44" i="1"/>
  <c r="UE45" i="1"/>
  <c r="UE43" i="1"/>
  <c r="WQ42" i="1"/>
  <c r="WQ40" i="1"/>
  <c r="WQ36" i="1"/>
  <c r="WQ41" i="1"/>
  <c r="YQ44" i="1"/>
  <c r="YQ45" i="1"/>
  <c r="YQ43" i="1"/>
  <c r="VW42" i="1"/>
  <c r="VW36" i="1"/>
  <c r="VW40" i="1"/>
  <c r="VW41" i="1"/>
  <c r="QI36" i="1"/>
  <c r="OT36" i="1"/>
  <c r="AA42" i="1"/>
  <c r="AA40" i="1"/>
  <c r="AA36" i="1"/>
  <c r="AA41" i="1"/>
  <c r="BG51" i="1"/>
  <c r="BG49" i="1"/>
  <c r="BG50" i="1"/>
  <c r="BH35" i="1"/>
  <c r="CI48" i="1"/>
  <c r="CI46" i="1"/>
  <c r="CI47" i="1"/>
  <c r="CJ34" i="1"/>
  <c r="DO44" i="1"/>
  <c r="DO43" i="1"/>
  <c r="DO45" i="1"/>
  <c r="GE44" i="1"/>
  <c r="GE43" i="1"/>
  <c r="GE45" i="1"/>
  <c r="JC42" i="1"/>
  <c r="JC40" i="1"/>
  <c r="JC36" i="1"/>
  <c r="JC41" i="1"/>
  <c r="MY46" i="1"/>
  <c r="MY48" i="1"/>
  <c r="MY47" i="1"/>
  <c r="RC42" i="1"/>
  <c r="RC40" i="1"/>
  <c r="RC36" i="1"/>
  <c r="RC41" i="1"/>
  <c r="WE46" i="1"/>
  <c r="WE48" i="1"/>
  <c r="WE47" i="1"/>
  <c r="FW46" i="1"/>
  <c r="FW48" i="1"/>
  <c r="FX34" i="1"/>
  <c r="FW47" i="1"/>
  <c r="SE46" i="1"/>
  <c r="SE48" i="1"/>
  <c r="SE47" i="1"/>
  <c r="ZO42" i="1"/>
  <c r="ZO36" i="1"/>
  <c r="ZO40" i="1"/>
  <c r="ZO41" i="1"/>
  <c r="QE46" i="1"/>
  <c r="QE48" i="1"/>
  <c r="QE47" i="1"/>
  <c r="XO46" i="1"/>
  <c r="XO48" i="1"/>
  <c r="XO47" i="1"/>
  <c r="WI36" i="1"/>
  <c r="KU46" i="1"/>
  <c r="KU48" i="1"/>
  <c r="KU47" i="1"/>
  <c r="HS44" i="1"/>
  <c r="HS43" i="1"/>
  <c r="HS45" i="1"/>
  <c r="VG44" i="1"/>
  <c r="VG43" i="1"/>
  <c r="VG45" i="1"/>
  <c r="XJ36" i="1"/>
  <c r="ABE50" i="1"/>
  <c r="ABE49" i="1"/>
  <c r="ABE51" i="1"/>
  <c r="AAO51" i="1"/>
  <c r="AAO49" i="1"/>
  <c r="AAO50" i="1"/>
  <c r="ZY48" i="1"/>
  <c r="ZY47" i="1"/>
  <c r="ZY46" i="1"/>
  <c r="ZI45" i="1"/>
  <c r="ZI43" i="1"/>
  <c r="ZI44" i="1"/>
  <c r="ZI36" i="1"/>
  <c r="ZI41" i="1"/>
  <c r="ZI40" i="1"/>
  <c r="ZI42" i="1"/>
  <c r="YS49" i="1"/>
  <c r="YS51" i="1"/>
  <c r="YS50" i="1"/>
  <c r="YC51" i="1"/>
  <c r="YC49" i="1"/>
  <c r="YC50" i="1"/>
  <c r="XM48" i="1"/>
  <c r="XM47" i="1"/>
  <c r="XM46" i="1"/>
  <c r="WW36" i="1"/>
  <c r="WW41" i="1"/>
  <c r="WW40" i="1"/>
  <c r="WW42" i="1"/>
  <c r="WG50" i="1"/>
  <c r="WG49" i="1"/>
  <c r="WG51" i="1"/>
  <c r="VQ51" i="1"/>
  <c r="VQ49" i="1"/>
  <c r="VQ50" i="1"/>
  <c r="VA48" i="1"/>
  <c r="VA47" i="1"/>
  <c r="VA46" i="1"/>
  <c r="UK45" i="1"/>
  <c r="UK43" i="1"/>
  <c r="UK44" i="1"/>
  <c r="UK36" i="1"/>
  <c r="UK41" i="1"/>
  <c r="UK40" i="1"/>
  <c r="UK42" i="1"/>
  <c r="TU50" i="1"/>
  <c r="TU49" i="1"/>
  <c r="TU51" i="1"/>
  <c r="SO48" i="1"/>
  <c r="SO47" i="1"/>
  <c r="SO46" i="1"/>
  <c r="RY45" i="1"/>
  <c r="RY43" i="1"/>
  <c r="RY44" i="1"/>
  <c r="RY36" i="1"/>
  <c r="RY41" i="1"/>
  <c r="RY40" i="1"/>
  <c r="RY42" i="1"/>
  <c r="RI50" i="1"/>
  <c r="RI49" i="1"/>
  <c r="RI51" i="1"/>
  <c r="QC48" i="1"/>
  <c r="QC47" i="1"/>
  <c r="QC46" i="1"/>
  <c r="PM45" i="1"/>
  <c r="PM43" i="1"/>
  <c r="PM44" i="1"/>
  <c r="PM36" i="1"/>
  <c r="PM41" i="1"/>
  <c r="PM40" i="1"/>
  <c r="PM42" i="1"/>
  <c r="OW50" i="1"/>
  <c r="OW49" i="1"/>
  <c r="OW51" i="1"/>
  <c r="NQ48" i="1"/>
  <c r="NQ47" i="1"/>
  <c r="NQ46" i="1"/>
  <c r="NA45" i="1"/>
  <c r="NA43" i="1"/>
  <c r="NA44" i="1"/>
  <c r="NA36" i="1"/>
  <c r="NA41" i="1"/>
  <c r="NA40" i="1"/>
  <c r="NA42" i="1"/>
  <c r="MK50" i="1"/>
  <c r="MK49" i="1"/>
  <c r="MK51" i="1"/>
  <c r="LE48" i="1"/>
  <c r="LE47" i="1"/>
  <c r="LE46" i="1"/>
  <c r="KO45" i="1"/>
  <c r="KO43" i="1"/>
  <c r="KO44" i="1"/>
  <c r="KO36" i="1"/>
  <c r="KO41" i="1"/>
  <c r="KO40" i="1"/>
  <c r="KO42" i="1"/>
  <c r="JY50" i="1"/>
  <c r="JY49" i="1"/>
  <c r="JY51" i="1"/>
  <c r="IS48" i="1"/>
  <c r="IS47" i="1"/>
  <c r="IS46" i="1"/>
  <c r="IC43" i="1"/>
  <c r="IC45" i="1"/>
  <c r="IC44" i="1"/>
  <c r="IC36" i="1"/>
  <c r="IC41" i="1"/>
  <c r="IC40" i="1"/>
  <c r="IC42" i="1"/>
  <c r="HM50" i="1"/>
  <c r="HM49" i="1"/>
  <c r="HM51" i="1"/>
  <c r="GG48" i="1"/>
  <c r="GG47" i="1"/>
  <c r="GG46" i="1"/>
  <c r="FA50" i="1"/>
  <c r="FA49" i="1"/>
  <c r="FA51" i="1"/>
  <c r="DU48" i="1"/>
  <c r="DU47" i="1"/>
  <c r="DU46" i="1"/>
  <c r="FR49" i="1"/>
  <c r="FR51" i="1"/>
  <c r="FR50" i="1"/>
  <c r="ID49" i="1"/>
  <c r="ID51" i="1"/>
  <c r="ID50" i="1"/>
  <c r="KP50" i="1"/>
  <c r="KP49" i="1"/>
  <c r="KP51" i="1"/>
  <c r="NB50" i="1"/>
  <c r="NB51" i="1"/>
  <c r="NB49" i="1"/>
  <c r="PN50" i="1"/>
  <c r="PN51" i="1"/>
  <c r="PN49" i="1"/>
  <c r="RZ50" i="1"/>
  <c r="RZ51" i="1"/>
  <c r="RZ49" i="1"/>
  <c r="UL51" i="1"/>
  <c r="UL50" i="1"/>
  <c r="UL49" i="1"/>
  <c r="WX51" i="1"/>
  <c r="WX50" i="1"/>
  <c r="WX49" i="1"/>
  <c r="ZJ51" i="1"/>
  <c r="ZJ50" i="1"/>
  <c r="ZJ49" i="1"/>
  <c r="R46" i="1"/>
  <c r="R48" i="1"/>
  <c r="R47" i="1"/>
  <c r="AH45" i="1"/>
  <c r="AH43" i="1"/>
  <c r="AH44" i="1"/>
  <c r="AX42" i="1"/>
  <c r="AX40" i="1"/>
  <c r="AX36" i="1"/>
  <c r="AX41" i="1"/>
  <c r="BN51" i="1"/>
  <c r="BN50" i="1"/>
  <c r="BN49" i="1"/>
  <c r="CD46" i="1"/>
  <c r="CD48" i="1"/>
  <c r="CD47" i="1"/>
  <c r="CT43" i="1"/>
  <c r="CT45" i="1"/>
  <c r="CT44" i="1"/>
  <c r="DJ42" i="1"/>
  <c r="DJ40" i="1"/>
  <c r="DJ36" i="1"/>
  <c r="DJ41" i="1"/>
  <c r="HV46" i="1"/>
  <c r="HV48" i="1"/>
  <c r="HV47" i="1"/>
  <c r="KH43" i="1"/>
  <c r="KH45" i="1"/>
  <c r="KH44" i="1"/>
  <c r="MT42" i="1"/>
  <c r="MT40" i="1"/>
  <c r="MT36" i="1"/>
  <c r="MT41" i="1"/>
  <c r="RR46" i="1"/>
  <c r="RR48" i="1"/>
  <c r="RR47" i="1"/>
  <c r="UD45" i="1"/>
  <c r="UD44" i="1"/>
  <c r="UD43" i="1"/>
  <c r="WP42" i="1"/>
  <c r="WP40" i="1"/>
  <c r="WP36" i="1"/>
  <c r="WP41" i="1"/>
  <c r="FV46" i="1"/>
  <c r="FV48" i="1"/>
  <c r="FV47" i="1"/>
  <c r="IH45" i="1"/>
  <c r="IH43" i="1"/>
  <c r="IH44" i="1"/>
  <c r="KT42" i="1"/>
  <c r="KT40" i="1"/>
  <c r="KT36" i="1"/>
  <c r="KT41" i="1"/>
  <c r="PR46" i="1"/>
  <c r="PR48" i="1"/>
  <c r="PR47" i="1"/>
  <c r="SD45" i="1"/>
  <c r="SD43" i="1"/>
  <c r="SD44" i="1"/>
  <c r="UP42" i="1"/>
  <c r="UP40" i="1"/>
  <c r="UP36" i="1"/>
  <c r="UP41" i="1"/>
  <c r="XB46" i="1"/>
  <c r="XB48" i="1"/>
  <c r="XB47" i="1"/>
  <c r="TW46" i="1"/>
  <c r="TW48" i="1"/>
  <c r="TW47" i="1"/>
  <c r="AM51" i="1" l="1"/>
  <c r="AN35" i="1"/>
  <c r="AM50" i="1"/>
  <c r="AM49" i="1"/>
  <c r="DL47" i="1"/>
  <c r="DM34" i="1"/>
  <c r="DL48" i="1"/>
  <c r="DL46" i="1"/>
  <c r="BP47" i="1"/>
  <c r="BP48" i="1"/>
  <c r="BP46" i="1"/>
  <c r="CJ42" i="1"/>
  <c r="CJ40" i="1"/>
  <c r="CJ36" i="1"/>
  <c r="CJ41" i="1"/>
  <c r="CK32" i="1"/>
  <c r="CR44" i="1"/>
  <c r="CR43" i="1"/>
  <c r="CR45" i="1"/>
  <c r="FX47" i="1"/>
  <c r="FX48" i="1"/>
  <c r="FX46" i="1"/>
  <c r="CJ47" i="1"/>
  <c r="CJ46" i="1"/>
  <c r="CK34" i="1"/>
  <c r="CJ48" i="1"/>
  <c r="AF42" i="1"/>
  <c r="AF40" i="1"/>
  <c r="AF36" i="1"/>
  <c r="AG32" i="1"/>
  <c r="AF41" i="1"/>
  <c r="CR42" i="1"/>
  <c r="CR40" i="1"/>
  <c r="CR41" i="1"/>
  <c r="BP44" i="1"/>
  <c r="BP45" i="1"/>
  <c r="BP43" i="1"/>
  <c r="EA44" i="1"/>
  <c r="EA43" i="1"/>
  <c r="EA45" i="1"/>
  <c r="EB33" i="1"/>
  <c r="AN42" i="1"/>
  <c r="AN40" i="1"/>
  <c r="AN41" i="1"/>
  <c r="L48" i="1"/>
  <c r="L46" i="1"/>
  <c r="L47" i="1"/>
  <c r="FX44" i="1"/>
  <c r="FX43" i="1"/>
  <c r="FX45" i="1"/>
  <c r="BH48" i="1"/>
  <c r="BH47" i="1"/>
  <c r="BH46" i="1"/>
  <c r="BI34" i="1"/>
  <c r="DT42" i="1"/>
  <c r="DT40" i="1"/>
  <c r="DT36" i="1"/>
  <c r="DT41" i="1"/>
  <c r="BO42" i="1"/>
  <c r="BO40" i="1"/>
  <c r="BO36" i="1"/>
  <c r="BO41" i="1"/>
  <c r="BP32" i="1"/>
  <c r="EU44" i="1"/>
  <c r="EV33" i="1"/>
  <c r="EU45" i="1"/>
  <c r="EU43" i="1"/>
  <c r="BH42" i="1"/>
  <c r="BH40" i="1"/>
  <c r="BH36" i="1"/>
  <c r="BI32" i="1"/>
  <c r="BH41" i="1"/>
  <c r="DT51" i="1"/>
  <c r="DT50" i="1"/>
  <c r="DT49" i="1"/>
  <c r="FW51" i="1"/>
  <c r="FW49" i="1"/>
  <c r="FW50" i="1"/>
  <c r="FX35" i="1"/>
  <c r="L4" i="1"/>
  <c r="CR47" i="1"/>
  <c r="CR48" i="1"/>
  <c r="CR46" i="1"/>
  <c r="AM48" i="1"/>
  <c r="AM46" i="1"/>
  <c r="AM47" i="1"/>
  <c r="AN34" i="1"/>
  <c r="CQ51" i="1"/>
  <c r="CQ50" i="1"/>
  <c r="CQ49" i="1"/>
  <c r="CR35" i="1"/>
  <c r="DL44" i="1"/>
  <c r="DL43" i="1"/>
  <c r="DL45" i="1"/>
  <c r="DM33" i="1"/>
  <c r="L42" i="1"/>
  <c r="L40" i="1"/>
  <c r="L36" i="1"/>
  <c r="L41" i="1"/>
  <c r="EA42" i="1"/>
  <c r="EA40" i="1"/>
  <c r="EA36" i="1"/>
  <c r="EB32" i="1"/>
  <c r="EA41" i="1"/>
  <c r="BH51" i="1"/>
  <c r="BI35" i="1"/>
  <c r="BH50" i="1"/>
  <c r="BH49" i="1"/>
  <c r="L44" i="1"/>
  <c r="L43" i="1"/>
  <c r="L45" i="1"/>
  <c r="FJ46" i="1"/>
  <c r="FJ48" i="1"/>
  <c r="FJ47" i="1"/>
  <c r="FK34" i="1"/>
  <c r="FK36" i="1" s="1"/>
  <c r="CJ44" i="1"/>
  <c r="CJ43" i="1"/>
  <c r="CJ45" i="1"/>
  <c r="CK33" i="1"/>
  <c r="AF51" i="1"/>
  <c r="AF49" i="1"/>
  <c r="AG35" i="1"/>
  <c r="AF50" i="1"/>
  <c r="CY44" i="1"/>
  <c r="CY45" i="1"/>
  <c r="CY43" i="1"/>
  <c r="FB42" i="1"/>
  <c r="FB40" i="1"/>
  <c r="FB36" i="1"/>
  <c r="FB41" i="1"/>
  <c r="FC32" i="1"/>
  <c r="EA46" i="1"/>
  <c r="EA48" i="1"/>
  <c r="EA47" i="1"/>
  <c r="EB34" i="1"/>
  <c r="EH50" i="1"/>
  <c r="EH51" i="1"/>
  <c r="EH49" i="1"/>
  <c r="FB46" i="1"/>
  <c r="FB47" i="1"/>
  <c r="FB48" i="1"/>
  <c r="FC34" i="1"/>
  <c r="FX42" i="1"/>
  <c r="FX40" i="1"/>
  <c r="FX36" i="1"/>
  <c r="FX41" i="1"/>
  <c r="BH44" i="1"/>
  <c r="BH43" i="1"/>
  <c r="BI33" i="1"/>
  <c r="BH45" i="1"/>
  <c r="AF47" i="1"/>
  <c r="AF48" i="1"/>
  <c r="AF46" i="1"/>
  <c r="AG34" i="1"/>
  <c r="GD50" i="1"/>
  <c r="GD51" i="1"/>
  <c r="GD49" i="1"/>
  <c r="BP51" i="1"/>
  <c r="BP49" i="1"/>
  <c r="BP50" i="1"/>
  <c r="AU46" i="1"/>
  <c r="AU48" i="1"/>
  <c r="AU47" i="1"/>
  <c r="EV42" i="1"/>
  <c r="EV40" i="1"/>
  <c r="EV36" i="1"/>
  <c r="EV41" i="1"/>
  <c r="EH42" i="1"/>
  <c r="EH40" i="1"/>
  <c r="EH36" i="1"/>
  <c r="EH41" i="1"/>
  <c r="CJ51" i="1"/>
  <c r="CK35" i="1"/>
  <c r="CJ50" i="1"/>
  <c r="CJ49" i="1"/>
  <c r="CY36" i="1"/>
  <c r="FK51" i="1"/>
  <c r="FK50" i="1"/>
  <c r="FK49" i="1"/>
  <c r="DF45" i="1"/>
  <c r="DF44" i="1"/>
  <c r="DF43" i="1"/>
  <c r="FK42" i="1"/>
  <c r="FK40" i="1"/>
  <c r="FK41" i="1"/>
  <c r="EH48" i="1"/>
  <c r="EH46" i="1"/>
  <c r="EH47" i="1"/>
  <c r="DL51" i="1"/>
  <c r="DM35" i="1"/>
  <c r="DL50" i="1"/>
  <c r="DL49" i="1"/>
  <c r="GD48" i="1"/>
  <c r="GD46" i="1"/>
  <c r="GD47" i="1"/>
  <c r="FP42" i="1"/>
  <c r="FP40" i="1"/>
  <c r="FP36" i="1"/>
  <c r="FP41" i="1"/>
  <c r="FQ32" i="1"/>
  <c r="GD43" i="1"/>
  <c r="GD44" i="1"/>
  <c r="GD45" i="1"/>
  <c r="DT47" i="1"/>
  <c r="DT46" i="1"/>
  <c r="DT48" i="1"/>
  <c r="AM44" i="1"/>
  <c r="AN33" i="1"/>
  <c r="AM45" i="1"/>
  <c r="AM43" i="1"/>
  <c r="EA51" i="1"/>
  <c r="EB35" i="1"/>
  <c r="EA49" i="1"/>
  <c r="EA50" i="1"/>
  <c r="FP46" i="1"/>
  <c r="FP48" i="1"/>
  <c r="FP47" i="1"/>
  <c r="FQ34" i="1"/>
  <c r="L51" i="1"/>
  <c r="L49" i="1"/>
  <c r="L50" i="1"/>
  <c r="DT43" i="1"/>
  <c r="DT44" i="1"/>
  <c r="DT45" i="1"/>
  <c r="CQ36" i="1"/>
  <c r="FP44" i="1"/>
  <c r="FP43" i="1"/>
  <c r="FP45" i="1"/>
  <c r="FQ33" i="1"/>
  <c r="EV47" i="1"/>
  <c r="EV46" i="1"/>
  <c r="EV48" i="1"/>
  <c r="BW51" i="1"/>
  <c r="BW49" i="1"/>
  <c r="BW50" i="1"/>
  <c r="GD40" i="1"/>
  <c r="GD42" i="1"/>
  <c r="GD36" i="1"/>
  <c r="GD41" i="1"/>
  <c r="FB45" i="1"/>
  <c r="FB43" i="1"/>
  <c r="FB44" i="1"/>
  <c r="FC33" i="1"/>
  <c r="AF44" i="1"/>
  <c r="E55" i="1" s="1"/>
  <c r="AG33" i="1"/>
  <c r="AF43" i="1"/>
  <c r="AF45" i="1"/>
  <c r="DL42" i="1"/>
  <c r="DL40" i="1"/>
  <c r="DL36" i="1"/>
  <c r="DM32" i="1"/>
  <c r="DL41" i="1"/>
  <c r="EU36" i="1"/>
  <c r="EH44" i="1"/>
  <c r="EH45" i="1"/>
  <c r="EH43" i="1"/>
  <c r="BW36" i="1"/>
  <c r="EU51" i="1"/>
  <c r="EV35" i="1"/>
  <c r="EU49" i="1"/>
  <c r="EU50" i="1"/>
  <c r="FK44" i="1"/>
  <c r="FK43" i="1"/>
  <c r="FK45" i="1"/>
  <c r="FP51" i="1"/>
  <c r="FP49" i="1"/>
  <c r="FP50" i="1"/>
  <c r="FQ35" i="1"/>
  <c r="AG45" i="1" l="1"/>
  <c r="AG43" i="1"/>
  <c r="AG44" i="1"/>
  <c r="CK45" i="1"/>
  <c r="CK44" i="1"/>
  <c r="CK43" i="1"/>
  <c r="EB42" i="1"/>
  <c r="EB40" i="1"/>
  <c r="EB36" i="1"/>
  <c r="EB41" i="1"/>
  <c r="DM45" i="1"/>
  <c r="DM43" i="1"/>
  <c r="DM44" i="1"/>
  <c r="AN47" i="1"/>
  <c r="AN46" i="1"/>
  <c r="AN48" i="1"/>
  <c r="FX51" i="1"/>
  <c r="FX50" i="1"/>
  <c r="FX49" i="1"/>
  <c r="FQ47" i="1"/>
  <c r="FQ48" i="1"/>
  <c r="FQ46" i="1"/>
  <c r="FQ36" i="1"/>
  <c r="FQ41" i="1"/>
  <c r="FQ40" i="1"/>
  <c r="FQ42" i="1"/>
  <c r="AG50" i="1"/>
  <c r="AG49" i="1"/>
  <c r="AG51" i="1"/>
  <c r="BI50" i="1"/>
  <c r="BI51" i="1"/>
  <c r="BI49" i="1"/>
  <c r="EV44" i="1"/>
  <c r="EV43" i="1"/>
  <c r="EV45" i="1"/>
  <c r="BI48" i="1"/>
  <c r="BI47" i="1"/>
  <c r="BI46" i="1"/>
  <c r="CK47" i="1"/>
  <c r="CK46" i="1"/>
  <c r="CK48" i="1"/>
  <c r="DM46" i="1"/>
  <c r="DM47" i="1"/>
  <c r="DM48" i="1"/>
  <c r="AN51" i="1"/>
  <c r="AN50" i="1"/>
  <c r="AN49" i="1"/>
  <c r="AG36" i="1"/>
  <c r="AG42" i="1"/>
  <c r="AG40" i="1"/>
  <c r="AG41" i="1"/>
  <c r="D34" i="1"/>
  <c r="CK50" i="1"/>
  <c r="CK49" i="1"/>
  <c r="CK51" i="1"/>
  <c r="EB47" i="1"/>
  <c r="EB46" i="1"/>
  <c r="EB48" i="1"/>
  <c r="D32" i="1"/>
  <c r="D36" i="1" s="1"/>
  <c r="CK36" i="1"/>
  <c r="CK41" i="1"/>
  <c r="CK40" i="1"/>
  <c r="CK42" i="1"/>
  <c r="DM36" i="1"/>
  <c r="DM41" i="1"/>
  <c r="DM42" i="1"/>
  <c r="DM40" i="1"/>
  <c r="AN44" i="1"/>
  <c r="AN45" i="1"/>
  <c r="AN43" i="1"/>
  <c r="D33" i="1"/>
  <c r="BI44" i="1"/>
  <c r="BI45" i="1"/>
  <c r="BI43" i="1"/>
  <c r="FK46" i="1"/>
  <c r="FK47" i="1"/>
  <c r="FK48" i="1"/>
  <c r="CR51" i="1"/>
  <c r="CR50" i="1"/>
  <c r="CR49" i="1"/>
  <c r="BP42" i="1"/>
  <c r="BP40" i="1"/>
  <c r="BP36" i="1"/>
  <c r="BP41" i="1"/>
  <c r="AN36" i="1"/>
  <c r="CR36" i="1"/>
  <c r="FQ49" i="1"/>
  <c r="FQ51" i="1"/>
  <c r="FQ50" i="1"/>
  <c r="FC44" i="1"/>
  <c r="E56" i="1" s="1"/>
  <c r="FC43" i="1"/>
  <c r="FC45" i="1"/>
  <c r="FQ43" i="1"/>
  <c r="FQ45" i="1"/>
  <c r="FQ44" i="1"/>
  <c r="EV51" i="1"/>
  <c r="EV50" i="1"/>
  <c r="EV49" i="1"/>
  <c r="EB51" i="1"/>
  <c r="EB49" i="1"/>
  <c r="EB50" i="1"/>
  <c r="DM50" i="1"/>
  <c r="DM49" i="1"/>
  <c r="DM51" i="1"/>
  <c r="AG47" i="1"/>
  <c r="AG48" i="1"/>
  <c r="AG46" i="1"/>
  <c r="FC46" i="1"/>
  <c r="FC48" i="1"/>
  <c r="FC47" i="1"/>
  <c r="FC42" i="1"/>
  <c r="FC40" i="1"/>
  <c r="FC36" i="1"/>
  <c r="FC41" i="1"/>
  <c r="M4" i="1"/>
  <c r="BI36" i="1"/>
  <c r="BI41" i="1"/>
  <c r="BI40" i="1"/>
  <c r="BI42" i="1"/>
  <c r="EB44" i="1"/>
  <c r="E57" i="1" s="1"/>
  <c r="EB45" i="1"/>
  <c r="EB43" i="1"/>
  <c r="D35" i="1"/>
  <c r="E60" i="1" l="1"/>
  <c r="C46" i="1"/>
  <c r="C47" i="1"/>
  <c r="C50" i="1"/>
  <c r="C45" i="1"/>
  <c r="C41" i="1"/>
  <c r="C43" i="1"/>
  <c r="C48" i="1"/>
  <c r="C51" i="1"/>
  <c r="C49" i="1"/>
  <c r="C44" i="1"/>
  <c r="C40" i="1"/>
  <c r="E62" i="1" s="1"/>
  <c r="N4" i="1"/>
  <c r="C42" i="1"/>
  <c r="E61" i="1" l="1"/>
  <c r="E59" i="1"/>
  <c r="E64" i="1" s="1"/>
  <c r="O4" i="1"/>
  <c r="P4" i="1" l="1"/>
  <c r="Q4" i="1" l="1"/>
  <c r="R4" i="1" s="1"/>
  <c r="S4" i="1" l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IK4" i="1" s="1"/>
  <c r="IL4" i="1" s="1"/>
  <c r="IM4" i="1" s="1"/>
  <c r="IN4" i="1" s="1"/>
  <c r="IO4" i="1" s="1"/>
  <c r="IP4" i="1" s="1"/>
  <c r="IQ4" i="1" s="1"/>
  <c r="IR4" i="1" s="1"/>
  <c r="IS4" i="1" s="1"/>
  <c r="IT4" i="1" s="1"/>
  <c r="IU4" i="1" s="1"/>
  <c r="IV4" i="1" s="1"/>
  <c r="IW4" i="1" s="1"/>
  <c r="IX4" i="1" s="1"/>
  <c r="IY4" i="1" s="1"/>
  <c r="IZ4" i="1" s="1"/>
  <c r="JA4" i="1" s="1"/>
  <c r="JB4" i="1" s="1"/>
  <c r="JC4" i="1" s="1"/>
  <c r="JD4" i="1" s="1"/>
  <c r="JE4" i="1" s="1"/>
  <c r="JF4" i="1" s="1"/>
  <c r="JG4" i="1" s="1"/>
  <c r="JH4" i="1" s="1"/>
  <c r="JI4" i="1" s="1"/>
  <c r="JJ4" i="1" s="1"/>
  <c r="JK4" i="1" s="1"/>
  <c r="JL4" i="1" s="1"/>
  <c r="JM4" i="1" s="1"/>
  <c r="JN4" i="1" s="1"/>
  <c r="JO4" i="1" s="1"/>
  <c r="JP4" i="1" s="1"/>
  <c r="JQ4" i="1" s="1"/>
  <c r="JR4" i="1" s="1"/>
  <c r="JS4" i="1" s="1"/>
  <c r="JT4" i="1" s="1"/>
  <c r="JU4" i="1" s="1"/>
  <c r="JV4" i="1" s="1"/>
  <c r="JW4" i="1" s="1"/>
  <c r="JX4" i="1" s="1"/>
  <c r="JY4" i="1" s="1"/>
  <c r="JZ4" i="1" s="1"/>
  <c r="KA4" i="1" s="1"/>
  <c r="KB4" i="1" s="1"/>
  <c r="KC4" i="1" s="1"/>
  <c r="KD4" i="1" s="1"/>
  <c r="KE4" i="1" s="1"/>
  <c r="KF4" i="1" s="1"/>
  <c r="KG4" i="1" s="1"/>
  <c r="KH4" i="1" s="1"/>
  <c r="KI4" i="1" s="1"/>
  <c r="KJ4" i="1" s="1"/>
  <c r="KK4" i="1" s="1"/>
  <c r="KL4" i="1" s="1"/>
  <c r="KM4" i="1" s="1"/>
  <c r="KN4" i="1" s="1"/>
  <c r="KO4" i="1" s="1"/>
  <c r="KP4" i="1" s="1"/>
  <c r="KQ4" i="1" s="1"/>
  <c r="KR4" i="1" s="1"/>
  <c r="KS4" i="1" s="1"/>
  <c r="KT4" i="1" s="1"/>
  <c r="KU4" i="1" s="1"/>
  <c r="KV4" i="1" s="1"/>
  <c r="KW4" i="1" s="1"/>
  <c r="KX4" i="1" s="1"/>
  <c r="KY4" i="1" s="1"/>
  <c r="KZ4" i="1" s="1"/>
  <c r="LA4" i="1" s="1"/>
  <c r="LB4" i="1" s="1"/>
  <c r="LC4" i="1" s="1"/>
  <c r="LD4" i="1" s="1"/>
  <c r="LE4" i="1" s="1"/>
  <c r="LF4" i="1" s="1"/>
  <c r="LG4" i="1" s="1"/>
  <c r="LH4" i="1" s="1"/>
  <c r="LI4" i="1" s="1"/>
  <c r="LJ4" i="1" s="1"/>
  <c r="LK4" i="1" s="1"/>
  <c r="LL4" i="1" s="1"/>
  <c r="LM4" i="1" s="1"/>
  <c r="LN4" i="1" s="1"/>
  <c r="LO4" i="1" s="1"/>
  <c r="LP4" i="1" s="1"/>
  <c r="LQ4" i="1" s="1"/>
  <c r="LR4" i="1" s="1"/>
  <c r="LS4" i="1" s="1"/>
  <c r="LT4" i="1" s="1"/>
  <c r="LU4" i="1" s="1"/>
  <c r="LV4" i="1" s="1"/>
  <c r="LW4" i="1" s="1"/>
  <c r="LX4" i="1" s="1"/>
  <c r="LY4" i="1" s="1"/>
  <c r="LZ4" i="1" s="1"/>
  <c r="MA4" i="1" s="1"/>
  <c r="MB4" i="1" s="1"/>
  <c r="MC4" i="1" s="1"/>
  <c r="MD4" i="1" s="1"/>
  <c r="ME4" i="1" s="1"/>
  <c r="MF4" i="1" s="1"/>
  <c r="MG4" i="1" s="1"/>
  <c r="MH4" i="1" s="1"/>
  <c r="MI4" i="1" s="1"/>
  <c r="MJ4" i="1" s="1"/>
  <c r="MK4" i="1" s="1"/>
  <c r="ML4" i="1" s="1"/>
  <c r="MM4" i="1" s="1"/>
  <c r="MN4" i="1" s="1"/>
  <c r="MO4" i="1" s="1"/>
  <c r="MP4" i="1" s="1"/>
  <c r="MQ4" i="1" s="1"/>
  <c r="MR4" i="1" s="1"/>
  <c r="MS4" i="1" s="1"/>
  <c r="MT4" i="1" s="1"/>
  <c r="MU4" i="1" s="1"/>
  <c r="MV4" i="1" s="1"/>
  <c r="MW4" i="1" s="1"/>
  <c r="MX4" i="1" s="1"/>
  <c r="MY4" i="1" s="1"/>
  <c r="MZ4" i="1" s="1"/>
  <c r="NA4" i="1" s="1"/>
  <c r="NB4" i="1" s="1"/>
  <c r="NC4" i="1" s="1"/>
  <c r="ND4" i="1" s="1"/>
  <c r="NE4" i="1" s="1"/>
  <c r="NF4" i="1" s="1"/>
  <c r="NG4" i="1" s="1"/>
  <c r="NH4" i="1" s="1"/>
  <c r="NI4" i="1" s="1"/>
  <c r="NJ4" i="1" s="1"/>
  <c r="NK4" i="1" s="1"/>
  <c r="NL4" i="1" s="1"/>
  <c r="NM4" i="1" s="1"/>
  <c r="NN4" i="1" s="1"/>
  <c r="NO4" i="1" s="1"/>
  <c r="NP4" i="1" s="1"/>
  <c r="NQ4" i="1" s="1"/>
  <c r="NR4" i="1" s="1"/>
  <c r="NS4" i="1" s="1"/>
  <c r="NT4" i="1" s="1"/>
  <c r="NU4" i="1" s="1"/>
  <c r="NV4" i="1" s="1"/>
  <c r="NW4" i="1" s="1"/>
  <c r="NX4" i="1" s="1"/>
  <c r="NY4" i="1" s="1"/>
  <c r="NZ4" i="1" s="1"/>
  <c r="OA4" i="1" s="1"/>
  <c r="OB4" i="1" s="1"/>
  <c r="OC4" i="1" s="1"/>
  <c r="OD4" i="1" s="1"/>
  <c r="OE4" i="1" s="1"/>
  <c r="OF4" i="1" s="1"/>
  <c r="OG4" i="1" s="1"/>
  <c r="OH4" i="1" s="1"/>
  <c r="OI4" i="1" s="1"/>
  <c r="OJ4" i="1" s="1"/>
  <c r="OK4" i="1" s="1"/>
  <c r="OL4" i="1" s="1"/>
  <c r="OM4" i="1" s="1"/>
  <c r="ON4" i="1" s="1"/>
  <c r="OO4" i="1" s="1"/>
  <c r="OP4" i="1" s="1"/>
  <c r="OQ4" i="1" s="1"/>
  <c r="OR4" i="1" s="1"/>
  <c r="OS4" i="1" s="1"/>
  <c r="OT4" i="1" s="1"/>
  <c r="OU4" i="1" s="1"/>
  <c r="OV4" i="1" s="1"/>
  <c r="OW4" i="1" s="1"/>
  <c r="OX4" i="1" s="1"/>
  <c r="OY4" i="1" s="1"/>
  <c r="OZ4" i="1" s="1"/>
  <c r="PA4" i="1" s="1"/>
  <c r="PB4" i="1" s="1"/>
  <c r="PC4" i="1" s="1"/>
  <c r="PD4" i="1" s="1"/>
  <c r="PE4" i="1" s="1"/>
  <c r="PF4" i="1" s="1"/>
  <c r="PG4" i="1" s="1"/>
  <c r="PH4" i="1" s="1"/>
  <c r="PI4" i="1" s="1"/>
  <c r="PJ4" i="1" s="1"/>
  <c r="PK4" i="1" s="1"/>
  <c r="PL4" i="1" s="1"/>
  <c r="PM4" i="1" s="1"/>
  <c r="PN4" i="1" s="1"/>
  <c r="PO4" i="1" s="1"/>
  <c r="PP4" i="1" s="1"/>
  <c r="PQ4" i="1" s="1"/>
  <c r="PR4" i="1" s="1"/>
  <c r="PS4" i="1" s="1"/>
  <c r="PT4" i="1" s="1"/>
  <c r="PU4" i="1" s="1"/>
  <c r="PV4" i="1" s="1"/>
  <c r="PW4" i="1" s="1"/>
  <c r="PX4" i="1" s="1"/>
  <c r="PY4" i="1" s="1"/>
  <c r="PZ4" i="1" s="1"/>
  <c r="QA4" i="1" s="1"/>
  <c r="QB4" i="1" s="1"/>
  <c r="QC4" i="1" s="1"/>
  <c r="QD4" i="1" s="1"/>
  <c r="QE4" i="1" s="1"/>
  <c r="QF4" i="1" s="1"/>
  <c r="QG4" i="1" s="1"/>
  <c r="QH4" i="1" s="1"/>
  <c r="QI4" i="1" s="1"/>
  <c r="QJ4" i="1" s="1"/>
  <c r="QK4" i="1" s="1"/>
  <c r="QL4" i="1" s="1"/>
  <c r="QM4" i="1" s="1"/>
  <c r="QN4" i="1" s="1"/>
  <c r="QO4" i="1" s="1"/>
  <c r="QP4" i="1" s="1"/>
  <c r="QQ4" i="1" s="1"/>
  <c r="QR4" i="1" s="1"/>
  <c r="QS4" i="1" s="1"/>
  <c r="QT4" i="1" s="1"/>
  <c r="QU4" i="1" s="1"/>
  <c r="QV4" i="1" s="1"/>
  <c r="QW4" i="1" s="1"/>
  <c r="QX4" i="1" s="1"/>
  <c r="QY4" i="1" s="1"/>
  <c r="QZ4" i="1" s="1"/>
  <c r="RA4" i="1" s="1"/>
  <c r="RB4" i="1" s="1"/>
  <c r="RC4" i="1" s="1"/>
  <c r="RD4" i="1" s="1"/>
  <c r="RE4" i="1" s="1"/>
  <c r="RF4" i="1" s="1"/>
  <c r="RG4" i="1" s="1"/>
  <c r="RH4" i="1" s="1"/>
  <c r="RI4" i="1" s="1"/>
  <c r="RJ4" i="1" s="1"/>
  <c r="RK4" i="1" s="1"/>
  <c r="RL4" i="1" s="1"/>
  <c r="RM4" i="1" s="1"/>
  <c r="RN4" i="1" s="1"/>
  <c r="RO4" i="1" s="1"/>
  <c r="RP4" i="1" s="1"/>
  <c r="RQ4" i="1" s="1"/>
  <c r="RR4" i="1" s="1"/>
  <c r="RS4" i="1" s="1"/>
  <c r="RT4" i="1" s="1"/>
  <c r="RU4" i="1" s="1"/>
  <c r="RV4" i="1" s="1"/>
  <c r="RW4" i="1" s="1"/>
  <c r="RX4" i="1" s="1"/>
  <c r="RY4" i="1" s="1"/>
  <c r="RZ4" i="1" s="1"/>
  <c r="SA4" i="1" s="1"/>
  <c r="SB4" i="1" s="1"/>
  <c r="SC4" i="1" s="1"/>
  <c r="SD4" i="1" s="1"/>
  <c r="SE4" i="1" s="1"/>
  <c r="SF4" i="1" s="1"/>
  <c r="SG4" i="1" s="1"/>
  <c r="SH4" i="1" s="1"/>
  <c r="SI4" i="1" s="1"/>
  <c r="SJ4" i="1" s="1"/>
  <c r="SK4" i="1" s="1"/>
  <c r="SL4" i="1" s="1"/>
  <c r="SM4" i="1" s="1"/>
  <c r="SN4" i="1" s="1"/>
  <c r="SO4" i="1" s="1"/>
  <c r="SP4" i="1" s="1"/>
  <c r="SQ4" i="1" s="1"/>
  <c r="SR4" i="1" s="1"/>
  <c r="SS4" i="1" s="1"/>
  <c r="ST4" i="1" s="1"/>
  <c r="SU4" i="1" s="1"/>
  <c r="SV4" i="1" s="1"/>
  <c r="SW4" i="1" s="1"/>
  <c r="SX4" i="1" s="1"/>
  <c r="SY4" i="1" s="1"/>
  <c r="SZ4" i="1" s="1"/>
  <c r="TA4" i="1" s="1"/>
  <c r="TB4" i="1" s="1"/>
  <c r="TC4" i="1" s="1"/>
  <c r="TD4" i="1" s="1"/>
  <c r="TE4" i="1" s="1"/>
  <c r="TF4" i="1" s="1"/>
  <c r="TG4" i="1" s="1"/>
  <c r="TH4" i="1" s="1"/>
  <c r="TI4" i="1" s="1"/>
  <c r="TJ4" i="1" s="1"/>
  <c r="TK4" i="1" s="1"/>
  <c r="TL4" i="1" s="1"/>
  <c r="TM4" i="1" s="1"/>
  <c r="TN4" i="1" s="1"/>
  <c r="TO4" i="1" s="1"/>
  <c r="TP4" i="1" s="1"/>
  <c r="TQ4" i="1" s="1"/>
  <c r="TR4" i="1" s="1"/>
  <c r="TS4" i="1" s="1"/>
  <c r="TT4" i="1" s="1"/>
  <c r="TU4" i="1" s="1"/>
  <c r="TV4" i="1" s="1"/>
  <c r="TW4" i="1" s="1"/>
  <c r="TX4" i="1" s="1"/>
  <c r="TY4" i="1" s="1"/>
  <c r="TZ4" i="1" s="1"/>
  <c r="UA4" i="1" s="1"/>
  <c r="UB4" i="1" s="1"/>
  <c r="UC4" i="1" s="1"/>
  <c r="UD4" i="1" s="1"/>
  <c r="UE4" i="1" s="1"/>
  <c r="UF4" i="1" s="1"/>
  <c r="UG4" i="1" s="1"/>
  <c r="UH4" i="1" s="1"/>
  <c r="UI4" i="1" s="1"/>
  <c r="UJ4" i="1" s="1"/>
  <c r="UK4" i="1" s="1"/>
  <c r="UL4" i="1" s="1"/>
  <c r="UM4" i="1" s="1"/>
  <c r="UN4" i="1" s="1"/>
  <c r="UO4" i="1" s="1"/>
  <c r="UP4" i="1" s="1"/>
  <c r="UQ4" i="1" s="1"/>
  <c r="UR4" i="1" s="1"/>
  <c r="US4" i="1" s="1"/>
  <c r="UT4" i="1" s="1"/>
  <c r="UU4" i="1" s="1"/>
  <c r="UV4" i="1" s="1"/>
  <c r="UW4" i="1" s="1"/>
  <c r="UX4" i="1" s="1"/>
  <c r="UY4" i="1" s="1"/>
  <c r="UZ4" i="1" s="1"/>
  <c r="VA4" i="1" s="1"/>
  <c r="VB4" i="1" s="1"/>
  <c r="VC4" i="1" s="1"/>
  <c r="VD4" i="1" s="1"/>
  <c r="VE4" i="1" s="1"/>
  <c r="VF4" i="1" s="1"/>
  <c r="VG4" i="1" s="1"/>
  <c r="VH4" i="1" s="1"/>
  <c r="VI4" i="1" s="1"/>
  <c r="VJ4" i="1" s="1"/>
  <c r="VK4" i="1" s="1"/>
  <c r="VL4" i="1" s="1"/>
  <c r="VM4" i="1" s="1"/>
  <c r="VN4" i="1" s="1"/>
  <c r="VO4" i="1" s="1"/>
  <c r="VP4" i="1" s="1"/>
  <c r="VQ4" i="1" s="1"/>
  <c r="VR4" i="1" s="1"/>
  <c r="VS4" i="1" s="1"/>
  <c r="VT4" i="1" s="1"/>
  <c r="VU4" i="1" s="1"/>
  <c r="VV4" i="1" s="1"/>
  <c r="VW4" i="1" s="1"/>
  <c r="VX4" i="1" s="1"/>
  <c r="VY4" i="1" s="1"/>
  <c r="VZ4" i="1" s="1"/>
  <c r="WA4" i="1" s="1"/>
  <c r="WB4" i="1" s="1"/>
  <c r="WC4" i="1" s="1"/>
  <c r="WD4" i="1" s="1"/>
  <c r="WE4" i="1" s="1"/>
  <c r="WF4" i="1" s="1"/>
  <c r="WG4" i="1" s="1"/>
  <c r="WH4" i="1" s="1"/>
  <c r="WI4" i="1" s="1"/>
  <c r="WJ4" i="1" s="1"/>
  <c r="WK4" i="1" s="1"/>
  <c r="WL4" i="1" s="1"/>
  <c r="WM4" i="1" s="1"/>
  <c r="WN4" i="1" s="1"/>
  <c r="WO4" i="1" s="1"/>
  <c r="WP4" i="1" s="1"/>
  <c r="WQ4" i="1" s="1"/>
  <c r="WR4" i="1" s="1"/>
  <c r="WS4" i="1" s="1"/>
  <c r="WT4" i="1" s="1"/>
  <c r="WU4" i="1" s="1"/>
  <c r="WV4" i="1" s="1"/>
  <c r="WW4" i="1" s="1"/>
  <c r="WX4" i="1" s="1"/>
  <c r="WY4" i="1" s="1"/>
  <c r="WZ4" i="1" s="1"/>
  <c r="XA4" i="1" s="1"/>
  <c r="XB4" i="1" s="1"/>
  <c r="XC4" i="1" s="1"/>
  <c r="XD4" i="1" s="1"/>
  <c r="XE4" i="1" s="1"/>
  <c r="XF4" i="1" s="1"/>
  <c r="XG4" i="1" s="1"/>
  <c r="XH4" i="1" s="1"/>
  <c r="XI4" i="1" s="1"/>
  <c r="XJ4" i="1" s="1"/>
  <c r="XK4" i="1" s="1"/>
  <c r="XL4" i="1" s="1"/>
  <c r="XM4" i="1" s="1"/>
  <c r="XN4" i="1" s="1"/>
  <c r="XO4" i="1" s="1"/>
  <c r="XP4" i="1" s="1"/>
  <c r="XQ4" i="1" s="1"/>
  <c r="XR4" i="1" s="1"/>
  <c r="XS4" i="1" s="1"/>
  <c r="XT4" i="1" s="1"/>
  <c r="XU4" i="1" s="1"/>
  <c r="XV4" i="1" s="1"/>
  <c r="XW4" i="1" s="1"/>
  <c r="XX4" i="1" s="1"/>
  <c r="XY4" i="1" s="1"/>
  <c r="XZ4" i="1" s="1"/>
  <c r="YA4" i="1" s="1"/>
  <c r="YB4" i="1" s="1"/>
  <c r="YC4" i="1" s="1"/>
  <c r="YD4" i="1" s="1"/>
  <c r="YE4" i="1" s="1"/>
  <c r="YF4" i="1" s="1"/>
  <c r="YG4" i="1" s="1"/>
  <c r="YH4" i="1" s="1"/>
  <c r="YI4" i="1" s="1"/>
  <c r="YJ4" i="1" s="1"/>
  <c r="YK4" i="1" s="1"/>
  <c r="YL4" i="1" s="1"/>
  <c r="YM4" i="1" s="1"/>
  <c r="YN4" i="1" s="1"/>
  <c r="YO4" i="1" s="1"/>
  <c r="YP4" i="1" s="1"/>
  <c r="YQ4" i="1" s="1"/>
  <c r="YR4" i="1" s="1"/>
  <c r="YS4" i="1" s="1"/>
  <c r="YT4" i="1" s="1"/>
  <c r="YU4" i="1" s="1"/>
  <c r="YV4" i="1" s="1"/>
  <c r="YW4" i="1" s="1"/>
  <c r="YX4" i="1" s="1"/>
  <c r="YY4" i="1" s="1"/>
  <c r="YZ4" i="1" s="1"/>
  <c r="ZA4" i="1" s="1"/>
  <c r="ZB4" i="1" s="1"/>
  <c r="ZC4" i="1" s="1"/>
  <c r="ZD4" i="1" s="1"/>
  <c r="ZE4" i="1" s="1"/>
  <c r="ZF4" i="1" s="1"/>
  <c r="ZG4" i="1" s="1"/>
  <c r="ZH4" i="1" s="1"/>
  <c r="ZI4" i="1" s="1"/>
  <c r="ZJ4" i="1" s="1"/>
  <c r="ZK4" i="1" s="1"/>
  <c r="ZL4" i="1" s="1"/>
  <c r="ZM4" i="1" s="1"/>
  <c r="ZN4" i="1" s="1"/>
  <c r="ZO4" i="1" s="1"/>
  <c r="ZP4" i="1" s="1"/>
  <c r="ZQ4" i="1" s="1"/>
  <c r="ZR4" i="1" s="1"/>
  <c r="ZS4" i="1" s="1"/>
  <c r="ZT4" i="1" s="1"/>
  <c r="ZU4" i="1" s="1"/>
  <c r="ZV4" i="1" s="1"/>
  <c r="ZW4" i="1" s="1"/>
  <c r="ZX4" i="1" s="1"/>
  <c r="ZY4" i="1" s="1"/>
  <c r="ZZ4" i="1" s="1"/>
  <c r="AAA4" i="1" s="1"/>
  <c r="AAB4" i="1" s="1"/>
  <c r="AAC4" i="1" s="1"/>
  <c r="AAD4" i="1" s="1"/>
  <c r="AAE4" i="1" s="1"/>
  <c r="AAF4" i="1" s="1"/>
  <c r="AAG4" i="1" s="1"/>
  <c r="AAH4" i="1" s="1"/>
  <c r="AAI4" i="1" s="1"/>
  <c r="AAJ4" i="1" s="1"/>
  <c r="AAK4" i="1" s="1"/>
  <c r="AAL4" i="1" s="1"/>
  <c r="AAM4" i="1" s="1"/>
  <c r="AAN4" i="1" s="1"/>
  <c r="AAO4" i="1" s="1"/>
  <c r="AAP4" i="1" s="1"/>
  <c r="AAQ4" i="1" s="1"/>
  <c r="AAR4" i="1" s="1"/>
  <c r="AAS4" i="1" s="1"/>
  <c r="AAT4" i="1" s="1"/>
  <c r="AAU4" i="1" s="1"/>
  <c r="AAV4" i="1" s="1"/>
  <c r="AAW4" i="1" s="1"/>
  <c r="AAX4" i="1" s="1"/>
  <c r="AAY4" i="1" s="1"/>
  <c r="AAZ4" i="1" s="1"/>
  <c r="ABA4" i="1" s="1"/>
  <c r="ABB4" i="1" s="1"/>
  <c r="ABC4" i="1" s="1"/>
  <c r="ABD4" i="1" s="1"/>
  <c r="ABE4" i="1" s="1"/>
  <c r="ABF4" i="1" s="1"/>
  <c r="ABG4" i="1" s="1"/>
  <c r="ABH4" i="1" s="1"/>
  <c r="ABI4" i="1" s="1"/>
  <c r="E68" i="1"/>
  <c r="E78" i="1"/>
  <c r="G78" i="1" s="1"/>
  <c r="E71" i="1"/>
  <c r="G71" i="1" s="1"/>
  <c r="E77" i="1"/>
  <c r="G77" i="1" s="1"/>
  <c r="E80" i="1"/>
  <c r="E75" i="1"/>
  <c r="G75" i="1" s="1"/>
  <c r="E79" i="1"/>
  <c r="G79" i="1" s="1"/>
  <c r="E74" i="1"/>
  <c r="G74" i="1" s="1"/>
  <c r="G68" i="1" l="1"/>
  <c r="E67" i="1"/>
  <c r="G67" i="1" s="1"/>
  <c r="E69" i="1"/>
  <c r="G69" i="1" s="1"/>
  <c r="E73" i="1"/>
  <c r="G73" i="1" s="1"/>
  <c r="E76" i="1"/>
  <c r="G76" i="1" s="1"/>
  <c r="G80" i="1"/>
  <c r="E72" i="1"/>
  <c r="G72" i="1" s="1"/>
  <c r="E70" i="1"/>
  <c r="G70" i="1" s="1"/>
  <c r="D72" i="1"/>
  <c r="D67" i="1"/>
  <c r="D80" i="1"/>
  <c r="D76" i="1"/>
  <c r="D70" i="1"/>
  <c r="D73" i="1"/>
  <c r="D77" i="1"/>
  <c r="D74" i="1"/>
  <c r="D71" i="1"/>
  <c r="D68" i="1"/>
  <c r="D69" i="1"/>
  <c r="D78" i="1"/>
  <c r="D75" i="1"/>
  <c r="D79" i="1"/>
  <c r="B66" i="1" l="1"/>
  <c r="B76" i="1" s="1"/>
  <c r="A76" i="1" s="1"/>
  <c r="F76" i="1" s="1"/>
  <c r="H76" i="1" s="1"/>
  <c r="B71" i="1" l="1"/>
  <c r="A71" i="1" s="1"/>
  <c r="F71" i="1" s="1"/>
  <c r="H71" i="1" s="1"/>
  <c r="B80" i="1"/>
  <c r="A80" i="1" s="1"/>
  <c r="F80" i="1" s="1"/>
  <c r="H80" i="1" s="1"/>
  <c r="B72" i="1"/>
  <c r="A72" i="1" s="1"/>
  <c r="F72" i="1" s="1"/>
  <c r="H72" i="1" s="1"/>
  <c r="B68" i="1"/>
  <c r="A68" i="1" s="1"/>
  <c r="F68" i="1" s="1"/>
  <c r="H68" i="1" s="1"/>
  <c r="B79" i="1"/>
  <c r="A79" i="1" s="1"/>
  <c r="F79" i="1" s="1"/>
  <c r="H79" i="1" s="1"/>
  <c r="B67" i="1"/>
  <c r="A67" i="1" s="1"/>
  <c r="F67" i="1" s="1"/>
  <c r="H67" i="1" s="1"/>
  <c r="B70" i="1"/>
  <c r="A70" i="1" s="1"/>
  <c r="F70" i="1" s="1"/>
  <c r="H70" i="1" s="1"/>
  <c r="B75" i="1"/>
  <c r="A75" i="1" s="1"/>
  <c r="F75" i="1" s="1"/>
  <c r="H75" i="1" s="1"/>
  <c r="B78" i="1"/>
  <c r="A78" i="1" s="1"/>
  <c r="F78" i="1" s="1"/>
  <c r="H78" i="1" s="1"/>
  <c r="B73" i="1"/>
  <c r="A73" i="1" s="1"/>
  <c r="F73" i="1" s="1"/>
  <c r="H73" i="1" s="1"/>
  <c r="B69" i="1"/>
  <c r="A69" i="1" s="1"/>
  <c r="F69" i="1" s="1"/>
  <c r="H69" i="1" s="1"/>
  <c r="B74" i="1"/>
  <c r="A74" i="1" s="1"/>
  <c r="F74" i="1" s="1"/>
  <c r="H74" i="1" s="1"/>
  <c r="B77" i="1"/>
  <c r="A77" i="1" s="1"/>
  <c r="F77" i="1" s="1"/>
  <c r="H77" i="1" s="1"/>
</calcChain>
</file>

<file path=xl/sharedStrings.xml><?xml version="1.0" encoding="utf-8"?>
<sst xmlns="http://schemas.openxmlformats.org/spreadsheetml/2006/main" count="65" uniqueCount="34">
  <si>
    <r>
      <t>Previsão Alimentação</t>
    </r>
    <r>
      <rPr>
        <b/>
        <sz val="16"/>
        <color theme="0" tint="-0.499984740745262"/>
        <rFont val="Calibri"/>
        <family val="2"/>
        <scheme val="minor"/>
      </rPr>
      <t xml:space="preserve"> 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Planejamento</t>
    </r>
  </si>
  <si>
    <t>QTDE MESES</t>
  </si>
  <si>
    <t>DATA INICIAL</t>
  </si>
  <si>
    <t>Mês</t>
  </si>
  <si>
    <t>Ano</t>
  </si>
  <si>
    <t>DATA FINAL OBRA</t>
  </si>
  <si>
    <t>Dia da semana</t>
  </si>
  <si>
    <t>QTDE REFEIÇÕES</t>
  </si>
  <si>
    <t>MOA</t>
  </si>
  <si>
    <t xml:space="preserve">MOI  </t>
  </si>
  <si>
    <t>ST</t>
  </si>
  <si>
    <t>MOD</t>
  </si>
  <si>
    <t>TOTAL</t>
  </si>
  <si>
    <t>LOCAL</t>
  </si>
  <si>
    <t>LOCAL PARA ALMOÇO</t>
  </si>
  <si>
    <t xml:space="preserve">MOA  </t>
  </si>
  <si>
    <t>CAFÉ DA MANHÃ</t>
  </si>
  <si>
    <t>ALMOÇO</t>
  </si>
  <si>
    <t>JANTAR</t>
  </si>
  <si>
    <t>MOI</t>
  </si>
  <si>
    <t>PREVISÃO</t>
  </si>
  <si>
    <t>ALMOÇO SÁBADO</t>
  </si>
  <si>
    <t>ALMOÇO DOMINGO</t>
  </si>
  <si>
    <t>ALMOÇO FERIADO</t>
  </si>
  <si>
    <t>TOTAL ALMOÇO TRAB</t>
  </si>
  <si>
    <t>TOTAL ALMOÇO SÁB/DOM/FER</t>
  </si>
  <si>
    <t>TOTAL JANTAR</t>
  </si>
  <si>
    <t>PR4EVSIÃO</t>
  </si>
  <si>
    <t>DESCONTO LOCAL</t>
  </si>
  <si>
    <t>PREVSIÃO</t>
  </si>
  <si>
    <t>MÊS</t>
  </si>
  <si>
    <t>CAFÉ DA MANHA E JANTAR</t>
  </si>
  <si>
    <t>ALMOÇO SÁB E DOM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</si>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</sst>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 Narrow"/>
      <family val="2"/>
    </font>
    <font>
      <b/>
      <sz val="16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3" fillId="0" borderId="0" xfId="3" applyNumberFormat="1" applyFont="1" applyAlignment="1" applyProtection="1">
      <alignment horizontal="center" vertical="center" textRotation="90"/>
      <protection hidden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 indent="1"/>
    </xf>
    <xf numFmtId="0" fontId="2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textRotation="90"/>
    </xf>
    <xf numFmtId="14" fontId="2" fillId="2" borderId="2" xfId="0" applyNumberFormat="1" applyFont="1" applyFill="1" applyBorder="1" applyAlignment="1">
      <alignment horizontal="center" vertical="center" textRotation="90"/>
    </xf>
    <xf numFmtId="3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3" fontId="2" fillId="0" borderId="2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43" fontId="8" fillId="0" borderId="2" xfId="1" applyFont="1" applyFill="1" applyBorder="1" applyAlignment="1">
      <alignment horizontal="center" vertical="center"/>
    </xf>
    <xf numFmtId="43" fontId="10" fillId="0" borderId="2" xfId="0" applyNumberFormat="1" applyFont="1" applyBorder="1" applyAlignment="1">
      <alignment horizontal="center" vertical="center"/>
    </xf>
    <xf numFmtId="43" fontId="10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3" fontId="8" fillId="0" borderId="0" xfId="1" applyFont="1" applyFill="1" applyBorder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43" fontId="10" fillId="2" borderId="0" xfId="0" applyNumberFormat="1" applyFont="1" applyFill="1" applyAlignment="1">
      <alignment horizontal="center" vertical="center"/>
    </xf>
    <xf numFmtId="43" fontId="2" fillId="0" borderId="0" xfId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3" fontId="2" fillId="0" borderId="2" xfId="1" applyFont="1" applyBorder="1" applyAlignment="1">
      <alignment horizontal="center" vertical="center"/>
    </xf>
    <xf numFmtId="43" fontId="2" fillId="0" borderId="2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43" fontId="9" fillId="0" borderId="0" xfId="0" applyNumberFormat="1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9" fontId="9" fillId="0" borderId="0" xfId="2" applyFont="1" applyAlignment="1">
      <alignment vertical="center"/>
    </xf>
    <xf numFmtId="43" fontId="2" fillId="0" borderId="2" xfId="1" applyFont="1" applyBorder="1" applyAlignment="1">
      <alignment vertical="center"/>
    </xf>
  </cellXfs>
  <cellStyles count="4">
    <cellStyle name="Normal" xfId="0" builtinId="0"/>
    <cellStyle name="Normal 4 2" xfId="3" xr:uid="{B712DDF7-5361-48D3-AC13-A0CB185760C7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12</xdr:row>
      <xdr:rowOff>82550</xdr:rowOff>
    </xdr:from>
    <xdr:ext cx="787400" cy="387736"/>
    <xdr:pic>
      <xdr:nvPicPr>
        <xdr:cNvPr id="2" name="Imagem 1">
          <a:extLst>
            <a:ext uri="{FF2B5EF4-FFF2-40B4-BE49-F238E27FC236}">
              <a16:creationId xmlns:a16="http://schemas.microsoft.com/office/drawing/2014/main" id="{D0B21254-FB85-4D30-BF44-34C3D82C0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06400"/>
          <a:ext cx="787400" cy="387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ENGENHARIA\Clientes\Em%20Andamento\SADA\Eber%20Bio\ATK_102_25_REV02_R3_(SADA_EBER_Montagem%20Processo%20Milho)\Em%20andamento\Administrativo\Planilha%20Mestre%20Engenharia\PD_ATK_102_25_REV02_R3_(SADA_EBER_Montagem%20Processo%20Milho)_Consolidada.xlsb" TargetMode="External"/><Relationship Id="rId2" Type="http://schemas.microsoft.com/office/2019/04/relationships/externalLinkLongPath" Target="/ENGENHARIA/Clientes/Em%20Andamento/SADA/Eber%20Bio/ATK_102_25_REV02_R3_(SADA_EBER_Montagem%20Processo%20Milho)/Em%20andamento/Administrativo/Planilha%20Mestre%20Engenharia/PD_ATK_102_25_REV02_R3_(SADA_EBER_Montagem%20Processo%20Milho)_Consolidada.xlsb?7EF171AD" TargetMode="External"/><Relationship Id="rId1" Type="http://schemas.openxmlformats.org/officeDocument/2006/relationships/externalLinkPath" Target="file:///\\7EF171AD\PD_ATK_102_25_REV02_R3_(SADA_EBER_Montagem%20Processo%20Milho)_Consolidad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dágio e Combustivel_21"/>
      <sheetName val="Custos Fixos 2017"/>
      <sheetName val="2019 DP"/>
      <sheetName val="Encargos"/>
      <sheetName val="Logistica 2020"/>
      <sheetName val="Valores HH 2° tri 25"/>
      <sheetName val="Cálculo Fat"/>
      <sheetName val="FAT_Evolução"/>
      <sheetName val="Típicos"/>
      <sheetName val="Tab Din MI"/>
      <sheetName val="CONDIÇÕES COMERCIAIS"/>
      <sheetName val="TAB DIN Valores"/>
      <sheetName val="ICMS_DIFAL"/>
      <sheetName val="Debitos Impostos"/>
      <sheetName val="Faturamento Direto"/>
      <sheetName val="THEO"/>
      <sheetName val="Avulso HH"/>
      <sheetName val="Fluxo Financeiro Geral"/>
      <sheetName val="Calc Eng"/>
      <sheetName val="Cockpit Retorno"/>
      <sheetName val="Impostos_Taxas_ICMs"/>
      <sheetName val="Apresentação Valores"/>
      <sheetName val="Check List Importante"/>
      <sheetName val="Pendencia CHECK"/>
      <sheetName val="Divisão Venda 2020"/>
      <sheetName val="FAT_22"/>
      <sheetName val="Base custos Fixo"/>
      <sheetName val="MOF"/>
      <sheetName val="PHEA"/>
      <sheetName val="Base Brasil Obras"/>
      <sheetName val="TAB DIN MAT"/>
      <sheetName val="Pareto THEO"/>
      <sheetName val="Preenchimento"/>
      <sheetName val="M&amp;P"/>
      <sheetName val="I_C"/>
      <sheetName val="BDI"/>
      <sheetName val="Suportes"/>
      <sheetName val="THEO Desmontagem"/>
      <sheetName val="Custo MO Impostos Obras"/>
      <sheetName val="Funções THEO"/>
      <sheetName val="Processo Venda Obra"/>
      <sheetName val="HubSpot"/>
      <sheetName val="Resumo_HIA_HIC_HOC "/>
      <sheetName val="HOC_Histograma_Obra"/>
      <sheetName val="Fluxo Eventos"/>
      <sheetName val="Valores médios Ref_Lanches"/>
      <sheetName val="Check nomes"/>
      <sheetName val="Custo Impostos Sobre HH"/>
      <sheetName val="Histograma Numérico"/>
      <sheetName val="compair 23 x 24"/>
      <sheetName val="Cronograma Canteiros"/>
      <sheetName val="Check Canteiro Obra"/>
      <sheetName val="INMET"/>
      <sheetName val="Estação Climática"/>
      <sheetName val="Cidades Feriado"/>
      <sheetName val="Custo Interno"/>
      <sheetName val="Calendário"/>
      <sheetName val="Calculo_Integração"/>
      <sheetName val="HIA_Histograma_Integração_ATM"/>
      <sheetName val="HIC_Histograma_Integra_Cliente"/>
      <sheetName val="HOM_Histograma_Mob e DesmMOB"/>
      <sheetName val="HIP_Periculosidade"/>
      <sheetName val="Turnover Absenteismo Folgas"/>
      <sheetName val="Tabela DP"/>
      <sheetName val="MOB_Obra"/>
      <sheetName val="LOG _Obra"/>
      <sheetName val="Estimativa Casa"/>
      <sheetName val="SSMA_Cliente"/>
      <sheetName val="TESTE_LOG_OBRA"/>
      <sheetName val="Casa Locada_KM"/>
      <sheetName val="Matriz Responsabilidade"/>
      <sheetName val="Pareto Metas"/>
      <sheetName val="Mestre"/>
      <sheetName val="Pareto_Calculo Meta"/>
      <sheetName val="Apoio_BI"/>
      <sheetName val="Planej_Cronograma"/>
      <sheetName val="Planej_Histograma"/>
      <sheetName val="Planej_LOG"/>
      <sheetName val="Valores Vendas HH_D_Km"/>
      <sheetName val="Custos de HH_LOG"/>
      <sheetName val="Planej_Recrutamento"/>
      <sheetName val="DRE_Resumo"/>
      <sheetName val="Separação SS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>
            <v>47.99116721048555</v>
          </cell>
        </row>
        <row r="4">
          <cell r="B4">
            <v>479.91167210485554</v>
          </cell>
        </row>
        <row r="5">
          <cell r="B5">
            <v>250.5</v>
          </cell>
          <cell r="H5">
            <v>0</v>
          </cell>
        </row>
        <row r="6">
          <cell r="B6">
            <v>167</v>
          </cell>
        </row>
        <row r="7">
          <cell r="B7">
            <v>47.8</v>
          </cell>
        </row>
        <row r="8">
          <cell r="B8">
            <v>4.2468182715271316</v>
          </cell>
        </row>
        <row r="9">
          <cell r="B9">
            <v>7.086990675684441</v>
          </cell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3">
          <cell r="H13">
            <v>0</v>
          </cell>
        </row>
        <row r="14">
          <cell r="R14">
            <v>0</v>
          </cell>
        </row>
        <row r="18">
          <cell r="B18">
            <v>11.56</v>
          </cell>
        </row>
        <row r="23">
          <cell r="B23">
            <v>35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  <row r="29">
          <cell r="B29">
            <v>9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19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820</v>
          </cell>
        </row>
        <row r="38">
          <cell r="B38">
            <v>30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2211.0079460584848</v>
          </cell>
        </row>
        <row r="43">
          <cell r="B43">
            <v>0</v>
          </cell>
        </row>
        <row r="44">
          <cell r="B44">
            <v>2900</v>
          </cell>
          <cell r="Q44">
            <v>0</v>
          </cell>
        </row>
        <row r="45">
          <cell r="B45">
            <v>152.09778185277349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L53">
            <v>0</v>
          </cell>
        </row>
        <row r="54">
          <cell r="B54">
            <v>0</v>
          </cell>
        </row>
        <row r="56">
          <cell r="B56">
            <v>0</v>
          </cell>
          <cell r="O56">
            <v>0</v>
          </cell>
        </row>
        <row r="57">
          <cell r="B57">
            <v>0</v>
          </cell>
        </row>
        <row r="59">
          <cell r="B59">
            <v>290</v>
          </cell>
        </row>
        <row r="60">
          <cell r="B60">
            <v>10</v>
          </cell>
          <cell r="G60">
            <v>90</v>
          </cell>
        </row>
        <row r="61">
          <cell r="B61">
            <v>6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125.06327127962082</v>
          </cell>
        </row>
        <row r="68">
          <cell r="K68">
            <v>0.8</v>
          </cell>
        </row>
        <row r="78">
          <cell r="A78" t="str">
            <v>Sim</v>
          </cell>
        </row>
        <row r="79">
          <cell r="A79" t="str">
            <v>Não</v>
          </cell>
        </row>
        <row r="100">
          <cell r="K100" t="str">
            <v>Não</v>
          </cell>
        </row>
        <row r="101">
          <cell r="I101">
            <v>0</v>
          </cell>
        </row>
        <row r="128">
          <cell r="DA128">
            <v>21</v>
          </cell>
        </row>
        <row r="136">
          <cell r="AB136">
            <v>0</v>
          </cell>
        </row>
        <row r="241">
          <cell r="EZ241">
            <v>186.49079460584849</v>
          </cell>
        </row>
        <row r="242">
          <cell r="EZ242">
            <v>157.36214894342336</v>
          </cell>
        </row>
        <row r="243">
          <cell r="EZ243">
            <v>215.5488497074912</v>
          </cell>
        </row>
        <row r="244">
          <cell r="EZ244">
            <v>189.20440868603464</v>
          </cell>
        </row>
        <row r="245">
          <cell r="EZ245">
            <v>192.98849685975534</v>
          </cell>
        </row>
        <row r="246">
          <cell r="EZ246">
            <v>132.56706755639809</v>
          </cell>
        </row>
        <row r="247">
          <cell r="EZ247">
            <v>125.06327127962082</v>
          </cell>
        </row>
        <row r="248">
          <cell r="EZ248">
            <v>125.06327127962082</v>
          </cell>
        </row>
        <row r="249">
          <cell r="EZ249">
            <v>186.49079460584849</v>
          </cell>
        </row>
        <row r="250">
          <cell r="EZ250">
            <v>152.09778185277349</v>
          </cell>
        </row>
        <row r="251">
          <cell r="EZ251">
            <v>166.28768853768148</v>
          </cell>
        </row>
      </sheetData>
      <sheetData sheetId="19">
        <row r="1">
          <cell r="L1">
            <v>8.6499999999999994E-2</v>
          </cell>
        </row>
        <row r="2">
          <cell r="J2">
            <v>0.16250000000000001</v>
          </cell>
          <cell r="L2">
            <v>8.6499999999999994E-2</v>
          </cell>
        </row>
        <row r="3">
          <cell r="J3">
            <v>0.14250000000000002</v>
          </cell>
        </row>
        <row r="4">
          <cell r="I4">
            <v>8.6499999999999994E-2</v>
          </cell>
        </row>
        <row r="6">
          <cell r="GS6">
            <v>1</v>
          </cell>
        </row>
        <row r="32">
          <cell r="K32">
            <v>861133.63496237982</v>
          </cell>
        </row>
        <row r="35">
          <cell r="C35">
            <v>0.86646531532069737</v>
          </cell>
        </row>
        <row r="37">
          <cell r="C37">
            <v>206432.20545894993</v>
          </cell>
        </row>
        <row r="38">
          <cell r="C38">
            <v>48951.040000000001</v>
          </cell>
        </row>
        <row r="39">
          <cell r="D39">
            <v>6.7999999999999996E-3</v>
          </cell>
        </row>
        <row r="40">
          <cell r="C40">
            <v>303542.82260587811</v>
          </cell>
          <cell r="D40">
            <v>2.8400338941418239E-2</v>
          </cell>
        </row>
        <row r="41">
          <cell r="C41">
            <v>236642.8542859242</v>
          </cell>
          <cell r="D41">
            <v>2.2140985618069254E-2</v>
          </cell>
        </row>
        <row r="42">
          <cell r="C42">
            <v>448153.94720876933</v>
          </cell>
          <cell r="D42">
            <v>4.1930571408006115E-2</v>
          </cell>
        </row>
        <row r="43">
          <cell r="C43">
            <v>68122.126379999987</v>
          </cell>
        </row>
        <row r="44">
          <cell r="C44">
            <v>213760</v>
          </cell>
          <cell r="K44">
            <v>0.13</v>
          </cell>
        </row>
        <row r="45">
          <cell r="C45">
            <v>160320</v>
          </cell>
        </row>
        <row r="47">
          <cell r="C47">
            <v>9083338.1094628647</v>
          </cell>
        </row>
        <row r="48">
          <cell r="C48">
            <v>5</v>
          </cell>
        </row>
        <row r="50">
          <cell r="D50">
            <v>128935400</v>
          </cell>
        </row>
        <row r="51">
          <cell r="C51">
            <v>11897000</v>
          </cell>
        </row>
        <row r="53">
          <cell r="C53">
            <v>10688000</v>
          </cell>
        </row>
        <row r="54">
          <cell r="C54">
            <v>10688000</v>
          </cell>
        </row>
        <row r="55">
          <cell r="C55">
            <v>10688000</v>
          </cell>
          <cell r="D55">
            <v>9826866.3650376201</v>
          </cell>
        </row>
        <row r="58">
          <cell r="C58">
            <v>0.15</v>
          </cell>
        </row>
        <row r="62">
          <cell r="D62">
            <v>2.4148217903256355E-2</v>
          </cell>
        </row>
        <row r="64">
          <cell r="D64">
            <v>0.1027509040801442</v>
          </cell>
        </row>
        <row r="116">
          <cell r="E116">
            <v>1.4360679844325142E-2</v>
          </cell>
        </row>
        <row r="166">
          <cell r="AEK166">
            <v>116041860</v>
          </cell>
        </row>
        <row r="171">
          <cell r="AFB171">
            <v>1.0500000000000001E-2</v>
          </cell>
        </row>
        <row r="174">
          <cell r="AFB174">
            <v>1.9314390480814927E-2</v>
          </cell>
          <cell r="AFD174">
            <v>2.8400338941418239E-2</v>
          </cell>
          <cell r="AFK174">
            <v>2.2140985618069254E-2</v>
          </cell>
          <cell r="AFR174">
            <v>4.1930571408006115E-2</v>
          </cell>
        </row>
      </sheetData>
      <sheetData sheetId="20">
        <row r="3">
          <cell r="P3">
            <v>0.05</v>
          </cell>
        </row>
        <row r="4">
          <cell r="H4">
            <v>7.0000000000000007E-2</v>
          </cell>
        </row>
        <row r="5">
          <cell r="H5">
            <v>1.6500000000000001E-2</v>
          </cell>
        </row>
        <row r="6">
          <cell r="H6">
            <v>7.5999999999999998E-2</v>
          </cell>
          <cell r="P6">
            <v>7.0000000000000007E-2</v>
          </cell>
        </row>
        <row r="9">
          <cell r="H9">
            <v>1.6500000000000001E-2</v>
          </cell>
        </row>
        <row r="10">
          <cell r="S10">
            <v>0</v>
          </cell>
        </row>
        <row r="13">
          <cell r="H13">
            <v>1.4999999999999999E-2</v>
          </cell>
        </row>
        <row r="14">
          <cell r="H14">
            <v>0.05</v>
          </cell>
        </row>
        <row r="15">
          <cell r="H15">
            <v>6.5000000000000006E-3</v>
          </cell>
        </row>
        <row r="16">
          <cell r="H16">
            <v>0.03</v>
          </cell>
        </row>
        <row r="20">
          <cell r="H20">
            <v>0.05</v>
          </cell>
        </row>
        <row r="24">
          <cell r="H24">
            <v>6.5000000000000006E-3</v>
          </cell>
        </row>
        <row r="25">
          <cell r="K25">
            <v>0.03</v>
          </cell>
        </row>
        <row r="26">
          <cell r="H26">
            <v>0.05</v>
          </cell>
        </row>
        <row r="27">
          <cell r="H27">
            <v>1.2E-2</v>
          </cell>
        </row>
        <row r="28">
          <cell r="H28">
            <v>7.1999999999999998E-3</v>
          </cell>
        </row>
        <row r="30">
          <cell r="H30">
            <v>1.6500000000000001E-2</v>
          </cell>
          <cell r="I30">
            <v>6.5000000000000006E-3</v>
          </cell>
        </row>
        <row r="31">
          <cell r="H31">
            <v>7.5999999999999998E-2</v>
          </cell>
          <cell r="I31">
            <v>0.03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4">
          <cell r="G24">
            <v>0.45492745341720342</v>
          </cell>
        </row>
      </sheetData>
      <sheetData sheetId="36"/>
      <sheetData sheetId="37"/>
      <sheetData sheetId="38">
        <row r="6">
          <cell r="F6">
            <v>5.0000000000000001E-3</v>
          </cell>
        </row>
      </sheetData>
      <sheetData sheetId="39"/>
      <sheetData sheetId="40"/>
      <sheetData sheetId="41"/>
      <sheetData sheetId="42">
        <row r="6">
          <cell r="E6">
            <v>183202.89407003025</v>
          </cell>
          <cell r="F6">
            <v>0</v>
          </cell>
          <cell r="G6">
            <v>0</v>
          </cell>
          <cell r="Q6">
            <v>0</v>
          </cell>
        </row>
        <row r="7">
          <cell r="E7">
            <v>472580.95291063137</v>
          </cell>
          <cell r="F7">
            <v>8036.1170355025915</v>
          </cell>
          <cell r="G7">
            <v>4270.4494865979414</v>
          </cell>
          <cell r="Q7">
            <v>7579.5806108286133</v>
          </cell>
        </row>
        <row r="8">
          <cell r="E8">
            <v>1745195.8117631448</v>
          </cell>
          <cell r="F8">
            <v>96107.892482854077</v>
          </cell>
          <cell r="G8">
            <v>5056.8705407227681</v>
          </cell>
          <cell r="Q8">
            <v>90647.947907229915</v>
          </cell>
        </row>
        <row r="9">
          <cell r="E9">
            <v>211982.43355324148</v>
          </cell>
        </row>
        <row r="10">
          <cell r="E10">
            <v>31574.432718199823</v>
          </cell>
        </row>
        <row r="11">
          <cell r="L11">
            <v>214525.72520153469</v>
          </cell>
        </row>
        <row r="12">
          <cell r="L12">
            <v>825516.52254036604</v>
          </cell>
        </row>
        <row r="13">
          <cell r="E13">
            <v>1420330.3751407722</v>
          </cell>
          <cell r="F13">
            <v>53424.665959922058</v>
          </cell>
          <cell r="G13">
            <v>2992.3999605728804</v>
          </cell>
        </row>
        <row r="23">
          <cell r="G23">
            <v>56200</v>
          </cell>
        </row>
        <row r="34">
          <cell r="E34">
            <v>0</v>
          </cell>
        </row>
      </sheetData>
      <sheetData sheetId="43">
        <row r="41">
          <cell r="F41">
            <v>74353.5</v>
          </cell>
        </row>
        <row r="43">
          <cell r="N43">
            <v>5.9506849315068493</v>
          </cell>
          <cell r="O43">
            <v>46326</v>
          </cell>
        </row>
        <row r="52">
          <cell r="AK52" t="str">
            <v>Seg</v>
          </cell>
          <cell r="AL52" t="str">
            <v>Ter</v>
          </cell>
          <cell r="AM52" t="str">
            <v>Qua</v>
          </cell>
          <cell r="AN52" t="str">
            <v>Qui</v>
          </cell>
          <cell r="AO52" t="str">
            <v>Sex</v>
          </cell>
          <cell r="AP52" t="str">
            <v>Sáb</v>
          </cell>
          <cell r="AQ52" t="str">
            <v>Dom</v>
          </cell>
          <cell r="AR52" t="str">
            <v>Seg</v>
          </cell>
          <cell r="AS52" t="str">
            <v>Ter</v>
          </cell>
          <cell r="AT52" t="str">
            <v>Qua</v>
          </cell>
          <cell r="AU52" t="str">
            <v>Qui</v>
          </cell>
          <cell r="AV52" t="str">
            <v>Sex</v>
          </cell>
          <cell r="AW52" t="str">
            <v>Sáb</v>
          </cell>
          <cell r="AX52" t="str">
            <v>Dom</v>
          </cell>
          <cell r="AY52" t="str">
            <v>Seg</v>
          </cell>
          <cell r="AZ52" t="str">
            <v>Ter</v>
          </cell>
          <cell r="BA52" t="str">
            <v>Qua</v>
          </cell>
          <cell r="BB52" t="str">
            <v>Qui</v>
          </cell>
          <cell r="BC52" t="str">
            <v>Sex</v>
          </cell>
          <cell r="BD52" t="str">
            <v>Sáb</v>
          </cell>
          <cell r="BE52" t="str">
            <v>Dom</v>
          </cell>
          <cell r="BF52" t="str">
            <v>Seg</v>
          </cell>
          <cell r="BG52" t="str">
            <v>Ter</v>
          </cell>
          <cell r="BH52" t="str">
            <v>Qua</v>
          </cell>
          <cell r="BI52" t="str">
            <v>Qui</v>
          </cell>
          <cell r="BJ52" t="str">
            <v>Sex</v>
          </cell>
          <cell r="BK52" t="str">
            <v>Sáb</v>
          </cell>
          <cell r="BL52" t="str">
            <v>Dom</v>
          </cell>
          <cell r="BM52" t="str">
            <v>Seg</v>
          </cell>
          <cell r="BN52" t="str">
            <v>Ter</v>
          </cell>
          <cell r="BO52" t="str">
            <v>Qua</v>
          </cell>
          <cell r="BP52" t="str">
            <v>Fer</v>
          </cell>
          <cell r="BQ52" t="str">
            <v>Sex</v>
          </cell>
          <cell r="BR52" t="str">
            <v>Sáb</v>
          </cell>
          <cell r="BS52" t="str">
            <v>Dom</v>
          </cell>
          <cell r="BT52" t="str">
            <v>Seg</v>
          </cell>
          <cell r="BU52" t="str">
            <v>Ter</v>
          </cell>
          <cell r="BV52" t="str">
            <v>Qua</v>
          </cell>
          <cell r="BW52" t="str">
            <v>Qui</v>
          </cell>
          <cell r="BX52" t="str">
            <v>Sex</v>
          </cell>
          <cell r="BY52" t="str">
            <v>Sáb</v>
          </cell>
          <cell r="BZ52" t="str">
            <v>Dom</v>
          </cell>
          <cell r="CA52" t="str">
            <v>Seg</v>
          </cell>
          <cell r="CB52" t="str">
            <v>Ter</v>
          </cell>
          <cell r="CC52" t="str">
            <v>Qua</v>
          </cell>
          <cell r="CD52" t="str">
            <v>Qui</v>
          </cell>
          <cell r="CE52" t="str">
            <v>Sex</v>
          </cell>
          <cell r="CF52" t="str">
            <v>Sáb</v>
          </cell>
          <cell r="CG52" t="str">
            <v>Dom</v>
          </cell>
          <cell r="CH52" t="str">
            <v>Seg</v>
          </cell>
          <cell r="CI52" t="str">
            <v>Ter</v>
          </cell>
          <cell r="CJ52" t="str">
            <v>Qua</v>
          </cell>
          <cell r="CK52" t="str">
            <v>Qui</v>
          </cell>
          <cell r="CL52" t="str">
            <v>Sex</v>
          </cell>
          <cell r="CM52" t="str">
            <v>Sáb</v>
          </cell>
          <cell r="CN52" t="str">
            <v>Dom</v>
          </cell>
          <cell r="CO52" t="str">
            <v>Seg</v>
          </cell>
          <cell r="CP52" t="str">
            <v>Ter</v>
          </cell>
          <cell r="CQ52" t="str">
            <v>Qua</v>
          </cell>
          <cell r="CR52" t="str">
            <v>Qui</v>
          </cell>
          <cell r="CS52" t="str">
            <v>Sex</v>
          </cell>
          <cell r="CT52" t="str">
            <v>Sáb</v>
          </cell>
          <cell r="CU52" t="str">
            <v>Dom</v>
          </cell>
          <cell r="CV52" t="str">
            <v>Seg</v>
          </cell>
          <cell r="CW52" t="str">
            <v>Ter</v>
          </cell>
          <cell r="CX52" t="str">
            <v>Qua</v>
          </cell>
          <cell r="CY52" t="str">
            <v>Qui</v>
          </cell>
          <cell r="CZ52" t="str">
            <v>Sex</v>
          </cell>
          <cell r="DA52" t="str">
            <v>Sáb</v>
          </cell>
          <cell r="DB52" t="str">
            <v>Dom</v>
          </cell>
          <cell r="DC52" t="str">
            <v>Seg</v>
          </cell>
          <cell r="DD52" t="str">
            <v>Ter</v>
          </cell>
          <cell r="DE52" t="str">
            <v>Qua</v>
          </cell>
          <cell r="DF52" t="str">
            <v>Qui</v>
          </cell>
          <cell r="DG52" t="str">
            <v>Sex</v>
          </cell>
          <cell r="DH52" t="str">
            <v>Sáb</v>
          </cell>
          <cell r="DI52" t="str">
            <v>Dom</v>
          </cell>
          <cell r="DJ52" t="str">
            <v>Seg</v>
          </cell>
          <cell r="DK52" t="str">
            <v>Ter</v>
          </cell>
          <cell r="DL52" t="str">
            <v>Qua</v>
          </cell>
          <cell r="DM52" t="str">
            <v>Qui</v>
          </cell>
          <cell r="DN52" t="str">
            <v>Sex</v>
          </cell>
          <cell r="DO52" t="str">
            <v>Sáb</v>
          </cell>
          <cell r="DP52" t="str">
            <v>Dom</v>
          </cell>
          <cell r="DQ52" t="str">
            <v>Seg</v>
          </cell>
          <cell r="DR52" t="str">
            <v>Ter</v>
          </cell>
          <cell r="DS52" t="str">
            <v>Qua</v>
          </cell>
          <cell r="DT52" t="str">
            <v>Qui</v>
          </cell>
          <cell r="DU52" t="str">
            <v>Sex</v>
          </cell>
          <cell r="DV52" t="str">
            <v>Sáb</v>
          </cell>
          <cell r="DW52" t="str">
            <v>Dom</v>
          </cell>
          <cell r="DX52" t="str">
            <v>Seg</v>
          </cell>
          <cell r="DY52" t="str">
            <v>Ter</v>
          </cell>
          <cell r="DZ52" t="str">
            <v>Qua</v>
          </cell>
          <cell r="EA52" t="str">
            <v>Qui</v>
          </cell>
          <cell r="EB52" t="str">
            <v>Sex</v>
          </cell>
          <cell r="EC52" t="str">
            <v>Sáb</v>
          </cell>
          <cell r="ED52" t="str">
            <v>Dom</v>
          </cell>
          <cell r="EE52" t="str">
            <v>Seg</v>
          </cell>
          <cell r="EF52" t="str">
            <v>Ter</v>
          </cell>
          <cell r="EG52" t="str">
            <v>Qua</v>
          </cell>
          <cell r="EH52" t="str">
            <v>Qui</v>
          </cell>
          <cell r="EI52" t="str">
            <v>Sex</v>
          </cell>
          <cell r="EJ52" t="str">
            <v>Sáb</v>
          </cell>
          <cell r="EK52" t="str">
            <v>Dom</v>
          </cell>
          <cell r="EL52" t="str">
            <v>Seg</v>
          </cell>
          <cell r="EM52" t="str">
            <v>Ter</v>
          </cell>
          <cell r="EN52" t="str">
            <v>Qua</v>
          </cell>
          <cell r="EO52" t="str">
            <v>Qui</v>
          </cell>
          <cell r="EP52" t="str">
            <v>Sex</v>
          </cell>
          <cell r="EQ52" t="str">
            <v>Sáb</v>
          </cell>
          <cell r="ER52" t="str">
            <v>Dom</v>
          </cell>
          <cell r="ES52" t="str">
            <v>Seg</v>
          </cell>
          <cell r="ET52" t="str">
            <v>Ter</v>
          </cell>
          <cell r="EU52" t="str">
            <v>Qua</v>
          </cell>
          <cell r="EV52" t="str">
            <v>Qui</v>
          </cell>
          <cell r="EW52" t="str">
            <v>Sex</v>
          </cell>
          <cell r="EX52" t="str">
            <v>Sáb</v>
          </cell>
          <cell r="EY52" t="str">
            <v>Dom</v>
          </cell>
          <cell r="EZ52" t="str">
            <v>Seg</v>
          </cell>
          <cell r="FA52" t="str">
            <v>Ter</v>
          </cell>
          <cell r="FB52" t="str">
            <v>Qua</v>
          </cell>
          <cell r="FC52" t="str">
            <v>Qui</v>
          </cell>
          <cell r="FD52" t="str">
            <v>Sex</v>
          </cell>
          <cell r="FE52" t="str">
            <v>Sáb</v>
          </cell>
          <cell r="FF52" t="str">
            <v>Dom</v>
          </cell>
          <cell r="FG52" t="str">
            <v>Fer</v>
          </cell>
          <cell r="FH52" t="str">
            <v>Ter</v>
          </cell>
          <cell r="FI52" t="str">
            <v>Qua</v>
          </cell>
          <cell r="FJ52" t="str">
            <v>Qui</v>
          </cell>
          <cell r="FK52" t="str">
            <v>Sex</v>
          </cell>
          <cell r="FL52" t="str">
            <v>Sáb</v>
          </cell>
          <cell r="FM52" t="str">
            <v>Dom</v>
          </cell>
          <cell r="FN52" t="str">
            <v>Seg</v>
          </cell>
          <cell r="FO52" t="str">
            <v>Ter</v>
          </cell>
          <cell r="FP52" t="str">
            <v>Qua</v>
          </cell>
          <cell r="FQ52" t="str">
            <v>Qui</v>
          </cell>
          <cell r="FR52" t="str">
            <v>Sex</v>
          </cell>
          <cell r="FS52" t="str">
            <v>Sáb</v>
          </cell>
          <cell r="FT52" t="str">
            <v>Dom</v>
          </cell>
          <cell r="FU52" t="str">
            <v>Seg</v>
          </cell>
          <cell r="FV52" t="str">
            <v>Ter</v>
          </cell>
          <cell r="FW52" t="str">
            <v>Qua</v>
          </cell>
          <cell r="FX52" t="str">
            <v>Qui</v>
          </cell>
          <cell r="FY52" t="str">
            <v>Sex</v>
          </cell>
          <cell r="FZ52" t="str">
            <v>Sáb</v>
          </cell>
          <cell r="GA52" t="str">
            <v>Dom</v>
          </cell>
          <cell r="GB52" t="str">
            <v>Seg</v>
          </cell>
          <cell r="GC52" t="str">
            <v>Ter</v>
          </cell>
          <cell r="GD52" t="str">
            <v>Qua</v>
          </cell>
          <cell r="GE52" t="str">
            <v>Qui</v>
          </cell>
          <cell r="GF52" t="str">
            <v>Sex</v>
          </cell>
          <cell r="GG52" t="str">
            <v>Sáb</v>
          </cell>
          <cell r="GH52" t="str">
            <v>Dom</v>
          </cell>
          <cell r="GI52" t="str">
            <v>Seg</v>
          </cell>
          <cell r="GJ52" t="str">
            <v>Ter</v>
          </cell>
          <cell r="GK52" t="str">
            <v>Qua</v>
          </cell>
          <cell r="GL52" t="str">
            <v>Qui</v>
          </cell>
          <cell r="GM52" t="str">
            <v>Sex</v>
          </cell>
          <cell r="GN52" t="str">
            <v>Sáb</v>
          </cell>
          <cell r="GO52" t="str">
            <v>Dom</v>
          </cell>
          <cell r="GP52" t="str">
            <v>Fer</v>
          </cell>
          <cell r="GQ52" t="str">
            <v>Ter</v>
          </cell>
          <cell r="GR52" t="str">
            <v>Qua</v>
          </cell>
          <cell r="GS52" t="str">
            <v>Qui</v>
          </cell>
          <cell r="GT52" t="str">
            <v>Sex</v>
          </cell>
          <cell r="GU52" t="str">
            <v>Sáb</v>
          </cell>
          <cell r="GV52" t="str">
            <v>Dom</v>
          </cell>
          <cell r="GW52" t="str">
            <v>Seg</v>
          </cell>
          <cell r="GX52" t="str">
            <v>Ter</v>
          </cell>
          <cell r="GY52" t="str">
            <v>Qua</v>
          </cell>
          <cell r="GZ52" t="str">
            <v>Qui</v>
          </cell>
          <cell r="HA52" t="str">
            <v>Sex</v>
          </cell>
          <cell r="HB52" t="str">
            <v>Sáb</v>
          </cell>
          <cell r="HC52" t="str">
            <v>Dom</v>
          </cell>
          <cell r="HD52" t="str">
            <v>Seg</v>
          </cell>
          <cell r="HE52" t="str">
            <v>Ter</v>
          </cell>
          <cell r="HF52" t="str">
            <v>Qua</v>
          </cell>
          <cell r="HG52" t="str">
            <v>Qui</v>
          </cell>
          <cell r="HH52" t="str">
            <v>Sex</v>
          </cell>
          <cell r="HI52" t="str">
            <v>Sáb</v>
          </cell>
          <cell r="HJ52" t="str">
            <v>Dom</v>
          </cell>
          <cell r="HK52" t="str">
            <v>Fer</v>
          </cell>
          <cell r="HL52" t="str">
            <v>Ter</v>
          </cell>
          <cell r="HM52" t="str">
            <v>Qua</v>
          </cell>
          <cell r="HN52" t="str">
            <v>Qui</v>
          </cell>
          <cell r="HO52" t="str">
            <v>Sex</v>
          </cell>
          <cell r="HP52" t="str">
            <v>Sáb</v>
          </cell>
          <cell r="HQ52" t="str">
            <v>Dom</v>
          </cell>
          <cell r="HR52" t="str">
            <v>Seg</v>
          </cell>
          <cell r="HS52" t="str">
            <v>Ter</v>
          </cell>
          <cell r="HT52" t="str">
            <v>Qua</v>
          </cell>
          <cell r="HU52" t="str">
            <v>Qui</v>
          </cell>
          <cell r="HV52" t="str">
            <v>Sex</v>
          </cell>
          <cell r="HW52" t="str">
            <v>Sáb</v>
          </cell>
          <cell r="HX52" t="str">
            <v>Fer</v>
          </cell>
          <cell r="HY52" t="str">
            <v>Seg</v>
          </cell>
          <cell r="HZ52" t="str">
            <v>Ter</v>
          </cell>
          <cell r="IA52" t="str">
            <v>Qua</v>
          </cell>
          <cell r="IB52" t="str">
            <v>Qui</v>
          </cell>
          <cell r="IC52" t="str">
            <v>Sex</v>
          </cell>
          <cell r="ID52" t="str">
            <v>Sáb</v>
          </cell>
          <cell r="IE52" t="str">
            <v>Dom</v>
          </cell>
          <cell r="IF52" t="str">
            <v>Seg</v>
          </cell>
          <cell r="IG52" t="str">
            <v>Ter</v>
          </cell>
          <cell r="IH52" t="str">
            <v>Qua</v>
          </cell>
          <cell r="II52" t="str">
            <v>Qui</v>
          </cell>
          <cell r="IJ52" t="str">
            <v>Sex</v>
          </cell>
          <cell r="IK52" t="str">
            <v>Sáb</v>
          </cell>
          <cell r="IL52" t="str">
            <v>Dom</v>
          </cell>
          <cell r="IM52" t="str">
            <v>Seg</v>
          </cell>
          <cell r="IN52" t="str">
            <v>Ter</v>
          </cell>
          <cell r="IO52" t="str">
            <v>Qua</v>
          </cell>
          <cell r="IP52" t="str">
            <v>Qui</v>
          </cell>
          <cell r="IQ52" t="str">
            <v>Sex</v>
          </cell>
          <cell r="IR52" t="str">
            <v>Sáb</v>
          </cell>
          <cell r="IS52" t="str">
            <v>Dom</v>
          </cell>
          <cell r="IT52" t="str">
            <v>Seg</v>
          </cell>
          <cell r="IU52" t="str">
            <v>Ter</v>
          </cell>
          <cell r="IV52" t="str">
            <v>Qua</v>
          </cell>
          <cell r="IW52" t="str">
            <v>Qui</v>
          </cell>
          <cell r="IX52" t="str">
            <v>Sex</v>
          </cell>
          <cell r="IY52" t="str">
            <v>Sáb</v>
          </cell>
          <cell r="IZ52" t="str">
            <v>Dom</v>
          </cell>
          <cell r="JA52" t="str">
            <v>Seg</v>
          </cell>
          <cell r="JB52" t="str">
            <v>Ter</v>
          </cell>
          <cell r="JC52" t="str">
            <v>Qua</v>
          </cell>
          <cell r="JD52" t="str">
            <v>Qui</v>
          </cell>
          <cell r="JE52" t="str">
            <v>Sex</v>
          </cell>
          <cell r="JF52" t="str">
            <v>Sáb</v>
          </cell>
          <cell r="JG52" t="str">
            <v>Dom</v>
          </cell>
          <cell r="JH52" t="str">
            <v>Seg</v>
          </cell>
          <cell r="JI52" t="str">
            <v>Ter</v>
          </cell>
          <cell r="JJ52" t="str">
            <v>Qua</v>
          </cell>
          <cell r="JK52" t="str">
            <v>Fer</v>
          </cell>
          <cell r="JL52" t="str">
            <v>Fer</v>
          </cell>
          <cell r="JM52" t="str">
            <v>Sáb</v>
          </cell>
          <cell r="JN52" t="str">
            <v>Dom</v>
          </cell>
          <cell r="JO52" t="str">
            <v>Seg</v>
          </cell>
          <cell r="JP52" t="str">
            <v>Ter</v>
          </cell>
          <cell r="JQ52" t="str">
            <v>Qua</v>
          </cell>
          <cell r="JR52" t="str">
            <v>Fer</v>
          </cell>
          <cell r="JS52" t="str">
            <v>Fer</v>
          </cell>
          <cell r="JT52" t="str">
            <v>Sáb</v>
          </cell>
          <cell r="JU52" t="str">
            <v>Dom</v>
          </cell>
          <cell r="JV52" t="str">
            <v>Seg</v>
          </cell>
          <cell r="JW52" t="str">
            <v>Ter</v>
          </cell>
          <cell r="JX52" t="str">
            <v>Qua</v>
          </cell>
          <cell r="JY52" t="str">
            <v>Qui</v>
          </cell>
          <cell r="JZ52" t="str">
            <v>Sex</v>
          </cell>
          <cell r="KA52" t="str">
            <v>Sáb</v>
          </cell>
          <cell r="KB52" t="str">
            <v>Dom</v>
          </cell>
          <cell r="KC52" t="str">
            <v>Seg</v>
          </cell>
          <cell r="KD52" t="str">
            <v>Ter</v>
          </cell>
          <cell r="KE52" t="str">
            <v>Qua</v>
          </cell>
          <cell r="KF52" t="str">
            <v>Qui</v>
          </cell>
          <cell r="KG52" t="str">
            <v>Sex</v>
          </cell>
          <cell r="KH52" t="str">
            <v>Sáb</v>
          </cell>
          <cell r="KI52" t="str">
            <v>Dom</v>
          </cell>
          <cell r="KJ52" t="str">
            <v>Seg</v>
          </cell>
          <cell r="KK52" t="str">
            <v>Ter</v>
          </cell>
          <cell r="KL52" t="str">
            <v>Qua</v>
          </cell>
          <cell r="KM52" t="str">
            <v>Qui</v>
          </cell>
          <cell r="KN52" t="str">
            <v>Sex</v>
          </cell>
          <cell r="KO52" t="str">
            <v>Sáb</v>
          </cell>
          <cell r="KP52" t="str">
            <v>Dom</v>
          </cell>
          <cell r="KQ52" t="str">
            <v>Seg</v>
          </cell>
          <cell r="KR52" t="str">
            <v>Ter</v>
          </cell>
          <cell r="KS52" t="str">
            <v>Qua</v>
          </cell>
          <cell r="KT52" t="str">
            <v>Qui</v>
          </cell>
          <cell r="KU52" t="str">
            <v>Sex</v>
          </cell>
          <cell r="KV52" t="str">
            <v>Sáb</v>
          </cell>
          <cell r="KW52" t="str">
            <v>Dom</v>
          </cell>
          <cell r="KX52" t="str">
            <v>Seg</v>
          </cell>
          <cell r="KY52" t="str">
            <v>Ter</v>
          </cell>
          <cell r="KZ52" t="str">
            <v>Qua</v>
          </cell>
          <cell r="LA52" t="str">
            <v>Qui</v>
          </cell>
          <cell r="LB52" t="str">
            <v>Sex</v>
          </cell>
          <cell r="LC52" t="str">
            <v>Sáb</v>
          </cell>
          <cell r="LD52" t="str">
            <v>Dom</v>
          </cell>
          <cell r="LE52" t="str">
            <v>Seg</v>
          </cell>
          <cell r="LF52" t="str">
            <v>Ter</v>
          </cell>
          <cell r="LG52" t="str">
            <v>Qua</v>
          </cell>
          <cell r="LH52" t="str">
            <v>Qui</v>
          </cell>
          <cell r="LI52" t="str">
            <v>Sex</v>
          </cell>
          <cell r="LJ52" t="str">
            <v>Sáb</v>
          </cell>
          <cell r="LK52" t="str">
            <v>Dom</v>
          </cell>
          <cell r="LL52" t="str">
            <v>Seg</v>
          </cell>
          <cell r="LM52" t="str">
            <v>Ter</v>
          </cell>
          <cell r="LN52" t="str">
            <v>Qua</v>
          </cell>
          <cell r="LO52" t="str">
            <v>Qui</v>
          </cell>
          <cell r="LP52" t="str">
            <v>Sex</v>
          </cell>
          <cell r="LQ52" t="str">
            <v>Sáb</v>
          </cell>
          <cell r="LR52" t="str">
            <v>Dom</v>
          </cell>
          <cell r="LS52" t="str">
            <v>Seg</v>
          </cell>
          <cell r="LT52" t="str">
            <v>Ter</v>
          </cell>
          <cell r="LU52" t="str">
            <v>Qua</v>
          </cell>
          <cell r="LV52" t="str">
            <v>Qui</v>
          </cell>
          <cell r="LW52" t="str">
            <v>Sex</v>
          </cell>
          <cell r="LX52" t="str">
            <v>Sáb</v>
          </cell>
          <cell r="LY52" t="str">
            <v>Dom</v>
          </cell>
          <cell r="LZ52" t="str">
            <v>Seg</v>
          </cell>
          <cell r="MA52" t="str">
            <v>Ter</v>
          </cell>
          <cell r="MB52" t="str">
            <v>Qua</v>
          </cell>
          <cell r="MC52" t="str">
            <v>Qui</v>
          </cell>
          <cell r="MD52" t="str">
            <v>Sex</v>
          </cell>
          <cell r="ME52" t="str">
            <v>Sáb</v>
          </cell>
          <cell r="MF52" t="str">
            <v>Dom</v>
          </cell>
          <cell r="MG52" t="str">
            <v>Seg</v>
          </cell>
          <cell r="MH52" t="str">
            <v>Ter</v>
          </cell>
          <cell r="MI52" t="str">
            <v>Qua</v>
          </cell>
          <cell r="MJ52" t="str">
            <v>Qui</v>
          </cell>
          <cell r="MK52" t="str">
            <v>Sex</v>
          </cell>
          <cell r="ML52" t="str">
            <v>Sáb</v>
          </cell>
          <cell r="MM52" t="str">
            <v>Dom</v>
          </cell>
          <cell r="MN52" t="str">
            <v>Seg</v>
          </cell>
          <cell r="MO52" t="str">
            <v>Ter</v>
          </cell>
          <cell r="MP52" t="str">
            <v>Qua</v>
          </cell>
          <cell r="MQ52" t="str">
            <v>Qui</v>
          </cell>
          <cell r="MR52" t="str">
            <v>Sex</v>
          </cell>
          <cell r="MS52" t="str">
            <v>Sáb</v>
          </cell>
          <cell r="MT52" t="str">
            <v>Dom</v>
          </cell>
          <cell r="MU52" t="str">
            <v>Seg</v>
          </cell>
          <cell r="MV52" t="str">
            <v>Ter</v>
          </cell>
          <cell r="MW52" t="str">
            <v>Qua</v>
          </cell>
          <cell r="MX52" t="str">
            <v>Qui</v>
          </cell>
          <cell r="MY52" t="str">
            <v>Fer</v>
          </cell>
          <cell r="MZ52" t="str">
            <v>Sáb</v>
          </cell>
          <cell r="NA52" t="str">
            <v>Fer</v>
          </cell>
          <cell r="NB52" t="str">
            <v>Seg</v>
          </cell>
          <cell r="NC52" t="str">
            <v>Ter</v>
          </cell>
          <cell r="ND52" t="str">
            <v>Qua</v>
          </cell>
          <cell r="NE52" t="str">
            <v>Qui</v>
          </cell>
          <cell r="NF52" t="str">
            <v>Sex</v>
          </cell>
          <cell r="NG52" t="str">
            <v>Sáb</v>
          </cell>
          <cell r="NH52" t="str">
            <v>Dom</v>
          </cell>
          <cell r="NI52" t="str">
            <v>Seg</v>
          </cell>
          <cell r="NJ52" t="str">
            <v>Ter</v>
          </cell>
          <cell r="NK52" t="str">
            <v>Qua</v>
          </cell>
          <cell r="NL52" t="str">
            <v>Qui</v>
          </cell>
          <cell r="NM52" t="str">
            <v>Sex</v>
          </cell>
          <cell r="NN52" t="str">
            <v>Sáb</v>
          </cell>
          <cell r="NO52" t="str">
            <v>Dom</v>
          </cell>
          <cell r="NP52" t="str">
            <v>Seg</v>
          </cell>
          <cell r="NQ52" t="str">
            <v>Ter</v>
          </cell>
          <cell r="NR52" t="str">
            <v>Qua</v>
          </cell>
          <cell r="NS52" t="str">
            <v>Qui</v>
          </cell>
          <cell r="NT52" t="str">
            <v>Sex</v>
          </cell>
          <cell r="NU52" t="str">
            <v>Sáb</v>
          </cell>
          <cell r="NV52" t="str">
            <v>Dom</v>
          </cell>
          <cell r="NW52" t="str">
            <v>Seg</v>
          </cell>
          <cell r="NX52" t="str">
            <v>Ter</v>
          </cell>
          <cell r="NY52" t="str">
            <v>Fer</v>
          </cell>
          <cell r="NZ52" t="str">
            <v>Qui</v>
          </cell>
          <cell r="OA52" t="str">
            <v>Sex</v>
          </cell>
          <cell r="OB52" t="str">
            <v>Sáb</v>
          </cell>
          <cell r="OC52" t="str">
            <v>Dom</v>
          </cell>
          <cell r="OD52" t="str">
            <v>Seg</v>
          </cell>
          <cell r="OE52" t="str">
            <v>Ter</v>
          </cell>
          <cell r="OF52" t="str">
            <v>Qua</v>
          </cell>
          <cell r="OG52" t="str">
            <v>Qui</v>
          </cell>
          <cell r="OH52" t="str">
            <v>Sex</v>
          </cell>
          <cell r="OI52" t="str">
            <v>Fer</v>
          </cell>
          <cell r="OJ52" t="str">
            <v>Dom</v>
          </cell>
          <cell r="OK52" t="str">
            <v>Seg</v>
          </cell>
          <cell r="OL52" t="str">
            <v>Ter</v>
          </cell>
          <cell r="OM52" t="str">
            <v>Qua</v>
          </cell>
          <cell r="ON52" t="str">
            <v>Qui</v>
          </cell>
          <cell r="OO52" t="str">
            <v>Sex</v>
          </cell>
          <cell r="OP52" t="str">
            <v>Sáb</v>
          </cell>
          <cell r="OQ52" t="str">
            <v>Dom</v>
          </cell>
          <cell r="OR52" t="str">
            <v>Seg</v>
          </cell>
          <cell r="OS52" t="str">
            <v>Ter</v>
          </cell>
          <cell r="OT52" t="str">
            <v>Qua</v>
          </cell>
          <cell r="OU52" t="str">
            <v>Qui</v>
          </cell>
          <cell r="OV52" t="str">
            <v>Sex</v>
          </cell>
          <cell r="OW52" t="str">
            <v>Sáb</v>
          </cell>
          <cell r="OX52" t="str">
            <v>Dom</v>
          </cell>
          <cell r="OY52" t="str">
            <v>Seg</v>
          </cell>
          <cell r="OZ52" t="str">
            <v>Ter</v>
          </cell>
          <cell r="PA52" t="str">
            <v>Qua</v>
          </cell>
          <cell r="PB52" t="str">
            <v>Qui</v>
          </cell>
          <cell r="PC52" t="str">
            <v>Sex</v>
          </cell>
          <cell r="PD52" t="str">
            <v>Sáb</v>
          </cell>
          <cell r="PE52" t="str">
            <v>Dom</v>
          </cell>
          <cell r="PF52" t="str">
            <v>Seg</v>
          </cell>
          <cell r="PG52" t="str">
            <v>Ter</v>
          </cell>
          <cell r="PH52" t="str">
            <v>Qua</v>
          </cell>
          <cell r="PI52" t="str">
            <v>Fer</v>
          </cell>
          <cell r="PJ52" t="str">
            <v>Sex</v>
          </cell>
          <cell r="PK52" t="str">
            <v>Sáb</v>
          </cell>
          <cell r="PL52" t="str">
            <v>Dom</v>
          </cell>
          <cell r="PM52" t="str">
            <v>Seg</v>
          </cell>
          <cell r="PN52" t="str">
            <v>Ter</v>
          </cell>
          <cell r="PO52" t="str">
            <v>Qua</v>
          </cell>
          <cell r="PP52" t="str">
            <v>Qui</v>
          </cell>
          <cell r="PQ52" t="str">
            <v>Sex</v>
          </cell>
          <cell r="PR52" t="str">
            <v>Sáb</v>
          </cell>
          <cell r="PS52" t="str">
            <v>Dom</v>
          </cell>
          <cell r="PT52" t="str">
            <v>Seg</v>
          </cell>
          <cell r="PU52" t="str">
            <v>Ter</v>
          </cell>
          <cell r="PV52" t="str">
            <v>Qua</v>
          </cell>
          <cell r="PW52" t="str">
            <v>Qui</v>
          </cell>
          <cell r="PX52" t="str">
            <v>Sex</v>
          </cell>
          <cell r="PY52" t="str">
            <v>Sáb</v>
          </cell>
          <cell r="PZ52" t="str">
            <v>Dom</v>
          </cell>
          <cell r="QA52" t="str">
            <v>Seg</v>
          </cell>
          <cell r="QB52" t="str">
            <v>Ter</v>
          </cell>
          <cell r="QC52" t="str">
            <v>Qua</v>
          </cell>
          <cell r="QD52" t="str">
            <v>Qui</v>
          </cell>
          <cell r="QE52" t="str">
            <v>Sex</v>
          </cell>
          <cell r="QF52" t="str">
            <v>Sáb</v>
          </cell>
          <cell r="QG52" t="str">
            <v>Dom</v>
          </cell>
          <cell r="QH52" t="str">
            <v>Seg</v>
          </cell>
          <cell r="QI52" t="str">
            <v>Ter</v>
          </cell>
          <cell r="QJ52" t="str">
            <v>Qua</v>
          </cell>
          <cell r="QK52" t="str">
            <v>Qui</v>
          </cell>
          <cell r="QL52" t="str">
            <v>Sex</v>
          </cell>
          <cell r="QM52" t="str">
            <v>Sáb</v>
          </cell>
          <cell r="QN52" t="str">
            <v>Dom</v>
          </cell>
          <cell r="QO52" t="str">
            <v>Seg</v>
          </cell>
          <cell r="QP52" t="str">
            <v>Ter</v>
          </cell>
          <cell r="QQ52" t="str">
            <v>Qua</v>
          </cell>
          <cell r="QR52" t="str">
            <v>Qui</v>
          </cell>
          <cell r="QS52" t="str">
            <v>Sex</v>
          </cell>
          <cell r="QT52" t="str">
            <v>Sáb</v>
          </cell>
          <cell r="QU52" t="str">
            <v>Dom</v>
          </cell>
          <cell r="QV52" t="str">
            <v>Seg</v>
          </cell>
          <cell r="QW52" t="str">
            <v>Ter</v>
          </cell>
          <cell r="QX52" t="str">
            <v>Qua</v>
          </cell>
          <cell r="QY52" t="str">
            <v>Qui</v>
          </cell>
          <cell r="QZ52" t="str">
            <v>Sex</v>
          </cell>
          <cell r="RA52" t="str">
            <v>Sáb</v>
          </cell>
          <cell r="RB52" t="str">
            <v>Dom</v>
          </cell>
          <cell r="RC52" t="str">
            <v>Seg</v>
          </cell>
          <cell r="RD52" t="str">
            <v>Ter</v>
          </cell>
          <cell r="RE52" t="str">
            <v>Qua</v>
          </cell>
          <cell r="RF52" t="str">
            <v>Qui</v>
          </cell>
          <cell r="RG52" t="str">
            <v>Sex</v>
          </cell>
          <cell r="RH52" t="str">
            <v>Sáb</v>
          </cell>
          <cell r="RI52" t="str">
            <v>Dom</v>
          </cell>
          <cell r="RJ52" t="str">
            <v>Seg</v>
          </cell>
          <cell r="RK52" t="str">
            <v>Ter</v>
          </cell>
          <cell r="RL52" t="str">
            <v>Qua</v>
          </cell>
          <cell r="RM52" t="str">
            <v>Qui</v>
          </cell>
          <cell r="RN52" t="str">
            <v>Sex</v>
          </cell>
          <cell r="RO52" t="str">
            <v>Sáb</v>
          </cell>
          <cell r="RP52" t="str">
            <v>Dom</v>
          </cell>
          <cell r="RQ52" t="str">
            <v>Seg</v>
          </cell>
          <cell r="RR52" t="str">
            <v>Ter</v>
          </cell>
          <cell r="RS52" t="str">
            <v>Qua</v>
          </cell>
          <cell r="RT52" t="str">
            <v>Qui</v>
          </cell>
          <cell r="RU52" t="str">
            <v>Sex</v>
          </cell>
          <cell r="RV52" t="str">
            <v>Sáb</v>
          </cell>
          <cell r="RW52" t="str">
            <v>Dom</v>
          </cell>
          <cell r="RX52" t="str">
            <v>Seg</v>
          </cell>
          <cell r="RY52" t="str">
            <v>Ter</v>
          </cell>
          <cell r="RZ52" t="str">
            <v>Qua</v>
          </cell>
          <cell r="SA52" t="str">
            <v>Qui</v>
          </cell>
          <cell r="SB52" t="str">
            <v>Sex</v>
          </cell>
          <cell r="SC52" t="str">
            <v>Sáb</v>
          </cell>
          <cell r="SD52" t="str">
            <v>Dom</v>
          </cell>
          <cell r="SE52" t="str">
            <v>Seg</v>
          </cell>
          <cell r="SF52" t="str">
            <v>Ter</v>
          </cell>
          <cell r="SG52" t="str">
            <v>Qua</v>
          </cell>
          <cell r="SH52" t="str">
            <v>Qui</v>
          </cell>
          <cell r="SI52" t="str">
            <v>Sex</v>
          </cell>
          <cell r="SJ52" t="str">
            <v>Sáb</v>
          </cell>
          <cell r="SK52" t="str">
            <v>Dom</v>
          </cell>
          <cell r="SL52" t="str">
            <v>Seg</v>
          </cell>
          <cell r="SM52" t="str">
            <v>Ter</v>
          </cell>
          <cell r="SN52" t="str">
            <v>Qua</v>
          </cell>
          <cell r="SO52" t="str">
            <v>Qui</v>
          </cell>
          <cell r="SP52" t="str">
            <v>Sex</v>
          </cell>
          <cell r="SQ52" t="str">
            <v>Sáb</v>
          </cell>
          <cell r="SR52" t="str">
            <v>Dom</v>
          </cell>
          <cell r="SS52" t="str">
            <v>Seg</v>
          </cell>
          <cell r="ST52" t="str">
            <v>Ter</v>
          </cell>
          <cell r="SU52" t="str">
            <v>Qua</v>
          </cell>
          <cell r="SV52" t="str">
            <v>Qui</v>
          </cell>
          <cell r="SW52" t="str">
            <v>Sex</v>
          </cell>
          <cell r="SX52" t="str">
            <v>Sáb</v>
          </cell>
          <cell r="SY52" t="str">
            <v>Dom</v>
          </cell>
          <cell r="SZ52" t="str">
            <v>Seg</v>
          </cell>
          <cell r="TA52" t="str">
            <v>Ter</v>
          </cell>
          <cell r="TB52" t="str">
            <v>Qua</v>
          </cell>
          <cell r="TC52" t="str">
            <v>Qui</v>
          </cell>
          <cell r="TD52" t="str">
            <v>Sex</v>
          </cell>
          <cell r="TE52" t="str">
            <v>Sáb</v>
          </cell>
          <cell r="TF52" t="str">
            <v>Dom</v>
          </cell>
          <cell r="TG52" t="str">
            <v>Seg</v>
          </cell>
          <cell r="TH52" t="str">
            <v>Fer</v>
          </cell>
          <cell r="TI52" t="str">
            <v>Qua</v>
          </cell>
          <cell r="TJ52" t="str">
            <v>Qui</v>
          </cell>
          <cell r="TK52" t="str">
            <v>Sex</v>
          </cell>
          <cell r="TL52" t="str">
            <v>Sáb</v>
          </cell>
          <cell r="TM52" t="str">
            <v>Dom</v>
          </cell>
          <cell r="TN52" t="str">
            <v>Seg</v>
          </cell>
          <cell r="TO52" t="str">
            <v>Ter</v>
          </cell>
          <cell r="TP52" t="str">
            <v>Qua</v>
          </cell>
          <cell r="TQ52" t="str">
            <v>Qui</v>
          </cell>
          <cell r="TR52" t="str">
            <v>Sex</v>
          </cell>
          <cell r="TS52" t="str">
            <v>Sáb</v>
          </cell>
          <cell r="TT52" t="str">
            <v>Dom</v>
          </cell>
          <cell r="TU52" t="str">
            <v>Seg</v>
          </cell>
          <cell r="TV52" t="str">
            <v>Ter</v>
          </cell>
          <cell r="TW52" t="str">
            <v>Qua</v>
          </cell>
          <cell r="TX52" t="str">
            <v>Qui</v>
          </cell>
          <cell r="TY52" t="str">
            <v>Sex</v>
          </cell>
          <cell r="TZ52" t="str">
            <v>Sáb</v>
          </cell>
          <cell r="UA52" t="str">
            <v>Dom</v>
          </cell>
          <cell r="UB52" t="str">
            <v>Seg</v>
          </cell>
          <cell r="UC52" t="str">
            <v>Ter</v>
          </cell>
          <cell r="UD52" t="str">
            <v>Qua</v>
          </cell>
          <cell r="UE52" t="str">
            <v>Qui</v>
          </cell>
          <cell r="UF52" t="str">
            <v>Sex</v>
          </cell>
          <cell r="UG52" t="str">
            <v>Sáb</v>
          </cell>
          <cell r="UH52" t="str">
            <v>Dom</v>
          </cell>
          <cell r="UI52" t="str">
            <v>Seg</v>
          </cell>
          <cell r="UJ52" t="str">
            <v>Ter</v>
          </cell>
          <cell r="UK52" t="str">
            <v>Qua</v>
          </cell>
          <cell r="UL52" t="str">
            <v>Qui</v>
          </cell>
          <cell r="UM52" t="str">
            <v>Sex</v>
          </cell>
          <cell r="UN52" t="str">
            <v>Sáb</v>
          </cell>
          <cell r="UO52" t="str">
            <v>Dom</v>
          </cell>
          <cell r="UP52" t="str">
            <v>Seg</v>
          </cell>
          <cell r="UQ52" t="str">
            <v>Fer</v>
          </cell>
          <cell r="UR52" t="str">
            <v>Qua</v>
          </cell>
          <cell r="US52" t="str">
            <v>Qui</v>
          </cell>
          <cell r="UT52" t="str">
            <v>Sex</v>
          </cell>
          <cell r="UU52" t="str">
            <v>Sáb</v>
          </cell>
          <cell r="UV52" t="str">
            <v>Dom</v>
          </cell>
          <cell r="UW52" t="str">
            <v>Seg</v>
          </cell>
          <cell r="UX52" t="str">
            <v>Ter</v>
          </cell>
          <cell r="UY52" t="str">
            <v>Qua</v>
          </cell>
          <cell r="UZ52" t="str">
            <v>Qui</v>
          </cell>
          <cell r="VA52" t="str">
            <v>Sex</v>
          </cell>
          <cell r="VB52" t="str">
            <v>Sáb</v>
          </cell>
          <cell r="VC52" t="str">
            <v>Dom</v>
          </cell>
          <cell r="VD52" t="str">
            <v>Seg</v>
          </cell>
          <cell r="VE52" t="str">
            <v>Ter</v>
          </cell>
          <cell r="VF52" t="str">
            <v>Qua</v>
          </cell>
          <cell r="VG52" t="str">
            <v>Qui</v>
          </cell>
          <cell r="VH52" t="str">
            <v>Sex</v>
          </cell>
          <cell r="VI52" t="str">
            <v>Sáb</v>
          </cell>
          <cell r="VJ52" t="str">
            <v>Dom</v>
          </cell>
          <cell r="VK52" t="str">
            <v>Seg</v>
          </cell>
          <cell r="VL52" t="str">
            <v>Fer</v>
          </cell>
          <cell r="VM52" t="str">
            <v>Qua</v>
          </cell>
          <cell r="VN52" t="str">
            <v>Qui</v>
          </cell>
          <cell r="VO52" t="str">
            <v>Sex</v>
          </cell>
          <cell r="VP52" t="str">
            <v>Sáb</v>
          </cell>
          <cell r="VQ52" t="str">
            <v>Dom</v>
          </cell>
          <cell r="VR52" t="str">
            <v>Seg</v>
          </cell>
          <cell r="VS52" t="str">
            <v>Ter</v>
          </cell>
          <cell r="VT52" t="str">
            <v>Qua</v>
          </cell>
          <cell r="VU52" t="str">
            <v>Qui</v>
          </cell>
          <cell r="VV52" t="str">
            <v>Sex</v>
          </cell>
          <cell r="VW52" t="str">
            <v>Sáb</v>
          </cell>
          <cell r="VX52" t="str">
            <v>Dom</v>
          </cell>
          <cell r="VY52" t="str">
            <v>Fer</v>
          </cell>
          <cell r="VZ52" t="str">
            <v>Ter</v>
          </cell>
          <cell r="WA52" t="str">
            <v>Qua</v>
          </cell>
          <cell r="WB52" t="str">
            <v>Qui</v>
          </cell>
          <cell r="WC52" t="str">
            <v>Sex</v>
          </cell>
          <cell r="WD52" t="str">
            <v>Sáb</v>
          </cell>
          <cell r="WE52" t="str">
            <v>Dom</v>
          </cell>
          <cell r="WF52" t="str">
            <v>Seg</v>
          </cell>
          <cell r="WG52" t="str">
            <v>Ter</v>
          </cell>
          <cell r="WH52" t="str">
            <v>Qua</v>
          </cell>
          <cell r="WI52" t="str">
            <v>Qui</v>
          </cell>
          <cell r="WJ52" t="str">
            <v>Sex</v>
          </cell>
          <cell r="WK52" t="str">
            <v>Sáb</v>
          </cell>
          <cell r="WL52" t="str">
            <v>Dom</v>
          </cell>
          <cell r="WM52" t="str">
            <v>Seg</v>
          </cell>
          <cell r="WN52" t="str">
            <v>Ter</v>
          </cell>
          <cell r="WO52" t="str">
            <v>Qua</v>
          </cell>
          <cell r="WP52" t="str">
            <v>Qui</v>
          </cell>
          <cell r="WQ52" t="str">
            <v>Sex</v>
          </cell>
          <cell r="WR52" t="str">
            <v>Sáb</v>
          </cell>
          <cell r="WS52" t="str">
            <v>Dom</v>
          </cell>
          <cell r="WT52" t="str">
            <v>Seg</v>
          </cell>
          <cell r="WU52" t="str">
            <v>Ter</v>
          </cell>
          <cell r="WV52" t="str">
            <v>Qua</v>
          </cell>
          <cell r="WW52" t="str">
            <v>Qui</v>
          </cell>
          <cell r="WX52" t="str">
            <v>Sex</v>
          </cell>
          <cell r="WY52" t="str">
            <v>Sáb</v>
          </cell>
          <cell r="WZ52" t="str">
            <v>Dom</v>
          </cell>
          <cell r="XA52" t="str">
            <v>Seg</v>
          </cell>
          <cell r="XB52" t="str">
            <v>Ter</v>
          </cell>
          <cell r="XC52" t="str">
            <v>Qua</v>
          </cell>
          <cell r="XD52" t="str">
            <v>Qui</v>
          </cell>
          <cell r="XE52" t="str">
            <v>Sex</v>
          </cell>
          <cell r="XF52" t="str">
            <v>Sáb</v>
          </cell>
          <cell r="XG52" t="str">
            <v>Dom</v>
          </cell>
          <cell r="XH52" t="str">
            <v>Seg</v>
          </cell>
          <cell r="XI52" t="str">
            <v>Ter</v>
          </cell>
          <cell r="XJ52" t="str">
            <v>Qua</v>
          </cell>
          <cell r="XK52" t="str">
            <v>Qui</v>
          </cell>
          <cell r="XL52" t="str">
            <v>Fer</v>
          </cell>
          <cell r="XM52" t="str">
            <v>Fer</v>
          </cell>
          <cell r="XN52" t="str">
            <v>Dom</v>
          </cell>
          <cell r="XO52" t="str">
            <v>Seg</v>
          </cell>
          <cell r="XP52" t="str">
            <v>Ter</v>
          </cell>
          <cell r="XQ52" t="str">
            <v>Qua</v>
          </cell>
          <cell r="XR52" t="str">
            <v>Qui</v>
          </cell>
          <cell r="XS52" t="str">
            <v>Fer</v>
          </cell>
          <cell r="XT52" t="str">
            <v>Fer</v>
          </cell>
          <cell r="XU52" t="str">
            <v>Dom</v>
          </cell>
          <cell r="XV52" t="str">
            <v>Seg</v>
          </cell>
          <cell r="XW52" t="str">
            <v>Ter</v>
          </cell>
          <cell r="XX52" t="str">
            <v>Qua</v>
          </cell>
          <cell r="XY52" t="str">
            <v>Qui</v>
          </cell>
          <cell r="XZ52" t="str">
            <v>Sex</v>
          </cell>
          <cell r="YA52" t="str">
            <v>Sáb</v>
          </cell>
          <cell r="YB52" t="str">
            <v>Dom</v>
          </cell>
          <cell r="YC52" t="str">
            <v>Seg</v>
          </cell>
          <cell r="YD52" t="str">
            <v>Ter</v>
          </cell>
          <cell r="YE52" t="str">
            <v>Qua</v>
          </cell>
          <cell r="YF52" t="str">
            <v>Qui</v>
          </cell>
          <cell r="YG52" t="str">
            <v>Sex</v>
          </cell>
          <cell r="YH52" t="str">
            <v>Sáb</v>
          </cell>
          <cell r="YI52" t="str">
            <v>Dom</v>
          </cell>
          <cell r="YJ52" t="str">
            <v>Seg</v>
          </cell>
          <cell r="YK52" t="str">
            <v>Ter</v>
          </cell>
          <cell r="YL52" t="str">
            <v>Qua</v>
          </cell>
          <cell r="YM52" t="str">
            <v>Qui</v>
          </cell>
          <cell r="YN52" t="str">
            <v>Sex</v>
          </cell>
          <cell r="YO52" t="str">
            <v>Sáb</v>
          </cell>
          <cell r="YP52" t="str">
            <v>Dom</v>
          </cell>
          <cell r="YQ52" t="str">
            <v>Seg</v>
          </cell>
          <cell r="YR52" t="str">
            <v>Ter</v>
          </cell>
          <cell r="YS52" t="str">
            <v>Qua</v>
          </cell>
          <cell r="YT52" t="str">
            <v>Qui</v>
          </cell>
          <cell r="YU52" t="str">
            <v>Sex</v>
          </cell>
          <cell r="YV52" t="str">
            <v>Sáb</v>
          </cell>
          <cell r="YW52" t="str">
            <v>Dom</v>
          </cell>
          <cell r="YX52" t="str">
            <v>Seg</v>
          </cell>
          <cell r="YY52" t="str">
            <v>Ter</v>
          </cell>
          <cell r="YZ52" t="str">
            <v>Qua</v>
          </cell>
          <cell r="ZA52" t="str">
            <v>Qui</v>
          </cell>
          <cell r="ZB52" t="str">
            <v>Sex</v>
          </cell>
          <cell r="ZC52" t="str">
            <v>Sáb</v>
          </cell>
          <cell r="ZD52" t="str">
            <v>Dom</v>
          </cell>
          <cell r="ZE52" t="str">
            <v>Seg</v>
          </cell>
          <cell r="ZF52" t="str">
            <v>Ter</v>
          </cell>
          <cell r="ZG52" t="str">
            <v>Qua</v>
          </cell>
          <cell r="ZH52" t="str">
            <v>Qui</v>
          </cell>
          <cell r="ZI52" t="str">
            <v>Sex</v>
          </cell>
          <cell r="ZJ52" t="str">
            <v>Sáb</v>
          </cell>
          <cell r="ZK52" t="str">
            <v>Dom</v>
          </cell>
          <cell r="ZL52" t="str">
            <v>Seg</v>
          </cell>
          <cell r="ZM52" t="str">
            <v>Ter</v>
          </cell>
          <cell r="ZN52" t="str">
            <v>Qua</v>
          </cell>
          <cell r="ZO52" t="str">
            <v>Qui</v>
          </cell>
          <cell r="ZP52" t="str">
            <v>Sex</v>
          </cell>
          <cell r="ZQ52" t="str">
            <v>Sáb</v>
          </cell>
          <cell r="ZR52" t="str">
            <v>Dom</v>
          </cell>
          <cell r="ZS52" t="str">
            <v>Seg</v>
          </cell>
          <cell r="ZT52" t="str">
            <v>Ter</v>
          </cell>
          <cell r="ZU52" t="str">
            <v>Qua</v>
          </cell>
          <cell r="ZV52" t="str">
            <v>Qui</v>
          </cell>
          <cell r="ZW52" t="str">
            <v>Sex</v>
          </cell>
          <cell r="ZX52" t="str">
            <v>Sáb</v>
          </cell>
          <cell r="ZY52" t="str">
            <v>Dom</v>
          </cell>
          <cell r="ZZ52" t="str">
            <v>Seg</v>
          </cell>
          <cell r="AAA52" t="str">
            <v>Ter</v>
          </cell>
          <cell r="AAB52" t="str">
            <v>Qua</v>
          </cell>
          <cell r="AAC52" t="str">
            <v>Qui</v>
          </cell>
          <cell r="AAD52" t="str">
            <v>Sex</v>
          </cell>
          <cell r="AAE52" t="str">
            <v>Sáb</v>
          </cell>
          <cell r="AAF52" t="str">
            <v>Dom</v>
          </cell>
          <cell r="AAG52" t="str">
            <v>Seg</v>
          </cell>
          <cell r="AAH52" t="str">
            <v>Ter</v>
          </cell>
          <cell r="AAI52" t="str">
            <v>Qua</v>
          </cell>
          <cell r="AAJ52" t="str">
            <v>Qui</v>
          </cell>
          <cell r="AAK52" t="str">
            <v>Sex</v>
          </cell>
          <cell r="AAL52" t="str">
            <v>Sáb</v>
          </cell>
          <cell r="AAM52" t="str">
            <v>Dom</v>
          </cell>
          <cell r="AAN52" t="str">
            <v>Seg</v>
          </cell>
          <cell r="AAO52" t="str">
            <v>Ter</v>
          </cell>
          <cell r="AAP52" t="str">
            <v>Qua</v>
          </cell>
          <cell r="AAQ52" t="str">
            <v>Qui</v>
          </cell>
          <cell r="AAR52" t="str">
            <v>Sex</v>
          </cell>
          <cell r="AAS52" t="str">
            <v>Sáb</v>
          </cell>
          <cell r="AAT52" t="str">
            <v>Dom</v>
          </cell>
          <cell r="AAU52" t="str">
            <v>Seg</v>
          </cell>
          <cell r="AAV52" t="str">
            <v>Ter</v>
          </cell>
          <cell r="AAW52" t="str">
            <v>Qua</v>
          </cell>
          <cell r="AAX52" t="str">
            <v>Qui</v>
          </cell>
          <cell r="AAY52" t="str">
            <v>Sex</v>
          </cell>
          <cell r="AAZ52" t="str">
            <v>Sáb</v>
          </cell>
          <cell r="ABA52" t="str">
            <v>Dom</v>
          </cell>
          <cell r="ABB52" t="str">
            <v>Seg</v>
          </cell>
          <cell r="ABC52" t="str">
            <v>Ter</v>
          </cell>
          <cell r="ABD52" t="str">
            <v>Qua</v>
          </cell>
          <cell r="ABE52" t="str">
            <v>Qui</v>
          </cell>
          <cell r="ABF52" t="str">
            <v>Sex</v>
          </cell>
          <cell r="ABG52" t="str">
            <v>Sáb</v>
          </cell>
          <cell r="ABH52" t="str">
            <v>Dom</v>
          </cell>
          <cell r="ABI52" t="str">
            <v>Seg</v>
          </cell>
          <cell r="ABJ52" t="str">
            <v>Ter</v>
          </cell>
          <cell r="ABK52" t="str">
            <v>Qua</v>
          </cell>
          <cell r="ABL52" t="str">
            <v>Qui</v>
          </cell>
          <cell r="ABM52" t="str">
            <v>Sex</v>
          </cell>
          <cell r="ABN52" t="str">
            <v>Sáb</v>
          </cell>
          <cell r="ABO52" t="str">
            <v>Dom</v>
          </cell>
          <cell r="ABP52" t="str">
            <v>Seg</v>
          </cell>
          <cell r="ABQ52" t="str">
            <v>Ter</v>
          </cell>
          <cell r="ABR52" t="str">
            <v>Qua</v>
          </cell>
          <cell r="ABS52" t="str">
            <v>Qui</v>
          </cell>
          <cell r="ABT52" t="str">
            <v>Fer</v>
          </cell>
          <cell r="ABU52" t="str">
            <v>Sáb</v>
          </cell>
          <cell r="ABV52" t="str">
            <v>Fer</v>
          </cell>
          <cell r="ABW52" t="str">
            <v>Seg</v>
          </cell>
          <cell r="ABX52" t="str">
            <v>Ter</v>
          </cell>
          <cell r="ABY52" t="str">
            <v>Qua</v>
          </cell>
          <cell r="ABZ52" t="str">
            <v>Qui</v>
          </cell>
          <cell r="ACA52" t="str">
            <v>Fer</v>
          </cell>
          <cell r="ACB52" t="str">
            <v>Sáb</v>
          </cell>
          <cell r="ACC52" t="str">
            <v>Dom</v>
          </cell>
          <cell r="ACD52" t="str">
            <v>Seg</v>
          </cell>
          <cell r="ACE52" t="str">
            <v>Ter</v>
          </cell>
          <cell r="ACF52" t="str">
            <v>Qua</v>
          </cell>
          <cell r="ACG52" t="str">
            <v>Qui</v>
          </cell>
          <cell r="ACH52" t="str">
            <v>Sex</v>
          </cell>
          <cell r="ACI52" t="str">
            <v>Sáb</v>
          </cell>
          <cell r="ACJ52" t="str">
            <v>Dom</v>
          </cell>
          <cell r="ACK52" t="str">
            <v>Fer</v>
          </cell>
          <cell r="ACL52" t="str">
            <v>Ter</v>
          </cell>
          <cell r="ACM52" t="str">
            <v>Qua</v>
          </cell>
          <cell r="ACN52" t="str">
            <v>Qui</v>
          </cell>
        </row>
        <row r="54">
          <cell r="AK54">
            <v>46146</v>
          </cell>
          <cell r="AL54">
            <v>46147</v>
          </cell>
          <cell r="AM54">
            <v>46148</v>
          </cell>
          <cell r="AN54">
            <v>46149</v>
          </cell>
          <cell r="AO54">
            <v>46150</v>
          </cell>
          <cell r="AP54">
            <v>46151</v>
          </cell>
          <cell r="AQ54">
            <v>46152</v>
          </cell>
          <cell r="AR54">
            <v>46153</v>
          </cell>
          <cell r="AS54">
            <v>46154</v>
          </cell>
          <cell r="AT54">
            <v>46155</v>
          </cell>
          <cell r="AU54">
            <v>46156</v>
          </cell>
          <cell r="AV54">
            <v>46157</v>
          </cell>
          <cell r="AW54">
            <v>46158</v>
          </cell>
          <cell r="AX54">
            <v>46159</v>
          </cell>
          <cell r="AY54">
            <v>46160</v>
          </cell>
          <cell r="AZ54">
            <v>46161</v>
          </cell>
          <cell r="BA54">
            <v>46162</v>
          </cell>
          <cell r="BB54">
            <v>46163</v>
          </cell>
          <cell r="BC54">
            <v>46164</v>
          </cell>
          <cell r="BD54">
            <v>46165</v>
          </cell>
          <cell r="BE54">
            <v>46166</v>
          </cell>
          <cell r="BF54">
            <v>46167</v>
          </cell>
          <cell r="BG54">
            <v>46168</v>
          </cell>
          <cell r="BH54">
            <v>46169</v>
          </cell>
          <cell r="BI54">
            <v>46170</v>
          </cell>
          <cell r="BJ54">
            <v>46171</v>
          </cell>
          <cell r="BK54">
            <v>46172</v>
          </cell>
          <cell r="BL54">
            <v>46173</v>
          </cell>
          <cell r="BM54">
            <v>46174</v>
          </cell>
          <cell r="BN54">
            <v>46175</v>
          </cell>
          <cell r="BO54">
            <v>46176</v>
          </cell>
          <cell r="BP54">
            <v>46177</v>
          </cell>
          <cell r="BQ54">
            <v>46178</v>
          </cell>
          <cell r="BR54">
            <v>46179</v>
          </cell>
          <cell r="BS54">
            <v>46180</v>
          </cell>
          <cell r="BT54">
            <v>46181</v>
          </cell>
          <cell r="BU54">
            <v>46182</v>
          </cell>
          <cell r="BV54">
            <v>46183</v>
          </cell>
          <cell r="BW54">
            <v>46184</v>
          </cell>
          <cell r="BX54">
            <v>46185</v>
          </cell>
          <cell r="BY54">
            <v>46186</v>
          </cell>
          <cell r="BZ54">
            <v>46187</v>
          </cell>
          <cell r="CA54">
            <v>46188</v>
          </cell>
          <cell r="CB54">
            <v>46189</v>
          </cell>
          <cell r="CC54">
            <v>46190</v>
          </cell>
          <cell r="CD54">
            <v>46191</v>
          </cell>
          <cell r="CE54">
            <v>46192</v>
          </cell>
          <cell r="CF54">
            <v>46193</v>
          </cell>
          <cell r="CG54">
            <v>46194</v>
          </cell>
          <cell r="CH54">
            <v>46195</v>
          </cell>
          <cell r="CI54">
            <v>46196</v>
          </cell>
          <cell r="CJ54">
            <v>46197</v>
          </cell>
          <cell r="CK54">
            <v>46198</v>
          </cell>
          <cell r="CL54">
            <v>46199</v>
          </cell>
          <cell r="CM54">
            <v>46200</v>
          </cell>
          <cell r="CN54">
            <v>46201</v>
          </cell>
          <cell r="CO54">
            <v>46202</v>
          </cell>
          <cell r="CP54">
            <v>46203</v>
          </cell>
          <cell r="CQ54">
            <v>46204</v>
          </cell>
          <cell r="CR54">
            <v>46205</v>
          </cell>
          <cell r="CS54">
            <v>46206</v>
          </cell>
          <cell r="CT54">
            <v>46207</v>
          </cell>
          <cell r="CU54">
            <v>46208</v>
          </cell>
          <cell r="CV54">
            <v>46209</v>
          </cell>
          <cell r="CW54">
            <v>46210</v>
          </cell>
          <cell r="CX54">
            <v>46211</v>
          </cell>
          <cell r="CY54">
            <v>46212</v>
          </cell>
          <cell r="CZ54">
            <v>46213</v>
          </cell>
          <cell r="DA54">
            <v>46214</v>
          </cell>
          <cell r="DB54">
            <v>46215</v>
          </cell>
          <cell r="DC54">
            <v>46216</v>
          </cell>
          <cell r="DD54">
            <v>46217</v>
          </cell>
          <cell r="DE54">
            <v>46218</v>
          </cell>
          <cell r="DF54">
            <v>46219</v>
          </cell>
          <cell r="DG54">
            <v>46220</v>
          </cell>
          <cell r="DH54">
            <v>46221</v>
          </cell>
          <cell r="DI54">
            <v>46222</v>
          </cell>
          <cell r="DJ54">
            <v>46223</v>
          </cell>
          <cell r="DK54">
            <v>46224</v>
          </cell>
          <cell r="DL54">
            <v>46225</v>
          </cell>
          <cell r="DM54">
            <v>46226</v>
          </cell>
          <cell r="DN54">
            <v>46227</v>
          </cell>
          <cell r="DO54">
            <v>46228</v>
          </cell>
          <cell r="DP54">
            <v>46229</v>
          </cell>
          <cell r="DQ54">
            <v>46230</v>
          </cell>
          <cell r="DR54">
            <v>46231</v>
          </cell>
          <cell r="DS54">
            <v>46232</v>
          </cell>
          <cell r="DT54">
            <v>46233</v>
          </cell>
          <cell r="DU54">
            <v>46234</v>
          </cell>
          <cell r="DV54">
            <v>46235</v>
          </cell>
          <cell r="DW54">
            <v>46236</v>
          </cell>
          <cell r="DX54">
            <v>46237</v>
          </cell>
          <cell r="DY54">
            <v>46238</v>
          </cell>
          <cell r="DZ54">
            <v>46239</v>
          </cell>
          <cell r="EA54">
            <v>46240</v>
          </cell>
          <cell r="EB54">
            <v>46241</v>
          </cell>
          <cell r="EC54">
            <v>46242</v>
          </cell>
          <cell r="ED54">
            <v>46243</v>
          </cell>
          <cell r="EE54">
            <v>46244</v>
          </cell>
          <cell r="EF54">
            <v>46245</v>
          </cell>
          <cell r="EG54">
            <v>46246</v>
          </cell>
          <cell r="EH54">
            <v>46247</v>
          </cell>
          <cell r="EI54">
            <v>46248</v>
          </cell>
          <cell r="EJ54">
            <v>46249</v>
          </cell>
          <cell r="EK54">
            <v>46250</v>
          </cell>
          <cell r="EL54">
            <v>46251</v>
          </cell>
          <cell r="EM54">
            <v>46252</v>
          </cell>
          <cell r="EN54">
            <v>46253</v>
          </cell>
          <cell r="EO54">
            <v>46254</v>
          </cell>
          <cell r="EP54">
            <v>46255</v>
          </cell>
          <cell r="EQ54">
            <v>46256</v>
          </cell>
          <cell r="ER54">
            <v>46257</v>
          </cell>
          <cell r="ES54">
            <v>46258</v>
          </cell>
          <cell r="ET54">
            <v>46259</v>
          </cell>
          <cell r="EU54">
            <v>46260</v>
          </cell>
          <cell r="EV54">
            <v>46261</v>
          </cell>
          <cell r="EW54">
            <v>46262</v>
          </cell>
          <cell r="EX54">
            <v>46263</v>
          </cell>
          <cell r="EY54">
            <v>46264</v>
          </cell>
          <cell r="EZ54">
            <v>46265</v>
          </cell>
          <cell r="FA54">
            <v>46266</v>
          </cell>
          <cell r="FB54">
            <v>46267</v>
          </cell>
          <cell r="FC54">
            <v>46268</v>
          </cell>
          <cell r="FD54">
            <v>46269</v>
          </cell>
          <cell r="FE54">
            <v>46270</v>
          </cell>
          <cell r="FF54">
            <v>46271</v>
          </cell>
          <cell r="FG54">
            <v>46272</v>
          </cell>
          <cell r="FH54">
            <v>46273</v>
          </cell>
          <cell r="FI54">
            <v>46274</v>
          </cell>
          <cell r="FJ54">
            <v>46275</v>
          </cell>
          <cell r="FK54">
            <v>46276</v>
          </cell>
          <cell r="FL54">
            <v>46277</v>
          </cell>
          <cell r="FM54">
            <v>46278</v>
          </cell>
          <cell r="FN54">
            <v>46279</v>
          </cell>
          <cell r="FO54">
            <v>46280</v>
          </cell>
          <cell r="FP54">
            <v>46281</v>
          </cell>
          <cell r="FQ54">
            <v>46282</v>
          </cell>
          <cell r="FR54">
            <v>46283</v>
          </cell>
          <cell r="FS54">
            <v>46284</v>
          </cell>
          <cell r="FT54">
            <v>46285</v>
          </cell>
          <cell r="FU54">
            <v>46286</v>
          </cell>
          <cell r="FV54">
            <v>46287</v>
          </cell>
          <cell r="FW54">
            <v>46288</v>
          </cell>
          <cell r="FX54">
            <v>46289</v>
          </cell>
          <cell r="FY54">
            <v>46290</v>
          </cell>
          <cell r="FZ54">
            <v>46291</v>
          </cell>
          <cell r="GA54">
            <v>46292</v>
          </cell>
          <cell r="GB54">
            <v>46293</v>
          </cell>
          <cell r="GC54">
            <v>46294</v>
          </cell>
          <cell r="GD54">
            <v>46295</v>
          </cell>
          <cell r="GE54">
            <v>46296</v>
          </cell>
          <cell r="GF54">
            <v>46297</v>
          </cell>
          <cell r="GG54">
            <v>46298</v>
          </cell>
          <cell r="GH54">
            <v>46299</v>
          </cell>
          <cell r="GI54">
            <v>46300</v>
          </cell>
          <cell r="GJ54">
            <v>46301</v>
          </cell>
          <cell r="GK54">
            <v>46302</v>
          </cell>
          <cell r="GL54">
            <v>46303</v>
          </cell>
          <cell r="GM54">
            <v>46304</v>
          </cell>
          <cell r="GN54">
            <v>46305</v>
          </cell>
          <cell r="GO54">
            <v>46306</v>
          </cell>
          <cell r="GP54">
            <v>46307</v>
          </cell>
          <cell r="GQ54">
            <v>46308</v>
          </cell>
          <cell r="GR54">
            <v>46309</v>
          </cell>
          <cell r="GS54">
            <v>46310</v>
          </cell>
          <cell r="GT54">
            <v>46311</v>
          </cell>
          <cell r="GU54">
            <v>46312</v>
          </cell>
          <cell r="GV54">
            <v>46313</v>
          </cell>
          <cell r="GW54">
            <v>46314</v>
          </cell>
          <cell r="GX54">
            <v>46315</v>
          </cell>
          <cell r="GY54">
            <v>46316</v>
          </cell>
          <cell r="GZ54">
            <v>46317</v>
          </cell>
          <cell r="HA54">
            <v>46318</v>
          </cell>
          <cell r="HB54">
            <v>46319</v>
          </cell>
          <cell r="HC54">
            <v>46320</v>
          </cell>
          <cell r="HD54">
            <v>46321</v>
          </cell>
          <cell r="HE54">
            <v>46322</v>
          </cell>
          <cell r="HF54">
            <v>46323</v>
          </cell>
          <cell r="HG54">
            <v>46324</v>
          </cell>
          <cell r="HH54">
            <v>46325</v>
          </cell>
          <cell r="HI54">
            <v>46326</v>
          </cell>
          <cell r="HJ54">
            <v>46327</v>
          </cell>
          <cell r="HK54">
            <v>46328</v>
          </cell>
          <cell r="HL54">
            <v>46329</v>
          </cell>
          <cell r="HM54">
            <v>46330</v>
          </cell>
          <cell r="HN54">
            <v>46331</v>
          </cell>
          <cell r="HO54">
            <v>46332</v>
          </cell>
          <cell r="HP54">
            <v>46333</v>
          </cell>
          <cell r="HQ54">
            <v>46334</v>
          </cell>
          <cell r="HR54">
            <v>46335</v>
          </cell>
          <cell r="HS54">
            <v>46336</v>
          </cell>
          <cell r="HT54">
            <v>46337</v>
          </cell>
          <cell r="HU54">
            <v>46338</v>
          </cell>
          <cell r="HV54">
            <v>46339</v>
          </cell>
          <cell r="HW54">
            <v>46340</v>
          </cell>
          <cell r="HX54">
            <v>46341</v>
          </cell>
          <cell r="HY54">
            <v>46342</v>
          </cell>
          <cell r="HZ54">
            <v>46343</v>
          </cell>
          <cell r="IA54">
            <v>46344</v>
          </cell>
          <cell r="IB54">
            <v>46345</v>
          </cell>
          <cell r="IC54">
            <v>46346</v>
          </cell>
          <cell r="ID54">
            <v>46347</v>
          </cell>
          <cell r="IE54">
            <v>46348</v>
          </cell>
          <cell r="IF54">
            <v>46349</v>
          </cell>
          <cell r="IG54">
            <v>46350</v>
          </cell>
          <cell r="IH54">
            <v>46351</v>
          </cell>
          <cell r="II54">
            <v>46352</v>
          </cell>
          <cell r="IJ54">
            <v>46353</v>
          </cell>
          <cell r="IK54">
            <v>46354</v>
          </cell>
          <cell r="IL54">
            <v>46355</v>
          </cell>
          <cell r="IM54">
            <v>46356</v>
          </cell>
          <cell r="IN54">
            <v>46357</v>
          </cell>
          <cell r="IO54">
            <v>46358</v>
          </cell>
          <cell r="IP54">
            <v>46359</v>
          </cell>
          <cell r="IQ54">
            <v>46360</v>
          </cell>
          <cell r="IR54">
            <v>46361</v>
          </cell>
          <cell r="IS54">
            <v>46362</v>
          </cell>
          <cell r="IT54">
            <v>46363</v>
          </cell>
          <cell r="IU54">
            <v>46364</v>
          </cell>
          <cell r="IV54">
            <v>46365</v>
          </cell>
          <cell r="IW54">
            <v>46366</v>
          </cell>
          <cell r="IX54">
            <v>46367</v>
          </cell>
          <cell r="IY54">
            <v>46368</v>
          </cell>
          <cell r="IZ54">
            <v>46369</v>
          </cell>
          <cell r="JA54">
            <v>46370</v>
          </cell>
          <cell r="JB54">
            <v>46371</v>
          </cell>
          <cell r="JC54">
            <v>46372</v>
          </cell>
          <cell r="JD54">
            <v>46373</v>
          </cell>
          <cell r="JE54">
            <v>46374</v>
          </cell>
          <cell r="JF54">
            <v>46375</v>
          </cell>
          <cell r="JG54">
            <v>46376</v>
          </cell>
          <cell r="JH54">
            <v>46377</v>
          </cell>
          <cell r="JI54">
            <v>46378</v>
          </cell>
          <cell r="JJ54">
            <v>46379</v>
          </cell>
          <cell r="JK54">
            <v>46380</v>
          </cell>
          <cell r="JL54">
            <v>46381</v>
          </cell>
          <cell r="JM54">
            <v>46382</v>
          </cell>
          <cell r="JN54">
            <v>46383</v>
          </cell>
          <cell r="JO54">
            <v>46384</v>
          </cell>
          <cell r="JP54">
            <v>46385</v>
          </cell>
          <cell r="JQ54">
            <v>46386</v>
          </cell>
          <cell r="JR54">
            <v>46387</v>
          </cell>
          <cell r="JS54">
            <v>46388</v>
          </cell>
          <cell r="JT54">
            <v>46389</v>
          </cell>
          <cell r="JU54">
            <v>46390</v>
          </cell>
          <cell r="JV54">
            <v>46391</v>
          </cell>
          <cell r="JW54">
            <v>46392</v>
          </cell>
          <cell r="JX54">
            <v>46393</v>
          </cell>
          <cell r="JY54">
            <v>46394</v>
          </cell>
          <cell r="JZ54">
            <v>46395</v>
          </cell>
          <cell r="KA54">
            <v>46396</v>
          </cell>
          <cell r="KB54">
            <v>46397</v>
          </cell>
          <cell r="KC54">
            <v>46398</v>
          </cell>
          <cell r="KD54">
            <v>46399</v>
          </cell>
          <cell r="KE54">
            <v>46400</v>
          </cell>
          <cell r="KF54">
            <v>46401</v>
          </cell>
          <cell r="KG54">
            <v>46402</v>
          </cell>
          <cell r="KH54">
            <v>46403</v>
          </cell>
          <cell r="KI54">
            <v>46404</v>
          </cell>
          <cell r="KJ54">
            <v>46405</v>
          </cell>
          <cell r="KK54">
            <v>46406</v>
          </cell>
          <cell r="KL54">
            <v>46407</v>
          </cell>
          <cell r="KM54">
            <v>46408</v>
          </cell>
          <cell r="KN54">
            <v>46409</v>
          </cell>
          <cell r="KO54">
            <v>46410</v>
          </cell>
          <cell r="KP54">
            <v>46411</v>
          </cell>
          <cell r="KQ54">
            <v>46412</v>
          </cell>
          <cell r="KR54">
            <v>46413</v>
          </cell>
          <cell r="KS54">
            <v>46414</v>
          </cell>
          <cell r="KT54">
            <v>46415</v>
          </cell>
          <cell r="KU54">
            <v>46416</v>
          </cell>
          <cell r="KV54">
            <v>46417</v>
          </cell>
          <cell r="KW54">
            <v>46418</v>
          </cell>
          <cell r="KX54">
            <v>46419</v>
          </cell>
          <cell r="KY54">
            <v>46420</v>
          </cell>
          <cell r="KZ54">
            <v>46421</v>
          </cell>
          <cell r="LA54">
            <v>46422</v>
          </cell>
          <cell r="LB54">
            <v>46423</v>
          </cell>
          <cell r="LC54">
            <v>46424</v>
          </cell>
          <cell r="LD54">
            <v>46425</v>
          </cell>
          <cell r="LE54">
            <v>46426</v>
          </cell>
          <cell r="LF54">
            <v>46427</v>
          </cell>
          <cell r="LG54">
            <v>46428</v>
          </cell>
          <cell r="LH54">
            <v>46429</v>
          </cell>
          <cell r="LI54">
            <v>46430</v>
          </cell>
          <cell r="LJ54">
            <v>46431</v>
          </cell>
          <cell r="LK54">
            <v>46432</v>
          </cell>
          <cell r="LL54">
            <v>46433</v>
          </cell>
          <cell r="LM54">
            <v>46434</v>
          </cell>
          <cell r="LN54">
            <v>46435</v>
          </cell>
          <cell r="LO54">
            <v>46436</v>
          </cell>
          <cell r="LP54">
            <v>46437</v>
          </cell>
          <cell r="LQ54">
            <v>46438</v>
          </cell>
          <cell r="LR54">
            <v>46439</v>
          </cell>
          <cell r="LS54">
            <v>46440</v>
          </cell>
          <cell r="LT54">
            <v>46441</v>
          </cell>
          <cell r="LU54">
            <v>46442</v>
          </cell>
          <cell r="LV54">
            <v>46443</v>
          </cell>
          <cell r="LW54">
            <v>46444</v>
          </cell>
          <cell r="LX54">
            <v>46445</v>
          </cell>
          <cell r="LY54">
            <v>46446</v>
          </cell>
          <cell r="LZ54">
            <v>46447</v>
          </cell>
          <cell r="MA54">
            <v>46448</v>
          </cell>
          <cell r="MB54">
            <v>46449</v>
          </cell>
          <cell r="MC54">
            <v>46450</v>
          </cell>
          <cell r="MD54">
            <v>46451</v>
          </cell>
          <cell r="ME54">
            <v>46452</v>
          </cell>
          <cell r="MF54">
            <v>46453</v>
          </cell>
          <cell r="MG54">
            <v>46454</v>
          </cell>
          <cell r="MH54">
            <v>46455</v>
          </cell>
          <cell r="MI54">
            <v>46456</v>
          </cell>
          <cell r="MJ54">
            <v>46457</v>
          </cell>
          <cell r="MK54">
            <v>46458</v>
          </cell>
          <cell r="ML54">
            <v>46459</v>
          </cell>
          <cell r="MM54">
            <v>46460</v>
          </cell>
          <cell r="MN54">
            <v>46461</v>
          </cell>
          <cell r="MO54">
            <v>46462</v>
          </cell>
          <cell r="MP54">
            <v>46463</v>
          </cell>
          <cell r="MQ54">
            <v>46464</v>
          </cell>
          <cell r="MR54">
            <v>46465</v>
          </cell>
          <cell r="MS54">
            <v>46466</v>
          </cell>
          <cell r="MT54">
            <v>46467</v>
          </cell>
          <cell r="MU54">
            <v>46468</v>
          </cell>
          <cell r="MV54">
            <v>46469</v>
          </cell>
          <cell r="MW54">
            <v>46470</v>
          </cell>
          <cell r="MX54">
            <v>46471</v>
          </cell>
          <cell r="MY54">
            <v>46472</v>
          </cell>
          <cell r="MZ54">
            <v>46473</v>
          </cell>
          <cell r="NA54">
            <v>46474</v>
          </cell>
          <cell r="NB54">
            <v>46475</v>
          </cell>
          <cell r="NC54">
            <v>46476</v>
          </cell>
          <cell r="ND54">
            <v>46477</v>
          </cell>
          <cell r="NE54">
            <v>46478</v>
          </cell>
          <cell r="NF54">
            <v>46479</v>
          </cell>
          <cell r="NG54">
            <v>46480</v>
          </cell>
          <cell r="NH54">
            <v>46481</v>
          </cell>
          <cell r="NI54">
            <v>46482</v>
          </cell>
          <cell r="NJ54">
            <v>46483</v>
          </cell>
          <cell r="NK54">
            <v>46484</v>
          </cell>
          <cell r="NL54">
            <v>46485</v>
          </cell>
          <cell r="NM54">
            <v>46486</v>
          </cell>
          <cell r="NN54">
            <v>46487</v>
          </cell>
          <cell r="NO54">
            <v>46488</v>
          </cell>
          <cell r="NP54">
            <v>46489</v>
          </cell>
          <cell r="NQ54">
            <v>46490</v>
          </cell>
          <cell r="NR54">
            <v>46491</v>
          </cell>
          <cell r="NS54">
            <v>46492</v>
          </cell>
          <cell r="NT54">
            <v>46493</v>
          </cell>
          <cell r="NU54">
            <v>46494</v>
          </cell>
          <cell r="NV54">
            <v>46495</v>
          </cell>
          <cell r="NW54">
            <v>46496</v>
          </cell>
          <cell r="NX54">
            <v>46497</v>
          </cell>
          <cell r="NY54">
            <v>46498</v>
          </cell>
          <cell r="NZ54">
            <v>46499</v>
          </cell>
          <cell r="OA54">
            <v>46500</v>
          </cell>
          <cell r="OB54">
            <v>46501</v>
          </cell>
          <cell r="OC54">
            <v>46502</v>
          </cell>
          <cell r="OD54">
            <v>46503</v>
          </cell>
          <cell r="OE54">
            <v>46504</v>
          </cell>
          <cell r="OF54">
            <v>46505</v>
          </cell>
          <cell r="OG54">
            <v>46506</v>
          </cell>
          <cell r="OH54">
            <v>46507</v>
          </cell>
          <cell r="OI54">
            <v>46508</v>
          </cell>
          <cell r="OJ54">
            <v>46509</v>
          </cell>
          <cell r="OK54">
            <v>46510</v>
          </cell>
          <cell r="OL54">
            <v>46511</v>
          </cell>
          <cell r="OM54">
            <v>46512</v>
          </cell>
          <cell r="ON54">
            <v>46513</v>
          </cell>
          <cell r="OO54">
            <v>46514</v>
          </cell>
          <cell r="OP54">
            <v>46515</v>
          </cell>
          <cell r="OQ54">
            <v>46516</v>
          </cell>
          <cell r="OR54">
            <v>46517</v>
          </cell>
          <cell r="OS54">
            <v>46518</v>
          </cell>
          <cell r="OT54">
            <v>46519</v>
          </cell>
          <cell r="OU54">
            <v>46520</v>
          </cell>
          <cell r="OV54">
            <v>46521</v>
          </cell>
          <cell r="OW54">
            <v>46522</v>
          </cell>
          <cell r="OX54">
            <v>46523</v>
          </cell>
          <cell r="OY54">
            <v>46524</v>
          </cell>
          <cell r="OZ54">
            <v>46525</v>
          </cell>
          <cell r="PA54">
            <v>46526</v>
          </cell>
          <cell r="PB54">
            <v>46527</v>
          </cell>
          <cell r="PC54">
            <v>46528</v>
          </cell>
          <cell r="PD54">
            <v>46529</v>
          </cell>
          <cell r="PE54">
            <v>46530</v>
          </cell>
          <cell r="PF54">
            <v>46531</v>
          </cell>
          <cell r="PG54">
            <v>46532</v>
          </cell>
          <cell r="PH54">
            <v>46533</v>
          </cell>
          <cell r="PI54">
            <v>46534</v>
          </cell>
          <cell r="PJ54">
            <v>46535</v>
          </cell>
          <cell r="PK54">
            <v>46536</v>
          </cell>
          <cell r="PL54">
            <v>46537</v>
          </cell>
          <cell r="PM54">
            <v>46538</v>
          </cell>
          <cell r="PN54">
            <v>46539</v>
          </cell>
          <cell r="PO54">
            <v>46540</v>
          </cell>
          <cell r="PP54">
            <v>46541</v>
          </cell>
          <cell r="PQ54">
            <v>46542</v>
          </cell>
          <cell r="PR54">
            <v>46543</v>
          </cell>
          <cell r="PS54">
            <v>46544</v>
          </cell>
          <cell r="PT54">
            <v>46545</v>
          </cell>
          <cell r="PU54">
            <v>46546</v>
          </cell>
          <cell r="PV54">
            <v>46547</v>
          </cell>
          <cell r="PW54">
            <v>46548</v>
          </cell>
          <cell r="PX54">
            <v>46549</v>
          </cell>
          <cell r="PY54">
            <v>46550</v>
          </cell>
          <cell r="PZ54">
            <v>46551</v>
          </cell>
          <cell r="QA54">
            <v>46552</v>
          </cell>
          <cell r="QB54">
            <v>46553</v>
          </cell>
          <cell r="QC54">
            <v>46554</v>
          </cell>
          <cell r="QD54">
            <v>46555</v>
          </cell>
          <cell r="QE54">
            <v>46556</v>
          </cell>
          <cell r="QF54">
            <v>46557</v>
          </cell>
          <cell r="QG54">
            <v>46558</v>
          </cell>
          <cell r="QH54">
            <v>46559</v>
          </cell>
          <cell r="QI54">
            <v>46560</v>
          </cell>
          <cell r="QJ54">
            <v>46561</v>
          </cell>
          <cell r="QK54">
            <v>46562</v>
          </cell>
          <cell r="QL54">
            <v>46563</v>
          </cell>
          <cell r="QM54">
            <v>46564</v>
          </cell>
          <cell r="QN54">
            <v>46565</v>
          </cell>
          <cell r="QO54">
            <v>46566</v>
          </cell>
          <cell r="QP54">
            <v>46567</v>
          </cell>
          <cell r="QQ54">
            <v>46568</v>
          </cell>
          <cell r="QR54">
            <v>46569</v>
          </cell>
          <cell r="QS54">
            <v>46570</v>
          </cell>
          <cell r="QT54">
            <v>46571</v>
          </cell>
          <cell r="QU54">
            <v>46572</v>
          </cell>
          <cell r="QV54">
            <v>46573</v>
          </cell>
          <cell r="QW54">
            <v>46574</v>
          </cell>
          <cell r="QX54">
            <v>46575</v>
          </cell>
          <cell r="QY54">
            <v>46576</v>
          </cell>
          <cell r="QZ54">
            <v>46577</v>
          </cell>
          <cell r="RA54">
            <v>46578</v>
          </cell>
          <cell r="RB54">
            <v>46579</v>
          </cell>
          <cell r="RC54">
            <v>46580</v>
          </cell>
          <cell r="RD54">
            <v>46581</v>
          </cell>
          <cell r="RE54">
            <v>46582</v>
          </cell>
          <cell r="RF54">
            <v>46583</v>
          </cell>
          <cell r="RG54">
            <v>46584</v>
          </cell>
          <cell r="RH54">
            <v>46585</v>
          </cell>
          <cell r="RI54">
            <v>46586</v>
          </cell>
          <cell r="RJ54">
            <v>46587</v>
          </cell>
          <cell r="RK54">
            <v>46588</v>
          </cell>
          <cell r="RL54">
            <v>46589</v>
          </cell>
          <cell r="RM54">
            <v>46590</v>
          </cell>
          <cell r="RN54">
            <v>46591</v>
          </cell>
          <cell r="RO54">
            <v>46592</v>
          </cell>
          <cell r="RP54">
            <v>46593</v>
          </cell>
          <cell r="RQ54">
            <v>46594</v>
          </cell>
          <cell r="RR54">
            <v>46595</v>
          </cell>
          <cell r="RS54">
            <v>46596</v>
          </cell>
          <cell r="RT54">
            <v>46597</v>
          </cell>
          <cell r="RU54">
            <v>46598</v>
          </cell>
          <cell r="RV54">
            <v>46599</v>
          </cell>
          <cell r="RW54">
            <v>46600</v>
          </cell>
          <cell r="RX54">
            <v>46601</v>
          </cell>
          <cell r="RY54">
            <v>46602</v>
          </cell>
          <cell r="RZ54">
            <v>46603</v>
          </cell>
          <cell r="SA54">
            <v>46604</v>
          </cell>
          <cell r="SB54">
            <v>46605</v>
          </cell>
          <cell r="SC54">
            <v>46606</v>
          </cell>
          <cell r="SD54">
            <v>46607</v>
          </cell>
          <cell r="SE54">
            <v>46608</v>
          </cell>
          <cell r="SF54">
            <v>46609</v>
          </cell>
          <cell r="SG54">
            <v>46610</v>
          </cell>
          <cell r="SH54">
            <v>46611</v>
          </cell>
          <cell r="SI54">
            <v>46612</v>
          </cell>
          <cell r="SJ54">
            <v>46613</v>
          </cell>
          <cell r="SK54">
            <v>46614</v>
          </cell>
          <cell r="SL54">
            <v>46615</v>
          </cell>
          <cell r="SM54">
            <v>46616</v>
          </cell>
          <cell r="SN54">
            <v>46617</v>
          </cell>
          <cell r="SO54">
            <v>46618</v>
          </cell>
          <cell r="SP54">
            <v>46619</v>
          </cell>
          <cell r="SQ54">
            <v>46620</v>
          </cell>
          <cell r="SR54">
            <v>46621</v>
          </cell>
          <cell r="SS54">
            <v>46622</v>
          </cell>
          <cell r="ST54">
            <v>46623</v>
          </cell>
          <cell r="SU54">
            <v>46624</v>
          </cell>
          <cell r="SV54">
            <v>46625</v>
          </cell>
          <cell r="SW54">
            <v>46626</v>
          </cell>
          <cell r="SX54">
            <v>46627</v>
          </cell>
          <cell r="SY54">
            <v>46628</v>
          </cell>
          <cell r="SZ54">
            <v>46629</v>
          </cell>
          <cell r="TA54">
            <v>46630</v>
          </cell>
          <cell r="TB54">
            <v>46631</v>
          </cell>
          <cell r="TC54">
            <v>46632</v>
          </cell>
          <cell r="TD54">
            <v>46633</v>
          </cell>
          <cell r="TE54">
            <v>46634</v>
          </cell>
          <cell r="TF54">
            <v>46635</v>
          </cell>
          <cell r="TG54">
            <v>46636</v>
          </cell>
          <cell r="TH54">
            <v>46637</v>
          </cell>
          <cell r="TI54">
            <v>46638</v>
          </cell>
          <cell r="TJ54">
            <v>46639</v>
          </cell>
          <cell r="TK54">
            <v>46640</v>
          </cell>
          <cell r="TL54">
            <v>46641</v>
          </cell>
          <cell r="TM54">
            <v>46642</v>
          </cell>
          <cell r="TN54">
            <v>46643</v>
          </cell>
          <cell r="TO54">
            <v>46644</v>
          </cell>
          <cell r="TP54">
            <v>46645</v>
          </cell>
          <cell r="TQ54">
            <v>46646</v>
          </cell>
          <cell r="TR54">
            <v>46647</v>
          </cell>
          <cell r="TS54">
            <v>46648</v>
          </cell>
          <cell r="TT54">
            <v>46649</v>
          </cell>
          <cell r="TU54">
            <v>46650</v>
          </cell>
          <cell r="TV54">
            <v>46651</v>
          </cell>
          <cell r="TW54">
            <v>46652</v>
          </cell>
          <cell r="TX54">
            <v>46653</v>
          </cell>
          <cell r="TY54">
            <v>46654</v>
          </cell>
          <cell r="TZ54">
            <v>46655</v>
          </cell>
          <cell r="UA54">
            <v>46656</v>
          </cell>
          <cell r="UB54">
            <v>46657</v>
          </cell>
          <cell r="UC54">
            <v>46658</v>
          </cell>
          <cell r="UD54">
            <v>46659</v>
          </cell>
          <cell r="UE54">
            <v>46660</v>
          </cell>
          <cell r="UF54">
            <v>46661</v>
          </cell>
          <cell r="UG54">
            <v>46662</v>
          </cell>
          <cell r="UH54">
            <v>46663</v>
          </cell>
          <cell r="UI54">
            <v>46664</v>
          </cell>
          <cell r="UJ54">
            <v>46665</v>
          </cell>
          <cell r="UK54">
            <v>46666</v>
          </cell>
          <cell r="UL54">
            <v>46667</v>
          </cell>
          <cell r="UM54">
            <v>46668</v>
          </cell>
          <cell r="UN54">
            <v>46669</v>
          </cell>
          <cell r="UO54">
            <v>46670</v>
          </cell>
          <cell r="UP54">
            <v>46671</v>
          </cell>
          <cell r="UQ54">
            <v>46672</v>
          </cell>
          <cell r="UR54">
            <v>46673</v>
          </cell>
          <cell r="US54">
            <v>46674</v>
          </cell>
          <cell r="UT54">
            <v>46675</v>
          </cell>
          <cell r="UU54">
            <v>46676</v>
          </cell>
          <cell r="UV54">
            <v>46677</v>
          </cell>
          <cell r="UW54">
            <v>46678</v>
          </cell>
          <cell r="UX54">
            <v>46679</v>
          </cell>
          <cell r="UY54">
            <v>46680</v>
          </cell>
          <cell r="UZ54">
            <v>46681</v>
          </cell>
          <cell r="VA54">
            <v>46682</v>
          </cell>
          <cell r="VB54">
            <v>46683</v>
          </cell>
          <cell r="VC54">
            <v>46684</v>
          </cell>
          <cell r="VD54">
            <v>46685</v>
          </cell>
          <cell r="VE54">
            <v>46686</v>
          </cell>
          <cell r="VF54">
            <v>46687</v>
          </cell>
          <cell r="VG54">
            <v>46688</v>
          </cell>
          <cell r="VH54">
            <v>46689</v>
          </cell>
          <cell r="VI54">
            <v>46690</v>
          </cell>
          <cell r="VJ54">
            <v>46691</v>
          </cell>
          <cell r="VK54">
            <v>46692</v>
          </cell>
          <cell r="VL54">
            <v>46693</v>
          </cell>
          <cell r="VM54">
            <v>46694</v>
          </cell>
          <cell r="VN54">
            <v>46695</v>
          </cell>
          <cell r="VO54">
            <v>46696</v>
          </cell>
          <cell r="VP54">
            <v>46697</v>
          </cell>
          <cell r="VQ54">
            <v>46698</v>
          </cell>
          <cell r="VR54">
            <v>46699</v>
          </cell>
          <cell r="VS54">
            <v>46700</v>
          </cell>
          <cell r="VT54">
            <v>46701</v>
          </cell>
          <cell r="VU54">
            <v>46702</v>
          </cell>
          <cell r="VV54">
            <v>46703</v>
          </cell>
          <cell r="VW54">
            <v>46704</v>
          </cell>
          <cell r="VX54">
            <v>46705</v>
          </cell>
          <cell r="VY54">
            <v>46706</v>
          </cell>
          <cell r="VZ54">
            <v>46707</v>
          </cell>
          <cell r="WA54">
            <v>46708</v>
          </cell>
          <cell r="WB54">
            <v>46709</v>
          </cell>
          <cell r="WC54">
            <v>46710</v>
          </cell>
          <cell r="WD54">
            <v>46711</v>
          </cell>
          <cell r="WE54">
            <v>46712</v>
          </cell>
          <cell r="WF54">
            <v>46713</v>
          </cell>
          <cell r="WG54">
            <v>46714</v>
          </cell>
          <cell r="WH54">
            <v>46715</v>
          </cell>
          <cell r="WI54">
            <v>46716</v>
          </cell>
          <cell r="WJ54">
            <v>46717</v>
          </cell>
          <cell r="WK54">
            <v>46718</v>
          </cell>
          <cell r="WL54">
            <v>46719</v>
          </cell>
          <cell r="WM54">
            <v>46720</v>
          </cell>
          <cell r="WN54">
            <v>46721</v>
          </cell>
          <cell r="WO54">
            <v>46722</v>
          </cell>
          <cell r="WP54">
            <v>46723</v>
          </cell>
          <cell r="WQ54">
            <v>46724</v>
          </cell>
          <cell r="WR54">
            <v>46725</v>
          </cell>
          <cell r="WS54">
            <v>46726</v>
          </cell>
          <cell r="WT54">
            <v>46727</v>
          </cell>
          <cell r="WU54">
            <v>46728</v>
          </cell>
          <cell r="WV54">
            <v>46729</v>
          </cell>
          <cell r="WW54">
            <v>46730</v>
          </cell>
          <cell r="WX54">
            <v>46731</v>
          </cell>
          <cell r="WY54">
            <v>46732</v>
          </cell>
          <cell r="WZ54">
            <v>46733</v>
          </cell>
          <cell r="XA54">
            <v>46734</v>
          </cell>
          <cell r="XB54">
            <v>46735</v>
          </cell>
          <cell r="XC54">
            <v>46736</v>
          </cell>
          <cell r="XD54">
            <v>46737</v>
          </cell>
          <cell r="XE54">
            <v>46738</v>
          </cell>
          <cell r="XF54">
            <v>46739</v>
          </cell>
          <cell r="XG54">
            <v>46740</v>
          </cell>
          <cell r="XH54">
            <v>46741</v>
          </cell>
          <cell r="XI54">
            <v>46742</v>
          </cell>
          <cell r="XJ54">
            <v>46743</v>
          </cell>
          <cell r="XK54">
            <v>46744</v>
          </cell>
          <cell r="XL54">
            <v>46745</v>
          </cell>
          <cell r="XM54">
            <v>46746</v>
          </cell>
          <cell r="XN54">
            <v>46747</v>
          </cell>
          <cell r="XO54">
            <v>46748</v>
          </cell>
          <cell r="XP54">
            <v>46749</v>
          </cell>
          <cell r="XQ54">
            <v>46750</v>
          </cell>
          <cell r="XR54">
            <v>46751</v>
          </cell>
          <cell r="XS54">
            <v>46752</v>
          </cell>
          <cell r="XT54">
            <v>46753</v>
          </cell>
          <cell r="XU54">
            <v>46754</v>
          </cell>
          <cell r="XV54">
            <v>46755</v>
          </cell>
          <cell r="XW54">
            <v>46756</v>
          </cell>
          <cell r="XX54">
            <v>46757</v>
          </cell>
          <cell r="XY54">
            <v>46758</v>
          </cell>
          <cell r="XZ54">
            <v>46759</v>
          </cell>
          <cell r="YA54">
            <v>46760</v>
          </cell>
          <cell r="YB54">
            <v>46761</v>
          </cell>
          <cell r="YC54">
            <v>46762</v>
          </cell>
          <cell r="YD54">
            <v>46763</v>
          </cell>
          <cell r="YE54">
            <v>46764</v>
          </cell>
          <cell r="YF54">
            <v>46765</v>
          </cell>
          <cell r="YG54">
            <v>46766</v>
          </cell>
          <cell r="YH54">
            <v>46767</v>
          </cell>
          <cell r="YI54">
            <v>46768</v>
          </cell>
          <cell r="YJ54">
            <v>46769</v>
          </cell>
          <cell r="YK54">
            <v>46770</v>
          </cell>
          <cell r="YL54">
            <v>46771</v>
          </cell>
          <cell r="YM54">
            <v>46772</v>
          </cell>
          <cell r="YN54">
            <v>46773</v>
          </cell>
          <cell r="YO54">
            <v>46774</v>
          </cell>
          <cell r="YP54">
            <v>46775</v>
          </cell>
          <cell r="YQ54">
            <v>46776</v>
          </cell>
          <cell r="YR54">
            <v>46777</v>
          </cell>
          <cell r="YS54">
            <v>46778</v>
          </cell>
          <cell r="YT54">
            <v>46779</v>
          </cell>
          <cell r="YU54">
            <v>46780</v>
          </cell>
          <cell r="YV54">
            <v>46781</v>
          </cell>
          <cell r="YW54">
            <v>46782</v>
          </cell>
          <cell r="YX54">
            <v>46783</v>
          </cell>
          <cell r="YY54">
            <v>46784</v>
          </cell>
          <cell r="YZ54">
            <v>46785</v>
          </cell>
          <cell r="ZA54">
            <v>46786</v>
          </cell>
          <cell r="ZB54">
            <v>46787</v>
          </cell>
          <cell r="ZC54">
            <v>46788</v>
          </cell>
          <cell r="ZD54">
            <v>46789</v>
          </cell>
          <cell r="ZE54">
            <v>46790</v>
          </cell>
          <cell r="ZF54">
            <v>46791</v>
          </cell>
          <cell r="ZG54">
            <v>46792</v>
          </cell>
          <cell r="ZH54">
            <v>46793</v>
          </cell>
          <cell r="ZI54">
            <v>46794</v>
          </cell>
          <cell r="ZJ54">
            <v>46795</v>
          </cell>
          <cell r="ZK54">
            <v>46796</v>
          </cell>
          <cell r="ZL54">
            <v>46797</v>
          </cell>
          <cell r="ZM54">
            <v>46798</v>
          </cell>
          <cell r="ZN54">
            <v>46799</v>
          </cell>
          <cell r="ZO54">
            <v>46800</v>
          </cell>
          <cell r="ZP54">
            <v>46801</v>
          </cell>
          <cell r="ZQ54">
            <v>46802</v>
          </cell>
          <cell r="ZR54">
            <v>46803</v>
          </cell>
          <cell r="ZS54">
            <v>46804</v>
          </cell>
          <cell r="ZT54">
            <v>46805</v>
          </cell>
          <cell r="ZU54">
            <v>46806</v>
          </cell>
          <cell r="ZV54">
            <v>46807</v>
          </cell>
          <cell r="ZW54">
            <v>46808</v>
          </cell>
          <cell r="ZX54">
            <v>46809</v>
          </cell>
          <cell r="ZY54">
            <v>46810</v>
          </cell>
          <cell r="ZZ54">
            <v>46811</v>
          </cell>
          <cell r="AAA54">
            <v>46812</v>
          </cell>
          <cell r="AAB54">
            <v>46813</v>
          </cell>
          <cell r="AAC54">
            <v>46814</v>
          </cell>
          <cell r="AAD54">
            <v>46815</v>
          </cell>
          <cell r="AAE54">
            <v>46816</v>
          </cell>
          <cell r="AAF54">
            <v>46817</v>
          </cell>
          <cell r="AAG54">
            <v>46818</v>
          </cell>
          <cell r="AAH54">
            <v>46819</v>
          </cell>
          <cell r="AAI54">
            <v>46820</v>
          </cell>
          <cell r="AAJ54">
            <v>46821</v>
          </cell>
          <cell r="AAK54">
            <v>46822</v>
          </cell>
          <cell r="AAL54">
            <v>46823</v>
          </cell>
          <cell r="AAM54">
            <v>46824</v>
          </cell>
          <cell r="AAN54">
            <v>46825</v>
          </cell>
          <cell r="AAO54">
            <v>46826</v>
          </cell>
          <cell r="AAP54">
            <v>46827</v>
          </cell>
          <cell r="AAQ54">
            <v>46828</v>
          </cell>
          <cell r="AAR54">
            <v>46829</v>
          </cell>
          <cell r="AAS54">
            <v>46830</v>
          </cell>
          <cell r="AAT54">
            <v>46831</v>
          </cell>
          <cell r="AAU54">
            <v>46832</v>
          </cell>
          <cell r="AAV54">
            <v>46833</v>
          </cell>
          <cell r="AAW54">
            <v>46834</v>
          </cell>
          <cell r="AAX54">
            <v>46835</v>
          </cell>
          <cell r="AAY54">
            <v>46836</v>
          </cell>
          <cell r="AAZ54">
            <v>46837</v>
          </cell>
          <cell r="ABA54">
            <v>46838</v>
          </cell>
          <cell r="ABB54">
            <v>46839</v>
          </cell>
          <cell r="ABC54">
            <v>46840</v>
          </cell>
          <cell r="ABD54">
            <v>46841</v>
          </cell>
          <cell r="ABE54">
            <v>46842</v>
          </cell>
          <cell r="ABF54">
            <v>46843</v>
          </cell>
          <cell r="ABG54">
            <v>46844</v>
          </cell>
          <cell r="ABH54">
            <v>46845</v>
          </cell>
          <cell r="ABI54">
            <v>46846</v>
          </cell>
          <cell r="ABJ54">
            <v>46847</v>
          </cell>
          <cell r="ABK54">
            <v>46848</v>
          </cell>
          <cell r="ABL54">
            <v>46849</v>
          </cell>
          <cell r="ABM54">
            <v>46850</v>
          </cell>
          <cell r="ABN54">
            <v>46851</v>
          </cell>
          <cell r="ABO54">
            <v>46852</v>
          </cell>
          <cell r="ABP54">
            <v>46853</v>
          </cell>
          <cell r="ABQ54">
            <v>46854</v>
          </cell>
          <cell r="ABR54">
            <v>46855</v>
          </cell>
          <cell r="ABS54">
            <v>46856</v>
          </cell>
          <cell r="ABT54">
            <v>46857</v>
          </cell>
          <cell r="ABU54">
            <v>46858</v>
          </cell>
          <cell r="ABV54">
            <v>46859</v>
          </cell>
          <cell r="ABW54">
            <v>46860</v>
          </cell>
          <cell r="ABX54">
            <v>46861</v>
          </cell>
          <cell r="ABY54">
            <v>46862</v>
          </cell>
          <cell r="ABZ54">
            <v>46863</v>
          </cell>
          <cell r="ACA54">
            <v>46864</v>
          </cell>
          <cell r="ACB54">
            <v>46865</v>
          </cell>
          <cell r="ACC54">
            <v>46866</v>
          </cell>
          <cell r="ACD54">
            <v>46867</v>
          </cell>
          <cell r="ACE54">
            <v>46868</v>
          </cell>
          <cell r="ACF54">
            <v>46869</v>
          </cell>
          <cell r="ACG54">
            <v>46870</v>
          </cell>
          <cell r="ACH54">
            <v>46871</v>
          </cell>
          <cell r="ACI54">
            <v>46872</v>
          </cell>
          <cell r="ACJ54">
            <v>46873</v>
          </cell>
          <cell r="ACK54">
            <v>46874</v>
          </cell>
          <cell r="ACL54">
            <v>46875</v>
          </cell>
          <cell r="ACM54">
            <v>46876</v>
          </cell>
          <cell r="ACN54">
            <v>46877</v>
          </cell>
        </row>
        <row r="55">
          <cell r="C55" t="str">
            <v>MOA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  <cell r="AP55">
            <v>1</v>
          </cell>
          <cell r="AR55">
            <v>1</v>
          </cell>
          <cell r="AS55">
            <v>1</v>
          </cell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Y55">
            <v>1</v>
          </cell>
          <cell r="AZ55">
            <v>1</v>
          </cell>
          <cell r="BA55">
            <v>1</v>
          </cell>
          <cell r="BB55">
            <v>1</v>
          </cell>
          <cell r="BC55">
            <v>1</v>
          </cell>
          <cell r="BD55">
            <v>1</v>
          </cell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</row>
        <row r="56">
          <cell r="C56" t="str">
            <v>MOI</v>
          </cell>
        </row>
        <row r="57">
          <cell r="C57" t="str">
            <v>MOI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</row>
        <row r="58">
          <cell r="C58" t="str">
            <v>ST</v>
          </cell>
          <cell r="AK58">
            <v>1</v>
          </cell>
          <cell r="AL58">
            <v>1</v>
          </cell>
          <cell r="AM58">
            <v>1</v>
          </cell>
          <cell r="AN58">
            <v>1</v>
          </cell>
          <cell r="AO58">
            <v>1</v>
          </cell>
          <cell r="AP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  <cell r="BJ58">
            <v>1</v>
          </cell>
          <cell r="BK58">
            <v>1</v>
          </cell>
          <cell r="BM58">
            <v>1</v>
          </cell>
          <cell r="BN58">
            <v>1</v>
          </cell>
          <cell r="BO58">
            <v>1</v>
          </cell>
          <cell r="BP58">
            <v>1</v>
          </cell>
          <cell r="BQ58">
            <v>1</v>
          </cell>
          <cell r="BR58">
            <v>1</v>
          </cell>
          <cell r="BT58">
            <v>1</v>
          </cell>
          <cell r="BU58">
            <v>1</v>
          </cell>
          <cell r="BV58">
            <v>1</v>
          </cell>
          <cell r="BW58">
            <v>1</v>
          </cell>
          <cell r="BX58">
            <v>1</v>
          </cell>
          <cell r="BY58">
            <v>1</v>
          </cell>
          <cell r="CA58">
            <v>1</v>
          </cell>
          <cell r="CB58">
            <v>1</v>
          </cell>
          <cell r="CC58">
            <v>1</v>
          </cell>
          <cell r="CD58">
            <v>1</v>
          </cell>
          <cell r="CE58">
            <v>1</v>
          </cell>
          <cell r="CF58">
            <v>1</v>
          </cell>
          <cell r="CH58">
            <v>1</v>
          </cell>
          <cell r="CI58">
            <v>1</v>
          </cell>
          <cell r="CJ58">
            <v>1</v>
          </cell>
          <cell r="CK58">
            <v>1</v>
          </cell>
          <cell r="CL58">
            <v>1</v>
          </cell>
          <cell r="CM58">
            <v>1</v>
          </cell>
          <cell r="CO58">
            <v>2</v>
          </cell>
          <cell r="CP58">
            <v>2</v>
          </cell>
          <cell r="CQ58">
            <v>2</v>
          </cell>
          <cell r="CR58">
            <v>2</v>
          </cell>
          <cell r="CS58">
            <v>2</v>
          </cell>
          <cell r="CT58">
            <v>2</v>
          </cell>
          <cell r="CV58">
            <v>2</v>
          </cell>
          <cell r="CW58">
            <v>2</v>
          </cell>
          <cell r="CX58">
            <v>2</v>
          </cell>
          <cell r="CY58">
            <v>2</v>
          </cell>
          <cell r="CZ58">
            <v>2</v>
          </cell>
          <cell r="DA58">
            <v>2</v>
          </cell>
          <cell r="DC58">
            <v>2</v>
          </cell>
          <cell r="DD58">
            <v>2</v>
          </cell>
          <cell r="DE58">
            <v>2</v>
          </cell>
          <cell r="DF58">
            <v>2</v>
          </cell>
          <cell r="DG58">
            <v>2</v>
          </cell>
          <cell r="DH58">
            <v>2</v>
          </cell>
          <cell r="DJ58">
            <v>2</v>
          </cell>
          <cell r="DK58">
            <v>2</v>
          </cell>
          <cell r="DL58">
            <v>2</v>
          </cell>
          <cell r="DM58">
            <v>2</v>
          </cell>
          <cell r="DN58">
            <v>2</v>
          </cell>
          <cell r="DO58">
            <v>2</v>
          </cell>
          <cell r="DQ58">
            <v>2</v>
          </cell>
          <cell r="DR58">
            <v>2</v>
          </cell>
          <cell r="DS58">
            <v>2</v>
          </cell>
          <cell r="DT58">
            <v>2</v>
          </cell>
          <cell r="DU58">
            <v>2</v>
          </cell>
          <cell r="DV58">
            <v>2</v>
          </cell>
          <cell r="DX58">
            <v>2</v>
          </cell>
          <cell r="DY58">
            <v>2</v>
          </cell>
          <cell r="DZ58">
            <v>2</v>
          </cell>
          <cell r="EA58">
            <v>2</v>
          </cell>
          <cell r="EB58">
            <v>2</v>
          </cell>
          <cell r="EC58">
            <v>2</v>
          </cell>
          <cell r="EE58">
            <v>2</v>
          </cell>
          <cell r="EF58">
            <v>2</v>
          </cell>
          <cell r="EG58">
            <v>2</v>
          </cell>
          <cell r="EH58">
            <v>2</v>
          </cell>
          <cell r="EI58">
            <v>2</v>
          </cell>
          <cell r="EJ58">
            <v>2</v>
          </cell>
          <cell r="EL58">
            <v>2</v>
          </cell>
          <cell r="EM58">
            <v>2</v>
          </cell>
          <cell r="EN58">
            <v>2</v>
          </cell>
          <cell r="EO58">
            <v>2</v>
          </cell>
          <cell r="EP58">
            <v>2</v>
          </cell>
          <cell r="EQ58">
            <v>2</v>
          </cell>
          <cell r="ES58">
            <v>2</v>
          </cell>
          <cell r="ET58">
            <v>2</v>
          </cell>
          <cell r="EU58">
            <v>2</v>
          </cell>
          <cell r="EV58">
            <v>2</v>
          </cell>
          <cell r="EW58">
            <v>2</v>
          </cell>
          <cell r="EX58">
            <v>2</v>
          </cell>
          <cell r="EZ58">
            <v>2</v>
          </cell>
          <cell r="FA58">
            <v>2</v>
          </cell>
          <cell r="FB58">
            <v>2</v>
          </cell>
          <cell r="FC58">
            <v>2</v>
          </cell>
          <cell r="FD58">
            <v>2</v>
          </cell>
          <cell r="FE58">
            <v>2</v>
          </cell>
          <cell r="FH58">
            <v>2</v>
          </cell>
          <cell r="FI58">
            <v>2</v>
          </cell>
          <cell r="FJ58">
            <v>2</v>
          </cell>
          <cell r="FK58">
            <v>2</v>
          </cell>
          <cell r="FL58">
            <v>2</v>
          </cell>
          <cell r="FN58">
            <v>2</v>
          </cell>
          <cell r="FO58">
            <v>2</v>
          </cell>
          <cell r="FP58">
            <v>2</v>
          </cell>
          <cell r="FQ58">
            <v>2</v>
          </cell>
          <cell r="FR58">
            <v>2</v>
          </cell>
          <cell r="FS58">
            <v>2</v>
          </cell>
          <cell r="FU58">
            <v>2</v>
          </cell>
          <cell r="FV58">
            <v>2</v>
          </cell>
          <cell r="FW58">
            <v>2</v>
          </cell>
          <cell r="FX58">
            <v>2</v>
          </cell>
          <cell r="FY58">
            <v>2</v>
          </cell>
          <cell r="FZ58">
            <v>2</v>
          </cell>
          <cell r="GB58">
            <v>1</v>
          </cell>
          <cell r="GC58">
            <v>1</v>
          </cell>
          <cell r="GD58">
            <v>1</v>
          </cell>
          <cell r="GE58">
            <v>1</v>
          </cell>
          <cell r="GF58">
            <v>1</v>
          </cell>
          <cell r="GG58">
            <v>1</v>
          </cell>
          <cell r="GI58">
            <v>1</v>
          </cell>
          <cell r="GJ58">
            <v>1</v>
          </cell>
          <cell r="GK58">
            <v>1</v>
          </cell>
          <cell r="GL58">
            <v>1</v>
          </cell>
          <cell r="GM58">
            <v>1</v>
          </cell>
          <cell r="GN58">
            <v>1</v>
          </cell>
          <cell r="GQ58">
            <v>1</v>
          </cell>
          <cell r="GR58">
            <v>1</v>
          </cell>
          <cell r="GS58">
            <v>1</v>
          </cell>
          <cell r="GT58">
            <v>1</v>
          </cell>
          <cell r="GU58">
            <v>1</v>
          </cell>
          <cell r="GW58">
            <v>1</v>
          </cell>
          <cell r="GX58">
            <v>1</v>
          </cell>
          <cell r="GY58">
            <v>1</v>
          </cell>
          <cell r="GZ58">
            <v>1</v>
          </cell>
          <cell r="HA58">
            <v>1</v>
          </cell>
          <cell r="HB58">
            <v>1</v>
          </cell>
          <cell r="HD58">
            <v>1</v>
          </cell>
          <cell r="HE58">
            <v>1</v>
          </cell>
          <cell r="HF58">
            <v>1</v>
          </cell>
          <cell r="HG58">
            <v>1</v>
          </cell>
          <cell r="HH58">
            <v>1</v>
          </cell>
          <cell r="HI58">
            <v>1</v>
          </cell>
        </row>
        <row r="59">
          <cell r="C59" t="str">
            <v>MOI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R59">
            <v>1</v>
          </cell>
          <cell r="AS59">
            <v>1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Y59">
            <v>1</v>
          </cell>
          <cell r="AZ59">
            <v>1</v>
          </cell>
          <cell r="BA59">
            <v>1</v>
          </cell>
          <cell r="BB59">
            <v>1</v>
          </cell>
          <cell r="BC59">
            <v>1</v>
          </cell>
          <cell r="BD59">
            <v>1</v>
          </cell>
          <cell r="BF59">
            <v>1</v>
          </cell>
          <cell r="BG59">
            <v>1</v>
          </cell>
          <cell r="BH59">
            <v>1</v>
          </cell>
          <cell r="BI59">
            <v>1</v>
          </cell>
          <cell r="BJ59">
            <v>1</v>
          </cell>
          <cell r="BK59">
            <v>1</v>
          </cell>
          <cell r="BM59">
            <v>1</v>
          </cell>
          <cell r="BN59">
            <v>1</v>
          </cell>
          <cell r="BO59">
            <v>1</v>
          </cell>
          <cell r="BP59">
            <v>1</v>
          </cell>
          <cell r="BQ59">
            <v>1</v>
          </cell>
          <cell r="BR59">
            <v>1</v>
          </cell>
          <cell r="BT59">
            <v>1</v>
          </cell>
          <cell r="BU59">
            <v>1</v>
          </cell>
          <cell r="BV59">
            <v>1</v>
          </cell>
          <cell r="BW59">
            <v>1</v>
          </cell>
          <cell r="BX59">
            <v>1</v>
          </cell>
          <cell r="BY59">
            <v>1</v>
          </cell>
          <cell r="CA59">
            <v>1</v>
          </cell>
          <cell r="CB59">
            <v>1</v>
          </cell>
          <cell r="CC59">
            <v>1</v>
          </cell>
          <cell r="CD59">
            <v>1</v>
          </cell>
          <cell r="CE59">
            <v>1</v>
          </cell>
          <cell r="CF59">
            <v>1</v>
          </cell>
          <cell r="CH59">
            <v>2</v>
          </cell>
          <cell r="CI59">
            <v>2</v>
          </cell>
          <cell r="CJ59">
            <v>2</v>
          </cell>
          <cell r="CK59">
            <v>2</v>
          </cell>
          <cell r="CL59">
            <v>2</v>
          </cell>
          <cell r="CM59">
            <v>2</v>
          </cell>
          <cell r="CO59">
            <v>2</v>
          </cell>
          <cell r="CP59">
            <v>2</v>
          </cell>
          <cell r="CQ59">
            <v>2</v>
          </cell>
          <cell r="CR59">
            <v>2</v>
          </cell>
          <cell r="CS59">
            <v>2</v>
          </cell>
          <cell r="CT59">
            <v>2</v>
          </cell>
          <cell r="CV59">
            <v>2</v>
          </cell>
          <cell r="CW59">
            <v>2</v>
          </cell>
          <cell r="CX59">
            <v>2</v>
          </cell>
          <cell r="CY59">
            <v>2</v>
          </cell>
          <cell r="CZ59">
            <v>2</v>
          </cell>
          <cell r="DA59">
            <v>2</v>
          </cell>
          <cell r="DC59">
            <v>2</v>
          </cell>
          <cell r="DD59">
            <v>2</v>
          </cell>
          <cell r="DE59">
            <v>2</v>
          </cell>
          <cell r="DF59">
            <v>2</v>
          </cell>
          <cell r="DG59">
            <v>2</v>
          </cell>
          <cell r="DH59">
            <v>2</v>
          </cell>
          <cell r="DJ59">
            <v>2</v>
          </cell>
          <cell r="DK59">
            <v>2</v>
          </cell>
          <cell r="DL59">
            <v>2</v>
          </cell>
          <cell r="DM59">
            <v>2</v>
          </cell>
          <cell r="DN59">
            <v>2</v>
          </cell>
          <cell r="DO59">
            <v>2</v>
          </cell>
          <cell r="DQ59">
            <v>2</v>
          </cell>
          <cell r="DR59">
            <v>2</v>
          </cell>
          <cell r="DS59">
            <v>2</v>
          </cell>
          <cell r="DT59">
            <v>2</v>
          </cell>
          <cell r="DU59">
            <v>2</v>
          </cell>
          <cell r="DV59">
            <v>2</v>
          </cell>
          <cell r="DX59">
            <v>2</v>
          </cell>
          <cell r="DY59">
            <v>2</v>
          </cell>
          <cell r="DZ59">
            <v>2</v>
          </cell>
          <cell r="EA59">
            <v>2</v>
          </cell>
          <cell r="EB59">
            <v>2</v>
          </cell>
          <cell r="EC59">
            <v>2</v>
          </cell>
          <cell r="EE59">
            <v>2</v>
          </cell>
          <cell r="EF59">
            <v>2</v>
          </cell>
          <cell r="EG59">
            <v>2</v>
          </cell>
          <cell r="EH59">
            <v>2</v>
          </cell>
          <cell r="EI59">
            <v>2</v>
          </cell>
          <cell r="EJ59">
            <v>2</v>
          </cell>
          <cell r="EL59">
            <v>2</v>
          </cell>
          <cell r="EM59">
            <v>2</v>
          </cell>
          <cell r="EN59">
            <v>2</v>
          </cell>
          <cell r="EO59">
            <v>2</v>
          </cell>
          <cell r="EP59">
            <v>2</v>
          </cell>
          <cell r="EQ59">
            <v>2</v>
          </cell>
          <cell r="ES59">
            <v>2</v>
          </cell>
          <cell r="ET59">
            <v>2</v>
          </cell>
          <cell r="EU59">
            <v>2</v>
          </cell>
          <cell r="EV59">
            <v>2</v>
          </cell>
          <cell r="EW59">
            <v>2</v>
          </cell>
          <cell r="EX59">
            <v>2</v>
          </cell>
          <cell r="EZ59">
            <v>2</v>
          </cell>
          <cell r="FA59">
            <v>2</v>
          </cell>
          <cell r="FB59">
            <v>2</v>
          </cell>
          <cell r="FC59">
            <v>2</v>
          </cell>
          <cell r="FD59">
            <v>2</v>
          </cell>
          <cell r="FE59">
            <v>2</v>
          </cell>
          <cell r="FH59">
            <v>2</v>
          </cell>
          <cell r="FI59">
            <v>2</v>
          </cell>
          <cell r="FJ59">
            <v>2</v>
          </cell>
          <cell r="FK59">
            <v>2</v>
          </cell>
          <cell r="FL59">
            <v>2</v>
          </cell>
          <cell r="FN59">
            <v>2</v>
          </cell>
          <cell r="FO59">
            <v>2</v>
          </cell>
          <cell r="FP59">
            <v>2</v>
          </cell>
          <cell r="FQ59">
            <v>2</v>
          </cell>
          <cell r="FR59">
            <v>2</v>
          </cell>
          <cell r="FS59">
            <v>2</v>
          </cell>
          <cell r="FU59">
            <v>2</v>
          </cell>
          <cell r="FV59">
            <v>2</v>
          </cell>
          <cell r="FW59">
            <v>2</v>
          </cell>
          <cell r="FX59">
            <v>2</v>
          </cell>
          <cell r="FY59">
            <v>2</v>
          </cell>
          <cell r="FZ59">
            <v>2</v>
          </cell>
          <cell r="GB59">
            <v>1</v>
          </cell>
          <cell r="GC59">
            <v>1</v>
          </cell>
          <cell r="GD59">
            <v>1</v>
          </cell>
          <cell r="GE59">
            <v>1</v>
          </cell>
          <cell r="GF59">
            <v>1</v>
          </cell>
          <cell r="GG59">
            <v>1</v>
          </cell>
          <cell r="GI59">
            <v>1</v>
          </cell>
          <cell r="GJ59">
            <v>1</v>
          </cell>
          <cell r="GK59">
            <v>1</v>
          </cell>
          <cell r="GL59">
            <v>1</v>
          </cell>
          <cell r="GM59">
            <v>1</v>
          </cell>
          <cell r="GN59">
            <v>1</v>
          </cell>
          <cell r="GQ59">
            <v>1</v>
          </cell>
          <cell r="GR59">
            <v>1</v>
          </cell>
          <cell r="GS59">
            <v>1</v>
          </cell>
          <cell r="GT59">
            <v>1</v>
          </cell>
          <cell r="GU59">
            <v>1</v>
          </cell>
          <cell r="GW59">
            <v>1</v>
          </cell>
          <cell r="GX59">
            <v>1</v>
          </cell>
          <cell r="GY59">
            <v>1</v>
          </cell>
          <cell r="GZ59">
            <v>1</v>
          </cell>
          <cell r="HA59">
            <v>1</v>
          </cell>
          <cell r="HB59">
            <v>1</v>
          </cell>
          <cell r="HD59">
            <v>1</v>
          </cell>
          <cell r="HE59">
            <v>1</v>
          </cell>
          <cell r="HF59">
            <v>1</v>
          </cell>
          <cell r="HG59">
            <v>1</v>
          </cell>
          <cell r="HH59">
            <v>1</v>
          </cell>
          <cell r="HI59">
            <v>1</v>
          </cell>
        </row>
        <row r="60">
          <cell r="C60" t="str">
            <v>MOI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J60">
            <v>1</v>
          </cell>
          <cell r="DK60">
            <v>1</v>
          </cell>
          <cell r="DL60">
            <v>1</v>
          </cell>
          <cell r="DM60">
            <v>1</v>
          </cell>
          <cell r="DN60">
            <v>1</v>
          </cell>
          <cell r="DO60">
            <v>1</v>
          </cell>
          <cell r="DQ60">
            <v>1</v>
          </cell>
          <cell r="DR60">
            <v>1</v>
          </cell>
          <cell r="DS60">
            <v>1</v>
          </cell>
          <cell r="DT60">
            <v>1</v>
          </cell>
          <cell r="DU60">
            <v>1</v>
          </cell>
          <cell r="DV60">
            <v>1</v>
          </cell>
          <cell r="DX60">
            <v>1</v>
          </cell>
          <cell r="DY60">
            <v>1</v>
          </cell>
          <cell r="DZ60">
            <v>1</v>
          </cell>
          <cell r="EA60">
            <v>1</v>
          </cell>
          <cell r="EB60">
            <v>1</v>
          </cell>
          <cell r="EC60">
            <v>1</v>
          </cell>
          <cell r="EE60">
            <v>1</v>
          </cell>
          <cell r="EF60">
            <v>1</v>
          </cell>
          <cell r="EG60">
            <v>1</v>
          </cell>
          <cell r="EH60">
            <v>1</v>
          </cell>
          <cell r="EI60">
            <v>1</v>
          </cell>
          <cell r="EJ60">
            <v>1</v>
          </cell>
          <cell r="EL60">
            <v>1</v>
          </cell>
          <cell r="EM60">
            <v>1</v>
          </cell>
          <cell r="EN60">
            <v>1</v>
          </cell>
          <cell r="EO60">
            <v>1</v>
          </cell>
          <cell r="EP60">
            <v>1</v>
          </cell>
          <cell r="EQ60">
            <v>1</v>
          </cell>
          <cell r="ES60">
            <v>1</v>
          </cell>
          <cell r="ET60">
            <v>1</v>
          </cell>
          <cell r="EU60">
            <v>1</v>
          </cell>
          <cell r="EV60">
            <v>1</v>
          </cell>
          <cell r="EW60">
            <v>1</v>
          </cell>
          <cell r="EX60">
            <v>1</v>
          </cell>
          <cell r="EZ60">
            <v>1</v>
          </cell>
          <cell r="FA60">
            <v>1</v>
          </cell>
          <cell r="FB60">
            <v>1</v>
          </cell>
          <cell r="FC60">
            <v>1</v>
          </cell>
          <cell r="FD60">
            <v>1</v>
          </cell>
          <cell r="FE60">
            <v>1</v>
          </cell>
          <cell r="FH60">
            <v>1</v>
          </cell>
          <cell r="FI60">
            <v>1</v>
          </cell>
          <cell r="FJ60">
            <v>1</v>
          </cell>
          <cell r="FK60">
            <v>1</v>
          </cell>
          <cell r="FL60">
            <v>1</v>
          </cell>
          <cell r="FN60">
            <v>1</v>
          </cell>
          <cell r="FO60">
            <v>1</v>
          </cell>
          <cell r="FP60">
            <v>1</v>
          </cell>
          <cell r="FQ60">
            <v>1</v>
          </cell>
          <cell r="FR60">
            <v>1</v>
          </cell>
          <cell r="FS60">
            <v>1</v>
          </cell>
          <cell r="FU60">
            <v>1</v>
          </cell>
          <cell r="FV60">
            <v>1</v>
          </cell>
          <cell r="FW60">
            <v>1</v>
          </cell>
          <cell r="FX60">
            <v>1</v>
          </cell>
          <cell r="FY60">
            <v>1</v>
          </cell>
          <cell r="FZ60">
            <v>1</v>
          </cell>
          <cell r="GB60">
            <v>1</v>
          </cell>
          <cell r="GC60">
            <v>1</v>
          </cell>
          <cell r="GD60">
            <v>1</v>
          </cell>
          <cell r="GE60">
            <v>1</v>
          </cell>
          <cell r="GF60">
            <v>1</v>
          </cell>
          <cell r="GG60">
            <v>1</v>
          </cell>
          <cell r="GI60">
            <v>1</v>
          </cell>
          <cell r="GJ60">
            <v>1</v>
          </cell>
          <cell r="GK60">
            <v>1</v>
          </cell>
          <cell r="GL60">
            <v>1</v>
          </cell>
          <cell r="GM60">
            <v>1</v>
          </cell>
          <cell r="GN60">
            <v>1</v>
          </cell>
          <cell r="GQ60">
            <v>1</v>
          </cell>
          <cell r="GR60">
            <v>1</v>
          </cell>
          <cell r="GS60">
            <v>1</v>
          </cell>
          <cell r="GT60">
            <v>1</v>
          </cell>
          <cell r="GU60">
            <v>1</v>
          </cell>
          <cell r="GW60">
            <v>1</v>
          </cell>
          <cell r="GX60">
            <v>1</v>
          </cell>
          <cell r="GY60">
            <v>1</v>
          </cell>
          <cell r="GZ60">
            <v>1</v>
          </cell>
          <cell r="HA60">
            <v>1</v>
          </cell>
          <cell r="HB60">
            <v>1</v>
          </cell>
          <cell r="HD60">
            <v>1</v>
          </cell>
          <cell r="HE60">
            <v>1</v>
          </cell>
          <cell r="HF60">
            <v>1</v>
          </cell>
          <cell r="HG60">
            <v>1</v>
          </cell>
          <cell r="HH60">
            <v>1</v>
          </cell>
          <cell r="HI60">
            <v>1</v>
          </cell>
        </row>
        <row r="61">
          <cell r="C61" t="str">
            <v>MOI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M61">
            <v>1</v>
          </cell>
          <cell r="BN61">
            <v>1</v>
          </cell>
          <cell r="BO61">
            <v>1</v>
          </cell>
          <cell r="BP61">
            <v>1</v>
          </cell>
          <cell r="BQ61">
            <v>1</v>
          </cell>
          <cell r="BR61">
            <v>1</v>
          </cell>
          <cell r="BT61">
            <v>1</v>
          </cell>
          <cell r="BU61">
            <v>1</v>
          </cell>
          <cell r="BV61">
            <v>1</v>
          </cell>
          <cell r="BW61">
            <v>1</v>
          </cell>
          <cell r="BX61">
            <v>1</v>
          </cell>
          <cell r="BY61">
            <v>1</v>
          </cell>
          <cell r="CA61">
            <v>1</v>
          </cell>
          <cell r="CB61">
            <v>1</v>
          </cell>
          <cell r="CC61">
            <v>1</v>
          </cell>
          <cell r="CD61">
            <v>1</v>
          </cell>
          <cell r="CE61">
            <v>1</v>
          </cell>
          <cell r="CF61">
            <v>1</v>
          </cell>
          <cell r="CH61">
            <v>1</v>
          </cell>
          <cell r="CI61">
            <v>1</v>
          </cell>
          <cell r="CJ61">
            <v>1</v>
          </cell>
          <cell r="CK61">
            <v>1</v>
          </cell>
          <cell r="CL61">
            <v>1</v>
          </cell>
          <cell r="CM61">
            <v>1</v>
          </cell>
          <cell r="CO61">
            <v>1</v>
          </cell>
          <cell r="CP61">
            <v>1</v>
          </cell>
          <cell r="CQ61">
            <v>1</v>
          </cell>
          <cell r="CR61">
            <v>1</v>
          </cell>
          <cell r="CS61">
            <v>1</v>
          </cell>
          <cell r="CT61">
            <v>1</v>
          </cell>
          <cell r="CV61">
            <v>1</v>
          </cell>
          <cell r="CW61">
            <v>1</v>
          </cell>
          <cell r="CX61">
            <v>1</v>
          </cell>
          <cell r="CY61">
            <v>1</v>
          </cell>
          <cell r="CZ61">
            <v>1</v>
          </cell>
          <cell r="DA61">
            <v>1</v>
          </cell>
          <cell r="DC61">
            <v>1</v>
          </cell>
          <cell r="DD61">
            <v>1</v>
          </cell>
          <cell r="DE61">
            <v>1</v>
          </cell>
          <cell r="DF61">
            <v>1</v>
          </cell>
          <cell r="DG61">
            <v>1</v>
          </cell>
          <cell r="DH61">
            <v>1</v>
          </cell>
          <cell r="DJ61">
            <v>1</v>
          </cell>
          <cell r="DK61">
            <v>1</v>
          </cell>
          <cell r="DL61">
            <v>1</v>
          </cell>
          <cell r="DM61">
            <v>1</v>
          </cell>
          <cell r="DN61">
            <v>1</v>
          </cell>
          <cell r="DO61">
            <v>1</v>
          </cell>
          <cell r="DQ61">
            <v>1</v>
          </cell>
          <cell r="DR61">
            <v>1</v>
          </cell>
          <cell r="DS61">
            <v>1</v>
          </cell>
          <cell r="DT61">
            <v>1</v>
          </cell>
          <cell r="DU61">
            <v>1</v>
          </cell>
          <cell r="DV61">
            <v>1</v>
          </cell>
          <cell r="DX61">
            <v>1</v>
          </cell>
          <cell r="DY61">
            <v>1</v>
          </cell>
          <cell r="DZ61">
            <v>1</v>
          </cell>
          <cell r="EA61">
            <v>1</v>
          </cell>
          <cell r="EB61">
            <v>1</v>
          </cell>
          <cell r="EC61">
            <v>1</v>
          </cell>
          <cell r="EE61">
            <v>1</v>
          </cell>
          <cell r="EF61">
            <v>1</v>
          </cell>
          <cell r="EG61">
            <v>1</v>
          </cell>
          <cell r="EH61">
            <v>1</v>
          </cell>
          <cell r="EI61">
            <v>1</v>
          </cell>
          <cell r="EJ61">
            <v>1</v>
          </cell>
          <cell r="EL61">
            <v>1</v>
          </cell>
          <cell r="EM61">
            <v>1</v>
          </cell>
          <cell r="EN61">
            <v>1</v>
          </cell>
          <cell r="EO61">
            <v>1</v>
          </cell>
          <cell r="EP61">
            <v>1</v>
          </cell>
          <cell r="EQ61">
            <v>1</v>
          </cell>
          <cell r="ES61">
            <v>1</v>
          </cell>
          <cell r="ET61">
            <v>1</v>
          </cell>
          <cell r="EU61">
            <v>1</v>
          </cell>
          <cell r="EV61">
            <v>1</v>
          </cell>
          <cell r="EW61">
            <v>1</v>
          </cell>
          <cell r="EX61">
            <v>1</v>
          </cell>
          <cell r="EZ61">
            <v>1</v>
          </cell>
          <cell r="FA61">
            <v>1</v>
          </cell>
          <cell r="FB61">
            <v>1</v>
          </cell>
          <cell r="FC61">
            <v>1</v>
          </cell>
          <cell r="FD61">
            <v>1</v>
          </cell>
          <cell r="FE61">
            <v>1</v>
          </cell>
          <cell r="FH61">
            <v>1</v>
          </cell>
          <cell r="FI61">
            <v>1</v>
          </cell>
          <cell r="FJ61">
            <v>1</v>
          </cell>
          <cell r="FK61">
            <v>1</v>
          </cell>
          <cell r="FL61">
            <v>1</v>
          </cell>
          <cell r="FN61">
            <v>1</v>
          </cell>
          <cell r="FO61">
            <v>1</v>
          </cell>
          <cell r="FP61">
            <v>1</v>
          </cell>
          <cell r="FQ61">
            <v>1</v>
          </cell>
          <cell r="FR61">
            <v>1</v>
          </cell>
          <cell r="FS61">
            <v>1</v>
          </cell>
          <cell r="FU61">
            <v>1</v>
          </cell>
          <cell r="FV61">
            <v>1</v>
          </cell>
          <cell r="FW61">
            <v>1</v>
          </cell>
          <cell r="FX61">
            <v>1</v>
          </cell>
          <cell r="FY61">
            <v>1</v>
          </cell>
          <cell r="FZ61">
            <v>1</v>
          </cell>
          <cell r="GB61">
            <v>1</v>
          </cell>
          <cell r="GC61">
            <v>1</v>
          </cell>
          <cell r="GD61">
            <v>1</v>
          </cell>
          <cell r="GE61">
            <v>1</v>
          </cell>
          <cell r="GF61">
            <v>1</v>
          </cell>
          <cell r="GG61">
            <v>1</v>
          </cell>
          <cell r="GI61">
            <v>1</v>
          </cell>
          <cell r="GJ61">
            <v>1</v>
          </cell>
          <cell r="GK61">
            <v>1</v>
          </cell>
          <cell r="GL61">
            <v>1</v>
          </cell>
          <cell r="GM61">
            <v>1</v>
          </cell>
          <cell r="GN61">
            <v>1</v>
          </cell>
          <cell r="GQ61">
            <v>1</v>
          </cell>
          <cell r="GR61">
            <v>1</v>
          </cell>
          <cell r="GS61">
            <v>1</v>
          </cell>
          <cell r="GT61">
            <v>1</v>
          </cell>
          <cell r="GU61">
            <v>1</v>
          </cell>
          <cell r="GW61">
            <v>1</v>
          </cell>
          <cell r="GX61">
            <v>1</v>
          </cell>
          <cell r="GY61">
            <v>1</v>
          </cell>
          <cell r="GZ61">
            <v>1</v>
          </cell>
          <cell r="HA61">
            <v>1</v>
          </cell>
          <cell r="HB61">
            <v>1</v>
          </cell>
          <cell r="HD61">
            <v>1</v>
          </cell>
          <cell r="HE61">
            <v>1</v>
          </cell>
          <cell r="HF61">
            <v>1</v>
          </cell>
          <cell r="HG61">
            <v>1</v>
          </cell>
          <cell r="HH61">
            <v>1</v>
          </cell>
          <cell r="HI61">
            <v>1</v>
          </cell>
        </row>
        <row r="62">
          <cell r="C62" t="str">
            <v>MOD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Y62">
            <v>1</v>
          </cell>
          <cell r="AZ62">
            <v>1</v>
          </cell>
          <cell r="BA62">
            <v>1</v>
          </cell>
          <cell r="BB62">
            <v>1</v>
          </cell>
          <cell r="BC62">
            <v>1</v>
          </cell>
          <cell r="BD62">
            <v>1</v>
          </cell>
          <cell r="BF62">
            <v>1</v>
          </cell>
          <cell r="BG62">
            <v>1</v>
          </cell>
          <cell r="BH62">
            <v>1</v>
          </cell>
          <cell r="BI62">
            <v>1</v>
          </cell>
          <cell r="BJ62">
            <v>1</v>
          </cell>
          <cell r="BK62">
            <v>1</v>
          </cell>
          <cell r="BM62">
            <v>1</v>
          </cell>
          <cell r="BN62">
            <v>1</v>
          </cell>
          <cell r="BO62">
            <v>1</v>
          </cell>
          <cell r="BP62">
            <v>1</v>
          </cell>
          <cell r="BQ62">
            <v>1</v>
          </cell>
          <cell r="BR62">
            <v>1</v>
          </cell>
          <cell r="BT62">
            <v>1</v>
          </cell>
          <cell r="BU62">
            <v>1</v>
          </cell>
          <cell r="BV62">
            <v>1</v>
          </cell>
          <cell r="BW62">
            <v>1</v>
          </cell>
          <cell r="BX62">
            <v>1</v>
          </cell>
          <cell r="BY62">
            <v>1</v>
          </cell>
          <cell r="CA62">
            <v>1</v>
          </cell>
          <cell r="CB62">
            <v>1</v>
          </cell>
          <cell r="CC62">
            <v>1</v>
          </cell>
          <cell r="CD62">
            <v>1</v>
          </cell>
          <cell r="CE62">
            <v>1</v>
          </cell>
          <cell r="CF62">
            <v>1</v>
          </cell>
          <cell r="CH62">
            <v>1</v>
          </cell>
          <cell r="CI62">
            <v>1</v>
          </cell>
          <cell r="CJ62">
            <v>1</v>
          </cell>
          <cell r="CK62">
            <v>1</v>
          </cell>
          <cell r="CL62">
            <v>1</v>
          </cell>
          <cell r="CM62">
            <v>1</v>
          </cell>
          <cell r="CO62">
            <v>1</v>
          </cell>
          <cell r="CP62">
            <v>1</v>
          </cell>
          <cell r="CQ62">
            <v>1</v>
          </cell>
          <cell r="CR62">
            <v>1</v>
          </cell>
          <cell r="CS62">
            <v>1</v>
          </cell>
          <cell r="CT62">
            <v>1</v>
          </cell>
          <cell r="CV62">
            <v>1</v>
          </cell>
          <cell r="CW62">
            <v>1</v>
          </cell>
          <cell r="CX62">
            <v>1</v>
          </cell>
          <cell r="CY62">
            <v>1</v>
          </cell>
          <cell r="CZ62">
            <v>1</v>
          </cell>
          <cell r="DA62">
            <v>1</v>
          </cell>
          <cell r="DC62">
            <v>1</v>
          </cell>
          <cell r="DD62">
            <v>1</v>
          </cell>
          <cell r="DE62">
            <v>1</v>
          </cell>
          <cell r="DF62">
            <v>1</v>
          </cell>
          <cell r="DG62">
            <v>1</v>
          </cell>
          <cell r="DH62">
            <v>1</v>
          </cell>
          <cell r="DJ62">
            <v>1</v>
          </cell>
          <cell r="DK62">
            <v>1</v>
          </cell>
          <cell r="DL62">
            <v>1</v>
          </cell>
          <cell r="DM62">
            <v>1</v>
          </cell>
          <cell r="DN62">
            <v>1</v>
          </cell>
          <cell r="DO62">
            <v>1</v>
          </cell>
          <cell r="DQ62">
            <v>1</v>
          </cell>
          <cell r="DR62">
            <v>1</v>
          </cell>
          <cell r="DS62">
            <v>1</v>
          </cell>
          <cell r="DT62">
            <v>1</v>
          </cell>
          <cell r="DU62">
            <v>1</v>
          </cell>
          <cell r="DV62">
            <v>1</v>
          </cell>
          <cell r="DX62">
            <v>1</v>
          </cell>
          <cell r="DY62">
            <v>1</v>
          </cell>
          <cell r="DZ62">
            <v>1</v>
          </cell>
          <cell r="EA62">
            <v>1</v>
          </cell>
          <cell r="EB62">
            <v>1</v>
          </cell>
          <cell r="EC62">
            <v>1</v>
          </cell>
          <cell r="EE62">
            <v>1</v>
          </cell>
          <cell r="EF62">
            <v>1</v>
          </cell>
          <cell r="EG62">
            <v>1</v>
          </cell>
          <cell r="EH62">
            <v>1</v>
          </cell>
          <cell r="EI62">
            <v>1</v>
          </cell>
          <cell r="EJ62">
            <v>1</v>
          </cell>
          <cell r="EL62">
            <v>1</v>
          </cell>
          <cell r="EM62">
            <v>1</v>
          </cell>
          <cell r="EN62">
            <v>1</v>
          </cell>
          <cell r="EO62">
            <v>1</v>
          </cell>
          <cell r="EP62">
            <v>1</v>
          </cell>
          <cell r="EQ62">
            <v>1</v>
          </cell>
          <cell r="ES62">
            <v>1</v>
          </cell>
          <cell r="ET62">
            <v>1</v>
          </cell>
          <cell r="EU62">
            <v>1</v>
          </cell>
          <cell r="EV62">
            <v>1</v>
          </cell>
          <cell r="EW62">
            <v>1</v>
          </cell>
          <cell r="EX62">
            <v>1</v>
          </cell>
          <cell r="EZ62">
            <v>1</v>
          </cell>
          <cell r="FA62">
            <v>1</v>
          </cell>
          <cell r="FB62">
            <v>1</v>
          </cell>
          <cell r="FC62">
            <v>1</v>
          </cell>
          <cell r="FD62">
            <v>1</v>
          </cell>
          <cell r="FE62">
            <v>1</v>
          </cell>
          <cell r="FH62">
            <v>1</v>
          </cell>
          <cell r="FI62">
            <v>1</v>
          </cell>
          <cell r="FJ62">
            <v>1</v>
          </cell>
          <cell r="FK62">
            <v>1</v>
          </cell>
          <cell r="FL62">
            <v>1</v>
          </cell>
          <cell r="FN62">
            <v>1</v>
          </cell>
          <cell r="FO62">
            <v>1</v>
          </cell>
          <cell r="FP62">
            <v>1</v>
          </cell>
          <cell r="FQ62">
            <v>1</v>
          </cell>
          <cell r="FR62">
            <v>1</v>
          </cell>
          <cell r="FS62">
            <v>1</v>
          </cell>
          <cell r="FU62">
            <v>1</v>
          </cell>
          <cell r="FV62">
            <v>1</v>
          </cell>
          <cell r="FW62">
            <v>1</v>
          </cell>
          <cell r="FX62">
            <v>1</v>
          </cell>
          <cell r="FY62">
            <v>1</v>
          </cell>
          <cell r="FZ62">
            <v>1</v>
          </cell>
          <cell r="GB62">
            <v>1</v>
          </cell>
          <cell r="GC62">
            <v>1</v>
          </cell>
          <cell r="GD62">
            <v>1</v>
          </cell>
          <cell r="GE62">
            <v>1</v>
          </cell>
          <cell r="GF62">
            <v>1</v>
          </cell>
          <cell r="GG62">
            <v>1</v>
          </cell>
        </row>
        <row r="63">
          <cell r="C63" t="str">
            <v>MOD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Y63">
            <v>1</v>
          </cell>
          <cell r="AZ63">
            <v>1</v>
          </cell>
          <cell r="BA63">
            <v>1</v>
          </cell>
          <cell r="BB63">
            <v>1</v>
          </cell>
          <cell r="BC63">
            <v>1</v>
          </cell>
          <cell r="BD63">
            <v>1</v>
          </cell>
          <cell r="BF63">
            <v>1</v>
          </cell>
          <cell r="BG63">
            <v>1</v>
          </cell>
          <cell r="BH63">
            <v>1</v>
          </cell>
          <cell r="BI63">
            <v>1</v>
          </cell>
          <cell r="BJ63">
            <v>1</v>
          </cell>
          <cell r="BK63">
            <v>1</v>
          </cell>
          <cell r="BM63">
            <v>1</v>
          </cell>
          <cell r="BN63">
            <v>1</v>
          </cell>
          <cell r="BO63">
            <v>1</v>
          </cell>
          <cell r="BP63">
            <v>1</v>
          </cell>
          <cell r="BQ63">
            <v>1</v>
          </cell>
          <cell r="BR63">
            <v>1</v>
          </cell>
          <cell r="BT63">
            <v>1</v>
          </cell>
          <cell r="BU63">
            <v>1</v>
          </cell>
          <cell r="BV63">
            <v>1</v>
          </cell>
          <cell r="BW63">
            <v>1</v>
          </cell>
          <cell r="BX63">
            <v>1</v>
          </cell>
          <cell r="BY63">
            <v>1</v>
          </cell>
          <cell r="CA63">
            <v>1</v>
          </cell>
          <cell r="CB63">
            <v>1</v>
          </cell>
          <cell r="CC63">
            <v>1</v>
          </cell>
          <cell r="CD63">
            <v>1</v>
          </cell>
          <cell r="CE63">
            <v>1</v>
          </cell>
          <cell r="CF63">
            <v>1</v>
          </cell>
          <cell r="CH63">
            <v>1</v>
          </cell>
          <cell r="CI63">
            <v>1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O63">
            <v>1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1</v>
          </cell>
          <cell r="CV63">
            <v>1</v>
          </cell>
          <cell r="CW63">
            <v>1</v>
          </cell>
          <cell r="CX63">
            <v>1</v>
          </cell>
          <cell r="CY63">
            <v>1</v>
          </cell>
          <cell r="CZ63">
            <v>1</v>
          </cell>
          <cell r="DA63">
            <v>1</v>
          </cell>
          <cell r="DC63">
            <v>1</v>
          </cell>
          <cell r="DD63">
            <v>1</v>
          </cell>
          <cell r="DE63">
            <v>1</v>
          </cell>
          <cell r="DF63">
            <v>1</v>
          </cell>
          <cell r="DG63">
            <v>1</v>
          </cell>
          <cell r="DH63">
            <v>1</v>
          </cell>
          <cell r="DJ63">
            <v>1</v>
          </cell>
          <cell r="DK63">
            <v>1</v>
          </cell>
          <cell r="DL63">
            <v>1</v>
          </cell>
          <cell r="DM63">
            <v>1</v>
          </cell>
          <cell r="DN63">
            <v>1</v>
          </cell>
          <cell r="DO63">
            <v>1</v>
          </cell>
          <cell r="DQ63">
            <v>1</v>
          </cell>
          <cell r="DR63">
            <v>1</v>
          </cell>
          <cell r="DS63">
            <v>1</v>
          </cell>
          <cell r="DT63">
            <v>1</v>
          </cell>
          <cell r="DU63">
            <v>1</v>
          </cell>
          <cell r="DV63">
            <v>1</v>
          </cell>
          <cell r="DX63">
            <v>1</v>
          </cell>
          <cell r="DY63">
            <v>1</v>
          </cell>
          <cell r="DZ63">
            <v>1</v>
          </cell>
          <cell r="EA63">
            <v>1</v>
          </cell>
          <cell r="EB63">
            <v>1</v>
          </cell>
          <cell r="EC63">
            <v>1</v>
          </cell>
          <cell r="EE63">
            <v>1</v>
          </cell>
          <cell r="EF63">
            <v>1</v>
          </cell>
          <cell r="EG63">
            <v>1</v>
          </cell>
          <cell r="EH63">
            <v>1</v>
          </cell>
          <cell r="EI63">
            <v>1</v>
          </cell>
          <cell r="EJ63">
            <v>1</v>
          </cell>
          <cell r="EL63">
            <v>1</v>
          </cell>
          <cell r="EM63">
            <v>1</v>
          </cell>
          <cell r="EN63">
            <v>1</v>
          </cell>
          <cell r="EO63">
            <v>1</v>
          </cell>
          <cell r="EP63">
            <v>1</v>
          </cell>
          <cell r="EQ63">
            <v>1</v>
          </cell>
          <cell r="ES63">
            <v>1</v>
          </cell>
          <cell r="ET63">
            <v>1</v>
          </cell>
          <cell r="EU63">
            <v>1</v>
          </cell>
          <cell r="EV63">
            <v>1</v>
          </cell>
          <cell r="EW63">
            <v>1</v>
          </cell>
          <cell r="EX63">
            <v>1</v>
          </cell>
          <cell r="EZ63">
            <v>1</v>
          </cell>
          <cell r="FA63">
            <v>1</v>
          </cell>
          <cell r="FB63">
            <v>1</v>
          </cell>
          <cell r="FC63">
            <v>1</v>
          </cell>
          <cell r="FD63">
            <v>1</v>
          </cell>
          <cell r="FE63">
            <v>1</v>
          </cell>
          <cell r="FH63">
            <v>1</v>
          </cell>
          <cell r="FI63">
            <v>1</v>
          </cell>
          <cell r="FJ63">
            <v>1</v>
          </cell>
          <cell r="FK63">
            <v>1</v>
          </cell>
          <cell r="FL63">
            <v>1</v>
          </cell>
          <cell r="FN63">
            <v>1</v>
          </cell>
          <cell r="FO63">
            <v>1</v>
          </cell>
          <cell r="FP63">
            <v>1</v>
          </cell>
          <cell r="FQ63">
            <v>1</v>
          </cell>
          <cell r="FR63">
            <v>1</v>
          </cell>
          <cell r="FS63">
            <v>1</v>
          </cell>
          <cell r="FU63">
            <v>1</v>
          </cell>
          <cell r="FV63">
            <v>1</v>
          </cell>
          <cell r="FW63">
            <v>1</v>
          </cell>
          <cell r="FX63">
            <v>1</v>
          </cell>
          <cell r="FY63">
            <v>1</v>
          </cell>
          <cell r="FZ63">
            <v>1</v>
          </cell>
          <cell r="GB63">
            <v>1</v>
          </cell>
          <cell r="GC63">
            <v>1</v>
          </cell>
          <cell r="GD63">
            <v>1</v>
          </cell>
          <cell r="GE63">
            <v>1</v>
          </cell>
          <cell r="GF63">
            <v>1</v>
          </cell>
          <cell r="GG63">
            <v>1</v>
          </cell>
        </row>
        <row r="64">
          <cell r="C64" t="str">
            <v>MOD</v>
          </cell>
          <cell r="AK64">
            <v>6</v>
          </cell>
          <cell r="AL64">
            <v>6</v>
          </cell>
          <cell r="AM64">
            <v>6</v>
          </cell>
          <cell r="AN64">
            <v>6</v>
          </cell>
          <cell r="AO64">
            <v>6</v>
          </cell>
          <cell r="AP64">
            <v>6</v>
          </cell>
          <cell r="AR64">
            <v>6</v>
          </cell>
          <cell r="AS64">
            <v>6</v>
          </cell>
          <cell r="AT64">
            <v>6</v>
          </cell>
          <cell r="AU64">
            <v>6</v>
          </cell>
          <cell r="AV64">
            <v>6</v>
          </cell>
          <cell r="AW64">
            <v>6</v>
          </cell>
          <cell r="AY64">
            <v>6</v>
          </cell>
          <cell r="AZ64">
            <v>6</v>
          </cell>
          <cell r="BA64">
            <v>6</v>
          </cell>
          <cell r="BB64">
            <v>6</v>
          </cell>
          <cell r="BC64">
            <v>6</v>
          </cell>
          <cell r="BD64">
            <v>6</v>
          </cell>
          <cell r="BF64">
            <v>6</v>
          </cell>
          <cell r="BG64">
            <v>6</v>
          </cell>
          <cell r="BH64">
            <v>6</v>
          </cell>
          <cell r="BI64">
            <v>6</v>
          </cell>
          <cell r="BJ64">
            <v>6</v>
          </cell>
          <cell r="BK64">
            <v>6</v>
          </cell>
          <cell r="BM64">
            <v>10</v>
          </cell>
          <cell r="BN64">
            <v>10</v>
          </cell>
          <cell r="BO64">
            <v>10</v>
          </cell>
          <cell r="BP64">
            <v>10</v>
          </cell>
          <cell r="BQ64">
            <v>10</v>
          </cell>
          <cell r="BR64">
            <v>10</v>
          </cell>
          <cell r="BT64">
            <v>10</v>
          </cell>
          <cell r="BU64">
            <v>10</v>
          </cell>
          <cell r="BV64">
            <v>10</v>
          </cell>
          <cell r="BW64">
            <v>10</v>
          </cell>
          <cell r="BX64">
            <v>10</v>
          </cell>
          <cell r="BY64">
            <v>10</v>
          </cell>
          <cell r="CA64">
            <v>10</v>
          </cell>
          <cell r="CB64">
            <v>10</v>
          </cell>
          <cell r="CC64">
            <v>10</v>
          </cell>
          <cell r="CD64">
            <v>10</v>
          </cell>
          <cell r="CE64">
            <v>10</v>
          </cell>
          <cell r="CF64">
            <v>10</v>
          </cell>
          <cell r="CH64">
            <v>10</v>
          </cell>
          <cell r="CI64">
            <v>10</v>
          </cell>
          <cell r="CJ64">
            <v>10</v>
          </cell>
          <cell r="CK64">
            <v>10</v>
          </cell>
          <cell r="CL64">
            <v>10</v>
          </cell>
          <cell r="CM64">
            <v>10</v>
          </cell>
          <cell r="CO64">
            <v>10</v>
          </cell>
          <cell r="CP64">
            <v>10</v>
          </cell>
          <cell r="CQ64">
            <v>10</v>
          </cell>
          <cell r="CR64">
            <v>10</v>
          </cell>
          <cell r="CS64">
            <v>10</v>
          </cell>
          <cell r="CT64">
            <v>10</v>
          </cell>
          <cell r="CV64">
            <v>10</v>
          </cell>
          <cell r="CW64">
            <v>10</v>
          </cell>
          <cell r="CX64">
            <v>10</v>
          </cell>
          <cell r="CY64">
            <v>10</v>
          </cell>
          <cell r="CZ64">
            <v>10</v>
          </cell>
          <cell r="DA64">
            <v>10</v>
          </cell>
          <cell r="DC64">
            <v>10</v>
          </cell>
          <cell r="DD64">
            <v>10</v>
          </cell>
          <cell r="DE64">
            <v>10</v>
          </cell>
          <cell r="DF64">
            <v>10</v>
          </cell>
          <cell r="DG64">
            <v>10</v>
          </cell>
          <cell r="DH64">
            <v>10</v>
          </cell>
          <cell r="DJ64">
            <v>10</v>
          </cell>
          <cell r="DK64">
            <v>10</v>
          </cell>
          <cell r="DL64">
            <v>10</v>
          </cell>
          <cell r="DM64">
            <v>10</v>
          </cell>
          <cell r="DN64">
            <v>10</v>
          </cell>
          <cell r="DO64">
            <v>10</v>
          </cell>
          <cell r="DQ64">
            <v>10</v>
          </cell>
          <cell r="DR64">
            <v>10</v>
          </cell>
          <cell r="DS64">
            <v>10</v>
          </cell>
          <cell r="DT64">
            <v>10</v>
          </cell>
          <cell r="DU64">
            <v>10</v>
          </cell>
          <cell r="DV64">
            <v>10</v>
          </cell>
          <cell r="DX64">
            <v>10</v>
          </cell>
          <cell r="DY64">
            <v>10</v>
          </cell>
          <cell r="DZ64">
            <v>10</v>
          </cell>
          <cell r="EA64">
            <v>10</v>
          </cell>
          <cell r="EB64">
            <v>10</v>
          </cell>
          <cell r="EC64">
            <v>10</v>
          </cell>
          <cell r="EE64">
            <v>10</v>
          </cell>
          <cell r="EF64">
            <v>10</v>
          </cell>
          <cell r="EG64">
            <v>10</v>
          </cell>
          <cell r="EH64">
            <v>10</v>
          </cell>
          <cell r="EI64">
            <v>10</v>
          </cell>
          <cell r="EJ64">
            <v>10</v>
          </cell>
          <cell r="EL64">
            <v>5</v>
          </cell>
          <cell r="EM64">
            <v>5</v>
          </cell>
          <cell r="EN64">
            <v>5</v>
          </cell>
          <cell r="EO64">
            <v>5</v>
          </cell>
          <cell r="EP64">
            <v>5</v>
          </cell>
          <cell r="EQ64">
            <v>5</v>
          </cell>
          <cell r="ES64">
            <v>5</v>
          </cell>
          <cell r="ET64">
            <v>5</v>
          </cell>
          <cell r="EU64">
            <v>5</v>
          </cell>
          <cell r="EV64">
            <v>5</v>
          </cell>
          <cell r="EW64">
            <v>5</v>
          </cell>
          <cell r="EX64">
            <v>5</v>
          </cell>
          <cell r="EZ64">
            <v>5</v>
          </cell>
          <cell r="FA64">
            <v>5</v>
          </cell>
          <cell r="FB64">
            <v>5</v>
          </cell>
          <cell r="FC64">
            <v>5</v>
          </cell>
          <cell r="FD64">
            <v>5</v>
          </cell>
          <cell r="FE64">
            <v>5</v>
          </cell>
          <cell r="FH64">
            <v>5</v>
          </cell>
          <cell r="FI64">
            <v>5</v>
          </cell>
          <cell r="FJ64">
            <v>5</v>
          </cell>
          <cell r="FK64">
            <v>5</v>
          </cell>
          <cell r="FL64">
            <v>5</v>
          </cell>
          <cell r="FN64">
            <v>5</v>
          </cell>
          <cell r="FO64">
            <v>5</v>
          </cell>
          <cell r="FP64">
            <v>5</v>
          </cell>
          <cell r="FQ64">
            <v>5</v>
          </cell>
          <cell r="FR64">
            <v>5</v>
          </cell>
          <cell r="FS64">
            <v>5</v>
          </cell>
          <cell r="FU64">
            <v>5</v>
          </cell>
          <cell r="FV64">
            <v>5</v>
          </cell>
          <cell r="FW64">
            <v>5</v>
          </cell>
          <cell r="FX64">
            <v>5</v>
          </cell>
          <cell r="FY64">
            <v>5</v>
          </cell>
          <cell r="FZ64">
            <v>5</v>
          </cell>
          <cell r="GB64">
            <v>5</v>
          </cell>
          <cell r="GC64">
            <v>5</v>
          </cell>
          <cell r="GD64">
            <v>5</v>
          </cell>
          <cell r="GE64">
            <v>5</v>
          </cell>
          <cell r="GF64">
            <v>5</v>
          </cell>
          <cell r="GG64">
            <v>5</v>
          </cell>
          <cell r="GI64">
            <v>5</v>
          </cell>
          <cell r="GJ64">
            <v>5</v>
          </cell>
          <cell r="GK64">
            <v>5</v>
          </cell>
          <cell r="GL64">
            <v>5</v>
          </cell>
          <cell r="GM64">
            <v>5</v>
          </cell>
          <cell r="GN64">
            <v>5</v>
          </cell>
          <cell r="GQ64">
            <v>4</v>
          </cell>
          <cell r="GR64">
            <v>4</v>
          </cell>
          <cell r="GS64">
            <v>4</v>
          </cell>
          <cell r="GT64">
            <v>4</v>
          </cell>
          <cell r="GU64">
            <v>4</v>
          </cell>
          <cell r="GW64">
            <v>4</v>
          </cell>
          <cell r="GX64">
            <v>4</v>
          </cell>
          <cell r="GY64">
            <v>4</v>
          </cell>
          <cell r="GZ64">
            <v>4</v>
          </cell>
          <cell r="HA64">
            <v>4</v>
          </cell>
          <cell r="HB64">
            <v>4</v>
          </cell>
          <cell r="HD64">
            <v>4</v>
          </cell>
          <cell r="HE64">
            <v>4</v>
          </cell>
          <cell r="HF64">
            <v>4</v>
          </cell>
          <cell r="HG64">
            <v>4</v>
          </cell>
          <cell r="HH64">
            <v>4</v>
          </cell>
          <cell r="HI64">
            <v>4</v>
          </cell>
        </row>
        <row r="65">
          <cell r="C65" t="str">
            <v>MOD</v>
          </cell>
          <cell r="DX65">
            <v>1</v>
          </cell>
          <cell r="DY65">
            <v>1</v>
          </cell>
          <cell r="DZ65">
            <v>1</v>
          </cell>
          <cell r="EA65">
            <v>1</v>
          </cell>
          <cell r="EB65">
            <v>1</v>
          </cell>
          <cell r="EC65">
            <v>1</v>
          </cell>
          <cell r="EE65">
            <v>1</v>
          </cell>
          <cell r="EF65">
            <v>1</v>
          </cell>
          <cell r="EG65">
            <v>1</v>
          </cell>
          <cell r="EH65">
            <v>1</v>
          </cell>
          <cell r="EI65">
            <v>1</v>
          </cell>
          <cell r="EJ65">
            <v>1</v>
          </cell>
          <cell r="EL65">
            <v>1</v>
          </cell>
          <cell r="EM65">
            <v>1</v>
          </cell>
          <cell r="EN65">
            <v>1</v>
          </cell>
          <cell r="EO65">
            <v>1</v>
          </cell>
          <cell r="EP65">
            <v>1</v>
          </cell>
          <cell r="EQ65">
            <v>1</v>
          </cell>
          <cell r="ES65">
            <v>1</v>
          </cell>
          <cell r="ET65">
            <v>1</v>
          </cell>
          <cell r="EU65">
            <v>1</v>
          </cell>
          <cell r="EV65">
            <v>1</v>
          </cell>
          <cell r="EW65">
            <v>1</v>
          </cell>
          <cell r="EX65">
            <v>1</v>
          </cell>
          <cell r="EZ65">
            <v>1</v>
          </cell>
          <cell r="FA65">
            <v>1</v>
          </cell>
          <cell r="FB65">
            <v>1</v>
          </cell>
          <cell r="FC65">
            <v>1</v>
          </cell>
          <cell r="FD65">
            <v>1</v>
          </cell>
          <cell r="FE65">
            <v>1</v>
          </cell>
          <cell r="FH65">
            <v>1</v>
          </cell>
          <cell r="FI65">
            <v>1</v>
          </cell>
          <cell r="FJ65">
            <v>1</v>
          </cell>
          <cell r="FK65">
            <v>1</v>
          </cell>
          <cell r="FL65">
            <v>1</v>
          </cell>
          <cell r="FN65">
            <v>1</v>
          </cell>
          <cell r="FO65">
            <v>1</v>
          </cell>
          <cell r="FP65">
            <v>1</v>
          </cell>
          <cell r="FQ65">
            <v>1</v>
          </cell>
          <cell r="FR65">
            <v>1</v>
          </cell>
          <cell r="FS65">
            <v>1</v>
          </cell>
          <cell r="FU65">
            <v>1</v>
          </cell>
          <cell r="FV65">
            <v>1</v>
          </cell>
          <cell r="FW65">
            <v>1</v>
          </cell>
          <cell r="FX65">
            <v>1</v>
          </cell>
          <cell r="FY65">
            <v>1</v>
          </cell>
          <cell r="FZ65">
            <v>1</v>
          </cell>
          <cell r="GB65">
            <v>1</v>
          </cell>
          <cell r="GC65">
            <v>1</v>
          </cell>
          <cell r="GD65">
            <v>1</v>
          </cell>
          <cell r="GE65">
            <v>1</v>
          </cell>
          <cell r="GF65">
            <v>1</v>
          </cell>
          <cell r="GG65">
            <v>1</v>
          </cell>
          <cell r="GI65">
            <v>1</v>
          </cell>
          <cell r="GJ65">
            <v>1</v>
          </cell>
          <cell r="GK65">
            <v>1</v>
          </cell>
          <cell r="GL65">
            <v>1</v>
          </cell>
          <cell r="GM65">
            <v>1</v>
          </cell>
          <cell r="GN65">
            <v>1</v>
          </cell>
          <cell r="GQ65">
            <v>1</v>
          </cell>
          <cell r="GR65">
            <v>1</v>
          </cell>
          <cell r="GS65">
            <v>1</v>
          </cell>
          <cell r="GT65">
            <v>1</v>
          </cell>
          <cell r="GU65">
            <v>1</v>
          </cell>
          <cell r="GW65">
            <v>1</v>
          </cell>
          <cell r="GX65">
            <v>1</v>
          </cell>
          <cell r="GY65">
            <v>1</v>
          </cell>
          <cell r="GZ65">
            <v>1</v>
          </cell>
          <cell r="HA65">
            <v>1</v>
          </cell>
          <cell r="HB65">
            <v>1</v>
          </cell>
          <cell r="HD65">
            <v>1</v>
          </cell>
          <cell r="HE65">
            <v>1</v>
          </cell>
          <cell r="HF65">
            <v>1</v>
          </cell>
          <cell r="HG65">
            <v>1</v>
          </cell>
          <cell r="HH65">
            <v>1</v>
          </cell>
          <cell r="HI65">
            <v>1</v>
          </cell>
        </row>
        <row r="66">
          <cell r="C66" t="str">
            <v>MOD</v>
          </cell>
          <cell r="DX66">
            <v>3</v>
          </cell>
          <cell r="DY66">
            <v>3</v>
          </cell>
          <cell r="DZ66">
            <v>3</v>
          </cell>
          <cell r="EA66">
            <v>3</v>
          </cell>
          <cell r="EB66">
            <v>3</v>
          </cell>
          <cell r="EC66">
            <v>3</v>
          </cell>
          <cell r="EE66">
            <v>3</v>
          </cell>
          <cell r="EF66">
            <v>3</v>
          </cell>
          <cell r="EG66">
            <v>3</v>
          </cell>
          <cell r="EH66">
            <v>3</v>
          </cell>
          <cell r="EI66">
            <v>3</v>
          </cell>
          <cell r="EJ66">
            <v>3</v>
          </cell>
          <cell r="EL66">
            <v>3</v>
          </cell>
          <cell r="EM66">
            <v>3</v>
          </cell>
          <cell r="EN66">
            <v>3</v>
          </cell>
          <cell r="EO66">
            <v>3</v>
          </cell>
          <cell r="EP66">
            <v>3</v>
          </cell>
          <cell r="EQ66">
            <v>3</v>
          </cell>
          <cell r="ES66">
            <v>3</v>
          </cell>
          <cell r="ET66">
            <v>3</v>
          </cell>
          <cell r="EU66">
            <v>3</v>
          </cell>
          <cell r="EV66">
            <v>3</v>
          </cell>
          <cell r="EW66">
            <v>3</v>
          </cell>
          <cell r="EX66">
            <v>3</v>
          </cell>
          <cell r="EZ66">
            <v>3</v>
          </cell>
          <cell r="FA66">
            <v>3</v>
          </cell>
          <cell r="FB66">
            <v>3</v>
          </cell>
          <cell r="FC66">
            <v>3</v>
          </cell>
          <cell r="FD66">
            <v>3</v>
          </cell>
          <cell r="FE66">
            <v>3</v>
          </cell>
          <cell r="FH66">
            <v>3</v>
          </cell>
          <cell r="FI66">
            <v>3</v>
          </cell>
          <cell r="FJ66">
            <v>3</v>
          </cell>
          <cell r="FK66">
            <v>3</v>
          </cell>
          <cell r="FL66">
            <v>3</v>
          </cell>
          <cell r="FN66">
            <v>3</v>
          </cell>
          <cell r="FO66">
            <v>3</v>
          </cell>
          <cell r="FP66">
            <v>3</v>
          </cell>
          <cell r="FQ66">
            <v>3</v>
          </cell>
          <cell r="FR66">
            <v>3</v>
          </cell>
          <cell r="FS66">
            <v>3</v>
          </cell>
          <cell r="FU66">
            <v>3</v>
          </cell>
          <cell r="FV66">
            <v>3</v>
          </cell>
          <cell r="FW66">
            <v>3</v>
          </cell>
          <cell r="FX66">
            <v>3</v>
          </cell>
          <cell r="FY66">
            <v>3</v>
          </cell>
          <cell r="FZ66">
            <v>3</v>
          </cell>
          <cell r="GB66">
            <v>3</v>
          </cell>
          <cell r="GC66">
            <v>3</v>
          </cell>
          <cell r="GD66">
            <v>3</v>
          </cell>
          <cell r="GE66">
            <v>3</v>
          </cell>
          <cell r="GF66">
            <v>3</v>
          </cell>
          <cell r="GG66">
            <v>3</v>
          </cell>
          <cell r="GI66">
            <v>3</v>
          </cell>
          <cell r="GJ66">
            <v>3</v>
          </cell>
          <cell r="GK66">
            <v>3</v>
          </cell>
          <cell r="GL66">
            <v>3</v>
          </cell>
          <cell r="GM66">
            <v>3</v>
          </cell>
          <cell r="GN66">
            <v>3</v>
          </cell>
          <cell r="GQ66">
            <v>3</v>
          </cell>
          <cell r="GR66">
            <v>3</v>
          </cell>
          <cell r="GS66">
            <v>3</v>
          </cell>
          <cell r="GT66">
            <v>3</v>
          </cell>
          <cell r="GU66">
            <v>3</v>
          </cell>
          <cell r="GW66">
            <v>3</v>
          </cell>
          <cell r="GX66">
            <v>3</v>
          </cell>
          <cell r="GY66">
            <v>3</v>
          </cell>
          <cell r="GZ66">
            <v>3</v>
          </cell>
          <cell r="HA66">
            <v>3</v>
          </cell>
          <cell r="HB66">
            <v>3</v>
          </cell>
          <cell r="HD66">
            <v>3</v>
          </cell>
          <cell r="HE66">
            <v>3</v>
          </cell>
          <cell r="HF66">
            <v>3</v>
          </cell>
          <cell r="HG66">
            <v>3</v>
          </cell>
          <cell r="HH66">
            <v>3</v>
          </cell>
          <cell r="HI66">
            <v>3</v>
          </cell>
        </row>
        <row r="67">
          <cell r="C67" t="str">
            <v>MOD</v>
          </cell>
          <cell r="DX67">
            <v>1</v>
          </cell>
          <cell r="DY67">
            <v>1</v>
          </cell>
          <cell r="DZ67">
            <v>1</v>
          </cell>
          <cell r="EA67">
            <v>1</v>
          </cell>
          <cell r="EB67">
            <v>1</v>
          </cell>
          <cell r="EC67">
            <v>1</v>
          </cell>
          <cell r="EE67">
            <v>1</v>
          </cell>
          <cell r="EF67">
            <v>1</v>
          </cell>
          <cell r="EG67">
            <v>1</v>
          </cell>
          <cell r="EH67">
            <v>1</v>
          </cell>
          <cell r="EI67">
            <v>1</v>
          </cell>
          <cell r="EJ67">
            <v>1</v>
          </cell>
          <cell r="EL67">
            <v>1</v>
          </cell>
          <cell r="EM67">
            <v>1</v>
          </cell>
          <cell r="EN67">
            <v>1</v>
          </cell>
          <cell r="EO67">
            <v>1</v>
          </cell>
          <cell r="EP67">
            <v>1</v>
          </cell>
          <cell r="EQ67">
            <v>1</v>
          </cell>
          <cell r="ES67">
            <v>1</v>
          </cell>
          <cell r="ET67">
            <v>1</v>
          </cell>
          <cell r="EU67">
            <v>1</v>
          </cell>
          <cell r="EV67">
            <v>1</v>
          </cell>
          <cell r="EW67">
            <v>1</v>
          </cell>
          <cell r="EX67">
            <v>1</v>
          </cell>
          <cell r="EZ67">
            <v>1</v>
          </cell>
          <cell r="FA67">
            <v>1</v>
          </cell>
          <cell r="FB67">
            <v>1</v>
          </cell>
          <cell r="FC67">
            <v>1</v>
          </cell>
          <cell r="FD67">
            <v>1</v>
          </cell>
          <cell r="FE67">
            <v>1</v>
          </cell>
          <cell r="FH67">
            <v>1</v>
          </cell>
          <cell r="FI67">
            <v>1</v>
          </cell>
          <cell r="FJ67">
            <v>1</v>
          </cell>
          <cell r="FK67">
            <v>1</v>
          </cell>
          <cell r="FL67">
            <v>1</v>
          </cell>
          <cell r="FN67">
            <v>1</v>
          </cell>
          <cell r="FO67">
            <v>1</v>
          </cell>
          <cell r="FP67">
            <v>1</v>
          </cell>
          <cell r="FQ67">
            <v>1</v>
          </cell>
          <cell r="FR67">
            <v>1</v>
          </cell>
          <cell r="FS67">
            <v>1</v>
          </cell>
          <cell r="FU67">
            <v>1</v>
          </cell>
          <cell r="FV67">
            <v>1</v>
          </cell>
          <cell r="FW67">
            <v>1</v>
          </cell>
          <cell r="FX67">
            <v>1</v>
          </cell>
          <cell r="FY67">
            <v>1</v>
          </cell>
          <cell r="FZ67">
            <v>1</v>
          </cell>
          <cell r="GB67">
            <v>1</v>
          </cell>
          <cell r="GC67">
            <v>1</v>
          </cell>
          <cell r="GD67">
            <v>1</v>
          </cell>
          <cell r="GE67">
            <v>1</v>
          </cell>
          <cell r="GF67">
            <v>1</v>
          </cell>
          <cell r="GG67">
            <v>1</v>
          </cell>
          <cell r="GI67">
            <v>1</v>
          </cell>
          <cell r="GJ67">
            <v>1</v>
          </cell>
          <cell r="GK67">
            <v>1</v>
          </cell>
          <cell r="GL67">
            <v>1</v>
          </cell>
          <cell r="GM67">
            <v>1</v>
          </cell>
          <cell r="GN67">
            <v>1</v>
          </cell>
          <cell r="GQ67">
            <v>1</v>
          </cell>
          <cell r="GR67">
            <v>1</v>
          </cell>
          <cell r="GS67">
            <v>1</v>
          </cell>
          <cell r="GT67">
            <v>1</v>
          </cell>
          <cell r="GU67">
            <v>1</v>
          </cell>
          <cell r="GW67">
            <v>1</v>
          </cell>
          <cell r="GX67">
            <v>1</v>
          </cell>
          <cell r="GY67">
            <v>1</v>
          </cell>
          <cell r="GZ67">
            <v>1</v>
          </cell>
          <cell r="HA67">
            <v>1</v>
          </cell>
          <cell r="HB67">
            <v>1</v>
          </cell>
          <cell r="HD67">
            <v>1</v>
          </cell>
          <cell r="HE67">
            <v>1</v>
          </cell>
          <cell r="HF67">
            <v>1</v>
          </cell>
          <cell r="HG67">
            <v>1</v>
          </cell>
          <cell r="HH67">
            <v>1</v>
          </cell>
          <cell r="HI67">
            <v>1</v>
          </cell>
        </row>
        <row r="68">
          <cell r="C68" t="str">
            <v>MOD</v>
          </cell>
          <cell r="DX68">
            <v>2</v>
          </cell>
          <cell r="DY68">
            <v>2</v>
          </cell>
          <cell r="DZ68">
            <v>2</v>
          </cell>
          <cell r="EA68">
            <v>2</v>
          </cell>
          <cell r="EB68">
            <v>2</v>
          </cell>
          <cell r="EC68">
            <v>2</v>
          </cell>
          <cell r="EE68">
            <v>2</v>
          </cell>
          <cell r="EF68">
            <v>2</v>
          </cell>
          <cell r="EG68">
            <v>2</v>
          </cell>
          <cell r="EH68">
            <v>2</v>
          </cell>
          <cell r="EI68">
            <v>2</v>
          </cell>
          <cell r="EJ68">
            <v>2</v>
          </cell>
          <cell r="EL68">
            <v>2</v>
          </cell>
          <cell r="EM68">
            <v>2</v>
          </cell>
          <cell r="EN68">
            <v>2</v>
          </cell>
          <cell r="EO68">
            <v>2</v>
          </cell>
          <cell r="EP68">
            <v>2</v>
          </cell>
          <cell r="EQ68">
            <v>2</v>
          </cell>
          <cell r="ES68">
            <v>2</v>
          </cell>
          <cell r="ET68">
            <v>2</v>
          </cell>
          <cell r="EU68">
            <v>2</v>
          </cell>
          <cell r="EV68">
            <v>2</v>
          </cell>
          <cell r="EW68">
            <v>2</v>
          </cell>
          <cell r="EX68">
            <v>2</v>
          </cell>
          <cell r="EZ68">
            <v>2</v>
          </cell>
          <cell r="FA68">
            <v>2</v>
          </cell>
          <cell r="FB68">
            <v>2</v>
          </cell>
          <cell r="FC68">
            <v>2</v>
          </cell>
          <cell r="FD68">
            <v>2</v>
          </cell>
          <cell r="FE68">
            <v>2</v>
          </cell>
          <cell r="FH68">
            <v>2</v>
          </cell>
          <cell r="FI68">
            <v>2</v>
          </cell>
          <cell r="FJ68">
            <v>2</v>
          </cell>
          <cell r="FK68">
            <v>2</v>
          </cell>
          <cell r="FL68">
            <v>2</v>
          </cell>
          <cell r="FN68">
            <v>2</v>
          </cell>
          <cell r="FO68">
            <v>2</v>
          </cell>
          <cell r="FP68">
            <v>2</v>
          </cell>
          <cell r="FQ68">
            <v>2</v>
          </cell>
          <cell r="FR68">
            <v>2</v>
          </cell>
          <cell r="FS68">
            <v>2</v>
          </cell>
          <cell r="FU68">
            <v>2</v>
          </cell>
          <cell r="FV68">
            <v>2</v>
          </cell>
          <cell r="FW68">
            <v>2</v>
          </cell>
          <cell r="FX68">
            <v>2</v>
          </cell>
          <cell r="FY68">
            <v>2</v>
          </cell>
          <cell r="FZ68">
            <v>2</v>
          </cell>
          <cell r="GB68">
            <v>2</v>
          </cell>
          <cell r="GC68">
            <v>2</v>
          </cell>
          <cell r="GD68">
            <v>2</v>
          </cell>
          <cell r="GE68">
            <v>2</v>
          </cell>
          <cell r="GF68">
            <v>2</v>
          </cell>
          <cell r="GG68">
            <v>2</v>
          </cell>
          <cell r="GI68">
            <v>2</v>
          </cell>
          <cell r="GJ68">
            <v>2</v>
          </cell>
          <cell r="GK68">
            <v>2</v>
          </cell>
          <cell r="GL68">
            <v>2</v>
          </cell>
          <cell r="GM68">
            <v>2</v>
          </cell>
          <cell r="GN68">
            <v>2</v>
          </cell>
          <cell r="GQ68">
            <v>2</v>
          </cell>
          <cell r="GR68">
            <v>2</v>
          </cell>
          <cell r="GS68">
            <v>2</v>
          </cell>
          <cell r="GT68">
            <v>2</v>
          </cell>
          <cell r="GU68">
            <v>2</v>
          </cell>
          <cell r="GW68">
            <v>2</v>
          </cell>
          <cell r="GX68">
            <v>2</v>
          </cell>
          <cell r="GY68">
            <v>2</v>
          </cell>
          <cell r="GZ68">
            <v>2</v>
          </cell>
          <cell r="HA68">
            <v>2</v>
          </cell>
          <cell r="HB68">
            <v>2</v>
          </cell>
          <cell r="HD68">
            <v>2</v>
          </cell>
          <cell r="HE68">
            <v>2</v>
          </cell>
          <cell r="HF68">
            <v>2</v>
          </cell>
          <cell r="HG68">
            <v>2</v>
          </cell>
          <cell r="HH68">
            <v>2</v>
          </cell>
          <cell r="HI68">
            <v>2</v>
          </cell>
        </row>
        <row r="69">
          <cell r="C69" t="str">
            <v>MOD</v>
          </cell>
          <cell r="AK69">
            <v>8</v>
          </cell>
          <cell r="AL69">
            <v>8</v>
          </cell>
          <cell r="AM69">
            <v>8</v>
          </cell>
          <cell r="AN69">
            <v>8</v>
          </cell>
          <cell r="AO69">
            <v>8</v>
          </cell>
          <cell r="AP69">
            <v>8</v>
          </cell>
          <cell r="AR69">
            <v>8</v>
          </cell>
          <cell r="AS69">
            <v>8</v>
          </cell>
          <cell r="AT69">
            <v>8</v>
          </cell>
          <cell r="AU69">
            <v>8</v>
          </cell>
          <cell r="AV69">
            <v>8</v>
          </cell>
          <cell r="AW69">
            <v>8</v>
          </cell>
          <cell r="AY69">
            <v>8</v>
          </cell>
          <cell r="AZ69">
            <v>8</v>
          </cell>
          <cell r="BA69">
            <v>8</v>
          </cell>
          <cell r="BB69">
            <v>8</v>
          </cell>
          <cell r="BC69">
            <v>8</v>
          </cell>
          <cell r="BD69">
            <v>8</v>
          </cell>
          <cell r="BF69">
            <v>8</v>
          </cell>
          <cell r="BG69">
            <v>8</v>
          </cell>
          <cell r="BH69">
            <v>8</v>
          </cell>
          <cell r="BI69">
            <v>8</v>
          </cell>
          <cell r="BJ69">
            <v>8</v>
          </cell>
          <cell r="BK69">
            <v>8</v>
          </cell>
          <cell r="BM69">
            <v>10</v>
          </cell>
          <cell r="BN69">
            <v>10</v>
          </cell>
          <cell r="BO69">
            <v>10</v>
          </cell>
          <cell r="BP69">
            <v>10</v>
          </cell>
          <cell r="BQ69">
            <v>10</v>
          </cell>
          <cell r="BR69">
            <v>10</v>
          </cell>
          <cell r="BT69">
            <v>10</v>
          </cell>
          <cell r="BU69">
            <v>10</v>
          </cell>
          <cell r="BV69">
            <v>10</v>
          </cell>
          <cell r="BW69">
            <v>10</v>
          </cell>
          <cell r="BX69">
            <v>10</v>
          </cell>
          <cell r="BY69">
            <v>10</v>
          </cell>
          <cell r="CA69">
            <v>10</v>
          </cell>
          <cell r="CB69">
            <v>10</v>
          </cell>
          <cell r="CC69">
            <v>10</v>
          </cell>
          <cell r="CD69">
            <v>10</v>
          </cell>
          <cell r="CE69">
            <v>10</v>
          </cell>
          <cell r="CF69">
            <v>10</v>
          </cell>
          <cell r="CH69">
            <v>40</v>
          </cell>
          <cell r="CI69">
            <v>40</v>
          </cell>
          <cell r="CJ69">
            <v>40</v>
          </cell>
          <cell r="CK69">
            <v>40</v>
          </cell>
          <cell r="CL69">
            <v>40</v>
          </cell>
          <cell r="CM69">
            <v>40</v>
          </cell>
          <cell r="CO69">
            <v>40</v>
          </cell>
          <cell r="CP69">
            <v>40</v>
          </cell>
          <cell r="CQ69">
            <v>40</v>
          </cell>
          <cell r="CR69">
            <v>40</v>
          </cell>
          <cell r="CS69">
            <v>40</v>
          </cell>
          <cell r="CT69">
            <v>40</v>
          </cell>
          <cell r="CV69">
            <v>40</v>
          </cell>
          <cell r="CW69">
            <v>40</v>
          </cell>
          <cell r="CX69">
            <v>40</v>
          </cell>
          <cell r="CY69">
            <v>40</v>
          </cell>
          <cell r="CZ69">
            <v>40</v>
          </cell>
          <cell r="DA69">
            <v>40</v>
          </cell>
          <cell r="DC69">
            <v>40</v>
          </cell>
          <cell r="DD69">
            <v>40</v>
          </cell>
          <cell r="DE69">
            <v>40</v>
          </cell>
          <cell r="DF69">
            <v>40</v>
          </cell>
          <cell r="DG69">
            <v>40</v>
          </cell>
          <cell r="DH69">
            <v>40</v>
          </cell>
          <cell r="DJ69">
            <v>40</v>
          </cell>
          <cell r="DK69">
            <v>40</v>
          </cell>
          <cell r="DL69">
            <v>40</v>
          </cell>
          <cell r="DM69">
            <v>40</v>
          </cell>
          <cell r="DN69">
            <v>40</v>
          </cell>
          <cell r="DO69">
            <v>40</v>
          </cell>
          <cell r="DQ69">
            <v>40</v>
          </cell>
          <cell r="DR69">
            <v>40</v>
          </cell>
          <cell r="DS69">
            <v>40</v>
          </cell>
          <cell r="DT69">
            <v>40</v>
          </cell>
          <cell r="DU69">
            <v>40</v>
          </cell>
          <cell r="DV69">
            <v>40</v>
          </cell>
          <cell r="DX69">
            <v>40</v>
          </cell>
          <cell r="DY69">
            <v>40</v>
          </cell>
          <cell r="DZ69">
            <v>40</v>
          </cell>
          <cell r="EA69">
            <v>40</v>
          </cell>
          <cell r="EB69">
            <v>40</v>
          </cell>
          <cell r="EC69">
            <v>40</v>
          </cell>
          <cell r="EE69">
            <v>40</v>
          </cell>
          <cell r="EF69">
            <v>40</v>
          </cell>
          <cell r="EG69">
            <v>40</v>
          </cell>
          <cell r="EH69">
            <v>40</v>
          </cell>
          <cell r="EI69">
            <v>40</v>
          </cell>
          <cell r="EJ69">
            <v>40</v>
          </cell>
          <cell r="EL69">
            <v>40</v>
          </cell>
          <cell r="EM69">
            <v>40</v>
          </cell>
          <cell r="EN69">
            <v>40</v>
          </cell>
          <cell r="EO69">
            <v>40</v>
          </cell>
          <cell r="EP69">
            <v>40</v>
          </cell>
          <cell r="EQ69">
            <v>40</v>
          </cell>
          <cell r="ES69">
            <v>40</v>
          </cell>
          <cell r="ET69">
            <v>40</v>
          </cell>
          <cell r="EU69">
            <v>40</v>
          </cell>
          <cell r="EV69">
            <v>40</v>
          </cell>
          <cell r="EW69">
            <v>40</v>
          </cell>
          <cell r="EX69">
            <v>40</v>
          </cell>
          <cell r="EZ69">
            <v>40</v>
          </cell>
          <cell r="FA69">
            <v>40</v>
          </cell>
          <cell r="FB69">
            <v>40</v>
          </cell>
          <cell r="FC69">
            <v>40</v>
          </cell>
          <cell r="FD69">
            <v>40</v>
          </cell>
          <cell r="FE69">
            <v>40</v>
          </cell>
          <cell r="FH69">
            <v>40</v>
          </cell>
          <cell r="FI69">
            <v>40</v>
          </cell>
          <cell r="FJ69">
            <v>40</v>
          </cell>
          <cell r="FK69">
            <v>40</v>
          </cell>
          <cell r="FL69">
            <v>40</v>
          </cell>
          <cell r="FN69">
            <v>40</v>
          </cell>
          <cell r="FO69">
            <v>40</v>
          </cell>
          <cell r="FP69">
            <v>40</v>
          </cell>
          <cell r="FQ69">
            <v>40</v>
          </cell>
          <cell r="FR69">
            <v>40</v>
          </cell>
          <cell r="FS69">
            <v>40</v>
          </cell>
          <cell r="FU69">
            <v>40</v>
          </cell>
          <cell r="FV69">
            <v>40</v>
          </cell>
          <cell r="FW69">
            <v>40</v>
          </cell>
          <cell r="FX69">
            <v>40</v>
          </cell>
          <cell r="FY69">
            <v>40</v>
          </cell>
          <cell r="FZ69">
            <v>40</v>
          </cell>
          <cell r="GB69">
            <v>16</v>
          </cell>
          <cell r="GC69">
            <v>16</v>
          </cell>
          <cell r="GD69">
            <v>16</v>
          </cell>
          <cell r="GE69">
            <v>16</v>
          </cell>
          <cell r="GF69">
            <v>16</v>
          </cell>
          <cell r="GG69">
            <v>16</v>
          </cell>
          <cell r="GI69">
            <v>16</v>
          </cell>
          <cell r="GJ69">
            <v>16</v>
          </cell>
          <cell r="GK69">
            <v>16</v>
          </cell>
          <cell r="GL69">
            <v>16</v>
          </cell>
          <cell r="GM69">
            <v>16</v>
          </cell>
          <cell r="GN69">
            <v>16</v>
          </cell>
          <cell r="GQ69">
            <v>16</v>
          </cell>
          <cell r="GR69">
            <v>16</v>
          </cell>
          <cell r="GS69">
            <v>16</v>
          </cell>
          <cell r="GT69">
            <v>16</v>
          </cell>
          <cell r="GU69">
            <v>16</v>
          </cell>
          <cell r="GW69">
            <v>16</v>
          </cell>
          <cell r="GX69">
            <v>16</v>
          </cell>
          <cell r="GY69">
            <v>16</v>
          </cell>
          <cell r="GZ69">
            <v>16</v>
          </cell>
          <cell r="HA69">
            <v>16</v>
          </cell>
          <cell r="HB69">
            <v>16</v>
          </cell>
          <cell r="HD69">
            <v>16</v>
          </cell>
          <cell r="HE69">
            <v>16</v>
          </cell>
          <cell r="HF69">
            <v>16</v>
          </cell>
          <cell r="HG69">
            <v>16</v>
          </cell>
          <cell r="HH69">
            <v>16</v>
          </cell>
          <cell r="HI69">
            <v>16</v>
          </cell>
        </row>
        <row r="70">
          <cell r="C70">
            <v>0</v>
          </cell>
        </row>
        <row r="71">
          <cell r="C71" t="str">
            <v>MOD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</sheetData>
      <sheetData sheetId="44"/>
      <sheetData sheetId="45">
        <row r="26">
          <cell r="AI26">
            <v>14.5</v>
          </cell>
        </row>
        <row r="30">
          <cell r="AJ30">
            <v>110.1</v>
          </cell>
        </row>
      </sheetData>
      <sheetData sheetId="46"/>
      <sheetData sheetId="47">
        <row r="34">
          <cell r="B34">
            <v>2.0107595448845492</v>
          </cell>
        </row>
        <row r="35">
          <cell r="B35">
            <v>1.7094383335671313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51">
          <cell r="J51">
            <v>37760.74</v>
          </cell>
        </row>
      </sheetData>
      <sheetData sheetId="59">
        <row r="51">
          <cell r="I51">
            <v>12628.839999999998</v>
          </cell>
        </row>
      </sheetData>
      <sheetData sheetId="60"/>
      <sheetData sheetId="61"/>
      <sheetData sheetId="62">
        <row r="82">
          <cell r="H82">
            <v>6</v>
          </cell>
        </row>
      </sheetData>
      <sheetData sheetId="63"/>
      <sheetData sheetId="64"/>
      <sheetData sheetId="65"/>
      <sheetData sheetId="66"/>
      <sheetData sheetId="67"/>
      <sheetData sheetId="68">
        <row r="11">
          <cell r="D11">
            <v>17</v>
          </cell>
        </row>
        <row r="12">
          <cell r="D12">
            <v>181</v>
          </cell>
        </row>
        <row r="32">
          <cell r="C32">
            <v>10</v>
          </cell>
          <cell r="E32">
            <v>29</v>
          </cell>
        </row>
        <row r="33">
          <cell r="F33">
            <v>2618</v>
          </cell>
        </row>
        <row r="38">
          <cell r="J38">
            <v>10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1">
          <cell r="K21">
            <v>21</v>
          </cell>
        </row>
      </sheetData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0320-094E-4661-B8DC-F42E9E26A6B6}">
  <sheetPr codeName="Planilha28">
    <tabColor rgb="FFFFC000"/>
  </sheetPr>
  <dimension ref="A2:AHS80"/>
  <sheetViews>
    <sheetView showGridLines="0" tabSelected="1" topLeftCell="A26" workbookViewId="0">
      <selection activeCell="K45" sqref="K45"/>
    </sheetView>
  </sheetViews>
  <sheetFormatPr defaultColWidth="8.7109375" defaultRowHeight="12.95" customHeight="1" x14ac:dyDescent="0.25"/>
  <cols>
    <col min="1" max="1" width="7.85546875" style="1" bestFit="1" customWidth="1"/>
    <col min="2" max="2" width="9.5703125" style="1" bestFit="1" customWidth="1"/>
    <col min="3" max="3" width="9.28515625" style="1" bestFit="1" customWidth="1"/>
    <col min="4" max="4" width="20.7109375" style="1" bestFit="1" customWidth="1"/>
    <col min="5" max="5" width="14.7109375" style="2" bestFit="1" customWidth="1"/>
    <col min="6" max="6" width="10.42578125" style="2" customWidth="1"/>
    <col min="7" max="7" width="8.7109375" style="2" bestFit="1" customWidth="1"/>
    <col min="8" max="8" width="9.5703125" style="2" bestFit="1" customWidth="1"/>
    <col min="9" max="10" width="5.7109375" style="2" bestFit="1" customWidth="1"/>
    <col min="11" max="11" width="9.140625" style="2" customWidth="1"/>
    <col min="12" max="53" width="5.7109375" style="2" bestFit="1" customWidth="1"/>
    <col min="54" max="95" width="6.42578125" style="2" bestFit="1" customWidth="1"/>
    <col min="96" max="102" width="5.5703125" style="2" bestFit="1" customWidth="1"/>
    <col min="103" max="121" width="5.7109375" style="2" bestFit="1" customWidth="1"/>
    <col min="122" max="737" width="3.7109375" style="2" bestFit="1" customWidth="1"/>
    <col min="738" max="903" width="4.140625" style="2" customWidth="1"/>
    <col min="904" max="16384" width="8.7109375" style="1"/>
  </cols>
  <sheetData>
    <row r="2" spans="4:737" ht="29.1" hidden="1" customHeight="1" x14ac:dyDescent="0.25">
      <c r="F2" s="3">
        <f>F26</f>
        <v>46146</v>
      </c>
      <c r="G2" s="3">
        <f t="shared" ref="G2:BR2" si="0">G26</f>
        <v>46147</v>
      </c>
      <c r="H2" s="3">
        <f t="shared" si="0"/>
        <v>46148</v>
      </c>
      <c r="I2" s="3">
        <f t="shared" si="0"/>
        <v>46149</v>
      </c>
      <c r="J2" s="3">
        <f t="shared" si="0"/>
        <v>46150</v>
      </c>
      <c r="K2" s="3">
        <f t="shared" si="0"/>
        <v>46151</v>
      </c>
      <c r="L2" s="3">
        <f t="shared" si="0"/>
        <v>46152</v>
      </c>
      <c r="M2" s="3">
        <f t="shared" si="0"/>
        <v>46153</v>
      </c>
      <c r="N2" s="3">
        <f t="shared" si="0"/>
        <v>46154</v>
      </c>
      <c r="O2" s="3">
        <f t="shared" si="0"/>
        <v>46155</v>
      </c>
      <c r="P2" s="3">
        <f t="shared" si="0"/>
        <v>46156</v>
      </c>
      <c r="Q2" s="3">
        <f t="shared" si="0"/>
        <v>46157</v>
      </c>
      <c r="R2" s="3">
        <f t="shared" si="0"/>
        <v>46158</v>
      </c>
      <c r="S2" s="3">
        <f t="shared" si="0"/>
        <v>46159</v>
      </c>
      <c r="T2" s="3">
        <f t="shared" si="0"/>
        <v>46160</v>
      </c>
      <c r="U2" s="3">
        <f t="shared" si="0"/>
        <v>46161</v>
      </c>
      <c r="V2" s="3">
        <f t="shared" si="0"/>
        <v>46162</v>
      </c>
      <c r="W2" s="3">
        <f t="shared" si="0"/>
        <v>46163</v>
      </c>
      <c r="X2" s="3">
        <f t="shared" si="0"/>
        <v>46164</v>
      </c>
      <c r="Y2" s="3">
        <f t="shared" si="0"/>
        <v>46165</v>
      </c>
      <c r="Z2" s="3">
        <f t="shared" si="0"/>
        <v>46166</v>
      </c>
      <c r="AA2" s="3">
        <f t="shared" si="0"/>
        <v>46167</v>
      </c>
      <c r="AB2" s="3">
        <f t="shared" si="0"/>
        <v>46168</v>
      </c>
      <c r="AC2" s="3">
        <f t="shared" si="0"/>
        <v>46169</v>
      </c>
      <c r="AD2" s="3">
        <f t="shared" si="0"/>
        <v>46170</v>
      </c>
      <c r="AE2" s="3">
        <f t="shared" si="0"/>
        <v>46171</v>
      </c>
      <c r="AF2" s="3">
        <f t="shared" si="0"/>
        <v>46172</v>
      </c>
      <c r="AG2" s="3">
        <f t="shared" si="0"/>
        <v>46173</v>
      </c>
      <c r="AH2" s="3">
        <f t="shared" si="0"/>
        <v>46174</v>
      </c>
      <c r="AI2" s="3">
        <f t="shared" si="0"/>
        <v>46175</v>
      </c>
      <c r="AJ2" s="3">
        <f t="shared" si="0"/>
        <v>46176</v>
      </c>
      <c r="AK2" s="3">
        <f t="shared" si="0"/>
        <v>46177</v>
      </c>
      <c r="AL2" s="3">
        <f t="shared" si="0"/>
        <v>46178</v>
      </c>
      <c r="AM2" s="3">
        <f t="shared" si="0"/>
        <v>46179</v>
      </c>
      <c r="AN2" s="3">
        <f t="shared" si="0"/>
        <v>46180</v>
      </c>
      <c r="AO2" s="3">
        <f t="shared" si="0"/>
        <v>46181</v>
      </c>
      <c r="AP2" s="3">
        <f t="shared" si="0"/>
        <v>46182</v>
      </c>
      <c r="AQ2" s="3">
        <f t="shared" si="0"/>
        <v>46183</v>
      </c>
      <c r="AR2" s="3">
        <f t="shared" si="0"/>
        <v>46184</v>
      </c>
      <c r="AS2" s="3">
        <f t="shared" si="0"/>
        <v>46185</v>
      </c>
      <c r="AT2" s="3">
        <f t="shared" si="0"/>
        <v>46186</v>
      </c>
      <c r="AU2" s="3">
        <f t="shared" si="0"/>
        <v>46187</v>
      </c>
      <c r="AV2" s="3">
        <f t="shared" si="0"/>
        <v>46188</v>
      </c>
      <c r="AW2" s="3">
        <f t="shared" si="0"/>
        <v>46189</v>
      </c>
      <c r="AX2" s="3">
        <f t="shared" si="0"/>
        <v>46190</v>
      </c>
      <c r="AY2" s="3">
        <f t="shared" si="0"/>
        <v>46191</v>
      </c>
      <c r="AZ2" s="3">
        <f t="shared" si="0"/>
        <v>46192</v>
      </c>
      <c r="BA2" s="3">
        <f t="shared" si="0"/>
        <v>46193</v>
      </c>
      <c r="BB2" s="3">
        <f t="shared" si="0"/>
        <v>46194</v>
      </c>
      <c r="BC2" s="3">
        <f t="shared" si="0"/>
        <v>46195</v>
      </c>
      <c r="BD2" s="3">
        <f t="shared" si="0"/>
        <v>46196</v>
      </c>
      <c r="BE2" s="3">
        <f t="shared" si="0"/>
        <v>46197</v>
      </c>
      <c r="BF2" s="3">
        <f t="shared" si="0"/>
        <v>46198</v>
      </c>
      <c r="BG2" s="3">
        <f t="shared" si="0"/>
        <v>46199</v>
      </c>
      <c r="BH2" s="3">
        <f t="shared" si="0"/>
        <v>46200</v>
      </c>
      <c r="BI2" s="3">
        <f t="shared" si="0"/>
        <v>46201</v>
      </c>
      <c r="BJ2" s="3">
        <f t="shared" si="0"/>
        <v>46202</v>
      </c>
      <c r="BK2" s="3">
        <f t="shared" si="0"/>
        <v>46203</v>
      </c>
      <c r="BL2" s="3">
        <f t="shared" si="0"/>
        <v>46204</v>
      </c>
      <c r="BM2" s="3">
        <f t="shared" si="0"/>
        <v>46205</v>
      </c>
      <c r="BN2" s="3">
        <f t="shared" si="0"/>
        <v>46206</v>
      </c>
      <c r="BO2" s="3">
        <f t="shared" si="0"/>
        <v>46207</v>
      </c>
      <c r="BP2" s="3">
        <f t="shared" si="0"/>
        <v>46208</v>
      </c>
      <c r="BQ2" s="3">
        <f t="shared" si="0"/>
        <v>46209</v>
      </c>
      <c r="BR2" s="3">
        <f t="shared" si="0"/>
        <v>46210</v>
      </c>
      <c r="BS2" s="3">
        <f t="shared" ref="BS2:ED2" si="1">BS26</f>
        <v>46211</v>
      </c>
      <c r="BT2" s="3">
        <f t="shared" si="1"/>
        <v>46212</v>
      </c>
      <c r="BU2" s="3">
        <f t="shared" si="1"/>
        <v>46213</v>
      </c>
      <c r="BV2" s="3">
        <f t="shared" si="1"/>
        <v>46214</v>
      </c>
      <c r="BW2" s="3">
        <f t="shared" si="1"/>
        <v>46215</v>
      </c>
      <c r="BX2" s="3">
        <f t="shared" si="1"/>
        <v>46216</v>
      </c>
      <c r="BY2" s="3">
        <f t="shared" si="1"/>
        <v>46217</v>
      </c>
      <c r="BZ2" s="3">
        <f t="shared" si="1"/>
        <v>46218</v>
      </c>
      <c r="CA2" s="3">
        <f t="shared" si="1"/>
        <v>46219</v>
      </c>
      <c r="CB2" s="3">
        <f t="shared" si="1"/>
        <v>46220</v>
      </c>
      <c r="CC2" s="3">
        <f t="shared" si="1"/>
        <v>46221</v>
      </c>
      <c r="CD2" s="3">
        <f t="shared" si="1"/>
        <v>46222</v>
      </c>
      <c r="CE2" s="3">
        <f t="shared" si="1"/>
        <v>46223</v>
      </c>
      <c r="CF2" s="3">
        <f t="shared" si="1"/>
        <v>46224</v>
      </c>
      <c r="CG2" s="3">
        <f t="shared" si="1"/>
        <v>46225</v>
      </c>
      <c r="CH2" s="3">
        <f t="shared" si="1"/>
        <v>46226</v>
      </c>
      <c r="CI2" s="3">
        <f t="shared" si="1"/>
        <v>46227</v>
      </c>
      <c r="CJ2" s="3">
        <f t="shared" si="1"/>
        <v>46228</v>
      </c>
      <c r="CK2" s="3">
        <f t="shared" si="1"/>
        <v>46229</v>
      </c>
      <c r="CL2" s="3">
        <f t="shared" si="1"/>
        <v>46230</v>
      </c>
      <c r="CM2" s="3">
        <f t="shared" si="1"/>
        <v>46231</v>
      </c>
      <c r="CN2" s="3">
        <f t="shared" si="1"/>
        <v>46232</v>
      </c>
      <c r="CO2" s="3">
        <f t="shared" si="1"/>
        <v>46233</v>
      </c>
      <c r="CP2" s="3">
        <f t="shared" si="1"/>
        <v>46234</v>
      </c>
      <c r="CQ2" s="3">
        <f t="shared" si="1"/>
        <v>46235</v>
      </c>
      <c r="CR2" s="3">
        <f t="shared" si="1"/>
        <v>46236</v>
      </c>
      <c r="CS2" s="3">
        <f t="shared" si="1"/>
        <v>46237</v>
      </c>
      <c r="CT2" s="3">
        <f t="shared" si="1"/>
        <v>46238</v>
      </c>
      <c r="CU2" s="3">
        <f t="shared" si="1"/>
        <v>46239</v>
      </c>
      <c r="CV2" s="3">
        <f t="shared" si="1"/>
        <v>46240</v>
      </c>
      <c r="CW2" s="3">
        <f t="shared" si="1"/>
        <v>46241</v>
      </c>
      <c r="CX2" s="3">
        <f t="shared" si="1"/>
        <v>46242</v>
      </c>
      <c r="CY2" s="3">
        <f t="shared" si="1"/>
        <v>46243</v>
      </c>
      <c r="CZ2" s="3">
        <f t="shared" si="1"/>
        <v>46244</v>
      </c>
      <c r="DA2" s="3">
        <f t="shared" si="1"/>
        <v>46245</v>
      </c>
      <c r="DB2" s="3">
        <f t="shared" si="1"/>
        <v>46246</v>
      </c>
      <c r="DC2" s="3">
        <f t="shared" si="1"/>
        <v>46247</v>
      </c>
      <c r="DD2" s="3">
        <f t="shared" si="1"/>
        <v>46248</v>
      </c>
      <c r="DE2" s="3">
        <f t="shared" si="1"/>
        <v>46249</v>
      </c>
      <c r="DF2" s="3">
        <f t="shared" si="1"/>
        <v>46250</v>
      </c>
      <c r="DG2" s="3">
        <f t="shared" si="1"/>
        <v>46251</v>
      </c>
      <c r="DH2" s="3">
        <f t="shared" si="1"/>
        <v>46252</v>
      </c>
      <c r="DI2" s="3">
        <f t="shared" si="1"/>
        <v>46253</v>
      </c>
      <c r="DJ2" s="3">
        <f t="shared" si="1"/>
        <v>46254</v>
      </c>
      <c r="DK2" s="3">
        <f t="shared" si="1"/>
        <v>46255</v>
      </c>
      <c r="DL2" s="3">
        <f t="shared" si="1"/>
        <v>46256</v>
      </c>
      <c r="DM2" s="3">
        <f t="shared" si="1"/>
        <v>46257</v>
      </c>
      <c r="DN2" s="3">
        <f t="shared" si="1"/>
        <v>46258</v>
      </c>
      <c r="DO2" s="3">
        <f t="shared" si="1"/>
        <v>46259</v>
      </c>
      <c r="DP2" s="3">
        <f t="shared" si="1"/>
        <v>46260</v>
      </c>
      <c r="DQ2" s="3">
        <f t="shared" si="1"/>
        <v>46261</v>
      </c>
      <c r="DR2" s="3">
        <f t="shared" si="1"/>
        <v>46262</v>
      </c>
      <c r="DS2" s="3">
        <f t="shared" si="1"/>
        <v>46263</v>
      </c>
      <c r="DT2" s="3">
        <f t="shared" si="1"/>
        <v>46264</v>
      </c>
      <c r="DU2" s="3">
        <f t="shared" si="1"/>
        <v>46265</v>
      </c>
      <c r="DV2" s="3">
        <f t="shared" si="1"/>
        <v>46266</v>
      </c>
      <c r="DW2" s="3">
        <f t="shared" si="1"/>
        <v>46267</v>
      </c>
      <c r="DX2" s="3">
        <f t="shared" si="1"/>
        <v>46268</v>
      </c>
      <c r="DY2" s="3">
        <f t="shared" si="1"/>
        <v>46269</v>
      </c>
      <c r="DZ2" s="3">
        <f t="shared" si="1"/>
        <v>46270</v>
      </c>
      <c r="EA2" s="3">
        <f t="shared" si="1"/>
        <v>46271</v>
      </c>
      <c r="EB2" s="3">
        <f t="shared" si="1"/>
        <v>46272</v>
      </c>
      <c r="EC2" s="3">
        <f t="shared" si="1"/>
        <v>46273</v>
      </c>
      <c r="ED2" s="3">
        <f t="shared" si="1"/>
        <v>46274</v>
      </c>
      <c r="EE2" s="3">
        <f t="shared" ref="EE2:FD2" si="2">EE26</f>
        <v>46275</v>
      </c>
      <c r="EF2" s="3">
        <f t="shared" si="2"/>
        <v>46276</v>
      </c>
      <c r="EG2" s="3">
        <f t="shared" si="2"/>
        <v>46277</v>
      </c>
      <c r="EH2" s="3">
        <f t="shared" si="2"/>
        <v>46278</v>
      </c>
      <c r="EI2" s="3">
        <f t="shared" si="2"/>
        <v>46279</v>
      </c>
      <c r="EJ2" s="3">
        <f t="shared" si="2"/>
        <v>46280</v>
      </c>
      <c r="EK2" s="3">
        <f t="shared" si="2"/>
        <v>46281</v>
      </c>
      <c r="EL2" s="3">
        <f t="shared" si="2"/>
        <v>46282</v>
      </c>
      <c r="EM2" s="3">
        <f t="shared" si="2"/>
        <v>46283</v>
      </c>
      <c r="EN2" s="3">
        <f t="shared" si="2"/>
        <v>46284</v>
      </c>
      <c r="EO2" s="3">
        <f t="shared" si="2"/>
        <v>46285</v>
      </c>
      <c r="EP2" s="3">
        <f t="shared" si="2"/>
        <v>46286</v>
      </c>
      <c r="EQ2" s="3">
        <f t="shared" si="2"/>
        <v>46287</v>
      </c>
      <c r="ER2" s="3">
        <f t="shared" si="2"/>
        <v>46288</v>
      </c>
      <c r="ES2" s="3">
        <f t="shared" si="2"/>
        <v>46289</v>
      </c>
      <c r="ET2" s="3">
        <f t="shared" si="2"/>
        <v>46290</v>
      </c>
      <c r="EU2" s="3">
        <f t="shared" si="2"/>
        <v>46291</v>
      </c>
      <c r="EV2" s="3">
        <f t="shared" si="2"/>
        <v>46292</v>
      </c>
      <c r="EW2" s="3">
        <f t="shared" si="2"/>
        <v>46293</v>
      </c>
      <c r="EX2" s="3">
        <f t="shared" si="2"/>
        <v>46294</v>
      </c>
      <c r="EY2" s="3">
        <f t="shared" si="2"/>
        <v>46295</v>
      </c>
      <c r="EZ2" s="3">
        <f t="shared" si="2"/>
        <v>46296</v>
      </c>
      <c r="FA2" s="3">
        <f t="shared" si="2"/>
        <v>46297</v>
      </c>
      <c r="FB2" s="3">
        <f t="shared" si="2"/>
        <v>46298</v>
      </c>
      <c r="FC2" s="3">
        <f t="shared" si="2"/>
        <v>46299</v>
      </c>
      <c r="FD2" s="3">
        <f t="shared" si="2"/>
        <v>46300</v>
      </c>
      <c r="FE2" s="3">
        <f>FE26</f>
        <v>46301</v>
      </c>
      <c r="FF2" s="3">
        <f t="shared" ref="FF2:HQ2" si="3">FF26</f>
        <v>46302</v>
      </c>
      <c r="FG2" s="3">
        <f t="shared" si="3"/>
        <v>46303</v>
      </c>
      <c r="FH2" s="3">
        <f t="shared" si="3"/>
        <v>46304</v>
      </c>
      <c r="FI2" s="3">
        <f t="shared" si="3"/>
        <v>46305</v>
      </c>
      <c r="FJ2" s="3">
        <f t="shared" si="3"/>
        <v>46306</v>
      </c>
      <c r="FK2" s="3">
        <f t="shared" si="3"/>
        <v>46307</v>
      </c>
      <c r="FL2" s="3">
        <f t="shared" si="3"/>
        <v>46308</v>
      </c>
      <c r="FM2" s="3">
        <f t="shared" si="3"/>
        <v>46309</v>
      </c>
      <c r="FN2" s="3">
        <f t="shared" si="3"/>
        <v>46310</v>
      </c>
      <c r="FO2" s="3">
        <f t="shared" si="3"/>
        <v>46311</v>
      </c>
      <c r="FP2" s="3">
        <f t="shared" si="3"/>
        <v>46312</v>
      </c>
      <c r="FQ2" s="3">
        <f t="shared" si="3"/>
        <v>46313</v>
      </c>
      <c r="FR2" s="3">
        <f t="shared" si="3"/>
        <v>46314</v>
      </c>
      <c r="FS2" s="3">
        <f t="shared" si="3"/>
        <v>46315</v>
      </c>
      <c r="FT2" s="3">
        <f t="shared" si="3"/>
        <v>46316</v>
      </c>
      <c r="FU2" s="3">
        <f t="shared" si="3"/>
        <v>46317</v>
      </c>
      <c r="FV2" s="3">
        <f t="shared" si="3"/>
        <v>46318</v>
      </c>
      <c r="FW2" s="3">
        <f t="shared" si="3"/>
        <v>46319</v>
      </c>
      <c r="FX2" s="3">
        <f t="shared" si="3"/>
        <v>46320</v>
      </c>
      <c r="FY2" s="3">
        <f t="shared" si="3"/>
        <v>46321</v>
      </c>
      <c r="FZ2" s="3">
        <f t="shared" si="3"/>
        <v>46322</v>
      </c>
      <c r="GA2" s="3">
        <f t="shared" si="3"/>
        <v>46323</v>
      </c>
      <c r="GB2" s="3">
        <f t="shared" si="3"/>
        <v>46324</v>
      </c>
      <c r="GC2" s="3">
        <f t="shared" si="3"/>
        <v>46325</v>
      </c>
      <c r="GD2" s="3">
        <f t="shared" si="3"/>
        <v>46326</v>
      </c>
      <c r="GE2" s="3">
        <f t="shared" si="3"/>
        <v>46327</v>
      </c>
      <c r="GF2" s="3">
        <f t="shared" si="3"/>
        <v>46328</v>
      </c>
      <c r="GG2" s="3">
        <f t="shared" si="3"/>
        <v>46329</v>
      </c>
      <c r="GH2" s="3">
        <f t="shared" si="3"/>
        <v>46330</v>
      </c>
      <c r="GI2" s="3">
        <f t="shared" si="3"/>
        <v>46331</v>
      </c>
      <c r="GJ2" s="3">
        <f t="shared" si="3"/>
        <v>46332</v>
      </c>
      <c r="GK2" s="3">
        <f t="shared" si="3"/>
        <v>46333</v>
      </c>
      <c r="GL2" s="3">
        <f t="shared" si="3"/>
        <v>46334</v>
      </c>
      <c r="GM2" s="3">
        <f t="shared" si="3"/>
        <v>46335</v>
      </c>
      <c r="GN2" s="3">
        <f t="shared" si="3"/>
        <v>46336</v>
      </c>
      <c r="GO2" s="3">
        <f t="shared" si="3"/>
        <v>46337</v>
      </c>
      <c r="GP2" s="3">
        <f t="shared" si="3"/>
        <v>46338</v>
      </c>
      <c r="GQ2" s="3">
        <f t="shared" si="3"/>
        <v>46339</v>
      </c>
      <c r="GR2" s="3">
        <f t="shared" si="3"/>
        <v>46340</v>
      </c>
      <c r="GS2" s="3">
        <f t="shared" si="3"/>
        <v>46341</v>
      </c>
      <c r="GT2" s="3">
        <f t="shared" si="3"/>
        <v>46342</v>
      </c>
      <c r="GU2" s="3">
        <f t="shared" si="3"/>
        <v>46343</v>
      </c>
      <c r="GV2" s="3">
        <f t="shared" si="3"/>
        <v>46344</v>
      </c>
      <c r="GW2" s="3">
        <f t="shared" si="3"/>
        <v>46345</v>
      </c>
      <c r="GX2" s="3">
        <f t="shared" si="3"/>
        <v>46346</v>
      </c>
      <c r="GY2" s="3">
        <f t="shared" si="3"/>
        <v>46347</v>
      </c>
      <c r="GZ2" s="3">
        <f t="shared" si="3"/>
        <v>46348</v>
      </c>
      <c r="HA2" s="3">
        <f t="shared" si="3"/>
        <v>46349</v>
      </c>
      <c r="HB2" s="3">
        <f t="shared" si="3"/>
        <v>46350</v>
      </c>
      <c r="HC2" s="3">
        <f t="shared" si="3"/>
        <v>46351</v>
      </c>
      <c r="HD2" s="3">
        <f t="shared" si="3"/>
        <v>46352</v>
      </c>
      <c r="HE2" s="3">
        <f t="shared" si="3"/>
        <v>46353</v>
      </c>
      <c r="HF2" s="3">
        <f t="shared" si="3"/>
        <v>46354</v>
      </c>
      <c r="HG2" s="3">
        <f t="shared" si="3"/>
        <v>46355</v>
      </c>
      <c r="HH2" s="3">
        <f t="shared" si="3"/>
        <v>46356</v>
      </c>
      <c r="HI2" s="3">
        <f t="shared" si="3"/>
        <v>46357</v>
      </c>
      <c r="HJ2" s="3">
        <f t="shared" si="3"/>
        <v>46358</v>
      </c>
      <c r="HK2" s="3">
        <f t="shared" si="3"/>
        <v>46359</v>
      </c>
      <c r="HL2" s="3">
        <f t="shared" si="3"/>
        <v>46360</v>
      </c>
      <c r="HM2" s="3">
        <f t="shared" si="3"/>
        <v>46361</v>
      </c>
      <c r="HN2" s="3">
        <f t="shared" si="3"/>
        <v>46362</v>
      </c>
      <c r="HO2" s="3">
        <f t="shared" si="3"/>
        <v>46363</v>
      </c>
      <c r="HP2" s="3">
        <f t="shared" si="3"/>
        <v>46364</v>
      </c>
      <c r="HQ2" s="3">
        <f t="shared" si="3"/>
        <v>46365</v>
      </c>
      <c r="HR2" s="3">
        <f t="shared" ref="HR2:KC2" si="4">HR26</f>
        <v>46366</v>
      </c>
      <c r="HS2" s="3">
        <f t="shared" si="4"/>
        <v>46367</v>
      </c>
      <c r="HT2" s="3">
        <f t="shared" si="4"/>
        <v>46368</v>
      </c>
      <c r="HU2" s="3">
        <f t="shared" si="4"/>
        <v>46369</v>
      </c>
      <c r="HV2" s="3">
        <f t="shared" si="4"/>
        <v>46370</v>
      </c>
      <c r="HW2" s="3">
        <f t="shared" si="4"/>
        <v>46371</v>
      </c>
      <c r="HX2" s="3">
        <f t="shared" si="4"/>
        <v>46372</v>
      </c>
      <c r="HY2" s="3">
        <f t="shared" si="4"/>
        <v>46373</v>
      </c>
      <c r="HZ2" s="3">
        <f t="shared" si="4"/>
        <v>46374</v>
      </c>
      <c r="IA2" s="3">
        <f t="shared" si="4"/>
        <v>46375</v>
      </c>
      <c r="IB2" s="3">
        <f t="shared" si="4"/>
        <v>46376</v>
      </c>
      <c r="IC2" s="3">
        <f t="shared" si="4"/>
        <v>46377</v>
      </c>
      <c r="ID2" s="3">
        <f t="shared" si="4"/>
        <v>46378</v>
      </c>
      <c r="IE2" s="3">
        <f t="shared" si="4"/>
        <v>46379</v>
      </c>
      <c r="IF2" s="3">
        <f t="shared" si="4"/>
        <v>46380</v>
      </c>
      <c r="IG2" s="3">
        <f t="shared" si="4"/>
        <v>46381</v>
      </c>
      <c r="IH2" s="3">
        <f t="shared" si="4"/>
        <v>46382</v>
      </c>
      <c r="II2" s="3">
        <f t="shared" si="4"/>
        <v>46383</v>
      </c>
      <c r="IJ2" s="3">
        <f t="shared" si="4"/>
        <v>46384</v>
      </c>
      <c r="IK2" s="3">
        <f t="shared" si="4"/>
        <v>46385</v>
      </c>
      <c r="IL2" s="3">
        <f t="shared" si="4"/>
        <v>46386</v>
      </c>
      <c r="IM2" s="3">
        <f t="shared" si="4"/>
        <v>46387</v>
      </c>
      <c r="IN2" s="3">
        <f t="shared" si="4"/>
        <v>46388</v>
      </c>
      <c r="IO2" s="3">
        <f t="shared" si="4"/>
        <v>46389</v>
      </c>
      <c r="IP2" s="3">
        <f t="shared" si="4"/>
        <v>46390</v>
      </c>
      <c r="IQ2" s="3">
        <f t="shared" si="4"/>
        <v>46391</v>
      </c>
      <c r="IR2" s="3">
        <f t="shared" si="4"/>
        <v>46392</v>
      </c>
      <c r="IS2" s="3">
        <f t="shared" si="4"/>
        <v>46393</v>
      </c>
      <c r="IT2" s="3">
        <f t="shared" si="4"/>
        <v>46394</v>
      </c>
      <c r="IU2" s="3">
        <f t="shared" si="4"/>
        <v>46395</v>
      </c>
      <c r="IV2" s="3">
        <f t="shared" si="4"/>
        <v>46396</v>
      </c>
      <c r="IW2" s="3">
        <f t="shared" si="4"/>
        <v>46397</v>
      </c>
      <c r="IX2" s="3">
        <f t="shared" si="4"/>
        <v>46398</v>
      </c>
      <c r="IY2" s="3">
        <f t="shared" si="4"/>
        <v>46399</v>
      </c>
      <c r="IZ2" s="3">
        <f t="shared" si="4"/>
        <v>46400</v>
      </c>
      <c r="JA2" s="3">
        <f t="shared" si="4"/>
        <v>46401</v>
      </c>
      <c r="JB2" s="3">
        <f t="shared" si="4"/>
        <v>46402</v>
      </c>
      <c r="JC2" s="3">
        <f t="shared" si="4"/>
        <v>46403</v>
      </c>
      <c r="JD2" s="3">
        <f t="shared" si="4"/>
        <v>46404</v>
      </c>
      <c r="JE2" s="3">
        <f t="shared" si="4"/>
        <v>46405</v>
      </c>
      <c r="JF2" s="3">
        <f t="shared" si="4"/>
        <v>46406</v>
      </c>
      <c r="JG2" s="3">
        <f t="shared" si="4"/>
        <v>46407</v>
      </c>
      <c r="JH2" s="3">
        <f t="shared" si="4"/>
        <v>46408</v>
      </c>
      <c r="JI2" s="3">
        <f t="shared" si="4"/>
        <v>46409</v>
      </c>
      <c r="JJ2" s="3">
        <f t="shared" si="4"/>
        <v>46410</v>
      </c>
      <c r="JK2" s="3">
        <f t="shared" si="4"/>
        <v>46411</v>
      </c>
      <c r="JL2" s="3">
        <f t="shared" si="4"/>
        <v>46412</v>
      </c>
      <c r="JM2" s="3">
        <f t="shared" si="4"/>
        <v>46413</v>
      </c>
      <c r="JN2" s="3">
        <f t="shared" si="4"/>
        <v>46414</v>
      </c>
      <c r="JO2" s="3">
        <f t="shared" si="4"/>
        <v>46415</v>
      </c>
      <c r="JP2" s="3">
        <f t="shared" si="4"/>
        <v>46416</v>
      </c>
      <c r="JQ2" s="3">
        <f t="shared" si="4"/>
        <v>46417</v>
      </c>
      <c r="JR2" s="3">
        <f t="shared" si="4"/>
        <v>46418</v>
      </c>
      <c r="JS2" s="3">
        <f t="shared" si="4"/>
        <v>46419</v>
      </c>
      <c r="JT2" s="3">
        <f t="shared" si="4"/>
        <v>46420</v>
      </c>
      <c r="JU2" s="3">
        <f t="shared" si="4"/>
        <v>46421</v>
      </c>
      <c r="JV2" s="3">
        <f t="shared" si="4"/>
        <v>46422</v>
      </c>
      <c r="JW2" s="3">
        <f t="shared" si="4"/>
        <v>46423</v>
      </c>
      <c r="JX2" s="3">
        <f t="shared" si="4"/>
        <v>46424</v>
      </c>
      <c r="JY2" s="3">
        <f t="shared" si="4"/>
        <v>46425</v>
      </c>
      <c r="JZ2" s="3">
        <f t="shared" si="4"/>
        <v>46426</v>
      </c>
      <c r="KA2" s="3">
        <f t="shared" si="4"/>
        <v>46427</v>
      </c>
      <c r="KB2" s="3">
        <f t="shared" si="4"/>
        <v>46428</v>
      </c>
      <c r="KC2" s="3">
        <f t="shared" si="4"/>
        <v>46429</v>
      </c>
      <c r="KD2" s="3">
        <f t="shared" ref="KD2:MO2" si="5">KD26</f>
        <v>46430</v>
      </c>
      <c r="KE2" s="3">
        <f t="shared" si="5"/>
        <v>46431</v>
      </c>
      <c r="KF2" s="3">
        <f t="shared" si="5"/>
        <v>46432</v>
      </c>
      <c r="KG2" s="3">
        <f t="shared" si="5"/>
        <v>46433</v>
      </c>
      <c r="KH2" s="3">
        <f t="shared" si="5"/>
        <v>46434</v>
      </c>
      <c r="KI2" s="3">
        <f t="shared" si="5"/>
        <v>46435</v>
      </c>
      <c r="KJ2" s="3">
        <f t="shared" si="5"/>
        <v>46436</v>
      </c>
      <c r="KK2" s="3">
        <f t="shared" si="5"/>
        <v>46437</v>
      </c>
      <c r="KL2" s="3">
        <f t="shared" si="5"/>
        <v>46438</v>
      </c>
      <c r="KM2" s="3">
        <f t="shared" si="5"/>
        <v>46439</v>
      </c>
      <c r="KN2" s="3">
        <f t="shared" si="5"/>
        <v>46440</v>
      </c>
      <c r="KO2" s="3">
        <f t="shared" si="5"/>
        <v>46441</v>
      </c>
      <c r="KP2" s="3">
        <f t="shared" si="5"/>
        <v>46442</v>
      </c>
      <c r="KQ2" s="3">
        <f t="shared" si="5"/>
        <v>46443</v>
      </c>
      <c r="KR2" s="3">
        <f t="shared" si="5"/>
        <v>46444</v>
      </c>
      <c r="KS2" s="3">
        <f t="shared" si="5"/>
        <v>46445</v>
      </c>
      <c r="KT2" s="3">
        <f t="shared" si="5"/>
        <v>46446</v>
      </c>
      <c r="KU2" s="3">
        <f t="shared" si="5"/>
        <v>46447</v>
      </c>
      <c r="KV2" s="3">
        <f t="shared" si="5"/>
        <v>46448</v>
      </c>
      <c r="KW2" s="3">
        <f t="shared" si="5"/>
        <v>46449</v>
      </c>
      <c r="KX2" s="3">
        <f t="shared" si="5"/>
        <v>46450</v>
      </c>
      <c r="KY2" s="3">
        <f t="shared" si="5"/>
        <v>46451</v>
      </c>
      <c r="KZ2" s="3">
        <f t="shared" si="5"/>
        <v>46452</v>
      </c>
      <c r="LA2" s="3">
        <f t="shared" si="5"/>
        <v>46453</v>
      </c>
      <c r="LB2" s="3">
        <f t="shared" si="5"/>
        <v>46454</v>
      </c>
      <c r="LC2" s="3">
        <f t="shared" si="5"/>
        <v>46455</v>
      </c>
      <c r="LD2" s="3">
        <f t="shared" si="5"/>
        <v>46456</v>
      </c>
      <c r="LE2" s="3">
        <f t="shared" si="5"/>
        <v>46457</v>
      </c>
      <c r="LF2" s="3">
        <f t="shared" si="5"/>
        <v>46458</v>
      </c>
      <c r="LG2" s="3">
        <f t="shared" si="5"/>
        <v>46459</v>
      </c>
      <c r="LH2" s="3">
        <f t="shared" si="5"/>
        <v>46460</v>
      </c>
      <c r="LI2" s="3">
        <f t="shared" si="5"/>
        <v>46461</v>
      </c>
      <c r="LJ2" s="3">
        <f t="shared" si="5"/>
        <v>46462</v>
      </c>
      <c r="LK2" s="3">
        <f t="shared" si="5"/>
        <v>46463</v>
      </c>
      <c r="LL2" s="3">
        <f t="shared" si="5"/>
        <v>46464</v>
      </c>
      <c r="LM2" s="3">
        <f t="shared" si="5"/>
        <v>46465</v>
      </c>
      <c r="LN2" s="3">
        <f t="shared" si="5"/>
        <v>46466</v>
      </c>
      <c r="LO2" s="3">
        <f t="shared" si="5"/>
        <v>46467</v>
      </c>
      <c r="LP2" s="3">
        <f t="shared" si="5"/>
        <v>46468</v>
      </c>
      <c r="LQ2" s="3">
        <f t="shared" si="5"/>
        <v>46469</v>
      </c>
      <c r="LR2" s="3">
        <f t="shared" si="5"/>
        <v>46470</v>
      </c>
      <c r="LS2" s="3">
        <f t="shared" si="5"/>
        <v>46471</v>
      </c>
      <c r="LT2" s="3">
        <f t="shared" si="5"/>
        <v>46472</v>
      </c>
      <c r="LU2" s="3">
        <f t="shared" si="5"/>
        <v>46473</v>
      </c>
      <c r="LV2" s="3">
        <f t="shared" si="5"/>
        <v>46474</v>
      </c>
      <c r="LW2" s="3">
        <f t="shared" si="5"/>
        <v>46475</v>
      </c>
      <c r="LX2" s="3">
        <f t="shared" si="5"/>
        <v>46476</v>
      </c>
      <c r="LY2" s="3">
        <f t="shared" si="5"/>
        <v>46477</v>
      </c>
      <c r="LZ2" s="3">
        <f t="shared" si="5"/>
        <v>46478</v>
      </c>
      <c r="MA2" s="3">
        <f t="shared" si="5"/>
        <v>46479</v>
      </c>
      <c r="MB2" s="3">
        <f t="shared" si="5"/>
        <v>46480</v>
      </c>
      <c r="MC2" s="3">
        <f t="shared" si="5"/>
        <v>46481</v>
      </c>
      <c r="MD2" s="3">
        <f t="shared" si="5"/>
        <v>46482</v>
      </c>
      <c r="ME2" s="3">
        <f t="shared" si="5"/>
        <v>46483</v>
      </c>
      <c r="MF2" s="3">
        <f t="shared" si="5"/>
        <v>46484</v>
      </c>
      <c r="MG2" s="3">
        <f t="shared" si="5"/>
        <v>46485</v>
      </c>
      <c r="MH2" s="3">
        <f t="shared" si="5"/>
        <v>46486</v>
      </c>
      <c r="MI2" s="3">
        <f t="shared" si="5"/>
        <v>46487</v>
      </c>
      <c r="MJ2" s="3">
        <f t="shared" si="5"/>
        <v>46488</v>
      </c>
      <c r="MK2" s="3">
        <f t="shared" si="5"/>
        <v>46489</v>
      </c>
      <c r="ML2" s="3">
        <f t="shared" si="5"/>
        <v>46490</v>
      </c>
      <c r="MM2" s="3">
        <f t="shared" si="5"/>
        <v>46491</v>
      </c>
      <c r="MN2" s="3">
        <f t="shared" si="5"/>
        <v>46492</v>
      </c>
      <c r="MO2" s="3">
        <f t="shared" si="5"/>
        <v>46493</v>
      </c>
      <c r="MP2" s="3">
        <f t="shared" ref="MP2:PA2" si="6">MP26</f>
        <v>46494</v>
      </c>
      <c r="MQ2" s="3">
        <f t="shared" si="6"/>
        <v>46495</v>
      </c>
      <c r="MR2" s="3">
        <f t="shared" si="6"/>
        <v>46496</v>
      </c>
      <c r="MS2" s="3">
        <f t="shared" si="6"/>
        <v>46497</v>
      </c>
      <c r="MT2" s="3">
        <f t="shared" si="6"/>
        <v>46498</v>
      </c>
      <c r="MU2" s="3">
        <f t="shared" si="6"/>
        <v>46499</v>
      </c>
      <c r="MV2" s="3">
        <f t="shared" si="6"/>
        <v>46500</v>
      </c>
      <c r="MW2" s="3">
        <f t="shared" si="6"/>
        <v>46501</v>
      </c>
      <c r="MX2" s="3">
        <f t="shared" si="6"/>
        <v>46502</v>
      </c>
      <c r="MY2" s="3">
        <f t="shared" si="6"/>
        <v>46503</v>
      </c>
      <c r="MZ2" s="3">
        <f t="shared" si="6"/>
        <v>46504</v>
      </c>
      <c r="NA2" s="3">
        <f t="shared" si="6"/>
        <v>46505</v>
      </c>
      <c r="NB2" s="3">
        <f t="shared" si="6"/>
        <v>46506</v>
      </c>
      <c r="NC2" s="3">
        <f t="shared" si="6"/>
        <v>46507</v>
      </c>
      <c r="ND2" s="3">
        <f t="shared" si="6"/>
        <v>46508</v>
      </c>
      <c r="NE2" s="3">
        <f t="shared" si="6"/>
        <v>46509</v>
      </c>
      <c r="NF2" s="3">
        <f t="shared" si="6"/>
        <v>46510</v>
      </c>
      <c r="NG2" s="3">
        <f t="shared" si="6"/>
        <v>46511</v>
      </c>
      <c r="NH2" s="3">
        <f t="shared" si="6"/>
        <v>46512</v>
      </c>
      <c r="NI2" s="3">
        <f t="shared" si="6"/>
        <v>46513</v>
      </c>
      <c r="NJ2" s="3">
        <f t="shared" si="6"/>
        <v>46514</v>
      </c>
      <c r="NK2" s="3">
        <f t="shared" si="6"/>
        <v>46515</v>
      </c>
      <c r="NL2" s="3">
        <f t="shared" si="6"/>
        <v>46516</v>
      </c>
      <c r="NM2" s="3">
        <f t="shared" si="6"/>
        <v>46517</v>
      </c>
      <c r="NN2" s="3">
        <f t="shared" si="6"/>
        <v>46518</v>
      </c>
      <c r="NO2" s="3">
        <f t="shared" si="6"/>
        <v>46519</v>
      </c>
      <c r="NP2" s="3">
        <f t="shared" si="6"/>
        <v>46520</v>
      </c>
      <c r="NQ2" s="3">
        <f t="shared" si="6"/>
        <v>46521</v>
      </c>
      <c r="NR2" s="3">
        <f t="shared" si="6"/>
        <v>46522</v>
      </c>
      <c r="NS2" s="3">
        <f t="shared" si="6"/>
        <v>46523</v>
      </c>
      <c r="NT2" s="3">
        <f t="shared" si="6"/>
        <v>46524</v>
      </c>
      <c r="NU2" s="3">
        <f t="shared" si="6"/>
        <v>46525</v>
      </c>
      <c r="NV2" s="3">
        <f t="shared" si="6"/>
        <v>46526</v>
      </c>
      <c r="NW2" s="3">
        <f t="shared" si="6"/>
        <v>46527</v>
      </c>
      <c r="NX2" s="3">
        <f t="shared" si="6"/>
        <v>46528</v>
      </c>
      <c r="NY2" s="3">
        <f t="shared" si="6"/>
        <v>46529</v>
      </c>
      <c r="NZ2" s="3">
        <f t="shared" si="6"/>
        <v>46530</v>
      </c>
      <c r="OA2" s="3">
        <f t="shared" si="6"/>
        <v>46531</v>
      </c>
      <c r="OB2" s="3">
        <f t="shared" si="6"/>
        <v>46532</v>
      </c>
      <c r="OC2" s="3">
        <f t="shared" si="6"/>
        <v>46533</v>
      </c>
      <c r="OD2" s="3">
        <f t="shared" si="6"/>
        <v>46534</v>
      </c>
      <c r="OE2" s="3">
        <f t="shared" si="6"/>
        <v>46535</v>
      </c>
      <c r="OF2" s="3">
        <f t="shared" si="6"/>
        <v>46536</v>
      </c>
      <c r="OG2" s="3">
        <f t="shared" si="6"/>
        <v>46537</v>
      </c>
      <c r="OH2" s="3">
        <f t="shared" si="6"/>
        <v>46538</v>
      </c>
      <c r="OI2" s="3">
        <f t="shared" si="6"/>
        <v>46539</v>
      </c>
      <c r="OJ2" s="3">
        <f t="shared" si="6"/>
        <v>46540</v>
      </c>
      <c r="OK2" s="3">
        <f t="shared" si="6"/>
        <v>46541</v>
      </c>
      <c r="OL2" s="3">
        <f t="shared" si="6"/>
        <v>46542</v>
      </c>
      <c r="OM2" s="3">
        <f t="shared" si="6"/>
        <v>46543</v>
      </c>
      <c r="ON2" s="3">
        <f t="shared" si="6"/>
        <v>46544</v>
      </c>
      <c r="OO2" s="3">
        <f t="shared" si="6"/>
        <v>46545</v>
      </c>
      <c r="OP2" s="3">
        <f t="shared" si="6"/>
        <v>46546</v>
      </c>
      <c r="OQ2" s="3">
        <f t="shared" si="6"/>
        <v>46547</v>
      </c>
      <c r="OR2" s="3">
        <f t="shared" si="6"/>
        <v>46548</v>
      </c>
      <c r="OS2" s="3">
        <f t="shared" si="6"/>
        <v>46549</v>
      </c>
      <c r="OT2" s="3">
        <f t="shared" si="6"/>
        <v>46550</v>
      </c>
      <c r="OU2" s="3">
        <f t="shared" si="6"/>
        <v>46551</v>
      </c>
      <c r="OV2" s="3">
        <f t="shared" si="6"/>
        <v>46552</v>
      </c>
      <c r="OW2" s="3">
        <f t="shared" si="6"/>
        <v>46553</v>
      </c>
      <c r="OX2" s="3">
        <f t="shared" si="6"/>
        <v>46554</v>
      </c>
      <c r="OY2" s="3">
        <f t="shared" si="6"/>
        <v>46555</v>
      </c>
      <c r="OZ2" s="3">
        <f t="shared" si="6"/>
        <v>46556</v>
      </c>
      <c r="PA2" s="3">
        <f t="shared" si="6"/>
        <v>46557</v>
      </c>
      <c r="PB2" s="3">
        <f t="shared" ref="PB2:RM2" si="7">PB26</f>
        <v>46558</v>
      </c>
      <c r="PC2" s="3">
        <f t="shared" si="7"/>
        <v>46559</v>
      </c>
      <c r="PD2" s="3">
        <f t="shared" si="7"/>
        <v>46560</v>
      </c>
      <c r="PE2" s="3">
        <f t="shared" si="7"/>
        <v>46561</v>
      </c>
      <c r="PF2" s="3">
        <f t="shared" si="7"/>
        <v>46562</v>
      </c>
      <c r="PG2" s="3">
        <f t="shared" si="7"/>
        <v>46563</v>
      </c>
      <c r="PH2" s="3">
        <f t="shared" si="7"/>
        <v>46564</v>
      </c>
      <c r="PI2" s="3">
        <f t="shared" si="7"/>
        <v>46565</v>
      </c>
      <c r="PJ2" s="3">
        <f t="shared" si="7"/>
        <v>46566</v>
      </c>
      <c r="PK2" s="3">
        <f t="shared" si="7"/>
        <v>46567</v>
      </c>
      <c r="PL2" s="3">
        <f t="shared" si="7"/>
        <v>46568</v>
      </c>
      <c r="PM2" s="3">
        <f t="shared" si="7"/>
        <v>46569</v>
      </c>
      <c r="PN2" s="3">
        <f t="shared" si="7"/>
        <v>46570</v>
      </c>
      <c r="PO2" s="3">
        <f t="shared" si="7"/>
        <v>46571</v>
      </c>
      <c r="PP2" s="3">
        <f t="shared" si="7"/>
        <v>46572</v>
      </c>
      <c r="PQ2" s="3">
        <f t="shared" si="7"/>
        <v>46573</v>
      </c>
      <c r="PR2" s="3">
        <f t="shared" si="7"/>
        <v>46574</v>
      </c>
      <c r="PS2" s="3">
        <f t="shared" si="7"/>
        <v>46575</v>
      </c>
      <c r="PT2" s="3">
        <f t="shared" si="7"/>
        <v>46576</v>
      </c>
      <c r="PU2" s="3">
        <f t="shared" si="7"/>
        <v>46577</v>
      </c>
      <c r="PV2" s="3">
        <f t="shared" si="7"/>
        <v>46578</v>
      </c>
      <c r="PW2" s="3">
        <f t="shared" si="7"/>
        <v>46579</v>
      </c>
      <c r="PX2" s="3">
        <f t="shared" si="7"/>
        <v>46580</v>
      </c>
      <c r="PY2" s="3">
        <f t="shared" si="7"/>
        <v>46581</v>
      </c>
      <c r="PZ2" s="3">
        <f t="shared" si="7"/>
        <v>46582</v>
      </c>
      <c r="QA2" s="3">
        <f t="shared" si="7"/>
        <v>46583</v>
      </c>
      <c r="QB2" s="3">
        <f t="shared" si="7"/>
        <v>46584</v>
      </c>
      <c r="QC2" s="3">
        <f t="shared" si="7"/>
        <v>46585</v>
      </c>
      <c r="QD2" s="3">
        <f t="shared" si="7"/>
        <v>46586</v>
      </c>
      <c r="QE2" s="3">
        <f t="shared" si="7"/>
        <v>46587</v>
      </c>
      <c r="QF2" s="3">
        <f t="shared" si="7"/>
        <v>46588</v>
      </c>
      <c r="QG2" s="3">
        <f t="shared" si="7"/>
        <v>46589</v>
      </c>
      <c r="QH2" s="3">
        <f t="shared" si="7"/>
        <v>46590</v>
      </c>
      <c r="QI2" s="3">
        <f t="shared" si="7"/>
        <v>46591</v>
      </c>
      <c r="QJ2" s="3">
        <f t="shared" si="7"/>
        <v>46592</v>
      </c>
      <c r="QK2" s="3">
        <f t="shared" si="7"/>
        <v>46593</v>
      </c>
      <c r="QL2" s="3">
        <f t="shared" si="7"/>
        <v>46594</v>
      </c>
      <c r="QM2" s="3">
        <f t="shared" si="7"/>
        <v>46595</v>
      </c>
      <c r="QN2" s="3">
        <f t="shared" si="7"/>
        <v>46596</v>
      </c>
      <c r="QO2" s="3">
        <f t="shared" si="7"/>
        <v>46597</v>
      </c>
      <c r="QP2" s="3">
        <f t="shared" si="7"/>
        <v>46598</v>
      </c>
      <c r="QQ2" s="3">
        <f t="shared" si="7"/>
        <v>46599</v>
      </c>
      <c r="QR2" s="3">
        <f t="shared" si="7"/>
        <v>46600</v>
      </c>
      <c r="QS2" s="3">
        <f t="shared" si="7"/>
        <v>46601</v>
      </c>
      <c r="QT2" s="3">
        <f t="shared" si="7"/>
        <v>46602</v>
      </c>
      <c r="QU2" s="3">
        <f t="shared" si="7"/>
        <v>46603</v>
      </c>
      <c r="QV2" s="3">
        <f t="shared" si="7"/>
        <v>46604</v>
      </c>
      <c r="QW2" s="3">
        <f t="shared" si="7"/>
        <v>46605</v>
      </c>
      <c r="QX2" s="3">
        <f t="shared" si="7"/>
        <v>46606</v>
      </c>
      <c r="QY2" s="3">
        <f t="shared" si="7"/>
        <v>46607</v>
      </c>
      <c r="QZ2" s="3">
        <f t="shared" si="7"/>
        <v>46608</v>
      </c>
      <c r="RA2" s="3">
        <f t="shared" si="7"/>
        <v>46609</v>
      </c>
      <c r="RB2" s="3">
        <f t="shared" si="7"/>
        <v>46610</v>
      </c>
      <c r="RC2" s="3">
        <f t="shared" si="7"/>
        <v>46611</v>
      </c>
      <c r="RD2" s="3">
        <f t="shared" si="7"/>
        <v>46612</v>
      </c>
      <c r="RE2" s="3">
        <f t="shared" si="7"/>
        <v>46613</v>
      </c>
      <c r="RF2" s="3">
        <f t="shared" si="7"/>
        <v>46614</v>
      </c>
      <c r="RG2" s="3">
        <f t="shared" si="7"/>
        <v>46615</v>
      </c>
      <c r="RH2" s="3">
        <f t="shared" si="7"/>
        <v>46616</v>
      </c>
      <c r="RI2" s="3">
        <f t="shared" si="7"/>
        <v>46617</v>
      </c>
      <c r="RJ2" s="3">
        <f t="shared" si="7"/>
        <v>46618</v>
      </c>
      <c r="RK2" s="3">
        <f t="shared" si="7"/>
        <v>46619</v>
      </c>
      <c r="RL2" s="3">
        <f t="shared" si="7"/>
        <v>46620</v>
      </c>
      <c r="RM2" s="3">
        <f t="shared" si="7"/>
        <v>46621</v>
      </c>
      <c r="RN2" s="3">
        <f t="shared" ref="RN2:TY2" si="8">RN26</f>
        <v>46622</v>
      </c>
      <c r="RO2" s="3">
        <f t="shared" si="8"/>
        <v>46623</v>
      </c>
      <c r="RP2" s="3">
        <f t="shared" si="8"/>
        <v>46624</v>
      </c>
      <c r="RQ2" s="3">
        <f t="shared" si="8"/>
        <v>46625</v>
      </c>
      <c r="RR2" s="3">
        <f t="shared" si="8"/>
        <v>46626</v>
      </c>
      <c r="RS2" s="3">
        <f t="shared" si="8"/>
        <v>46627</v>
      </c>
      <c r="RT2" s="3">
        <f t="shared" si="8"/>
        <v>46628</v>
      </c>
      <c r="RU2" s="3">
        <f t="shared" si="8"/>
        <v>46629</v>
      </c>
      <c r="RV2" s="3">
        <f t="shared" si="8"/>
        <v>46630</v>
      </c>
      <c r="RW2" s="3">
        <f t="shared" si="8"/>
        <v>46631</v>
      </c>
      <c r="RX2" s="3">
        <f t="shared" si="8"/>
        <v>46632</v>
      </c>
      <c r="RY2" s="3">
        <f t="shared" si="8"/>
        <v>46633</v>
      </c>
      <c r="RZ2" s="3">
        <f t="shared" si="8"/>
        <v>46634</v>
      </c>
      <c r="SA2" s="3">
        <f t="shared" si="8"/>
        <v>46635</v>
      </c>
      <c r="SB2" s="3">
        <f t="shared" si="8"/>
        <v>46636</v>
      </c>
      <c r="SC2" s="3">
        <f t="shared" si="8"/>
        <v>46637</v>
      </c>
      <c r="SD2" s="3">
        <f t="shared" si="8"/>
        <v>46638</v>
      </c>
      <c r="SE2" s="3">
        <f t="shared" si="8"/>
        <v>46639</v>
      </c>
      <c r="SF2" s="3">
        <f t="shared" si="8"/>
        <v>46640</v>
      </c>
      <c r="SG2" s="3">
        <f t="shared" si="8"/>
        <v>46641</v>
      </c>
      <c r="SH2" s="3">
        <f t="shared" si="8"/>
        <v>46642</v>
      </c>
      <c r="SI2" s="3">
        <f t="shared" si="8"/>
        <v>46643</v>
      </c>
      <c r="SJ2" s="3">
        <f t="shared" si="8"/>
        <v>46644</v>
      </c>
      <c r="SK2" s="3">
        <f t="shared" si="8"/>
        <v>46645</v>
      </c>
      <c r="SL2" s="3">
        <f t="shared" si="8"/>
        <v>46646</v>
      </c>
      <c r="SM2" s="3">
        <f t="shared" si="8"/>
        <v>46647</v>
      </c>
      <c r="SN2" s="3">
        <f t="shared" si="8"/>
        <v>46648</v>
      </c>
      <c r="SO2" s="3">
        <f t="shared" si="8"/>
        <v>46649</v>
      </c>
      <c r="SP2" s="3">
        <f t="shared" si="8"/>
        <v>46650</v>
      </c>
      <c r="SQ2" s="3">
        <f t="shared" si="8"/>
        <v>46651</v>
      </c>
      <c r="SR2" s="3">
        <f t="shared" si="8"/>
        <v>46652</v>
      </c>
      <c r="SS2" s="3">
        <f t="shared" si="8"/>
        <v>46653</v>
      </c>
      <c r="ST2" s="3">
        <f t="shared" si="8"/>
        <v>46654</v>
      </c>
      <c r="SU2" s="3">
        <f t="shared" si="8"/>
        <v>46655</v>
      </c>
      <c r="SV2" s="3">
        <f t="shared" si="8"/>
        <v>46656</v>
      </c>
      <c r="SW2" s="3">
        <f t="shared" si="8"/>
        <v>46657</v>
      </c>
      <c r="SX2" s="3">
        <f t="shared" si="8"/>
        <v>46658</v>
      </c>
      <c r="SY2" s="3">
        <f t="shared" si="8"/>
        <v>46659</v>
      </c>
      <c r="SZ2" s="3">
        <f t="shared" si="8"/>
        <v>46660</v>
      </c>
      <c r="TA2" s="3">
        <f t="shared" si="8"/>
        <v>46661</v>
      </c>
      <c r="TB2" s="3">
        <f t="shared" si="8"/>
        <v>46662</v>
      </c>
      <c r="TC2" s="3">
        <f t="shared" si="8"/>
        <v>46663</v>
      </c>
      <c r="TD2" s="3">
        <f t="shared" si="8"/>
        <v>46664</v>
      </c>
      <c r="TE2" s="3">
        <f t="shared" si="8"/>
        <v>46665</v>
      </c>
      <c r="TF2" s="3">
        <f t="shared" si="8"/>
        <v>46666</v>
      </c>
      <c r="TG2" s="3">
        <f t="shared" si="8"/>
        <v>46667</v>
      </c>
      <c r="TH2" s="3">
        <f t="shared" si="8"/>
        <v>46668</v>
      </c>
      <c r="TI2" s="3">
        <f t="shared" si="8"/>
        <v>46669</v>
      </c>
      <c r="TJ2" s="3">
        <f t="shared" si="8"/>
        <v>46670</v>
      </c>
      <c r="TK2" s="3">
        <f t="shared" si="8"/>
        <v>46671</v>
      </c>
      <c r="TL2" s="3">
        <f t="shared" si="8"/>
        <v>46672</v>
      </c>
      <c r="TM2" s="3">
        <f t="shared" si="8"/>
        <v>46673</v>
      </c>
      <c r="TN2" s="3">
        <f t="shared" si="8"/>
        <v>46674</v>
      </c>
      <c r="TO2" s="3">
        <f t="shared" si="8"/>
        <v>46675</v>
      </c>
      <c r="TP2" s="3">
        <f t="shared" si="8"/>
        <v>46676</v>
      </c>
      <c r="TQ2" s="3">
        <f t="shared" si="8"/>
        <v>46677</v>
      </c>
      <c r="TR2" s="3">
        <f t="shared" si="8"/>
        <v>46678</v>
      </c>
      <c r="TS2" s="3">
        <f t="shared" si="8"/>
        <v>46679</v>
      </c>
      <c r="TT2" s="3">
        <f t="shared" si="8"/>
        <v>46680</v>
      </c>
      <c r="TU2" s="3">
        <f t="shared" si="8"/>
        <v>46681</v>
      </c>
      <c r="TV2" s="3">
        <f t="shared" si="8"/>
        <v>46682</v>
      </c>
      <c r="TW2" s="3">
        <f t="shared" si="8"/>
        <v>46683</v>
      </c>
      <c r="TX2" s="3">
        <f t="shared" si="8"/>
        <v>46684</v>
      </c>
      <c r="TY2" s="3">
        <f t="shared" si="8"/>
        <v>46685</v>
      </c>
      <c r="TZ2" s="3">
        <f t="shared" ref="TZ2:WK2" si="9">TZ26</f>
        <v>46686</v>
      </c>
      <c r="UA2" s="3">
        <f t="shared" si="9"/>
        <v>46687</v>
      </c>
      <c r="UB2" s="3">
        <f t="shared" si="9"/>
        <v>46688</v>
      </c>
      <c r="UC2" s="3">
        <f t="shared" si="9"/>
        <v>46689</v>
      </c>
      <c r="UD2" s="3">
        <f t="shared" si="9"/>
        <v>46690</v>
      </c>
      <c r="UE2" s="3">
        <f t="shared" si="9"/>
        <v>46691</v>
      </c>
      <c r="UF2" s="3">
        <f t="shared" si="9"/>
        <v>46692</v>
      </c>
      <c r="UG2" s="3">
        <f t="shared" si="9"/>
        <v>46693</v>
      </c>
      <c r="UH2" s="3">
        <f t="shared" si="9"/>
        <v>46694</v>
      </c>
      <c r="UI2" s="3">
        <f t="shared" si="9"/>
        <v>46695</v>
      </c>
      <c r="UJ2" s="3">
        <f t="shared" si="9"/>
        <v>46696</v>
      </c>
      <c r="UK2" s="3">
        <f t="shared" si="9"/>
        <v>46697</v>
      </c>
      <c r="UL2" s="3">
        <f t="shared" si="9"/>
        <v>46698</v>
      </c>
      <c r="UM2" s="3">
        <f t="shared" si="9"/>
        <v>46699</v>
      </c>
      <c r="UN2" s="3">
        <f t="shared" si="9"/>
        <v>46700</v>
      </c>
      <c r="UO2" s="3">
        <f t="shared" si="9"/>
        <v>46701</v>
      </c>
      <c r="UP2" s="3">
        <f t="shared" si="9"/>
        <v>46702</v>
      </c>
      <c r="UQ2" s="3">
        <f t="shared" si="9"/>
        <v>46703</v>
      </c>
      <c r="UR2" s="3">
        <f t="shared" si="9"/>
        <v>46704</v>
      </c>
      <c r="US2" s="3">
        <f t="shared" si="9"/>
        <v>46705</v>
      </c>
      <c r="UT2" s="3">
        <f t="shared" si="9"/>
        <v>46706</v>
      </c>
      <c r="UU2" s="3">
        <f t="shared" si="9"/>
        <v>46707</v>
      </c>
      <c r="UV2" s="3">
        <f t="shared" si="9"/>
        <v>46708</v>
      </c>
      <c r="UW2" s="3">
        <f t="shared" si="9"/>
        <v>46709</v>
      </c>
      <c r="UX2" s="3">
        <f t="shared" si="9"/>
        <v>46710</v>
      </c>
      <c r="UY2" s="3">
        <f t="shared" si="9"/>
        <v>46711</v>
      </c>
      <c r="UZ2" s="3">
        <f t="shared" si="9"/>
        <v>46712</v>
      </c>
      <c r="VA2" s="3">
        <f t="shared" si="9"/>
        <v>46713</v>
      </c>
      <c r="VB2" s="3">
        <f t="shared" si="9"/>
        <v>46714</v>
      </c>
      <c r="VC2" s="3">
        <f t="shared" si="9"/>
        <v>46715</v>
      </c>
      <c r="VD2" s="3">
        <f t="shared" si="9"/>
        <v>46716</v>
      </c>
      <c r="VE2" s="3">
        <f t="shared" si="9"/>
        <v>46717</v>
      </c>
      <c r="VF2" s="3">
        <f t="shared" si="9"/>
        <v>46718</v>
      </c>
      <c r="VG2" s="3">
        <f t="shared" si="9"/>
        <v>46719</v>
      </c>
      <c r="VH2" s="3">
        <f t="shared" si="9"/>
        <v>46720</v>
      </c>
      <c r="VI2" s="3">
        <f t="shared" si="9"/>
        <v>46721</v>
      </c>
      <c r="VJ2" s="3">
        <f t="shared" si="9"/>
        <v>46722</v>
      </c>
      <c r="VK2" s="3">
        <f t="shared" si="9"/>
        <v>46723</v>
      </c>
      <c r="VL2" s="3">
        <f t="shared" si="9"/>
        <v>46724</v>
      </c>
      <c r="VM2" s="3">
        <f t="shared" si="9"/>
        <v>46725</v>
      </c>
      <c r="VN2" s="3">
        <f t="shared" si="9"/>
        <v>46726</v>
      </c>
      <c r="VO2" s="3">
        <f t="shared" si="9"/>
        <v>46727</v>
      </c>
      <c r="VP2" s="3">
        <f t="shared" si="9"/>
        <v>46728</v>
      </c>
      <c r="VQ2" s="3">
        <f t="shared" si="9"/>
        <v>46729</v>
      </c>
      <c r="VR2" s="3">
        <f t="shared" si="9"/>
        <v>46730</v>
      </c>
      <c r="VS2" s="3">
        <f t="shared" si="9"/>
        <v>46731</v>
      </c>
      <c r="VT2" s="3">
        <f t="shared" si="9"/>
        <v>46732</v>
      </c>
      <c r="VU2" s="3">
        <f t="shared" si="9"/>
        <v>46733</v>
      </c>
      <c r="VV2" s="3">
        <f t="shared" si="9"/>
        <v>46734</v>
      </c>
      <c r="VW2" s="3">
        <f t="shared" si="9"/>
        <v>46735</v>
      </c>
      <c r="VX2" s="3">
        <f t="shared" si="9"/>
        <v>46736</v>
      </c>
      <c r="VY2" s="3">
        <f t="shared" si="9"/>
        <v>46737</v>
      </c>
      <c r="VZ2" s="3">
        <f t="shared" si="9"/>
        <v>46738</v>
      </c>
      <c r="WA2" s="3">
        <f t="shared" si="9"/>
        <v>46739</v>
      </c>
      <c r="WB2" s="3">
        <f t="shared" si="9"/>
        <v>46740</v>
      </c>
      <c r="WC2" s="3">
        <f t="shared" si="9"/>
        <v>46741</v>
      </c>
      <c r="WD2" s="3">
        <f t="shared" si="9"/>
        <v>46742</v>
      </c>
      <c r="WE2" s="3">
        <f t="shared" si="9"/>
        <v>46743</v>
      </c>
      <c r="WF2" s="3">
        <f t="shared" si="9"/>
        <v>46744</v>
      </c>
      <c r="WG2" s="3">
        <f t="shared" si="9"/>
        <v>46745</v>
      </c>
      <c r="WH2" s="3">
        <f t="shared" si="9"/>
        <v>46746</v>
      </c>
      <c r="WI2" s="3">
        <f t="shared" si="9"/>
        <v>46747</v>
      </c>
      <c r="WJ2" s="3">
        <f t="shared" si="9"/>
        <v>46748</v>
      </c>
      <c r="WK2" s="3">
        <f t="shared" si="9"/>
        <v>46749</v>
      </c>
      <c r="WL2" s="3">
        <f t="shared" ref="WL2:YW2" si="10">WL26</f>
        <v>46750</v>
      </c>
      <c r="WM2" s="3">
        <f t="shared" si="10"/>
        <v>46751</v>
      </c>
      <c r="WN2" s="3">
        <f t="shared" si="10"/>
        <v>46752</v>
      </c>
      <c r="WO2" s="3">
        <f t="shared" si="10"/>
        <v>46753</v>
      </c>
      <c r="WP2" s="3">
        <f t="shared" si="10"/>
        <v>46754</v>
      </c>
      <c r="WQ2" s="3">
        <f t="shared" si="10"/>
        <v>46755</v>
      </c>
      <c r="WR2" s="3">
        <f t="shared" si="10"/>
        <v>46756</v>
      </c>
      <c r="WS2" s="3">
        <f t="shared" si="10"/>
        <v>46757</v>
      </c>
      <c r="WT2" s="3">
        <f t="shared" si="10"/>
        <v>46758</v>
      </c>
      <c r="WU2" s="3">
        <f t="shared" si="10"/>
        <v>46759</v>
      </c>
      <c r="WV2" s="3">
        <f t="shared" si="10"/>
        <v>46760</v>
      </c>
      <c r="WW2" s="3">
        <f t="shared" si="10"/>
        <v>46761</v>
      </c>
      <c r="WX2" s="3">
        <f t="shared" si="10"/>
        <v>46762</v>
      </c>
      <c r="WY2" s="3">
        <f t="shared" si="10"/>
        <v>46763</v>
      </c>
      <c r="WZ2" s="3">
        <f t="shared" si="10"/>
        <v>46764</v>
      </c>
      <c r="XA2" s="3">
        <f t="shared" si="10"/>
        <v>46765</v>
      </c>
      <c r="XB2" s="3">
        <f t="shared" si="10"/>
        <v>46766</v>
      </c>
      <c r="XC2" s="3">
        <f t="shared" si="10"/>
        <v>46767</v>
      </c>
      <c r="XD2" s="3">
        <f t="shared" si="10"/>
        <v>46768</v>
      </c>
      <c r="XE2" s="3">
        <f t="shared" si="10"/>
        <v>46769</v>
      </c>
      <c r="XF2" s="3">
        <f t="shared" si="10"/>
        <v>46770</v>
      </c>
      <c r="XG2" s="3">
        <f t="shared" si="10"/>
        <v>46771</v>
      </c>
      <c r="XH2" s="3">
        <f t="shared" si="10"/>
        <v>46772</v>
      </c>
      <c r="XI2" s="3">
        <f t="shared" si="10"/>
        <v>46773</v>
      </c>
      <c r="XJ2" s="3">
        <f t="shared" si="10"/>
        <v>46774</v>
      </c>
      <c r="XK2" s="3">
        <f t="shared" si="10"/>
        <v>46775</v>
      </c>
      <c r="XL2" s="3">
        <f t="shared" si="10"/>
        <v>46776</v>
      </c>
      <c r="XM2" s="3">
        <f t="shared" si="10"/>
        <v>46777</v>
      </c>
      <c r="XN2" s="3">
        <f t="shared" si="10"/>
        <v>46778</v>
      </c>
      <c r="XO2" s="3">
        <f t="shared" si="10"/>
        <v>46779</v>
      </c>
      <c r="XP2" s="3">
        <f t="shared" si="10"/>
        <v>46780</v>
      </c>
      <c r="XQ2" s="3">
        <f t="shared" si="10"/>
        <v>46781</v>
      </c>
      <c r="XR2" s="3">
        <f t="shared" si="10"/>
        <v>46782</v>
      </c>
      <c r="XS2" s="3">
        <f t="shared" si="10"/>
        <v>46783</v>
      </c>
      <c r="XT2" s="3">
        <f t="shared" si="10"/>
        <v>46784</v>
      </c>
      <c r="XU2" s="3">
        <f t="shared" si="10"/>
        <v>46785</v>
      </c>
      <c r="XV2" s="3">
        <f t="shared" si="10"/>
        <v>46786</v>
      </c>
      <c r="XW2" s="3">
        <f t="shared" si="10"/>
        <v>46787</v>
      </c>
      <c r="XX2" s="3">
        <f t="shared" si="10"/>
        <v>46788</v>
      </c>
      <c r="XY2" s="3">
        <f t="shared" si="10"/>
        <v>46789</v>
      </c>
      <c r="XZ2" s="3">
        <f t="shared" si="10"/>
        <v>46790</v>
      </c>
      <c r="YA2" s="3">
        <f t="shared" si="10"/>
        <v>46791</v>
      </c>
      <c r="YB2" s="3">
        <f t="shared" si="10"/>
        <v>46792</v>
      </c>
      <c r="YC2" s="3">
        <f t="shared" si="10"/>
        <v>46793</v>
      </c>
      <c r="YD2" s="3">
        <f t="shared" si="10"/>
        <v>46794</v>
      </c>
      <c r="YE2" s="3">
        <f t="shared" si="10"/>
        <v>46795</v>
      </c>
      <c r="YF2" s="3">
        <f t="shared" si="10"/>
        <v>46796</v>
      </c>
      <c r="YG2" s="3">
        <f t="shared" si="10"/>
        <v>46797</v>
      </c>
      <c r="YH2" s="3">
        <f t="shared" si="10"/>
        <v>46798</v>
      </c>
      <c r="YI2" s="3">
        <f t="shared" si="10"/>
        <v>46799</v>
      </c>
      <c r="YJ2" s="3">
        <f t="shared" si="10"/>
        <v>46800</v>
      </c>
      <c r="YK2" s="3">
        <f t="shared" si="10"/>
        <v>46801</v>
      </c>
      <c r="YL2" s="3">
        <f t="shared" si="10"/>
        <v>46802</v>
      </c>
      <c r="YM2" s="3">
        <f t="shared" si="10"/>
        <v>46803</v>
      </c>
      <c r="YN2" s="3">
        <f t="shared" si="10"/>
        <v>46804</v>
      </c>
      <c r="YO2" s="3">
        <f t="shared" si="10"/>
        <v>46805</v>
      </c>
      <c r="YP2" s="3">
        <f t="shared" si="10"/>
        <v>46806</v>
      </c>
      <c r="YQ2" s="3">
        <f t="shared" si="10"/>
        <v>46807</v>
      </c>
      <c r="YR2" s="3">
        <f t="shared" si="10"/>
        <v>46808</v>
      </c>
      <c r="YS2" s="3">
        <f t="shared" si="10"/>
        <v>46809</v>
      </c>
      <c r="YT2" s="3">
        <f t="shared" si="10"/>
        <v>46810</v>
      </c>
      <c r="YU2" s="3">
        <f t="shared" si="10"/>
        <v>46811</v>
      </c>
      <c r="YV2" s="3">
        <f t="shared" si="10"/>
        <v>46812</v>
      </c>
      <c r="YW2" s="3">
        <f t="shared" si="10"/>
        <v>46813</v>
      </c>
      <c r="YX2" s="3">
        <f t="shared" ref="YX2:ABI2" si="11">YX26</f>
        <v>46814</v>
      </c>
      <c r="YY2" s="3">
        <f t="shared" si="11"/>
        <v>46815</v>
      </c>
      <c r="YZ2" s="3">
        <f t="shared" si="11"/>
        <v>46816</v>
      </c>
      <c r="ZA2" s="3">
        <f t="shared" si="11"/>
        <v>46817</v>
      </c>
      <c r="ZB2" s="3">
        <f t="shared" si="11"/>
        <v>46818</v>
      </c>
      <c r="ZC2" s="3">
        <f t="shared" si="11"/>
        <v>46819</v>
      </c>
      <c r="ZD2" s="3">
        <f t="shared" si="11"/>
        <v>46820</v>
      </c>
      <c r="ZE2" s="3">
        <f t="shared" si="11"/>
        <v>46821</v>
      </c>
      <c r="ZF2" s="3">
        <f t="shared" si="11"/>
        <v>46822</v>
      </c>
      <c r="ZG2" s="3">
        <f t="shared" si="11"/>
        <v>46823</v>
      </c>
      <c r="ZH2" s="3">
        <f t="shared" si="11"/>
        <v>46824</v>
      </c>
      <c r="ZI2" s="3">
        <f t="shared" si="11"/>
        <v>46825</v>
      </c>
      <c r="ZJ2" s="3">
        <f t="shared" si="11"/>
        <v>46826</v>
      </c>
      <c r="ZK2" s="3">
        <f t="shared" si="11"/>
        <v>46827</v>
      </c>
      <c r="ZL2" s="3">
        <f t="shared" si="11"/>
        <v>46828</v>
      </c>
      <c r="ZM2" s="3">
        <f t="shared" si="11"/>
        <v>46829</v>
      </c>
      <c r="ZN2" s="3">
        <f t="shared" si="11"/>
        <v>46830</v>
      </c>
      <c r="ZO2" s="3">
        <f t="shared" si="11"/>
        <v>46831</v>
      </c>
      <c r="ZP2" s="3">
        <f t="shared" si="11"/>
        <v>46832</v>
      </c>
      <c r="ZQ2" s="3">
        <f t="shared" si="11"/>
        <v>46833</v>
      </c>
      <c r="ZR2" s="3">
        <f t="shared" si="11"/>
        <v>46834</v>
      </c>
      <c r="ZS2" s="3">
        <f t="shared" si="11"/>
        <v>46835</v>
      </c>
      <c r="ZT2" s="3">
        <f t="shared" si="11"/>
        <v>46836</v>
      </c>
      <c r="ZU2" s="3">
        <f t="shared" si="11"/>
        <v>46837</v>
      </c>
      <c r="ZV2" s="3">
        <f t="shared" si="11"/>
        <v>46838</v>
      </c>
      <c r="ZW2" s="3">
        <f t="shared" si="11"/>
        <v>46839</v>
      </c>
      <c r="ZX2" s="3">
        <f t="shared" si="11"/>
        <v>46840</v>
      </c>
      <c r="ZY2" s="3">
        <f t="shared" si="11"/>
        <v>46841</v>
      </c>
      <c r="ZZ2" s="3">
        <f t="shared" si="11"/>
        <v>46842</v>
      </c>
      <c r="AAA2" s="3">
        <f t="shared" si="11"/>
        <v>46843</v>
      </c>
      <c r="AAB2" s="3">
        <f t="shared" si="11"/>
        <v>46844</v>
      </c>
      <c r="AAC2" s="3">
        <f t="shared" si="11"/>
        <v>46845</v>
      </c>
      <c r="AAD2" s="3">
        <f t="shared" si="11"/>
        <v>46846</v>
      </c>
      <c r="AAE2" s="3">
        <f t="shared" si="11"/>
        <v>46847</v>
      </c>
      <c r="AAF2" s="3">
        <f t="shared" si="11"/>
        <v>46848</v>
      </c>
      <c r="AAG2" s="3">
        <f t="shared" si="11"/>
        <v>46849</v>
      </c>
      <c r="AAH2" s="3">
        <f t="shared" si="11"/>
        <v>46850</v>
      </c>
      <c r="AAI2" s="3">
        <f t="shared" si="11"/>
        <v>46851</v>
      </c>
      <c r="AAJ2" s="3">
        <f t="shared" si="11"/>
        <v>46852</v>
      </c>
      <c r="AAK2" s="3">
        <f t="shared" si="11"/>
        <v>46853</v>
      </c>
      <c r="AAL2" s="3">
        <f t="shared" si="11"/>
        <v>46854</v>
      </c>
      <c r="AAM2" s="3">
        <f t="shared" si="11"/>
        <v>46855</v>
      </c>
      <c r="AAN2" s="3">
        <f t="shared" si="11"/>
        <v>46856</v>
      </c>
      <c r="AAO2" s="3">
        <f t="shared" si="11"/>
        <v>46857</v>
      </c>
      <c r="AAP2" s="3">
        <f t="shared" si="11"/>
        <v>46858</v>
      </c>
      <c r="AAQ2" s="3">
        <f t="shared" si="11"/>
        <v>46859</v>
      </c>
      <c r="AAR2" s="3">
        <f t="shared" si="11"/>
        <v>46860</v>
      </c>
      <c r="AAS2" s="3">
        <f t="shared" si="11"/>
        <v>46861</v>
      </c>
      <c r="AAT2" s="3">
        <f t="shared" si="11"/>
        <v>46862</v>
      </c>
      <c r="AAU2" s="3">
        <f t="shared" si="11"/>
        <v>46863</v>
      </c>
      <c r="AAV2" s="3">
        <f t="shared" si="11"/>
        <v>46864</v>
      </c>
      <c r="AAW2" s="3">
        <f t="shared" si="11"/>
        <v>46865</v>
      </c>
      <c r="AAX2" s="3">
        <f t="shared" si="11"/>
        <v>46866</v>
      </c>
      <c r="AAY2" s="3">
        <f t="shared" si="11"/>
        <v>46867</v>
      </c>
      <c r="AAZ2" s="3">
        <f t="shared" si="11"/>
        <v>46868</v>
      </c>
      <c r="ABA2" s="3">
        <f t="shared" si="11"/>
        <v>46869</v>
      </c>
      <c r="ABB2" s="3">
        <f t="shared" si="11"/>
        <v>46870</v>
      </c>
      <c r="ABC2" s="3">
        <f t="shared" si="11"/>
        <v>46871</v>
      </c>
      <c r="ABD2" s="3">
        <f t="shared" si="11"/>
        <v>46872</v>
      </c>
      <c r="ABE2" s="3">
        <f t="shared" si="11"/>
        <v>46873</v>
      </c>
      <c r="ABF2" s="3">
        <f t="shared" si="11"/>
        <v>46874</v>
      </c>
      <c r="ABG2" s="3">
        <f t="shared" si="11"/>
        <v>46875</v>
      </c>
      <c r="ABH2" s="3">
        <f t="shared" si="11"/>
        <v>46876</v>
      </c>
      <c r="ABI2" s="3">
        <f t="shared" si="11"/>
        <v>46877</v>
      </c>
    </row>
    <row r="3" spans="4:737" ht="12.95" hidden="1" customHeight="1" x14ac:dyDescent="0.25">
      <c r="E3" s="4"/>
      <c r="F3" s="2">
        <f>COUNT(F2)</f>
        <v>1</v>
      </c>
      <c r="G3" s="2">
        <f t="shared" ref="G3:BR3" si="12">COUNT(G2)</f>
        <v>1</v>
      </c>
      <c r="H3" s="2">
        <f t="shared" si="12"/>
        <v>1</v>
      </c>
      <c r="I3" s="2">
        <f t="shared" si="12"/>
        <v>1</v>
      </c>
      <c r="J3" s="2">
        <f t="shared" si="12"/>
        <v>1</v>
      </c>
      <c r="K3" s="2">
        <f t="shared" si="12"/>
        <v>1</v>
      </c>
      <c r="L3" s="2">
        <f t="shared" si="12"/>
        <v>1</v>
      </c>
      <c r="M3" s="2">
        <f t="shared" si="12"/>
        <v>1</v>
      </c>
      <c r="N3" s="2">
        <f t="shared" si="12"/>
        <v>1</v>
      </c>
      <c r="O3" s="2">
        <f t="shared" si="12"/>
        <v>1</v>
      </c>
      <c r="P3" s="2">
        <f t="shared" si="12"/>
        <v>1</v>
      </c>
      <c r="Q3" s="2">
        <f t="shared" si="12"/>
        <v>1</v>
      </c>
      <c r="R3" s="2">
        <f t="shared" si="12"/>
        <v>1</v>
      </c>
      <c r="S3" s="2">
        <f t="shared" si="12"/>
        <v>1</v>
      </c>
      <c r="T3" s="2">
        <f t="shared" si="12"/>
        <v>1</v>
      </c>
      <c r="U3" s="2">
        <f t="shared" si="12"/>
        <v>1</v>
      </c>
      <c r="V3" s="2">
        <f t="shared" si="12"/>
        <v>1</v>
      </c>
      <c r="W3" s="2">
        <f t="shared" si="12"/>
        <v>1</v>
      </c>
      <c r="X3" s="2">
        <f t="shared" si="12"/>
        <v>1</v>
      </c>
      <c r="Y3" s="2">
        <f t="shared" si="12"/>
        <v>1</v>
      </c>
      <c r="Z3" s="2">
        <f t="shared" si="12"/>
        <v>1</v>
      </c>
      <c r="AA3" s="2">
        <f t="shared" si="12"/>
        <v>1</v>
      </c>
      <c r="AB3" s="2">
        <f t="shared" si="12"/>
        <v>1</v>
      </c>
      <c r="AC3" s="2">
        <f t="shared" si="12"/>
        <v>1</v>
      </c>
      <c r="AD3" s="2">
        <f t="shared" si="12"/>
        <v>1</v>
      </c>
      <c r="AE3" s="2">
        <f t="shared" si="12"/>
        <v>1</v>
      </c>
      <c r="AF3" s="2">
        <f t="shared" si="12"/>
        <v>1</v>
      </c>
      <c r="AG3" s="2">
        <f t="shared" si="12"/>
        <v>1</v>
      </c>
      <c r="AH3" s="2">
        <f t="shared" si="12"/>
        <v>1</v>
      </c>
      <c r="AI3" s="2">
        <f t="shared" si="12"/>
        <v>1</v>
      </c>
      <c r="AJ3" s="2">
        <f t="shared" si="12"/>
        <v>1</v>
      </c>
      <c r="AK3" s="4">
        <f t="shared" si="12"/>
        <v>1</v>
      </c>
      <c r="AL3" s="2">
        <f t="shared" si="12"/>
        <v>1</v>
      </c>
      <c r="AM3" s="2">
        <f t="shared" si="12"/>
        <v>1</v>
      </c>
      <c r="AN3" s="2">
        <f t="shared" si="12"/>
        <v>1</v>
      </c>
      <c r="AO3" s="2">
        <f t="shared" si="12"/>
        <v>1</v>
      </c>
      <c r="AP3" s="2">
        <f t="shared" si="12"/>
        <v>1</v>
      </c>
      <c r="AQ3" s="2">
        <f t="shared" si="12"/>
        <v>1</v>
      </c>
      <c r="AR3" s="2">
        <f t="shared" si="12"/>
        <v>1</v>
      </c>
      <c r="AS3" s="2">
        <f t="shared" si="12"/>
        <v>1</v>
      </c>
      <c r="AT3" s="2">
        <f t="shared" si="12"/>
        <v>1</v>
      </c>
      <c r="AU3" s="2">
        <f t="shared" si="12"/>
        <v>1</v>
      </c>
      <c r="AV3" s="2">
        <f t="shared" si="12"/>
        <v>1</v>
      </c>
      <c r="AW3" s="2">
        <f t="shared" si="12"/>
        <v>1</v>
      </c>
      <c r="AX3" s="2">
        <f t="shared" si="12"/>
        <v>1</v>
      </c>
      <c r="AY3" s="2">
        <f t="shared" si="12"/>
        <v>1</v>
      </c>
      <c r="AZ3" s="2">
        <f t="shared" si="12"/>
        <v>1</v>
      </c>
      <c r="BA3" s="2">
        <f t="shared" si="12"/>
        <v>1</v>
      </c>
      <c r="BB3" s="2">
        <f t="shared" si="12"/>
        <v>1</v>
      </c>
      <c r="BC3" s="2">
        <f t="shared" si="12"/>
        <v>1</v>
      </c>
      <c r="BD3" s="2">
        <f t="shared" si="12"/>
        <v>1</v>
      </c>
      <c r="BE3" s="2">
        <f t="shared" si="12"/>
        <v>1</v>
      </c>
      <c r="BF3" s="2">
        <f t="shared" si="12"/>
        <v>1</v>
      </c>
      <c r="BG3" s="2">
        <f t="shared" si="12"/>
        <v>1</v>
      </c>
      <c r="BH3" s="2">
        <f t="shared" si="12"/>
        <v>1</v>
      </c>
      <c r="BI3" s="2">
        <f t="shared" si="12"/>
        <v>1</v>
      </c>
      <c r="BJ3" s="2">
        <f t="shared" si="12"/>
        <v>1</v>
      </c>
      <c r="BK3" s="2">
        <f t="shared" si="12"/>
        <v>1</v>
      </c>
      <c r="BL3" s="2">
        <f t="shared" si="12"/>
        <v>1</v>
      </c>
      <c r="BM3" s="2">
        <f t="shared" si="12"/>
        <v>1</v>
      </c>
      <c r="BN3" s="2">
        <f t="shared" si="12"/>
        <v>1</v>
      </c>
      <c r="BO3" s="2">
        <f t="shared" si="12"/>
        <v>1</v>
      </c>
      <c r="BP3" s="2">
        <f t="shared" si="12"/>
        <v>1</v>
      </c>
      <c r="BQ3" s="2">
        <f t="shared" si="12"/>
        <v>1</v>
      </c>
      <c r="BR3" s="2">
        <f t="shared" si="12"/>
        <v>1</v>
      </c>
      <c r="BS3" s="2">
        <f t="shared" ref="BS3:ED3" si="13">COUNT(BS2)</f>
        <v>1</v>
      </c>
      <c r="BT3" s="2">
        <f t="shared" si="13"/>
        <v>1</v>
      </c>
      <c r="BU3" s="2">
        <f t="shared" si="13"/>
        <v>1</v>
      </c>
      <c r="BV3" s="2">
        <f t="shared" si="13"/>
        <v>1</v>
      </c>
      <c r="BW3" s="2">
        <f t="shared" si="13"/>
        <v>1</v>
      </c>
      <c r="BX3" s="2">
        <f t="shared" si="13"/>
        <v>1</v>
      </c>
      <c r="BY3" s="2">
        <f t="shared" si="13"/>
        <v>1</v>
      </c>
      <c r="BZ3" s="2">
        <f t="shared" si="13"/>
        <v>1</v>
      </c>
      <c r="CA3" s="2">
        <f t="shared" si="13"/>
        <v>1</v>
      </c>
      <c r="CB3" s="2">
        <f t="shared" si="13"/>
        <v>1</v>
      </c>
      <c r="CC3" s="2">
        <f t="shared" si="13"/>
        <v>1</v>
      </c>
      <c r="CD3" s="2">
        <f t="shared" si="13"/>
        <v>1</v>
      </c>
      <c r="CE3" s="2">
        <f t="shared" si="13"/>
        <v>1</v>
      </c>
      <c r="CF3" s="2">
        <f t="shared" si="13"/>
        <v>1</v>
      </c>
      <c r="CG3" s="2">
        <f t="shared" si="13"/>
        <v>1</v>
      </c>
      <c r="CH3" s="2">
        <f t="shared" si="13"/>
        <v>1</v>
      </c>
      <c r="CI3" s="2">
        <f t="shared" si="13"/>
        <v>1</v>
      </c>
      <c r="CJ3" s="2">
        <f t="shared" si="13"/>
        <v>1</v>
      </c>
      <c r="CK3" s="2">
        <f t="shared" si="13"/>
        <v>1</v>
      </c>
      <c r="CL3" s="2">
        <f t="shared" si="13"/>
        <v>1</v>
      </c>
      <c r="CM3" s="2">
        <f t="shared" si="13"/>
        <v>1</v>
      </c>
      <c r="CN3" s="2">
        <f t="shared" si="13"/>
        <v>1</v>
      </c>
      <c r="CO3" s="2">
        <f t="shared" si="13"/>
        <v>1</v>
      </c>
      <c r="CP3" s="2">
        <f t="shared" si="13"/>
        <v>1</v>
      </c>
      <c r="CQ3" s="2">
        <f t="shared" si="13"/>
        <v>1</v>
      </c>
      <c r="CR3" s="2">
        <f t="shared" si="13"/>
        <v>1</v>
      </c>
      <c r="CS3" s="2">
        <f t="shared" si="13"/>
        <v>1</v>
      </c>
      <c r="CT3" s="2">
        <f t="shared" si="13"/>
        <v>1</v>
      </c>
      <c r="CU3" s="2">
        <f t="shared" si="13"/>
        <v>1</v>
      </c>
      <c r="CV3" s="2">
        <f t="shared" si="13"/>
        <v>1</v>
      </c>
      <c r="CW3" s="2">
        <f t="shared" si="13"/>
        <v>1</v>
      </c>
      <c r="CX3" s="2">
        <f t="shared" si="13"/>
        <v>1</v>
      </c>
      <c r="CY3" s="2">
        <f t="shared" si="13"/>
        <v>1</v>
      </c>
      <c r="CZ3" s="2">
        <f t="shared" si="13"/>
        <v>1</v>
      </c>
      <c r="DA3" s="2">
        <f t="shared" si="13"/>
        <v>1</v>
      </c>
      <c r="DB3" s="2">
        <f t="shared" si="13"/>
        <v>1</v>
      </c>
      <c r="DC3" s="2">
        <f t="shared" si="13"/>
        <v>1</v>
      </c>
      <c r="DD3" s="2">
        <f t="shared" si="13"/>
        <v>1</v>
      </c>
      <c r="DE3" s="2">
        <f t="shared" si="13"/>
        <v>1</v>
      </c>
      <c r="DF3" s="2">
        <f t="shared" si="13"/>
        <v>1</v>
      </c>
      <c r="DG3" s="2">
        <f t="shared" si="13"/>
        <v>1</v>
      </c>
      <c r="DH3" s="2">
        <f t="shared" si="13"/>
        <v>1</v>
      </c>
      <c r="DI3" s="2">
        <f t="shared" si="13"/>
        <v>1</v>
      </c>
      <c r="DJ3" s="2">
        <f t="shared" si="13"/>
        <v>1</v>
      </c>
      <c r="DK3" s="2">
        <f t="shared" si="13"/>
        <v>1</v>
      </c>
      <c r="DL3" s="2">
        <f t="shared" si="13"/>
        <v>1</v>
      </c>
      <c r="DM3" s="2">
        <f t="shared" si="13"/>
        <v>1</v>
      </c>
      <c r="DN3" s="2">
        <f t="shared" si="13"/>
        <v>1</v>
      </c>
      <c r="DO3" s="2">
        <f t="shared" si="13"/>
        <v>1</v>
      </c>
      <c r="DP3" s="2">
        <f t="shared" si="13"/>
        <v>1</v>
      </c>
      <c r="DQ3" s="2">
        <f t="shared" si="13"/>
        <v>1</v>
      </c>
      <c r="DR3" s="2">
        <f t="shared" si="13"/>
        <v>1</v>
      </c>
      <c r="DS3" s="2">
        <f t="shared" si="13"/>
        <v>1</v>
      </c>
      <c r="DT3" s="2">
        <f t="shared" si="13"/>
        <v>1</v>
      </c>
      <c r="DU3" s="2">
        <f t="shared" si="13"/>
        <v>1</v>
      </c>
      <c r="DV3" s="2">
        <f t="shared" si="13"/>
        <v>1</v>
      </c>
      <c r="DW3" s="2">
        <f t="shared" si="13"/>
        <v>1</v>
      </c>
      <c r="DX3" s="2">
        <f t="shared" si="13"/>
        <v>1</v>
      </c>
      <c r="DY3" s="2">
        <f t="shared" si="13"/>
        <v>1</v>
      </c>
      <c r="DZ3" s="2">
        <f t="shared" si="13"/>
        <v>1</v>
      </c>
      <c r="EA3" s="2">
        <f t="shared" si="13"/>
        <v>1</v>
      </c>
      <c r="EB3" s="2">
        <f t="shared" si="13"/>
        <v>1</v>
      </c>
      <c r="EC3" s="2">
        <f t="shared" si="13"/>
        <v>1</v>
      </c>
      <c r="ED3" s="2">
        <f t="shared" si="13"/>
        <v>1</v>
      </c>
      <c r="EE3" s="2">
        <f t="shared" ref="EE3:GP3" si="14">COUNT(EE2)</f>
        <v>1</v>
      </c>
      <c r="EF3" s="2">
        <f t="shared" si="14"/>
        <v>1</v>
      </c>
      <c r="EG3" s="2">
        <f t="shared" si="14"/>
        <v>1</v>
      </c>
      <c r="EH3" s="2">
        <f t="shared" si="14"/>
        <v>1</v>
      </c>
      <c r="EI3" s="2">
        <f t="shared" si="14"/>
        <v>1</v>
      </c>
      <c r="EJ3" s="2">
        <f t="shared" si="14"/>
        <v>1</v>
      </c>
      <c r="EK3" s="2">
        <f t="shared" si="14"/>
        <v>1</v>
      </c>
      <c r="EL3" s="2">
        <f t="shared" si="14"/>
        <v>1</v>
      </c>
      <c r="EM3" s="2">
        <f t="shared" si="14"/>
        <v>1</v>
      </c>
      <c r="EN3" s="2">
        <f t="shared" si="14"/>
        <v>1</v>
      </c>
      <c r="EO3" s="2">
        <f t="shared" si="14"/>
        <v>1</v>
      </c>
      <c r="EP3" s="2">
        <f t="shared" si="14"/>
        <v>1</v>
      </c>
      <c r="EQ3" s="2">
        <f t="shared" si="14"/>
        <v>1</v>
      </c>
      <c r="ER3" s="2">
        <f t="shared" si="14"/>
        <v>1</v>
      </c>
      <c r="ES3" s="2">
        <f t="shared" si="14"/>
        <v>1</v>
      </c>
      <c r="ET3" s="2">
        <f t="shared" si="14"/>
        <v>1</v>
      </c>
      <c r="EU3" s="2">
        <f t="shared" si="14"/>
        <v>1</v>
      </c>
      <c r="EV3" s="2">
        <f t="shared" si="14"/>
        <v>1</v>
      </c>
      <c r="EW3" s="2">
        <f t="shared" si="14"/>
        <v>1</v>
      </c>
      <c r="EX3" s="2">
        <f t="shared" si="14"/>
        <v>1</v>
      </c>
      <c r="EY3" s="2">
        <f t="shared" si="14"/>
        <v>1</v>
      </c>
      <c r="EZ3" s="2">
        <f t="shared" si="14"/>
        <v>1</v>
      </c>
      <c r="FA3" s="2">
        <f t="shared" si="14"/>
        <v>1</v>
      </c>
      <c r="FB3" s="2">
        <f t="shared" si="14"/>
        <v>1</v>
      </c>
      <c r="FC3" s="2">
        <f t="shared" si="14"/>
        <v>1</v>
      </c>
      <c r="FD3" s="2">
        <f t="shared" si="14"/>
        <v>1</v>
      </c>
      <c r="FE3" s="2">
        <f t="shared" si="14"/>
        <v>1</v>
      </c>
      <c r="FF3" s="2">
        <f t="shared" si="14"/>
        <v>1</v>
      </c>
      <c r="FG3" s="2">
        <f t="shared" si="14"/>
        <v>1</v>
      </c>
      <c r="FH3" s="2">
        <f t="shared" si="14"/>
        <v>1</v>
      </c>
      <c r="FI3" s="2">
        <f t="shared" si="14"/>
        <v>1</v>
      </c>
      <c r="FJ3" s="2">
        <f t="shared" si="14"/>
        <v>1</v>
      </c>
      <c r="FK3" s="2">
        <f t="shared" si="14"/>
        <v>1</v>
      </c>
      <c r="FL3" s="2">
        <f t="shared" si="14"/>
        <v>1</v>
      </c>
      <c r="FM3" s="2">
        <f t="shared" si="14"/>
        <v>1</v>
      </c>
      <c r="FN3" s="2">
        <f t="shared" si="14"/>
        <v>1</v>
      </c>
      <c r="FO3" s="2">
        <f t="shared" si="14"/>
        <v>1</v>
      </c>
      <c r="FP3" s="2">
        <f t="shared" si="14"/>
        <v>1</v>
      </c>
      <c r="FQ3" s="2">
        <f t="shared" si="14"/>
        <v>1</v>
      </c>
      <c r="FR3" s="2">
        <f t="shared" si="14"/>
        <v>1</v>
      </c>
      <c r="FS3" s="2">
        <f t="shared" si="14"/>
        <v>1</v>
      </c>
      <c r="FT3" s="2">
        <f t="shared" si="14"/>
        <v>1</v>
      </c>
      <c r="FU3" s="2">
        <f t="shared" si="14"/>
        <v>1</v>
      </c>
      <c r="FV3" s="2">
        <f t="shared" si="14"/>
        <v>1</v>
      </c>
      <c r="FW3" s="2">
        <f t="shared" si="14"/>
        <v>1</v>
      </c>
      <c r="FX3" s="2">
        <f t="shared" si="14"/>
        <v>1</v>
      </c>
      <c r="FY3" s="2">
        <f t="shared" si="14"/>
        <v>1</v>
      </c>
      <c r="FZ3" s="2">
        <f t="shared" si="14"/>
        <v>1</v>
      </c>
      <c r="GA3" s="2">
        <f t="shared" si="14"/>
        <v>1</v>
      </c>
      <c r="GB3" s="2">
        <f t="shared" si="14"/>
        <v>1</v>
      </c>
      <c r="GC3" s="2">
        <f t="shared" si="14"/>
        <v>1</v>
      </c>
      <c r="GD3" s="2">
        <f t="shared" si="14"/>
        <v>1</v>
      </c>
      <c r="GE3" s="2">
        <f t="shared" si="14"/>
        <v>1</v>
      </c>
      <c r="GF3" s="2">
        <f t="shared" si="14"/>
        <v>1</v>
      </c>
      <c r="GG3" s="2">
        <f t="shared" si="14"/>
        <v>1</v>
      </c>
      <c r="GH3" s="2">
        <f t="shared" si="14"/>
        <v>1</v>
      </c>
      <c r="GI3" s="2">
        <f t="shared" si="14"/>
        <v>1</v>
      </c>
      <c r="GJ3" s="2">
        <f t="shared" si="14"/>
        <v>1</v>
      </c>
      <c r="GK3" s="2">
        <f t="shared" si="14"/>
        <v>1</v>
      </c>
      <c r="GL3" s="2">
        <f t="shared" si="14"/>
        <v>1</v>
      </c>
      <c r="GM3" s="2">
        <f t="shared" si="14"/>
        <v>1</v>
      </c>
      <c r="GN3" s="2">
        <f t="shared" si="14"/>
        <v>1</v>
      </c>
      <c r="GO3" s="2">
        <f t="shared" si="14"/>
        <v>1</v>
      </c>
      <c r="GP3" s="2">
        <f t="shared" si="14"/>
        <v>1</v>
      </c>
      <c r="GQ3" s="2">
        <f t="shared" ref="GQ3:JB3" si="15">COUNT(GQ2)</f>
        <v>1</v>
      </c>
      <c r="GR3" s="2">
        <f t="shared" si="15"/>
        <v>1</v>
      </c>
      <c r="GS3" s="2">
        <f t="shared" si="15"/>
        <v>1</v>
      </c>
      <c r="GT3" s="2">
        <f t="shared" si="15"/>
        <v>1</v>
      </c>
      <c r="GU3" s="2">
        <f t="shared" si="15"/>
        <v>1</v>
      </c>
      <c r="GV3" s="2">
        <f t="shared" si="15"/>
        <v>1</v>
      </c>
      <c r="GW3" s="2">
        <f t="shared" si="15"/>
        <v>1</v>
      </c>
      <c r="GX3" s="2">
        <f t="shared" si="15"/>
        <v>1</v>
      </c>
      <c r="GY3" s="2">
        <f t="shared" si="15"/>
        <v>1</v>
      </c>
      <c r="GZ3" s="2">
        <f t="shared" si="15"/>
        <v>1</v>
      </c>
      <c r="HA3" s="2">
        <f t="shared" si="15"/>
        <v>1</v>
      </c>
      <c r="HB3" s="2">
        <f t="shared" si="15"/>
        <v>1</v>
      </c>
      <c r="HC3" s="2">
        <f t="shared" si="15"/>
        <v>1</v>
      </c>
      <c r="HD3" s="2">
        <f t="shared" si="15"/>
        <v>1</v>
      </c>
      <c r="HE3" s="2">
        <f t="shared" si="15"/>
        <v>1</v>
      </c>
      <c r="HF3" s="2">
        <f t="shared" si="15"/>
        <v>1</v>
      </c>
      <c r="HG3" s="2">
        <f t="shared" si="15"/>
        <v>1</v>
      </c>
      <c r="HH3" s="2">
        <f t="shared" si="15"/>
        <v>1</v>
      </c>
      <c r="HI3" s="2">
        <f t="shared" si="15"/>
        <v>1</v>
      </c>
      <c r="HJ3" s="2">
        <f t="shared" si="15"/>
        <v>1</v>
      </c>
      <c r="HK3" s="2">
        <f t="shared" si="15"/>
        <v>1</v>
      </c>
      <c r="HL3" s="2">
        <f t="shared" si="15"/>
        <v>1</v>
      </c>
      <c r="HM3" s="2">
        <f t="shared" si="15"/>
        <v>1</v>
      </c>
      <c r="HN3" s="2">
        <f t="shared" si="15"/>
        <v>1</v>
      </c>
      <c r="HO3" s="2">
        <f t="shared" si="15"/>
        <v>1</v>
      </c>
      <c r="HP3" s="2">
        <f t="shared" si="15"/>
        <v>1</v>
      </c>
      <c r="HQ3" s="2">
        <f t="shared" si="15"/>
        <v>1</v>
      </c>
      <c r="HR3" s="2">
        <f t="shared" si="15"/>
        <v>1</v>
      </c>
      <c r="HS3" s="2">
        <f t="shared" si="15"/>
        <v>1</v>
      </c>
      <c r="HT3" s="2">
        <f t="shared" si="15"/>
        <v>1</v>
      </c>
      <c r="HU3" s="2">
        <f t="shared" si="15"/>
        <v>1</v>
      </c>
      <c r="HV3" s="2">
        <f t="shared" si="15"/>
        <v>1</v>
      </c>
      <c r="HW3" s="2">
        <f t="shared" si="15"/>
        <v>1</v>
      </c>
      <c r="HX3" s="2">
        <f t="shared" si="15"/>
        <v>1</v>
      </c>
      <c r="HY3" s="2">
        <f t="shared" si="15"/>
        <v>1</v>
      </c>
      <c r="HZ3" s="2">
        <f t="shared" si="15"/>
        <v>1</v>
      </c>
      <c r="IA3" s="2">
        <f t="shared" si="15"/>
        <v>1</v>
      </c>
      <c r="IB3" s="2">
        <f t="shared" si="15"/>
        <v>1</v>
      </c>
      <c r="IC3" s="2">
        <f t="shared" si="15"/>
        <v>1</v>
      </c>
      <c r="ID3" s="2">
        <f t="shared" si="15"/>
        <v>1</v>
      </c>
      <c r="IE3" s="2">
        <f t="shared" si="15"/>
        <v>1</v>
      </c>
      <c r="IF3" s="2">
        <f t="shared" si="15"/>
        <v>1</v>
      </c>
      <c r="IG3" s="2">
        <f t="shared" si="15"/>
        <v>1</v>
      </c>
      <c r="IH3" s="2">
        <f t="shared" si="15"/>
        <v>1</v>
      </c>
      <c r="II3" s="2">
        <f t="shared" si="15"/>
        <v>1</v>
      </c>
      <c r="IJ3" s="2">
        <f t="shared" si="15"/>
        <v>1</v>
      </c>
      <c r="IK3" s="2">
        <f t="shared" si="15"/>
        <v>1</v>
      </c>
      <c r="IL3" s="2">
        <f t="shared" si="15"/>
        <v>1</v>
      </c>
      <c r="IM3" s="2">
        <f t="shared" si="15"/>
        <v>1</v>
      </c>
      <c r="IN3" s="2">
        <f t="shared" si="15"/>
        <v>1</v>
      </c>
      <c r="IO3" s="2">
        <f t="shared" si="15"/>
        <v>1</v>
      </c>
      <c r="IP3" s="2">
        <f t="shared" si="15"/>
        <v>1</v>
      </c>
      <c r="IQ3" s="2">
        <f t="shared" si="15"/>
        <v>1</v>
      </c>
      <c r="IR3" s="2">
        <f t="shared" si="15"/>
        <v>1</v>
      </c>
      <c r="IS3" s="2">
        <f t="shared" si="15"/>
        <v>1</v>
      </c>
      <c r="IT3" s="2">
        <f t="shared" si="15"/>
        <v>1</v>
      </c>
      <c r="IU3" s="2">
        <f t="shared" si="15"/>
        <v>1</v>
      </c>
      <c r="IV3" s="2">
        <f t="shared" si="15"/>
        <v>1</v>
      </c>
      <c r="IW3" s="2">
        <f t="shared" si="15"/>
        <v>1</v>
      </c>
      <c r="IX3" s="2">
        <f t="shared" si="15"/>
        <v>1</v>
      </c>
      <c r="IY3" s="2">
        <f t="shared" si="15"/>
        <v>1</v>
      </c>
      <c r="IZ3" s="2">
        <f t="shared" si="15"/>
        <v>1</v>
      </c>
      <c r="JA3" s="2">
        <f t="shared" si="15"/>
        <v>1</v>
      </c>
      <c r="JB3" s="2">
        <f t="shared" si="15"/>
        <v>1</v>
      </c>
      <c r="JC3" s="2">
        <f t="shared" ref="JC3:LN3" si="16">COUNT(JC2)</f>
        <v>1</v>
      </c>
      <c r="JD3" s="2">
        <f t="shared" si="16"/>
        <v>1</v>
      </c>
      <c r="JE3" s="2">
        <f t="shared" si="16"/>
        <v>1</v>
      </c>
      <c r="JF3" s="2">
        <f t="shared" si="16"/>
        <v>1</v>
      </c>
      <c r="JG3" s="2">
        <f t="shared" si="16"/>
        <v>1</v>
      </c>
      <c r="JH3" s="2">
        <f t="shared" si="16"/>
        <v>1</v>
      </c>
      <c r="JI3" s="2">
        <f t="shared" si="16"/>
        <v>1</v>
      </c>
      <c r="JJ3" s="2">
        <f t="shared" si="16"/>
        <v>1</v>
      </c>
      <c r="JK3" s="2">
        <f t="shared" si="16"/>
        <v>1</v>
      </c>
      <c r="JL3" s="2">
        <f t="shared" si="16"/>
        <v>1</v>
      </c>
      <c r="JM3" s="2">
        <f t="shared" si="16"/>
        <v>1</v>
      </c>
      <c r="JN3" s="2">
        <f t="shared" si="16"/>
        <v>1</v>
      </c>
      <c r="JO3" s="2">
        <f t="shared" si="16"/>
        <v>1</v>
      </c>
      <c r="JP3" s="2">
        <f t="shared" si="16"/>
        <v>1</v>
      </c>
      <c r="JQ3" s="2">
        <f t="shared" si="16"/>
        <v>1</v>
      </c>
      <c r="JR3" s="2">
        <f t="shared" si="16"/>
        <v>1</v>
      </c>
      <c r="JS3" s="2">
        <f t="shared" si="16"/>
        <v>1</v>
      </c>
      <c r="JT3" s="2">
        <f t="shared" si="16"/>
        <v>1</v>
      </c>
      <c r="JU3" s="2">
        <f t="shared" si="16"/>
        <v>1</v>
      </c>
      <c r="JV3" s="2">
        <f t="shared" si="16"/>
        <v>1</v>
      </c>
      <c r="JW3" s="2">
        <f t="shared" si="16"/>
        <v>1</v>
      </c>
      <c r="JX3" s="2">
        <f t="shared" si="16"/>
        <v>1</v>
      </c>
      <c r="JY3" s="2">
        <f t="shared" si="16"/>
        <v>1</v>
      </c>
      <c r="JZ3" s="2">
        <f t="shared" si="16"/>
        <v>1</v>
      </c>
      <c r="KA3" s="2">
        <f t="shared" si="16"/>
        <v>1</v>
      </c>
      <c r="KB3" s="2">
        <f t="shared" si="16"/>
        <v>1</v>
      </c>
      <c r="KC3" s="2">
        <f t="shared" si="16"/>
        <v>1</v>
      </c>
      <c r="KD3" s="2">
        <f t="shared" si="16"/>
        <v>1</v>
      </c>
      <c r="KE3" s="2">
        <f t="shared" si="16"/>
        <v>1</v>
      </c>
      <c r="KF3" s="2">
        <f t="shared" si="16"/>
        <v>1</v>
      </c>
      <c r="KG3" s="2">
        <f t="shared" si="16"/>
        <v>1</v>
      </c>
      <c r="KH3" s="2">
        <f t="shared" si="16"/>
        <v>1</v>
      </c>
      <c r="KI3" s="2">
        <f t="shared" si="16"/>
        <v>1</v>
      </c>
      <c r="KJ3" s="2">
        <f t="shared" si="16"/>
        <v>1</v>
      </c>
      <c r="KK3" s="2">
        <f t="shared" si="16"/>
        <v>1</v>
      </c>
      <c r="KL3" s="2">
        <f t="shared" si="16"/>
        <v>1</v>
      </c>
      <c r="KM3" s="2">
        <f t="shared" si="16"/>
        <v>1</v>
      </c>
      <c r="KN3" s="2">
        <f t="shared" si="16"/>
        <v>1</v>
      </c>
      <c r="KO3" s="2">
        <f t="shared" si="16"/>
        <v>1</v>
      </c>
      <c r="KP3" s="2">
        <f t="shared" si="16"/>
        <v>1</v>
      </c>
      <c r="KQ3" s="2">
        <f t="shared" si="16"/>
        <v>1</v>
      </c>
      <c r="KR3" s="2">
        <f t="shared" si="16"/>
        <v>1</v>
      </c>
      <c r="KS3" s="2">
        <f t="shared" si="16"/>
        <v>1</v>
      </c>
      <c r="KT3" s="2">
        <f t="shared" si="16"/>
        <v>1</v>
      </c>
      <c r="KU3" s="2">
        <f t="shared" si="16"/>
        <v>1</v>
      </c>
      <c r="KV3" s="2">
        <f t="shared" si="16"/>
        <v>1</v>
      </c>
      <c r="KW3" s="2">
        <f t="shared" si="16"/>
        <v>1</v>
      </c>
      <c r="KX3" s="2">
        <f t="shared" si="16"/>
        <v>1</v>
      </c>
      <c r="KY3" s="2">
        <f t="shared" si="16"/>
        <v>1</v>
      </c>
      <c r="KZ3" s="2">
        <f t="shared" si="16"/>
        <v>1</v>
      </c>
      <c r="LA3" s="2">
        <f t="shared" si="16"/>
        <v>1</v>
      </c>
      <c r="LB3" s="2">
        <f t="shared" si="16"/>
        <v>1</v>
      </c>
      <c r="LC3" s="2">
        <f t="shared" si="16"/>
        <v>1</v>
      </c>
      <c r="LD3" s="2">
        <f t="shared" si="16"/>
        <v>1</v>
      </c>
      <c r="LE3" s="2">
        <f t="shared" si="16"/>
        <v>1</v>
      </c>
      <c r="LF3" s="2">
        <f t="shared" si="16"/>
        <v>1</v>
      </c>
      <c r="LG3" s="2">
        <f t="shared" si="16"/>
        <v>1</v>
      </c>
      <c r="LH3" s="2">
        <f t="shared" si="16"/>
        <v>1</v>
      </c>
      <c r="LI3" s="2">
        <f t="shared" si="16"/>
        <v>1</v>
      </c>
      <c r="LJ3" s="2">
        <f t="shared" si="16"/>
        <v>1</v>
      </c>
      <c r="LK3" s="2">
        <f t="shared" si="16"/>
        <v>1</v>
      </c>
      <c r="LL3" s="2">
        <f t="shared" si="16"/>
        <v>1</v>
      </c>
      <c r="LM3" s="2">
        <f t="shared" si="16"/>
        <v>1</v>
      </c>
      <c r="LN3" s="2">
        <f t="shared" si="16"/>
        <v>1</v>
      </c>
      <c r="LO3" s="2">
        <f t="shared" ref="LO3:NZ3" si="17">COUNT(LO2)</f>
        <v>1</v>
      </c>
      <c r="LP3" s="2">
        <f t="shared" si="17"/>
        <v>1</v>
      </c>
      <c r="LQ3" s="2">
        <f t="shared" si="17"/>
        <v>1</v>
      </c>
      <c r="LR3" s="2">
        <f t="shared" si="17"/>
        <v>1</v>
      </c>
      <c r="LS3" s="2">
        <f t="shared" si="17"/>
        <v>1</v>
      </c>
      <c r="LT3" s="2">
        <f t="shared" si="17"/>
        <v>1</v>
      </c>
      <c r="LU3" s="2">
        <f t="shared" si="17"/>
        <v>1</v>
      </c>
      <c r="LV3" s="2">
        <f t="shared" si="17"/>
        <v>1</v>
      </c>
      <c r="LW3" s="2">
        <f t="shared" si="17"/>
        <v>1</v>
      </c>
      <c r="LX3" s="2">
        <f t="shared" si="17"/>
        <v>1</v>
      </c>
      <c r="LY3" s="2">
        <f t="shared" si="17"/>
        <v>1</v>
      </c>
      <c r="LZ3" s="2">
        <f t="shared" si="17"/>
        <v>1</v>
      </c>
      <c r="MA3" s="2">
        <f t="shared" si="17"/>
        <v>1</v>
      </c>
      <c r="MB3" s="2">
        <f t="shared" si="17"/>
        <v>1</v>
      </c>
      <c r="MC3" s="2">
        <f t="shared" si="17"/>
        <v>1</v>
      </c>
      <c r="MD3" s="2">
        <f t="shared" si="17"/>
        <v>1</v>
      </c>
      <c r="ME3" s="2">
        <f t="shared" si="17"/>
        <v>1</v>
      </c>
      <c r="MF3" s="2">
        <f t="shared" si="17"/>
        <v>1</v>
      </c>
      <c r="MG3" s="2">
        <f t="shared" si="17"/>
        <v>1</v>
      </c>
      <c r="MH3" s="2">
        <f t="shared" si="17"/>
        <v>1</v>
      </c>
      <c r="MI3" s="2">
        <f t="shared" si="17"/>
        <v>1</v>
      </c>
      <c r="MJ3" s="2">
        <f t="shared" si="17"/>
        <v>1</v>
      </c>
      <c r="MK3" s="2">
        <f t="shared" si="17"/>
        <v>1</v>
      </c>
      <c r="ML3" s="2">
        <f t="shared" si="17"/>
        <v>1</v>
      </c>
      <c r="MM3" s="2">
        <f t="shared" si="17"/>
        <v>1</v>
      </c>
      <c r="MN3" s="2">
        <f t="shared" si="17"/>
        <v>1</v>
      </c>
      <c r="MO3" s="2">
        <f t="shared" si="17"/>
        <v>1</v>
      </c>
      <c r="MP3" s="2">
        <f t="shared" si="17"/>
        <v>1</v>
      </c>
      <c r="MQ3" s="2">
        <f t="shared" si="17"/>
        <v>1</v>
      </c>
      <c r="MR3" s="2">
        <f t="shared" si="17"/>
        <v>1</v>
      </c>
      <c r="MS3" s="2">
        <f t="shared" si="17"/>
        <v>1</v>
      </c>
      <c r="MT3" s="2">
        <f t="shared" si="17"/>
        <v>1</v>
      </c>
      <c r="MU3" s="2">
        <f t="shared" si="17"/>
        <v>1</v>
      </c>
      <c r="MV3" s="2">
        <f t="shared" si="17"/>
        <v>1</v>
      </c>
      <c r="MW3" s="2">
        <f t="shared" si="17"/>
        <v>1</v>
      </c>
      <c r="MX3" s="2">
        <f t="shared" si="17"/>
        <v>1</v>
      </c>
      <c r="MY3" s="2">
        <f t="shared" si="17"/>
        <v>1</v>
      </c>
      <c r="MZ3" s="2">
        <f t="shared" si="17"/>
        <v>1</v>
      </c>
      <c r="NA3" s="2">
        <f t="shared" si="17"/>
        <v>1</v>
      </c>
      <c r="NB3" s="2">
        <f t="shared" si="17"/>
        <v>1</v>
      </c>
      <c r="NC3" s="2">
        <f t="shared" si="17"/>
        <v>1</v>
      </c>
      <c r="ND3" s="2">
        <f t="shared" si="17"/>
        <v>1</v>
      </c>
      <c r="NE3" s="2">
        <f t="shared" si="17"/>
        <v>1</v>
      </c>
      <c r="NF3" s="2">
        <f t="shared" si="17"/>
        <v>1</v>
      </c>
      <c r="NG3" s="2">
        <f t="shared" si="17"/>
        <v>1</v>
      </c>
      <c r="NH3" s="2">
        <f t="shared" si="17"/>
        <v>1</v>
      </c>
      <c r="NI3" s="2">
        <f t="shared" si="17"/>
        <v>1</v>
      </c>
      <c r="NJ3" s="2">
        <f t="shared" si="17"/>
        <v>1</v>
      </c>
      <c r="NK3" s="2">
        <f t="shared" si="17"/>
        <v>1</v>
      </c>
      <c r="NL3" s="2">
        <f t="shared" si="17"/>
        <v>1</v>
      </c>
      <c r="NM3" s="2">
        <f t="shared" si="17"/>
        <v>1</v>
      </c>
      <c r="NN3" s="2">
        <f t="shared" si="17"/>
        <v>1</v>
      </c>
      <c r="NO3" s="2">
        <f t="shared" si="17"/>
        <v>1</v>
      </c>
      <c r="NP3" s="2">
        <f t="shared" si="17"/>
        <v>1</v>
      </c>
      <c r="NQ3" s="2">
        <f t="shared" si="17"/>
        <v>1</v>
      </c>
      <c r="NR3" s="2">
        <f t="shared" si="17"/>
        <v>1</v>
      </c>
      <c r="NS3" s="2">
        <f t="shared" si="17"/>
        <v>1</v>
      </c>
      <c r="NT3" s="2">
        <f t="shared" si="17"/>
        <v>1</v>
      </c>
      <c r="NU3" s="2">
        <f t="shared" si="17"/>
        <v>1</v>
      </c>
      <c r="NV3" s="2">
        <f t="shared" si="17"/>
        <v>1</v>
      </c>
      <c r="NW3" s="2">
        <f t="shared" si="17"/>
        <v>1</v>
      </c>
      <c r="NX3" s="2">
        <f t="shared" si="17"/>
        <v>1</v>
      </c>
      <c r="NY3" s="2">
        <f t="shared" si="17"/>
        <v>1</v>
      </c>
      <c r="NZ3" s="2">
        <f t="shared" si="17"/>
        <v>1</v>
      </c>
      <c r="OA3" s="2">
        <f t="shared" ref="OA3:QL3" si="18">COUNT(OA2)</f>
        <v>1</v>
      </c>
      <c r="OB3" s="2">
        <f t="shared" si="18"/>
        <v>1</v>
      </c>
      <c r="OC3" s="2">
        <f t="shared" si="18"/>
        <v>1</v>
      </c>
      <c r="OD3" s="2">
        <f t="shared" si="18"/>
        <v>1</v>
      </c>
      <c r="OE3" s="2">
        <f t="shared" si="18"/>
        <v>1</v>
      </c>
      <c r="OF3" s="2">
        <f t="shared" si="18"/>
        <v>1</v>
      </c>
      <c r="OG3" s="2">
        <f t="shared" si="18"/>
        <v>1</v>
      </c>
      <c r="OH3" s="2">
        <f t="shared" si="18"/>
        <v>1</v>
      </c>
      <c r="OI3" s="2">
        <f t="shared" si="18"/>
        <v>1</v>
      </c>
      <c r="OJ3" s="2">
        <f t="shared" si="18"/>
        <v>1</v>
      </c>
      <c r="OK3" s="2">
        <f t="shared" si="18"/>
        <v>1</v>
      </c>
      <c r="OL3" s="2">
        <f t="shared" si="18"/>
        <v>1</v>
      </c>
      <c r="OM3" s="2">
        <f t="shared" si="18"/>
        <v>1</v>
      </c>
      <c r="ON3" s="2">
        <f t="shared" si="18"/>
        <v>1</v>
      </c>
      <c r="OO3" s="2">
        <f t="shared" si="18"/>
        <v>1</v>
      </c>
      <c r="OP3" s="2">
        <f t="shared" si="18"/>
        <v>1</v>
      </c>
      <c r="OQ3" s="2">
        <f t="shared" si="18"/>
        <v>1</v>
      </c>
      <c r="OR3" s="2">
        <f t="shared" si="18"/>
        <v>1</v>
      </c>
      <c r="OS3" s="2">
        <f t="shared" si="18"/>
        <v>1</v>
      </c>
      <c r="OT3" s="2">
        <f t="shared" si="18"/>
        <v>1</v>
      </c>
      <c r="OU3" s="2">
        <f t="shared" si="18"/>
        <v>1</v>
      </c>
      <c r="OV3" s="2">
        <f t="shared" si="18"/>
        <v>1</v>
      </c>
      <c r="OW3" s="2">
        <f t="shared" si="18"/>
        <v>1</v>
      </c>
      <c r="OX3" s="2">
        <f t="shared" si="18"/>
        <v>1</v>
      </c>
      <c r="OY3" s="2">
        <f t="shared" si="18"/>
        <v>1</v>
      </c>
      <c r="OZ3" s="2">
        <f t="shared" si="18"/>
        <v>1</v>
      </c>
      <c r="PA3" s="2">
        <f t="shared" si="18"/>
        <v>1</v>
      </c>
      <c r="PB3" s="2">
        <f t="shared" si="18"/>
        <v>1</v>
      </c>
      <c r="PC3" s="2">
        <f t="shared" si="18"/>
        <v>1</v>
      </c>
      <c r="PD3" s="2">
        <f t="shared" si="18"/>
        <v>1</v>
      </c>
      <c r="PE3" s="2">
        <f t="shared" si="18"/>
        <v>1</v>
      </c>
      <c r="PF3" s="2">
        <f t="shared" si="18"/>
        <v>1</v>
      </c>
      <c r="PG3" s="2">
        <f t="shared" si="18"/>
        <v>1</v>
      </c>
      <c r="PH3" s="2">
        <f t="shared" si="18"/>
        <v>1</v>
      </c>
      <c r="PI3" s="2">
        <f t="shared" si="18"/>
        <v>1</v>
      </c>
      <c r="PJ3" s="2">
        <f t="shared" si="18"/>
        <v>1</v>
      </c>
      <c r="PK3" s="2">
        <f t="shared" si="18"/>
        <v>1</v>
      </c>
      <c r="PL3" s="2">
        <f t="shared" si="18"/>
        <v>1</v>
      </c>
      <c r="PM3" s="2">
        <f t="shared" si="18"/>
        <v>1</v>
      </c>
      <c r="PN3" s="2">
        <f t="shared" si="18"/>
        <v>1</v>
      </c>
      <c r="PO3" s="2">
        <f t="shared" si="18"/>
        <v>1</v>
      </c>
      <c r="PP3" s="2">
        <f t="shared" si="18"/>
        <v>1</v>
      </c>
      <c r="PQ3" s="2">
        <f t="shared" si="18"/>
        <v>1</v>
      </c>
      <c r="PR3" s="2">
        <f t="shared" si="18"/>
        <v>1</v>
      </c>
      <c r="PS3" s="2">
        <f t="shared" si="18"/>
        <v>1</v>
      </c>
      <c r="PT3" s="2">
        <f t="shared" si="18"/>
        <v>1</v>
      </c>
      <c r="PU3" s="2">
        <f t="shared" si="18"/>
        <v>1</v>
      </c>
      <c r="PV3" s="2">
        <f t="shared" si="18"/>
        <v>1</v>
      </c>
      <c r="PW3" s="2">
        <f t="shared" si="18"/>
        <v>1</v>
      </c>
      <c r="PX3" s="2">
        <f t="shared" si="18"/>
        <v>1</v>
      </c>
      <c r="PY3" s="2">
        <f t="shared" si="18"/>
        <v>1</v>
      </c>
      <c r="PZ3" s="2">
        <f t="shared" si="18"/>
        <v>1</v>
      </c>
      <c r="QA3" s="2">
        <f t="shared" si="18"/>
        <v>1</v>
      </c>
      <c r="QB3" s="2">
        <f t="shared" si="18"/>
        <v>1</v>
      </c>
      <c r="QC3" s="2">
        <f t="shared" si="18"/>
        <v>1</v>
      </c>
      <c r="QD3" s="2">
        <f t="shared" si="18"/>
        <v>1</v>
      </c>
      <c r="QE3" s="2">
        <f t="shared" si="18"/>
        <v>1</v>
      </c>
      <c r="QF3" s="2">
        <f t="shared" si="18"/>
        <v>1</v>
      </c>
      <c r="QG3" s="2">
        <f t="shared" si="18"/>
        <v>1</v>
      </c>
      <c r="QH3" s="2">
        <f t="shared" si="18"/>
        <v>1</v>
      </c>
      <c r="QI3" s="2">
        <f t="shared" si="18"/>
        <v>1</v>
      </c>
      <c r="QJ3" s="2">
        <f t="shared" si="18"/>
        <v>1</v>
      </c>
      <c r="QK3" s="2">
        <f t="shared" si="18"/>
        <v>1</v>
      </c>
      <c r="QL3" s="2">
        <f t="shared" si="18"/>
        <v>1</v>
      </c>
      <c r="QM3" s="2">
        <f t="shared" ref="QM3:SX3" si="19">COUNT(QM2)</f>
        <v>1</v>
      </c>
      <c r="QN3" s="2">
        <f t="shared" si="19"/>
        <v>1</v>
      </c>
      <c r="QO3" s="2">
        <f t="shared" si="19"/>
        <v>1</v>
      </c>
      <c r="QP3" s="2">
        <f t="shared" si="19"/>
        <v>1</v>
      </c>
      <c r="QQ3" s="2">
        <f t="shared" si="19"/>
        <v>1</v>
      </c>
      <c r="QR3" s="2">
        <f t="shared" si="19"/>
        <v>1</v>
      </c>
      <c r="QS3" s="2">
        <f t="shared" si="19"/>
        <v>1</v>
      </c>
      <c r="QT3" s="2">
        <f t="shared" si="19"/>
        <v>1</v>
      </c>
      <c r="QU3" s="2">
        <f t="shared" si="19"/>
        <v>1</v>
      </c>
      <c r="QV3" s="2">
        <f t="shared" si="19"/>
        <v>1</v>
      </c>
      <c r="QW3" s="2">
        <f t="shared" si="19"/>
        <v>1</v>
      </c>
      <c r="QX3" s="2">
        <f t="shared" si="19"/>
        <v>1</v>
      </c>
      <c r="QY3" s="2">
        <f t="shared" si="19"/>
        <v>1</v>
      </c>
      <c r="QZ3" s="2">
        <f t="shared" si="19"/>
        <v>1</v>
      </c>
      <c r="RA3" s="2">
        <f t="shared" si="19"/>
        <v>1</v>
      </c>
      <c r="RB3" s="2">
        <f t="shared" si="19"/>
        <v>1</v>
      </c>
      <c r="RC3" s="2">
        <f t="shared" si="19"/>
        <v>1</v>
      </c>
      <c r="RD3" s="2">
        <f t="shared" si="19"/>
        <v>1</v>
      </c>
      <c r="RE3" s="2">
        <f t="shared" si="19"/>
        <v>1</v>
      </c>
      <c r="RF3" s="2">
        <f t="shared" si="19"/>
        <v>1</v>
      </c>
      <c r="RG3" s="2">
        <f t="shared" si="19"/>
        <v>1</v>
      </c>
      <c r="RH3" s="2">
        <f t="shared" si="19"/>
        <v>1</v>
      </c>
      <c r="RI3" s="2">
        <f t="shared" si="19"/>
        <v>1</v>
      </c>
      <c r="RJ3" s="2">
        <f t="shared" si="19"/>
        <v>1</v>
      </c>
      <c r="RK3" s="2">
        <f t="shared" si="19"/>
        <v>1</v>
      </c>
      <c r="RL3" s="2">
        <f t="shared" si="19"/>
        <v>1</v>
      </c>
      <c r="RM3" s="2">
        <f t="shared" si="19"/>
        <v>1</v>
      </c>
      <c r="RN3" s="2">
        <f t="shared" si="19"/>
        <v>1</v>
      </c>
      <c r="RO3" s="2">
        <f t="shared" si="19"/>
        <v>1</v>
      </c>
      <c r="RP3" s="2">
        <f t="shared" si="19"/>
        <v>1</v>
      </c>
      <c r="RQ3" s="2">
        <f t="shared" si="19"/>
        <v>1</v>
      </c>
      <c r="RR3" s="2">
        <f t="shared" si="19"/>
        <v>1</v>
      </c>
      <c r="RS3" s="2">
        <f t="shared" si="19"/>
        <v>1</v>
      </c>
      <c r="RT3" s="2">
        <f t="shared" si="19"/>
        <v>1</v>
      </c>
      <c r="RU3" s="2">
        <f t="shared" si="19"/>
        <v>1</v>
      </c>
      <c r="RV3" s="2">
        <f t="shared" si="19"/>
        <v>1</v>
      </c>
      <c r="RW3" s="2">
        <f t="shared" si="19"/>
        <v>1</v>
      </c>
      <c r="RX3" s="2">
        <f t="shared" si="19"/>
        <v>1</v>
      </c>
      <c r="RY3" s="2">
        <f t="shared" si="19"/>
        <v>1</v>
      </c>
      <c r="RZ3" s="2">
        <f t="shared" si="19"/>
        <v>1</v>
      </c>
      <c r="SA3" s="2">
        <f t="shared" si="19"/>
        <v>1</v>
      </c>
      <c r="SB3" s="2">
        <f t="shared" si="19"/>
        <v>1</v>
      </c>
      <c r="SC3" s="2">
        <f t="shared" si="19"/>
        <v>1</v>
      </c>
      <c r="SD3" s="2">
        <f t="shared" si="19"/>
        <v>1</v>
      </c>
      <c r="SE3" s="2">
        <f t="shared" si="19"/>
        <v>1</v>
      </c>
      <c r="SF3" s="2">
        <f t="shared" si="19"/>
        <v>1</v>
      </c>
      <c r="SG3" s="2">
        <f t="shared" si="19"/>
        <v>1</v>
      </c>
      <c r="SH3" s="2">
        <f t="shared" si="19"/>
        <v>1</v>
      </c>
      <c r="SI3" s="2">
        <f t="shared" si="19"/>
        <v>1</v>
      </c>
      <c r="SJ3" s="2">
        <f t="shared" si="19"/>
        <v>1</v>
      </c>
      <c r="SK3" s="2">
        <f t="shared" si="19"/>
        <v>1</v>
      </c>
      <c r="SL3" s="2">
        <f t="shared" si="19"/>
        <v>1</v>
      </c>
      <c r="SM3" s="2">
        <f t="shared" si="19"/>
        <v>1</v>
      </c>
      <c r="SN3" s="2">
        <f t="shared" si="19"/>
        <v>1</v>
      </c>
      <c r="SO3" s="2">
        <f t="shared" si="19"/>
        <v>1</v>
      </c>
      <c r="SP3" s="2">
        <f t="shared" si="19"/>
        <v>1</v>
      </c>
      <c r="SQ3" s="2">
        <f t="shared" si="19"/>
        <v>1</v>
      </c>
      <c r="SR3" s="2">
        <f t="shared" si="19"/>
        <v>1</v>
      </c>
      <c r="SS3" s="2">
        <f t="shared" si="19"/>
        <v>1</v>
      </c>
      <c r="ST3" s="2">
        <f t="shared" si="19"/>
        <v>1</v>
      </c>
      <c r="SU3" s="2">
        <f t="shared" si="19"/>
        <v>1</v>
      </c>
      <c r="SV3" s="2">
        <f t="shared" si="19"/>
        <v>1</v>
      </c>
      <c r="SW3" s="2">
        <f t="shared" si="19"/>
        <v>1</v>
      </c>
      <c r="SX3" s="2">
        <f t="shared" si="19"/>
        <v>1</v>
      </c>
      <c r="SY3" s="2">
        <f t="shared" ref="SY3:VJ3" si="20">COUNT(SY2)</f>
        <v>1</v>
      </c>
      <c r="SZ3" s="2">
        <f t="shared" si="20"/>
        <v>1</v>
      </c>
      <c r="TA3" s="2">
        <f t="shared" si="20"/>
        <v>1</v>
      </c>
      <c r="TB3" s="2">
        <f t="shared" si="20"/>
        <v>1</v>
      </c>
      <c r="TC3" s="2">
        <f t="shared" si="20"/>
        <v>1</v>
      </c>
      <c r="TD3" s="2">
        <f t="shared" si="20"/>
        <v>1</v>
      </c>
      <c r="TE3" s="2">
        <f t="shared" si="20"/>
        <v>1</v>
      </c>
      <c r="TF3" s="2">
        <f t="shared" si="20"/>
        <v>1</v>
      </c>
      <c r="TG3" s="2">
        <f t="shared" si="20"/>
        <v>1</v>
      </c>
      <c r="TH3" s="2">
        <f t="shared" si="20"/>
        <v>1</v>
      </c>
      <c r="TI3" s="2">
        <f t="shared" si="20"/>
        <v>1</v>
      </c>
      <c r="TJ3" s="2">
        <f t="shared" si="20"/>
        <v>1</v>
      </c>
      <c r="TK3" s="2">
        <f t="shared" si="20"/>
        <v>1</v>
      </c>
      <c r="TL3" s="2">
        <f t="shared" si="20"/>
        <v>1</v>
      </c>
      <c r="TM3" s="2">
        <f t="shared" si="20"/>
        <v>1</v>
      </c>
      <c r="TN3" s="2">
        <f t="shared" si="20"/>
        <v>1</v>
      </c>
      <c r="TO3" s="2">
        <f t="shared" si="20"/>
        <v>1</v>
      </c>
      <c r="TP3" s="2">
        <f t="shared" si="20"/>
        <v>1</v>
      </c>
      <c r="TQ3" s="2">
        <f t="shared" si="20"/>
        <v>1</v>
      </c>
      <c r="TR3" s="2">
        <f t="shared" si="20"/>
        <v>1</v>
      </c>
      <c r="TS3" s="2">
        <f t="shared" si="20"/>
        <v>1</v>
      </c>
      <c r="TT3" s="2">
        <f t="shared" si="20"/>
        <v>1</v>
      </c>
      <c r="TU3" s="2">
        <f t="shared" si="20"/>
        <v>1</v>
      </c>
      <c r="TV3" s="2">
        <f t="shared" si="20"/>
        <v>1</v>
      </c>
      <c r="TW3" s="2">
        <f t="shared" si="20"/>
        <v>1</v>
      </c>
      <c r="TX3" s="2">
        <f t="shared" si="20"/>
        <v>1</v>
      </c>
      <c r="TY3" s="2">
        <f t="shared" si="20"/>
        <v>1</v>
      </c>
      <c r="TZ3" s="2">
        <f t="shared" si="20"/>
        <v>1</v>
      </c>
      <c r="UA3" s="2">
        <f t="shared" si="20"/>
        <v>1</v>
      </c>
      <c r="UB3" s="2">
        <f t="shared" si="20"/>
        <v>1</v>
      </c>
      <c r="UC3" s="2">
        <f t="shared" si="20"/>
        <v>1</v>
      </c>
      <c r="UD3" s="2">
        <f t="shared" si="20"/>
        <v>1</v>
      </c>
      <c r="UE3" s="2">
        <f t="shared" si="20"/>
        <v>1</v>
      </c>
      <c r="UF3" s="2">
        <f t="shared" si="20"/>
        <v>1</v>
      </c>
      <c r="UG3" s="2">
        <f t="shared" si="20"/>
        <v>1</v>
      </c>
      <c r="UH3" s="2">
        <f t="shared" si="20"/>
        <v>1</v>
      </c>
      <c r="UI3" s="2">
        <f t="shared" si="20"/>
        <v>1</v>
      </c>
      <c r="UJ3" s="2">
        <f t="shared" si="20"/>
        <v>1</v>
      </c>
      <c r="UK3" s="2">
        <f t="shared" si="20"/>
        <v>1</v>
      </c>
      <c r="UL3" s="2">
        <f t="shared" si="20"/>
        <v>1</v>
      </c>
      <c r="UM3" s="2">
        <f t="shared" si="20"/>
        <v>1</v>
      </c>
      <c r="UN3" s="2">
        <f t="shared" si="20"/>
        <v>1</v>
      </c>
      <c r="UO3" s="2">
        <f t="shared" si="20"/>
        <v>1</v>
      </c>
      <c r="UP3" s="2">
        <f t="shared" si="20"/>
        <v>1</v>
      </c>
      <c r="UQ3" s="2">
        <f t="shared" si="20"/>
        <v>1</v>
      </c>
      <c r="UR3" s="2">
        <f t="shared" si="20"/>
        <v>1</v>
      </c>
      <c r="US3" s="2">
        <f t="shared" si="20"/>
        <v>1</v>
      </c>
      <c r="UT3" s="2">
        <f t="shared" si="20"/>
        <v>1</v>
      </c>
      <c r="UU3" s="2">
        <f t="shared" si="20"/>
        <v>1</v>
      </c>
      <c r="UV3" s="2">
        <f t="shared" si="20"/>
        <v>1</v>
      </c>
      <c r="UW3" s="2">
        <f t="shared" si="20"/>
        <v>1</v>
      </c>
      <c r="UX3" s="2">
        <f t="shared" si="20"/>
        <v>1</v>
      </c>
      <c r="UY3" s="2">
        <f t="shared" si="20"/>
        <v>1</v>
      </c>
      <c r="UZ3" s="2">
        <f t="shared" si="20"/>
        <v>1</v>
      </c>
      <c r="VA3" s="2">
        <f t="shared" si="20"/>
        <v>1</v>
      </c>
      <c r="VB3" s="2">
        <f t="shared" si="20"/>
        <v>1</v>
      </c>
      <c r="VC3" s="2">
        <f t="shared" si="20"/>
        <v>1</v>
      </c>
      <c r="VD3" s="2">
        <f t="shared" si="20"/>
        <v>1</v>
      </c>
      <c r="VE3" s="2">
        <f t="shared" si="20"/>
        <v>1</v>
      </c>
      <c r="VF3" s="2">
        <f t="shared" si="20"/>
        <v>1</v>
      </c>
      <c r="VG3" s="2">
        <f t="shared" si="20"/>
        <v>1</v>
      </c>
      <c r="VH3" s="2">
        <f t="shared" si="20"/>
        <v>1</v>
      </c>
      <c r="VI3" s="2">
        <f t="shared" si="20"/>
        <v>1</v>
      </c>
      <c r="VJ3" s="2">
        <f t="shared" si="20"/>
        <v>1</v>
      </c>
      <c r="VK3" s="2">
        <f t="shared" ref="VK3:XV3" si="21">COUNT(VK2)</f>
        <v>1</v>
      </c>
      <c r="VL3" s="2">
        <f t="shared" si="21"/>
        <v>1</v>
      </c>
      <c r="VM3" s="2">
        <f t="shared" si="21"/>
        <v>1</v>
      </c>
      <c r="VN3" s="2">
        <f t="shared" si="21"/>
        <v>1</v>
      </c>
      <c r="VO3" s="2">
        <f t="shared" si="21"/>
        <v>1</v>
      </c>
      <c r="VP3" s="2">
        <f t="shared" si="21"/>
        <v>1</v>
      </c>
      <c r="VQ3" s="2">
        <f t="shared" si="21"/>
        <v>1</v>
      </c>
      <c r="VR3" s="2">
        <f t="shared" si="21"/>
        <v>1</v>
      </c>
      <c r="VS3" s="2">
        <f t="shared" si="21"/>
        <v>1</v>
      </c>
      <c r="VT3" s="2">
        <f t="shared" si="21"/>
        <v>1</v>
      </c>
      <c r="VU3" s="2">
        <f t="shared" si="21"/>
        <v>1</v>
      </c>
      <c r="VV3" s="2">
        <f t="shared" si="21"/>
        <v>1</v>
      </c>
      <c r="VW3" s="2">
        <f t="shared" si="21"/>
        <v>1</v>
      </c>
      <c r="VX3" s="2">
        <f t="shared" si="21"/>
        <v>1</v>
      </c>
      <c r="VY3" s="2">
        <f t="shared" si="21"/>
        <v>1</v>
      </c>
      <c r="VZ3" s="2">
        <f t="shared" si="21"/>
        <v>1</v>
      </c>
      <c r="WA3" s="2">
        <f t="shared" si="21"/>
        <v>1</v>
      </c>
      <c r="WB3" s="2">
        <f t="shared" si="21"/>
        <v>1</v>
      </c>
      <c r="WC3" s="2">
        <f t="shared" si="21"/>
        <v>1</v>
      </c>
      <c r="WD3" s="2">
        <f t="shared" si="21"/>
        <v>1</v>
      </c>
      <c r="WE3" s="2">
        <f t="shared" si="21"/>
        <v>1</v>
      </c>
      <c r="WF3" s="2">
        <f t="shared" si="21"/>
        <v>1</v>
      </c>
      <c r="WG3" s="2">
        <f t="shared" si="21"/>
        <v>1</v>
      </c>
      <c r="WH3" s="2">
        <f t="shared" si="21"/>
        <v>1</v>
      </c>
      <c r="WI3" s="2">
        <f t="shared" si="21"/>
        <v>1</v>
      </c>
      <c r="WJ3" s="2">
        <f t="shared" si="21"/>
        <v>1</v>
      </c>
      <c r="WK3" s="2">
        <f t="shared" si="21"/>
        <v>1</v>
      </c>
      <c r="WL3" s="2">
        <f t="shared" si="21"/>
        <v>1</v>
      </c>
      <c r="WM3" s="2">
        <f t="shared" si="21"/>
        <v>1</v>
      </c>
      <c r="WN3" s="2">
        <f t="shared" si="21"/>
        <v>1</v>
      </c>
      <c r="WO3" s="2">
        <f t="shared" si="21"/>
        <v>1</v>
      </c>
      <c r="WP3" s="2">
        <f t="shared" si="21"/>
        <v>1</v>
      </c>
      <c r="WQ3" s="2">
        <f t="shared" si="21"/>
        <v>1</v>
      </c>
      <c r="WR3" s="2">
        <f t="shared" si="21"/>
        <v>1</v>
      </c>
      <c r="WS3" s="2">
        <f t="shared" si="21"/>
        <v>1</v>
      </c>
      <c r="WT3" s="2">
        <f t="shared" si="21"/>
        <v>1</v>
      </c>
      <c r="WU3" s="2">
        <f t="shared" si="21"/>
        <v>1</v>
      </c>
      <c r="WV3" s="2">
        <f t="shared" si="21"/>
        <v>1</v>
      </c>
      <c r="WW3" s="2">
        <f t="shared" si="21"/>
        <v>1</v>
      </c>
      <c r="WX3" s="2">
        <f t="shared" si="21"/>
        <v>1</v>
      </c>
      <c r="WY3" s="2">
        <f t="shared" si="21"/>
        <v>1</v>
      </c>
      <c r="WZ3" s="2">
        <f t="shared" si="21"/>
        <v>1</v>
      </c>
      <c r="XA3" s="2">
        <f t="shared" si="21"/>
        <v>1</v>
      </c>
      <c r="XB3" s="2">
        <f t="shared" si="21"/>
        <v>1</v>
      </c>
      <c r="XC3" s="2">
        <f t="shared" si="21"/>
        <v>1</v>
      </c>
      <c r="XD3" s="2">
        <f t="shared" si="21"/>
        <v>1</v>
      </c>
      <c r="XE3" s="2">
        <f t="shared" si="21"/>
        <v>1</v>
      </c>
      <c r="XF3" s="2">
        <f t="shared" si="21"/>
        <v>1</v>
      </c>
      <c r="XG3" s="2">
        <f t="shared" si="21"/>
        <v>1</v>
      </c>
      <c r="XH3" s="2">
        <f t="shared" si="21"/>
        <v>1</v>
      </c>
      <c r="XI3" s="2">
        <f t="shared" si="21"/>
        <v>1</v>
      </c>
      <c r="XJ3" s="2">
        <f t="shared" si="21"/>
        <v>1</v>
      </c>
      <c r="XK3" s="2">
        <f t="shared" si="21"/>
        <v>1</v>
      </c>
      <c r="XL3" s="2">
        <f t="shared" si="21"/>
        <v>1</v>
      </c>
      <c r="XM3" s="2">
        <f t="shared" si="21"/>
        <v>1</v>
      </c>
      <c r="XN3" s="2">
        <f t="shared" si="21"/>
        <v>1</v>
      </c>
      <c r="XO3" s="2">
        <f t="shared" si="21"/>
        <v>1</v>
      </c>
      <c r="XP3" s="2">
        <f t="shared" si="21"/>
        <v>1</v>
      </c>
      <c r="XQ3" s="2">
        <f t="shared" si="21"/>
        <v>1</v>
      </c>
      <c r="XR3" s="2">
        <f t="shared" si="21"/>
        <v>1</v>
      </c>
      <c r="XS3" s="2">
        <f t="shared" si="21"/>
        <v>1</v>
      </c>
      <c r="XT3" s="2">
        <f t="shared" si="21"/>
        <v>1</v>
      </c>
      <c r="XU3" s="2">
        <f t="shared" si="21"/>
        <v>1</v>
      </c>
      <c r="XV3" s="2">
        <f t="shared" si="21"/>
        <v>1</v>
      </c>
      <c r="XW3" s="2">
        <f t="shared" ref="XW3:AAH3" si="22">COUNT(XW2)</f>
        <v>1</v>
      </c>
      <c r="XX3" s="2">
        <f t="shared" si="22"/>
        <v>1</v>
      </c>
      <c r="XY3" s="2">
        <f t="shared" si="22"/>
        <v>1</v>
      </c>
      <c r="XZ3" s="2">
        <f t="shared" si="22"/>
        <v>1</v>
      </c>
      <c r="YA3" s="2">
        <f t="shared" si="22"/>
        <v>1</v>
      </c>
      <c r="YB3" s="2">
        <f t="shared" si="22"/>
        <v>1</v>
      </c>
      <c r="YC3" s="2">
        <f t="shared" si="22"/>
        <v>1</v>
      </c>
      <c r="YD3" s="2">
        <f t="shared" si="22"/>
        <v>1</v>
      </c>
      <c r="YE3" s="2">
        <f t="shared" si="22"/>
        <v>1</v>
      </c>
      <c r="YF3" s="2">
        <f t="shared" si="22"/>
        <v>1</v>
      </c>
      <c r="YG3" s="2">
        <f t="shared" si="22"/>
        <v>1</v>
      </c>
      <c r="YH3" s="2">
        <f t="shared" si="22"/>
        <v>1</v>
      </c>
      <c r="YI3" s="2">
        <f t="shared" si="22"/>
        <v>1</v>
      </c>
      <c r="YJ3" s="2">
        <f t="shared" si="22"/>
        <v>1</v>
      </c>
      <c r="YK3" s="2">
        <f t="shared" si="22"/>
        <v>1</v>
      </c>
      <c r="YL3" s="2">
        <f t="shared" si="22"/>
        <v>1</v>
      </c>
      <c r="YM3" s="2">
        <f t="shared" si="22"/>
        <v>1</v>
      </c>
      <c r="YN3" s="2">
        <f t="shared" si="22"/>
        <v>1</v>
      </c>
      <c r="YO3" s="2">
        <f t="shared" si="22"/>
        <v>1</v>
      </c>
      <c r="YP3" s="2">
        <f t="shared" si="22"/>
        <v>1</v>
      </c>
      <c r="YQ3" s="2">
        <f t="shared" si="22"/>
        <v>1</v>
      </c>
      <c r="YR3" s="2">
        <f t="shared" si="22"/>
        <v>1</v>
      </c>
      <c r="YS3" s="2">
        <f t="shared" si="22"/>
        <v>1</v>
      </c>
      <c r="YT3" s="2">
        <f t="shared" si="22"/>
        <v>1</v>
      </c>
      <c r="YU3" s="2">
        <f t="shared" si="22"/>
        <v>1</v>
      </c>
      <c r="YV3" s="2">
        <f t="shared" si="22"/>
        <v>1</v>
      </c>
      <c r="YW3" s="2">
        <f t="shared" si="22"/>
        <v>1</v>
      </c>
      <c r="YX3" s="2">
        <f t="shared" si="22"/>
        <v>1</v>
      </c>
      <c r="YY3" s="2">
        <f t="shared" si="22"/>
        <v>1</v>
      </c>
      <c r="YZ3" s="2">
        <f t="shared" si="22"/>
        <v>1</v>
      </c>
      <c r="ZA3" s="2">
        <f t="shared" si="22"/>
        <v>1</v>
      </c>
      <c r="ZB3" s="2">
        <f t="shared" si="22"/>
        <v>1</v>
      </c>
      <c r="ZC3" s="2">
        <f t="shared" si="22"/>
        <v>1</v>
      </c>
      <c r="ZD3" s="2">
        <f t="shared" si="22"/>
        <v>1</v>
      </c>
      <c r="ZE3" s="2">
        <f t="shared" si="22"/>
        <v>1</v>
      </c>
      <c r="ZF3" s="2">
        <f t="shared" si="22"/>
        <v>1</v>
      </c>
      <c r="ZG3" s="2">
        <f t="shared" si="22"/>
        <v>1</v>
      </c>
      <c r="ZH3" s="2">
        <f t="shared" si="22"/>
        <v>1</v>
      </c>
      <c r="ZI3" s="2">
        <f t="shared" si="22"/>
        <v>1</v>
      </c>
      <c r="ZJ3" s="2">
        <f t="shared" si="22"/>
        <v>1</v>
      </c>
      <c r="ZK3" s="2">
        <f t="shared" si="22"/>
        <v>1</v>
      </c>
      <c r="ZL3" s="2">
        <f t="shared" si="22"/>
        <v>1</v>
      </c>
      <c r="ZM3" s="2">
        <f t="shared" si="22"/>
        <v>1</v>
      </c>
      <c r="ZN3" s="2">
        <f t="shared" si="22"/>
        <v>1</v>
      </c>
      <c r="ZO3" s="2">
        <f t="shared" si="22"/>
        <v>1</v>
      </c>
      <c r="ZP3" s="2">
        <f t="shared" si="22"/>
        <v>1</v>
      </c>
      <c r="ZQ3" s="2">
        <f t="shared" si="22"/>
        <v>1</v>
      </c>
      <c r="ZR3" s="2">
        <f t="shared" si="22"/>
        <v>1</v>
      </c>
      <c r="ZS3" s="2">
        <f t="shared" si="22"/>
        <v>1</v>
      </c>
      <c r="ZT3" s="2">
        <f t="shared" si="22"/>
        <v>1</v>
      </c>
      <c r="ZU3" s="2">
        <f t="shared" si="22"/>
        <v>1</v>
      </c>
      <c r="ZV3" s="2">
        <f t="shared" si="22"/>
        <v>1</v>
      </c>
      <c r="ZW3" s="2">
        <f t="shared" si="22"/>
        <v>1</v>
      </c>
      <c r="ZX3" s="2">
        <f t="shared" si="22"/>
        <v>1</v>
      </c>
      <c r="ZY3" s="2">
        <f t="shared" si="22"/>
        <v>1</v>
      </c>
      <c r="ZZ3" s="2">
        <f t="shared" si="22"/>
        <v>1</v>
      </c>
      <c r="AAA3" s="2">
        <f t="shared" si="22"/>
        <v>1</v>
      </c>
      <c r="AAB3" s="2">
        <f t="shared" si="22"/>
        <v>1</v>
      </c>
      <c r="AAC3" s="2">
        <f t="shared" si="22"/>
        <v>1</v>
      </c>
      <c r="AAD3" s="2">
        <f t="shared" si="22"/>
        <v>1</v>
      </c>
      <c r="AAE3" s="2">
        <f t="shared" si="22"/>
        <v>1</v>
      </c>
      <c r="AAF3" s="2">
        <f t="shared" si="22"/>
        <v>1</v>
      </c>
      <c r="AAG3" s="2">
        <f t="shared" si="22"/>
        <v>1</v>
      </c>
      <c r="AAH3" s="2">
        <f t="shared" si="22"/>
        <v>1</v>
      </c>
      <c r="AAI3" s="2">
        <f t="shared" ref="AAI3:ABI3" si="23">COUNT(AAI2)</f>
        <v>1</v>
      </c>
      <c r="AAJ3" s="2">
        <f t="shared" si="23"/>
        <v>1</v>
      </c>
      <c r="AAK3" s="2">
        <f t="shared" si="23"/>
        <v>1</v>
      </c>
      <c r="AAL3" s="2">
        <f t="shared" si="23"/>
        <v>1</v>
      </c>
      <c r="AAM3" s="2">
        <f t="shared" si="23"/>
        <v>1</v>
      </c>
      <c r="AAN3" s="2">
        <f t="shared" si="23"/>
        <v>1</v>
      </c>
      <c r="AAO3" s="2">
        <f t="shared" si="23"/>
        <v>1</v>
      </c>
      <c r="AAP3" s="2">
        <f t="shared" si="23"/>
        <v>1</v>
      </c>
      <c r="AAQ3" s="2">
        <f t="shared" si="23"/>
        <v>1</v>
      </c>
      <c r="AAR3" s="2">
        <f t="shared" si="23"/>
        <v>1</v>
      </c>
      <c r="AAS3" s="2">
        <f t="shared" si="23"/>
        <v>1</v>
      </c>
      <c r="AAT3" s="2">
        <f t="shared" si="23"/>
        <v>1</v>
      </c>
      <c r="AAU3" s="2">
        <f t="shared" si="23"/>
        <v>1</v>
      </c>
      <c r="AAV3" s="2">
        <f t="shared" si="23"/>
        <v>1</v>
      </c>
      <c r="AAW3" s="2">
        <f t="shared" si="23"/>
        <v>1</v>
      </c>
      <c r="AAX3" s="2">
        <f t="shared" si="23"/>
        <v>1</v>
      </c>
      <c r="AAY3" s="2">
        <f t="shared" si="23"/>
        <v>1</v>
      </c>
      <c r="AAZ3" s="2">
        <f t="shared" si="23"/>
        <v>1</v>
      </c>
      <c r="ABA3" s="2">
        <f t="shared" si="23"/>
        <v>1</v>
      </c>
      <c r="ABB3" s="2">
        <f t="shared" si="23"/>
        <v>1</v>
      </c>
      <c r="ABC3" s="2">
        <f t="shared" si="23"/>
        <v>1</v>
      </c>
      <c r="ABD3" s="2">
        <f t="shared" si="23"/>
        <v>1</v>
      </c>
      <c r="ABE3" s="2">
        <f t="shared" si="23"/>
        <v>1</v>
      </c>
      <c r="ABF3" s="2">
        <f t="shared" si="23"/>
        <v>1</v>
      </c>
      <c r="ABG3" s="2">
        <f t="shared" si="23"/>
        <v>1</v>
      </c>
      <c r="ABH3" s="2">
        <f t="shared" si="23"/>
        <v>1</v>
      </c>
      <c r="ABI3" s="2">
        <f t="shared" si="23"/>
        <v>1</v>
      </c>
    </row>
    <row r="4" spans="4:737" ht="12.95" hidden="1" customHeight="1" x14ac:dyDescent="0.25">
      <c r="F4" s="2">
        <f>IF(F3=1,IF(F23=E23,E3,E3+1))</f>
        <v>1</v>
      </c>
      <c r="G4" s="2">
        <f>IF(G3=1,IF(G23=F23,F3,F3+1))</f>
        <v>1</v>
      </c>
      <c r="H4" s="2">
        <f>IF(H3=1,IF(H23=G23,G3,G3+1))</f>
        <v>1</v>
      </c>
      <c r="I4" s="2">
        <f>IF(I3=1,IF(I23=H23,H4,H4+1))</f>
        <v>1</v>
      </c>
      <c r="J4" s="2">
        <f t="shared" ref="J4:BU4" si="24">IF(J3=1,IF(J23=I23,I4,I4+1))</f>
        <v>1</v>
      </c>
      <c r="K4" s="2">
        <f t="shared" si="24"/>
        <v>1</v>
      </c>
      <c r="L4" s="2">
        <f t="shared" si="24"/>
        <v>1</v>
      </c>
      <c r="M4" s="2">
        <f t="shared" si="24"/>
        <v>1</v>
      </c>
      <c r="N4" s="2">
        <f t="shared" si="24"/>
        <v>1</v>
      </c>
      <c r="O4" s="2">
        <f t="shared" si="24"/>
        <v>1</v>
      </c>
      <c r="P4" s="2">
        <f t="shared" si="24"/>
        <v>1</v>
      </c>
      <c r="Q4" s="2">
        <f t="shared" si="24"/>
        <v>1</v>
      </c>
      <c r="R4" s="2">
        <f t="shared" si="24"/>
        <v>1</v>
      </c>
      <c r="S4" s="2">
        <f t="shared" si="24"/>
        <v>1</v>
      </c>
      <c r="T4" s="2">
        <f t="shared" si="24"/>
        <v>1</v>
      </c>
      <c r="U4" s="2">
        <f t="shared" si="24"/>
        <v>1</v>
      </c>
      <c r="V4" s="2">
        <f t="shared" si="24"/>
        <v>1</v>
      </c>
      <c r="W4" s="2">
        <f t="shared" si="24"/>
        <v>1</v>
      </c>
      <c r="X4" s="2">
        <f t="shared" si="24"/>
        <v>1</v>
      </c>
      <c r="Y4" s="2">
        <f t="shared" si="24"/>
        <v>1</v>
      </c>
      <c r="Z4" s="2">
        <f t="shared" si="24"/>
        <v>1</v>
      </c>
      <c r="AA4" s="2">
        <f t="shared" si="24"/>
        <v>1</v>
      </c>
      <c r="AB4" s="2">
        <f t="shared" si="24"/>
        <v>1</v>
      </c>
      <c r="AC4" s="2">
        <f t="shared" si="24"/>
        <v>1</v>
      </c>
      <c r="AD4" s="2">
        <f t="shared" si="24"/>
        <v>1</v>
      </c>
      <c r="AE4" s="2">
        <f t="shared" si="24"/>
        <v>1</v>
      </c>
      <c r="AF4" s="2">
        <f t="shared" si="24"/>
        <v>1</v>
      </c>
      <c r="AG4" s="2">
        <f t="shared" si="24"/>
        <v>1</v>
      </c>
      <c r="AH4" s="2">
        <f t="shared" si="24"/>
        <v>2</v>
      </c>
      <c r="AI4" s="2">
        <f t="shared" si="24"/>
        <v>2</v>
      </c>
      <c r="AJ4" s="2">
        <f t="shared" si="24"/>
        <v>2</v>
      </c>
      <c r="AK4" s="4">
        <f t="shared" si="24"/>
        <v>2</v>
      </c>
      <c r="AL4" s="2">
        <f t="shared" si="24"/>
        <v>2</v>
      </c>
      <c r="AM4" s="2">
        <f t="shared" si="24"/>
        <v>2</v>
      </c>
      <c r="AN4" s="2">
        <f t="shared" si="24"/>
        <v>2</v>
      </c>
      <c r="AO4" s="2">
        <f t="shared" si="24"/>
        <v>2</v>
      </c>
      <c r="AP4" s="2">
        <f t="shared" si="24"/>
        <v>2</v>
      </c>
      <c r="AQ4" s="2">
        <f t="shared" si="24"/>
        <v>2</v>
      </c>
      <c r="AR4" s="2">
        <f t="shared" si="24"/>
        <v>2</v>
      </c>
      <c r="AS4" s="2">
        <f t="shared" si="24"/>
        <v>2</v>
      </c>
      <c r="AT4" s="2">
        <f t="shared" si="24"/>
        <v>2</v>
      </c>
      <c r="AU4" s="2">
        <f t="shared" si="24"/>
        <v>2</v>
      </c>
      <c r="AV4" s="2">
        <f t="shared" si="24"/>
        <v>2</v>
      </c>
      <c r="AW4" s="2">
        <f t="shared" si="24"/>
        <v>2</v>
      </c>
      <c r="AX4" s="2">
        <f t="shared" si="24"/>
        <v>2</v>
      </c>
      <c r="AY4" s="2">
        <f t="shared" si="24"/>
        <v>2</v>
      </c>
      <c r="AZ4" s="2">
        <f t="shared" si="24"/>
        <v>2</v>
      </c>
      <c r="BA4" s="2">
        <f t="shared" si="24"/>
        <v>2</v>
      </c>
      <c r="BB4" s="2">
        <f t="shared" si="24"/>
        <v>2</v>
      </c>
      <c r="BC4" s="2">
        <f t="shared" si="24"/>
        <v>2</v>
      </c>
      <c r="BD4" s="2">
        <f t="shared" si="24"/>
        <v>2</v>
      </c>
      <c r="BE4" s="2">
        <f t="shared" si="24"/>
        <v>2</v>
      </c>
      <c r="BF4" s="2">
        <f t="shared" si="24"/>
        <v>2</v>
      </c>
      <c r="BG4" s="2">
        <f t="shared" si="24"/>
        <v>2</v>
      </c>
      <c r="BH4" s="2">
        <f t="shared" si="24"/>
        <v>2</v>
      </c>
      <c r="BI4" s="2">
        <f t="shared" si="24"/>
        <v>2</v>
      </c>
      <c r="BJ4" s="2">
        <f t="shared" si="24"/>
        <v>2</v>
      </c>
      <c r="BK4" s="2">
        <f t="shared" si="24"/>
        <v>2</v>
      </c>
      <c r="BL4" s="2">
        <f t="shared" si="24"/>
        <v>3</v>
      </c>
      <c r="BM4" s="2">
        <f t="shared" si="24"/>
        <v>3</v>
      </c>
      <c r="BN4" s="2">
        <f t="shared" si="24"/>
        <v>3</v>
      </c>
      <c r="BO4" s="2">
        <f t="shared" si="24"/>
        <v>3</v>
      </c>
      <c r="BP4" s="2">
        <f t="shared" si="24"/>
        <v>3</v>
      </c>
      <c r="BQ4" s="2">
        <f t="shared" si="24"/>
        <v>3</v>
      </c>
      <c r="BR4" s="2">
        <f t="shared" si="24"/>
        <v>3</v>
      </c>
      <c r="BS4" s="2">
        <f t="shared" si="24"/>
        <v>3</v>
      </c>
      <c r="BT4" s="2">
        <f t="shared" si="24"/>
        <v>3</v>
      </c>
      <c r="BU4" s="2">
        <f t="shared" si="24"/>
        <v>3</v>
      </c>
      <c r="BV4" s="2">
        <f t="shared" ref="BV4:EG4" si="25">IF(BV3=1,IF(BV23=BU23,BU4,BU4+1))</f>
        <v>3</v>
      </c>
      <c r="BW4" s="2">
        <f t="shared" si="25"/>
        <v>3</v>
      </c>
      <c r="BX4" s="2">
        <f t="shared" si="25"/>
        <v>3</v>
      </c>
      <c r="BY4" s="2">
        <f t="shared" si="25"/>
        <v>3</v>
      </c>
      <c r="BZ4" s="2">
        <f t="shared" si="25"/>
        <v>3</v>
      </c>
      <c r="CA4" s="2">
        <f t="shared" si="25"/>
        <v>3</v>
      </c>
      <c r="CB4" s="2">
        <f t="shared" si="25"/>
        <v>3</v>
      </c>
      <c r="CC4" s="2">
        <f t="shared" si="25"/>
        <v>3</v>
      </c>
      <c r="CD4" s="2">
        <f t="shared" si="25"/>
        <v>3</v>
      </c>
      <c r="CE4" s="2">
        <f t="shared" si="25"/>
        <v>3</v>
      </c>
      <c r="CF4" s="2">
        <f t="shared" si="25"/>
        <v>3</v>
      </c>
      <c r="CG4" s="2">
        <f t="shared" si="25"/>
        <v>3</v>
      </c>
      <c r="CH4" s="2">
        <f t="shared" si="25"/>
        <v>3</v>
      </c>
      <c r="CI4" s="2">
        <f t="shared" si="25"/>
        <v>3</v>
      </c>
      <c r="CJ4" s="2">
        <f t="shared" si="25"/>
        <v>3</v>
      </c>
      <c r="CK4" s="2">
        <f t="shared" si="25"/>
        <v>3</v>
      </c>
      <c r="CL4" s="2">
        <f t="shared" si="25"/>
        <v>3</v>
      </c>
      <c r="CM4" s="2">
        <f t="shared" si="25"/>
        <v>3</v>
      </c>
      <c r="CN4" s="2">
        <f t="shared" si="25"/>
        <v>3</v>
      </c>
      <c r="CO4" s="2">
        <f t="shared" si="25"/>
        <v>3</v>
      </c>
      <c r="CP4" s="2">
        <f t="shared" si="25"/>
        <v>3</v>
      </c>
      <c r="CQ4" s="2">
        <f t="shared" si="25"/>
        <v>4</v>
      </c>
      <c r="CR4" s="2">
        <f t="shared" si="25"/>
        <v>4</v>
      </c>
      <c r="CS4" s="2">
        <f t="shared" si="25"/>
        <v>4</v>
      </c>
      <c r="CT4" s="2">
        <f t="shared" si="25"/>
        <v>4</v>
      </c>
      <c r="CU4" s="2">
        <f t="shared" si="25"/>
        <v>4</v>
      </c>
      <c r="CV4" s="2">
        <f t="shared" si="25"/>
        <v>4</v>
      </c>
      <c r="CW4" s="2">
        <f t="shared" si="25"/>
        <v>4</v>
      </c>
      <c r="CX4" s="2">
        <f t="shared" si="25"/>
        <v>4</v>
      </c>
      <c r="CY4" s="2">
        <f t="shared" si="25"/>
        <v>4</v>
      </c>
      <c r="CZ4" s="2">
        <f t="shared" si="25"/>
        <v>4</v>
      </c>
      <c r="DA4" s="2">
        <f t="shared" si="25"/>
        <v>4</v>
      </c>
      <c r="DB4" s="2">
        <f t="shared" si="25"/>
        <v>4</v>
      </c>
      <c r="DC4" s="2">
        <f t="shared" si="25"/>
        <v>4</v>
      </c>
      <c r="DD4" s="2">
        <f t="shared" si="25"/>
        <v>4</v>
      </c>
      <c r="DE4" s="2">
        <f t="shared" si="25"/>
        <v>4</v>
      </c>
      <c r="DF4" s="2">
        <f t="shared" si="25"/>
        <v>4</v>
      </c>
      <c r="DG4" s="2">
        <f t="shared" si="25"/>
        <v>4</v>
      </c>
      <c r="DH4" s="2">
        <f t="shared" si="25"/>
        <v>4</v>
      </c>
      <c r="DI4" s="2">
        <f t="shared" si="25"/>
        <v>4</v>
      </c>
      <c r="DJ4" s="2">
        <f t="shared" si="25"/>
        <v>4</v>
      </c>
      <c r="DK4" s="2">
        <f t="shared" si="25"/>
        <v>4</v>
      </c>
      <c r="DL4" s="2">
        <f t="shared" si="25"/>
        <v>4</v>
      </c>
      <c r="DM4" s="2">
        <f t="shared" si="25"/>
        <v>4</v>
      </c>
      <c r="DN4" s="2">
        <f t="shared" si="25"/>
        <v>4</v>
      </c>
      <c r="DO4" s="2">
        <f t="shared" si="25"/>
        <v>4</v>
      </c>
      <c r="DP4" s="2">
        <f t="shared" si="25"/>
        <v>4</v>
      </c>
      <c r="DQ4" s="2">
        <f t="shared" si="25"/>
        <v>4</v>
      </c>
      <c r="DR4" s="2">
        <f t="shared" si="25"/>
        <v>4</v>
      </c>
      <c r="DS4" s="2">
        <f t="shared" si="25"/>
        <v>4</v>
      </c>
      <c r="DT4" s="2">
        <f t="shared" si="25"/>
        <v>4</v>
      </c>
      <c r="DU4" s="2">
        <f t="shared" si="25"/>
        <v>4</v>
      </c>
      <c r="DV4" s="2">
        <f t="shared" si="25"/>
        <v>5</v>
      </c>
      <c r="DW4" s="2">
        <f t="shared" si="25"/>
        <v>5</v>
      </c>
      <c r="DX4" s="2">
        <f t="shared" si="25"/>
        <v>5</v>
      </c>
      <c r="DY4" s="2">
        <f t="shared" si="25"/>
        <v>5</v>
      </c>
      <c r="DZ4" s="2">
        <f t="shared" si="25"/>
        <v>5</v>
      </c>
      <c r="EA4" s="2">
        <f t="shared" si="25"/>
        <v>5</v>
      </c>
      <c r="EB4" s="2">
        <f t="shared" si="25"/>
        <v>5</v>
      </c>
      <c r="EC4" s="2">
        <f t="shared" si="25"/>
        <v>5</v>
      </c>
      <c r="ED4" s="2">
        <f t="shared" si="25"/>
        <v>5</v>
      </c>
      <c r="EE4" s="2">
        <f t="shared" si="25"/>
        <v>5</v>
      </c>
      <c r="EF4" s="2">
        <f t="shared" si="25"/>
        <v>5</v>
      </c>
      <c r="EG4" s="2">
        <f t="shared" si="25"/>
        <v>5</v>
      </c>
      <c r="EH4" s="2">
        <f t="shared" ref="EH4:GS4" si="26">IF(EH3=1,IF(EH23=EG23,EG4,EG4+1))</f>
        <v>5</v>
      </c>
      <c r="EI4" s="2">
        <f t="shared" si="26"/>
        <v>5</v>
      </c>
      <c r="EJ4" s="2">
        <f t="shared" si="26"/>
        <v>5</v>
      </c>
      <c r="EK4" s="2">
        <f t="shared" si="26"/>
        <v>5</v>
      </c>
      <c r="EL4" s="2">
        <f t="shared" si="26"/>
        <v>5</v>
      </c>
      <c r="EM4" s="2">
        <f t="shared" si="26"/>
        <v>5</v>
      </c>
      <c r="EN4" s="2">
        <f t="shared" si="26"/>
        <v>5</v>
      </c>
      <c r="EO4" s="2">
        <f t="shared" si="26"/>
        <v>5</v>
      </c>
      <c r="EP4" s="2">
        <f t="shared" si="26"/>
        <v>5</v>
      </c>
      <c r="EQ4" s="2">
        <f t="shared" si="26"/>
        <v>5</v>
      </c>
      <c r="ER4" s="2">
        <f t="shared" si="26"/>
        <v>5</v>
      </c>
      <c r="ES4" s="2">
        <f t="shared" si="26"/>
        <v>5</v>
      </c>
      <c r="ET4" s="2">
        <f t="shared" si="26"/>
        <v>5</v>
      </c>
      <c r="EU4" s="2">
        <f t="shared" si="26"/>
        <v>5</v>
      </c>
      <c r="EV4" s="2">
        <f t="shared" si="26"/>
        <v>5</v>
      </c>
      <c r="EW4" s="2">
        <f t="shared" si="26"/>
        <v>5</v>
      </c>
      <c r="EX4" s="2">
        <f t="shared" si="26"/>
        <v>5</v>
      </c>
      <c r="EY4" s="2">
        <f t="shared" si="26"/>
        <v>5</v>
      </c>
      <c r="EZ4" s="2">
        <f t="shared" si="26"/>
        <v>6</v>
      </c>
      <c r="FA4" s="2">
        <f t="shared" si="26"/>
        <v>6</v>
      </c>
      <c r="FB4" s="2">
        <f t="shared" si="26"/>
        <v>6</v>
      </c>
      <c r="FC4" s="2">
        <f t="shared" si="26"/>
        <v>6</v>
      </c>
      <c r="FD4" s="2">
        <f t="shared" si="26"/>
        <v>6</v>
      </c>
      <c r="FE4" s="2">
        <f t="shared" si="26"/>
        <v>6</v>
      </c>
      <c r="FF4" s="2">
        <f t="shared" si="26"/>
        <v>6</v>
      </c>
      <c r="FG4" s="2">
        <f t="shared" si="26"/>
        <v>6</v>
      </c>
      <c r="FH4" s="2">
        <f t="shared" si="26"/>
        <v>6</v>
      </c>
      <c r="FI4" s="2">
        <f t="shared" si="26"/>
        <v>6</v>
      </c>
      <c r="FJ4" s="2">
        <f t="shared" si="26"/>
        <v>6</v>
      </c>
      <c r="FK4" s="2">
        <f t="shared" si="26"/>
        <v>6</v>
      </c>
      <c r="FL4" s="2">
        <f t="shared" si="26"/>
        <v>6</v>
      </c>
      <c r="FM4" s="2">
        <f t="shared" si="26"/>
        <v>6</v>
      </c>
      <c r="FN4" s="2">
        <f t="shared" si="26"/>
        <v>6</v>
      </c>
      <c r="FO4" s="2">
        <f t="shared" si="26"/>
        <v>6</v>
      </c>
      <c r="FP4" s="2">
        <f t="shared" si="26"/>
        <v>6</v>
      </c>
      <c r="FQ4" s="2">
        <f t="shared" si="26"/>
        <v>6</v>
      </c>
      <c r="FR4" s="2">
        <f t="shared" si="26"/>
        <v>6</v>
      </c>
      <c r="FS4" s="2">
        <f t="shared" si="26"/>
        <v>6</v>
      </c>
      <c r="FT4" s="2">
        <f t="shared" si="26"/>
        <v>6</v>
      </c>
      <c r="FU4" s="2">
        <f t="shared" si="26"/>
        <v>6</v>
      </c>
      <c r="FV4" s="2">
        <f t="shared" si="26"/>
        <v>6</v>
      </c>
      <c r="FW4" s="2">
        <f t="shared" si="26"/>
        <v>6</v>
      </c>
      <c r="FX4" s="2">
        <f t="shared" si="26"/>
        <v>6</v>
      </c>
      <c r="FY4" s="2">
        <f t="shared" si="26"/>
        <v>6</v>
      </c>
      <c r="FZ4" s="2">
        <f t="shared" si="26"/>
        <v>6</v>
      </c>
      <c r="GA4" s="2">
        <f t="shared" si="26"/>
        <v>6</v>
      </c>
      <c r="GB4" s="2">
        <f t="shared" si="26"/>
        <v>6</v>
      </c>
      <c r="GC4" s="2">
        <f t="shared" si="26"/>
        <v>6</v>
      </c>
      <c r="GD4" s="2">
        <f t="shared" si="26"/>
        <v>6</v>
      </c>
      <c r="GE4" s="2">
        <f t="shared" si="26"/>
        <v>7</v>
      </c>
      <c r="GF4" s="2">
        <f t="shared" si="26"/>
        <v>7</v>
      </c>
      <c r="GG4" s="2">
        <f t="shared" si="26"/>
        <v>7</v>
      </c>
      <c r="GH4" s="2">
        <f t="shared" si="26"/>
        <v>7</v>
      </c>
      <c r="GI4" s="2">
        <f t="shared" si="26"/>
        <v>7</v>
      </c>
      <c r="GJ4" s="2">
        <f t="shared" si="26"/>
        <v>7</v>
      </c>
      <c r="GK4" s="2">
        <f t="shared" si="26"/>
        <v>7</v>
      </c>
      <c r="GL4" s="2">
        <f t="shared" si="26"/>
        <v>7</v>
      </c>
      <c r="GM4" s="2">
        <f t="shared" si="26"/>
        <v>7</v>
      </c>
      <c r="GN4" s="2">
        <f t="shared" si="26"/>
        <v>7</v>
      </c>
      <c r="GO4" s="2">
        <f t="shared" si="26"/>
        <v>7</v>
      </c>
      <c r="GP4" s="2">
        <f t="shared" si="26"/>
        <v>7</v>
      </c>
      <c r="GQ4" s="2">
        <f t="shared" si="26"/>
        <v>7</v>
      </c>
      <c r="GR4" s="2">
        <f t="shared" si="26"/>
        <v>7</v>
      </c>
      <c r="GS4" s="2">
        <f t="shared" si="26"/>
        <v>7</v>
      </c>
      <c r="GT4" s="2">
        <f t="shared" ref="GT4:JE4" si="27">IF(GT3=1,IF(GT23=GS23,GS4,GS4+1))</f>
        <v>7</v>
      </c>
      <c r="GU4" s="2">
        <f t="shared" si="27"/>
        <v>7</v>
      </c>
      <c r="GV4" s="2">
        <f t="shared" si="27"/>
        <v>7</v>
      </c>
      <c r="GW4" s="2">
        <f t="shared" si="27"/>
        <v>7</v>
      </c>
      <c r="GX4" s="2">
        <f t="shared" si="27"/>
        <v>7</v>
      </c>
      <c r="GY4" s="2">
        <f t="shared" si="27"/>
        <v>7</v>
      </c>
      <c r="GZ4" s="2">
        <f t="shared" si="27"/>
        <v>7</v>
      </c>
      <c r="HA4" s="2">
        <f t="shared" si="27"/>
        <v>7</v>
      </c>
      <c r="HB4" s="2">
        <f t="shared" si="27"/>
        <v>7</v>
      </c>
      <c r="HC4" s="2">
        <f t="shared" si="27"/>
        <v>7</v>
      </c>
      <c r="HD4" s="2">
        <f t="shared" si="27"/>
        <v>7</v>
      </c>
      <c r="HE4" s="2">
        <f t="shared" si="27"/>
        <v>7</v>
      </c>
      <c r="HF4" s="2">
        <f t="shared" si="27"/>
        <v>7</v>
      </c>
      <c r="HG4" s="2">
        <f t="shared" si="27"/>
        <v>7</v>
      </c>
      <c r="HH4" s="2">
        <f t="shared" si="27"/>
        <v>7</v>
      </c>
      <c r="HI4" s="2">
        <f t="shared" si="27"/>
        <v>7</v>
      </c>
      <c r="HJ4" s="2">
        <f t="shared" si="27"/>
        <v>7</v>
      </c>
      <c r="HK4" s="2">
        <f t="shared" si="27"/>
        <v>7</v>
      </c>
      <c r="HL4" s="2">
        <f t="shared" si="27"/>
        <v>7</v>
      </c>
      <c r="HM4" s="2">
        <f t="shared" si="27"/>
        <v>7</v>
      </c>
      <c r="HN4" s="2">
        <f t="shared" si="27"/>
        <v>7</v>
      </c>
      <c r="HO4" s="2">
        <f t="shared" si="27"/>
        <v>7</v>
      </c>
      <c r="HP4" s="2">
        <f t="shared" si="27"/>
        <v>7</v>
      </c>
      <c r="HQ4" s="2">
        <f t="shared" si="27"/>
        <v>7</v>
      </c>
      <c r="HR4" s="2">
        <f t="shared" si="27"/>
        <v>7</v>
      </c>
      <c r="HS4" s="2">
        <f t="shared" si="27"/>
        <v>7</v>
      </c>
      <c r="HT4" s="2">
        <f t="shared" si="27"/>
        <v>7</v>
      </c>
      <c r="HU4" s="2">
        <f t="shared" si="27"/>
        <v>7</v>
      </c>
      <c r="HV4" s="2">
        <f t="shared" si="27"/>
        <v>7</v>
      </c>
      <c r="HW4" s="2">
        <f t="shared" si="27"/>
        <v>7</v>
      </c>
      <c r="HX4" s="2">
        <f t="shared" si="27"/>
        <v>7</v>
      </c>
      <c r="HY4" s="2">
        <f t="shared" si="27"/>
        <v>7</v>
      </c>
      <c r="HZ4" s="2">
        <f t="shared" si="27"/>
        <v>7</v>
      </c>
      <c r="IA4" s="2">
        <f t="shared" si="27"/>
        <v>7</v>
      </c>
      <c r="IB4" s="2">
        <f t="shared" si="27"/>
        <v>7</v>
      </c>
      <c r="IC4" s="2">
        <f t="shared" si="27"/>
        <v>7</v>
      </c>
      <c r="ID4" s="2">
        <f t="shared" si="27"/>
        <v>7</v>
      </c>
      <c r="IE4" s="2">
        <f t="shared" si="27"/>
        <v>7</v>
      </c>
      <c r="IF4" s="2">
        <f t="shared" si="27"/>
        <v>7</v>
      </c>
      <c r="IG4" s="2">
        <f t="shared" si="27"/>
        <v>7</v>
      </c>
      <c r="IH4" s="2">
        <f t="shared" si="27"/>
        <v>7</v>
      </c>
      <c r="II4" s="2">
        <f t="shared" si="27"/>
        <v>7</v>
      </c>
      <c r="IJ4" s="2">
        <f t="shared" si="27"/>
        <v>7</v>
      </c>
      <c r="IK4" s="2">
        <f t="shared" si="27"/>
        <v>7</v>
      </c>
      <c r="IL4" s="2">
        <f t="shared" si="27"/>
        <v>7</v>
      </c>
      <c r="IM4" s="2">
        <f t="shared" si="27"/>
        <v>7</v>
      </c>
      <c r="IN4" s="2">
        <f t="shared" si="27"/>
        <v>7</v>
      </c>
      <c r="IO4" s="2">
        <f t="shared" si="27"/>
        <v>7</v>
      </c>
      <c r="IP4" s="2">
        <f t="shared" si="27"/>
        <v>7</v>
      </c>
      <c r="IQ4" s="2">
        <f t="shared" si="27"/>
        <v>7</v>
      </c>
      <c r="IR4" s="2">
        <f t="shared" si="27"/>
        <v>7</v>
      </c>
      <c r="IS4" s="2">
        <f t="shared" si="27"/>
        <v>7</v>
      </c>
      <c r="IT4" s="2">
        <f t="shared" si="27"/>
        <v>7</v>
      </c>
      <c r="IU4" s="2">
        <f t="shared" si="27"/>
        <v>7</v>
      </c>
      <c r="IV4" s="2">
        <f t="shared" si="27"/>
        <v>7</v>
      </c>
      <c r="IW4" s="2">
        <f t="shared" si="27"/>
        <v>7</v>
      </c>
      <c r="IX4" s="2">
        <f t="shared" si="27"/>
        <v>7</v>
      </c>
      <c r="IY4" s="2">
        <f t="shared" si="27"/>
        <v>7</v>
      </c>
      <c r="IZ4" s="2">
        <f t="shared" si="27"/>
        <v>7</v>
      </c>
      <c r="JA4" s="2">
        <f t="shared" si="27"/>
        <v>7</v>
      </c>
      <c r="JB4" s="2">
        <f t="shared" si="27"/>
        <v>7</v>
      </c>
      <c r="JC4" s="2">
        <f t="shared" si="27"/>
        <v>7</v>
      </c>
      <c r="JD4" s="2">
        <f t="shared" si="27"/>
        <v>7</v>
      </c>
      <c r="JE4" s="2">
        <f t="shared" si="27"/>
        <v>7</v>
      </c>
      <c r="JF4" s="2">
        <f t="shared" ref="JF4:LQ4" si="28">IF(JF3=1,IF(JF23=JE23,JE4,JE4+1))</f>
        <v>7</v>
      </c>
      <c r="JG4" s="2">
        <f t="shared" si="28"/>
        <v>7</v>
      </c>
      <c r="JH4" s="2">
        <f t="shared" si="28"/>
        <v>7</v>
      </c>
      <c r="JI4" s="2">
        <f t="shared" si="28"/>
        <v>7</v>
      </c>
      <c r="JJ4" s="2">
        <f t="shared" si="28"/>
        <v>7</v>
      </c>
      <c r="JK4" s="2">
        <f t="shared" si="28"/>
        <v>7</v>
      </c>
      <c r="JL4" s="2">
        <f t="shared" si="28"/>
        <v>7</v>
      </c>
      <c r="JM4" s="2">
        <f t="shared" si="28"/>
        <v>7</v>
      </c>
      <c r="JN4" s="2">
        <f t="shared" si="28"/>
        <v>7</v>
      </c>
      <c r="JO4" s="2">
        <f t="shared" si="28"/>
        <v>7</v>
      </c>
      <c r="JP4" s="2">
        <f t="shared" si="28"/>
        <v>7</v>
      </c>
      <c r="JQ4" s="2">
        <f t="shared" si="28"/>
        <v>7</v>
      </c>
      <c r="JR4" s="2">
        <f t="shared" si="28"/>
        <v>7</v>
      </c>
      <c r="JS4" s="2">
        <f t="shared" si="28"/>
        <v>7</v>
      </c>
      <c r="JT4" s="2">
        <f t="shared" si="28"/>
        <v>7</v>
      </c>
      <c r="JU4" s="2">
        <f t="shared" si="28"/>
        <v>7</v>
      </c>
      <c r="JV4" s="2">
        <f t="shared" si="28"/>
        <v>7</v>
      </c>
      <c r="JW4" s="2">
        <f t="shared" si="28"/>
        <v>7</v>
      </c>
      <c r="JX4" s="2">
        <f t="shared" si="28"/>
        <v>7</v>
      </c>
      <c r="JY4" s="2">
        <f t="shared" si="28"/>
        <v>7</v>
      </c>
      <c r="JZ4" s="2">
        <f t="shared" si="28"/>
        <v>7</v>
      </c>
      <c r="KA4" s="2">
        <f t="shared" si="28"/>
        <v>7</v>
      </c>
      <c r="KB4" s="2">
        <f t="shared" si="28"/>
        <v>7</v>
      </c>
      <c r="KC4" s="2">
        <f t="shared" si="28"/>
        <v>7</v>
      </c>
      <c r="KD4" s="2">
        <f t="shared" si="28"/>
        <v>7</v>
      </c>
      <c r="KE4" s="2">
        <f t="shared" si="28"/>
        <v>7</v>
      </c>
      <c r="KF4" s="2">
        <f t="shared" si="28"/>
        <v>7</v>
      </c>
      <c r="KG4" s="2">
        <f t="shared" si="28"/>
        <v>7</v>
      </c>
      <c r="KH4" s="2">
        <f t="shared" si="28"/>
        <v>7</v>
      </c>
      <c r="KI4" s="2">
        <f t="shared" si="28"/>
        <v>7</v>
      </c>
      <c r="KJ4" s="2">
        <f t="shared" si="28"/>
        <v>7</v>
      </c>
      <c r="KK4" s="2">
        <f t="shared" si="28"/>
        <v>7</v>
      </c>
      <c r="KL4" s="2">
        <f t="shared" si="28"/>
        <v>7</v>
      </c>
      <c r="KM4" s="2">
        <f t="shared" si="28"/>
        <v>7</v>
      </c>
      <c r="KN4" s="2">
        <f t="shared" si="28"/>
        <v>7</v>
      </c>
      <c r="KO4" s="2">
        <f t="shared" si="28"/>
        <v>7</v>
      </c>
      <c r="KP4" s="2">
        <f t="shared" si="28"/>
        <v>7</v>
      </c>
      <c r="KQ4" s="2">
        <f t="shared" si="28"/>
        <v>7</v>
      </c>
      <c r="KR4" s="2">
        <f t="shared" si="28"/>
        <v>7</v>
      </c>
      <c r="KS4" s="2">
        <f t="shared" si="28"/>
        <v>7</v>
      </c>
      <c r="KT4" s="2">
        <f t="shared" si="28"/>
        <v>7</v>
      </c>
      <c r="KU4" s="2">
        <f t="shared" si="28"/>
        <v>7</v>
      </c>
      <c r="KV4" s="2">
        <f t="shared" si="28"/>
        <v>7</v>
      </c>
      <c r="KW4" s="2">
        <f t="shared" si="28"/>
        <v>7</v>
      </c>
      <c r="KX4" s="2">
        <f t="shared" si="28"/>
        <v>7</v>
      </c>
      <c r="KY4" s="2">
        <f t="shared" si="28"/>
        <v>7</v>
      </c>
      <c r="KZ4" s="2">
        <f t="shared" si="28"/>
        <v>7</v>
      </c>
      <c r="LA4" s="2">
        <f t="shared" si="28"/>
        <v>7</v>
      </c>
      <c r="LB4" s="2">
        <f t="shared" si="28"/>
        <v>7</v>
      </c>
      <c r="LC4" s="2">
        <f t="shared" si="28"/>
        <v>7</v>
      </c>
      <c r="LD4" s="2">
        <f t="shared" si="28"/>
        <v>7</v>
      </c>
      <c r="LE4" s="2">
        <f t="shared" si="28"/>
        <v>7</v>
      </c>
      <c r="LF4" s="2">
        <f t="shared" si="28"/>
        <v>7</v>
      </c>
      <c r="LG4" s="2">
        <f t="shared" si="28"/>
        <v>7</v>
      </c>
      <c r="LH4" s="2">
        <f t="shared" si="28"/>
        <v>7</v>
      </c>
      <c r="LI4" s="2">
        <f t="shared" si="28"/>
        <v>7</v>
      </c>
      <c r="LJ4" s="2">
        <f t="shared" si="28"/>
        <v>7</v>
      </c>
      <c r="LK4" s="2">
        <f t="shared" si="28"/>
        <v>7</v>
      </c>
      <c r="LL4" s="2">
        <f t="shared" si="28"/>
        <v>7</v>
      </c>
      <c r="LM4" s="2">
        <f t="shared" si="28"/>
        <v>7</v>
      </c>
      <c r="LN4" s="2">
        <f t="shared" si="28"/>
        <v>7</v>
      </c>
      <c r="LO4" s="2">
        <f t="shared" si="28"/>
        <v>7</v>
      </c>
      <c r="LP4" s="2">
        <f t="shared" si="28"/>
        <v>7</v>
      </c>
      <c r="LQ4" s="2">
        <f t="shared" si="28"/>
        <v>7</v>
      </c>
      <c r="LR4" s="2">
        <f t="shared" ref="LR4:OC4" si="29">IF(LR3=1,IF(LR23=LQ23,LQ4,LQ4+1))</f>
        <v>7</v>
      </c>
      <c r="LS4" s="2">
        <f t="shared" si="29"/>
        <v>7</v>
      </c>
      <c r="LT4" s="2">
        <f t="shared" si="29"/>
        <v>7</v>
      </c>
      <c r="LU4" s="2">
        <f t="shared" si="29"/>
        <v>7</v>
      </c>
      <c r="LV4" s="2">
        <f t="shared" si="29"/>
        <v>7</v>
      </c>
      <c r="LW4" s="2">
        <f t="shared" si="29"/>
        <v>7</v>
      </c>
      <c r="LX4" s="2">
        <f t="shared" si="29"/>
        <v>7</v>
      </c>
      <c r="LY4" s="2">
        <f t="shared" si="29"/>
        <v>7</v>
      </c>
      <c r="LZ4" s="2">
        <f t="shared" si="29"/>
        <v>7</v>
      </c>
      <c r="MA4" s="2">
        <f t="shared" si="29"/>
        <v>7</v>
      </c>
      <c r="MB4" s="2">
        <f t="shared" si="29"/>
        <v>7</v>
      </c>
      <c r="MC4" s="2">
        <f t="shared" si="29"/>
        <v>7</v>
      </c>
      <c r="MD4" s="2">
        <f t="shared" si="29"/>
        <v>7</v>
      </c>
      <c r="ME4" s="2">
        <f t="shared" si="29"/>
        <v>7</v>
      </c>
      <c r="MF4" s="2">
        <f t="shared" si="29"/>
        <v>7</v>
      </c>
      <c r="MG4" s="2">
        <f t="shared" si="29"/>
        <v>7</v>
      </c>
      <c r="MH4" s="2">
        <f t="shared" si="29"/>
        <v>7</v>
      </c>
      <c r="MI4" s="2">
        <f t="shared" si="29"/>
        <v>7</v>
      </c>
      <c r="MJ4" s="2">
        <f t="shared" si="29"/>
        <v>7</v>
      </c>
      <c r="MK4" s="2">
        <f t="shared" si="29"/>
        <v>7</v>
      </c>
      <c r="ML4" s="2">
        <f t="shared" si="29"/>
        <v>7</v>
      </c>
      <c r="MM4" s="2">
        <f t="shared" si="29"/>
        <v>7</v>
      </c>
      <c r="MN4" s="2">
        <f t="shared" si="29"/>
        <v>7</v>
      </c>
      <c r="MO4" s="2">
        <f t="shared" si="29"/>
        <v>7</v>
      </c>
      <c r="MP4" s="2">
        <f t="shared" si="29"/>
        <v>7</v>
      </c>
      <c r="MQ4" s="2">
        <f t="shared" si="29"/>
        <v>7</v>
      </c>
      <c r="MR4" s="2">
        <f t="shared" si="29"/>
        <v>7</v>
      </c>
      <c r="MS4" s="2">
        <f t="shared" si="29"/>
        <v>7</v>
      </c>
      <c r="MT4" s="2">
        <f t="shared" si="29"/>
        <v>7</v>
      </c>
      <c r="MU4" s="2">
        <f t="shared" si="29"/>
        <v>7</v>
      </c>
      <c r="MV4" s="2">
        <f t="shared" si="29"/>
        <v>7</v>
      </c>
      <c r="MW4" s="2">
        <f t="shared" si="29"/>
        <v>7</v>
      </c>
      <c r="MX4" s="2">
        <f t="shared" si="29"/>
        <v>7</v>
      </c>
      <c r="MY4" s="2">
        <f t="shared" si="29"/>
        <v>7</v>
      </c>
      <c r="MZ4" s="2">
        <f t="shared" si="29"/>
        <v>7</v>
      </c>
      <c r="NA4" s="2">
        <f t="shared" si="29"/>
        <v>7</v>
      </c>
      <c r="NB4" s="2">
        <f t="shared" si="29"/>
        <v>7</v>
      </c>
      <c r="NC4" s="2">
        <f t="shared" si="29"/>
        <v>7</v>
      </c>
      <c r="ND4" s="2">
        <f t="shared" si="29"/>
        <v>7</v>
      </c>
      <c r="NE4" s="2">
        <f t="shared" si="29"/>
        <v>7</v>
      </c>
      <c r="NF4" s="2">
        <f t="shared" si="29"/>
        <v>7</v>
      </c>
      <c r="NG4" s="2">
        <f t="shared" si="29"/>
        <v>7</v>
      </c>
      <c r="NH4" s="2">
        <f t="shared" si="29"/>
        <v>7</v>
      </c>
      <c r="NI4" s="2">
        <f t="shared" si="29"/>
        <v>7</v>
      </c>
      <c r="NJ4" s="2">
        <f t="shared" si="29"/>
        <v>7</v>
      </c>
      <c r="NK4" s="2">
        <f t="shared" si="29"/>
        <v>7</v>
      </c>
      <c r="NL4" s="2">
        <f t="shared" si="29"/>
        <v>7</v>
      </c>
      <c r="NM4" s="2">
        <f t="shared" si="29"/>
        <v>7</v>
      </c>
      <c r="NN4" s="2">
        <f t="shared" si="29"/>
        <v>7</v>
      </c>
      <c r="NO4" s="2">
        <f t="shared" si="29"/>
        <v>7</v>
      </c>
      <c r="NP4" s="2">
        <f t="shared" si="29"/>
        <v>7</v>
      </c>
      <c r="NQ4" s="2">
        <f t="shared" si="29"/>
        <v>7</v>
      </c>
      <c r="NR4" s="2">
        <f t="shared" si="29"/>
        <v>7</v>
      </c>
      <c r="NS4" s="2">
        <f t="shared" si="29"/>
        <v>7</v>
      </c>
      <c r="NT4" s="2">
        <f t="shared" si="29"/>
        <v>7</v>
      </c>
      <c r="NU4" s="2">
        <f t="shared" si="29"/>
        <v>7</v>
      </c>
      <c r="NV4" s="2">
        <f t="shared" si="29"/>
        <v>7</v>
      </c>
      <c r="NW4" s="2">
        <f t="shared" si="29"/>
        <v>7</v>
      </c>
      <c r="NX4" s="2">
        <f t="shared" si="29"/>
        <v>7</v>
      </c>
      <c r="NY4" s="2">
        <f t="shared" si="29"/>
        <v>7</v>
      </c>
      <c r="NZ4" s="2">
        <f t="shared" si="29"/>
        <v>7</v>
      </c>
      <c r="OA4" s="2">
        <f t="shared" si="29"/>
        <v>7</v>
      </c>
      <c r="OB4" s="2">
        <f t="shared" si="29"/>
        <v>7</v>
      </c>
      <c r="OC4" s="2">
        <f t="shared" si="29"/>
        <v>7</v>
      </c>
      <c r="OD4" s="2">
        <f t="shared" ref="OD4:QO4" si="30">IF(OD3=1,IF(OD23=OC23,OC4,OC4+1))</f>
        <v>7</v>
      </c>
      <c r="OE4" s="2">
        <f t="shared" si="30"/>
        <v>7</v>
      </c>
      <c r="OF4" s="2">
        <f t="shared" si="30"/>
        <v>7</v>
      </c>
      <c r="OG4" s="2">
        <f t="shared" si="30"/>
        <v>7</v>
      </c>
      <c r="OH4" s="2">
        <f t="shared" si="30"/>
        <v>7</v>
      </c>
      <c r="OI4" s="2">
        <f t="shared" si="30"/>
        <v>7</v>
      </c>
      <c r="OJ4" s="2">
        <f t="shared" si="30"/>
        <v>7</v>
      </c>
      <c r="OK4" s="2">
        <f t="shared" si="30"/>
        <v>7</v>
      </c>
      <c r="OL4" s="2">
        <f t="shared" si="30"/>
        <v>7</v>
      </c>
      <c r="OM4" s="2">
        <f t="shared" si="30"/>
        <v>7</v>
      </c>
      <c r="ON4" s="2">
        <f t="shared" si="30"/>
        <v>7</v>
      </c>
      <c r="OO4" s="2">
        <f t="shared" si="30"/>
        <v>7</v>
      </c>
      <c r="OP4" s="2">
        <f t="shared" si="30"/>
        <v>7</v>
      </c>
      <c r="OQ4" s="2">
        <f t="shared" si="30"/>
        <v>7</v>
      </c>
      <c r="OR4" s="2">
        <f t="shared" si="30"/>
        <v>7</v>
      </c>
      <c r="OS4" s="2">
        <f t="shared" si="30"/>
        <v>7</v>
      </c>
      <c r="OT4" s="2">
        <f t="shared" si="30"/>
        <v>7</v>
      </c>
      <c r="OU4" s="2">
        <f t="shared" si="30"/>
        <v>7</v>
      </c>
      <c r="OV4" s="2">
        <f t="shared" si="30"/>
        <v>7</v>
      </c>
      <c r="OW4" s="2">
        <f t="shared" si="30"/>
        <v>7</v>
      </c>
      <c r="OX4" s="2">
        <f t="shared" si="30"/>
        <v>7</v>
      </c>
      <c r="OY4" s="2">
        <f t="shared" si="30"/>
        <v>7</v>
      </c>
      <c r="OZ4" s="2">
        <f t="shared" si="30"/>
        <v>7</v>
      </c>
      <c r="PA4" s="2">
        <f t="shared" si="30"/>
        <v>7</v>
      </c>
      <c r="PB4" s="2">
        <f t="shared" si="30"/>
        <v>7</v>
      </c>
      <c r="PC4" s="2">
        <f t="shared" si="30"/>
        <v>7</v>
      </c>
      <c r="PD4" s="2">
        <f t="shared" si="30"/>
        <v>7</v>
      </c>
      <c r="PE4" s="2">
        <f t="shared" si="30"/>
        <v>7</v>
      </c>
      <c r="PF4" s="2">
        <f t="shared" si="30"/>
        <v>7</v>
      </c>
      <c r="PG4" s="2">
        <f t="shared" si="30"/>
        <v>7</v>
      </c>
      <c r="PH4" s="2">
        <f t="shared" si="30"/>
        <v>7</v>
      </c>
      <c r="PI4" s="2">
        <f t="shared" si="30"/>
        <v>7</v>
      </c>
      <c r="PJ4" s="2">
        <f t="shared" si="30"/>
        <v>7</v>
      </c>
      <c r="PK4" s="2">
        <f t="shared" si="30"/>
        <v>7</v>
      </c>
      <c r="PL4" s="2">
        <f t="shared" si="30"/>
        <v>7</v>
      </c>
      <c r="PM4" s="2">
        <f t="shared" si="30"/>
        <v>7</v>
      </c>
      <c r="PN4" s="2">
        <f t="shared" si="30"/>
        <v>7</v>
      </c>
      <c r="PO4" s="2">
        <f t="shared" si="30"/>
        <v>7</v>
      </c>
      <c r="PP4" s="2">
        <f t="shared" si="30"/>
        <v>7</v>
      </c>
      <c r="PQ4" s="2">
        <f t="shared" si="30"/>
        <v>7</v>
      </c>
      <c r="PR4" s="2">
        <f t="shared" si="30"/>
        <v>7</v>
      </c>
      <c r="PS4" s="2">
        <f t="shared" si="30"/>
        <v>7</v>
      </c>
      <c r="PT4" s="2">
        <f t="shared" si="30"/>
        <v>7</v>
      </c>
      <c r="PU4" s="2">
        <f t="shared" si="30"/>
        <v>7</v>
      </c>
      <c r="PV4" s="2">
        <f t="shared" si="30"/>
        <v>7</v>
      </c>
      <c r="PW4" s="2">
        <f t="shared" si="30"/>
        <v>7</v>
      </c>
      <c r="PX4" s="2">
        <f t="shared" si="30"/>
        <v>7</v>
      </c>
      <c r="PY4" s="2">
        <f t="shared" si="30"/>
        <v>7</v>
      </c>
      <c r="PZ4" s="2">
        <f t="shared" si="30"/>
        <v>7</v>
      </c>
      <c r="QA4" s="2">
        <f t="shared" si="30"/>
        <v>7</v>
      </c>
      <c r="QB4" s="2">
        <f t="shared" si="30"/>
        <v>7</v>
      </c>
      <c r="QC4" s="2">
        <f t="shared" si="30"/>
        <v>7</v>
      </c>
      <c r="QD4" s="2">
        <f t="shared" si="30"/>
        <v>7</v>
      </c>
      <c r="QE4" s="2">
        <f t="shared" si="30"/>
        <v>7</v>
      </c>
      <c r="QF4" s="2">
        <f t="shared" si="30"/>
        <v>7</v>
      </c>
      <c r="QG4" s="2">
        <f t="shared" si="30"/>
        <v>7</v>
      </c>
      <c r="QH4" s="2">
        <f t="shared" si="30"/>
        <v>7</v>
      </c>
      <c r="QI4" s="2">
        <f t="shared" si="30"/>
        <v>7</v>
      </c>
      <c r="QJ4" s="2">
        <f t="shared" si="30"/>
        <v>7</v>
      </c>
      <c r="QK4" s="2">
        <f t="shared" si="30"/>
        <v>7</v>
      </c>
      <c r="QL4" s="2">
        <f t="shared" si="30"/>
        <v>7</v>
      </c>
      <c r="QM4" s="2">
        <f t="shared" si="30"/>
        <v>7</v>
      </c>
      <c r="QN4" s="2">
        <f t="shared" si="30"/>
        <v>7</v>
      </c>
      <c r="QO4" s="2">
        <f t="shared" si="30"/>
        <v>7</v>
      </c>
      <c r="QP4" s="2">
        <f t="shared" ref="QP4:TA4" si="31">IF(QP3=1,IF(QP23=QO23,QO4,QO4+1))</f>
        <v>7</v>
      </c>
      <c r="QQ4" s="2">
        <f t="shared" si="31"/>
        <v>7</v>
      </c>
      <c r="QR4" s="2">
        <f t="shared" si="31"/>
        <v>7</v>
      </c>
      <c r="QS4" s="2">
        <f t="shared" si="31"/>
        <v>7</v>
      </c>
      <c r="QT4" s="2">
        <f t="shared" si="31"/>
        <v>7</v>
      </c>
      <c r="QU4" s="2">
        <f t="shared" si="31"/>
        <v>7</v>
      </c>
      <c r="QV4" s="2">
        <f t="shared" si="31"/>
        <v>7</v>
      </c>
      <c r="QW4" s="2">
        <f t="shared" si="31"/>
        <v>7</v>
      </c>
      <c r="QX4" s="2">
        <f t="shared" si="31"/>
        <v>7</v>
      </c>
      <c r="QY4" s="2">
        <f t="shared" si="31"/>
        <v>7</v>
      </c>
      <c r="QZ4" s="2">
        <f t="shared" si="31"/>
        <v>7</v>
      </c>
      <c r="RA4" s="2">
        <f t="shared" si="31"/>
        <v>7</v>
      </c>
      <c r="RB4" s="2">
        <f t="shared" si="31"/>
        <v>7</v>
      </c>
      <c r="RC4" s="2">
        <f t="shared" si="31"/>
        <v>7</v>
      </c>
      <c r="RD4" s="2">
        <f t="shared" si="31"/>
        <v>7</v>
      </c>
      <c r="RE4" s="2">
        <f t="shared" si="31"/>
        <v>7</v>
      </c>
      <c r="RF4" s="2">
        <f t="shared" si="31"/>
        <v>7</v>
      </c>
      <c r="RG4" s="2">
        <f t="shared" si="31"/>
        <v>7</v>
      </c>
      <c r="RH4" s="2">
        <f t="shared" si="31"/>
        <v>7</v>
      </c>
      <c r="RI4" s="2">
        <f t="shared" si="31"/>
        <v>7</v>
      </c>
      <c r="RJ4" s="2">
        <f t="shared" si="31"/>
        <v>7</v>
      </c>
      <c r="RK4" s="2">
        <f t="shared" si="31"/>
        <v>7</v>
      </c>
      <c r="RL4" s="2">
        <f t="shared" si="31"/>
        <v>7</v>
      </c>
      <c r="RM4" s="2">
        <f t="shared" si="31"/>
        <v>7</v>
      </c>
      <c r="RN4" s="2">
        <f t="shared" si="31"/>
        <v>7</v>
      </c>
      <c r="RO4" s="2">
        <f t="shared" si="31"/>
        <v>7</v>
      </c>
      <c r="RP4" s="2">
        <f t="shared" si="31"/>
        <v>7</v>
      </c>
      <c r="RQ4" s="2">
        <f t="shared" si="31"/>
        <v>7</v>
      </c>
      <c r="RR4" s="2">
        <f t="shared" si="31"/>
        <v>7</v>
      </c>
      <c r="RS4" s="2">
        <f t="shared" si="31"/>
        <v>7</v>
      </c>
      <c r="RT4" s="2">
        <f t="shared" si="31"/>
        <v>7</v>
      </c>
      <c r="RU4" s="2">
        <f t="shared" si="31"/>
        <v>7</v>
      </c>
      <c r="RV4" s="2">
        <f t="shared" si="31"/>
        <v>7</v>
      </c>
      <c r="RW4" s="2">
        <f t="shared" si="31"/>
        <v>7</v>
      </c>
      <c r="RX4" s="2">
        <f t="shared" si="31"/>
        <v>7</v>
      </c>
      <c r="RY4" s="2">
        <f t="shared" si="31"/>
        <v>7</v>
      </c>
      <c r="RZ4" s="2">
        <f t="shared" si="31"/>
        <v>7</v>
      </c>
      <c r="SA4" s="2">
        <f t="shared" si="31"/>
        <v>7</v>
      </c>
      <c r="SB4" s="2">
        <f t="shared" si="31"/>
        <v>7</v>
      </c>
      <c r="SC4" s="2">
        <f t="shared" si="31"/>
        <v>7</v>
      </c>
      <c r="SD4" s="2">
        <f t="shared" si="31"/>
        <v>7</v>
      </c>
      <c r="SE4" s="2">
        <f t="shared" si="31"/>
        <v>7</v>
      </c>
      <c r="SF4" s="2">
        <f t="shared" si="31"/>
        <v>7</v>
      </c>
      <c r="SG4" s="2">
        <f t="shared" si="31"/>
        <v>7</v>
      </c>
      <c r="SH4" s="2">
        <f t="shared" si="31"/>
        <v>7</v>
      </c>
      <c r="SI4" s="2">
        <f t="shared" si="31"/>
        <v>7</v>
      </c>
      <c r="SJ4" s="2">
        <f t="shared" si="31"/>
        <v>7</v>
      </c>
      <c r="SK4" s="2">
        <f t="shared" si="31"/>
        <v>7</v>
      </c>
      <c r="SL4" s="2">
        <f t="shared" si="31"/>
        <v>7</v>
      </c>
      <c r="SM4" s="2">
        <f t="shared" si="31"/>
        <v>7</v>
      </c>
      <c r="SN4" s="2">
        <f t="shared" si="31"/>
        <v>7</v>
      </c>
      <c r="SO4" s="2">
        <f t="shared" si="31"/>
        <v>7</v>
      </c>
      <c r="SP4" s="2">
        <f t="shared" si="31"/>
        <v>7</v>
      </c>
      <c r="SQ4" s="2">
        <f t="shared" si="31"/>
        <v>7</v>
      </c>
      <c r="SR4" s="2">
        <f t="shared" si="31"/>
        <v>7</v>
      </c>
      <c r="SS4" s="2">
        <f t="shared" si="31"/>
        <v>7</v>
      </c>
      <c r="ST4" s="2">
        <f t="shared" si="31"/>
        <v>7</v>
      </c>
      <c r="SU4" s="2">
        <f t="shared" si="31"/>
        <v>7</v>
      </c>
      <c r="SV4" s="2">
        <f t="shared" si="31"/>
        <v>7</v>
      </c>
      <c r="SW4" s="2">
        <f t="shared" si="31"/>
        <v>7</v>
      </c>
      <c r="SX4" s="2">
        <f t="shared" si="31"/>
        <v>7</v>
      </c>
      <c r="SY4" s="2">
        <f t="shared" si="31"/>
        <v>7</v>
      </c>
      <c r="SZ4" s="2">
        <f t="shared" si="31"/>
        <v>7</v>
      </c>
      <c r="TA4" s="2">
        <f t="shared" si="31"/>
        <v>7</v>
      </c>
      <c r="TB4" s="2">
        <f t="shared" ref="TB4:VM4" si="32">IF(TB3=1,IF(TB23=TA23,TA4,TA4+1))</f>
        <v>7</v>
      </c>
      <c r="TC4" s="2">
        <f t="shared" si="32"/>
        <v>7</v>
      </c>
      <c r="TD4" s="2">
        <f t="shared" si="32"/>
        <v>7</v>
      </c>
      <c r="TE4" s="2">
        <f t="shared" si="32"/>
        <v>7</v>
      </c>
      <c r="TF4" s="2">
        <f t="shared" si="32"/>
        <v>7</v>
      </c>
      <c r="TG4" s="2">
        <f t="shared" si="32"/>
        <v>7</v>
      </c>
      <c r="TH4" s="2">
        <f t="shared" si="32"/>
        <v>7</v>
      </c>
      <c r="TI4" s="2">
        <f t="shared" si="32"/>
        <v>7</v>
      </c>
      <c r="TJ4" s="2">
        <f t="shared" si="32"/>
        <v>7</v>
      </c>
      <c r="TK4" s="2">
        <f t="shared" si="32"/>
        <v>7</v>
      </c>
      <c r="TL4" s="2">
        <f t="shared" si="32"/>
        <v>7</v>
      </c>
      <c r="TM4" s="2">
        <f t="shared" si="32"/>
        <v>7</v>
      </c>
      <c r="TN4" s="2">
        <f t="shared" si="32"/>
        <v>7</v>
      </c>
      <c r="TO4" s="2">
        <f t="shared" si="32"/>
        <v>7</v>
      </c>
      <c r="TP4" s="2">
        <f t="shared" si="32"/>
        <v>7</v>
      </c>
      <c r="TQ4" s="2">
        <f t="shared" si="32"/>
        <v>7</v>
      </c>
      <c r="TR4" s="2">
        <f t="shared" si="32"/>
        <v>7</v>
      </c>
      <c r="TS4" s="2">
        <f t="shared" si="32"/>
        <v>7</v>
      </c>
      <c r="TT4" s="2">
        <f t="shared" si="32"/>
        <v>7</v>
      </c>
      <c r="TU4" s="2">
        <f t="shared" si="32"/>
        <v>7</v>
      </c>
      <c r="TV4" s="2">
        <f t="shared" si="32"/>
        <v>7</v>
      </c>
      <c r="TW4" s="2">
        <f t="shared" si="32"/>
        <v>7</v>
      </c>
      <c r="TX4" s="2">
        <f t="shared" si="32"/>
        <v>7</v>
      </c>
      <c r="TY4" s="2">
        <f t="shared" si="32"/>
        <v>7</v>
      </c>
      <c r="TZ4" s="2">
        <f t="shared" si="32"/>
        <v>7</v>
      </c>
      <c r="UA4" s="2">
        <f t="shared" si="32"/>
        <v>7</v>
      </c>
      <c r="UB4" s="2">
        <f t="shared" si="32"/>
        <v>7</v>
      </c>
      <c r="UC4" s="2">
        <f t="shared" si="32"/>
        <v>7</v>
      </c>
      <c r="UD4" s="2">
        <f t="shared" si="32"/>
        <v>7</v>
      </c>
      <c r="UE4" s="2">
        <f t="shared" si="32"/>
        <v>7</v>
      </c>
      <c r="UF4" s="2">
        <f t="shared" si="32"/>
        <v>7</v>
      </c>
      <c r="UG4" s="2">
        <f t="shared" si="32"/>
        <v>7</v>
      </c>
      <c r="UH4" s="2">
        <f t="shared" si="32"/>
        <v>7</v>
      </c>
      <c r="UI4" s="2">
        <f t="shared" si="32"/>
        <v>7</v>
      </c>
      <c r="UJ4" s="2">
        <f t="shared" si="32"/>
        <v>7</v>
      </c>
      <c r="UK4" s="2">
        <f t="shared" si="32"/>
        <v>7</v>
      </c>
      <c r="UL4" s="2">
        <f t="shared" si="32"/>
        <v>7</v>
      </c>
      <c r="UM4" s="2">
        <f t="shared" si="32"/>
        <v>7</v>
      </c>
      <c r="UN4" s="2">
        <f t="shared" si="32"/>
        <v>7</v>
      </c>
      <c r="UO4" s="2">
        <f t="shared" si="32"/>
        <v>7</v>
      </c>
      <c r="UP4" s="2">
        <f t="shared" si="32"/>
        <v>7</v>
      </c>
      <c r="UQ4" s="2">
        <f t="shared" si="32"/>
        <v>7</v>
      </c>
      <c r="UR4" s="2">
        <f t="shared" si="32"/>
        <v>7</v>
      </c>
      <c r="US4" s="2">
        <f t="shared" si="32"/>
        <v>7</v>
      </c>
      <c r="UT4" s="2">
        <f t="shared" si="32"/>
        <v>7</v>
      </c>
      <c r="UU4" s="2">
        <f t="shared" si="32"/>
        <v>7</v>
      </c>
      <c r="UV4" s="2">
        <f t="shared" si="32"/>
        <v>7</v>
      </c>
      <c r="UW4" s="2">
        <f t="shared" si="32"/>
        <v>7</v>
      </c>
      <c r="UX4" s="2">
        <f t="shared" si="32"/>
        <v>7</v>
      </c>
      <c r="UY4" s="2">
        <f t="shared" si="32"/>
        <v>7</v>
      </c>
      <c r="UZ4" s="2">
        <f t="shared" si="32"/>
        <v>7</v>
      </c>
      <c r="VA4" s="2">
        <f t="shared" si="32"/>
        <v>7</v>
      </c>
      <c r="VB4" s="2">
        <f t="shared" si="32"/>
        <v>7</v>
      </c>
      <c r="VC4" s="2">
        <f t="shared" si="32"/>
        <v>7</v>
      </c>
      <c r="VD4" s="2">
        <f t="shared" si="32"/>
        <v>7</v>
      </c>
      <c r="VE4" s="2">
        <f t="shared" si="32"/>
        <v>7</v>
      </c>
      <c r="VF4" s="2">
        <f t="shared" si="32"/>
        <v>7</v>
      </c>
      <c r="VG4" s="2">
        <f t="shared" si="32"/>
        <v>7</v>
      </c>
      <c r="VH4" s="2">
        <f t="shared" si="32"/>
        <v>7</v>
      </c>
      <c r="VI4" s="2">
        <f t="shared" si="32"/>
        <v>7</v>
      </c>
      <c r="VJ4" s="2">
        <f t="shared" si="32"/>
        <v>7</v>
      </c>
      <c r="VK4" s="2">
        <f t="shared" si="32"/>
        <v>7</v>
      </c>
      <c r="VL4" s="2">
        <f t="shared" si="32"/>
        <v>7</v>
      </c>
      <c r="VM4" s="2">
        <f t="shared" si="32"/>
        <v>7</v>
      </c>
      <c r="VN4" s="2">
        <f t="shared" ref="VN4:XY4" si="33">IF(VN3=1,IF(VN23=VM23,VM4,VM4+1))</f>
        <v>7</v>
      </c>
      <c r="VO4" s="2">
        <f t="shared" si="33"/>
        <v>7</v>
      </c>
      <c r="VP4" s="2">
        <f t="shared" si="33"/>
        <v>7</v>
      </c>
      <c r="VQ4" s="2">
        <f t="shared" si="33"/>
        <v>7</v>
      </c>
      <c r="VR4" s="2">
        <f t="shared" si="33"/>
        <v>7</v>
      </c>
      <c r="VS4" s="2">
        <f t="shared" si="33"/>
        <v>7</v>
      </c>
      <c r="VT4" s="2">
        <f t="shared" si="33"/>
        <v>7</v>
      </c>
      <c r="VU4" s="2">
        <f t="shared" si="33"/>
        <v>7</v>
      </c>
      <c r="VV4" s="2">
        <f t="shared" si="33"/>
        <v>7</v>
      </c>
      <c r="VW4" s="2">
        <f t="shared" si="33"/>
        <v>7</v>
      </c>
      <c r="VX4" s="2">
        <f t="shared" si="33"/>
        <v>7</v>
      </c>
      <c r="VY4" s="2">
        <f t="shared" si="33"/>
        <v>7</v>
      </c>
      <c r="VZ4" s="2">
        <f t="shared" si="33"/>
        <v>7</v>
      </c>
      <c r="WA4" s="2">
        <f t="shared" si="33"/>
        <v>7</v>
      </c>
      <c r="WB4" s="2">
        <f t="shared" si="33"/>
        <v>7</v>
      </c>
      <c r="WC4" s="2">
        <f t="shared" si="33"/>
        <v>7</v>
      </c>
      <c r="WD4" s="2">
        <f t="shared" si="33"/>
        <v>7</v>
      </c>
      <c r="WE4" s="2">
        <f t="shared" si="33"/>
        <v>7</v>
      </c>
      <c r="WF4" s="2">
        <f t="shared" si="33"/>
        <v>7</v>
      </c>
      <c r="WG4" s="2">
        <f t="shared" si="33"/>
        <v>7</v>
      </c>
      <c r="WH4" s="2">
        <f t="shared" si="33"/>
        <v>7</v>
      </c>
      <c r="WI4" s="2">
        <f t="shared" si="33"/>
        <v>7</v>
      </c>
      <c r="WJ4" s="2">
        <f t="shared" si="33"/>
        <v>7</v>
      </c>
      <c r="WK4" s="2">
        <f t="shared" si="33"/>
        <v>7</v>
      </c>
      <c r="WL4" s="2">
        <f t="shared" si="33"/>
        <v>7</v>
      </c>
      <c r="WM4" s="2">
        <f t="shared" si="33"/>
        <v>7</v>
      </c>
      <c r="WN4" s="2">
        <f t="shared" si="33"/>
        <v>7</v>
      </c>
      <c r="WO4" s="2">
        <f t="shared" si="33"/>
        <v>7</v>
      </c>
      <c r="WP4" s="2">
        <f t="shared" si="33"/>
        <v>7</v>
      </c>
      <c r="WQ4" s="2">
        <f t="shared" si="33"/>
        <v>7</v>
      </c>
      <c r="WR4" s="2">
        <f t="shared" si="33"/>
        <v>7</v>
      </c>
      <c r="WS4" s="2">
        <f t="shared" si="33"/>
        <v>7</v>
      </c>
      <c r="WT4" s="2">
        <f t="shared" si="33"/>
        <v>7</v>
      </c>
      <c r="WU4" s="2">
        <f t="shared" si="33"/>
        <v>7</v>
      </c>
      <c r="WV4" s="2">
        <f t="shared" si="33"/>
        <v>7</v>
      </c>
      <c r="WW4" s="2">
        <f t="shared" si="33"/>
        <v>7</v>
      </c>
      <c r="WX4" s="2">
        <f t="shared" si="33"/>
        <v>7</v>
      </c>
      <c r="WY4" s="2">
        <f t="shared" si="33"/>
        <v>7</v>
      </c>
      <c r="WZ4" s="2">
        <f t="shared" si="33"/>
        <v>7</v>
      </c>
      <c r="XA4" s="2">
        <f t="shared" si="33"/>
        <v>7</v>
      </c>
      <c r="XB4" s="2">
        <f t="shared" si="33"/>
        <v>7</v>
      </c>
      <c r="XC4" s="2">
        <f t="shared" si="33"/>
        <v>7</v>
      </c>
      <c r="XD4" s="2">
        <f t="shared" si="33"/>
        <v>7</v>
      </c>
      <c r="XE4" s="2">
        <f t="shared" si="33"/>
        <v>7</v>
      </c>
      <c r="XF4" s="2">
        <f t="shared" si="33"/>
        <v>7</v>
      </c>
      <c r="XG4" s="2">
        <f t="shared" si="33"/>
        <v>7</v>
      </c>
      <c r="XH4" s="2">
        <f t="shared" si="33"/>
        <v>7</v>
      </c>
      <c r="XI4" s="2">
        <f t="shared" si="33"/>
        <v>7</v>
      </c>
      <c r="XJ4" s="2">
        <f t="shared" si="33"/>
        <v>7</v>
      </c>
      <c r="XK4" s="2">
        <f t="shared" si="33"/>
        <v>7</v>
      </c>
      <c r="XL4" s="2">
        <f t="shared" si="33"/>
        <v>7</v>
      </c>
      <c r="XM4" s="2">
        <f t="shared" si="33"/>
        <v>7</v>
      </c>
      <c r="XN4" s="2">
        <f t="shared" si="33"/>
        <v>7</v>
      </c>
      <c r="XO4" s="2">
        <f t="shared" si="33"/>
        <v>7</v>
      </c>
      <c r="XP4" s="2">
        <f t="shared" si="33"/>
        <v>7</v>
      </c>
      <c r="XQ4" s="2">
        <f t="shared" si="33"/>
        <v>7</v>
      </c>
      <c r="XR4" s="2">
        <f t="shared" si="33"/>
        <v>7</v>
      </c>
      <c r="XS4" s="2">
        <f t="shared" si="33"/>
        <v>7</v>
      </c>
      <c r="XT4" s="2">
        <f t="shared" si="33"/>
        <v>7</v>
      </c>
      <c r="XU4" s="2">
        <f t="shared" si="33"/>
        <v>7</v>
      </c>
      <c r="XV4" s="2">
        <f t="shared" si="33"/>
        <v>7</v>
      </c>
      <c r="XW4" s="2">
        <f t="shared" si="33"/>
        <v>7</v>
      </c>
      <c r="XX4" s="2">
        <f t="shared" si="33"/>
        <v>7</v>
      </c>
      <c r="XY4" s="2">
        <f t="shared" si="33"/>
        <v>7</v>
      </c>
      <c r="XZ4" s="2">
        <f t="shared" ref="XZ4:AAK4" si="34">IF(XZ3=1,IF(XZ23=XY23,XY4,XY4+1))</f>
        <v>7</v>
      </c>
      <c r="YA4" s="2">
        <f t="shared" si="34"/>
        <v>7</v>
      </c>
      <c r="YB4" s="2">
        <f t="shared" si="34"/>
        <v>7</v>
      </c>
      <c r="YC4" s="2">
        <f t="shared" si="34"/>
        <v>7</v>
      </c>
      <c r="YD4" s="2">
        <f t="shared" si="34"/>
        <v>7</v>
      </c>
      <c r="YE4" s="2">
        <f t="shared" si="34"/>
        <v>7</v>
      </c>
      <c r="YF4" s="2">
        <f t="shared" si="34"/>
        <v>7</v>
      </c>
      <c r="YG4" s="2">
        <f t="shared" si="34"/>
        <v>7</v>
      </c>
      <c r="YH4" s="2">
        <f t="shared" si="34"/>
        <v>7</v>
      </c>
      <c r="YI4" s="2">
        <f t="shared" si="34"/>
        <v>7</v>
      </c>
      <c r="YJ4" s="2">
        <f t="shared" si="34"/>
        <v>7</v>
      </c>
      <c r="YK4" s="2">
        <f t="shared" si="34"/>
        <v>7</v>
      </c>
      <c r="YL4" s="2">
        <f t="shared" si="34"/>
        <v>7</v>
      </c>
      <c r="YM4" s="2">
        <f t="shared" si="34"/>
        <v>7</v>
      </c>
      <c r="YN4" s="2">
        <f t="shared" si="34"/>
        <v>7</v>
      </c>
      <c r="YO4" s="2">
        <f t="shared" si="34"/>
        <v>7</v>
      </c>
      <c r="YP4" s="2">
        <f t="shared" si="34"/>
        <v>7</v>
      </c>
      <c r="YQ4" s="2">
        <f t="shared" si="34"/>
        <v>7</v>
      </c>
      <c r="YR4" s="2">
        <f t="shared" si="34"/>
        <v>7</v>
      </c>
      <c r="YS4" s="2">
        <f t="shared" si="34"/>
        <v>7</v>
      </c>
      <c r="YT4" s="2">
        <f t="shared" si="34"/>
        <v>7</v>
      </c>
      <c r="YU4" s="2">
        <f t="shared" si="34"/>
        <v>7</v>
      </c>
      <c r="YV4" s="2">
        <f t="shared" si="34"/>
        <v>7</v>
      </c>
      <c r="YW4" s="2">
        <f t="shared" si="34"/>
        <v>7</v>
      </c>
      <c r="YX4" s="2">
        <f t="shared" si="34"/>
        <v>7</v>
      </c>
      <c r="YY4" s="2">
        <f t="shared" si="34"/>
        <v>7</v>
      </c>
      <c r="YZ4" s="2">
        <f t="shared" si="34"/>
        <v>7</v>
      </c>
      <c r="ZA4" s="2">
        <f t="shared" si="34"/>
        <v>7</v>
      </c>
      <c r="ZB4" s="2">
        <f t="shared" si="34"/>
        <v>7</v>
      </c>
      <c r="ZC4" s="2">
        <f t="shared" si="34"/>
        <v>7</v>
      </c>
      <c r="ZD4" s="2">
        <f t="shared" si="34"/>
        <v>7</v>
      </c>
      <c r="ZE4" s="2">
        <f t="shared" si="34"/>
        <v>7</v>
      </c>
      <c r="ZF4" s="2">
        <f t="shared" si="34"/>
        <v>7</v>
      </c>
      <c r="ZG4" s="2">
        <f t="shared" si="34"/>
        <v>7</v>
      </c>
      <c r="ZH4" s="2">
        <f t="shared" si="34"/>
        <v>7</v>
      </c>
      <c r="ZI4" s="2">
        <f t="shared" si="34"/>
        <v>7</v>
      </c>
      <c r="ZJ4" s="2">
        <f t="shared" si="34"/>
        <v>7</v>
      </c>
      <c r="ZK4" s="2">
        <f t="shared" si="34"/>
        <v>7</v>
      </c>
      <c r="ZL4" s="2">
        <f t="shared" si="34"/>
        <v>7</v>
      </c>
      <c r="ZM4" s="2">
        <f t="shared" si="34"/>
        <v>7</v>
      </c>
      <c r="ZN4" s="2">
        <f t="shared" si="34"/>
        <v>7</v>
      </c>
      <c r="ZO4" s="2">
        <f t="shared" si="34"/>
        <v>7</v>
      </c>
      <c r="ZP4" s="2">
        <f t="shared" si="34"/>
        <v>7</v>
      </c>
      <c r="ZQ4" s="2">
        <f t="shared" si="34"/>
        <v>7</v>
      </c>
      <c r="ZR4" s="2">
        <f t="shared" si="34"/>
        <v>7</v>
      </c>
      <c r="ZS4" s="2">
        <f t="shared" si="34"/>
        <v>7</v>
      </c>
      <c r="ZT4" s="2">
        <f t="shared" si="34"/>
        <v>7</v>
      </c>
      <c r="ZU4" s="2">
        <f t="shared" si="34"/>
        <v>7</v>
      </c>
      <c r="ZV4" s="2">
        <f t="shared" si="34"/>
        <v>7</v>
      </c>
      <c r="ZW4" s="2">
        <f t="shared" si="34"/>
        <v>7</v>
      </c>
      <c r="ZX4" s="2">
        <f t="shared" si="34"/>
        <v>7</v>
      </c>
      <c r="ZY4" s="2">
        <f t="shared" si="34"/>
        <v>7</v>
      </c>
      <c r="ZZ4" s="2">
        <f t="shared" si="34"/>
        <v>7</v>
      </c>
      <c r="AAA4" s="2">
        <f t="shared" si="34"/>
        <v>7</v>
      </c>
      <c r="AAB4" s="2">
        <f t="shared" si="34"/>
        <v>7</v>
      </c>
      <c r="AAC4" s="2">
        <f t="shared" si="34"/>
        <v>7</v>
      </c>
      <c r="AAD4" s="2">
        <f t="shared" si="34"/>
        <v>7</v>
      </c>
      <c r="AAE4" s="2">
        <f t="shared" si="34"/>
        <v>7</v>
      </c>
      <c r="AAF4" s="2">
        <f t="shared" si="34"/>
        <v>7</v>
      </c>
      <c r="AAG4" s="2">
        <f t="shared" si="34"/>
        <v>7</v>
      </c>
      <c r="AAH4" s="2">
        <f t="shared" si="34"/>
        <v>7</v>
      </c>
      <c r="AAI4" s="2">
        <f t="shared" si="34"/>
        <v>7</v>
      </c>
      <c r="AAJ4" s="2">
        <f t="shared" si="34"/>
        <v>7</v>
      </c>
      <c r="AAK4" s="2">
        <f t="shared" si="34"/>
        <v>7</v>
      </c>
      <c r="AAL4" s="2">
        <f t="shared" ref="AAL4:ABI4" si="35">IF(AAL3=1,IF(AAL23=AAK23,AAK4,AAK4+1))</f>
        <v>7</v>
      </c>
      <c r="AAM4" s="2">
        <f t="shared" si="35"/>
        <v>7</v>
      </c>
      <c r="AAN4" s="2">
        <f t="shared" si="35"/>
        <v>7</v>
      </c>
      <c r="AAO4" s="2">
        <f t="shared" si="35"/>
        <v>7</v>
      </c>
      <c r="AAP4" s="2">
        <f t="shared" si="35"/>
        <v>7</v>
      </c>
      <c r="AAQ4" s="2">
        <f t="shared" si="35"/>
        <v>7</v>
      </c>
      <c r="AAR4" s="2">
        <f t="shared" si="35"/>
        <v>7</v>
      </c>
      <c r="AAS4" s="2">
        <f t="shared" si="35"/>
        <v>7</v>
      </c>
      <c r="AAT4" s="2">
        <f t="shared" si="35"/>
        <v>7</v>
      </c>
      <c r="AAU4" s="2">
        <f t="shared" si="35"/>
        <v>7</v>
      </c>
      <c r="AAV4" s="2">
        <f t="shared" si="35"/>
        <v>7</v>
      </c>
      <c r="AAW4" s="2">
        <f t="shared" si="35"/>
        <v>7</v>
      </c>
      <c r="AAX4" s="2">
        <f t="shared" si="35"/>
        <v>7</v>
      </c>
      <c r="AAY4" s="2">
        <f t="shared" si="35"/>
        <v>7</v>
      </c>
      <c r="AAZ4" s="2">
        <f t="shared" si="35"/>
        <v>7</v>
      </c>
      <c r="ABA4" s="2">
        <f t="shared" si="35"/>
        <v>7</v>
      </c>
      <c r="ABB4" s="2">
        <f t="shared" si="35"/>
        <v>7</v>
      </c>
      <c r="ABC4" s="2">
        <f t="shared" si="35"/>
        <v>7</v>
      </c>
      <c r="ABD4" s="2">
        <f t="shared" si="35"/>
        <v>7</v>
      </c>
      <c r="ABE4" s="2">
        <f t="shared" si="35"/>
        <v>7</v>
      </c>
      <c r="ABF4" s="2">
        <f t="shared" si="35"/>
        <v>7</v>
      </c>
      <c r="ABG4" s="2">
        <f t="shared" si="35"/>
        <v>7</v>
      </c>
      <c r="ABH4" s="2">
        <f t="shared" si="35"/>
        <v>7</v>
      </c>
      <c r="ABI4" s="2">
        <f t="shared" si="35"/>
        <v>7</v>
      </c>
    </row>
    <row r="5" spans="4:737" ht="12.95" hidden="1" customHeight="1" x14ac:dyDescent="0.25">
      <c r="AK5" s="4"/>
    </row>
    <row r="6" spans="4:737" ht="12.95" hidden="1" customHeight="1" x14ac:dyDescent="0.25">
      <c r="AK6" s="4"/>
    </row>
    <row r="7" spans="4:737" ht="12.95" hidden="1" customHeight="1" x14ac:dyDescent="0.25">
      <c r="AK7" s="4"/>
    </row>
    <row r="8" spans="4:737" ht="12.95" hidden="1" customHeight="1" x14ac:dyDescent="0.25">
      <c r="AK8" s="4"/>
    </row>
    <row r="9" spans="4:737" ht="12.95" hidden="1" customHeight="1" x14ac:dyDescent="0.25">
      <c r="AK9" s="4"/>
    </row>
    <row r="10" spans="4:737" ht="12.95" hidden="1" customHeight="1" x14ac:dyDescent="0.25">
      <c r="AK10" s="4"/>
    </row>
    <row r="11" spans="4:737" ht="12.95" hidden="1" customHeight="1" x14ac:dyDescent="0.25">
      <c r="AK11" s="4"/>
    </row>
    <row r="12" spans="4:737" ht="12.95" customHeight="1" x14ac:dyDescent="0.25">
      <c r="AK12" s="4"/>
    </row>
    <row r="13" spans="4:737" ht="39.950000000000003" customHeight="1" x14ac:dyDescent="0.25">
      <c r="D13" s="5" t="s"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  <c r="AL13" s="1"/>
      <c r="AM13" s="1"/>
      <c r="AN13" s="1"/>
      <c r="AO13" s="1"/>
      <c r="AP13" s="1"/>
    </row>
    <row r="14" spans="4:737" ht="12.95" customHeight="1" x14ac:dyDescent="0.25">
      <c r="E14" s="1"/>
      <c r="AK14" s="4"/>
    </row>
    <row r="15" spans="4:737" ht="12.95" customHeight="1" x14ac:dyDescent="0.25">
      <c r="E15" s="7" t="s">
        <v>1</v>
      </c>
      <c r="AK15" s="4"/>
    </row>
    <row r="16" spans="4:737" ht="12.95" customHeight="1" x14ac:dyDescent="0.25">
      <c r="E16" s="8">
        <f>ROUNDUP([1]HOC_Histograma_Obra!N43,0)</f>
        <v>6</v>
      </c>
      <c r="AK16" s="4"/>
    </row>
    <row r="17" spans="4:737" ht="12.95" customHeight="1" x14ac:dyDescent="0.25">
      <c r="E17" s="7" t="s">
        <v>2</v>
      </c>
      <c r="G17" s="9" t="s">
        <v>3</v>
      </c>
      <c r="H17" s="9" t="s">
        <v>4</v>
      </c>
      <c r="AK17" s="4"/>
    </row>
    <row r="18" spans="4:737" ht="12.95" customHeight="1" x14ac:dyDescent="0.25">
      <c r="E18" s="10">
        <f>F26</f>
        <v>46146</v>
      </c>
      <c r="G18" s="9">
        <f>MONTH(E18)</f>
        <v>5</v>
      </c>
      <c r="H18" s="9">
        <f>YEAR(E18)</f>
        <v>2026</v>
      </c>
      <c r="AK18" s="4"/>
    </row>
    <row r="19" spans="4:737" ht="12.95" customHeight="1" x14ac:dyDescent="0.25">
      <c r="E19" s="7" t="s">
        <v>5</v>
      </c>
      <c r="G19" s="9"/>
      <c r="H19" s="9"/>
      <c r="AK19" s="4"/>
    </row>
    <row r="20" spans="4:737" ht="12.95" customHeight="1" x14ac:dyDescent="0.25">
      <c r="E20" s="10">
        <f>[1]HOC_Histograma_Obra!$O$43</f>
        <v>46326</v>
      </c>
      <c r="G20" s="9">
        <f>MONTH(E20)</f>
        <v>10</v>
      </c>
      <c r="H20" s="9">
        <f>YEAR(E20)</f>
        <v>2026</v>
      </c>
      <c r="AK20" s="4"/>
    </row>
    <row r="21" spans="4:737" ht="12.95" hidden="1" customHeight="1" x14ac:dyDescent="0.25">
      <c r="E21" s="2">
        <f>SUM(F21:ABI21)</f>
        <v>181</v>
      </c>
      <c r="F21" s="2">
        <f>IF(F26&lt;=$E$20,1,0)</f>
        <v>1</v>
      </c>
      <c r="G21" s="2">
        <f t="shared" ref="G21:BR21" si="36">IF(G26&lt;=$E$20,1,0)</f>
        <v>1</v>
      </c>
      <c r="H21" s="2">
        <f t="shared" si="36"/>
        <v>1</v>
      </c>
      <c r="I21" s="2">
        <f t="shared" si="36"/>
        <v>1</v>
      </c>
      <c r="J21" s="2">
        <f t="shared" si="36"/>
        <v>1</v>
      </c>
      <c r="K21" s="2">
        <f t="shared" si="36"/>
        <v>1</v>
      </c>
      <c r="L21" s="2">
        <f t="shared" si="36"/>
        <v>1</v>
      </c>
      <c r="M21" s="2">
        <f t="shared" si="36"/>
        <v>1</v>
      </c>
      <c r="N21" s="2">
        <f t="shared" si="36"/>
        <v>1</v>
      </c>
      <c r="O21" s="2">
        <f t="shared" si="36"/>
        <v>1</v>
      </c>
      <c r="P21" s="2">
        <f t="shared" si="36"/>
        <v>1</v>
      </c>
      <c r="Q21" s="2">
        <f t="shared" si="36"/>
        <v>1</v>
      </c>
      <c r="R21" s="2">
        <f t="shared" si="36"/>
        <v>1</v>
      </c>
      <c r="S21" s="2">
        <f t="shared" si="36"/>
        <v>1</v>
      </c>
      <c r="T21" s="2">
        <f t="shared" si="36"/>
        <v>1</v>
      </c>
      <c r="U21" s="2">
        <f t="shared" si="36"/>
        <v>1</v>
      </c>
      <c r="V21" s="2">
        <f t="shared" si="36"/>
        <v>1</v>
      </c>
      <c r="W21" s="2">
        <f t="shared" si="36"/>
        <v>1</v>
      </c>
      <c r="X21" s="2">
        <f t="shared" si="36"/>
        <v>1</v>
      </c>
      <c r="Y21" s="2">
        <f t="shared" si="36"/>
        <v>1</v>
      </c>
      <c r="Z21" s="2">
        <f t="shared" si="36"/>
        <v>1</v>
      </c>
      <c r="AA21" s="2">
        <f t="shared" si="36"/>
        <v>1</v>
      </c>
      <c r="AB21" s="2">
        <f t="shared" si="36"/>
        <v>1</v>
      </c>
      <c r="AC21" s="2">
        <f t="shared" si="36"/>
        <v>1</v>
      </c>
      <c r="AD21" s="2">
        <f t="shared" si="36"/>
        <v>1</v>
      </c>
      <c r="AE21" s="2">
        <f t="shared" si="36"/>
        <v>1</v>
      </c>
      <c r="AF21" s="2">
        <f t="shared" si="36"/>
        <v>1</v>
      </c>
      <c r="AG21" s="2">
        <f t="shared" si="36"/>
        <v>1</v>
      </c>
      <c r="AH21" s="2">
        <f t="shared" si="36"/>
        <v>1</v>
      </c>
      <c r="AI21" s="2">
        <f t="shared" si="36"/>
        <v>1</v>
      </c>
      <c r="AJ21" s="2">
        <f t="shared" si="36"/>
        <v>1</v>
      </c>
      <c r="AK21" s="4">
        <f t="shared" si="36"/>
        <v>1</v>
      </c>
      <c r="AL21" s="2">
        <f t="shared" si="36"/>
        <v>1</v>
      </c>
      <c r="AM21" s="2">
        <f t="shared" si="36"/>
        <v>1</v>
      </c>
      <c r="AN21" s="2">
        <f t="shared" si="36"/>
        <v>1</v>
      </c>
      <c r="AO21" s="2">
        <f t="shared" si="36"/>
        <v>1</v>
      </c>
      <c r="AP21" s="2">
        <f t="shared" si="36"/>
        <v>1</v>
      </c>
      <c r="AQ21" s="2">
        <f t="shared" si="36"/>
        <v>1</v>
      </c>
      <c r="AR21" s="2">
        <f t="shared" si="36"/>
        <v>1</v>
      </c>
      <c r="AS21" s="2">
        <f t="shared" si="36"/>
        <v>1</v>
      </c>
      <c r="AT21" s="2">
        <f t="shared" si="36"/>
        <v>1</v>
      </c>
      <c r="AU21" s="2">
        <f t="shared" si="36"/>
        <v>1</v>
      </c>
      <c r="AV21" s="2">
        <f t="shared" si="36"/>
        <v>1</v>
      </c>
      <c r="AW21" s="2">
        <f t="shared" si="36"/>
        <v>1</v>
      </c>
      <c r="AX21" s="2">
        <f t="shared" si="36"/>
        <v>1</v>
      </c>
      <c r="AY21" s="2">
        <f t="shared" si="36"/>
        <v>1</v>
      </c>
      <c r="AZ21" s="2">
        <f t="shared" si="36"/>
        <v>1</v>
      </c>
      <c r="BA21" s="2">
        <f t="shared" si="36"/>
        <v>1</v>
      </c>
      <c r="BB21" s="2">
        <f t="shared" si="36"/>
        <v>1</v>
      </c>
      <c r="BC21" s="2">
        <f t="shared" si="36"/>
        <v>1</v>
      </c>
      <c r="BD21" s="2">
        <f t="shared" si="36"/>
        <v>1</v>
      </c>
      <c r="BE21" s="2">
        <f t="shared" si="36"/>
        <v>1</v>
      </c>
      <c r="BF21" s="2">
        <f t="shared" si="36"/>
        <v>1</v>
      </c>
      <c r="BG21" s="2">
        <f t="shared" si="36"/>
        <v>1</v>
      </c>
      <c r="BH21" s="2">
        <f t="shared" si="36"/>
        <v>1</v>
      </c>
      <c r="BI21" s="2">
        <f t="shared" si="36"/>
        <v>1</v>
      </c>
      <c r="BJ21" s="2">
        <f t="shared" si="36"/>
        <v>1</v>
      </c>
      <c r="BK21" s="2">
        <f t="shared" si="36"/>
        <v>1</v>
      </c>
      <c r="BL21" s="2">
        <f t="shared" si="36"/>
        <v>1</v>
      </c>
      <c r="BM21" s="2">
        <f t="shared" si="36"/>
        <v>1</v>
      </c>
      <c r="BN21" s="2">
        <f t="shared" si="36"/>
        <v>1</v>
      </c>
      <c r="BO21" s="2">
        <f t="shared" si="36"/>
        <v>1</v>
      </c>
      <c r="BP21" s="2">
        <f t="shared" si="36"/>
        <v>1</v>
      </c>
      <c r="BQ21" s="2">
        <f t="shared" si="36"/>
        <v>1</v>
      </c>
      <c r="BR21" s="2">
        <f t="shared" si="36"/>
        <v>1</v>
      </c>
      <c r="BS21" s="2">
        <f t="shared" ref="BS21:ED21" si="37">IF(BS26&lt;=$E$20,1,0)</f>
        <v>1</v>
      </c>
      <c r="BT21" s="2">
        <f t="shared" si="37"/>
        <v>1</v>
      </c>
      <c r="BU21" s="2">
        <f t="shared" si="37"/>
        <v>1</v>
      </c>
      <c r="BV21" s="2">
        <f t="shared" si="37"/>
        <v>1</v>
      </c>
      <c r="BW21" s="2">
        <f t="shared" si="37"/>
        <v>1</v>
      </c>
      <c r="BX21" s="2">
        <f t="shared" si="37"/>
        <v>1</v>
      </c>
      <c r="BY21" s="2">
        <f t="shared" si="37"/>
        <v>1</v>
      </c>
      <c r="BZ21" s="2">
        <f t="shared" si="37"/>
        <v>1</v>
      </c>
      <c r="CA21" s="2">
        <f t="shared" si="37"/>
        <v>1</v>
      </c>
      <c r="CB21" s="2">
        <f t="shared" si="37"/>
        <v>1</v>
      </c>
      <c r="CC21" s="2">
        <f t="shared" si="37"/>
        <v>1</v>
      </c>
      <c r="CD21" s="2">
        <f t="shared" si="37"/>
        <v>1</v>
      </c>
      <c r="CE21" s="2">
        <f t="shared" si="37"/>
        <v>1</v>
      </c>
      <c r="CF21" s="2">
        <f t="shared" si="37"/>
        <v>1</v>
      </c>
      <c r="CG21" s="2">
        <f t="shared" si="37"/>
        <v>1</v>
      </c>
      <c r="CH21" s="2">
        <f t="shared" si="37"/>
        <v>1</v>
      </c>
      <c r="CI21" s="2">
        <f t="shared" si="37"/>
        <v>1</v>
      </c>
      <c r="CJ21" s="2">
        <f t="shared" si="37"/>
        <v>1</v>
      </c>
      <c r="CK21" s="2">
        <f t="shared" si="37"/>
        <v>1</v>
      </c>
      <c r="CL21" s="2">
        <f t="shared" si="37"/>
        <v>1</v>
      </c>
      <c r="CM21" s="2">
        <f t="shared" si="37"/>
        <v>1</v>
      </c>
      <c r="CN21" s="2">
        <f t="shared" si="37"/>
        <v>1</v>
      </c>
      <c r="CO21" s="2">
        <f t="shared" si="37"/>
        <v>1</v>
      </c>
      <c r="CP21" s="2">
        <f t="shared" si="37"/>
        <v>1</v>
      </c>
      <c r="CQ21" s="2">
        <f t="shared" si="37"/>
        <v>1</v>
      </c>
      <c r="CR21" s="2">
        <f t="shared" si="37"/>
        <v>1</v>
      </c>
      <c r="CS21" s="2">
        <f t="shared" si="37"/>
        <v>1</v>
      </c>
      <c r="CT21" s="2">
        <f t="shared" si="37"/>
        <v>1</v>
      </c>
      <c r="CU21" s="2">
        <f t="shared" si="37"/>
        <v>1</v>
      </c>
      <c r="CV21" s="2">
        <f t="shared" si="37"/>
        <v>1</v>
      </c>
      <c r="CW21" s="2">
        <f t="shared" si="37"/>
        <v>1</v>
      </c>
      <c r="CX21" s="2">
        <f t="shared" si="37"/>
        <v>1</v>
      </c>
      <c r="CY21" s="2">
        <f t="shared" si="37"/>
        <v>1</v>
      </c>
      <c r="CZ21" s="2">
        <f t="shared" si="37"/>
        <v>1</v>
      </c>
      <c r="DA21" s="2">
        <f t="shared" si="37"/>
        <v>1</v>
      </c>
      <c r="DB21" s="2">
        <f t="shared" si="37"/>
        <v>1</v>
      </c>
      <c r="DC21" s="2">
        <f t="shared" si="37"/>
        <v>1</v>
      </c>
      <c r="DD21" s="2">
        <f t="shared" si="37"/>
        <v>1</v>
      </c>
      <c r="DE21" s="2">
        <f t="shared" si="37"/>
        <v>1</v>
      </c>
      <c r="DF21" s="2">
        <f t="shared" si="37"/>
        <v>1</v>
      </c>
      <c r="DG21" s="2">
        <f t="shared" si="37"/>
        <v>1</v>
      </c>
      <c r="DH21" s="2">
        <f t="shared" si="37"/>
        <v>1</v>
      </c>
      <c r="DI21" s="2">
        <f t="shared" si="37"/>
        <v>1</v>
      </c>
      <c r="DJ21" s="2">
        <f t="shared" si="37"/>
        <v>1</v>
      </c>
      <c r="DK21" s="2">
        <f t="shared" si="37"/>
        <v>1</v>
      </c>
      <c r="DL21" s="2">
        <f t="shared" si="37"/>
        <v>1</v>
      </c>
      <c r="DM21" s="2">
        <f t="shared" si="37"/>
        <v>1</v>
      </c>
      <c r="DN21" s="2">
        <f t="shared" si="37"/>
        <v>1</v>
      </c>
      <c r="DO21" s="2">
        <f t="shared" si="37"/>
        <v>1</v>
      </c>
      <c r="DP21" s="2">
        <f t="shared" si="37"/>
        <v>1</v>
      </c>
      <c r="DQ21" s="2">
        <f t="shared" si="37"/>
        <v>1</v>
      </c>
      <c r="DR21" s="2">
        <f t="shared" si="37"/>
        <v>1</v>
      </c>
      <c r="DS21" s="2">
        <f t="shared" si="37"/>
        <v>1</v>
      </c>
      <c r="DT21" s="2">
        <f t="shared" si="37"/>
        <v>1</v>
      </c>
      <c r="DU21" s="2">
        <f t="shared" si="37"/>
        <v>1</v>
      </c>
      <c r="DV21" s="2">
        <f t="shared" si="37"/>
        <v>1</v>
      </c>
      <c r="DW21" s="2">
        <f t="shared" si="37"/>
        <v>1</v>
      </c>
      <c r="DX21" s="2">
        <f t="shared" si="37"/>
        <v>1</v>
      </c>
      <c r="DY21" s="2">
        <f t="shared" si="37"/>
        <v>1</v>
      </c>
      <c r="DZ21" s="2">
        <f t="shared" si="37"/>
        <v>1</v>
      </c>
      <c r="EA21" s="2">
        <f t="shared" si="37"/>
        <v>1</v>
      </c>
      <c r="EB21" s="2">
        <f t="shared" si="37"/>
        <v>1</v>
      </c>
      <c r="EC21" s="2">
        <f t="shared" si="37"/>
        <v>1</v>
      </c>
      <c r="ED21" s="2">
        <f t="shared" si="37"/>
        <v>1</v>
      </c>
      <c r="EE21" s="2">
        <f t="shared" ref="EE21:GP21" si="38">IF(EE26&lt;=$E$20,1,0)</f>
        <v>1</v>
      </c>
      <c r="EF21" s="2">
        <f t="shared" si="38"/>
        <v>1</v>
      </c>
      <c r="EG21" s="2">
        <f t="shared" si="38"/>
        <v>1</v>
      </c>
      <c r="EH21" s="2">
        <f t="shared" si="38"/>
        <v>1</v>
      </c>
      <c r="EI21" s="2">
        <f t="shared" si="38"/>
        <v>1</v>
      </c>
      <c r="EJ21" s="2">
        <f t="shared" si="38"/>
        <v>1</v>
      </c>
      <c r="EK21" s="2">
        <f t="shared" si="38"/>
        <v>1</v>
      </c>
      <c r="EL21" s="2">
        <f t="shared" si="38"/>
        <v>1</v>
      </c>
      <c r="EM21" s="2">
        <f t="shared" si="38"/>
        <v>1</v>
      </c>
      <c r="EN21" s="2">
        <f t="shared" si="38"/>
        <v>1</v>
      </c>
      <c r="EO21" s="2">
        <f t="shared" si="38"/>
        <v>1</v>
      </c>
      <c r="EP21" s="2">
        <f t="shared" si="38"/>
        <v>1</v>
      </c>
      <c r="EQ21" s="2">
        <f t="shared" si="38"/>
        <v>1</v>
      </c>
      <c r="ER21" s="2">
        <f t="shared" si="38"/>
        <v>1</v>
      </c>
      <c r="ES21" s="2">
        <f t="shared" si="38"/>
        <v>1</v>
      </c>
      <c r="ET21" s="2">
        <f t="shared" si="38"/>
        <v>1</v>
      </c>
      <c r="EU21" s="2">
        <f t="shared" si="38"/>
        <v>1</v>
      </c>
      <c r="EV21" s="2">
        <f t="shared" si="38"/>
        <v>1</v>
      </c>
      <c r="EW21" s="2">
        <f t="shared" si="38"/>
        <v>1</v>
      </c>
      <c r="EX21" s="2">
        <f t="shared" si="38"/>
        <v>1</v>
      </c>
      <c r="EY21" s="2">
        <f t="shared" si="38"/>
        <v>1</v>
      </c>
      <c r="EZ21" s="2">
        <f t="shared" si="38"/>
        <v>1</v>
      </c>
      <c r="FA21" s="2">
        <f t="shared" si="38"/>
        <v>1</v>
      </c>
      <c r="FB21" s="2">
        <f t="shared" si="38"/>
        <v>1</v>
      </c>
      <c r="FC21" s="2">
        <f t="shared" si="38"/>
        <v>1</v>
      </c>
      <c r="FD21" s="2">
        <f t="shared" si="38"/>
        <v>1</v>
      </c>
      <c r="FE21" s="2">
        <f t="shared" si="38"/>
        <v>1</v>
      </c>
      <c r="FF21" s="2">
        <f t="shared" si="38"/>
        <v>1</v>
      </c>
      <c r="FG21" s="2">
        <f t="shared" si="38"/>
        <v>1</v>
      </c>
      <c r="FH21" s="2">
        <f t="shared" si="38"/>
        <v>1</v>
      </c>
      <c r="FI21" s="2">
        <f t="shared" si="38"/>
        <v>1</v>
      </c>
      <c r="FJ21" s="2">
        <f t="shared" si="38"/>
        <v>1</v>
      </c>
      <c r="FK21" s="2">
        <f t="shared" si="38"/>
        <v>1</v>
      </c>
      <c r="FL21" s="2">
        <f t="shared" si="38"/>
        <v>1</v>
      </c>
      <c r="FM21" s="2">
        <f t="shared" si="38"/>
        <v>1</v>
      </c>
      <c r="FN21" s="2">
        <f t="shared" si="38"/>
        <v>1</v>
      </c>
      <c r="FO21" s="2">
        <f t="shared" si="38"/>
        <v>1</v>
      </c>
      <c r="FP21" s="2">
        <f t="shared" si="38"/>
        <v>1</v>
      </c>
      <c r="FQ21" s="2">
        <f t="shared" si="38"/>
        <v>1</v>
      </c>
      <c r="FR21" s="2">
        <f t="shared" si="38"/>
        <v>1</v>
      </c>
      <c r="FS21" s="2">
        <f t="shared" si="38"/>
        <v>1</v>
      </c>
      <c r="FT21" s="2">
        <f t="shared" si="38"/>
        <v>1</v>
      </c>
      <c r="FU21" s="2">
        <f t="shared" si="38"/>
        <v>1</v>
      </c>
      <c r="FV21" s="2">
        <f t="shared" si="38"/>
        <v>1</v>
      </c>
      <c r="FW21" s="2">
        <f t="shared" si="38"/>
        <v>1</v>
      </c>
      <c r="FX21" s="2">
        <f t="shared" si="38"/>
        <v>1</v>
      </c>
      <c r="FY21" s="2">
        <f t="shared" si="38"/>
        <v>1</v>
      </c>
      <c r="FZ21" s="2">
        <f t="shared" si="38"/>
        <v>1</v>
      </c>
      <c r="GA21" s="2">
        <f t="shared" si="38"/>
        <v>1</v>
      </c>
      <c r="GB21" s="2">
        <f t="shared" si="38"/>
        <v>1</v>
      </c>
      <c r="GC21" s="2">
        <f t="shared" si="38"/>
        <v>1</v>
      </c>
      <c r="GD21" s="2">
        <f t="shared" si="38"/>
        <v>1</v>
      </c>
      <c r="GE21" s="2">
        <f t="shared" si="38"/>
        <v>0</v>
      </c>
      <c r="GF21" s="2">
        <f t="shared" si="38"/>
        <v>0</v>
      </c>
      <c r="GG21" s="2">
        <f t="shared" si="38"/>
        <v>0</v>
      </c>
      <c r="GH21" s="2">
        <f t="shared" si="38"/>
        <v>0</v>
      </c>
      <c r="GI21" s="2">
        <f t="shared" si="38"/>
        <v>0</v>
      </c>
      <c r="GJ21" s="2">
        <f t="shared" si="38"/>
        <v>0</v>
      </c>
      <c r="GK21" s="2">
        <f t="shared" si="38"/>
        <v>0</v>
      </c>
      <c r="GL21" s="2">
        <f t="shared" si="38"/>
        <v>0</v>
      </c>
      <c r="GM21" s="2">
        <f t="shared" si="38"/>
        <v>0</v>
      </c>
      <c r="GN21" s="2">
        <f t="shared" si="38"/>
        <v>0</v>
      </c>
      <c r="GO21" s="2">
        <f t="shared" si="38"/>
        <v>0</v>
      </c>
      <c r="GP21" s="2">
        <f t="shared" si="38"/>
        <v>0</v>
      </c>
      <c r="GQ21" s="2">
        <f t="shared" ref="GQ21:JB21" si="39">IF(GQ26&lt;=$E$20,1,0)</f>
        <v>0</v>
      </c>
      <c r="GR21" s="2">
        <f t="shared" si="39"/>
        <v>0</v>
      </c>
      <c r="GS21" s="2">
        <f t="shared" si="39"/>
        <v>0</v>
      </c>
      <c r="GT21" s="2">
        <f t="shared" si="39"/>
        <v>0</v>
      </c>
      <c r="GU21" s="2">
        <f t="shared" si="39"/>
        <v>0</v>
      </c>
      <c r="GV21" s="2">
        <f t="shared" si="39"/>
        <v>0</v>
      </c>
      <c r="GW21" s="2">
        <f t="shared" si="39"/>
        <v>0</v>
      </c>
      <c r="GX21" s="2">
        <f t="shared" si="39"/>
        <v>0</v>
      </c>
      <c r="GY21" s="2">
        <f t="shared" si="39"/>
        <v>0</v>
      </c>
      <c r="GZ21" s="2">
        <f t="shared" si="39"/>
        <v>0</v>
      </c>
      <c r="HA21" s="2">
        <f t="shared" si="39"/>
        <v>0</v>
      </c>
      <c r="HB21" s="2">
        <f t="shared" si="39"/>
        <v>0</v>
      </c>
      <c r="HC21" s="2">
        <f t="shared" si="39"/>
        <v>0</v>
      </c>
      <c r="HD21" s="2">
        <f t="shared" si="39"/>
        <v>0</v>
      </c>
      <c r="HE21" s="2">
        <f t="shared" si="39"/>
        <v>0</v>
      </c>
      <c r="HF21" s="2">
        <f t="shared" si="39"/>
        <v>0</v>
      </c>
      <c r="HG21" s="2">
        <f t="shared" si="39"/>
        <v>0</v>
      </c>
      <c r="HH21" s="2">
        <f t="shared" si="39"/>
        <v>0</v>
      </c>
      <c r="HI21" s="2">
        <f t="shared" si="39"/>
        <v>0</v>
      </c>
      <c r="HJ21" s="2">
        <f t="shared" si="39"/>
        <v>0</v>
      </c>
      <c r="HK21" s="2">
        <f t="shared" si="39"/>
        <v>0</v>
      </c>
      <c r="HL21" s="2">
        <f t="shared" si="39"/>
        <v>0</v>
      </c>
      <c r="HM21" s="2">
        <f t="shared" si="39"/>
        <v>0</v>
      </c>
      <c r="HN21" s="2">
        <f t="shared" si="39"/>
        <v>0</v>
      </c>
      <c r="HO21" s="2">
        <f t="shared" si="39"/>
        <v>0</v>
      </c>
      <c r="HP21" s="2">
        <f t="shared" si="39"/>
        <v>0</v>
      </c>
      <c r="HQ21" s="2">
        <f t="shared" si="39"/>
        <v>0</v>
      </c>
      <c r="HR21" s="2">
        <f t="shared" si="39"/>
        <v>0</v>
      </c>
      <c r="HS21" s="2">
        <f t="shared" si="39"/>
        <v>0</v>
      </c>
      <c r="HT21" s="2">
        <f t="shared" si="39"/>
        <v>0</v>
      </c>
      <c r="HU21" s="2">
        <f t="shared" si="39"/>
        <v>0</v>
      </c>
      <c r="HV21" s="2">
        <f t="shared" si="39"/>
        <v>0</v>
      </c>
      <c r="HW21" s="2">
        <f t="shared" si="39"/>
        <v>0</v>
      </c>
      <c r="HX21" s="2">
        <f t="shared" si="39"/>
        <v>0</v>
      </c>
      <c r="HY21" s="2">
        <f t="shared" si="39"/>
        <v>0</v>
      </c>
      <c r="HZ21" s="2">
        <f t="shared" si="39"/>
        <v>0</v>
      </c>
      <c r="IA21" s="2">
        <f t="shared" si="39"/>
        <v>0</v>
      </c>
      <c r="IB21" s="2">
        <f t="shared" si="39"/>
        <v>0</v>
      </c>
      <c r="IC21" s="2">
        <f t="shared" si="39"/>
        <v>0</v>
      </c>
      <c r="ID21" s="2">
        <f t="shared" si="39"/>
        <v>0</v>
      </c>
      <c r="IE21" s="2">
        <f t="shared" si="39"/>
        <v>0</v>
      </c>
      <c r="IF21" s="2">
        <f t="shared" si="39"/>
        <v>0</v>
      </c>
      <c r="IG21" s="2">
        <f t="shared" si="39"/>
        <v>0</v>
      </c>
      <c r="IH21" s="2">
        <f t="shared" si="39"/>
        <v>0</v>
      </c>
      <c r="II21" s="2">
        <f t="shared" si="39"/>
        <v>0</v>
      </c>
      <c r="IJ21" s="2">
        <f t="shared" si="39"/>
        <v>0</v>
      </c>
      <c r="IK21" s="2">
        <f t="shared" si="39"/>
        <v>0</v>
      </c>
      <c r="IL21" s="2">
        <f t="shared" si="39"/>
        <v>0</v>
      </c>
      <c r="IM21" s="2">
        <f t="shared" si="39"/>
        <v>0</v>
      </c>
      <c r="IN21" s="2">
        <f t="shared" si="39"/>
        <v>0</v>
      </c>
      <c r="IO21" s="2">
        <f t="shared" si="39"/>
        <v>0</v>
      </c>
      <c r="IP21" s="2">
        <f t="shared" si="39"/>
        <v>0</v>
      </c>
      <c r="IQ21" s="2">
        <f t="shared" si="39"/>
        <v>0</v>
      </c>
      <c r="IR21" s="2">
        <f t="shared" si="39"/>
        <v>0</v>
      </c>
      <c r="IS21" s="2">
        <f t="shared" si="39"/>
        <v>0</v>
      </c>
      <c r="IT21" s="2">
        <f t="shared" si="39"/>
        <v>0</v>
      </c>
      <c r="IU21" s="2">
        <f t="shared" si="39"/>
        <v>0</v>
      </c>
      <c r="IV21" s="2">
        <f t="shared" si="39"/>
        <v>0</v>
      </c>
      <c r="IW21" s="2">
        <f t="shared" si="39"/>
        <v>0</v>
      </c>
      <c r="IX21" s="2">
        <f t="shared" si="39"/>
        <v>0</v>
      </c>
      <c r="IY21" s="2">
        <f t="shared" si="39"/>
        <v>0</v>
      </c>
      <c r="IZ21" s="2">
        <f t="shared" si="39"/>
        <v>0</v>
      </c>
      <c r="JA21" s="2">
        <f t="shared" si="39"/>
        <v>0</v>
      </c>
      <c r="JB21" s="2">
        <f t="shared" si="39"/>
        <v>0</v>
      </c>
      <c r="JC21" s="2">
        <f t="shared" ref="JC21:LN21" si="40">IF(JC26&lt;=$E$20,1,0)</f>
        <v>0</v>
      </c>
      <c r="JD21" s="2">
        <f t="shared" si="40"/>
        <v>0</v>
      </c>
      <c r="JE21" s="2">
        <f t="shared" si="40"/>
        <v>0</v>
      </c>
      <c r="JF21" s="2">
        <f t="shared" si="40"/>
        <v>0</v>
      </c>
      <c r="JG21" s="2">
        <f t="shared" si="40"/>
        <v>0</v>
      </c>
      <c r="JH21" s="2">
        <f t="shared" si="40"/>
        <v>0</v>
      </c>
      <c r="JI21" s="2">
        <f t="shared" si="40"/>
        <v>0</v>
      </c>
      <c r="JJ21" s="2">
        <f t="shared" si="40"/>
        <v>0</v>
      </c>
      <c r="JK21" s="2">
        <f t="shared" si="40"/>
        <v>0</v>
      </c>
      <c r="JL21" s="2">
        <f t="shared" si="40"/>
        <v>0</v>
      </c>
      <c r="JM21" s="2">
        <f t="shared" si="40"/>
        <v>0</v>
      </c>
      <c r="JN21" s="2">
        <f t="shared" si="40"/>
        <v>0</v>
      </c>
      <c r="JO21" s="2">
        <f t="shared" si="40"/>
        <v>0</v>
      </c>
      <c r="JP21" s="2">
        <f t="shared" si="40"/>
        <v>0</v>
      </c>
      <c r="JQ21" s="2">
        <f t="shared" si="40"/>
        <v>0</v>
      </c>
      <c r="JR21" s="2">
        <f t="shared" si="40"/>
        <v>0</v>
      </c>
      <c r="JS21" s="2">
        <f t="shared" si="40"/>
        <v>0</v>
      </c>
      <c r="JT21" s="2">
        <f t="shared" si="40"/>
        <v>0</v>
      </c>
      <c r="JU21" s="2">
        <f t="shared" si="40"/>
        <v>0</v>
      </c>
      <c r="JV21" s="2">
        <f t="shared" si="40"/>
        <v>0</v>
      </c>
      <c r="JW21" s="2">
        <f t="shared" si="40"/>
        <v>0</v>
      </c>
      <c r="JX21" s="2">
        <f t="shared" si="40"/>
        <v>0</v>
      </c>
      <c r="JY21" s="2">
        <f t="shared" si="40"/>
        <v>0</v>
      </c>
      <c r="JZ21" s="2">
        <f t="shared" si="40"/>
        <v>0</v>
      </c>
      <c r="KA21" s="2">
        <f t="shared" si="40"/>
        <v>0</v>
      </c>
      <c r="KB21" s="2">
        <f t="shared" si="40"/>
        <v>0</v>
      </c>
      <c r="KC21" s="2">
        <f t="shared" si="40"/>
        <v>0</v>
      </c>
      <c r="KD21" s="2">
        <f t="shared" si="40"/>
        <v>0</v>
      </c>
      <c r="KE21" s="2">
        <f t="shared" si="40"/>
        <v>0</v>
      </c>
      <c r="KF21" s="2">
        <f t="shared" si="40"/>
        <v>0</v>
      </c>
      <c r="KG21" s="2">
        <f t="shared" si="40"/>
        <v>0</v>
      </c>
      <c r="KH21" s="2">
        <f t="shared" si="40"/>
        <v>0</v>
      </c>
      <c r="KI21" s="2">
        <f t="shared" si="40"/>
        <v>0</v>
      </c>
      <c r="KJ21" s="2">
        <f t="shared" si="40"/>
        <v>0</v>
      </c>
      <c r="KK21" s="2">
        <f t="shared" si="40"/>
        <v>0</v>
      </c>
      <c r="KL21" s="2">
        <f t="shared" si="40"/>
        <v>0</v>
      </c>
      <c r="KM21" s="2">
        <f t="shared" si="40"/>
        <v>0</v>
      </c>
      <c r="KN21" s="2">
        <f t="shared" si="40"/>
        <v>0</v>
      </c>
      <c r="KO21" s="2">
        <f t="shared" si="40"/>
        <v>0</v>
      </c>
      <c r="KP21" s="2">
        <f t="shared" si="40"/>
        <v>0</v>
      </c>
      <c r="KQ21" s="2">
        <f t="shared" si="40"/>
        <v>0</v>
      </c>
      <c r="KR21" s="2">
        <f t="shared" si="40"/>
        <v>0</v>
      </c>
      <c r="KS21" s="2">
        <f t="shared" si="40"/>
        <v>0</v>
      </c>
      <c r="KT21" s="2">
        <f t="shared" si="40"/>
        <v>0</v>
      </c>
      <c r="KU21" s="2">
        <f t="shared" si="40"/>
        <v>0</v>
      </c>
      <c r="KV21" s="2">
        <f t="shared" si="40"/>
        <v>0</v>
      </c>
      <c r="KW21" s="2">
        <f t="shared" si="40"/>
        <v>0</v>
      </c>
      <c r="KX21" s="2">
        <f t="shared" si="40"/>
        <v>0</v>
      </c>
      <c r="KY21" s="2">
        <f t="shared" si="40"/>
        <v>0</v>
      </c>
      <c r="KZ21" s="2">
        <f t="shared" si="40"/>
        <v>0</v>
      </c>
      <c r="LA21" s="2">
        <f t="shared" si="40"/>
        <v>0</v>
      </c>
      <c r="LB21" s="2">
        <f t="shared" si="40"/>
        <v>0</v>
      </c>
      <c r="LC21" s="2">
        <f t="shared" si="40"/>
        <v>0</v>
      </c>
      <c r="LD21" s="2">
        <f t="shared" si="40"/>
        <v>0</v>
      </c>
      <c r="LE21" s="2">
        <f t="shared" si="40"/>
        <v>0</v>
      </c>
      <c r="LF21" s="2">
        <f t="shared" si="40"/>
        <v>0</v>
      </c>
      <c r="LG21" s="2">
        <f t="shared" si="40"/>
        <v>0</v>
      </c>
      <c r="LH21" s="2">
        <f t="shared" si="40"/>
        <v>0</v>
      </c>
      <c r="LI21" s="2">
        <f t="shared" si="40"/>
        <v>0</v>
      </c>
      <c r="LJ21" s="2">
        <f t="shared" si="40"/>
        <v>0</v>
      </c>
      <c r="LK21" s="2">
        <f t="shared" si="40"/>
        <v>0</v>
      </c>
      <c r="LL21" s="2">
        <f t="shared" si="40"/>
        <v>0</v>
      </c>
      <c r="LM21" s="2">
        <f t="shared" si="40"/>
        <v>0</v>
      </c>
      <c r="LN21" s="2">
        <f t="shared" si="40"/>
        <v>0</v>
      </c>
      <c r="LO21" s="2">
        <f t="shared" ref="LO21:NZ21" si="41">IF(LO26&lt;=$E$20,1,0)</f>
        <v>0</v>
      </c>
      <c r="LP21" s="2">
        <f t="shared" si="41"/>
        <v>0</v>
      </c>
      <c r="LQ21" s="2">
        <f t="shared" si="41"/>
        <v>0</v>
      </c>
      <c r="LR21" s="2">
        <f t="shared" si="41"/>
        <v>0</v>
      </c>
      <c r="LS21" s="2">
        <f t="shared" si="41"/>
        <v>0</v>
      </c>
      <c r="LT21" s="2">
        <f t="shared" si="41"/>
        <v>0</v>
      </c>
      <c r="LU21" s="2">
        <f t="shared" si="41"/>
        <v>0</v>
      </c>
      <c r="LV21" s="2">
        <f t="shared" si="41"/>
        <v>0</v>
      </c>
      <c r="LW21" s="2">
        <f t="shared" si="41"/>
        <v>0</v>
      </c>
      <c r="LX21" s="2">
        <f t="shared" si="41"/>
        <v>0</v>
      </c>
      <c r="LY21" s="2">
        <f t="shared" si="41"/>
        <v>0</v>
      </c>
      <c r="LZ21" s="2">
        <f t="shared" si="41"/>
        <v>0</v>
      </c>
      <c r="MA21" s="2">
        <f t="shared" si="41"/>
        <v>0</v>
      </c>
      <c r="MB21" s="2">
        <f t="shared" si="41"/>
        <v>0</v>
      </c>
      <c r="MC21" s="2">
        <f t="shared" si="41"/>
        <v>0</v>
      </c>
      <c r="MD21" s="2">
        <f t="shared" si="41"/>
        <v>0</v>
      </c>
      <c r="ME21" s="2">
        <f t="shared" si="41"/>
        <v>0</v>
      </c>
      <c r="MF21" s="2">
        <f t="shared" si="41"/>
        <v>0</v>
      </c>
      <c r="MG21" s="2">
        <f t="shared" si="41"/>
        <v>0</v>
      </c>
      <c r="MH21" s="2">
        <f t="shared" si="41"/>
        <v>0</v>
      </c>
      <c r="MI21" s="2">
        <f t="shared" si="41"/>
        <v>0</v>
      </c>
      <c r="MJ21" s="2">
        <f t="shared" si="41"/>
        <v>0</v>
      </c>
      <c r="MK21" s="2">
        <f t="shared" si="41"/>
        <v>0</v>
      </c>
      <c r="ML21" s="2">
        <f t="shared" si="41"/>
        <v>0</v>
      </c>
      <c r="MM21" s="2">
        <f t="shared" si="41"/>
        <v>0</v>
      </c>
      <c r="MN21" s="2">
        <f t="shared" si="41"/>
        <v>0</v>
      </c>
      <c r="MO21" s="2">
        <f t="shared" si="41"/>
        <v>0</v>
      </c>
      <c r="MP21" s="2">
        <f t="shared" si="41"/>
        <v>0</v>
      </c>
      <c r="MQ21" s="2">
        <f t="shared" si="41"/>
        <v>0</v>
      </c>
      <c r="MR21" s="2">
        <f t="shared" si="41"/>
        <v>0</v>
      </c>
      <c r="MS21" s="2">
        <f t="shared" si="41"/>
        <v>0</v>
      </c>
      <c r="MT21" s="2">
        <f t="shared" si="41"/>
        <v>0</v>
      </c>
      <c r="MU21" s="2">
        <f t="shared" si="41"/>
        <v>0</v>
      </c>
      <c r="MV21" s="2">
        <f t="shared" si="41"/>
        <v>0</v>
      </c>
      <c r="MW21" s="2">
        <f t="shared" si="41"/>
        <v>0</v>
      </c>
      <c r="MX21" s="2">
        <f t="shared" si="41"/>
        <v>0</v>
      </c>
      <c r="MY21" s="2">
        <f t="shared" si="41"/>
        <v>0</v>
      </c>
      <c r="MZ21" s="2">
        <f t="shared" si="41"/>
        <v>0</v>
      </c>
      <c r="NA21" s="2">
        <f t="shared" si="41"/>
        <v>0</v>
      </c>
      <c r="NB21" s="2">
        <f t="shared" si="41"/>
        <v>0</v>
      </c>
      <c r="NC21" s="2">
        <f t="shared" si="41"/>
        <v>0</v>
      </c>
      <c r="ND21" s="2">
        <f t="shared" si="41"/>
        <v>0</v>
      </c>
      <c r="NE21" s="2">
        <f t="shared" si="41"/>
        <v>0</v>
      </c>
      <c r="NF21" s="2">
        <f t="shared" si="41"/>
        <v>0</v>
      </c>
      <c r="NG21" s="2">
        <f t="shared" si="41"/>
        <v>0</v>
      </c>
      <c r="NH21" s="2">
        <f t="shared" si="41"/>
        <v>0</v>
      </c>
      <c r="NI21" s="2">
        <f t="shared" si="41"/>
        <v>0</v>
      </c>
      <c r="NJ21" s="2">
        <f t="shared" si="41"/>
        <v>0</v>
      </c>
      <c r="NK21" s="2">
        <f t="shared" si="41"/>
        <v>0</v>
      </c>
      <c r="NL21" s="2">
        <f t="shared" si="41"/>
        <v>0</v>
      </c>
      <c r="NM21" s="2">
        <f t="shared" si="41"/>
        <v>0</v>
      </c>
      <c r="NN21" s="2">
        <f t="shared" si="41"/>
        <v>0</v>
      </c>
      <c r="NO21" s="2">
        <f t="shared" si="41"/>
        <v>0</v>
      </c>
      <c r="NP21" s="2">
        <f t="shared" si="41"/>
        <v>0</v>
      </c>
      <c r="NQ21" s="2">
        <f t="shared" si="41"/>
        <v>0</v>
      </c>
      <c r="NR21" s="2">
        <f t="shared" si="41"/>
        <v>0</v>
      </c>
      <c r="NS21" s="2">
        <f t="shared" si="41"/>
        <v>0</v>
      </c>
      <c r="NT21" s="2">
        <f t="shared" si="41"/>
        <v>0</v>
      </c>
      <c r="NU21" s="2">
        <f t="shared" si="41"/>
        <v>0</v>
      </c>
      <c r="NV21" s="2">
        <f t="shared" si="41"/>
        <v>0</v>
      </c>
      <c r="NW21" s="2">
        <f t="shared" si="41"/>
        <v>0</v>
      </c>
      <c r="NX21" s="2">
        <f t="shared" si="41"/>
        <v>0</v>
      </c>
      <c r="NY21" s="2">
        <f t="shared" si="41"/>
        <v>0</v>
      </c>
      <c r="NZ21" s="2">
        <f t="shared" si="41"/>
        <v>0</v>
      </c>
      <c r="OA21" s="2">
        <f t="shared" ref="OA21:QL21" si="42">IF(OA26&lt;=$E$20,1,0)</f>
        <v>0</v>
      </c>
      <c r="OB21" s="2">
        <f t="shared" si="42"/>
        <v>0</v>
      </c>
      <c r="OC21" s="2">
        <f t="shared" si="42"/>
        <v>0</v>
      </c>
      <c r="OD21" s="2">
        <f t="shared" si="42"/>
        <v>0</v>
      </c>
      <c r="OE21" s="2">
        <f t="shared" si="42"/>
        <v>0</v>
      </c>
      <c r="OF21" s="2">
        <f t="shared" si="42"/>
        <v>0</v>
      </c>
      <c r="OG21" s="2">
        <f t="shared" si="42"/>
        <v>0</v>
      </c>
      <c r="OH21" s="2">
        <f t="shared" si="42"/>
        <v>0</v>
      </c>
      <c r="OI21" s="2">
        <f t="shared" si="42"/>
        <v>0</v>
      </c>
      <c r="OJ21" s="2">
        <f t="shared" si="42"/>
        <v>0</v>
      </c>
      <c r="OK21" s="2">
        <f t="shared" si="42"/>
        <v>0</v>
      </c>
      <c r="OL21" s="2">
        <f t="shared" si="42"/>
        <v>0</v>
      </c>
      <c r="OM21" s="2">
        <f t="shared" si="42"/>
        <v>0</v>
      </c>
      <c r="ON21" s="2">
        <f t="shared" si="42"/>
        <v>0</v>
      </c>
      <c r="OO21" s="2">
        <f t="shared" si="42"/>
        <v>0</v>
      </c>
      <c r="OP21" s="2">
        <f t="shared" si="42"/>
        <v>0</v>
      </c>
      <c r="OQ21" s="2">
        <f t="shared" si="42"/>
        <v>0</v>
      </c>
      <c r="OR21" s="2">
        <f t="shared" si="42"/>
        <v>0</v>
      </c>
      <c r="OS21" s="2">
        <f t="shared" si="42"/>
        <v>0</v>
      </c>
      <c r="OT21" s="2">
        <f t="shared" si="42"/>
        <v>0</v>
      </c>
      <c r="OU21" s="2">
        <f t="shared" si="42"/>
        <v>0</v>
      </c>
      <c r="OV21" s="2">
        <f t="shared" si="42"/>
        <v>0</v>
      </c>
      <c r="OW21" s="2">
        <f t="shared" si="42"/>
        <v>0</v>
      </c>
      <c r="OX21" s="2">
        <f t="shared" si="42"/>
        <v>0</v>
      </c>
      <c r="OY21" s="2">
        <f t="shared" si="42"/>
        <v>0</v>
      </c>
      <c r="OZ21" s="2">
        <f t="shared" si="42"/>
        <v>0</v>
      </c>
      <c r="PA21" s="2">
        <f t="shared" si="42"/>
        <v>0</v>
      </c>
      <c r="PB21" s="2">
        <f t="shared" si="42"/>
        <v>0</v>
      </c>
      <c r="PC21" s="2">
        <f t="shared" si="42"/>
        <v>0</v>
      </c>
      <c r="PD21" s="2">
        <f t="shared" si="42"/>
        <v>0</v>
      </c>
      <c r="PE21" s="2">
        <f t="shared" si="42"/>
        <v>0</v>
      </c>
      <c r="PF21" s="2">
        <f t="shared" si="42"/>
        <v>0</v>
      </c>
      <c r="PG21" s="2">
        <f t="shared" si="42"/>
        <v>0</v>
      </c>
      <c r="PH21" s="2">
        <f t="shared" si="42"/>
        <v>0</v>
      </c>
      <c r="PI21" s="2">
        <f t="shared" si="42"/>
        <v>0</v>
      </c>
      <c r="PJ21" s="2">
        <f t="shared" si="42"/>
        <v>0</v>
      </c>
      <c r="PK21" s="2">
        <f t="shared" si="42"/>
        <v>0</v>
      </c>
      <c r="PL21" s="2">
        <f t="shared" si="42"/>
        <v>0</v>
      </c>
      <c r="PM21" s="2">
        <f t="shared" si="42"/>
        <v>0</v>
      </c>
      <c r="PN21" s="2">
        <f t="shared" si="42"/>
        <v>0</v>
      </c>
      <c r="PO21" s="2">
        <f t="shared" si="42"/>
        <v>0</v>
      </c>
      <c r="PP21" s="2">
        <f t="shared" si="42"/>
        <v>0</v>
      </c>
      <c r="PQ21" s="2">
        <f t="shared" si="42"/>
        <v>0</v>
      </c>
      <c r="PR21" s="2">
        <f t="shared" si="42"/>
        <v>0</v>
      </c>
      <c r="PS21" s="2">
        <f t="shared" si="42"/>
        <v>0</v>
      </c>
      <c r="PT21" s="2">
        <f t="shared" si="42"/>
        <v>0</v>
      </c>
      <c r="PU21" s="2">
        <f t="shared" si="42"/>
        <v>0</v>
      </c>
      <c r="PV21" s="2">
        <f t="shared" si="42"/>
        <v>0</v>
      </c>
      <c r="PW21" s="2">
        <f t="shared" si="42"/>
        <v>0</v>
      </c>
      <c r="PX21" s="2">
        <f t="shared" si="42"/>
        <v>0</v>
      </c>
      <c r="PY21" s="2">
        <f t="shared" si="42"/>
        <v>0</v>
      </c>
      <c r="PZ21" s="2">
        <f t="shared" si="42"/>
        <v>0</v>
      </c>
      <c r="QA21" s="2">
        <f t="shared" si="42"/>
        <v>0</v>
      </c>
      <c r="QB21" s="2">
        <f t="shared" si="42"/>
        <v>0</v>
      </c>
      <c r="QC21" s="2">
        <f t="shared" si="42"/>
        <v>0</v>
      </c>
      <c r="QD21" s="2">
        <f t="shared" si="42"/>
        <v>0</v>
      </c>
      <c r="QE21" s="2">
        <f t="shared" si="42"/>
        <v>0</v>
      </c>
      <c r="QF21" s="2">
        <f t="shared" si="42"/>
        <v>0</v>
      </c>
      <c r="QG21" s="2">
        <f t="shared" si="42"/>
        <v>0</v>
      </c>
      <c r="QH21" s="2">
        <f t="shared" si="42"/>
        <v>0</v>
      </c>
      <c r="QI21" s="2">
        <f t="shared" si="42"/>
        <v>0</v>
      </c>
      <c r="QJ21" s="2">
        <f t="shared" si="42"/>
        <v>0</v>
      </c>
      <c r="QK21" s="2">
        <f t="shared" si="42"/>
        <v>0</v>
      </c>
      <c r="QL21" s="2">
        <f t="shared" si="42"/>
        <v>0</v>
      </c>
      <c r="QM21" s="2">
        <f t="shared" ref="QM21:SX21" si="43">IF(QM26&lt;=$E$20,1,0)</f>
        <v>0</v>
      </c>
      <c r="QN21" s="2">
        <f t="shared" si="43"/>
        <v>0</v>
      </c>
      <c r="QO21" s="2">
        <f t="shared" si="43"/>
        <v>0</v>
      </c>
      <c r="QP21" s="2">
        <f t="shared" si="43"/>
        <v>0</v>
      </c>
      <c r="QQ21" s="2">
        <f t="shared" si="43"/>
        <v>0</v>
      </c>
      <c r="QR21" s="2">
        <f t="shared" si="43"/>
        <v>0</v>
      </c>
      <c r="QS21" s="2">
        <f t="shared" si="43"/>
        <v>0</v>
      </c>
      <c r="QT21" s="2">
        <f t="shared" si="43"/>
        <v>0</v>
      </c>
      <c r="QU21" s="2">
        <f t="shared" si="43"/>
        <v>0</v>
      </c>
      <c r="QV21" s="2">
        <f t="shared" si="43"/>
        <v>0</v>
      </c>
      <c r="QW21" s="2">
        <f t="shared" si="43"/>
        <v>0</v>
      </c>
      <c r="QX21" s="2">
        <f t="shared" si="43"/>
        <v>0</v>
      </c>
      <c r="QY21" s="2">
        <f t="shared" si="43"/>
        <v>0</v>
      </c>
      <c r="QZ21" s="2">
        <f t="shared" si="43"/>
        <v>0</v>
      </c>
      <c r="RA21" s="2">
        <f t="shared" si="43"/>
        <v>0</v>
      </c>
      <c r="RB21" s="2">
        <f t="shared" si="43"/>
        <v>0</v>
      </c>
      <c r="RC21" s="2">
        <f t="shared" si="43"/>
        <v>0</v>
      </c>
      <c r="RD21" s="2">
        <f t="shared" si="43"/>
        <v>0</v>
      </c>
      <c r="RE21" s="2">
        <f t="shared" si="43"/>
        <v>0</v>
      </c>
      <c r="RF21" s="2">
        <f t="shared" si="43"/>
        <v>0</v>
      </c>
      <c r="RG21" s="2">
        <f t="shared" si="43"/>
        <v>0</v>
      </c>
      <c r="RH21" s="2">
        <f t="shared" si="43"/>
        <v>0</v>
      </c>
      <c r="RI21" s="2">
        <f t="shared" si="43"/>
        <v>0</v>
      </c>
      <c r="RJ21" s="2">
        <f t="shared" si="43"/>
        <v>0</v>
      </c>
      <c r="RK21" s="2">
        <f t="shared" si="43"/>
        <v>0</v>
      </c>
      <c r="RL21" s="2">
        <f t="shared" si="43"/>
        <v>0</v>
      </c>
      <c r="RM21" s="2">
        <f t="shared" si="43"/>
        <v>0</v>
      </c>
      <c r="RN21" s="2">
        <f t="shared" si="43"/>
        <v>0</v>
      </c>
      <c r="RO21" s="2">
        <f t="shared" si="43"/>
        <v>0</v>
      </c>
      <c r="RP21" s="2">
        <f t="shared" si="43"/>
        <v>0</v>
      </c>
      <c r="RQ21" s="2">
        <f t="shared" si="43"/>
        <v>0</v>
      </c>
      <c r="RR21" s="2">
        <f t="shared" si="43"/>
        <v>0</v>
      </c>
      <c r="RS21" s="2">
        <f t="shared" si="43"/>
        <v>0</v>
      </c>
      <c r="RT21" s="2">
        <f t="shared" si="43"/>
        <v>0</v>
      </c>
      <c r="RU21" s="2">
        <f t="shared" si="43"/>
        <v>0</v>
      </c>
      <c r="RV21" s="2">
        <f t="shared" si="43"/>
        <v>0</v>
      </c>
      <c r="RW21" s="2">
        <f t="shared" si="43"/>
        <v>0</v>
      </c>
      <c r="RX21" s="2">
        <f t="shared" si="43"/>
        <v>0</v>
      </c>
      <c r="RY21" s="2">
        <f t="shared" si="43"/>
        <v>0</v>
      </c>
      <c r="RZ21" s="2">
        <f t="shared" si="43"/>
        <v>0</v>
      </c>
      <c r="SA21" s="2">
        <f t="shared" si="43"/>
        <v>0</v>
      </c>
      <c r="SB21" s="2">
        <f t="shared" si="43"/>
        <v>0</v>
      </c>
      <c r="SC21" s="2">
        <f t="shared" si="43"/>
        <v>0</v>
      </c>
      <c r="SD21" s="2">
        <f t="shared" si="43"/>
        <v>0</v>
      </c>
      <c r="SE21" s="2">
        <f t="shared" si="43"/>
        <v>0</v>
      </c>
      <c r="SF21" s="2">
        <f t="shared" si="43"/>
        <v>0</v>
      </c>
      <c r="SG21" s="2">
        <f t="shared" si="43"/>
        <v>0</v>
      </c>
      <c r="SH21" s="2">
        <f t="shared" si="43"/>
        <v>0</v>
      </c>
      <c r="SI21" s="2">
        <f t="shared" si="43"/>
        <v>0</v>
      </c>
      <c r="SJ21" s="2">
        <f t="shared" si="43"/>
        <v>0</v>
      </c>
      <c r="SK21" s="2">
        <f t="shared" si="43"/>
        <v>0</v>
      </c>
      <c r="SL21" s="2">
        <f t="shared" si="43"/>
        <v>0</v>
      </c>
      <c r="SM21" s="2">
        <f t="shared" si="43"/>
        <v>0</v>
      </c>
      <c r="SN21" s="2">
        <f t="shared" si="43"/>
        <v>0</v>
      </c>
      <c r="SO21" s="2">
        <f t="shared" si="43"/>
        <v>0</v>
      </c>
      <c r="SP21" s="2">
        <f t="shared" si="43"/>
        <v>0</v>
      </c>
      <c r="SQ21" s="2">
        <f t="shared" si="43"/>
        <v>0</v>
      </c>
      <c r="SR21" s="2">
        <f t="shared" si="43"/>
        <v>0</v>
      </c>
      <c r="SS21" s="2">
        <f t="shared" si="43"/>
        <v>0</v>
      </c>
      <c r="ST21" s="2">
        <f t="shared" si="43"/>
        <v>0</v>
      </c>
      <c r="SU21" s="2">
        <f t="shared" si="43"/>
        <v>0</v>
      </c>
      <c r="SV21" s="2">
        <f t="shared" si="43"/>
        <v>0</v>
      </c>
      <c r="SW21" s="2">
        <f t="shared" si="43"/>
        <v>0</v>
      </c>
      <c r="SX21" s="2">
        <f t="shared" si="43"/>
        <v>0</v>
      </c>
      <c r="SY21" s="2">
        <f t="shared" ref="SY21:VJ21" si="44">IF(SY26&lt;=$E$20,1,0)</f>
        <v>0</v>
      </c>
      <c r="SZ21" s="2">
        <f t="shared" si="44"/>
        <v>0</v>
      </c>
      <c r="TA21" s="2">
        <f t="shared" si="44"/>
        <v>0</v>
      </c>
      <c r="TB21" s="2">
        <f t="shared" si="44"/>
        <v>0</v>
      </c>
      <c r="TC21" s="2">
        <f t="shared" si="44"/>
        <v>0</v>
      </c>
      <c r="TD21" s="2">
        <f t="shared" si="44"/>
        <v>0</v>
      </c>
      <c r="TE21" s="2">
        <f t="shared" si="44"/>
        <v>0</v>
      </c>
      <c r="TF21" s="2">
        <f t="shared" si="44"/>
        <v>0</v>
      </c>
      <c r="TG21" s="2">
        <f t="shared" si="44"/>
        <v>0</v>
      </c>
      <c r="TH21" s="2">
        <f t="shared" si="44"/>
        <v>0</v>
      </c>
      <c r="TI21" s="2">
        <f t="shared" si="44"/>
        <v>0</v>
      </c>
      <c r="TJ21" s="2">
        <f t="shared" si="44"/>
        <v>0</v>
      </c>
      <c r="TK21" s="2">
        <f t="shared" si="44"/>
        <v>0</v>
      </c>
      <c r="TL21" s="2">
        <f t="shared" si="44"/>
        <v>0</v>
      </c>
      <c r="TM21" s="2">
        <f t="shared" si="44"/>
        <v>0</v>
      </c>
      <c r="TN21" s="2">
        <f t="shared" si="44"/>
        <v>0</v>
      </c>
      <c r="TO21" s="2">
        <f t="shared" si="44"/>
        <v>0</v>
      </c>
      <c r="TP21" s="2">
        <f t="shared" si="44"/>
        <v>0</v>
      </c>
      <c r="TQ21" s="2">
        <f t="shared" si="44"/>
        <v>0</v>
      </c>
      <c r="TR21" s="2">
        <f t="shared" si="44"/>
        <v>0</v>
      </c>
      <c r="TS21" s="2">
        <f t="shared" si="44"/>
        <v>0</v>
      </c>
      <c r="TT21" s="2">
        <f t="shared" si="44"/>
        <v>0</v>
      </c>
      <c r="TU21" s="2">
        <f t="shared" si="44"/>
        <v>0</v>
      </c>
      <c r="TV21" s="2">
        <f t="shared" si="44"/>
        <v>0</v>
      </c>
      <c r="TW21" s="2">
        <f t="shared" si="44"/>
        <v>0</v>
      </c>
      <c r="TX21" s="2">
        <f t="shared" si="44"/>
        <v>0</v>
      </c>
      <c r="TY21" s="2">
        <f t="shared" si="44"/>
        <v>0</v>
      </c>
      <c r="TZ21" s="2">
        <f t="shared" si="44"/>
        <v>0</v>
      </c>
      <c r="UA21" s="2">
        <f t="shared" si="44"/>
        <v>0</v>
      </c>
      <c r="UB21" s="2">
        <f t="shared" si="44"/>
        <v>0</v>
      </c>
      <c r="UC21" s="2">
        <f t="shared" si="44"/>
        <v>0</v>
      </c>
      <c r="UD21" s="2">
        <f t="shared" si="44"/>
        <v>0</v>
      </c>
      <c r="UE21" s="2">
        <f t="shared" si="44"/>
        <v>0</v>
      </c>
      <c r="UF21" s="2">
        <f t="shared" si="44"/>
        <v>0</v>
      </c>
      <c r="UG21" s="2">
        <f t="shared" si="44"/>
        <v>0</v>
      </c>
      <c r="UH21" s="2">
        <f t="shared" si="44"/>
        <v>0</v>
      </c>
      <c r="UI21" s="2">
        <f t="shared" si="44"/>
        <v>0</v>
      </c>
      <c r="UJ21" s="2">
        <f t="shared" si="44"/>
        <v>0</v>
      </c>
      <c r="UK21" s="2">
        <f t="shared" si="44"/>
        <v>0</v>
      </c>
      <c r="UL21" s="2">
        <f t="shared" si="44"/>
        <v>0</v>
      </c>
      <c r="UM21" s="2">
        <f t="shared" si="44"/>
        <v>0</v>
      </c>
      <c r="UN21" s="2">
        <f t="shared" si="44"/>
        <v>0</v>
      </c>
      <c r="UO21" s="2">
        <f t="shared" si="44"/>
        <v>0</v>
      </c>
      <c r="UP21" s="2">
        <f t="shared" si="44"/>
        <v>0</v>
      </c>
      <c r="UQ21" s="2">
        <f t="shared" si="44"/>
        <v>0</v>
      </c>
      <c r="UR21" s="2">
        <f t="shared" si="44"/>
        <v>0</v>
      </c>
      <c r="US21" s="2">
        <f t="shared" si="44"/>
        <v>0</v>
      </c>
      <c r="UT21" s="2">
        <f t="shared" si="44"/>
        <v>0</v>
      </c>
      <c r="UU21" s="2">
        <f t="shared" si="44"/>
        <v>0</v>
      </c>
      <c r="UV21" s="2">
        <f t="shared" si="44"/>
        <v>0</v>
      </c>
      <c r="UW21" s="2">
        <f t="shared" si="44"/>
        <v>0</v>
      </c>
      <c r="UX21" s="2">
        <f t="shared" si="44"/>
        <v>0</v>
      </c>
      <c r="UY21" s="2">
        <f t="shared" si="44"/>
        <v>0</v>
      </c>
      <c r="UZ21" s="2">
        <f t="shared" si="44"/>
        <v>0</v>
      </c>
      <c r="VA21" s="2">
        <f t="shared" si="44"/>
        <v>0</v>
      </c>
      <c r="VB21" s="2">
        <f t="shared" si="44"/>
        <v>0</v>
      </c>
      <c r="VC21" s="2">
        <f t="shared" si="44"/>
        <v>0</v>
      </c>
      <c r="VD21" s="2">
        <f t="shared" si="44"/>
        <v>0</v>
      </c>
      <c r="VE21" s="2">
        <f t="shared" si="44"/>
        <v>0</v>
      </c>
      <c r="VF21" s="2">
        <f t="shared" si="44"/>
        <v>0</v>
      </c>
      <c r="VG21" s="2">
        <f t="shared" si="44"/>
        <v>0</v>
      </c>
      <c r="VH21" s="2">
        <f t="shared" si="44"/>
        <v>0</v>
      </c>
      <c r="VI21" s="2">
        <f t="shared" si="44"/>
        <v>0</v>
      </c>
      <c r="VJ21" s="2">
        <f t="shared" si="44"/>
        <v>0</v>
      </c>
      <c r="VK21" s="2">
        <f t="shared" ref="VK21:XV21" si="45">IF(VK26&lt;=$E$20,1,0)</f>
        <v>0</v>
      </c>
      <c r="VL21" s="2">
        <f t="shared" si="45"/>
        <v>0</v>
      </c>
      <c r="VM21" s="2">
        <f t="shared" si="45"/>
        <v>0</v>
      </c>
      <c r="VN21" s="2">
        <f t="shared" si="45"/>
        <v>0</v>
      </c>
      <c r="VO21" s="2">
        <f t="shared" si="45"/>
        <v>0</v>
      </c>
      <c r="VP21" s="2">
        <f t="shared" si="45"/>
        <v>0</v>
      </c>
      <c r="VQ21" s="2">
        <f t="shared" si="45"/>
        <v>0</v>
      </c>
      <c r="VR21" s="2">
        <f t="shared" si="45"/>
        <v>0</v>
      </c>
      <c r="VS21" s="2">
        <f t="shared" si="45"/>
        <v>0</v>
      </c>
      <c r="VT21" s="2">
        <f t="shared" si="45"/>
        <v>0</v>
      </c>
      <c r="VU21" s="2">
        <f t="shared" si="45"/>
        <v>0</v>
      </c>
      <c r="VV21" s="2">
        <f t="shared" si="45"/>
        <v>0</v>
      </c>
      <c r="VW21" s="2">
        <f t="shared" si="45"/>
        <v>0</v>
      </c>
      <c r="VX21" s="2">
        <f t="shared" si="45"/>
        <v>0</v>
      </c>
      <c r="VY21" s="2">
        <f t="shared" si="45"/>
        <v>0</v>
      </c>
      <c r="VZ21" s="2">
        <f t="shared" si="45"/>
        <v>0</v>
      </c>
      <c r="WA21" s="2">
        <f t="shared" si="45"/>
        <v>0</v>
      </c>
      <c r="WB21" s="2">
        <f t="shared" si="45"/>
        <v>0</v>
      </c>
      <c r="WC21" s="2">
        <f t="shared" si="45"/>
        <v>0</v>
      </c>
      <c r="WD21" s="2">
        <f t="shared" si="45"/>
        <v>0</v>
      </c>
      <c r="WE21" s="2">
        <f t="shared" si="45"/>
        <v>0</v>
      </c>
      <c r="WF21" s="2">
        <f t="shared" si="45"/>
        <v>0</v>
      </c>
      <c r="WG21" s="2">
        <f t="shared" si="45"/>
        <v>0</v>
      </c>
      <c r="WH21" s="2">
        <f t="shared" si="45"/>
        <v>0</v>
      </c>
      <c r="WI21" s="2">
        <f t="shared" si="45"/>
        <v>0</v>
      </c>
      <c r="WJ21" s="2">
        <f t="shared" si="45"/>
        <v>0</v>
      </c>
      <c r="WK21" s="2">
        <f t="shared" si="45"/>
        <v>0</v>
      </c>
      <c r="WL21" s="2">
        <f t="shared" si="45"/>
        <v>0</v>
      </c>
      <c r="WM21" s="2">
        <f t="shared" si="45"/>
        <v>0</v>
      </c>
      <c r="WN21" s="2">
        <f t="shared" si="45"/>
        <v>0</v>
      </c>
      <c r="WO21" s="2">
        <f t="shared" si="45"/>
        <v>0</v>
      </c>
      <c r="WP21" s="2">
        <f t="shared" si="45"/>
        <v>0</v>
      </c>
      <c r="WQ21" s="2">
        <f t="shared" si="45"/>
        <v>0</v>
      </c>
      <c r="WR21" s="2">
        <f t="shared" si="45"/>
        <v>0</v>
      </c>
      <c r="WS21" s="2">
        <f t="shared" si="45"/>
        <v>0</v>
      </c>
      <c r="WT21" s="2">
        <f t="shared" si="45"/>
        <v>0</v>
      </c>
      <c r="WU21" s="2">
        <f t="shared" si="45"/>
        <v>0</v>
      </c>
      <c r="WV21" s="2">
        <f t="shared" si="45"/>
        <v>0</v>
      </c>
      <c r="WW21" s="2">
        <f t="shared" si="45"/>
        <v>0</v>
      </c>
      <c r="WX21" s="2">
        <f t="shared" si="45"/>
        <v>0</v>
      </c>
      <c r="WY21" s="2">
        <f t="shared" si="45"/>
        <v>0</v>
      </c>
      <c r="WZ21" s="2">
        <f t="shared" si="45"/>
        <v>0</v>
      </c>
      <c r="XA21" s="2">
        <f t="shared" si="45"/>
        <v>0</v>
      </c>
      <c r="XB21" s="2">
        <f t="shared" si="45"/>
        <v>0</v>
      </c>
      <c r="XC21" s="2">
        <f t="shared" si="45"/>
        <v>0</v>
      </c>
      <c r="XD21" s="2">
        <f t="shared" si="45"/>
        <v>0</v>
      </c>
      <c r="XE21" s="2">
        <f t="shared" si="45"/>
        <v>0</v>
      </c>
      <c r="XF21" s="2">
        <f t="shared" si="45"/>
        <v>0</v>
      </c>
      <c r="XG21" s="2">
        <f t="shared" si="45"/>
        <v>0</v>
      </c>
      <c r="XH21" s="2">
        <f t="shared" si="45"/>
        <v>0</v>
      </c>
      <c r="XI21" s="2">
        <f t="shared" si="45"/>
        <v>0</v>
      </c>
      <c r="XJ21" s="2">
        <f t="shared" si="45"/>
        <v>0</v>
      </c>
      <c r="XK21" s="2">
        <f t="shared" si="45"/>
        <v>0</v>
      </c>
      <c r="XL21" s="2">
        <f t="shared" si="45"/>
        <v>0</v>
      </c>
      <c r="XM21" s="2">
        <f t="shared" si="45"/>
        <v>0</v>
      </c>
      <c r="XN21" s="2">
        <f t="shared" si="45"/>
        <v>0</v>
      </c>
      <c r="XO21" s="2">
        <f t="shared" si="45"/>
        <v>0</v>
      </c>
      <c r="XP21" s="2">
        <f t="shared" si="45"/>
        <v>0</v>
      </c>
      <c r="XQ21" s="2">
        <f t="shared" si="45"/>
        <v>0</v>
      </c>
      <c r="XR21" s="2">
        <f t="shared" si="45"/>
        <v>0</v>
      </c>
      <c r="XS21" s="2">
        <f t="shared" si="45"/>
        <v>0</v>
      </c>
      <c r="XT21" s="2">
        <f t="shared" si="45"/>
        <v>0</v>
      </c>
      <c r="XU21" s="2">
        <f t="shared" si="45"/>
        <v>0</v>
      </c>
      <c r="XV21" s="2">
        <f t="shared" si="45"/>
        <v>0</v>
      </c>
      <c r="XW21" s="2">
        <f t="shared" ref="XW21:AAH21" si="46">IF(XW26&lt;=$E$20,1,0)</f>
        <v>0</v>
      </c>
      <c r="XX21" s="2">
        <f t="shared" si="46"/>
        <v>0</v>
      </c>
      <c r="XY21" s="2">
        <f t="shared" si="46"/>
        <v>0</v>
      </c>
      <c r="XZ21" s="2">
        <f t="shared" si="46"/>
        <v>0</v>
      </c>
      <c r="YA21" s="2">
        <f t="shared" si="46"/>
        <v>0</v>
      </c>
      <c r="YB21" s="2">
        <f t="shared" si="46"/>
        <v>0</v>
      </c>
      <c r="YC21" s="2">
        <f t="shared" si="46"/>
        <v>0</v>
      </c>
      <c r="YD21" s="2">
        <f t="shared" si="46"/>
        <v>0</v>
      </c>
      <c r="YE21" s="2">
        <f t="shared" si="46"/>
        <v>0</v>
      </c>
      <c r="YF21" s="2">
        <f t="shared" si="46"/>
        <v>0</v>
      </c>
      <c r="YG21" s="2">
        <f t="shared" si="46"/>
        <v>0</v>
      </c>
      <c r="YH21" s="2">
        <f t="shared" si="46"/>
        <v>0</v>
      </c>
      <c r="YI21" s="2">
        <f t="shared" si="46"/>
        <v>0</v>
      </c>
      <c r="YJ21" s="2">
        <f t="shared" si="46"/>
        <v>0</v>
      </c>
      <c r="YK21" s="2">
        <f t="shared" si="46"/>
        <v>0</v>
      </c>
      <c r="YL21" s="2">
        <f t="shared" si="46"/>
        <v>0</v>
      </c>
      <c r="YM21" s="2">
        <f t="shared" si="46"/>
        <v>0</v>
      </c>
      <c r="YN21" s="2">
        <f t="shared" si="46"/>
        <v>0</v>
      </c>
      <c r="YO21" s="2">
        <f t="shared" si="46"/>
        <v>0</v>
      </c>
      <c r="YP21" s="2">
        <f t="shared" si="46"/>
        <v>0</v>
      </c>
      <c r="YQ21" s="2">
        <f t="shared" si="46"/>
        <v>0</v>
      </c>
      <c r="YR21" s="2">
        <f t="shared" si="46"/>
        <v>0</v>
      </c>
      <c r="YS21" s="2">
        <f t="shared" si="46"/>
        <v>0</v>
      </c>
      <c r="YT21" s="2">
        <f t="shared" si="46"/>
        <v>0</v>
      </c>
      <c r="YU21" s="2">
        <f t="shared" si="46"/>
        <v>0</v>
      </c>
      <c r="YV21" s="2">
        <f t="shared" si="46"/>
        <v>0</v>
      </c>
      <c r="YW21" s="2">
        <f t="shared" si="46"/>
        <v>0</v>
      </c>
      <c r="YX21" s="2">
        <f t="shared" si="46"/>
        <v>0</v>
      </c>
      <c r="YY21" s="2">
        <f t="shared" si="46"/>
        <v>0</v>
      </c>
      <c r="YZ21" s="2">
        <f t="shared" si="46"/>
        <v>0</v>
      </c>
      <c r="ZA21" s="2">
        <f t="shared" si="46"/>
        <v>0</v>
      </c>
      <c r="ZB21" s="2">
        <f t="shared" si="46"/>
        <v>0</v>
      </c>
      <c r="ZC21" s="2">
        <f t="shared" si="46"/>
        <v>0</v>
      </c>
      <c r="ZD21" s="2">
        <f t="shared" si="46"/>
        <v>0</v>
      </c>
      <c r="ZE21" s="2">
        <f t="shared" si="46"/>
        <v>0</v>
      </c>
      <c r="ZF21" s="2">
        <f t="shared" si="46"/>
        <v>0</v>
      </c>
      <c r="ZG21" s="2">
        <f t="shared" si="46"/>
        <v>0</v>
      </c>
      <c r="ZH21" s="2">
        <f t="shared" si="46"/>
        <v>0</v>
      </c>
      <c r="ZI21" s="2">
        <f t="shared" si="46"/>
        <v>0</v>
      </c>
      <c r="ZJ21" s="2">
        <f t="shared" si="46"/>
        <v>0</v>
      </c>
      <c r="ZK21" s="2">
        <f t="shared" si="46"/>
        <v>0</v>
      </c>
      <c r="ZL21" s="2">
        <f t="shared" si="46"/>
        <v>0</v>
      </c>
      <c r="ZM21" s="2">
        <f t="shared" si="46"/>
        <v>0</v>
      </c>
      <c r="ZN21" s="2">
        <f t="shared" si="46"/>
        <v>0</v>
      </c>
      <c r="ZO21" s="2">
        <f t="shared" si="46"/>
        <v>0</v>
      </c>
      <c r="ZP21" s="2">
        <f t="shared" si="46"/>
        <v>0</v>
      </c>
      <c r="ZQ21" s="2">
        <f t="shared" si="46"/>
        <v>0</v>
      </c>
      <c r="ZR21" s="2">
        <f t="shared" si="46"/>
        <v>0</v>
      </c>
      <c r="ZS21" s="2">
        <f t="shared" si="46"/>
        <v>0</v>
      </c>
      <c r="ZT21" s="2">
        <f t="shared" si="46"/>
        <v>0</v>
      </c>
      <c r="ZU21" s="2">
        <f t="shared" si="46"/>
        <v>0</v>
      </c>
      <c r="ZV21" s="2">
        <f t="shared" si="46"/>
        <v>0</v>
      </c>
      <c r="ZW21" s="2">
        <f t="shared" si="46"/>
        <v>0</v>
      </c>
      <c r="ZX21" s="2">
        <f t="shared" si="46"/>
        <v>0</v>
      </c>
      <c r="ZY21" s="2">
        <f t="shared" si="46"/>
        <v>0</v>
      </c>
      <c r="ZZ21" s="2">
        <f t="shared" si="46"/>
        <v>0</v>
      </c>
      <c r="AAA21" s="2">
        <f t="shared" si="46"/>
        <v>0</v>
      </c>
      <c r="AAB21" s="2">
        <f t="shared" si="46"/>
        <v>0</v>
      </c>
      <c r="AAC21" s="2">
        <f t="shared" si="46"/>
        <v>0</v>
      </c>
      <c r="AAD21" s="2">
        <f t="shared" si="46"/>
        <v>0</v>
      </c>
      <c r="AAE21" s="2">
        <f t="shared" si="46"/>
        <v>0</v>
      </c>
      <c r="AAF21" s="2">
        <f t="shared" si="46"/>
        <v>0</v>
      </c>
      <c r="AAG21" s="2">
        <f t="shared" si="46"/>
        <v>0</v>
      </c>
      <c r="AAH21" s="2">
        <f t="shared" si="46"/>
        <v>0</v>
      </c>
      <c r="AAI21" s="2">
        <f t="shared" ref="AAI21:ACT21" si="47">IF(AAI26&lt;=$E$20,1,0)</f>
        <v>0</v>
      </c>
      <c r="AAJ21" s="2">
        <f t="shared" si="47"/>
        <v>0</v>
      </c>
      <c r="AAK21" s="2">
        <f t="shared" si="47"/>
        <v>0</v>
      </c>
      <c r="AAL21" s="2">
        <f t="shared" si="47"/>
        <v>0</v>
      </c>
      <c r="AAM21" s="2">
        <f t="shared" si="47"/>
        <v>0</v>
      </c>
      <c r="AAN21" s="2">
        <f t="shared" si="47"/>
        <v>0</v>
      </c>
      <c r="AAO21" s="2">
        <f t="shared" si="47"/>
        <v>0</v>
      </c>
      <c r="AAP21" s="2">
        <f t="shared" si="47"/>
        <v>0</v>
      </c>
      <c r="AAQ21" s="2">
        <f t="shared" si="47"/>
        <v>0</v>
      </c>
      <c r="AAR21" s="2">
        <f t="shared" si="47"/>
        <v>0</v>
      </c>
      <c r="AAS21" s="2">
        <f t="shared" si="47"/>
        <v>0</v>
      </c>
      <c r="AAT21" s="2">
        <f t="shared" si="47"/>
        <v>0</v>
      </c>
      <c r="AAU21" s="2">
        <f t="shared" si="47"/>
        <v>0</v>
      </c>
      <c r="AAV21" s="2">
        <f t="shared" si="47"/>
        <v>0</v>
      </c>
      <c r="AAW21" s="2">
        <f t="shared" si="47"/>
        <v>0</v>
      </c>
      <c r="AAX21" s="2">
        <f t="shared" si="47"/>
        <v>0</v>
      </c>
      <c r="AAY21" s="2">
        <f t="shared" si="47"/>
        <v>0</v>
      </c>
      <c r="AAZ21" s="2">
        <f t="shared" si="47"/>
        <v>0</v>
      </c>
      <c r="ABA21" s="2">
        <f t="shared" si="47"/>
        <v>0</v>
      </c>
      <c r="ABB21" s="2">
        <f t="shared" si="47"/>
        <v>0</v>
      </c>
      <c r="ABC21" s="2">
        <f t="shared" si="47"/>
        <v>0</v>
      </c>
      <c r="ABD21" s="2">
        <f t="shared" si="47"/>
        <v>0</v>
      </c>
      <c r="ABE21" s="2">
        <f t="shared" si="47"/>
        <v>0</v>
      </c>
      <c r="ABF21" s="2">
        <f t="shared" si="47"/>
        <v>0</v>
      </c>
      <c r="ABG21" s="2">
        <f t="shared" si="47"/>
        <v>0</v>
      </c>
      <c r="ABH21" s="2">
        <f t="shared" si="47"/>
        <v>0</v>
      </c>
      <c r="ABI21" s="2">
        <f t="shared" si="47"/>
        <v>0</v>
      </c>
    </row>
    <row r="22" spans="4:737" ht="12.95" hidden="1" customHeight="1" x14ac:dyDescent="0.25">
      <c r="D22" s="2" t="s">
        <v>4</v>
      </c>
      <c r="E22" s="1"/>
      <c r="F22" s="2">
        <f t="shared" ref="F22:BQ22" si="48">IF(F21=1,YEAR(F26),0)</f>
        <v>2026</v>
      </c>
      <c r="G22" s="2">
        <f t="shared" si="48"/>
        <v>2026</v>
      </c>
      <c r="H22" s="2">
        <f t="shared" si="48"/>
        <v>2026</v>
      </c>
      <c r="I22" s="2">
        <f t="shared" si="48"/>
        <v>2026</v>
      </c>
      <c r="J22" s="2">
        <f t="shared" si="48"/>
        <v>2026</v>
      </c>
      <c r="K22" s="2">
        <f t="shared" si="48"/>
        <v>2026</v>
      </c>
      <c r="L22" s="2">
        <f t="shared" si="48"/>
        <v>2026</v>
      </c>
      <c r="M22" s="2">
        <f t="shared" si="48"/>
        <v>2026</v>
      </c>
      <c r="N22" s="2">
        <f t="shared" si="48"/>
        <v>2026</v>
      </c>
      <c r="O22" s="2">
        <f t="shared" si="48"/>
        <v>2026</v>
      </c>
      <c r="P22" s="2">
        <f t="shared" si="48"/>
        <v>2026</v>
      </c>
      <c r="Q22" s="2">
        <f t="shared" si="48"/>
        <v>2026</v>
      </c>
      <c r="R22" s="2">
        <f t="shared" si="48"/>
        <v>2026</v>
      </c>
      <c r="S22" s="2">
        <f t="shared" si="48"/>
        <v>2026</v>
      </c>
      <c r="T22" s="2">
        <f t="shared" si="48"/>
        <v>2026</v>
      </c>
      <c r="U22" s="2">
        <f t="shared" si="48"/>
        <v>2026</v>
      </c>
      <c r="V22" s="2">
        <f t="shared" si="48"/>
        <v>2026</v>
      </c>
      <c r="W22" s="2">
        <f t="shared" si="48"/>
        <v>2026</v>
      </c>
      <c r="X22" s="2">
        <f t="shared" si="48"/>
        <v>2026</v>
      </c>
      <c r="Y22" s="2">
        <f t="shared" si="48"/>
        <v>2026</v>
      </c>
      <c r="Z22" s="2">
        <f t="shared" si="48"/>
        <v>2026</v>
      </c>
      <c r="AA22" s="2">
        <f t="shared" si="48"/>
        <v>2026</v>
      </c>
      <c r="AB22" s="2">
        <f t="shared" si="48"/>
        <v>2026</v>
      </c>
      <c r="AC22" s="2">
        <f t="shared" si="48"/>
        <v>2026</v>
      </c>
      <c r="AD22" s="2">
        <f t="shared" si="48"/>
        <v>2026</v>
      </c>
      <c r="AE22" s="2">
        <f t="shared" si="48"/>
        <v>2026</v>
      </c>
      <c r="AF22" s="2">
        <f t="shared" si="48"/>
        <v>2026</v>
      </c>
      <c r="AG22" s="2">
        <f t="shared" si="48"/>
        <v>2026</v>
      </c>
      <c r="AH22" s="2">
        <f t="shared" si="48"/>
        <v>2026</v>
      </c>
      <c r="AI22" s="2">
        <f t="shared" si="48"/>
        <v>2026</v>
      </c>
      <c r="AJ22" s="2">
        <f t="shared" si="48"/>
        <v>2026</v>
      </c>
      <c r="AK22" s="4">
        <f t="shared" si="48"/>
        <v>2026</v>
      </c>
      <c r="AL22" s="2">
        <f t="shared" si="48"/>
        <v>2026</v>
      </c>
      <c r="AM22" s="2">
        <f t="shared" si="48"/>
        <v>2026</v>
      </c>
      <c r="AN22" s="2">
        <f t="shared" si="48"/>
        <v>2026</v>
      </c>
      <c r="AO22" s="2">
        <f t="shared" si="48"/>
        <v>2026</v>
      </c>
      <c r="AP22" s="2">
        <f t="shared" si="48"/>
        <v>2026</v>
      </c>
      <c r="AQ22" s="2">
        <f t="shared" si="48"/>
        <v>2026</v>
      </c>
      <c r="AR22" s="2">
        <f t="shared" si="48"/>
        <v>2026</v>
      </c>
      <c r="AS22" s="2">
        <f t="shared" si="48"/>
        <v>2026</v>
      </c>
      <c r="AT22" s="2">
        <f t="shared" si="48"/>
        <v>2026</v>
      </c>
      <c r="AU22" s="2">
        <f t="shared" si="48"/>
        <v>2026</v>
      </c>
      <c r="AV22" s="2">
        <f t="shared" si="48"/>
        <v>2026</v>
      </c>
      <c r="AW22" s="2">
        <f t="shared" si="48"/>
        <v>2026</v>
      </c>
      <c r="AX22" s="2">
        <f t="shared" si="48"/>
        <v>2026</v>
      </c>
      <c r="AY22" s="2">
        <f t="shared" si="48"/>
        <v>2026</v>
      </c>
      <c r="AZ22" s="2">
        <f t="shared" si="48"/>
        <v>2026</v>
      </c>
      <c r="BA22" s="2">
        <f t="shared" si="48"/>
        <v>2026</v>
      </c>
      <c r="BB22" s="2">
        <f t="shared" si="48"/>
        <v>2026</v>
      </c>
      <c r="BC22" s="2">
        <f t="shared" si="48"/>
        <v>2026</v>
      </c>
      <c r="BD22" s="2">
        <f t="shared" si="48"/>
        <v>2026</v>
      </c>
      <c r="BE22" s="2">
        <f t="shared" si="48"/>
        <v>2026</v>
      </c>
      <c r="BF22" s="2">
        <f t="shared" si="48"/>
        <v>2026</v>
      </c>
      <c r="BG22" s="2">
        <f t="shared" si="48"/>
        <v>2026</v>
      </c>
      <c r="BH22" s="2">
        <f t="shared" si="48"/>
        <v>2026</v>
      </c>
      <c r="BI22" s="2">
        <f t="shared" si="48"/>
        <v>2026</v>
      </c>
      <c r="BJ22" s="2">
        <f t="shared" si="48"/>
        <v>2026</v>
      </c>
      <c r="BK22" s="2">
        <f t="shared" si="48"/>
        <v>2026</v>
      </c>
      <c r="BL22" s="2">
        <f t="shared" si="48"/>
        <v>2026</v>
      </c>
      <c r="BM22" s="2">
        <f t="shared" si="48"/>
        <v>2026</v>
      </c>
      <c r="BN22" s="2">
        <f t="shared" si="48"/>
        <v>2026</v>
      </c>
      <c r="BO22" s="2">
        <f t="shared" si="48"/>
        <v>2026</v>
      </c>
      <c r="BP22" s="2">
        <f t="shared" si="48"/>
        <v>2026</v>
      </c>
      <c r="BQ22" s="2">
        <f t="shared" si="48"/>
        <v>2026</v>
      </c>
      <c r="BR22" s="2">
        <f t="shared" ref="BR22:EC22" si="49">IF(BR21=1,YEAR(BR26),0)</f>
        <v>2026</v>
      </c>
      <c r="BS22" s="2">
        <f t="shared" si="49"/>
        <v>2026</v>
      </c>
      <c r="BT22" s="2">
        <f t="shared" si="49"/>
        <v>2026</v>
      </c>
      <c r="BU22" s="2">
        <f t="shared" si="49"/>
        <v>2026</v>
      </c>
      <c r="BV22" s="2">
        <f t="shared" si="49"/>
        <v>2026</v>
      </c>
      <c r="BW22" s="2">
        <f t="shared" si="49"/>
        <v>2026</v>
      </c>
      <c r="BX22" s="2">
        <f t="shared" si="49"/>
        <v>2026</v>
      </c>
      <c r="BY22" s="2">
        <f t="shared" si="49"/>
        <v>2026</v>
      </c>
      <c r="BZ22" s="2">
        <f t="shared" si="49"/>
        <v>2026</v>
      </c>
      <c r="CA22" s="2">
        <f t="shared" si="49"/>
        <v>2026</v>
      </c>
      <c r="CB22" s="2">
        <f t="shared" si="49"/>
        <v>2026</v>
      </c>
      <c r="CC22" s="2">
        <f t="shared" si="49"/>
        <v>2026</v>
      </c>
      <c r="CD22" s="2">
        <f t="shared" si="49"/>
        <v>2026</v>
      </c>
      <c r="CE22" s="2">
        <f t="shared" si="49"/>
        <v>2026</v>
      </c>
      <c r="CF22" s="2">
        <f t="shared" si="49"/>
        <v>2026</v>
      </c>
      <c r="CG22" s="2">
        <f t="shared" si="49"/>
        <v>2026</v>
      </c>
      <c r="CH22" s="2">
        <f t="shared" si="49"/>
        <v>2026</v>
      </c>
      <c r="CI22" s="2">
        <f t="shared" si="49"/>
        <v>2026</v>
      </c>
      <c r="CJ22" s="2">
        <f t="shared" si="49"/>
        <v>2026</v>
      </c>
      <c r="CK22" s="2">
        <f t="shared" si="49"/>
        <v>2026</v>
      </c>
      <c r="CL22" s="2">
        <f t="shared" si="49"/>
        <v>2026</v>
      </c>
      <c r="CM22" s="2">
        <f t="shared" si="49"/>
        <v>2026</v>
      </c>
      <c r="CN22" s="2">
        <f t="shared" si="49"/>
        <v>2026</v>
      </c>
      <c r="CO22" s="2">
        <f t="shared" si="49"/>
        <v>2026</v>
      </c>
      <c r="CP22" s="2">
        <f t="shared" si="49"/>
        <v>2026</v>
      </c>
      <c r="CQ22" s="2">
        <f t="shared" si="49"/>
        <v>2026</v>
      </c>
      <c r="CR22" s="2">
        <f t="shared" si="49"/>
        <v>2026</v>
      </c>
      <c r="CS22" s="2">
        <f t="shared" si="49"/>
        <v>2026</v>
      </c>
      <c r="CT22" s="2">
        <f t="shared" si="49"/>
        <v>2026</v>
      </c>
      <c r="CU22" s="2">
        <f t="shared" si="49"/>
        <v>2026</v>
      </c>
      <c r="CV22" s="2">
        <f t="shared" si="49"/>
        <v>2026</v>
      </c>
      <c r="CW22" s="2">
        <f t="shared" si="49"/>
        <v>2026</v>
      </c>
      <c r="CX22" s="2">
        <f t="shared" si="49"/>
        <v>2026</v>
      </c>
      <c r="CY22" s="2">
        <f t="shared" si="49"/>
        <v>2026</v>
      </c>
      <c r="CZ22" s="2">
        <f t="shared" si="49"/>
        <v>2026</v>
      </c>
      <c r="DA22" s="2">
        <f t="shared" si="49"/>
        <v>2026</v>
      </c>
      <c r="DB22" s="2">
        <f t="shared" si="49"/>
        <v>2026</v>
      </c>
      <c r="DC22" s="2">
        <f t="shared" si="49"/>
        <v>2026</v>
      </c>
      <c r="DD22" s="2">
        <f t="shared" si="49"/>
        <v>2026</v>
      </c>
      <c r="DE22" s="2">
        <f t="shared" si="49"/>
        <v>2026</v>
      </c>
      <c r="DF22" s="2">
        <f t="shared" si="49"/>
        <v>2026</v>
      </c>
      <c r="DG22" s="2">
        <f t="shared" si="49"/>
        <v>2026</v>
      </c>
      <c r="DH22" s="2">
        <f t="shared" si="49"/>
        <v>2026</v>
      </c>
      <c r="DI22" s="2">
        <f t="shared" si="49"/>
        <v>2026</v>
      </c>
      <c r="DJ22" s="2">
        <f t="shared" si="49"/>
        <v>2026</v>
      </c>
      <c r="DK22" s="2">
        <f t="shared" si="49"/>
        <v>2026</v>
      </c>
      <c r="DL22" s="2">
        <f t="shared" si="49"/>
        <v>2026</v>
      </c>
      <c r="DM22" s="2">
        <f t="shared" si="49"/>
        <v>2026</v>
      </c>
      <c r="DN22" s="2">
        <f t="shared" si="49"/>
        <v>2026</v>
      </c>
      <c r="DO22" s="2">
        <f t="shared" si="49"/>
        <v>2026</v>
      </c>
      <c r="DP22" s="2">
        <f t="shared" si="49"/>
        <v>2026</v>
      </c>
      <c r="DQ22" s="2">
        <f t="shared" si="49"/>
        <v>2026</v>
      </c>
      <c r="DR22" s="2">
        <f t="shared" si="49"/>
        <v>2026</v>
      </c>
      <c r="DS22" s="2">
        <f t="shared" si="49"/>
        <v>2026</v>
      </c>
      <c r="DT22" s="2">
        <f t="shared" si="49"/>
        <v>2026</v>
      </c>
      <c r="DU22" s="2">
        <f t="shared" si="49"/>
        <v>2026</v>
      </c>
      <c r="DV22" s="2">
        <f t="shared" si="49"/>
        <v>2026</v>
      </c>
      <c r="DW22" s="2">
        <f t="shared" si="49"/>
        <v>2026</v>
      </c>
      <c r="DX22" s="2">
        <f t="shared" si="49"/>
        <v>2026</v>
      </c>
      <c r="DY22" s="2">
        <f t="shared" si="49"/>
        <v>2026</v>
      </c>
      <c r="DZ22" s="2">
        <f t="shared" si="49"/>
        <v>2026</v>
      </c>
      <c r="EA22" s="2">
        <f t="shared" si="49"/>
        <v>2026</v>
      </c>
      <c r="EB22" s="2">
        <f t="shared" si="49"/>
        <v>2026</v>
      </c>
      <c r="EC22" s="2">
        <f t="shared" si="49"/>
        <v>2026</v>
      </c>
      <c r="ED22" s="2">
        <f t="shared" ref="ED22:GO22" si="50">IF(ED21=1,YEAR(ED26),0)</f>
        <v>2026</v>
      </c>
      <c r="EE22" s="2">
        <f t="shared" si="50"/>
        <v>2026</v>
      </c>
      <c r="EF22" s="2">
        <f t="shared" si="50"/>
        <v>2026</v>
      </c>
      <c r="EG22" s="2">
        <f t="shared" si="50"/>
        <v>2026</v>
      </c>
      <c r="EH22" s="2">
        <f t="shared" si="50"/>
        <v>2026</v>
      </c>
      <c r="EI22" s="2">
        <f t="shared" si="50"/>
        <v>2026</v>
      </c>
      <c r="EJ22" s="2">
        <f t="shared" si="50"/>
        <v>2026</v>
      </c>
      <c r="EK22" s="2">
        <f t="shared" si="50"/>
        <v>2026</v>
      </c>
      <c r="EL22" s="2">
        <f t="shared" si="50"/>
        <v>2026</v>
      </c>
      <c r="EM22" s="2">
        <f t="shared" si="50"/>
        <v>2026</v>
      </c>
      <c r="EN22" s="2">
        <f t="shared" si="50"/>
        <v>2026</v>
      </c>
      <c r="EO22" s="2">
        <f t="shared" si="50"/>
        <v>2026</v>
      </c>
      <c r="EP22" s="2">
        <f t="shared" si="50"/>
        <v>2026</v>
      </c>
      <c r="EQ22" s="2">
        <f t="shared" si="50"/>
        <v>2026</v>
      </c>
      <c r="ER22" s="2">
        <f t="shared" si="50"/>
        <v>2026</v>
      </c>
      <c r="ES22" s="2">
        <f t="shared" si="50"/>
        <v>2026</v>
      </c>
      <c r="ET22" s="2">
        <f t="shared" si="50"/>
        <v>2026</v>
      </c>
      <c r="EU22" s="2">
        <f t="shared" si="50"/>
        <v>2026</v>
      </c>
      <c r="EV22" s="2">
        <f t="shared" si="50"/>
        <v>2026</v>
      </c>
      <c r="EW22" s="2">
        <f t="shared" si="50"/>
        <v>2026</v>
      </c>
      <c r="EX22" s="2">
        <f t="shared" si="50"/>
        <v>2026</v>
      </c>
      <c r="EY22" s="2">
        <f t="shared" si="50"/>
        <v>2026</v>
      </c>
      <c r="EZ22" s="2">
        <f t="shared" si="50"/>
        <v>2026</v>
      </c>
      <c r="FA22" s="2">
        <f t="shared" si="50"/>
        <v>2026</v>
      </c>
      <c r="FB22" s="2">
        <f t="shared" si="50"/>
        <v>2026</v>
      </c>
      <c r="FC22" s="2">
        <f t="shared" si="50"/>
        <v>2026</v>
      </c>
      <c r="FD22" s="2">
        <f t="shared" si="50"/>
        <v>2026</v>
      </c>
      <c r="FE22" s="2">
        <f t="shared" si="50"/>
        <v>2026</v>
      </c>
      <c r="FF22" s="2">
        <f t="shared" si="50"/>
        <v>2026</v>
      </c>
      <c r="FG22" s="2">
        <f t="shared" si="50"/>
        <v>2026</v>
      </c>
      <c r="FH22" s="2">
        <f t="shared" si="50"/>
        <v>2026</v>
      </c>
      <c r="FI22" s="2">
        <f t="shared" si="50"/>
        <v>2026</v>
      </c>
      <c r="FJ22" s="2">
        <f t="shared" si="50"/>
        <v>2026</v>
      </c>
      <c r="FK22" s="2">
        <f t="shared" si="50"/>
        <v>2026</v>
      </c>
      <c r="FL22" s="2">
        <f t="shared" si="50"/>
        <v>2026</v>
      </c>
      <c r="FM22" s="2">
        <f t="shared" si="50"/>
        <v>2026</v>
      </c>
      <c r="FN22" s="2">
        <f t="shared" si="50"/>
        <v>2026</v>
      </c>
      <c r="FO22" s="2">
        <f t="shared" si="50"/>
        <v>2026</v>
      </c>
      <c r="FP22" s="2">
        <f t="shared" si="50"/>
        <v>2026</v>
      </c>
      <c r="FQ22" s="2">
        <f t="shared" si="50"/>
        <v>2026</v>
      </c>
      <c r="FR22" s="2">
        <f t="shared" si="50"/>
        <v>2026</v>
      </c>
      <c r="FS22" s="2">
        <f t="shared" si="50"/>
        <v>2026</v>
      </c>
      <c r="FT22" s="2">
        <f t="shared" si="50"/>
        <v>2026</v>
      </c>
      <c r="FU22" s="2">
        <f t="shared" si="50"/>
        <v>2026</v>
      </c>
      <c r="FV22" s="2">
        <f t="shared" si="50"/>
        <v>2026</v>
      </c>
      <c r="FW22" s="2">
        <f t="shared" si="50"/>
        <v>2026</v>
      </c>
      <c r="FX22" s="2">
        <f t="shared" si="50"/>
        <v>2026</v>
      </c>
      <c r="FY22" s="2">
        <f t="shared" si="50"/>
        <v>2026</v>
      </c>
      <c r="FZ22" s="2">
        <f t="shared" si="50"/>
        <v>2026</v>
      </c>
      <c r="GA22" s="2">
        <f t="shared" si="50"/>
        <v>2026</v>
      </c>
      <c r="GB22" s="2">
        <f t="shared" si="50"/>
        <v>2026</v>
      </c>
      <c r="GC22" s="2">
        <f t="shared" si="50"/>
        <v>2026</v>
      </c>
      <c r="GD22" s="2">
        <f t="shared" si="50"/>
        <v>2026</v>
      </c>
      <c r="GE22" s="2">
        <f t="shared" si="50"/>
        <v>0</v>
      </c>
      <c r="GF22" s="2">
        <f t="shared" si="50"/>
        <v>0</v>
      </c>
      <c r="GG22" s="2">
        <f t="shared" si="50"/>
        <v>0</v>
      </c>
      <c r="GH22" s="2">
        <f t="shared" si="50"/>
        <v>0</v>
      </c>
      <c r="GI22" s="2">
        <f t="shared" si="50"/>
        <v>0</v>
      </c>
      <c r="GJ22" s="2">
        <f t="shared" si="50"/>
        <v>0</v>
      </c>
      <c r="GK22" s="2">
        <f t="shared" si="50"/>
        <v>0</v>
      </c>
      <c r="GL22" s="2">
        <f t="shared" si="50"/>
        <v>0</v>
      </c>
      <c r="GM22" s="2">
        <f t="shared" si="50"/>
        <v>0</v>
      </c>
      <c r="GN22" s="2">
        <f t="shared" si="50"/>
        <v>0</v>
      </c>
      <c r="GO22" s="2">
        <f t="shared" si="50"/>
        <v>0</v>
      </c>
      <c r="GP22" s="2">
        <f t="shared" ref="GP22:JA22" si="51">IF(GP21=1,YEAR(GP26),0)</f>
        <v>0</v>
      </c>
      <c r="GQ22" s="2">
        <f t="shared" si="51"/>
        <v>0</v>
      </c>
      <c r="GR22" s="2">
        <f t="shared" si="51"/>
        <v>0</v>
      </c>
      <c r="GS22" s="2">
        <f t="shared" si="51"/>
        <v>0</v>
      </c>
      <c r="GT22" s="2">
        <f t="shared" si="51"/>
        <v>0</v>
      </c>
      <c r="GU22" s="2">
        <f t="shared" si="51"/>
        <v>0</v>
      </c>
      <c r="GV22" s="2">
        <f t="shared" si="51"/>
        <v>0</v>
      </c>
      <c r="GW22" s="2">
        <f t="shared" si="51"/>
        <v>0</v>
      </c>
      <c r="GX22" s="2">
        <f t="shared" si="51"/>
        <v>0</v>
      </c>
      <c r="GY22" s="2">
        <f t="shared" si="51"/>
        <v>0</v>
      </c>
      <c r="GZ22" s="2">
        <f t="shared" si="51"/>
        <v>0</v>
      </c>
      <c r="HA22" s="2">
        <f t="shared" si="51"/>
        <v>0</v>
      </c>
      <c r="HB22" s="2">
        <f t="shared" si="51"/>
        <v>0</v>
      </c>
      <c r="HC22" s="2">
        <f t="shared" si="51"/>
        <v>0</v>
      </c>
      <c r="HD22" s="2">
        <f t="shared" si="51"/>
        <v>0</v>
      </c>
      <c r="HE22" s="2">
        <f t="shared" si="51"/>
        <v>0</v>
      </c>
      <c r="HF22" s="2">
        <f t="shared" si="51"/>
        <v>0</v>
      </c>
      <c r="HG22" s="2">
        <f t="shared" si="51"/>
        <v>0</v>
      </c>
      <c r="HH22" s="2">
        <f t="shared" si="51"/>
        <v>0</v>
      </c>
      <c r="HI22" s="2">
        <f t="shared" si="51"/>
        <v>0</v>
      </c>
      <c r="HJ22" s="2">
        <f t="shared" si="51"/>
        <v>0</v>
      </c>
      <c r="HK22" s="2">
        <f t="shared" si="51"/>
        <v>0</v>
      </c>
      <c r="HL22" s="2">
        <f t="shared" si="51"/>
        <v>0</v>
      </c>
      <c r="HM22" s="2">
        <f t="shared" si="51"/>
        <v>0</v>
      </c>
      <c r="HN22" s="2">
        <f t="shared" si="51"/>
        <v>0</v>
      </c>
      <c r="HO22" s="2">
        <f t="shared" si="51"/>
        <v>0</v>
      </c>
      <c r="HP22" s="2">
        <f t="shared" si="51"/>
        <v>0</v>
      </c>
      <c r="HQ22" s="2">
        <f t="shared" si="51"/>
        <v>0</v>
      </c>
      <c r="HR22" s="2">
        <f t="shared" si="51"/>
        <v>0</v>
      </c>
      <c r="HS22" s="2">
        <f t="shared" si="51"/>
        <v>0</v>
      </c>
      <c r="HT22" s="2">
        <f t="shared" si="51"/>
        <v>0</v>
      </c>
      <c r="HU22" s="2">
        <f t="shared" si="51"/>
        <v>0</v>
      </c>
      <c r="HV22" s="2">
        <f t="shared" si="51"/>
        <v>0</v>
      </c>
      <c r="HW22" s="2">
        <f t="shared" si="51"/>
        <v>0</v>
      </c>
      <c r="HX22" s="2">
        <f t="shared" si="51"/>
        <v>0</v>
      </c>
      <c r="HY22" s="2">
        <f t="shared" si="51"/>
        <v>0</v>
      </c>
      <c r="HZ22" s="2">
        <f t="shared" si="51"/>
        <v>0</v>
      </c>
      <c r="IA22" s="2">
        <f t="shared" si="51"/>
        <v>0</v>
      </c>
      <c r="IB22" s="2">
        <f t="shared" si="51"/>
        <v>0</v>
      </c>
      <c r="IC22" s="2">
        <f t="shared" si="51"/>
        <v>0</v>
      </c>
      <c r="ID22" s="2">
        <f t="shared" si="51"/>
        <v>0</v>
      </c>
      <c r="IE22" s="2">
        <f t="shared" si="51"/>
        <v>0</v>
      </c>
      <c r="IF22" s="2">
        <f t="shared" si="51"/>
        <v>0</v>
      </c>
      <c r="IG22" s="2">
        <f t="shared" si="51"/>
        <v>0</v>
      </c>
      <c r="IH22" s="2">
        <f t="shared" si="51"/>
        <v>0</v>
      </c>
      <c r="II22" s="2">
        <f t="shared" si="51"/>
        <v>0</v>
      </c>
      <c r="IJ22" s="2">
        <f t="shared" si="51"/>
        <v>0</v>
      </c>
      <c r="IK22" s="2">
        <f t="shared" si="51"/>
        <v>0</v>
      </c>
      <c r="IL22" s="2">
        <f t="shared" si="51"/>
        <v>0</v>
      </c>
      <c r="IM22" s="2">
        <f t="shared" si="51"/>
        <v>0</v>
      </c>
      <c r="IN22" s="2">
        <f t="shared" si="51"/>
        <v>0</v>
      </c>
      <c r="IO22" s="2">
        <f t="shared" si="51"/>
        <v>0</v>
      </c>
      <c r="IP22" s="2">
        <f t="shared" si="51"/>
        <v>0</v>
      </c>
      <c r="IQ22" s="2">
        <f t="shared" si="51"/>
        <v>0</v>
      </c>
      <c r="IR22" s="2">
        <f t="shared" si="51"/>
        <v>0</v>
      </c>
      <c r="IS22" s="2">
        <f t="shared" si="51"/>
        <v>0</v>
      </c>
      <c r="IT22" s="2">
        <f t="shared" si="51"/>
        <v>0</v>
      </c>
      <c r="IU22" s="2">
        <f t="shared" si="51"/>
        <v>0</v>
      </c>
      <c r="IV22" s="2">
        <f t="shared" si="51"/>
        <v>0</v>
      </c>
      <c r="IW22" s="2">
        <f t="shared" si="51"/>
        <v>0</v>
      </c>
      <c r="IX22" s="2">
        <f t="shared" si="51"/>
        <v>0</v>
      </c>
      <c r="IY22" s="2">
        <f t="shared" si="51"/>
        <v>0</v>
      </c>
      <c r="IZ22" s="2">
        <f t="shared" si="51"/>
        <v>0</v>
      </c>
      <c r="JA22" s="2">
        <f t="shared" si="51"/>
        <v>0</v>
      </c>
      <c r="JB22" s="2">
        <f t="shared" ref="JB22:LM22" si="52">IF(JB21=1,YEAR(JB26),0)</f>
        <v>0</v>
      </c>
      <c r="JC22" s="2">
        <f t="shared" si="52"/>
        <v>0</v>
      </c>
      <c r="JD22" s="2">
        <f t="shared" si="52"/>
        <v>0</v>
      </c>
      <c r="JE22" s="2">
        <f t="shared" si="52"/>
        <v>0</v>
      </c>
      <c r="JF22" s="2">
        <f t="shared" si="52"/>
        <v>0</v>
      </c>
      <c r="JG22" s="2">
        <f t="shared" si="52"/>
        <v>0</v>
      </c>
      <c r="JH22" s="2">
        <f t="shared" si="52"/>
        <v>0</v>
      </c>
      <c r="JI22" s="2">
        <f t="shared" si="52"/>
        <v>0</v>
      </c>
      <c r="JJ22" s="2">
        <f t="shared" si="52"/>
        <v>0</v>
      </c>
      <c r="JK22" s="2">
        <f t="shared" si="52"/>
        <v>0</v>
      </c>
      <c r="JL22" s="2">
        <f t="shared" si="52"/>
        <v>0</v>
      </c>
      <c r="JM22" s="2">
        <f t="shared" si="52"/>
        <v>0</v>
      </c>
      <c r="JN22" s="2">
        <f t="shared" si="52"/>
        <v>0</v>
      </c>
      <c r="JO22" s="2">
        <f t="shared" si="52"/>
        <v>0</v>
      </c>
      <c r="JP22" s="2">
        <f t="shared" si="52"/>
        <v>0</v>
      </c>
      <c r="JQ22" s="2">
        <f t="shared" si="52"/>
        <v>0</v>
      </c>
      <c r="JR22" s="2">
        <f t="shared" si="52"/>
        <v>0</v>
      </c>
      <c r="JS22" s="2">
        <f t="shared" si="52"/>
        <v>0</v>
      </c>
      <c r="JT22" s="2">
        <f t="shared" si="52"/>
        <v>0</v>
      </c>
      <c r="JU22" s="2">
        <f t="shared" si="52"/>
        <v>0</v>
      </c>
      <c r="JV22" s="2">
        <f t="shared" si="52"/>
        <v>0</v>
      </c>
      <c r="JW22" s="2">
        <f t="shared" si="52"/>
        <v>0</v>
      </c>
      <c r="JX22" s="2">
        <f t="shared" si="52"/>
        <v>0</v>
      </c>
      <c r="JY22" s="2">
        <f t="shared" si="52"/>
        <v>0</v>
      </c>
      <c r="JZ22" s="2">
        <f t="shared" si="52"/>
        <v>0</v>
      </c>
      <c r="KA22" s="2">
        <f t="shared" si="52"/>
        <v>0</v>
      </c>
      <c r="KB22" s="2">
        <f t="shared" si="52"/>
        <v>0</v>
      </c>
      <c r="KC22" s="2">
        <f t="shared" si="52"/>
        <v>0</v>
      </c>
      <c r="KD22" s="2">
        <f t="shared" si="52"/>
        <v>0</v>
      </c>
      <c r="KE22" s="2">
        <f t="shared" si="52"/>
        <v>0</v>
      </c>
      <c r="KF22" s="2">
        <f t="shared" si="52"/>
        <v>0</v>
      </c>
      <c r="KG22" s="2">
        <f t="shared" si="52"/>
        <v>0</v>
      </c>
      <c r="KH22" s="2">
        <f t="shared" si="52"/>
        <v>0</v>
      </c>
      <c r="KI22" s="2">
        <f t="shared" si="52"/>
        <v>0</v>
      </c>
      <c r="KJ22" s="2">
        <f t="shared" si="52"/>
        <v>0</v>
      </c>
      <c r="KK22" s="2">
        <f t="shared" si="52"/>
        <v>0</v>
      </c>
      <c r="KL22" s="2">
        <f t="shared" si="52"/>
        <v>0</v>
      </c>
      <c r="KM22" s="2">
        <f t="shared" si="52"/>
        <v>0</v>
      </c>
      <c r="KN22" s="2">
        <f t="shared" si="52"/>
        <v>0</v>
      </c>
      <c r="KO22" s="2">
        <f t="shared" si="52"/>
        <v>0</v>
      </c>
      <c r="KP22" s="2">
        <f t="shared" si="52"/>
        <v>0</v>
      </c>
      <c r="KQ22" s="2">
        <f t="shared" si="52"/>
        <v>0</v>
      </c>
      <c r="KR22" s="2">
        <f t="shared" si="52"/>
        <v>0</v>
      </c>
      <c r="KS22" s="2">
        <f t="shared" si="52"/>
        <v>0</v>
      </c>
      <c r="KT22" s="2">
        <f t="shared" si="52"/>
        <v>0</v>
      </c>
      <c r="KU22" s="2">
        <f t="shared" si="52"/>
        <v>0</v>
      </c>
      <c r="KV22" s="2">
        <f t="shared" si="52"/>
        <v>0</v>
      </c>
      <c r="KW22" s="2">
        <f t="shared" si="52"/>
        <v>0</v>
      </c>
      <c r="KX22" s="2">
        <f t="shared" si="52"/>
        <v>0</v>
      </c>
      <c r="KY22" s="2">
        <f t="shared" si="52"/>
        <v>0</v>
      </c>
      <c r="KZ22" s="2">
        <f t="shared" si="52"/>
        <v>0</v>
      </c>
      <c r="LA22" s="2">
        <f t="shared" si="52"/>
        <v>0</v>
      </c>
      <c r="LB22" s="2">
        <f t="shared" si="52"/>
        <v>0</v>
      </c>
      <c r="LC22" s="2">
        <f t="shared" si="52"/>
        <v>0</v>
      </c>
      <c r="LD22" s="2">
        <f t="shared" si="52"/>
        <v>0</v>
      </c>
      <c r="LE22" s="2">
        <f t="shared" si="52"/>
        <v>0</v>
      </c>
      <c r="LF22" s="2">
        <f t="shared" si="52"/>
        <v>0</v>
      </c>
      <c r="LG22" s="2">
        <f t="shared" si="52"/>
        <v>0</v>
      </c>
      <c r="LH22" s="2">
        <f t="shared" si="52"/>
        <v>0</v>
      </c>
      <c r="LI22" s="2">
        <f t="shared" si="52"/>
        <v>0</v>
      </c>
      <c r="LJ22" s="2">
        <f t="shared" si="52"/>
        <v>0</v>
      </c>
      <c r="LK22" s="2">
        <f t="shared" si="52"/>
        <v>0</v>
      </c>
      <c r="LL22" s="2">
        <f t="shared" si="52"/>
        <v>0</v>
      </c>
      <c r="LM22" s="2">
        <f t="shared" si="52"/>
        <v>0</v>
      </c>
      <c r="LN22" s="2">
        <f t="shared" ref="LN22:NY22" si="53">IF(LN21=1,YEAR(LN26),0)</f>
        <v>0</v>
      </c>
      <c r="LO22" s="2">
        <f t="shared" si="53"/>
        <v>0</v>
      </c>
      <c r="LP22" s="2">
        <f t="shared" si="53"/>
        <v>0</v>
      </c>
      <c r="LQ22" s="2">
        <f t="shared" si="53"/>
        <v>0</v>
      </c>
      <c r="LR22" s="2">
        <f t="shared" si="53"/>
        <v>0</v>
      </c>
      <c r="LS22" s="2">
        <f t="shared" si="53"/>
        <v>0</v>
      </c>
      <c r="LT22" s="2">
        <f t="shared" si="53"/>
        <v>0</v>
      </c>
      <c r="LU22" s="2">
        <f t="shared" si="53"/>
        <v>0</v>
      </c>
      <c r="LV22" s="2">
        <f t="shared" si="53"/>
        <v>0</v>
      </c>
      <c r="LW22" s="2">
        <f t="shared" si="53"/>
        <v>0</v>
      </c>
      <c r="LX22" s="2">
        <f t="shared" si="53"/>
        <v>0</v>
      </c>
      <c r="LY22" s="2">
        <f t="shared" si="53"/>
        <v>0</v>
      </c>
      <c r="LZ22" s="2">
        <f t="shared" si="53"/>
        <v>0</v>
      </c>
      <c r="MA22" s="2">
        <f t="shared" si="53"/>
        <v>0</v>
      </c>
      <c r="MB22" s="2">
        <f t="shared" si="53"/>
        <v>0</v>
      </c>
      <c r="MC22" s="2">
        <f t="shared" si="53"/>
        <v>0</v>
      </c>
      <c r="MD22" s="2">
        <f t="shared" si="53"/>
        <v>0</v>
      </c>
      <c r="ME22" s="2">
        <f t="shared" si="53"/>
        <v>0</v>
      </c>
      <c r="MF22" s="2">
        <f t="shared" si="53"/>
        <v>0</v>
      </c>
      <c r="MG22" s="2">
        <f t="shared" si="53"/>
        <v>0</v>
      </c>
      <c r="MH22" s="2">
        <f t="shared" si="53"/>
        <v>0</v>
      </c>
      <c r="MI22" s="2">
        <f t="shared" si="53"/>
        <v>0</v>
      </c>
      <c r="MJ22" s="2">
        <f t="shared" si="53"/>
        <v>0</v>
      </c>
      <c r="MK22" s="2">
        <f t="shared" si="53"/>
        <v>0</v>
      </c>
      <c r="ML22" s="2">
        <f t="shared" si="53"/>
        <v>0</v>
      </c>
      <c r="MM22" s="2">
        <f t="shared" si="53"/>
        <v>0</v>
      </c>
      <c r="MN22" s="2">
        <f t="shared" si="53"/>
        <v>0</v>
      </c>
      <c r="MO22" s="2">
        <f t="shared" si="53"/>
        <v>0</v>
      </c>
      <c r="MP22" s="2">
        <f t="shared" si="53"/>
        <v>0</v>
      </c>
      <c r="MQ22" s="2">
        <f t="shared" si="53"/>
        <v>0</v>
      </c>
      <c r="MR22" s="2">
        <f t="shared" si="53"/>
        <v>0</v>
      </c>
      <c r="MS22" s="2">
        <f t="shared" si="53"/>
        <v>0</v>
      </c>
      <c r="MT22" s="2">
        <f t="shared" si="53"/>
        <v>0</v>
      </c>
      <c r="MU22" s="2">
        <f t="shared" si="53"/>
        <v>0</v>
      </c>
      <c r="MV22" s="2">
        <f t="shared" si="53"/>
        <v>0</v>
      </c>
      <c r="MW22" s="2">
        <f t="shared" si="53"/>
        <v>0</v>
      </c>
      <c r="MX22" s="2">
        <f t="shared" si="53"/>
        <v>0</v>
      </c>
      <c r="MY22" s="2">
        <f t="shared" si="53"/>
        <v>0</v>
      </c>
      <c r="MZ22" s="2">
        <f t="shared" si="53"/>
        <v>0</v>
      </c>
      <c r="NA22" s="2">
        <f t="shared" si="53"/>
        <v>0</v>
      </c>
      <c r="NB22" s="2">
        <f t="shared" si="53"/>
        <v>0</v>
      </c>
      <c r="NC22" s="2">
        <f t="shared" si="53"/>
        <v>0</v>
      </c>
      <c r="ND22" s="2">
        <f t="shared" si="53"/>
        <v>0</v>
      </c>
      <c r="NE22" s="2">
        <f t="shared" si="53"/>
        <v>0</v>
      </c>
      <c r="NF22" s="2">
        <f t="shared" si="53"/>
        <v>0</v>
      </c>
      <c r="NG22" s="2">
        <f t="shared" si="53"/>
        <v>0</v>
      </c>
      <c r="NH22" s="2">
        <f t="shared" si="53"/>
        <v>0</v>
      </c>
      <c r="NI22" s="2">
        <f t="shared" si="53"/>
        <v>0</v>
      </c>
      <c r="NJ22" s="2">
        <f t="shared" si="53"/>
        <v>0</v>
      </c>
      <c r="NK22" s="2">
        <f t="shared" si="53"/>
        <v>0</v>
      </c>
      <c r="NL22" s="2">
        <f t="shared" si="53"/>
        <v>0</v>
      </c>
      <c r="NM22" s="2">
        <f t="shared" si="53"/>
        <v>0</v>
      </c>
      <c r="NN22" s="2">
        <f t="shared" si="53"/>
        <v>0</v>
      </c>
      <c r="NO22" s="2">
        <f t="shared" si="53"/>
        <v>0</v>
      </c>
      <c r="NP22" s="2">
        <f t="shared" si="53"/>
        <v>0</v>
      </c>
      <c r="NQ22" s="2">
        <f t="shared" si="53"/>
        <v>0</v>
      </c>
      <c r="NR22" s="2">
        <f t="shared" si="53"/>
        <v>0</v>
      </c>
      <c r="NS22" s="2">
        <f t="shared" si="53"/>
        <v>0</v>
      </c>
      <c r="NT22" s="2">
        <f t="shared" si="53"/>
        <v>0</v>
      </c>
      <c r="NU22" s="2">
        <f t="shared" si="53"/>
        <v>0</v>
      </c>
      <c r="NV22" s="2">
        <f t="shared" si="53"/>
        <v>0</v>
      </c>
      <c r="NW22" s="2">
        <f t="shared" si="53"/>
        <v>0</v>
      </c>
      <c r="NX22" s="2">
        <f t="shared" si="53"/>
        <v>0</v>
      </c>
      <c r="NY22" s="2">
        <f t="shared" si="53"/>
        <v>0</v>
      </c>
      <c r="NZ22" s="2">
        <f t="shared" ref="NZ22:QK22" si="54">IF(NZ21=1,YEAR(NZ26),0)</f>
        <v>0</v>
      </c>
      <c r="OA22" s="2">
        <f t="shared" si="54"/>
        <v>0</v>
      </c>
      <c r="OB22" s="2">
        <f t="shared" si="54"/>
        <v>0</v>
      </c>
      <c r="OC22" s="2">
        <f t="shared" si="54"/>
        <v>0</v>
      </c>
      <c r="OD22" s="2">
        <f t="shared" si="54"/>
        <v>0</v>
      </c>
      <c r="OE22" s="2">
        <f t="shared" si="54"/>
        <v>0</v>
      </c>
      <c r="OF22" s="2">
        <f t="shared" si="54"/>
        <v>0</v>
      </c>
      <c r="OG22" s="2">
        <f t="shared" si="54"/>
        <v>0</v>
      </c>
      <c r="OH22" s="2">
        <f t="shared" si="54"/>
        <v>0</v>
      </c>
      <c r="OI22" s="2">
        <f t="shared" si="54"/>
        <v>0</v>
      </c>
      <c r="OJ22" s="2">
        <f t="shared" si="54"/>
        <v>0</v>
      </c>
      <c r="OK22" s="2">
        <f t="shared" si="54"/>
        <v>0</v>
      </c>
      <c r="OL22" s="2">
        <f t="shared" si="54"/>
        <v>0</v>
      </c>
      <c r="OM22" s="2">
        <f t="shared" si="54"/>
        <v>0</v>
      </c>
      <c r="ON22" s="2">
        <f t="shared" si="54"/>
        <v>0</v>
      </c>
      <c r="OO22" s="2">
        <f t="shared" si="54"/>
        <v>0</v>
      </c>
      <c r="OP22" s="2">
        <f t="shared" si="54"/>
        <v>0</v>
      </c>
      <c r="OQ22" s="2">
        <f t="shared" si="54"/>
        <v>0</v>
      </c>
      <c r="OR22" s="2">
        <f t="shared" si="54"/>
        <v>0</v>
      </c>
      <c r="OS22" s="2">
        <f t="shared" si="54"/>
        <v>0</v>
      </c>
      <c r="OT22" s="2">
        <f t="shared" si="54"/>
        <v>0</v>
      </c>
      <c r="OU22" s="2">
        <f t="shared" si="54"/>
        <v>0</v>
      </c>
      <c r="OV22" s="2">
        <f t="shared" si="54"/>
        <v>0</v>
      </c>
      <c r="OW22" s="2">
        <f t="shared" si="54"/>
        <v>0</v>
      </c>
      <c r="OX22" s="2">
        <f t="shared" si="54"/>
        <v>0</v>
      </c>
      <c r="OY22" s="2">
        <f t="shared" si="54"/>
        <v>0</v>
      </c>
      <c r="OZ22" s="2">
        <f t="shared" si="54"/>
        <v>0</v>
      </c>
      <c r="PA22" s="2">
        <f t="shared" si="54"/>
        <v>0</v>
      </c>
      <c r="PB22" s="2">
        <f t="shared" si="54"/>
        <v>0</v>
      </c>
      <c r="PC22" s="2">
        <f t="shared" si="54"/>
        <v>0</v>
      </c>
      <c r="PD22" s="2">
        <f t="shared" si="54"/>
        <v>0</v>
      </c>
      <c r="PE22" s="2">
        <f t="shared" si="54"/>
        <v>0</v>
      </c>
      <c r="PF22" s="2">
        <f t="shared" si="54"/>
        <v>0</v>
      </c>
      <c r="PG22" s="2">
        <f t="shared" si="54"/>
        <v>0</v>
      </c>
      <c r="PH22" s="2">
        <f t="shared" si="54"/>
        <v>0</v>
      </c>
      <c r="PI22" s="2">
        <f t="shared" si="54"/>
        <v>0</v>
      </c>
      <c r="PJ22" s="2">
        <f t="shared" si="54"/>
        <v>0</v>
      </c>
      <c r="PK22" s="2">
        <f t="shared" si="54"/>
        <v>0</v>
      </c>
      <c r="PL22" s="2">
        <f t="shared" si="54"/>
        <v>0</v>
      </c>
      <c r="PM22" s="2">
        <f t="shared" si="54"/>
        <v>0</v>
      </c>
      <c r="PN22" s="2">
        <f t="shared" si="54"/>
        <v>0</v>
      </c>
      <c r="PO22" s="2">
        <f t="shared" si="54"/>
        <v>0</v>
      </c>
      <c r="PP22" s="2">
        <f t="shared" si="54"/>
        <v>0</v>
      </c>
      <c r="PQ22" s="2">
        <f t="shared" si="54"/>
        <v>0</v>
      </c>
      <c r="PR22" s="2">
        <f t="shared" si="54"/>
        <v>0</v>
      </c>
      <c r="PS22" s="2">
        <f t="shared" si="54"/>
        <v>0</v>
      </c>
      <c r="PT22" s="2">
        <f t="shared" si="54"/>
        <v>0</v>
      </c>
      <c r="PU22" s="2">
        <f t="shared" si="54"/>
        <v>0</v>
      </c>
      <c r="PV22" s="2">
        <f t="shared" si="54"/>
        <v>0</v>
      </c>
      <c r="PW22" s="2">
        <f t="shared" si="54"/>
        <v>0</v>
      </c>
      <c r="PX22" s="2">
        <f t="shared" si="54"/>
        <v>0</v>
      </c>
      <c r="PY22" s="2">
        <f t="shared" si="54"/>
        <v>0</v>
      </c>
      <c r="PZ22" s="2">
        <f t="shared" si="54"/>
        <v>0</v>
      </c>
      <c r="QA22" s="2">
        <f t="shared" si="54"/>
        <v>0</v>
      </c>
      <c r="QB22" s="2">
        <f t="shared" si="54"/>
        <v>0</v>
      </c>
      <c r="QC22" s="2">
        <f t="shared" si="54"/>
        <v>0</v>
      </c>
      <c r="QD22" s="2">
        <f t="shared" si="54"/>
        <v>0</v>
      </c>
      <c r="QE22" s="2">
        <f t="shared" si="54"/>
        <v>0</v>
      </c>
      <c r="QF22" s="2">
        <f t="shared" si="54"/>
        <v>0</v>
      </c>
      <c r="QG22" s="2">
        <f t="shared" si="54"/>
        <v>0</v>
      </c>
      <c r="QH22" s="2">
        <f t="shared" si="54"/>
        <v>0</v>
      </c>
      <c r="QI22" s="2">
        <f t="shared" si="54"/>
        <v>0</v>
      </c>
      <c r="QJ22" s="2">
        <f t="shared" si="54"/>
        <v>0</v>
      </c>
      <c r="QK22" s="2">
        <f t="shared" si="54"/>
        <v>0</v>
      </c>
      <c r="QL22" s="2">
        <f t="shared" ref="QL22:SW22" si="55">IF(QL21=1,YEAR(QL26),0)</f>
        <v>0</v>
      </c>
      <c r="QM22" s="2">
        <f t="shared" si="55"/>
        <v>0</v>
      </c>
      <c r="QN22" s="2">
        <f t="shared" si="55"/>
        <v>0</v>
      </c>
      <c r="QO22" s="2">
        <f t="shared" si="55"/>
        <v>0</v>
      </c>
      <c r="QP22" s="2">
        <f t="shared" si="55"/>
        <v>0</v>
      </c>
      <c r="QQ22" s="2">
        <f t="shared" si="55"/>
        <v>0</v>
      </c>
      <c r="QR22" s="2">
        <f t="shared" si="55"/>
        <v>0</v>
      </c>
      <c r="QS22" s="2">
        <f t="shared" si="55"/>
        <v>0</v>
      </c>
      <c r="QT22" s="2">
        <f t="shared" si="55"/>
        <v>0</v>
      </c>
      <c r="QU22" s="2">
        <f t="shared" si="55"/>
        <v>0</v>
      </c>
      <c r="QV22" s="2">
        <f t="shared" si="55"/>
        <v>0</v>
      </c>
      <c r="QW22" s="2">
        <f t="shared" si="55"/>
        <v>0</v>
      </c>
      <c r="QX22" s="2">
        <f t="shared" si="55"/>
        <v>0</v>
      </c>
      <c r="QY22" s="2">
        <f t="shared" si="55"/>
        <v>0</v>
      </c>
      <c r="QZ22" s="2">
        <f t="shared" si="55"/>
        <v>0</v>
      </c>
      <c r="RA22" s="2">
        <f t="shared" si="55"/>
        <v>0</v>
      </c>
      <c r="RB22" s="2">
        <f t="shared" si="55"/>
        <v>0</v>
      </c>
      <c r="RC22" s="2">
        <f t="shared" si="55"/>
        <v>0</v>
      </c>
      <c r="RD22" s="2">
        <f t="shared" si="55"/>
        <v>0</v>
      </c>
      <c r="RE22" s="2">
        <f t="shared" si="55"/>
        <v>0</v>
      </c>
      <c r="RF22" s="2">
        <f t="shared" si="55"/>
        <v>0</v>
      </c>
      <c r="RG22" s="2">
        <f t="shared" si="55"/>
        <v>0</v>
      </c>
      <c r="RH22" s="2">
        <f t="shared" si="55"/>
        <v>0</v>
      </c>
      <c r="RI22" s="2">
        <f t="shared" si="55"/>
        <v>0</v>
      </c>
      <c r="RJ22" s="2">
        <f t="shared" si="55"/>
        <v>0</v>
      </c>
      <c r="RK22" s="2">
        <f t="shared" si="55"/>
        <v>0</v>
      </c>
      <c r="RL22" s="2">
        <f t="shared" si="55"/>
        <v>0</v>
      </c>
      <c r="RM22" s="2">
        <f t="shared" si="55"/>
        <v>0</v>
      </c>
      <c r="RN22" s="2">
        <f t="shared" si="55"/>
        <v>0</v>
      </c>
      <c r="RO22" s="2">
        <f t="shared" si="55"/>
        <v>0</v>
      </c>
      <c r="RP22" s="2">
        <f t="shared" si="55"/>
        <v>0</v>
      </c>
      <c r="RQ22" s="2">
        <f t="shared" si="55"/>
        <v>0</v>
      </c>
      <c r="RR22" s="2">
        <f t="shared" si="55"/>
        <v>0</v>
      </c>
      <c r="RS22" s="2">
        <f t="shared" si="55"/>
        <v>0</v>
      </c>
      <c r="RT22" s="2">
        <f t="shared" si="55"/>
        <v>0</v>
      </c>
      <c r="RU22" s="2">
        <f t="shared" si="55"/>
        <v>0</v>
      </c>
      <c r="RV22" s="2">
        <f t="shared" si="55"/>
        <v>0</v>
      </c>
      <c r="RW22" s="2">
        <f t="shared" si="55"/>
        <v>0</v>
      </c>
      <c r="RX22" s="2">
        <f t="shared" si="55"/>
        <v>0</v>
      </c>
      <c r="RY22" s="2">
        <f t="shared" si="55"/>
        <v>0</v>
      </c>
      <c r="RZ22" s="2">
        <f t="shared" si="55"/>
        <v>0</v>
      </c>
      <c r="SA22" s="2">
        <f t="shared" si="55"/>
        <v>0</v>
      </c>
      <c r="SB22" s="2">
        <f t="shared" si="55"/>
        <v>0</v>
      </c>
      <c r="SC22" s="2">
        <f t="shared" si="55"/>
        <v>0</v>
      </c>
      <c r="SD22" s="2">
        <f t="shared" si="55"/>
        <v>0</v>
      </c>
      <c r="SE22" s="2">
        <f t="shared" si="55"/>
        <v>0</v>
      </c>
      <c r="SF22" s="2">
        <f t="shared" si="55"/>
        <v>0</v>
      </c>
      <c r="SG22" s="2">
        <f t="shared" si="55"/>
        <v>0</v>
      </c>
      <c r="SH22" s="2">
        <f t="shared" si="55"/>
        <v>0</v>
      </c>
      <c r="SI22" s="2">
        <f t="shared" si="55"/>
        <v>0</v>
      </c>
      <c r="SJ22" s="2">
        <f t="shared" si="55"/>
        <v>0</v>
      </c>
      <c r="SK22" s="2">
        <f t="shared" si="55"/>
        <v>0</v>
      </c>
      <c r="SL22" s="2">
        <f t="shared" si="55"/>
        <v>0</v>
      </c>
      <c r="SM22" s="2">
        <f t="shared" si="55"/>
        <v>0</v>
      </c>
      <c r="SN22" s="2">
        <f t="shared" si="55"/>
        <v>0</v>
      </c>
      <c r="SO22" s="2">
        <f t="shared" si="55"/>
        <v>0</v>
      </c>
      <c r="SP22" s="2">
        <f t="shared" si="55"/>
        <v>0</v>
      </c>
      <c r="SQ22" s="2">
        <f t="shared" si="55"/>
        <v>0</v>
      </c>
      <c r="SR22" s="2">
        <f t="shared" si="55"/>
        <v>0</v>
      </c>
      <c r="SS22" s="2">
        <f t="shared" si="55"/>
        <v>0</v>
      </c>
      <c r="ST22" s="2">
        <f t="shared" si="55"/>
        <v>0</v>
      </c>
      <c r="SU22" s="2">
        <f t="shared" si="55"/>
        <v>0</v>
      </c>
      <c r="SV22" s="2">
        <f t="shared" si="55"/>
        <v>0</v>
      </c>
      <c r="SW22" s="2">
        <f t="shared" si="55"/>
        <v>0</v>
      </c>
      <c r="SX22" s="2">
        <f t="shared" ref="SX22:VI22" si="56">IF(SX21=1,YEAR(SX26),0)</f>
        <v>0</v>
      </c>
      <c r="SY22" s="2">
        <f t="shared" si="56"/>
        <v>0</v>
      </c>
      <c r="SZ22" s="2">
        <f t="shared" si="56"/>
        <v>0</v>
      </c>
      <c r="TA22" s="2">
        <f t="shared" si="56"/>
        <v>0</v>
      </c>
      <c r="TB22" s="2">
        <f t="shared" si="56"/>
        <v>0</v>
      </c>
      <c r="TC22" s="2">
        <f t="shared" si="56"/>
        <v>0</v>
      </c>
      <c r="TD22" s="2">
        <f t="shared" si="56"/>
        <v>0</v>
      </c>
      <c r="TE22" s="2">
        <f t="shared" si="56"/>
        <v>0</v>
      </c>
      <c r="TF22" s="2">
        <f t="shared" si="56"/>
        <v>0</v>
      </c>
      <c r="TG22" s="2">
        <f t="shared" si="56"/>
        <v>0</v>
      </c>
      <c r="TH22" s="2">
        <f t="shared" si="56"/>
        <v>0</v>
      </c>
      <c r="TI22" s="2">
        <f t="shared" si="56"/>
        <v>0</v>
      </c>
      <c r="TJ22" s="2">
        <f t="shared" si="56"/>
        <v>0</v>
      </c>
      <c r="TK22" s="2">
        <f t="shared" si="56"/>
        <v>0</v>
      </c>
      <c r="TL22" s="2">
        <f t="shared" si="56"/>
        <v>0</v>
      </c>
      <c r="TM22" s="2">
        <f t="shared" si="56"/>
        <v>0</v>
      </c>
      <c r="TN22" s="2">
        <f t="shared" si="56"/>
        <v>0</v>
      </c>
      <c r="TO22" s="2">
        <f t="shared" si="56"/>
        <v>0</v>
      </c>
      <c r="TP22" s="2">
        <f t="shared" si="56"/>
        <v>0</v>
      </c>
      <c r="TQ22" s="2">
        <f t="shared" si="56"/>
        <v>0</v>
      </c>
      <c r="TR22" s="2">
        <f t="shared" si="56"/>
        <v>0</v>
      </c>
      <c r="TS22" s="2">
        <f t="shared" si="56"/>
        <v>0</v>
      </c>
      <c r="TT22" s="2">
        <f t="shared" si="56"/>
        <v>0</v>
      </c>
      <c r="TU22" s="2">
        <f t="shared" si="56"/>
        <v>0</v>
      </c>
      <c r="TV22" s="2">
        <f t="shared" si="56"/>
        <v>0</v>
      </c>
      <c r="TW22" s="2">
        <f t="shared" si="56"/>
        <v>0</v>
      </c>
      <c r="TX22" s="2">
        <f t="shared" si="56"/>
        <v>0</v>
      </c>
      <c r="TY22" s="2">
        <f t="shared" si="56"/>
        <v>0</v>
      </c>
      <c r="TZ22" s="2">
        <f t="shared" si="56"/>
        <v>0</v>
      </c>
      <c r="UA22" s="2">
        <f t="shared" si="56"/>
        <v>0</v>
      </c>
      <c r="UB22" s="2">
        <f t="shared" si="56"/>
        <v>0</v>
      </c>
      <c r="UC22" s="2">
        <f t="shared" si="56"/>
        <v>0</v>
      </c>
      <c r="UD22" s="2">
        <f t="shared" si="56"/>
        <v>0</v>
      </c>
      <c r="UE22" s="2">
        <f t="shared" si="56"/>
        <v>0</v>
      </c>
      <c r="UF22" s="2">
        <f t="shared" si="56"/>
        <v>0</v>
      </c>
      <c r="UG22" s="2">
        <f t="shared" si="56"/>
        <v>0</v>
      </c>
      <c r="UH22" s="2">
        <f t="shared" si="56"/>
        <v>0</v>
      </c>
      <c r="UI22" s="2">
        <f t="shared" si="56"/>
        <v>0</v>
      </c>
      <c r="UJ22" s="2">
        <f t="shared" si="56"/>
        <v>0</v>
      </c>
      <c r="UK22" s="2">
        <f t="shared" si="56"/>
        <v>0</v>
      </c>
      <c r="UL22" s="2">
        <f t="shared" si="56"/>
        <v>0</v>
      </c>
      <c r="UM22" s="2">
        <f t="shared" si="56"/>
        <v>0</v>
      </c>
      <c r="UN22" s="2">
        <f t="shared" si="56"/>
        <v>0</v>
      </c>
      <c r="UO22" s="2">
        <f t="shared" si="56"/>
        <v>0</v>
      </c>
      <c r="UP22" s="2">
        <f t="shared" si="56"/>
        <v>0</v>
      </c>
      <c r="UQ22" s="2">
        <f t="shared" si="56"/>
        <v>0</v>
      </c>
      <c r="UR22" s="2">
        <f t="shared" si="56"/>
        <v>0</v>
      </c>
      <c r="US22" s="2">
        <f t="shared" si="56"/>
        <v>0</v>
      </c>
      <c r="UT22" s="2">
        <f t="shared" si="56"/>
        <v>0</v>
      </c>
      <c r="UU22" s="2">
        <f t="shared" si="56"/>
        <v>0</v>
      </c>
      <c r="UV22" s="2">
        <f t="shared" si="56"/>
        <v>0</v>
      </c>
      <c r="UW22" s="2">
        <f t="shared" si="56"/>
        <v>0</v>
      </c>
      <c r="UX22" s="2">
        <f t="shared" si="56"/>
        <v>0</v>
      </c>
      <c r="UY22" s="2">
        <f t="shared" si="56"/>
        <v>0</v>
      </c>
      <c r="UZ22" s="2">
        <f t="shared" si="56"/>
        <v>0</v>
      </c>
      <c r="VA22" s="2">
        <f t="shared" si="56"/>
        <v>0</v>
      </c>
      <c r="VB22" s="2">
        <f t="shared" si="56"/>
        <v>0</v>
      </c>
      <c r="VC22" s="2">
        <f t="shared" si="56"/>
        <v>0</v>
      </c>
      <c r="VD22" s="2">
        <f t="shared" si="56"/>
        <v>0</v>
      </c>
      <c r="VE22" s="2">
        <f t="shared" si="56"/>
        <v>0</v>
      </c>
      <c r="VF22" s="2">
        <f t="shared" si="56"/>
        <v>0</v>
      </c>
      <c r="VG22" s="2">
        <f t="shared" si="56"/>
        <v>0</v>
      </c>
      <c r="VH22" s="2">
        <f t="shared" si="56"/>
        <v>0</v>
      </c>
      <c r="VI22" s="2">
        <f t="shared" si="56"/>
        <v>0</v>
      </c>
      <c r="VJ22" s="2">
        <f t="shared" ref="VJ22:XU22" si="57">IF(VJ21=1,YEAR(VJ26),0)</f>
        <v>0</v>
      </c>
      <c r="VK22" s="2">
        <f t="shared" si="57"/>
        <v>0</v>
      </c>
      <c r="VL22" s="2">
        <f t="shared" si="57"/>
        <v>0</v>
      </c>
      <c r="VM22" s="2">
        <f t="shared" si="57"/>
        <v>0</v>
      </c>
      <c r="VN22" s="2">
        <f t="shared" si="57"/>
        <v>0</v>
      </c>
      <c r="VO22" s="2">
        <f t="shared" si="57"/>
        <v>0</v>
      </c>
      <c r="VP22" s="2">
        <f t="shared" si="57"/>
        <v>0</v>
      </c>
      <c r="VQ22" s="2">
        <f t="shared" si="57"/>
        <v>0</v>
      </c>
      <c r="VR22" s="2">
        <f t="shared" si="57"/>
        <v>0</v>
      </c>
      <c r="VS22" s="2">
        <f t="shared" si="57"/>
        <v>0</v>
      </c>
      <c r="VT22" s="2">
        <f t="shared" si="57"/>
        <v>0</v>
      </c>
      <c r="VU22" s="2">
        <f t="shared" si="57"/>
        <v>0</v>
      </c>
      <c r="VV22" s="2">
        <f t="shared" si="57"/>
        <v>0</v>
      </c>
      <c r="VW22" s="2">
        <f t="shared" si="57"/>
        <v>0</v>
      </c>
      <c r="VX22" s="2">
        <f t="shared" si="57"/>
        <v>0</v>
      </c>
      <c r="VY22" s="2">
        <f t="shared" si="57"/>
        <v>0</v>
      </c>
      <c r="VZ22" s="2">
        <f t="shared" si="57"/>
        <v>0</v>
      </c>
      <c r="WA22" s="2">
        <f t="shared" si="57"/>
        <v>0</v>
      </c>
      <c r="WB22" s="2">
        <f t="shared" si="57"/>
        <v>0</v>
      </c>
      <c r="WC22" s="2">
        <f t="shared" si="57"/>
        <v>0</v>
      </c>
      <c r="WD22" s="2">
        <f t="shared" si="57"/>
        <v>0</v>
      </c>
      <c r="WE22" s="2">
        <f t="shared" si="57"/>
        <v>0</v>
      </c>
      <c r="WF22" s="2">
        <f t="shared" si="57"/>
        <v>0</v>
      </c>
      <c r="WG22" s="2">
        <f t="shared" si="57"/>
        <v>0</v>
      </c>
      <c r="WH22" s="2">
        <f t="shared" si="57"/>
        <v>0</v>
      </c>
      <c r="WI22" s="2">
        <f t="shared" si="57"/>
        <v>0</v>
      </c>
      <c r="WJ22" s="2">
        <f t="shared" si="57"/>
        <v>0</v>
      </c>
      <c r="WK22" s="2">
        <f t="shared" si="57"/>
        <v>0</v>
      </c>
      <c r="WL22" s="2">
        <f t="shared" si="57"/>
        <v>0</v>
      </c>
      <c r="WM22" s="2">
        <f t="shared" si="57"/>
        <v>0</v>
      </c>
      <c r="WN22" s="2">
        <f t="shared" si="57"/>
        <v>0</v>
      </c>
      <c r="WO22" s="2">
        <f t="shared" si="57"/>
        <v>0</v>
      </c>
      <c r="WP22" s="2">
        <f t="shared" si="57"/>
        <v>0</v>
      </c>
      <c r="WQ22" s="2">
        <f t="shared" si="57"/>
        <v>0</v>
      </c>
      <c r="WR22" s="2">
        <f t="shared" si="57"/>
        <v>0</v>
      </c>
      <c r="WS22" s="2">
        <f t="shared" si="57"/>
        <v>0</v>
      </c>
      <c r="WT22" s="2">
        <f t="shared" si="57"/>
        <v>0</v>
      </c>
      <c r="WU22" s="2">
        <f t="shared" si="57"/>
        <v>0</v>
      </c>
      <c r="WV22" s="2">
        <f t="shared" si="57"/>
        <v>0</v>
      </c>
      <c r="WW22" s="2">
        <f t="shared" si="57"/>
        <v>0</v>
      </c>
      <c r="WX22" s="2">
        <f t="shared" si="57"/>
        <v>0</v>
      </c>
      <c r="WY22" s="2">
        <f t="shared" si="57"/>
        <v>0</v>
      </c>
      <c r="WZ22" s="2">
        <f t="shared" si="57"/>
        <v>0</v>
      </c>
      <c r="XA22" s="2">
        <f t="shared" si="57"/>
        <v>0</v>
      </c>
      <c r="XB22" s="2">
        <f t="shared" si="57"/>
        <v>0</v>
      </c>
      <c r="XC22" s="2">
        <f t="shared" si="57"/>
        <v>0</v>
      </c>
      <c r="XD22" s="2">
        <f t="shared" si="57"/>
        <v>0</v>
      </c>
      <c r="XE22" s="2">
        <f t="shared" si="57"/>
        <v>0</v>
      </c>
      <c r="XF22" s="2">
        <f t="shared" si="57"/>
        <v>0</v>
      </c>
      <c r="XG22" s="2">
        <f t="shared" si="57"/>
        <v>0</v>
      </c>
      <c r="XH22" s="2">
        <f t="shared" si="57"/>
        <v>0</v>
      </c>
      <c r="XI22" s="2">
        <f t="shared" si="57"/>
        <v>0</v>
      </c>
      <c r="XJ22" s="2">
        <f t="shared" si="57"/>
        <v>0</v>
      </c>
      <c r="XK22" s="2">
        <f t="shared" si="57"/>
        <v>0</v>
      </c>
      <c r="XL22" s="2">
        <f t="shared" si="57"/>
        <v>0</v>
      </c>
      <c r="XM22" s="2">
        <f t="shared" si="57"/>
        <v>0</v>
      </c>
      <c r="XN22" s="2">
        <f t="shared" si="57"/>
        <v>0</v>
      </c>
      <c r="XO22" s="2">
        <f t="shared" si="57"/>
        <v>0</v>
      </c>
      <c r="XP22" s="2">
        <f t="shared" si="57"/>
        <v>0</v>
      </c>
      <c r="XQ22" s="2">
        <f t="shared" si="57"/>
        <v>0</v>
      </c>
      <c r="XR22" s="2">
        <f t="shared" si="57"/>
        <v>0</v>
      </c>
      <c r="XS22" s="2">
        <f t="shared" si="57"/>
        <v>0</v>
      </c>
      <c r="XT22" s="2">
        <f t="shared" si="57"/>
        <v>0</v>
      </c>
      <c r="XU22" s="2">
        <f t="shared" si="57"/>
        <v>0</v>
      </c>
      <c r="XV22" s="2">
        <f t="shared" ref="XV22:AAG22" si="58">IF(XV21=1,YEAR(XV26),0)</f>
        <v>0</v>
      </c>
      <c r="XW22" s="2">
        <f t="shared" si="58"/>
        <v>0</v>
      </c>
      <c r="XX22" s="2">
        <f t="shared" si="58"/>
        <v>0</v>
      </c>
      <c r="XY22" s="2">
        <f t="shared" si="58"/>
        <v>0</v>
      </c>
      <c r="XZ22" s="2">
        <f t="shared" si="58"/>
        <v>0</v>
      </c>
      <c r="YA22" s="2">
        <f t="shared" si="58"/>
        <v>0</v>
      </c>
      <c r="YB22" s="2">
        <f t="shared" si="58"/>
        <v>0</v>
      </c>
      <c r="YC22" s="2">
        <f t="shared" si="58"/>
        <v>0</v>
      </c>
      <c r="YD22" s="2">
        <f t="shared" si="58"/>
        <v>0</v>
      </c>
      <c r="YE22" s="2">
        <f t="shared" si="58"/>
        <v>0</v>
      </c>
      <c r="YF22" s="2">
        <f t="shared" si="58"/>
        <v>0</v>
      </c>
      <c r="YG22" s="2">
        <f t="shared" si="58"/>
        <v>0</v>
      </c>
      <c r="YH22" s="2">
        <f t="shared" si="58"/>
        <v>0</v>
      </c>
      <c r="YI22" s="2">
        <f t="shared" si="58"/>
        <v>0</v>
      </c>
      <c r="YJ22" s="2">
        <f t="shared" si="58"/>
        <v>0</v>
      </c>
      <c r="YK22" s="2">
        <f t="shared" si="58"/>
        <v>0</v>
      </c>
      <c r="YL22" s="2">
        <f t="shared" si="58"/>
        <v>0</v>
      </c>
      <c r="YM22" s="2">
        <f t="shared" si="58"/>
        <v>0</v>
      </c>
      <c r="YN22" s="2">
        <f t="shared" si="58"/>
        <v>0</v>
      </c>
      <c r="YO22" s="2">
        <f t="shared" si="58"/>
        <v>0</v>
      </c>
      <c r="YP22" s="2">
        <f t="shared" si="58"/>
        <v>0</v>
      </c>
      <c r="YQ22" s="2">
        <f t="shared" si="58"/>
        <v>0</v>
      </c>
      <c r="YR22" s="2">
        <f t="shared" si="58"/>
        <v>0</v>
      </c>
      <c r="YS22" s="2">
        <f t="shared" si="58"/>
        <v>0</v>
      </c>
      <c r="YT22" s="2">
        <f t="shared" si="58"/>
        <v>0</v>
      </c>
      <c r="YU22" s="2">
        <f t="shared" si="58"/>
        <v>0</v>
      </c>
      <c r="YV22" s="2">
        <f t="shared" si="58"/>
        <v>0</v>
      </c>
      <c r="YW22" s="2">
        <f t="shared" si="58"/>
        <v>0</v>
      </c>
      <c r="YX22" s="2">
        <f t="shared" si="58"/>
        <v>0</v>
      </c>
      <c r="YY22" s="2">
        <f t="shared" si="58"/>
        <v>0</v>
      </c>
      <c r="YZ22" s="2">
        <f t="shared" si="58"/>
        <v>0</v>
      </c>
      <c r="ZA22" s="2">
        <f t="shared" si="58"/>
        <v>0</v>
      </c>
      <c r="ZB22" s="2">
        <f t="shared" si="58"/>
        <v>0</v>
      </c>
      <c r="ZC22" s="2">
        <f t="shared" si="58"/>
        <v>0</v>
      </c>
      <c r="ZD22" s="2">
        <f t="shared" si="58"/>
        <v>0</v>
      </c>
      <c r="ZE22" s="2">
        <f t="shared" si="58"/>
        <v>0</v>
      </c>
      <c r="ZF22" s="2">
        <f t="shared" si="58"/>
        <v>0</v>
      </c>
      <c r="ZG22" s="2">
        <f t="shared" si="58"/>
        <v>0</v>
      </c>
      <c r="ZH22" s="2">
        <f t="shared" si="58"/>
        <v>0</v>
      </c>
      <c r="ZI22" s="2">
        <f t="shared" si="58"/>
        <v>0</v>
      </c>
      <c r="ZJ22" s="2">
        <f t="shared" si="58"/>
        <v>0</v>
      </c>
      <c r="ZK22" s="2">
        <f t="shared" si="58"/>
        <v>0</v>
      </c>
      <c r="ZL22" s="2">
        <f t="shared" si="58"/>
        <v>0</v>
      </c>
      <c r="ZM22" s="2">
        <f t="shared" si="58"/>
        <v>0</v>
      </c>
      <c r="ZN22" s="2">
        <f t="shared" si="58"/>
        <v>0</v>
      </c>
      <c r="ZO22" s="2">
        <f t="shared" si="58"/>
        <v>0</v>
      </c>
      <c r="ZP22" s="2">
        <f t="shared" si="58"/>
        <v>0</v>
      </c>
      <c r="ZQ22" s="2">
        <f t="shared" si="58"/>
        <v>0</v>
      </c>
      <c r="ZR22" s="2">
        <f t="shared" si="58"/>
        <v>0</v>
      </c>
      <c r="ZS22" s="2">
        <f t="shared" si="58"/>
        <v>0</v>
      </c>
      <c r="ZT22" s="2">
        <f t="shared" si="58"/>
        <v>0</v>
      </c>
      <c r="ZU22" s="2">
        <f t="shared" si="58"/>
        <v>0</v>
      </c>
      <c r="ZV22" s="2">
        <f t="shared" si="58"/>
        <v>0</v>
      </c>
      <c r="ZW22" s="2">
        <f t="shared" si="58"/>
        <v>0</v>
      </c>
      <c r="ZX22" s="2">
        <f t="shared" si="58"/>
        <v>0</v>
      </c>
      <c r="ZY22" s="2">
        <f t="shared" si="58"/>
        <v>0</v>
      </c>
      <c r="ZZ22" s="2">
        <f t="shared" si="58"/>
        <v>0</v>
      </c>
      <c r="AAA22" s="2">
        <f t="shared" si="58"/>
        <v>0</v>
      </c>
      <c r="AAB22" s="2">
        <f t="shared" si="58"/>
        <v>0</v>
      </c>
      <c r="AAC22" s="2">
        <f t="shared" si="58"/>
        <v>0</v>
      </c>
      <c r="AAD22" s="2">
        <f t="shared" si="58"/>
        <v>0</v>
      </c>
      <c r="AAE22" s="2">
        <f t="shared" si="58"/>
        <v>0</v>
      </c>
      <c r="AAF22" s="2">
        <f t="shared" si="58"/>
        <v>0</v>
      </c>
      <c r="AAG22" s="2">
        <f t="shared" si="58"/>
        <v>0</v>
      </c>
      <c r="AAH22" s="2">
        <f t="shared" ref="AAH22:ABI22" si="59">IF(AAH21=1,YEAR(AAH26),0)</f>
        <v>0</v>
      </c>
      <c r="AAI22" s="2">
        <f t="shared" si="59"/>
        <v>0</v>
      </c>
      <c r="AAJ22" s="2">
        <f t="shared" si="59"/>
        <v>0</v>
      </c>
      <c r="AAK22" s="2">
        <f t="shared" si="59"/>
        <v>0</v>
      </c>
      <c r="AAL22" s="2">
        <f t="shared" si="59"/>
        <v>0</v>
      </c>
      <c r="AAM22" s="2">
        <f t="shared" si="59"/>
        <v>0</v>
      </c>
      <c r="AAN22" s="2">
        <f t="shared" si="59"/>
        <v>0</v>
      </c>
      <c r="AAO22" s="2">
        <f t="shared" si="59"/>
        <v>0</v>
      </c>
      <c r="AAP22" s="2">
        <f t="shared" si="59"/>
        <v>0</v>
      </c>
      <c r="AAQ22" s="2">
        <f t="shared" si="59"/>
        <v>0</v>
      </c>
      <c r="AAR22" s="2">
        <f t="shared" si="59"/>
        <v>0</v>
      </c>
      <c r="AAS22" s="2">
        <f t="shared" si="59"/>
        <v>0</v>
      </c>
      <c r="AAT22" s="2">
        <f t="shared" si="59"/>
        <v>0</v>
      </c>
      <c r="AAU22" s="2">
        <f t="shared" si="59"/>
        <v>0</v>
      </c>
      <c r="AAV22" s="2">
        <f t="shared" si="59"/>
        <v>0</v>
      </c>
      <c r="AAW22" s="2">
        <f t="shared" si="59"/>
        <v>0</v>
      </c>
      <c r="AAX22" s="2">
        <f t="shared" si="59"/>
        <v>0</v>
      </c>
      <c r="AAY22" s="2">
        <f t="shared" si="59"/>
        <v>0</v>
      </c>
      <c r="AAZ22" s="2">
        <f t="shared" si="59"/>
        <v>0</v>
      </c>
      <c r="ABA22" s="2">
        <f t="shared" si="59"/>
        <v>0</v>
      </c>
      <c r="ABB22" s="2">
        <f t="shared" si="59"/>
        <v>0</v>
      </c>
      <c r="ABC22" s="2">
        <f t="shared" si="59"/>
        <v>0</v>
      </c>
      <c r="ABD22" s="2">
        <f t="shared" si="59"/>
        <v>0</v>
      </c>
      <c r="ABE22" s="2">
        <f t="shared" si="59"/>
        <v>0</v>
      </c>
      <c r="ABF22" s="2">
        <f t="shared" si="59"/>
        <v>0</v>
      </c>
      <c r="ABG22" s="2">
        <f t="shared" si="59"/>
        <v>0</v>
      </c>
      <c r="ABH22" s="2">
        <f t="shared" si="59"/>
        <v>0</v>
      </c>
      <c r="ABI22" s="2">
        <f t="shared" si="59"/>
        <v>0</v>
      </c>
    </row>
    <row r="23" spans="4:737" ht="12.95" hidden="1" customHeight="1" x14ac:dyDescent="0.25">
      <c r="D23" s="2" t="s">
        <v>3</v>
      </c>
      <c r="E23" s="6"/>
      <c r="F23" s="2">
        <f>IF(F27&gt;0,MONTH(F26),"")</f>
        <v>5</v>
      </c>
      <c r="G23" s="2">
        <f t="shared" ref="G23:BR23" si="60">IF(G21=1,MONTH(G26),"")</f>
        <v>5</v>
      </c>
      <c r="H23" s="2">
        <f t="shared" si="60"/>
        <v>5</v>
      </c>
      <c r="I23" s="2">
        <f t="shared" si="60"/>
        <v>5</v>
      </c>
      <c r="J23" s="2">
        <f t="shared" si="60"/>
        <v>5</v>
      </c>
      <c r="K23" s="2">
        <f t="shared" si="60"/>
        <v>5</v>
      </c>
      <c r="L23" s="2">
        <f t="shared" si="60"/>
        <v>5</v>
      </c>
      <c r="M23" s="2">
        <f t="shared" si="60"/>
        <v>5</v>
      </c>
      <c r="N23" s="2">
        <f t="shared" si="60"/>
        <v>5</v>
      </c>
      <c r="O23" s="2">
        <f t="shared" si="60"/>
        <v>5</v>
      </c>
      <c r="P23" s="2">
        <f t="shared" si="60"/>
        <v>5</v>
      </c>
      <c r="Q23" s="2">
        <f t="shared" si="60"/>
        <v>5</v>
      </c>
      <c r="R23" s="2">
        <f t="shared" si="60"/>
        <v>5</v>
      </c>
      <c r="S23" s="2">
        <f t="shared" si="60"/>
        <v>5</v>
      </c>
      <c r="T23" s="2">
        <f t="shared" si="60"/>
        <v>5</v>
      </c>
      <c r="U23" s="2">
        <f t="shared" si="60"/>
        <v>5</v>
      </c>
      <c r="V23" s="2">
        <f t="shared" si="60"/>
        <v>5</v>
      </c>
      <c r="W23" s="2">
        <f t="shared" si="60"/>
        <v>5</v>
      </c>
      <c r="X23" s="2">
        <f t="shared" si="60"/>
        <v>5</v>
      </c>
      <c r="Y23" s="2">
        <f t="shared" si="60"/>
        <v>5</v>
      </c>
      <c r="Z23" s="2">
        <f t="shared" si="60"/>
        <v>5</v>
      </c>
      <c r="AA23" s="2">
        <f t="shared" si="60"/>
        <v>5</v>
      </c>
      <c r="AB23" s="2">
        <f t="shared" si="60"/>
        <v>5</v>
      </c>
      <c r="AC23" s="2">
        <f t="shared" si="60"/>
        <v>5</v>
      </c>
      <c r="AD23" s="2">
        <f t="shared" si="60"/>
        <v>5</v>
      </c>
      <c r="AE23" s="2">
        <f t="shared" si="60"/>
        <v>5</v>
      </c>
      <c r="AF23" s="2">
        <f t="shared" si="60"/>
        <v>5</v>
      </c>
      <c r="AG23" s="2">
        <f t="shared" si="60"/>
        <v>5</v>
      </c>
      <c r="AH23" s="2">
        <f t="shared" si="60"/>
        <v>6</v>
      </c>
      <c r="AI23" s="2">
        <f t="shared" si="60"/>
        <v>6</v>
      </c>
      <c r="AJ23" s="2">
        <f t="shared" si="60"/>
        <v>6</v>
      </c>
      <c r="AK23" s="4">
        <f t="shared" si="60"/>
        <v>6</v>
      </c>
      <c r="AL23" s="2">
        <f t="shared" si="60"/>
        <v>6</v>
      </c>
      <c r="AM23" s="2">
        <f t="shared" si="60"/>
        <v>6</v>
      </c>
      <c r="AN23" s="2">
        <f t="shared" si="60"/>
        <v>6</v>
      </c>
      <c r="AO23" s="2">
        <f t="shared" si="60"/>
        <v>6</v>
      </c>
      <c r="AP23" s="2">
        <f t="shared" si="60"/>
        <v>6</v>
      </c>
      <c r="AQ23" s="2">
        <f t="shared" si="60"/>
        <v>6</v>
      </c>
      <c r="AR23" s="2">
        <f t="shared" si="60"/>
        <v>6</v>
      </c>
      <c r="AS23" s="2">
        <f t="shared" si="60"/>
        <v>6</v>
      </c>
      <c r="AT23" s="2">
        <f t="shared" si="60"/>
        <v>6</v>
      </c>
      <c r="AU23" s="2">
        <f t="shared" si="60"/>
        <v>6</v>
      </c>
      <c r="AV23" s="2">
        <f t="shared" si="60"/>
        <v>6</v>
      </c>
      <c r="AW23" s="2">
        <f t="shared" si="60"/>
        <v>6</v>
      </c>
      <c r="AX23" s="2">
        <f t="shared" si="60"/>
        <v>6</v>
      </c>
      <c r="AY23" s="2">
        <f t="shared" si="60"/>
        <v>6</v>
      </c>
      <c r="AZ23" s="2">
        <f t="shared" si="60"/>
        <v>6</v>
      </c>
      <c r="BA23" s="2">
        <f t="shared" si="60"/>
        <v>6</v>
      </c>
      <c r="BB23" s="2">
        <f t="shared" si="60"/>
        <v>6</v>
      </c>
      <c r="BC23" s="2">
        <f t="shared" si="60"/>
        <v>6</v>
      </c>
      <c r="BD23" s="2">
        <f t="shared" si="60"/>
        <v>6</v>
      </c>
      <c r="BE23" s="2">
        <f t="shared" si="60"/>
        <v>6</v>
      </c>
      <c r="BF23" s="2">
        <f t="shared" si="60"/>
        <v>6</v>
      </c>
      <c r="BG23" s="2">
        <f t="shared" si="60"/>
        <v>6</v>
      </c>
      <c r="BH23" s="2">
        <f t="shared" si="60"/>
        <v>6</v>
      </c>
      <c r="BI23" s="2">
        <f t="shared" si="60"/>
        <v>6</v>
      </c>
      <c r="BJ23" s="2">
        <f t="shared" si="60"/>
        <v>6</v>
      </c>
      <c r="BK23" s="2">
        <f t="shared" si="60"/>
        <v>6</v>
      </c>
      <c r="BL23" s="2">
        <f t="shared" si="60"/>
        <v>7</v>
      </c>
      <c r="BM23" s="2">
        <f t="shared" si="60"/>
        <v>7</v>
      </c>
      <c r="BN23" s="2">
        <f t="shared" si="60"/>
        <v>7</v>
      </c>
      <c r="BO23" s="2">
        <f t="shared" si="60"/>
        <v>7</v>
      </c>
      <c r="BP23" s="2">
        <f t="shared" si="60"/>
        <v>7</v>
      </c>
      <c r="BQ23" s="2">
        <f t="shared" si="60"/>
        <v>7</v>
      </c>
      <c r="BR23" s="2">
        <f t="shared" si="60"/>
        <v>7</v>
      </c>
      <c r="BS23" s="2">
        <f t="shared" ref="BS23:ED23" si="61">IF(BS21=1,MONTH(BS26),"")</f>
        <v>7</v>
      </c>
      <c r="BT23" s="2">
        <f t="shared" si="61"/>
        <v>7</v>
      </c>
      <c r="BU23" s="2">
        <f t="shared" si="61"/>
        <v>7</v>
      </c>
      <c r="BV23" s="2">
        <f t="shared" si="61"/>
        <v>7</v>
      </c>
      <c r="BW23" s="2">
        <f t="shared" si="61"/>
        <v>7</v>
      </c>
      <c r="BX23" s="2">
        <f t="shared" si="61"/>
        <v>7</v>
      </c>
      <c r="BY23" s="2">
        <f t="shared" si="61"/>
        <v>7</v>
      </c>
      <c r="BZ23" s="2">
        <f t="shared" si="61"/>
        <v>7</v>
      </c>
      <c r="CA23" s="2">
        <f t="shared" si="61"/>
        <v>7</v>
      </c>
      <c r="CB23" s="2">
        <f t="shared" si="61"/>
        <v>7</v>
      </c>
      <c r="CC23" s="2">
        <f t="shared" si="61"/>
        <v>7</v>
      </c>
      <c r="CD23" s="2">
        <f t="shared" si="61"/>
        <v>7</v>
      </c>
      <c r="CE23" s="2">
        <f t="shared" si="61"/>
        <v>7</v>
      </c>
      <c r="CF23" s="2">
        <f t="shared" si="61"/>
        <v>7</v>
      </c>
      <c r="CG23" s="2">
        <f t="shared" si="61"/>
        <v>7</v>
      </c>
      <c r="CH23" s="2">
        <f t="shared" si="61"/>
        <v>7</v>
      </c>
      <c r="CI23" s="2">
        <f t="shared" si="61"/>
        <v>7</v>
      </c>
      <c r="CJ23" s="2">
        <f t="shared" si="61"/>
        <v>7</v>
      </c>
      <c r="CK23" s="2">
        <f t="shared" si="61"/>
        <v>7</v>
      </c>
      <c r="CL23" s="2">
        <f t="shared" si="61"/>
        <v>7</v>
      </c>
      <c r="CM23" s="2">
        <f t="shared" si="61"/>
        <v>7</v>
      </c>
      <c r="CN23" s="2">
        <f t="shared" si="61"/>
        <v>7</v>
      </c>
      <c r="CO23" s="2">
        <f t="shared" si="61"/>
        <v>7</v>
      </c>
      <c r="CP23" s="2">
        <f t="shared" si="61"/>
        <v>7</v>
      </c>
      <c r="CQ23" s="2">
        <f t="shared" si="61"/>
        <v>8</v>
      </c>
      <c r="CR23" s="2">
        <f t="shared" si="61"/>
        <v>8</v>
      </c>
      <c r="CS23" s="2">
        <f t="shared" si="61"/>
        <v>8</v>
      </c>
      <c r="CT23" s="2">
        <f t="shared" si="61"/>
        <v>8</v>
      </c>
      <c r="CU23" s="2">
        <f t="shared" si="61"/>
        <v>8</v>
      </c>
      <c r="CV23" s="2">
        <f t="shared" si="61"/>
        <v>8</v>
      </c>
      <c r="CW23" s="2">
        <f t="shared" si="61"/>
        <v>8</v>
      </c>
      <c r="CX23" s="2">
        <f t="shared" si="61"/>
        <v>8</v>
      </c>
      <c r="CY23" s="2">
        <f t="shared" si="61"/>
        <v>8</v>
      </c>
      <c r="CZ23" s="2">
        <f t="shared" si="61"/>
        <v>8</v>
      </c>
      <c r="DA23" s="2">
        <f t="shared" si="61"/>
        <v>8</v>
      </c>
      <c r="DB23" s="2">
        <f t="shared" si="61"/>
        <v>8</v>
      </c>
      <c r="DC23" s="2">
        <f t="shared" si="61"/>
        <v>8</v>
      </c>
      <c r="DD23" s="2">
        <f t="shared" si="61"/>
        <v>8</v>
      </c>
      <c r="DE23" s="2">
        <f t="shared" si="61"/>
        <v>8</v>
      </c>
      <c r="DF23" s="2">
        <f t="shared" si="61"/>
        <v>8</v>
      </c>
      <c r="DG23" s="2">
        <f t="shared" si="61"/>
        <v>8</v>
      </c>
      <c r="DH23" s="2">
        <f t="shared" si="61"/>
        <v>8</v>
      </c>
      <c r="DI23" s="2">
        <f t="shared" si="61"/>
        <v>8</v>
      </c>
      <c r="DJ23" s="2">
        <f t="shared" si="61"/>
        <v>8</v>
      </c>
      <c r="DK23" s="2">
        <f t="shared" si="61"/>
        <v>8</v>
      </c>
      <c r="DL23" s="2">
        <f t="shared" si="61"/>
        <v>8</v>
      </c>
      <c r="DM23" s="2">
        <f t="shared" si="61"/>
        <v>8</v>
      </c>
      <c r="DN23" s="2">
        <f t="shared" si="61"/>
        <v>8</v>
      </c>
      <c r="DO23" s="2">
        <f t="shared" si="61"/>
        <v>8</v>
      </c>
      <c r="DP23" s="2">
        <f t="shared" si="61"/>
        <v>8</v>
      </c>
      <c r="DQ23" s="2">
        <f t="shared" si="61"/>
        <v>8</v>
      </c>
      <c r="DR23" s="2">
        <f t="shared" si="61"/>
        <v>8</v>
      </c>
      <c r="DS23" s="2">
        <f t="shared" si="61"/>
        <v>8</v>
      </c>
      <c r="DT23" s="2">
        <f t="shared" si="61"/>
        <v>8</v>
      </c>
      <c r="DU23" s="2">
        <f t="shared" si="61"/>
        <v>8</v>
      </c>
      <c r="DV23" s="2">
        <f t="shared" si="61"/>
        <v>9</v>
      </c>
      <c r="DW23" s="2">
        <f t="shared" si="61"/>
        <v>9</v>
      </c>
      <c r="DX23" s="2">
        <f t="shared" si="61"/>
        <v>9</v>
      </c>
      <c r="DY23" s="2">
        <f t="shared" si="61"/>
        <v>9</v>
      </c>
      <c r="DZ23" s="2">
        <f t="shared" si="61"/>
        <v>9</v>
      </c>
      <c r="EA23" s="2">
        <f t="shared" si="61"/>
        <v>9</v>
      </c>
      <c r="EB23" s="2">
        <f t="shared" si="61"/>
        <v>9</v>
      </c>
      <c r="EC23" s="2">
        <f t="shared" si="61"/>
        <v>9</v>
      </c>
      <c r="ED23" s="2">
        <f t="shared" si="61"/>
        <v>9</v>
      </c>
      <c r="EE23" s="2">
        <f t="shared" ref="EE23:GP23" si="62">IF(EE21=1,MONTH(EE26),"")</f>
        <v>9</v>
      </c>
      <c r="EF23" s="2">
        <f t="shared" si="62"/>
        <v>9</v>
      </c>
      <c r="EG23" s="2">
        <f t="shared" si="62"/>
        <v>9</v>
      </c>
      <c r="EH23" s="2">
        <f t="shared" si="62"/>
        <v>9</v>
      </c>
      <c r="EI23" s="2">
        <f t="shared" si="62"/>
        <v>9</v>
      </c>
      <c r="EJ23" s="2">
        <f t="shared" si="62"/>
        <v>9</v>
      </c>
      <c r="EK23" s="2">
        <f t="shared" si="62"/>
        <v>9</v>
      </c>
      <c r="EL23" s="2">
        <f t="shared" si="62"/>
        <v>9</v>
      </c>
      <c r="EM23" s="2">
        <f t="shared" si="62"/>
        <v>9</v>
      </c>
      <c r="EN23" s="2">
        <f t="shared" si="62"/>
        <v>9</v>
      </c>
      <c r="EO23" s="2">
        <f t="shared" si="62"/>
        <v>9</v>
      </c>
      <c r="EP23" s="2">
        <f t="shared" si="62"/>
        <v>9</v>
      </c>
      <c r="EQ23" s="2">
        <f t="shared" si="62"/>
        <v>9</v>
      </c>
      <c r="ER23" s="2">
        <f t="shared" si="62"/>
        <v>9</v>
      </c>
      <c r="ES23" s="2">
        <f t="shared" si="62"/>
        <v>9</v>
      </c>
      <c r="ET23" s="2">
        <f t="shared" si="62"/>
        <v>9</v>
      </c>
      <c r="EU23" s="2">
        <f t="shared" si="62"/>
        <v>9</v>
      </c>
      <c r="EV23" s="2">
        <f t="shared" si="62"/>
        <v>9</v>
      </c>
      <c r="EW23" s="2">
        <f t="shared" si="62"/>
        <v>9</v>
      </c>
      <c r="EX23" s="2">
        <f t="shared" si="62"/>
        <v>9</v>
      </c>
      <c r="EY23" s="2">
        <f t="shared" si="62"/>
        <v>9</v>
      </c>
      <c r="EZ23" s="2">
        <f t="shared" si="62"/>
        <v>10</v>
      </c>
      <c r="FA23" s="2">
        <f t="shared" si="62"/>
        <v>10</v>
      </c>
      <c r="FB23" s="2">
        <f t="shared" si="62"/>
        <v>10</v>
      </c>
      <c r="FC23" s="2">
        <f t="shared" si="62"/>
        <v>10</v>
      </c>
      <c r="FD23" s="2">
        <f t="shared" si="62"/>
        <v>10</v>
      </c>
      <c r="FE23" s="2">
        <f t="shared" si="62"/>
        <v>10</v>
      </c>
      <c r="FF23" s="2">
        <f t="shared" si="62"/>
        <v>10</v>
      </c>
      <c r="FG23" s="2">
        <f t="shared" si="62"/>
        <v>10</v>
      </c>
      <c r="FH23" s="2">
        <f t="shared" si="62"/>
        <v>10</v>
      </c>
      <c r="FI23" s="2">
        <f t="shared" si="62"/>
        <v>10</v>
      </c>
      <c r="FJ23" s="2">
        <f t="shared" si="62"/>
        <v>10</v>
      </c>
      <c r="FK23" s="2">
        <f t="shared" si="62"/>
        <v>10</v>
      </c>
      <c r="FL23" s="2">
        <f t="shared" si="62"/>
        <v>10</v>
      </c>
      <c r="FM23" s="2">
        <f t="shared" si="62"/>
        <v>10</v>
      </c>
      <c r="FN23" s="2">
        <f t="shared" si="62"/>
        <v>10</v>
      </c>
      <c r="FO23" s="2">
        <f t="shared" si="62"/>
        <v>10</v>
      </c>
      <c r="FP23" s="2">
        <f t="shared" si="62"/>
        <v>10</v>
      </c>
      <c r="FQ23" s="2">
        <f t="shared" si="62"/>
        <v>10</v>
      </c>
      <c r="FR23" s="2">
        <f t="shared" si="62"/>
        <v>10</v>
      </c>
      <c r="FS23" s="2">
        <f t="shared" si="62"/>
        <v>10</v>
      </c>
      <c r="FT23" s="2">
        <f t="shared" si="62"/>
        <v>10</v>
      </c>
      <c r="FU23" s="2">
        <f t="shared" si="62"/>
        <v>10</v>
      </c>
      <c r="FV23" s="2">
        <f t="shared" si="62"/>
        <v>10</v>
      </c>
      <c r="FW23" s="2">
        <f t="shared" si="62"/>
        <v>10</v>
      </c>
      <c r="FX23" s="2">
        <f t="shared" si="62"/>
        <v>10</v>
      </c>
      <c r="FY23" s="2">
        <f t="shared" si="62"/>
        <v>10</v>
      </c>
      <c r="FZ23" s="2">
        <f t="shared" si="62"/>
        <v>10</v>
      </c>
      <c r="GA23" s="2">
        <f t="shared" si="62"/>
        <v>10</v>
      </c>
      <c r="GB23" s="2">
        <f t="shared" si="62"/>
        <v>10</v>
      </c>
      <c r="GC23" s="2">
        <f t="shared" si="62"/>
        <v>10</v>
      </c>
      <c r="GD23" s="2">
        <f t="shared" si="62"/>
        <v>10</v>
      </c>
      <c r="GE23" s="2" t="str">
        <f t="shared" si="62"/>
        <v/>
      </c>
      <c r="GF23" s="2" t="str">
        <f t="shared" si="62"/>
        <v/>
      </c>
      <c r="GG23" s="2" t="str">
        <f t="shared" si="62"/>
        <v/>
      </c>
      <c r="GH23" s="2" t="str">
        <f t="shared" si="62"/>
        <v/>
      </c>
      <c r="GI23" s="2" t="str">
        <f t="shared" si="62"/>
        <v/>
      </c>
      <c r="GJ23" s="2" t="str">
        <f t="shared" si="62"/>
        <v/>
      </c>
      <c r="GK23" s="2" t="str">
        <f t="shared" si="62"/>
        <v/>
      </c>
      <c r="GL23" s="2" t="str">
        <f t="shared" si="62"/>
        <v/>
      </c>
      <c r="GM23" s="2" t="str">
        <f t="shared" si="62"/>
        <v/>
      </c>
      <c r="GN23" s="2" t="str">
        <f t="shared" si="62"/>
        <v/>
      </c>
      <c r="GO23" s="2" t="str">
        <f t="shared" si="62"/>
        <v/>
      </c>
      <c r="GP23" s="2" t="str">
        <f t="shared" si="62"/>
        <v/>
      </c>
      <c r="GQ23" s="2" t="str">
        <f t="shared" ref="GQ23:JB23" si="63">IF(GQ21=1,MONTH(GQ26),"")</f>
        <v/>
      </c>
      <c r="GR23" s="2" t="str">
        <f t="shared" si="63"/>
        <v/>
      </c>
      <c r="GS23" s="2" t="str">
        <f t="shared" si="63"/>
        <v/>
      </c>
      <c r="GT23" s="2" t="str">
        <f t="shared" si="63"/>
        <v/>
      </c>
      <c r="GU23" s="2" t="str">
        <f t="shared" si="63"/>
        <v/>
      </c>
      <c r="GV23" s="2" t="str">
        <f t="shared" si="63"/>
        <v/>
      </c>
      <c r="GW23" s="2" t="str">
        <f t="shared" si="63"/>
        <v/>
      </c>
      <c r="GX23" s="2" t="str">
        <f t="shared" si="63"/>
        <v/>
      </c>
      <c r="GY23" s="2" t="str">
        <f t="shared" si="63"/>
        <v/>
      </c>
      <c r="GZ23" s="2" t="str">
        <f t="shared" si="63"/>
        <v/>
      </c>
      <c r="HA23" s="2" t="str">
        <f t="shared" si="63"/>
        <v/>
      </c>
      <c r="HB23" s="2" t="str">
        <f t="shared" si="63"/>
        <v/>
      </c>
      <c r="HC23" s="2" t="str">
        <f t="shared" si="63"/>
        <v/>
      </c>
      <c r="HD23" s="2" t="str">
        <f t="shared" si="63"/>
        <v/>
      </c>
      <c r="HE23" s="2" t="str">
        <f t="shared" si="63"/>
        <v/>
      </c>
      <c r="HF23" s="2" t="str">
        <f t="shared" si="63"/>
        <v/>
      </c>
      <c r="HG23" s="2" t="str">
        <f t="shared" si="63"/>
        <v/>
      </c>
      <c r="HH23" s="2" t="str">
        <f t="shared" si="63"/>
        <v/>
      </c>
      <c r="HI23" s="2" t="str">
        <f t="shared" si="63"/>
        <v/>
      </c>
      <c r="HJ23" s="2" t="str">
        <f t="shared" si="63"/>
        <v/>
      </c>
      <c r="HK23" s="2" t="str">
        <f t="shared" si="63"/>
        <v/>
      </c>
      <c r="HL23" s="2" t="str">
        <f t="shared" si="63"/>
        <v/>
      </c>
      <c r="HM23" s="2" t="str">
        <f t="shared" si="63"/>
        <v/>
      </c>
      <c r="HN23" s="2" t="str">
        <f t="shared" si="63"/>
        <v/>
      </c>
      <c r="HO23" s="2" t="str">
        <f t="shared" si="63"/>
        <v/>
      </c>
      <c r="HP23" s="2" t="str">
        <f t="shared" si="63"/>
        <v/>
      </c>
      <c r="HQ23" s="2" t="str">
        <f t="shared" si="63"/>
        <v/>
      </c>
      <c r="HR23" s="2" t="str">
        <f t="shared" si="63"/>
        <v/>
      </c>
      <c r="HS23" s="2" t="str">
        <f t="shared" si="63"/>
        <v/>
      </c>
      <c r="HT23" s="2" t="str">
        <f t="shared" si="63"/>
        <v/>
      </c>
      <c r="HU23" s="2" t="str">
        <f t="shared" si="63"/>
        <v/>
      </c>
      <c r="HV23" s="2" t="str">
        <f t="shared" si="63"/>
        <v/>
      </c>
      <c r="HW23" s="2" t="str">
        <f t="shared" si="63"/>
        <v/>
      </c>
      <c r="HX23" s="2" t="str">
        <f t="shared" si="63"/>
        <v/>
      </c>
      <c r="HY23" s="2" t="str">
        <f t="shared" si="63"/>
        <v/>
      </c>
      <c r="HZ23" s="2" t="str">
        <f t="shared" si="63"/>
        <v/>
      </c>
      <c r="IA23" s="2" t="str">
        <f t="shared" si="63"/>
        <v/>
      </c>
      <c r="IB23" s="2" t="str">
        <f t="shared" si="63"/>
        <v/>
      </c>
      <c r="IC23" s="2" t="str">
        <f t="shared" si="63"/>
        <v/>
      </c>
      <c r="ID23" s="2" t="str">
        <f t="shared" si="63"/>
        <v/>
      </c>
      <c r="IE23" s="2" t="str">
        <f t="shared" si="63"/>
        <v/>
      </c>
      <c r="IF23" s="2" t="str">
        <f t="shared" si="63"/>
        <v/>
      </c>
      <c r="IG23" s="2" t="str">
        <f t="shared" si="63"/>
        <v/>
      </c>
      <c r="IH23" s="2" t="str">
        <f t="shared" si="63"/>
        <v/>
      </c>
      <c r="II23" s="2" t="str">
        <f t="shared" si="63"/>
        <v/>
      </c>
      <c r="IJ23" s="2" t="str">
        <f t="shared" si="63"/>
        <v/>
      </c>
      <c r="IK23" s="2" t="str">
        <f t="shared" si="63"/>
        <v/>
      </c>
      <c r="IL23" s="2" t="str">
        <f t="shared" si="63"/>
        <v/>
      </c>
      <c r="IM23" s="2" t="str">
        <f t="shared" si="63"/>
        <v/>
      </c>
      <c r="IN23" s="2" t="str">
        <f t="shared" si="63"/>
        <v/>
      </c>
      <c r="IO23" s="2" t="str">
        <f t="shared" si="63"/>
        <v/>
      </c>
      <c r="IP23" s="2" t="str">
        <f t="shared" si="63"/>
        <v/>
      </c>
      <c r="IQ23" s="2" t="str">
        <f t="shared" si="63"/>
        <v/>
      </c>
      <c r="IR23" s="2" t="str">
        <f t="shared" si="63"/>
        <v/>
      </c>
      <c r="IS23" s="2" t="str">
        <f t="shared" si="63"/>
        <v/>
      </c>
      <c r="IT23" s="2" t="str">
        <f t="shared" si="63"/>
        <v/>
      </c>
      <c r="IU23" s="2" t="str">
        <f t="shared" si="63"/>
        <v/>
      </c>
      <c r="IV23" s="2" t="str">
        <f t="shared" si="63"/>
        <v/>
      </c>
      <c r="IW23" s="2" t="str">
        <f t="shared" si="63"/>
        <v/>
      </c>
      <c r="IX23" s="2" t="str">
        <f t="shared" si="63"/>
        <v/>
      </c>
      <c r="IY23" s="2" t="str">
        <f t="shared" si="63"/>
        <v/>
      </c>
      <c r="IZ23" s="2" t="str">
        <f t="shared" si="63"/>
        <v/>
      </c>
      <c r="JA23" s="2" t="str">
        <f t="shared" si="63"/>
        <v/>
      </c>
      <c r="JB23" s="2" t="str">
        <f t="shared" si="63"/>
        <v/>
      </c>
      <c r="JC23" s="2" t="str">
        <f t="shared" ref="JC23:LN23" si="64">IF(JC21=1,MONTH(JC26),"")</f>
        <v/>
      </c>
      <c r="JD23" s="2" t="str">
        <f t="shared" si="64"/>
        <v/>
      </c>
      <c r="JE23" s="2" t="str">
        <f t="shared" si="64"/>
        <v/>
      </c>
      <c r="JF23" s="2" t="str">
        <f t="shared" si="64"/>
        <v/>
      </c>
      <c r="JG23" s="2" t="str">
        <f t="shared" si="64"/>
        <v/>
      </c>
      <c r="JH23" s="2" t="str">
        <f t="shared" si="64"/>
        <v/>
      </c>
      <c r="JI23" s="2" t="str">
        <f t="shared" si="64"/>
        <v/>
      </c>
      <c r="JJ23" s="2" t="str">
        <f t="shared" si="64"/>
        <v/>
      </c>
      <c r="JK23" s="2" t="str">
        <f t="shared" si="64"/>
        <v/>
      </c>
      <c r="JL23" s="2" t="str">
        <f t="shared" si="64"/>
        <v/>
      </c>
      <c r="JM23" s="2" t="str">
        <f t="shared" si="64"/>
        <v/>
      </c>
      <c r="JN23" s="2" t="str">
        <f t="shared" si="64"/>
        <v/>
      </c>
      <c r="JO23" s="2" t="str">
        <f t="shared" si="64"/>
        <v/>
      </c>
      <c r="JP23" s="2" t="str">
        <f t="shared" si="64"/>
        <v/>
      </c>
      <c r="JQ23" s="2" t="str">
        <f t="shared" si="64"/>
        <v/>
      </c>
      <c r="JR23" s="2" t="str">
        <f t="shared" si="64"/>
        <v/>
      </c>
      <c r="JS23" s="2" t="str">
        <f t="shared" si="64"/>
        <v/>
      </c>
      <c r="JT23" s="2" t="str">
        <f t="shared" si="64"/>
        <v/>
      </c>
      <c r="JU23" s="2" t="str">
        <f t="shared" si="64"/>
        <v/>
      </c>
      <c r="JV23" s="2" t="str">
        <f t="shared" si="64"/>
        <v/>
      </c>
      <c r="JW23" s="2" t="str">
        <f t="shared" si="64"/>
        <v/>
      </c>
      <c r="JX23" s="2" t="str">
        <f t="shared" si="64"/>
        <v/>
      </c>
      <c r="JY23" s="2" t="str">
        <f t="shared" si="64"/>
        <v/>
      </c>
      <c r="JZ23" s="2" t="str">
        <f t="shared" si="64"/>
        <v/>
      </c>
      <c r="KA23" s="2" t="str">
        <f t="shared" si="64"/>
        <v/>
      </c>
      <c r="KB23" s="2" t="str">
        <f t="shared" si="64"/>
        <v/>
      </c>
      <c r="KC23" s="2" t="str">
        <f t="shared" si="64"/>
        <v/>
      </c>
      <c r="KD23" s="2" t="str">
        <f t="shared" si="64"/>
        <v/>
      </c>
      <c r="KE23" s="2" t="str">
        <f t="shared" si="64"/>
        <v/>
      </c>
      <c r="KF23" s="2" t="str">
        <f t="shared" si="64"/>
        <v/>
      </c>
      <c r="KG23" s="2" t="str">
        <f t="shared" si="64"/>
        <v/>
      </c>
      <c r="KH23" s="2" t="str">
        <f t="shared" si="64"/>
        <v/>
      </c>
      <c r="KI23" s="2" t="str">
        <f t="shared" si="64"/>
        <v/>
      </c>
      <c r="KJ23" s="2" t="str">
        <f t="shared" si="64"/>
        <v/>
      </c>
      <c r="KK23" s="2" t="str">
        <f t="shared" si="64"/>
        <v/>
      </c>
      <c r="KL23" s="2" t="str">
        <f t="shared" si="64"/>
        <v/>
      </c>
      <c r="KM23" s="2" t="str">
        <f t="shared" si="64"/>
        <v/>
      </c>
      <c r="KN23" s="2" t="str">
        <f t="shared" si="64"/>
        <v/>
      </c>
      <c r="KO23" s="2" t="str">
        <f t="shared" si="64"/>
        <v/>
      </c>
      <c r="KP23" s="2" t="str">
        <f t="shared" si="64"/>
        <v/>
      </c>
      <c r="KQ23" s="2" t="str">
        <f t="shared" si="64"/>
        <v/>
      </c>
      <c r="KR23" s="2" t="str">
        <f t="shared" si="64"/>
        <v/>
      </c>
      <c r="KS23" s="2" t="str">
        <f t="shared" si="64"/>
        <v/>
      </c>
      <c r="KT23" s="2" t="str">
        <f t="shared" si="64"/>
        <v/>
      </c>
      <c r="KU23" s="2" t="str">
        <f t="shared" si="64"/>
        <v/>
      </c>
      <c r="KV23" s="2" t="str">
        <f t="shared" si="64"/>
        <v/>
      </c>
      <c r="KW23" s="2" t="str">
        <f t="shared" si="64"/>
        <v/>
      </c>
      <c r="KX23" s="2" t="str">
        <f t="shared" si="64"/>
        <v/>
      </c>
      <c r="KY23" s="2" t="str">
        <f t="shared" si="64"/>
        <v/>
      </c>
      <c r="KZ23" s="2" t="str">
        <f t="shared" si="64"/>
        <v/>
      </c>
      <c r="LA23" s="2" t="str">
        <f t="shared" si="64"/>
        <v/>
      </c>
      <c r="LB23" s="2" t="str">
        <f t="shared" si="64"/>
        <v/>
      </c>
      <c r="LC23" s="2" t="str">
        <f t="shared" si="64"/>
        <v/>
      </c>
      <c r="LD23" s="2" t="str">
        <f t="shared" si="64"/>
        <v/>
      </c>
      <c r="LE23" s="2" t="str">
        <f t="shared" si="64"/>
        <v/>
      </c>
      <c r="LF23" s="2" t="str">
        <f t="shared" si="64"/>
        <v/>
      </c>
      <c r="LG23" s="2" t="str">
        <f t="shared" si="64"/>
        <v/>
      </c>
      <c r="LH23" s="2" t="str">
        <f t="shared" si="64"/>
        <v/>
      </c>
      <c r="LI23" s="2" t="str">
        <f t="shared" si="64"/>
        <v/>
      </c>
      <c r="LJ23" s="2" t="str">
        <f t="shared" si="64"/>
        <v/>
      </c>
      <c r="LK23" s="2" t="str">
        <f t="shared" si="64"/>
        <v/>
      </c>
      <c r="LL23" s="2" t="str">
        <f t="shared" si="64"/>
        <v/>
      </c>
      <c r="LM23" s="2" t="str">
        <f t="shared" si="64"/>
        <v/>
      </c>
      <c r="LN23" s="2" t="str">
        <f t="shared" si="64"/>
        <v/>
      </c>
      <c r="LO23" s="2" t="str">
        <f t="shared" ref="LO23:NZ23" si="65">IF(LO21=1,MONTH(LO26),"")</f>
        <v/>
      </c>
      <c r="LP23" s="2" t="str">
        <f t="shared" si="65"/>
        <v/>
      </c>
      <c r="LQ23" s="2" t="str">
        <f t="shared" si="65"/>
        <v/>
      </c>
      <c r="LR23" s="2" t="str">
        <f t="shared" si="65"/>
        <v/>
      </c>
      <c r="LS23" s="2" t="str">
        <f t="shared" si="65"/>
        <v/>
      </c>
      <c r="LT23" s="2" t="str">
        <f t="shared" si="65"/>
        <v/>
      </c>
      <c r="LU23" s="2" t="str">
        <f t="shared" si="65"/>
        <v/>
      </c>
      <c r="LV23" s="2" t="str">
        <f t="shared" si="65"/>
        <v/>
      </c>
      <c r="LW23" s="2" t="str">
        <f t="shared" si="65"/>
        <v/>
      </c>
      <c r="LX23" s="2" t="str">
        <f t="shared" si="65"/>
        <v/>
      </c>
      <c r="LY23" s="2" t="str">
        <f t="shared" si="65"/>
        <v/>
      </c>
      <c r="LZ23" s="2" t="str">
        <f t="shared" si="65"/>
        <v/>
      </c>
      <c r="MA23" s="2" t="str">
        <f t="shared" si="65"/>
        <v/>
      </c>
      <c r="MB23" s="2" t="str">
        <f t="shared" si="65"/>
        <v/>
      </c>
      <c r="MC23" s="2" t="str">
        <f t="shared" si="65"/>
        <v/>
      </c>
      <c r="MD23" s="2" t="str">
        <f t="shared" si="65"/>
        <v/>
      </c>
      <c r="ME23" s="2" t="str">
        <f t="shared" si="65"/>
        <v/>
      </c>
      <c r="MF23" s="2" t="str">
        <f t="shared" si="65"/>
        <v/>
      </c>
      <c r="MG23" s="2" t="str">
        <f t="shared" si="65"/>
        <v/>
      </c>
      <c r="MH23" s="2" t="str">
        <f t="shared" si="65"/>
        <v/>
      </c>
      <c r="MI23" s="2" t="str">
        <f t="shared" si="65"/>
        <v/>
      </c>
      <c r="MJ23" s="2" t="str">
        <f t="shared" si="65"/>
        <v/>
      </c>
      <c r="MK23" s="2" t="str">
        <f t="shared" si="65"/>
        <v/>
      </c>
      <c r="ML23" s="2" t="str">
        <f t="shared" si="65"/>
        <v/>
      </c>
      <c r="MM23" s="2" t="str">
        <f t="shared" si="65"/>
        <v/>
      </c>
      <c r="MN23" s="2" t="str">
        <f t="shared" si="65"/>
        <v/>
      </c>
      <c r="MO23" s="2" t="str">
        <f t="shared" si="65"/>
        <v/>
      </c>
      <c r="MP23" s="2" t="str">
        <f t="shared" si="65"/>
        <v/>
      </c>
      <c r="MQ23" s="2" t="str">
        <f t="shared" si="65"/>
        <v/>
      </c>
      <c r="MR23" s="2" t="str">
        <f t="shared" si="65"/>
        <v/>
      </c>
      <c r="MS23" s="2" t="str">
        <f t="shared" si="65"/>
        <v/>
      </c>
      <c r="MT23" s="2" t="str">
        <f t="shared" si="65"/>
        <v/>
      </c>
      <c r="MU23" s="2" t="str">
        <f t="shared" si="65"/>
        <v/>
      </c>
      <c r="MV23" s="2" t="str">
        <f t="shared" si="65"/>
        <v/>
      </c>
      <c r="MW23" s="2" t="str">
        <f t="shared" si="65"/>
        <v/>
      </c>
      <c r="MX23" s="2" t="str">
        <f t="shared" si="65"/>
        <v/>
      </c>
      <c r="MY23" s="2" t="str">
        <f t="shared" si="65"/>
        <v/>
      </c>
      <c r="MZ23" s="2" t="str">
        <f t="shared" si="65"/>
        <v/>
      </c>
      <c r="NA23" s="2" t="str">
        <f t="shared" si="65"/>
        <v/>
      </c>
      <c r="NB23" s="2" t="str">
        <f t="shared" si="65"/>
        <v/>
      </c>
      <c r="NC23" s="2" t="str">
        <f t="shared" si="65"/>
        <v/>
      </c>
      <c r="ND23" s="2" t="str">
        <f t="shared" si="65"/>
        <v/>
      </c>
      <c r="NE23" s="2" t="str">
        <f t="shared" si="65"/>
        <v/>
      </c>
      <c r="NF23" s="2" t="str">
        <f t="shared" si="65"/>
        <v/>
      </c>
      <c r="NG23" s="2" t="str">
        <f t="shared" si="65"/>
        <v/>
      </c>
      <c r="NH23" s="2" t="str">
        <f t="shared" si="65"/>
        <v/>
      </c>
      <c r="NI23" s="2" t="str">
        <f t="shared" si="65"/>
        <v/>
      </c>
      <c r="NJ23" s="2" t="str">
        <f t="shared" si="65"/>
        <v/>
      </c>
      <c r="NK23" s="2" t="str">
        <f t="shared" si="65"/>
        <v/>
      </c>
      <c r="NL23" s="2" t="str">
        <f t="shared" si="65"/>
        <v/>
      </c>
      <c r="NM23" s="2" t="str">
        <f t="shared" si="65"/>
        <v/>
      </c>
      <c r="NN23" s="2" t="str">
        <f t="shared" si="65"/>
        <v/>
      </c>
      <c r="NO23" s="2" t="str">
        <f t="shared" si="65"/>
        <v/>
      </c>
      <c r="NP23" s="2" t="str">
        <f t="shared" si="65"/>
        <v/>
      </c>
      <c r="NQ23" s="2" t="str">
        <f t="shared" si="65"/>
        <v/>
      </c>
      <c r="NR23" s="2" t="str">
        <f t="shared" si="65"/>
        <v/>
      </c>
      <c r="NS23" s="2" t="str">
        <f t="shared" si="65"/>
        <v/>
      </c>
      <c r="NT23" s="2" t="str">
        <f t="shared" si="65"/>
        <v/>
      </c>
      <c r="NU23" s="2" t="str">
        <f t="shared" si="65"/>
        <v/>
      </c>
      <c r="NV23" s="2" t="str">
        <f t="shared" si="65"/>
        <v/>
      </c>
      <c r="NW23" s="2" t="str">
        <f t="shared" si="65"/>
        <v/>
      </c>
      <c r="NX23" s="2" t="str">
        <f t="shared" si="65"/>
        <v/>
      </c>
      <c r="NY23" s="2" t="str">
        <f t="shared" si="65"/>
        <v/>
      </c>
      <c r="NZ23" s="2" t="str">
        <f t="shared" si="65"/>
        <v/>
      </c>
      <c r="OA23" s="2" t="str">
        <f t="shared" ref="OA23:QL23" si="66">IF(OA21=1,MONTH(OA26),"")</f>
        <v/>
      </c>
      <c r="OB23" s="2" t="str">
        <f t="shared" si="66"/>
        <v/>
      </c>
      <c r="OC23" s="2" t="str">
        <f t="shared" si="66"/>
        <v/>
      </c>
      <c r="OD23" s="2" t="str">
        <f t="shared" si="66"/>
        <v/>
      </c>
      <c r="OE23" s="2" t="str">
        <f t="shared" si="66"/>
        <v/>
      </c>
      <c r="OF23" s="2" t="str">
        <f t="shared" si="66"/>
        <v/>
      </c>
      <c r="OG23" s="2" t="str">
        <f t="shared" si="66"/>
        <v/>
      </c>
      <c r="OH23" s="2" t="str">
        <f t="shared" si="66"/>
        <v/>
      </c>
      <c r="OI23" s="2" t="str">
        <f t="shared" si="66"/>
        <v/>
      </c>
      <c r="OJ23" s="2" t="str">
        <f t="shared" si="66"/>
        <v/>
      </c>
      <c r="OK23" s="2" t="str">
        <f t="shared" si="66"/>
        <v/>
      </c>
      <c r="OL23" s="2" t="str">
        <f t="shared" si="66"/>
        <v/>
      </c>
      <c r="OM23" s="2" t="str">
        <f t="shared" si="66"/>
        <v/>
      </c>
      <c r="ON23" s="2" t="str">
        <f t="shared" si="66"/>
        <v/>
      </c>
      <c r="OO23" s="2" t="str">
        <f t="shared" si="66"/>
        <v/>
      </c>
      <c r="OP23" s="2" t="str">
        <f t="shared" si="66"/>
        <v/>
      </c>
      <c r="OQ23" s="2" t="str">
        <f t="shared" si="66"/>
        <v/>
      </c>
      <c r="OR23" s="2" t="str">
        <f t="shared" si="66"/>
        <v/>
      </c>
      <c r="OS23" s="2" t="str">
        <f t="shared" si="66"/>
        <v/>
      </c>
      <c r="OT23" s="2" t="str">
        <f t="shared" si="66"/>
        <v/>
      </c>
      <c r="OU23" s="2" t="str">
        <f t="shared" si="66"/>
        <v/>
      </c>
      <c r="OV23" s="2" t="str">
        <f t="shared" si="66"/>
        <v/>
      </c>
      <c r="OW23" s="2" t="str">
        <f t="shared" si="66"/>
        <v/>
      </c>
      <c r="OX23" s="2" t="str">
        <f t="shared" si="66"/>
        <v/>
      </c>
      <c r="OY23" s="2" t="str">
        <f t="shared" si="66"/>
        <v/>
      </c>
      <c r="OZ23" s="2" t="str">
        <f t="shared" si="66"/>
        <v/>
      </c>
      <c r="PA23" s="2" t="str">
        <f t="shared" si="66"/>
        <v/>
      </c>
      <c r="PB23" s="2" t="str">
        <f t="shared" si="66"/>
        <v/>
      </c>
      <c r="PC23" s="2" t="str">
        <f t="shared" si="66"/>
        <v/>
      </c>
      <c r="PD23" s="2" t="str">
        <f t="shared" si="66"/>
        <v/>
      </c>
      <c r="PE23" s="2" t="str">
        <f t="shared" si="66"/>
        <v/>
      </c>
      <c r="PF23" s="2" t="str">
        <f t="shared" si="66"/>
        <v/>
      </c>
      <c r="PG23" s="2" t="str">
        <f t="shared" si="66"/>
        <v/>
      </c>
      <c r="PH23" s="2" t="str">
        <f t="shared" si="66"/>
        <v/>
      </c>
      <c r="PI23" s="2" t="str">
        <f t="shared" si="66"/>
        <v/>
      </c>
      <c r="PJ23" s="2" t="str">
        <f t="shared" si="66"/>
        <v/>
      </c>
      <c r="PK23" s="2" t="str">
        <f t="shared" si="66"/>
        <v/>
      </c>
      <c r="PL23" s="2" t="str">
        <f t="shared" si="66"/>
        <v/>
      </c>
      <c r="PM23" s="2" t="str">
        <f t="shared" si="66"/>
        <v/>
      </c>
      <c r="PN23" s="2" t="str">
        <f t="shared" si="66"/>
        <v/>
      </c>
      <c r="PO23" s="2" t="str">
        <f t="shared" si="66"/>
        <v/>
      </c>
      <c r="PP23" s="2" t="str">
        <f t="shared" si="66"/>
        <v/>
      </c>
      <c r="PQ23" s="2" t="str">
        <f t="shared" si="66"/>
        <v/>
      </c>
      <c r="PR23" s="2" t="str">
        <f t="shared" si="66"/>
        <v/>
      </c>
      <c r="PS23" s="2" t="str">
        <f t="shared" si="66"/>
        <v/>
      </c>
      <c r="PT23" s="2" t="str">
        <f t="shared" si="66"/>
        <v/>
      </c>
      <c r="PU23" s="2" t="str">
        <f t="shared" si="66"/>
        <v/>
      </c>
      <c r="PV23" s="2" t="str">
        <f t="shared" si="66"/>
        <v/>
      </c>
      <c r="PW23" s="2" t="str">
        <f t="shared" si="66"/>
        <v/>
      </c>
      <c r="PX23" s="2" t="str">
        <f t="shared" si="66"/>
        <v/>
      </c>
      <c r="PY23" s="2" t="str">
        <f t="shared" si="66"/>
        <v/>
      </c>
      <c r="PZ23" s="2" t="str">
        <f t="shared" si="66"/>
        <v/>
      </c>
      <c r="QA23" s="2" t="str">
        <f t="shared" si="66"/>
        <v/>
      </c>
      <c r="QB23" s="2" t="str">
        <f t="shared" si="66"/>
        <v/>
      </c>
      <c r="QC23" s="2" t="str">
        <f t="shared" si="66"/>
        <v/>
      </c>
      <c r="QD23" s="2" t="str">
        <f t="shared" si="66"/>
        <v/>
      </c>
      <c r="QE23" s="2" t="str">
        <f t="shared" si="66"/>
        <v/>
      </c>
      <c r="QF23" s="2" t="str">
        <f t="shared" si="66"/>
        <v/>
      </c>
      <c r="QG23" s="2" t="str">
        <f t="shared" si="66"/>
        <v/>
      </c>
      <c r="QH23" s="2" t="str">
        <f t="shared" si="66"/>
        <v/>
      </c>
      <c r="QI23" s="2" t="str">
        <f t="shared" si="66"/>
        <v/>
      </c>
      <c r="QJ23" s="2" t="str">
        <f t="shared" si="66"/>
        <v/>
      </c>
      <c r="QK23" s="2" t="str">
        <f t="shared" si="66"/>
        <v/>
      </c>
      <c r="QL23" s="2" t="str">
        <f t="shared" si="66"/>
        <v/>
      </c>
      <c r="QM23" s="2" t="str">
        <f t="shared" ref="QM23:SX23" si="67">IF(QM21=1,MONTH(QM26),"")</f>
        <v/>
      </c>
      <c r="QN23" s="2" t="str">
        <f t="shared" si="67"/>
        <v/>
      </c>
      <c r="QO23" s="2" t="str">
        <f t="shared" si="67"/>
        <v/>
      </c>
      <c r="QP23" s="2" t="str">
        <f t="shared" si="67"/>
        <v/>
      </c>
      <c r="QQ23" s="2" t="str">
        <f t="shared" si="67"/>
        <v/>
      </c>
      <c r="QR23" s="2" t="str">
        <f t="shared" si="67"/>
        <v/>
      </c>
      <c r="QS23" s="2" t="str">
        <f t="shared" si="67"/>
        <v/>
      </c>
      <c r="QT23" s="2" t="str">
        <f t="shared" si="67"/>
        <v/>
      </c>
      <c r="QU23" s="2" t="str">
        <f t="shared" si="67"/>
        <v/>
      </c>
      <c r="QV23" s="2" t="str">
        <f t="shared" si="67"/>
        <v/>
      </c>
      <c r="QW23" s="2" t="str">
        <f t="shared" si="67"/>
        <v/>
      </c>
      <c r="QX23" s="2" t="str">
        <f t="shared" si="67"/>
        <v/>
      </c>
      <c r="QY23" s="2" t="str">
        <f t="shared" si="67"/>
        <v/>
      </c>
      <c r="QZ23" s="2" t="str">
        <f t="shared" si="67"/>
        <v/>
      </c>
      <c r="RA23" s="2" t="str">
        <f t="shared" si="67"/>
        <v/>
      </c>
      <c r="RB23" s="2" t="str">
        <f t="shared" si="67"/>
        <v/>
      </c>
      <c r="RC23" s="2" t="str">
        <f t="shared" si="67"/>
        <v/>
      </c>
      <c r="RD23" s="2" t="str">
        <f t="shared" si="67"/>
        <v/>
      </c>
      <c r="RE23" s="2" t="str">
        <f t="shared" si="67"/>
        <v/>
      </c>
      <c r="RF23" s="2" t="str">
        <f t="shared" si="67"/>
        <v/>
      </c>
      <c r="RG23" s="2" t="str">
        <f t="shared" si="67"/>
        <v/>
      </c>
      <c r="RH23" s="2" t="str">
        <f t="shared" si="67"/>
        <v/>
      </c>
      <c r="RI23" s="2" t="str">
        <f t="shared" si="67"/>
        <v/>
      </c>
      <c r="RJ23" s="2" t="str">
        <f t="shared" si="67"/>
        <v/>
      </c>
      <c r="RK23" s="2" t="str">
        <f t="shared" si="67"/>
        <v/>
      </c>
      <c r="RL23" s="2" t="str">
        <f t="shared" si="67"/>
        <v/>
      </c>
      <c r="RM23" s="2" t="str">
        <f t="shared" si="67"/>
        <v/>
      </c>
      <c r="RN23" s="2" t="str">
        <f t="shared" si="67"/>
        <v/>
      </c>
      <c r="RO23" s="2" t="str">
        <f t="shared" si="67"/>
        <v/>
      </c>
      <c r="RP23" s="2" t="str">
        <f t="shared" si="67"/>
        <v/>
      </c>
      <c r="RQ23" s="2" t="str">
        <f t="shared" si="67"/>
        <v/>
      </c>
      <c r="RR23" s="2" t="str">
        <f t="shared" si="67"/>
        <v/>
      </c>
      <c r="RS23" s="2" t="str">
        <f t="shared" si="67"/>
        <v/>
      </c>
      <c r="RT23" s="2" t="str">
        <f t="shared" si="67"/>
        <v/>
      </c>
      <c r="RU23" s="2" t="str">
        <f t="shared" si="67"/>
        <v/>
      </c>
      <c r="RV23" s="2" t="str">
        <f t="shared" si="67"/>
        <v/>
      </c>
      <c r="RW23" s="2" t="str">
        <f t="shared" si="67"/>
        <v/>
      </c>
      <c r="RX23" s="2" t="str">
        <f t="shared" si="67"/>
        <v/>
      </c>
      <c r="RY23" s="2" t="str">
        <f t="shared" si="67"/>
        <v/>
      </c>
      <c r="RZ23" s="2" t="str">
        <f t="shared" si="67"/>
        <v/>
      </c>
      <c r="SA23" s="2" t="str">
        <f t="shared" si="67"/>
        <v/>
      </c>
      <c r="SB23" s="2" t="str">
        <f t="shared" si="67"/>
        <v/>
      </c>
      <c r="SC23" s="2" t="str">
        <f t="shared" si="67"/>
        <v/>
      </c>
      <c r="SD23" s="2" t="str">
        <f t="shared" si="67"/>
        <v/>
      </c>
      <c r="SE23" s="2" t="str">
        <f t="shared" si="67"/>
        <v/>
      </c>
      <c r="SF23" s="2" t="str">
        <f t="shared" si="67"/>
        <v/>
      </c>
      <c r="SG23" s="2" t="str">
        <f t="shared" si="67"/>
        <v/>
      </c>
      <c r="SH23" s="2" t="str">
        <f t="shared" si="67"/>
        <v/>
      </c>
      <c r="SI23" s="2" t="str">
        <f t="shared" si="67"/>
        <v/>
      </c>
      <c r="SJ23" s="2" t="str">
        <f t="shared" si="67"/>
        <v/>
      </c>
      <c r="SK23" s="2" t="str">
        <f t="shared" si="67"/>
        <v/>
      </c>
      <c r="SL23" s="2" t="str">
        <f t="shared" si="67"/>
        <v/>
      </c>
      <c r="SM23" s="2" t="str">
        <f t="shared" si="67"/>
        <v/>
      </c>
      <c r="SN23" s="2" t="str">
        <f t="shared" si="67"/>
        <v/>
      </c>
      <c r="SO23" s="2" t="str">
        <f t="shared" si="67"/>
        <v/>
      </c>
      <c r="SP23" s="2" t="str">
        <f t="shared" si="67"/>
        <v/>
      </c>
      <c r="SQ23" s="2" t="str">
        <f t="shared" si="67"/>
        <v/>
      </c>
      <c r="SR23" s="2" t="str">
        <f t="shared" si="67"/>
        <v/>
      </c>
      <c r="SS23" s="2" t="str">
        <f t="shared" si="67"/>
        <v/>
      </c>
      <c r="ST23" s="2" t="str">
        <f t="shared" si="67"/>
        <v/>
      </c>
      <c r="SU23" s="2" t="str">
        <f t="shared" si="67"/>
        <v/>
      </c>
      <c r="SV23" s="2" t="str">
        <f t="shared" si="67"/>
        <v/>
      </c>
      <c r="SW23" s="2" t="str">
        <f t="shared" si="67"/>
        <v/>
      </c>
      <c r="SX23" s="2" t="str">
        <f t="shared" si="67"/>
        <v/>
      </c>
      <c r="SY23" s="2" t="str">
        <f t="shared" ref="SY23:VJ23" si="68">IF(SY21=1,MONTH(SY26),"")</f>
        <v/>
      </c>
      <c r="SZ23" s="2" t="str">
        <f t="shared" si="68"/>
        <v/>
      </c>
      <c r="TA23" s="2" t="str">
        <f t="shared" si="68"/>
        <v/>
      </c>
      <c r="TB23" s="2" t="str">
        <f t="shared" si="68"/>
        <v/>
      </c>
      <c r="TC23" s="2" t="str">
        <f t="shared" si="68"/>
        <v/>
      </c>
      <c r="TD23" s="2" t="str">
        <f t="shared" si="68"/>
        <v/>
      </c>
      <c r="TE23" s="2" t="str">
        <f t="shared" si="68"/>
        <v/>
      </c>
      <c r="TF23" s="2" t="str">
        <f t="shared" si="68"/>
        <v/>
      </c>
      <c r="TG23" s="2" t="str">
        <f t="shared" si="68"/>
        <v/>
      </c>
      <c r="TH23" s="2" t="str">
        <f t="shared" si="68"/>
        <v/>
      </c>
      <c r="TI23" s="2" t="str">
        <f t="shared" si="68"/>
        <v/>
      </c>
      <c r="TJ23" s="2" t="str">
        <f t="shared" si="68"/>
        <v/>
      </c>
      <c r="TK23" s="2" t="str">
        <f t="shared" si="68"/>
        <v/>
      </c>
      <c r="TL23" s="2" t="str">
        <f t="shared" si="68"/>
        <v/>
      </c>
      <c r="TM23" s="2" t="str">
        <f t="shared" si="68"/>
        <v/>
      </c>
      <c r="TN23" s="2" t="str">
        <f t="shared" si="68"/>
        <v/>
      </c>
      <c r="TO23" s="2" t="str">
        <f t="shared" si="68"/>
        <v/>
      </c>
      <c r="TP23" s="2" t="str">
        <f t="shared" si="68"/>
        <v/>
      </c>
      <c r="TQ23" s="2" t="str">
        <f t="shared" si="68"/>
        <v/>
      </c>
      <c r="TR23" s="2" t="str">
        <f t="shared" si="68"/>
        <v/>
      </c>
      <c r="TS23" s="2" t="str">
        <f t="shared" si="68"/>
        <v/>
      </c>
      <c r="TT23" s="2" t="str">
        <f t="shared" si="68"/>
        <v/>
      </c>
      <c r="TU23" s="2" t="str">
        <f t="shared" si="68"/>
        <v/>
      </c>
      <c r="TV23" s="2" t="str">
        <f t="shared" si="68"/>
        <v/>
      </c>
      <c r="TW23" s="2" t="str">
        <f t="shared" si="68"/>
        <v/>
      </c>
      <c r="TX23" s="2" t="str">
        <f t="shared" si="68"/>
        <v/>
      </c>
      <c r="TY23" s="2" t="str">
        <f t="shared" si="68"/>
        <v/>
      </c>
      <c r="TZ23" s="2" t="str">
        <f t="shared" si="68"/>
        <v/>
      </c>
      <c r="UA23" s="2" t="str">
        <f t="shared" si="68"/>
        <v/>
      </c>
      <c r="UB23" s="2" t="str">
        <f t="shared" si="68"/>
        <v/>
      </c>
      <c r="UC23" s="2" t="str">
        <f t="shared" si="68"/>
        <v/>
      </c>
      <c r="UD23" s="2" t="str">
        <f t="shared" si="68"/>
        <v/>
      </c>
      <c r="UE23" s="2" t="str">
        <f t="shared" si="68"/>
        <v/>
      </c>
      <c r="UF23" s="2" t="str">
        <f t="shared" si="68"/>
        <v/>
      </c>
      <c r="UG23" s="2" t="str">
        <f t="shared" si="68"/>
        <v/>
      </c>
      <c r="UH23" s="2" t="str">
        <f t="shared" si="68"/>
        <v/>
      </c>
      <c r="UI23" s="2" t="str">
        <f t="shared" si="68"/>
        <v/>
      </c>
      <c r="UJ23" s="2" t="str">
        <f t="shared" si="68"/>
        <v/>
      </c>
      <c r="UK23" s="2" t="str">
        <f t="shared" si="68"/>
        <v/>
      </c>
      <c r="UL23" s="2" t="str">
        <f t="shared" si="68"/>
        <v/>
      </c>
      <c r="UM23" s="2" t="str">
        <f t="shared" si="68"/>
        <v/>
      </c>
      <c r="UN23" s="2" t="str">
        <f t="shared" si="68"/>
        <v/>
      </c>
      <c r="UO23" s="2" t="str">
        <f t="shared" si="68"/>
        <v/>
      </c>
      <c r="UP23" s="2" t="str">
        <f t="shared" si="68"/>
        <v/>
      </c>
      <c r="UQ23" s="2" t="str">
        <f t="shared" si="68"/>
        <v/>
      </c>
      <c r="UR23" s="2" t="str">
        <f t="shared" si="68"/>
        <v/>
      </c>
      <c r="US23" s="2" t="str">
        <f t="shared" si="68"/>
        <v/>
      </c>
      <c r="UT23" s="2" t="str">
        <f t="shared" si="68"/>
        <v/>
      </c>
      <c r="UU23" s="2" t="str">
        <f t="shared" si="68"/>
        <v/>
      </c>
      <c r="UV23" s="2" t="str">
        <f t="shared" si="68"/>
        <v/>
      </c>
      <c r="UW23" s="2" t="str">
        <f t="shared" si="68"/>
        <v/>
      </c>
      <c r="UX23" s="2" t="str">
        <f t="shared" si="68"/>
        <v/>
      </c>
      <c r="UY23" s="2" t="str">
        <f t="shared" si="68"/>
        <v/>
      </c>
      <c r="UZ23" s="2" t="str">
        <f t="shared" si="68"/>
        <v/>
      </c>
      <c r="VA23" s="2" t="str">
        <f t="shared" si="68"/>
        <v/>
      </c>
      <c r="VB23" s="2" t="str">
        <f t="shared" si="68"/>
        <v/>
      </c>
      <c r="VC23" s="2" t="str">
        <f t="shared" si="68"/>
        <v/>
      </c>
      <c r="VD23" s="2" t="str">
        <f t="shared" si="68"/>
        <v/>
      </c>
      <c r="VE23" s="2" t="str">
        <f t="shared" si="68"/>
        <v/>
      </c>
      <c r="VF23" s="2" t="str">
        <f t="shared" si="68"/>
        <v/>
      </c>
      <c r="VG23" s="2" t="str">
        <f t="shared" si="68"/>
        <v/>
      </c>
      <c r="VH23" s="2" t="str">
        <f t="shared" si="68"/>
        <v/>
      </c>
      <c r="VI23" s="2" t="str">
        <f t="shared" si="68"/>
        <v/>
      </c>
      <c r="VJ23" s="2" t="str">
        <f t="shared" si="68"/>
        <v/>
      </c>
      <c r="VK23" s="2" t="str">
        <f t="shared" ref="VK23:XV23" si="69">IF(VK21=1,MONTH(VK26),"")</f>
        <v/>
      </c>
      <c r="VL23" s="2" t="str">
        <f t="shared" si="69"/>
        <v/>
      </c>
      <c r="VM23" s="2" t="str">
        <f t="shared" si="69"/>
        <v/>
      </c>
      <c r="VN23" s="2" t="str">
        <f t="shared" si="69"/>
        <v/>
      </c>
      <c r="VO23" s="2" t="str">
        <f t="shared" si="69"/>
        <v/>
      </c>
      <c r="VP23" s="2" t="str">
        <f t="shared" si="69"/>
        <v/>
      </c>
      <c r="VQ23" s="2" t="str">
        <f t="shared" si="69"/>
        <v/>
      </c>
      <c r="VR23" s="2" t="str">
        <f t="shared" si="69"/>
        <v/>
      </c>
      <c r="VS23" s="2" t="str">
        <f t="shared" si="69"/>
        <v/>
      </c>
      <c r="VT23" s="2" t="str">
        <f t="shared" si="69"/>
        <v/>
      </c>
      <c r="VU23" s="2" t="str">
        <f t="shared" si="69"/>
        <v/>
      </c>
      <c r="VV23" s="2" t="str">
        <f t="shared" si="69"/>
        <v/>
      </c>
      <c r="VW23" s="2" t="str">
        <f t="shared" si="69"/>
        <v/>
      </c>
      <c r="VX23" s="2" t="str">
        <f t="shared" si="69"/>
        <v/>
      </c>
      <c r="VY23" s="2" t="str">
        <f t="shared" si="69"/>
        <v/>
      </c>
      <c r="VZ23" s="2" t="str">
        <f t="shared" si="69"/>
        <v/>
      </c>
      <c r="WA23" s="2" t="str">
        <f t="shared" si="69"/>
        <v/>
      </c>
      <c r="WB23" s="2" t="str">
        <f t="shared" si="69"/>
        <v/>
      </c>
      <c r="WC23" s="2" t="str">
        <f t="shared" si="69"/>
        <v/>
      </c>
      <c r="WD23" s="2" t="str">
        <f t="shared" si="69"/>
        <v/>
      </c>
      <c r="WE23" s="2" t="str">
        <f t="shared" si="69"/>
        <v/>
      </c>
      <c r="WF23" s="2" t="str">
        <f t="shared" si="69"/>
        <v/>
      </c>
      <c r="WG23" s="2" t="str">
        <f t="shared" si="69"/>
        <v/>
      </c>
      <c r="WH23" s="2" t="str">
        <f t="shared" si="69"/>
        <v/>
      </c>
      <c r="WI23" s="2" t="str">
        <f t="shared" si="69"/>
        <v/>
      </c>
      <c r="WJ23" s="2" t="str">
        <f t="shared" si="69"/>
        <v/>
      </c>
      <c r="WK23" s="2" t="str">
        <f t="shared" si="69"/>
        <v/>
      </c>
      <c r="WL23" s="2" t="str">
        <f t="shared" si="69"/>
        <v/>
      </c>
      <c r="WM23" s="2" t="str">
        <f t="shared" si="69"/>
        <v/>
      </c>
      <c r="WN23" s="2" t="str">
        <f t="shared" si="69"/>
        <v/>
      </c>
      <c r="WO23" s="2" t="str">
        <f t="shared" si="69"/>
        <v/>
      </c>
      <c r="WP23" s="2" t="str">
        <f t="shared" si="69"/>
        <v/>
      </c>
      <c r="WQ23" s="2" t="str">
        <f t="shared" si="69"/>
        <v/>
      </c>
      <c r="WR23" s="2" t="str">
        <f t="shared" si="69"/>
        <v/>
      </c>
      <c r="WS23" s="2" t="str">
        <f t="shared" si="69"/>
        <v/>
      </c>
      <c r="WT23" s="2" t="str">
        <f t="shared" si="69"/>
        <v/>
      </c>
      <c r="WU23" s="2" t="str">
        <f t="shared" si="69"/>
        <v/>
      </c>
      <c r="WV23" s="2" t="str">
        <f t="shared" si="69"/>
        <v/>
      </c>
      <c r="WW23" s="2" t="str">
        <f t="shared" si="69"/>
        <v/>
      </c>
      <c r="WX23" s="2" t="str">
        <f t="shared" si="69"/>
        <v/>
      </c>
      <c r="WY23" s="2" t="str">
        <f t="shared" si="69"/>
        <v/>
      </c>
      <c r="WZ23" s="2" t="str">
        <f t="shared" si="69"/>
        <v/>
      </c>
      <c r="XA23" s="2" t="str">
        <f t="shared" si="69"/>
        <v/>
      </c>
      <c r="XB23" s="2" t="str">
        <f t="shared" si="69"/>
        <v/>
      </c>
      <c r="XC23" s="2" t="str">
        <f t="shared" si="69"/>
        <v/>
      </c>
      <c r="XD23" s="2" t="str">
        <f t="shared" si="69"/>
        <v/>
      </c>
      <c r="XE23" s="2" t="str">
        <f t="shared" si="69"/>
        <v/>
      </c>
      <c r="XF23" s="2" t="str">
        <f t="shared" si="69"/>
        <v/>
      </c>
      <c r="XG23" s="2" t="str">
        <f t="shared" si="69"/>
        <v/>
      </c>
      <c r="XH23" s="2" t="str">
        <f t="shared" si="69"/>
        <v/>
      </c>
      <c r="XI23" s="2" t="str">
        <f t="shared" si="69"/>
        <v/>
      </c>
      <c r="XJ23" s="2" t="str">
        <f t="shared" si="69"/>
        <v/>
      </c>
      <c r="XK23" s="2" t="str">
        <f t="shared" si="69"/>
        <v/>
      </c>
      <c r="XL23" s="2" t="str">
        <f t="shared" si="69"/>
        <v/>
      </c>
      <c r="XM23" s="2" t="str">
        <f t="shared" si="69"/>
        <v/>
      </c>
      <c r="XN23" s="2" t="str">
        <f t="shared" si="69"/>
        <v/>
      </c>
      <c r="XO23" s="2" t="str">
        <f t="shared" si="69"/>
        <v/>
      </c>
      <c r="XP23" s="2" t="str">
        <f t="shared" si="69"/>
        <v/>
      </c>
      <c r="XQ23" s="2" t="str">
        <f t="shared" si="69"/>
        <v/>
      </c>
      <c r="XR23" s="2" t="str">
        <f t="shared" si="69"/>
        <v/>
      </c>
      <c r="XS23" s="2" t="str">
        <f t="shared" si="69"/>
        <v/>
      </c>
      <c r="XT23" s="2" t="str">
        <f t="shared" si="69"/>
        <v/>
      </c>
      <c r="XU23" s="2" t="str">
        <f t="shared" si="69"/>
        <v/>
      </c>
      <c r="XV23" s="2" t="str">
        <f t="shared" si="69"/>
        <v/>
      </c>
      <c r="XW23" s="2" t="str">
        <f t="shared" ref="XW23:AAH23" si="70">IF(XW21=1,MONTH(XW26),"")</f>
        <v/>
      </c>
      <c r="XX23" s="2" t="str">
        <f t="shared" si="70"/>
        <v/>
      </c>
      <c r="XY23" s="2" t="str">
        <f t="shared" si="70"/>
        <v/>
      </c>
      <c r="XZ23" s="2" t="str">
        <f t="shared" si="70"/>
        <v/>
      </c>
      <c r="YA23" s="2" t="str">
        <f t="shared" si="70"/>
        <v/>
      </c>
      <c r="YB23" s="2" t="str">
        <f t="shared" si="70"/>
        <v/>
      </c>
      <c r="YC23" s="2" t="str">
        <f t="shared" si="70"/>
        <v/>
      </c>
      <c r="YD23" s="2" t="str">
        <f t="shared" si="70"/>
        <v/>
      </c>
      <c r="YE23" s="2" t="str">
        <f t="shared" si="70"/>
        <v/>
      </c>
      <c r="YF23" s="2" t="str">
        <f t="shared" si="70"/>
        <v/>
      </c>
      <c r="YG23" s="2" t="str">
        <f t="shared" si="70"/>
        <v/>
      </c>
      <c r="YH23" s="2" t="str">
        <f t="shared" si="70"/>
        <v/>
      </c>
      <c r="YI23" s="2" t="str">
        <f t="shared" si="70"/>
        <v/>
      </c>
      <c r="YJ23" s="2" t="str">
        <f t="shared" si="70"/>
        <v/>
      </c>
      <c r="YK23" s="2" t="str">
        <f t="shared" si="70"/>
        <v/>
      </c>
      <c r="YL23" s="2" t="str">
        <f t="shared" si="70"/>
        <v/>
      </c>
      <c r="YM23" s="2" t="str">
        <f t="shared" si="70"/>
        <v/>
      </c>
      <c r="YN23" s="2" t="str">
        <f t="shared" si="70"/>
        <v/>
      </c>
      <c r="YO23" s="2" t="str">
        <f t="shared" si="70"/>
        <v/>
      </c>
      <c r="YP23" s="2" t="str">
        <f t="shared" si="70"/>
        <v/>
      </c>
      <c r="YQ23" s="2" t="str">
        <f t="shared" si="70"/>
        <v/>
      </c>
      <c r="YR23" s="2" t="str">
        <f t="shared" si="70"/>
        <v/>
      </c>
      <c r="YS23" s="2" t="str">
        <f t="shared" si="70"/>
        <v/>
      </c>
      <c r="YT23" s="2" t="str">
        <f t="shared" si="70"/>
        <v/>
      </c>
      <c r="YU23" s="2" t="str">
        <f t="shared" si="70"/>
        <v/>
      </c>
      <c r="YV23" s="2" t="str">
        <f t="shared" si="70"/>
        <v/>
      </c>
      <c r="YW23" s="2" t="str">
        <f t="shared" si="70"/>
        <v/>
      </c>
      <c r="YX23" s="2" t="str">
        <f t="shared" si="70"/>
        <v/>
      </c>
      <c r="YY23" s="2" t="str">
        <f t="shared" si="70"/>
        <v/>
      </c>
      <c r="YZ23" s="2" t="str">
        <f t="shared" si="70"/>
        <v/>
      </c>
      <c r="ZA23" s="2" t="str">
        <f t="shared" si="70"/>
        <v/>
      </c>
      <c r="ZB23" s="2" t="str">
        <f t="shared" si="70"/>
        <v/>
      </c>
      <c r="ZC23" s="2" t="str">
        <f t="shared" si="70"/>
        <v/>
      </c>
      <c r="ZD23" s="2" t="str">
        <f t="shared" si="70"/>
        <v/>
      </c>
      <c r="ZE23" s="2" t="str">
        <f t="shared" si="70"/>
        <v/>
      </c>
      <c r="ZF23" s="2" t="str">
        <f t="shared" si="70"/>
        <v/>
      </c>
      <c r="ZG23" s="2" t="str">
        <f t="shared" si="70"/>
        <v/>
      </c>
      <c r="ZH23" s="2" t="str">
        <f t="shared" si="70"/>
        <v/>
      </c>
      <c r="ZI23" s="2" t="str">
        <f t="shared" si="70"/>
        <v/>
      </c>
      <c r="ZJ23" s="2" t="str">
        <f t="shared" si="70"/>
        <v/>
      </c>
      <c r="ZK23" s="2" t="str">
        <f t="shared" si="70"/>
        <v/>
      </c>
      <c r="ZL23" s="2" t="str">
        <f t="shared" si="70"/>
        <v/>
      </c>
      <c r="ZM23" s="2" t="str">
        <f t="shared" si="70"/>
        <v/>
      </c>
      <c r="ZN23" s="2" t="str">
        <f t="shared" si="70"/>
        <v/>
      </c>
      <c r="ZO23" s="2" t="str">
        <f t="shared" si="70"/>
        <v/>
      </c>
      <c r="ZP23" s="2" t="str">
        <f t="shared" si="70"/>
        <v/>
      </c>
      <c r="ZQ23" s="2" t="str">
        <f t="shared" si="70"/>
        <v/>
      </c>
      <c r="ZR23" s="2" t="str">
        <f t="shared" si="70"/>
        <v/>
      </c>
      <c r="ZS23" s="2" t="str">
        <f t="shared" si="70"/>
        <v/>
      </c>
      <c r="ZT23" s="2" t="str">
        <f t="shared" si="70"/>
        <v/>
      </c>
      <c r="ZU23" s="2" t="str">
        <f t="shared" si="70"/>
        <v/>
      </c>
      <c r="ZV23" s="2" t="str">
        <f t="shared" si="70"/>
        <v/>
      </c>
      <c r="ZW23" s="2" t="str">
        <f t="shared" si="70"/>
        <v/>
      </c>
      <c r="ZX23" s="2" t="str">
        <f t="shared" si="70"/>
        <v/>
      </c>
      <c r="ZY23" s="2" t="str">
        <f t="shared" si="70"/>
        <v/>
      </c>
      <c r="ZZ23" s="2" t="str">
        <f t="shared" si="70"/>
        <v/>
      </c>
      <c r="AAA23" s="2" t="str">
        <f t="shared" si="70"/>
        <v/>
      </c>
      <c r="AAB23" s="2" t="str">
        <f t="shared" si="70"/>
        <v/>
      </c>
      <c r="AAC23" s="2" t="str">
        <f t="shared" si="70"/>
        <v/>
      </c>
      <c r="AAD23" s="2" t="str">
        <f t="shared" si="70"/>
        <v/>
      </c>
      <c r="AAE23" s="2" t="str">
        <f t="shared" si="70"/>
        <v/>
      </c>
      <c r="AAF23" s="2" t="str">
        <f t="shared" si="70"/>
        <v/>
      </c>
      <c r="AAG23" s="2" t="str">
        <f t="shared" si="70"/>
        <v/>
      </c>
      <c r="AAH23" s="2" t="str">
        <f t="shared" si="70"/>
        <v/>
      </c>
      <c r="AAI23" s="2" t="str">
        <f t="shared" ref="AAI23:ABI23" si="71">IF(AAI21=1,MONTH(AAI26),"")</f>
        <v/>
      </c>
      <c r="AAJ23" s="2" t="str">
        <f t="shared" si="71"/>
        <v/>
      </c>
      <c r="AAK23" s="2" t="str">
        <f t="shared" si="71"/>
        <v/>
      </c>
      <c r="AAL23" s="2" t="str">
        <f t="shared" si="71"/>
        <v/>
      </c>
      <c r="AAM23" s="2" t="str">
        <f t="shared" si="71"/>
        <v/>
      </c>
      <c r="AAN23" s="2" t="str">
        <f t="shared" si="71"/>
        <v/>
      </c>
      <c r="AAO23" s="2" t="str">
        <f t="shared" si="71"/>
        <v/>
      </c>
      <c r="AAP23" s="2" t="str">
        <f t="shared" si="71"/>
        <v/>
      </c>
      <c r="AAQ23" s="2" t="str">
        <f t="shared" si="71"/>
        <v/>
      </c>
      <c r="AAR23" s="2" t="str">
        <f t="shared" si="71"/>
        <v/>
      </c>
      <c r="AAS23" s="2" t="str">
        <f t="shared" si="71"/>
        <v/>
      </c>
      <c r="AAT23" s="2" t="str">
        <f t="shared" si="71"/>
        <v/>
      </c>
      <c r="AAU23" s="2" t="str">
        <f t="shared" si="71"/>
        <v/>
      </c>
      <c r="AAV23" s="2" t="str">
        <f t="shared" si="71"/>
        <v/>
      </c>
      <c r="AAW23" s="2" t="str">
        <f t="shared" si="71"/>
        <v/>
      </c>
      <c r="AAX23" s="2" t="str">
        <f t="shared" si="71"/>
        <v/>
      </c>
      <c r="AAY23" s="2" t="str">
        <f t="shared" si="71"/>
        <v/>
      </c>
      <c r="AAZ23" s="2" t="str">
        <f t="shared" si="71"/>
        <v/>
      </c>
      <c r="ABA23" s="2" t="str">
        <f t="shared" si="71"/>
        <v/>
      </c>
      <c r="ABB23" s="2" t="str">
        <f t="shared" si="71"/>
        <v/>
      </c>
      <c r="ABC23" s="2" t="str">
        <f t="shared" si="71"/>
        <v/>
      </c>
      <c r="ABD23" s="2" t="str">
        <f t="shared" si="71"/>
        <v/>
      </c>
      <c r="ABE23" s="2" t="str">
        <f t="shared" si="71"/>
        <v/>
      </c>
      <c r="ABF23" s="2" t="str">
        <f t="shared" si="71"/>
        <v/>
      </c>
      <c r="ABG23" s="2" t="str">
        <f t="shared" si="71"/>
        <v/>
      </c>
      <c r="ABH23" s="2" t="str">
        <f t="shared" si="71"/>
        <v/>
      </c>
      <c r="ABI23" s="2" t="str">
        <f t="shared" si="71"/>
        <v/>
      </c>
    </row>
    <row r="24" spans="4:737" ht="12.95" hidden="1" customHeight="1" x14ac:dyDescent="0.25">
      <c r="D24" s="2" t="s">
        <v>6</v>
      </c>
      <c r="E24" s="1"/>
      <c r="F24" s="2" t="str">
        <f>IF(F26&lt;=$E$20,[1]HOC_Histograma_Obra!AK52,0)</f>
        <v>Seg</v>
      </c>
      <c r="G24" s="2" t="str">
        <f>IF(G26&lt;=$E$20,[1]HOC_Histograma_Obra!AL52,0)</f>
        <v>Ter</v>
      </c>
      <c r="H24" s="2" t="str">
        <f>IF(H26&lt;=$E$20,[1]HOC_Histograma_Obra!AM52,0)</f>
        <v>Qua</v>
      </c>
      <c r="I24" s="2" t="str">
        <f>IF(I26&lt;=$E$20,[1]HOC_Histograma_Obra!AN52,0)</f>
        <v>Qui</v>
      </c>
      <c r="J24" s="2" t="str">
        <f>IF(J26&lt;=$E$20,[1]HOC_Histograma_Obra!AO52,0)</f>
        <v>Sex</v>
      </c>
      <c r="K24" s="2" t="str">
        <f>IF(K26&lt;=$E$20,[1]HOC_Histograma_Obra!AP52,0)</f>
        <v>Sáb</v>
      </c>
      <c r="L24" s="2" t="str">
        <f>IF(L26&lt;=$E$20,[1]HOC_Histograma_Obra!AQ52,0)</f>
        <v>Dom</v>
      </c>
      <c r="M24" s="2" t="str">
        <f>IF(M26&lt;=$E$20,[1]HOC_Histograma_Obra!AR52,0)</f>
        <v>Seg</v>
      </c>
      <c r="N24" s="2" t="str">
        <f>IF(N26&lt;=$E$20,[1]HOC_Histograma_Obra!AS52,0)</f>
        <v>Ter</v>
      </c>
      <c r="O24" s="2" t="str">
        <f>IF(O26&lt;=$E$20,[1]HOC_Histograma_Obra!AT52,0)</f>
        <v>Qua</v>
      </c>
      <c r="P24" s="2" t="str">
        <f>IF(P26&lt;=$E$20,[1]HOC_Histograma_Obra!AU52,0)</f>
        <v>Qui</v>
      </c>
      <c r="Q24" s="2" t="str">
        <f>IF(Q26&lt;=$E$20,[1]HOC_Histograma_Obra!AV52,0)</f>
        <v>Sex</v>
      </c>
      <c r="R24" s="2" t="str">
        <f>IF(R26&lt;=$E$20,[1]HOC_Histograma_Obra!AW52,0)</f>
        <v>Sáb</v>
      </c>
      <c r="S24" s="2" t="str">
        <f>IF(S26&lt;=$E$20,[1]HOC_Histograma_Obra!AX52,0)</f>
        <v>Dom</v>
      </c>
      <c r="T24" s="2" t="str">
        <f>IF(T26&lt;=$E$20,[1]HOC_Histograma_Obra!AY52,0)</f>
        <v>Seg</v>
      </c>
      <c r="U24" s="2" t="str">
        <f>IF(U26&lt;=$E$20,[1]HOC_Histograma_Obra!AZ52,0)</f>
        <v>Ter</v>
      </c>
      <c r="V24" s="2" t="str">
        <f>IF(V26&lt;=$E$20,[1]HOC_Histograma_Obra!BA52,0)</f>
        <v>Qua</v>
      </c>
      <c r="W24" s="2" t="str">
        <f>IF(W26&lt;=$E$20,[1]HOC_Histograma_Obra!BB52,0)</f>
        <v>Qui</v>
      </c>
      <c r="X24" s="2" t="str">
        <f>IF(X26&lt;=$E$20,[1]HOC_Histograma_Obra!BC52,0)</f>
        <v>Sex</v>
      </c>
      <c r="Y24" s="2" t="str">
        <f>IF(Y26&lt;=$E$20,[1]HOC_Histograma_Obra!BD52,0)</f>
        <v>Sáb</v>
      </c>
      <c r="Z24" s="2" t="str">
        <f>IF(Z26&lt;=$E$20,[1]HOC_Histograma_Obra!BE52,0)</f>
        <v>Dom</v>
      </c>
      <c r="AA24" s="2" t="str">
        <f>IF(AA26&lt;=$E$20,[1]HOC_Histograma_Obra!BF52,0)</f>
        <v>Seg</v>
      </c>
      <c r="AB24" s="2" t="str">
        <f>IF(AB26&lt;=$E$20,[1]HOC_Histograma_Obra!BG52,0)</f>
        <v>Ter</v>
      </c>
      <c r="AC24" s="2" t="str">
        <f>IF(AC26&lt;=$E$20,[1]HOC_Histograma_Obra!BH52,0)</f>
        <v>Qua</v>
      </c>
      <c r="AD24" s="2" t="str">
        <f>IF(AD26&lt;=$E$20,[1]HOC_Histograma_Obra!BI52,0)</f>
        <v>Qui</v>
      </c>
      <c r="AE24" s="2" t="str">
        <f>IF(AE26&lt;=$E$20,[1]HOC_Histograma_Obra!BJ52,0)</f>
        <v>Sex</v>
      </c>
      <c r="AF24" s="2" t="str">
        <f>IF(AF26&lt;=$E$20,[1]HOC_Histograma_Obra!BK52,0)</f>
        <v>Sáb</v>
      </c>
      <c r="AG24" s="2" t="str">
        <f>IF(AG26&lt;=$E$20,[1]HOC_Histograma_Obra!BL52,0)</f>
        <v>Dom</v>
      </c>
      <c r="AH24" s="2" t="str">
        <f>IF(AH26&lt;=$E$20,[1]HOC_Histograma_Obra!BM52,0)</f>
        <v>Seg</v>
      </c>
      <c r="AI24" s="2" t="str">
        <f>IF(AI26&lt;=$E$20,[1]HOC_Histograma_Obra!BN52,0)</f>
        <v>Ter</v>
      </c>
      <c r="AJ24" s="2" t="str">
        <f>IF(AJ26&lt;=$E$20,[1]HOC_Histograma_Obra!BO52,0)</f>
        <v>Qua</v>
      </c>
      <c r="AK24" s="4" t="str">
        <f>IF(AK26&lt;=$E$20,[1]HOC_Histograma_Obra!BP52,0)</f>
        <v>Fer</v>
      </c>
      <c r="AL24" s="2" t="str">
        <f>IF(AL26&lt;=$E$20,[1]HOC_Histograma_Obra!BQ52,0)</f>
        <v>Sex</v>
      </c>
      <c r="AM24" s="2" t="str">
        <f>IF(AM26&lt;=$E$20,[1]HOC_Histograma_Obra!BR52,0)</f>
        <v>Sáb</v>
      </c>
      <c r="AN24" s="2" t="str">
        <f>IF(AN26&lt;=$E$20,[1]HOC_Histograma_Obra!BS52,0)</f>
        <v>Dom</v>
      </c>
      <c r="AO24" s="2" t="str">
        <f>IF(AO26&lt;=$E$20,[1]HOC_Histograma_Obra!BT52,0)</f>
        <v>Seg</v>
      </c>
      <c r="AP24" s="2" t="str">
        <f>IF(AP26&lt;=$E$20,[1]HOC_Histograma_Obra!BU52,0)</f>
        <v>Ter</v>
      </c>
      <c r="AQ24" s="2" t="str">
        <f>IF(AQ26&lt;=$E$20,[1]HOC_Histograma_Obra!BV52,0)</f>
        <v>Qua</v>
      </c>
      <c r="AR24" s="2" t="str">
        <f>IF(AR26&lt;=$E$20,[1]HOC_Histograma_Obra!BW52,0)</f>
        <v>Qui</v>
      </c>
      <c r="AS24" s="2" t="str">
        <f>IF(AS26&lt;=$E$20,[1]HOC_Histograma_Obra!BX52,0)</f>
        <v>Sex</v>
      </c>
      <c r="AT24" s="2" t="str">
        <f>IF(AT26&lt;=$E$20,[1]HOC_Histograma_Obra!BY52,0)</f>
        <v>Sáb</v>
      </c>
      <c r="AU24" s="2" t="str">
        <f>IF(AU26&lt;=$E$20,[1]HOC_Histograma_Obra!BZ52,0)</f>
        <v>Dom</v>
      </c>
      <c r="AV24" s="2" t="str">
        <f>IF(AV26&lt;=$E$20,[1]HOC_Histograma_Obra!CA52,0)</f>
        <v>Seg</v>
      </c>
      <c r="AW24" s="2" t="str">
        <f>IF(AW26&lt;=$E$20,[1]HOC_Histograma_Obra!CB52,0)</f>
        <v>Ter</v>
      </c>
      <c r="AX24" s="2" t="str">
        <f>IF(AX26&lt;=$E$20,[1]HOC_Histograma_Obra!CC52,0)</f>
        <v>Qua</v>
      </c>
      <c r="AY24" s="2" t="str">
        <f>IF(AY26&lt;=$E$20,[1]HOC_Histograma_Obra!CD52,0)</f>
        <v>Qui</v>
      </c>
      <c r="AZ24" s="2" t="str">
        <f>IF(AZ26&lt;=$E$20,[1]HOC_Histograma_Obra!CE52,0)</f>
        <v>Sex</v>
      </c>
      <c r="BA24" s="2" t="str">
        <f>IF(BA26&lt;=$E$20,[1]HOC_Histograma_Obra!CF52,0)</f>
        <v>Sáb</v>
      </c>
      <c r="BB24" s="2" t="str">
        <f>IF(BB26&lt;=$E$20,[1]HOC_Histograma_Obra!CG52,0)</f>
        <v>Dom</v>
      </c>
      <c r="BC24" s="2" t="str">
        <f>IF(BC26&lt;=$E$20,[1]HOC_Histograma_Obra!CH52,0)</f>
        <v>Seg</v>
      </c>
      <c r="BD24" s="2" t="str">
        <f>IF(BD26&lt;=$E$20,[1]HOC_Histograma_Obra!CI52,0)</f>
        <v>Ter</v>
      </c>
      <c r="BE24" s="2" t="str">
        <f>IF(BE26&lt;=$E$20,[1]HOC_Histograma_Obra!CJ52,0)</f>
        <v>Qua</v>
      </c>
      <c r="BF24" s="2" t="str">
        <f>IF(BF26&lt;=$E$20,[1]HOC_Histograma_Obra!CK52,0)</f>
        <v>Qui</v>
      </c>
      <c r="BG24" s="2" t="str">
        <f>IF(BG26&lt;=$E$20,[1]HOC_Histograma_Obra!CL52,0)</f>
        <v>Sex</v>
      </c>
      <c r="BH24" s="2" t="str">
        <f>IF(BH26&lt;=$E$20,[1]HOC_Histograma_Obra!CM52,0)</f>
        <v>Sáb</v>
      </c>
      <c r="BI24" s="2" t="str">
        <f>IF(BI26&lt;=$E$20,[1]HOC_Histograma_Obra!CN52,0)</f>
        <v>Dom</v>
      </c>
      <c r="BJ24" s="2" t="str">
        <f>IF(BJ26&lt;=$E$20,[1]HOC_Histograma_Obra!CO52,0)</f>
        <v>Seg</v>
      </c>
      <c r="BK24" s="2" t="str">
        <f>IF(BK26&lt;=$E$20,[1]HOC_Histograma_Obra!CP52,0)</f>
        <v>Ter</v>
      </c>
      <c r="BL24" s="2" t="str">
        <f>IF(BL26&lt;=$E$20,[1]HOC_Histograma_Obra!CQ52,0)</f>
        <v>Qua</v>
      </c>
      <c r="BM24" s="2" t="str">
        <f>IF(BM26&lt;=$E$20,[1]HOC_Histograma_Obra!CR52,0)</f>
        <v>Qui</v>
      </c>
      <c r="BN24" s="2" t="str">
        <f>IF(BN26&lt;=$E$20,[1]HOC_Histograma_Obra!CS52,0)</f>
        <v>Sex</v>
      </c>
      <c r="BO24" s="2" t="str">
        <f>IF(BO26&lt;=$E$20,[1]HOC_Histograma_Obra!CT52,0)</f>
        <v>Sáb</v>
      </c>
      <c r="BP24" s="2" t="str">
        <f>IF(BP26&lt;=$E$20,[1]HOC_Histograma_Obra!CU52,0)</f>
        <v>Dom</v>
      </c>
      <c r="BQ24" s="2" t="str">
        <f>IF(BQ26&lt;=$E$20,[1]HOC_Histograma_Obra!CV52,0)</f>
        <v>Seg</v>
      </c>
      <c r="BR24" s="2" t="str">
        <f>IF(BR26&lt;=$E$20,[1]HOC_Histograma_Obra!CW52,0)</f>
        <v>Ter</v>
      </c>
      <c r="BS24" s="2" t="str">
        <f>IF(BS26&lt;=$E$20,[1]HOC_Histograma_Obra!CX52,0)</f>
        <v>Qua</v>
      </c>
      <c r="BT24" s="2" t="str">
        <f>IF(BT26&lt;=$E$20,[1]HOC_Histograma_Obra!CY52,0)</f>
        <v>Qui</v>
      </c>
      <c r="BU24" s="2" t="str">
        <f>IF(BU26&lt;=$E$20,[1]HOC_Histograma_Obra!CZ52,0)</f>
        <v>Sex</v>
      </c>
      <c r="BV24" s="2" t="str">
        <f>IF(BV26&lt;=$E$20,[1]HOC_Histograma_Obra!DA52,0)</f>
        <v>Sáb</v>
      </c>
      <c r="BW24" s="2" t="str">
        <f>IF(BW26&lt;=$E$20,[1]HOC_Histograma_Obra!DB52,0)</f>
        <v>Dom</v>
      </c>
      <c r="BX24" s="2" t="str">
        <f>IF(BX26&lt;=$E$20,[1]HOC_Histograma_Obra!DC52,0)</f>
        <v>Seg</v>
      </c>
      <c r="BY24" s="2" t="str">
        <f>IF(BY26&lt;=$E$20,[1]HOC_Histograma_Obra!DD52,0)</f>
        <v>Ter</v>
      </c>
      <c r="BZ24" s="2" t="str">
        <f>IF(BZ26&lt;=$E$20,[1]HOC_Histograma_Obra!DE52,0)</f>
        <v>Qua</v>
      </c>
      <c r="CA24" s="2" t="str">
        <f>IF(CA26&lt;=$E$20,[1]HOC_Histograma_Obra!DF52,0)</f>
        <v>Qui</v>
      </c>
      <c r="CB24" s="2" t="str">
        <f>IF(CB26&lt;=$E$20,[1]HOC_Histograma_Obra!DG52,0)</f>
        <v>Sex</v>
      </c>
      <c r="CC24" s="2" t="str">
        <f>IF(CC26&lt;=$E$20,[1]HOC_Histograma_Obra!DH52,0)</f>
        <v>Sáb</v>
      </c>
      <c r="CD24" s="2" t="str">
        <f>IF(CD26&lt;=$E$20,[1]HOC_Histograma_Obra!DI52,0)</f>
        <v>Dom</v>
      </c>
      <c r="CE24" s="2" t="str">
        <f>IF(CE26&lt;=$E$20,[1]HOC_Histograma_Obra!DJ52,0)</f>
        <v>Seg</v>
      </c>
      <c r="CF24" s="2" t="str">
        <f>IF(CF26&lt;=$E$20,[1]HOC_Histograma_Obra!DK52,0)</f>
        <v>Ter</v>
      </c>
      <c r="CG24" s="2" t="str">
        <f>IF(CG26&lt;=$E$20,[1]HOC_Histograma_Obra!DL52,0)</f>
        <v>Qua</v>
      </c>
      <c r="CH24" s="2" t="str">
        <f>IF(CH26&lt;=$E$20,[1]HOC_Histograma_Obra!DM52,0)</f>
        <v>Qui</v>
      </c>
      <c r="CI24" s="2" t="str">
        <f>IF(CI26&lt;=$E$20,[1]HOC_Histograma_Obra!DN52,0)</f>
        <v>Sex</v>
      </c>
      <c r="CJ24" s="2" t="str">
        <f>IF(CJ26&lt;=$E$20,[1]HOC_Histograma_Obra!DO52,0)</f>
        <v>Sáb</v>
      </c>
      <c r="CK24" s="2" t="str">
        <f>IF(CK26&lt;=$E$20,[1]HOC_Histograma_Obra!DP52,0)</f>
        <v>Dom</v>
      </c>
      <c r="CL24" s="2" t="str">
        <f>IF(CL26&lt;=$E$20,[1]HOC_Histograma_Obra!DQ52,0)</f>
        <v>Seg</v>
      </c>
      <c r="CM24" s="2" t="str">
        <f>IF(CM26&lt;=$E$20,[1]HOC_Histograma_Obra!DR52,0)</f>
        <v>Ter</v>
      </c>
      <c r="CN24" s="2" t="str">
        <f>IF(CN26&lt;=$E$20,[1]HOC_Histograma_Obra!DS52,0)</f>
        <v>Qua</v>
      </c>
      <c r="CO24" s="2" t="str">
        <f>IF(CO26&lt;=$E$20,[1]HOC_Histograma_Obra!DT52,0)</f>
        <v>Qui</v>
      </c>
      <c r="CP24" s="2" t="str">
        <f>IF(CP26&lt;=$E$20,[1]HOC_Histograma_Obra!DU52,0)</f>
        <v>Sex</v>
      </c>
      <c r="CQ24" s="2" t="str">
        <f>IF(CQ26&lt;=$E$20,[1]HOC_Histograma_Obra!DV52,0)</f>
        <v>Sáb</v>
      </c>
      <c r="CR24" s="2" t="str">
        <f>IF(CR26&lt;=$E$20,[1]HOC_Histograma_Obra!DW52,0)</f>
        <v>Dom</v>
      </c>
      <c r="CS24" s="2" t="str">
        <f>IF(CS26&lt;=$E$20,[1]HOC_Histograma_Obra!DX52,0)</f>
        <v>Seg</v>
      </c>
      <c r="CT24" s="2" t="str">
        <f>IF(CT26&lt;=$E$20,[1]HOC_Histograma_Obra!DY52,0)</f>
        <v>Ter</v>
      </c>
      <c r="CU24" s="2" t="str">
        <f>IF(CU26&lt;=$E$20,[1]HOC_Histograma_Obra!DZ52,0)</f>
        <v>Qua</v>
      </c>
      <c r="CV24" s="2" t="str">
        <f>IF(CV26&lt;=$E$20,[1]HOC_Histograma_Obra!EA52,0)</f>
        <v>Qui</v>
      </c>
      <c r="CW24" s="2" t="str">
        <f>IF(CW26&lt;=$E$20,[1]HOC_Histograma_Obra!EB52,0)</f>
        <v>Sex</v>
      </c>
      <c r="CX24" s="2" t="str">
        <f>IF(CX26&lt;=$E$20,[1]HOC_Histograma_Obra!EC52,0)</f>
        <v>Sáb</v>
      </c>
      <c r="CY24" s="2" t="str">
        <f>IF(CY26&lt;=$E$20,[1]HOC_Histograma_Obra!ED52,0)</f>
        <v>Dom</v>
      </c>
      <c r="CZ24" s="2" t="str">
        <f>IF(CZ26&lt;=$E$20,[1]HOC_Histograma_Obra!EE52,0)</f>
        <v>Seg</v>
      </c>
      <c r="DA24" s="2" t="str">
        <f>IF(DA26&lt;=$E$20,[1]HOC_Histograma_Obra!EF52,0)</f>
        <v>Ter</v>
      </c>
      <c r="DB24" s="2" t="str">
        <f>IF(DB26&lt;=$E$20,[1]HOC_Histograma_Obra!EG52,0)</f>
        <v>Qua</v>
      </c>
      <c r="DC24" s="2" t="str">
        <f>IF(DC26&lt;=$E$20,[1]HOC_Histograma_Obra!EH52,0)</f>
        <v>Qui</v>
      </c>
      <c r="DD24" s="2" t="str">
        <f>IF(DD26&lt;=$E$20,[1]HOC_Histograma_Obra!EI52,0)</f>
        <v>Sex</v>
      </c>
      <c r="DE24" s="2" t="str">
        <f>IF(DE26&lt;=$E$20,[1]HOC_Histograma_Obra!EJ52,0)</f>
        <v>Sáb</v>
      </c>
      <c r="DF24" s="2" t="str">
        <f>IF(DF26&lt;=$E$20,[1]HOC_Histograma_Obra!EK52,0)</f>
        <v>Dom</v>
      </c>
      <c r="DG24" s="2" t="str">
        <f>IF(DG26&lt;=$E$20,[1]HOC_Histograma_Obra!EL52,0)</f>
        <v>Seg</v>
      </c>
      <c r="DH24" s="2" t="str">
        <f>IF(DH26&lt;=$E$20,[1]HOC_Histograma_Obra!EM52,0)</f>
        <v>Ter</v>
      </c>
      <c r="DI24" s="2" t="str">
        <f>IF(DI26&lt;=$E$20,[1]HOC_Histograma_Obra!EN52,0)</f>
        <v>Qua</v>
      </c>
      <c r="DJ24" s="2" t="str">
        <f>IF(DJ26&lt;=$E$20,[1]HOC_Histograma_Obra!EO52,0)</f>
        <v>Qui</v>
      </c>
      <c r="DK24" s="2" t="str">
        <f>IF(DK26&lt;=$E$20,[1]HOC_Histograma_Obra!EP52,0)</f>
        <v>Sex</v>
      </c>
      <c r="DL24" s="2" t="str">
        <f>IF(DL26&lt;=$E$20,[1]HOC_Histograma_Obra!EQ52,0)</f>
        <v>Sáb</v>
      </c>
      <c r="DM24" s="2" t="str">
        <f>IF(DM26&lt;=$E$20,[1]HOC_Histograma_Obra!ER52,0)</f>
        <v>Dom</v>
      </c>
      <c r="DN24" s="2" t="str">
        <f>IF(DN26&lt;=$E$20,[1]HOC_Histograma_Obra!ES52,0)</f>
        <v>Seg</v>
      </c>
      <c r="DO24" s="2" t="str">
        <f>IF(DO26&lt;=$E$20,[1]HOC_Histograma_Obra!ET52,0)</f>
        <v>Ter</v>
      </c>
      <c r="DP24" s="2" t="str">
        <f>IF(DP26&lt;=$E$20,[1]HOC_Histograma_Obra!EU52,0)</f>
        <v>Qua</v>
      </c>
      <c r="DQ24" s="2" t="str">
        <f>IF(DQ26&lt;=$E$20,[1]HOC_Histograma_Obra!EV52,0)</f>
        <v>Qui</v>
      </c>
      <c r="DR24" s="2" t="str">
        <f>IF(DR26&lt;=$E$20,[1]HOC_Histograma_Obra!EW52,0)</f>
        <v>Sex</v>
      </c>
      <c r="DS24" s="2" t="str">
        <f>IF(DS26&lt;=$E$20,[1]HOC_Histograma_Obra!EX52,0)</f>
        <v>Sáb</v>
      </c>
      <c r="DT24" s="2" t="str">
        <f>IF(DT26&lt;=$E$20,[1]HOC_Histograma_Obra!EY52,0)</f>
        <v>Dom</v>
      </c>
      <c r="DU24" s="2" t="str">
        <f>IF(DU26&lt;=$E$20,[1]HOC_Histograma_Obra!EZ52,0)</f>
        <v>Seg</v>
      </c>
      <c r="DV24" s="2" t="str">
        <f>IF(DV26&lt;=$E$20,[1]HOC_Histograma_Obra!FA52,0)</f>
        <v>Ter</v>
      </c>
      <c r="DW24" s="2" t="str">
        <f>IF(DW26&lt;=$E$20,[1]HOC_Histograma_Obra!FB52,0)</f>
        <v>Qua</v>
      </c>
      <c r="DX24" s="2" t="str">
        <f>IF(DX26&lt;=$E$20,[1]HOC_Histograma_Obra!FC52,0)</f>
        <v>Qui</v>
      </c>
      <c r="DY24" s="2" t="str">
        <f>IF(DY26&lt;=$E$20,[1]HOC_Histograma_Obra!FD52,0)</f>
        <v>Sex</v>
      </c>
      <c r="DZ24" s="2" t="str">
        <f>IF(DZ26&lt;=$E$20,[1]HOC_Histograma_Obra!FE52,0)</f>
        <v>Sáb</v>
      </c>
      <c r="EA24" s="2" t="str">
        <f>IF(EA26&lt;=$E$20,[1]HOC_Histograma_Obra!FF52,0)</f>
        <v>Dom</v>
      </c>
      <c r="EB24" s="2" t="str">
        <f>IF(EB26&lt;=$E$20,[1]HOC_Histograma_Obra!FG52,0)</f>
        <v>Fer</v>
      </c>
      <c r="EC24" s="2" t="str">
        <f>IF(EC26&lt;=$E$20,[1]HOC_Histograma_Obra!FH52,0)</f>
        <v>Ter</v>
      </c>
      <c r="ED24" s="2" t="str">
        <f>IF(ED26&lt;=$E$20,[1]HOC_Histograma_Obra!FI52,0)</f>
        <v>Qua</v>
      </c>
      <c r="EE24" s="2" t="str">
        <f>IF(EE26&lt;=$E$20,[1]HOC_Histograma_Obra!FJ52,0)</f>
        <v>Qui</v>
      </c>
      <c r="EF24" s="2" t="str">
        <f>IF(EF26&lt;=$E$20,[1]HOC_Histograma_Obra!FK52,0)</f>
        <v>Sex</v>
      </c>
      <c r="EG24" s="2" t="str">
        <f>IF(EG26&lt;=$E$20,[1]HOC_Histograma_Obra!FL52,0)</f>
        <v>Sáb</v>
      </c>
      <c r="EH24" s="2" t="str">
        <f>IF(EH26&lt;=$E$20,[1]HOC_Histograma_Obra!FM52,0)</f>
        <v>Dom</v>
      </c>
      <c r="EI24" s="2" t="str">
        <f>IF(EI26&lt;=$E$20,[1]HOC_Histograma_Obra!FN52,0)</f>
        <v>Seg</v>
      </c>
      <c r="EJ24" s="2" t="str">
        <f>IF(EJ26&lt;=$E$20,[1]HOC_Histograma_Obra!FO52,0)</f>
        <v>Ter</v>
      </c>
      <c r="EK24" s="2" t="str">
        <f>IF(EK26&lt;=$E$20,[1]HOC_Histograma_Obra!FP52,0)</f>
        <v>Qua</v>
      </c>
      <c r="EL24" s="2" t="str">
        <f>IF(EL26&lt;=$E$20,[1]HOC_Histograma_Obra!FQ52,0)</f>
        <v>Qui</v>
      </c>
      <c r="EM24" s="2" t="str">
        <f>IF(EM26&lt;=$E$20,[1]HOC_Histograma_Obra!FR52,0)</f>
        <v>Sex</v>
      </c>
      <c r="EN24" s="2" t="str">
        <f>IF(EN26&lt;=$E$20,[1]HOC_Histograma_Obra!FS52,0)</f>
        <v>Sáb</v>
      </c>
      <c r="EO24" s="2" t="str">
        <f>IF(EO26&lt;=$E$20,[1]HOC_Histograma_Obra!FT52,0)</f>
        <v>Dom</v>
      </c>
      <c r="EP24" s="2" t="str">
        <f>IF(EP26&lt;=$E$20,[1]HOC_Histograma_Obra!FU52,0)</f>
        <v>Seg</v>
      </c>
      <c r="EQ24" s="2" t="str">
        <f>IF(EQ26&lt;=$E$20,[1]HOC_Histograma_Obra!FV52,0)</f>
        <v>Ter</v>
      </c>
      <c r="ER24" s="2" t="str">
        <f>IF(ER26&lt;=$E$20,[1]HOC_Histograma_Obra!FW52,0)</f>
        <v>Qua</v>
      </c>
      <c r="ES24" s="2" t="str">
        <f>IF(ES26&lt;=$E$20,[1]HOC_Histograma_Obra!FX52,0)</f>
        <v>Qui</v>
      </c>
      <c r="ET24" s="2" t="str">
        <f>IF(ET26&lt;=$E$20,[1]HOC_Histograma_Obra!FY52,0)</f>
        <v>Sex</v>
      </c>
      <c r="EU24" s="2" t="str">
        <f>IF(EU26&lt;=$E$20,[1]HOC_Histograma_Obra!FZ52,0)</f>
        <v>Sáb</v>
      </c>
      <c r="EV24" s="2" t="str">
        <f>IF(EV26&lt;=$E$20,[1]HOC_Histograma_Obra!GA52,0)</f>
        <v>Dom</v>
      </c>
      <c r="EW24" s="2" t="str">
        <f>IF(EW26&lt;=$E$20,[1]HOC_Histograma_Obra!GB52,0)</f>
        <v>Seg</v>
      </c>
      <c r="EX24" s="2" t="str">
        <f>IF(EX26&lt;=$E$20,[1]HOC_Histograma_Obra!GC52,0)</f>
        <v>Ter</v>
      </c>
      <c r="EY24" s="2" t="str">
        <f>IF(EY26&lt;=$E$20,[1]HOC_Histograma_Obra!GD52,0)</f>
        <v>Qua</v>
      </c>
      <c r="EZ24" s="2" t="str">
        <f>IF(EZ26&lt;=$E$20,[1]HOC_Histograma_Obra!GE52,0)</f>
        <v>Qui</v>
      </c>
      <c r="FA24" s="2" t="str">
        <f>IF(FA26&lt;=$E$20,[1]HOC_Histograma_Obra!GF52,0)</f>
        <v>Sex</v>
      </c>
      <c r="FB24" s="2" t="str">
        <f>IF(FB26&lt;=$E$20,[1]HOC_Histograma_Obra!GG52,0)</f>
        <v>Sáb</v>
      </c>
      <c r="FC24" s="2" t="str">
        <f>IF(FC26&lt;=$E$20,[1]HOC_Histograma_Obra!GH52,0)</f>
        <v>Dom</v>
      </c>
      <c r="FD24" s="2" t="str">
        <f>IF(FD26&lt;=$E$20,[1]HOC_Histograma_Obra!GI52,0)</f>
        <v>Seg</v>
      </c>
      <c r="FE24" s="2" t="str">
        <f>IF(FE26&lt;=$E$20,[1]HOC_Histograma_Obra!GJ52,0)</f>
        <v>Ter</v>
      </c>
      <c r="FF24" s="2" t="str">
        <f>IF(FF26&lt;=$E$20,[1]HOC_Histograma_Obra!GK52,0)</f>
        <v>Qua</v>
      </c>
      <c r="FG24" s="2" t="str">
        <f>IF(FG26&lt;=$E$20,[1]HOC_Histograma_Obra!GL52,0)</f>
        <v>Qui</v>
      </c>
      <c r="FH24" s="2" t="str">
        <f>IF(FH26&lt;=$E$20,[1]HOC_Histograma_Obra!GM52,0)</f>
        <v>Sex</v>
      </c>
      <c r="FI24" s="2" t="str">
        <f>IF(FI26&lt;=$E$20,[1]HOC_Histograma_Obra!GN52,0)</f>
        <v>Sáb</v>
      </c>
      <c r="FJ24" s="2" t="str">
        <f>IF(FJ26&lt;=$E$20,[1]HOC_Histograma_Obra!GO52,0)</f>
        <v>Dom</v>
      </c>
      <c r="FK24" s="2" t="str">
        <f>IF(FK26&lt;=$E$20,[1]HOC_Histograma_Obra!GP52,0)</f>
        <v>Fer</v>
      </c>
      <c r="FL24" s="2" t="str">
        <f>IF(FL26&lt;=$E$20,[1]HOC_Histograma_Obra!GQ52,0)</f>
        <v>Ter</v>
      </c>
      <c r="FM24" s="2" t="str">
        <f>IF(FM26&lt;=$E$20,[1]HOC_Histograma_Obra!GR52,0)</f>
        <v>Qua</v>
      </c>
      <c r="FN24" s="2" t="str">
        <f>IF(FN26&lt;=$E$20,[1]HOC_Histograma_Obra!GS52,0)</f>
        <v>Qui</v>
      </c>
      <c r="FO24" s="2" t="str">
        <f>IF(FO26&lt;=$E$20,[1]HOC_Histograma_Obra!GT52,0)</f>
        <v>Sex</v>
      </c>
      <c r="FP24" s="2" t="str">
        <f>IF(FP26&lt;=$E$20,[1]HOC_Histograma_Obra!GU52,0)</f>
        <v>Sáb</v>
      </c>
      <c r="FQ24" s="2" t="str">
        <f>IF(FQ26&lt;=$E$20,[1]HOC_Histograma_Obra!GV52,0)</f>
        <v>Dom</v>
      </c>
      <c r="FR24" s="2" t="str">
        <f>IF(FR26&lt;=$E$20,[1]HOC_Histograma_Obra!GW52,0)</f>
        <v>Seg</v>
      </c>
      <c r="FS24" s="2" t="str">
        <f>IF(FS26&lt;=$E$20,[1]HOC_Histograma_Obra!GX52,0)</f>
        <v>Ter</v>
      </c>
      <c r="FT24" s="2" t="str">
        <f>IF(FT26&lt;=$E$20,[1]HOC_Histograma_Obra!GY52,0)</f>
        <v>Qua</v>
      </c>
      <c r="FU24" s="2" t="str">
        <f>IF(FU26&lt;=$E$20,[1]HOC_Histograma_Obra!GZ52,0)</f>
        <v>Qui</v>
      </c>
      <c r="FV24" s="2" t="str">
        <f>IF(FV26&lt;=$E$20,[1]HOC_Histograma_Obra!HA52,0)</f>
        <v>Sex</v>
      </c>
      <c r="FW24" s="2" t="str">
        <f>IF(FW26&lt;=$E$20,[1]HOC_Histograma_Obra!HB52,0)</f>
        <v>Sáb</v>
      </c>
      <c r="FX24" s="2" t="str">
        <f>IF(FX26&lt;=$E$20,[1]HOC_Histograma_Obra!HC52,0)</f>
        <v>Dom</v>
      </c>
      <c r="FY24" s="2" t="str">
        <f>IF(FY26&lt;=$E$20,[1]HOC_Histograma_Obra!HD52,0)</f>
        <v>Seg</v>
      </c>
      <c r="FZ24" s="2" t="str">
        <f>IF(FZ26&lt;=$E$20,[1]HOC_Histograma_Obra!HE52,0)</f>
        <v>Ter</v>
      </c>
      <c r="GA24" s="2" t="str">
        <f>IF(GA26&lt;=$E$20,[1]HOC_Histograma_Obra!HF52,0)</f>
        <v>Qua</v>
      </c>
      <c r="GB24" s="2" t="str">
        <f>IF(GB26&lt;=$E$20,[1]HOC_Histograma_Obra!HG52,0)</f>
        <v>Qui</v>
      </c>
      <c r="GC24" s="2" t="str">
        <f>IF(GC26&lt;=$E$20,[1]HOC_Histograma_Obra!HH52,0)</f>
        <v>Sex</v>
      </c>
      <c r="GD24" s="2" t="str">
        <f>IF(GD26&lt;=$E$20,[1]HOC_Histograma_Obra!HI52,0)</f>
        <v>Sáb</v>
      </c>
      <c r="GE24" s="2">
        <f>IF(GE26&lt;=$E$20,[1]HOC_Histograma_Obra!HJ52,0)</f>
        <v>0</v>
      </c>
      <c r="GF24" s="2">
        <f>IF(GF26&lt;=$E$20,[1]HOC_Histograma_Obra!HK52,0)</f>
        <v>0</v>
      </c>
      <c r="GG24" s="2">
        <f>IF(GG26&lt;=$E$20,[1]HOC_Histograma_Obra!HL52,0)</f>
        <v>0</v>
      </c>
      <c r="GH24" s="2">
        <f>IF(GH26&lt;=$E$20,[1]HOC_Histograma_Obra!HM52,0)</f>
        <v>0</v>
      </c>
      <c r="GI24" s="2">
        <f>IF(GI26&lt;=$E$20,[1]HOC_Histograma_Obra!HN52,0)</f>
        <v>0</v>
      </c>
      <c r="GJ24" s="2">
        <f>IF(GJ26&lt;=$E$20,[1]HOC_Histograma_Obra!HO52,0)</f>
        <v>0</v>
      </c>
      <c r="GK24" s="2">
        <f>IF(GK26&lt;=$E$20,[1]HOC_Histograma_Obra!HP52,0)</f>
        <v>0</v>
      </c>
      <c r="GL24" s="2">
        <f>IF(GL26&lt;=$E$20,[1]HOC_Histograma_Obra!HQ52,0)</f>
        <v>0</v>
      </c>
      <c r="GM24" s="2">
        <f>IF(GM26&lt;=$E$20,[1]HOC_Histograma_Obra!HR52,0)</f>
        <v>0</v>
      </c>
      <c r="GN24" s="2">
        <f>IF(GN26&lt;=$E$20,[1]HOC_Histograma_Obra!HS52,0)</f>
        <v>0</v>
      </c>
      <c r="GO24" s="2">
        <f>IF(GO26&lt;=$E$20,[1]HOC_Histograma_Obra!HT52,0)</f>
        <v>0</v>
      </c>
      <c r="GP24" s="2">
        <f>IF(GP26&lt;=$E$20,[1]HOC_Histograma_Obra!HU52,0)</f>
        <v>0</v>
      </c>
      <c r="GQ24" s="2">
        <f>IF(GQ26&lt;=$E$20,[1]HOC_Histograma_Obra!HV52,0)</f>
        <v>0</v>
      </c>
      <c r="GR24" s="2">
        <f>IF(GR26&lt;=$E$20,[1]HOC_Histograma_Obra!HW52,0)</f>
        <v>0</v>
      </c>
      <c r="GS24" s="2">
        <f>IF(GS26&lt;=$E$20,[1]HOC_Histograma_Obra!HX52,0)</f>
        <v>0</v>
      </c>
      <c r="GT24" s="2">
        <f>IF(GT26&lt;=$E$20,[1]HOC_Histograma_Obra!HY52,0)</f>
        <v>0</v>
      </c>
      <c r="GU24" s="2">
        <f>IF(GU26&lt;=$E$20,[1]HOC_Histograma_Obra!HZ52,0)</f>
        <v>0</v>
      </c>
      <c r="GV24" s="2">
        <f>IF(GV26&lt;=$E$20,[1]HOC_Histograma_Obra!IA52,0)</f>
        <v>0</v>
      </c>
      <c r="GW24" s="2">
        <f>IF(GW26&lt;=$E$20,[1]HOC_Histograma_Obra!IB52,0)</f>
        <v>0</v>
      </c>
      <c r="GX24" s="2">
        <f>IF(GX26&lt;=$E$20,[1]HOC_Histograma_Obra!IC52,0)</f>
        <v>0</v>
      </c>
      <c r="GY24" s="2">
        <f>IF(GY26&lt;=$E$20,[1]HOC_Histograma_Obra!ID52,0)</f>
        <v>0</v>
      </c>
      <c r="GZ24" s="2">
        <f>IF(GZ26&lt;=$E$20,[1]HOC_Histograma_Obra!IE52,0)</f>
        <v>0</v>
      </c>
      <c r="HA24" s="2">
        <f>IF(HA26&lt;=$E$20,[1]HOC_Histograma_Obra!IF52,0)</f>
        <v>0</v>
      </c>
      <c r="HB24" s="2">
        <f>IF(HB26&lt;=$E$20,[1]HOC_Histograma_Obra!IG52,0)</f>
        <v>0</v>
      </c>
      <c r="HC24" s="2">
        <f>IF(HC26&lt;=$E$20,[1]HOC_Histograma_Obra!IH52,0)</f>
        <v>0</v>
      </c>
      <c r="HD24" s="2">
        <f>IF(HD26&lt;=$E$20,[1]HOC_Histograma_Obra!II52,0)</f>
        <v>0</v>
      </c>
      <c r="HE24" s="2">
        <f>IF(HE26&lt;=$E$20,[1]HOC_Histograma_Obra!IJ52,0)</f>
        <v>0</v>
      </c>
      <c r="HF24" s="2">
        <f>IF(HF26&lt;=$E$20,[1]HOC_Histograma_Obra!IK52,0)</f>
        <v>0</v>
      </c>
      <c r="HG24" s="2">
        <f>IF(HG26&lt;=$E$20,[1]HOC_Histograma_Obra!IL52,0)</f>
        <v>0</v>
      </c>
      <c r="HH24" s="2">
        <f>IF(HH26&lt;=$E$20,[1]HOC_Histograma_Obra!IM52,0)</f>
        <v>0</v>
      </c>
      <c r="HI24" s="2">
        <f>IF(HI26&lt;=$E$20,[1]HOC_Histograma_Obra!IN52,0)</f>
        <v>0</v>
      </c>
      <c r="HJ24" s="2">
        <f>IF(HJ26&lt;=$E$20,[1]HOC_Histograma_Obra!IO52,0)</f>
        <v>0</v>
      </c>
      <c r="HK24" s="2">
        <f>IF(HK26&lt;=$E$20,[1]HOC_Histograma_Obra!IP52,0)</f>
        <v>0</v>
      </c>
      <c r="HL24" s="2">
        <f>IF(HL26&lt;=$E$20,[1]HOC_Histograma_Obra!IQ52,0)</f>
        <v>0</v>
      </c>
      <c r="HM24" s="2">
        <f>IF(HM26&lt;=$E$20,[1]HOC_Histograma_Obra!IR52,0)</f>
        <v>0</v>
      </c>
      <c r="HN24" s="2">
        <f>IF(HN26&lt;=$E$20,[1]HOC_Histograma_Obra!IS52,0)</f>
        <v>0</v>
      </c>
      <c r="HO24" s="2">
        <f>IF(HO26&lt;=$E$20,[1]HOC_Histograma_Obra!IT52,0)</f>
        <v>0</v>
      </c>
      <c r="HP24" s="2">
        <f>IF(HP26&lt;=$E$20,[1]HOC_Histograma_Obra!IU52,0)</f>
        <v>0</v>
      </c>
      <c r="HQ24" s="2">
        <f>IF(HQ26&lt;=$E$20,[1]HOC_Histograma_Obra!IV52,0)</f>
        <v>0</v>
      </c>
      <c r="HR24" s="2">
        <f>IF(HR26&lt;=$E$20,[1]HOC_Histograma_Obra!IW52,0)</f>
        <v>0</v>
      </c>
      <c r="HS24" s="2">
        <f>IF(HS26&lt;=$E$20,[1]HOC_Histograma_Obra!IX52,0)</f>
        <v>0</v>
      </c>
      <c r="HT24" s="2">
        <f>IF(HT26&lt;=$E$20,[1]HOC_Histograma_Obra!IY52,0)</f>
        <v>0</v>
      </c>
      <c r="HU24" s="2">
        <f>IF(HU26&lt;=$E$20,[1]HOC_Histograma_Obra!IZ52,0)</f>
        <v>0</v>
      </c>
      <c r="HV24" s="2">
        <f>IF(HV26&lt;=$E$20,[1]HOC_Histograma_Obra!JA52,0)</f>
        <v>0</v>
      </c>
      <c r="HW24" s="2">
        <f>IF(HW26&lt;=$E$20,[1]HOC_Histograma_Obra!JB52,0)</f>
        <v>0</v>
      </c>
      <c r="HX24" s="2">
        <f>IF(HX26&lt;=$E$20,[1]HOC_Histograma_Obra!JC52,0)</f>
        <v>0</v>
      </c>
      <c r="HY24" s="2">
        <f>IF(HY26&lt;=$E$20,[1]HOC_Histograma_Obra!JD52,0)</f>
        <v>0</v>
      </c>
      <c r="HZ24" s="2">
        <f>IF(HZ26&lt;=$E$20,[1]HOC_Histograma_Obra!JE52,0)</f>
        <v>0</v>
      </c>
      <c r="IA24" s="2">
        <f>IF(IA26&lt;=$E$20,[1]HOC_Histograma_Obra!JF52,0)</f>
        <v>0</v>
      </c>
      <c r="IB24" s="2">
        <f>IF(IB26&lt;=$E$20,[1]HOC_Histograma_Obra!JG52,0)</f>
        <v>0</v>
      </c>
      <c r="IC24" s="2">
        <f>IF(IC26&lt;=$E$20,[1]HOC_Histograma_Obra!JH52,0)</f>
        <v>0</v>
      </c>
      <c r="ID24" s="2">
        <f>IF(ID26&lt;=$E$20,[1]HOC_Histograma_Obra!JI52,0)</f>
        <v>0</v>
      </c>
      <c r="IE24" s="2">
        <f>IF(IE26&lt;=$E$20,[1]HOC_Histograma_Obra!JJ52,0)</f>
        <v>0</v>
      </c>
      <c r="IF24" s="2">
        <f>IF(IF26&lt;=$E$20,[1]HOC_Histograma_Obra!JK52,0)</f>
        <v>0</v>
      </c>
      <c r="IG24" s="2">
        <f>IF(IG26&lt;=$E$20,[1]HOC_Histograma_Obra!JL52,0)</f>
        <v>0</v>
      </c>
      <c r="IH24" s="2">
        <f>IF(IH26&lt;=$E$20,[1]HOC_Histograma_Obra!JM52,0)</f>
        <v>0</v>
      </c>
      <c r="II24" s="2">
        <f>IF(II26&lt;=$E$20,[1]HOC_Histograma_Obra!JN52,0)</f>
        <v>0</v>
      </c>
      <c r="IJ24" s="2">
        <f>IF(IJ26&lt;=$E$20,[1]HOC_Histograma_Obra!JO52,0)</f>
        <v>0</v>
      </c>
      <c r="IK24" s="2">
        <f>IF(IK26&lt;=$E$20,[1]HOC_Histograma_Obra!JP52,0)</f>
        <v>0</v>
      </c>
      <c r="IL24" s="2">
        <f>IF(IL26&lt;=$E$20,[1]HOC_Histograma_Obra!JQ52,0)</f>
        <v>0</v>
      </c>
      <c r="IM24" s="2">
        <f>IF(IM26&lt;=$E$20,[1]HOC_Histograma_Obra!JR52,0)</f>
        <v>0</v>
      </c>
      <c r="IN24" s="2">
        <f>IF(IN26&lt;=$E$20,[1]HOC_Histograma_Obra!JS52,0)</f>
        <v>0</v>
      </c>
      <c r="IO24" s="2">
        <f>IF(IO26&lt;=$E$20,[1]HOC_Histograma_Obra!JT52,0)</f>
        <v>0</v>
      </c>
      <c r="IP24" s="2">
        <f>IF(IP26&lt;=$E$20,[1]HOC_Histograma_Obra!JU52,0)</f>
        <v>0</v>
      </c>
      <c r="IQ24" s="2">
        <f>IF(IQ26&lt;=$E$20,[1]HOC_Histograma_Obra!JV52,0)</f>
        <v>0</v>
      </c>
      <c r="IR24" s="2">
        <f>IF(IR26&lt;=$E$20,[1]HOC_Histograma_Obra!JW52,0)</f>
        <v>0</v>
      </c>
      <c r="IS24" s="2">
        <f>IF(IS26&lt;=$E$20,[1]HOC_Histograma_Obra!JX52,0)</f>
        <v>0</v>
      </c>
      <c r="IT24" s="2">
        <f>IF(IT26&lt;=$E$20,[1]HOC_Histograma_Obra!JY52,0)</f>
        <v>0</v>
      </c>
      <c r="IU24" s="2">
        <f>IF(IU26&lt;=$E$20,[1]HOC_Histograma_Obra!JZ52,0)</f>
        <v>0</v>
      </c>
      <c r="IV24" s="2">
        <f>IF(IV26&lt;=$E$20,[1]HOC_Histograma_Obra!KA52,0)</f>
        <v>0</v>
      </c>
      <c r="IW24" s="2">
        <f>IF(IW26&lt;=$E$20,[1]HOC_Histograma_Obra!KB52,0)</f>
        <v>0</v>
      </c>
      <c r="IX24" s="2">
        <f>IF(IX26&lt;=$E$20,[1]HOC_Histograma_Obra!KC52,0)</f>
        <v>0</v>
      </c>
      <c r="IY24" s="2">
        <f>IF(IY26&lt;=$E$20,[1]HOC_Histograma_Obra!KD52,0)</f>
        <v>0</v>
      </c>
      <c r="IZ24" s="2">
        <f>IF(IZ26&lt;=$E$20,[1]HOC_Histograma_Obra!KE52,0)</f>
        <v>0</v>
      </c>
      <c r="JA24" s="2">
        <f>IF(JA26&lt;=$E$20,[1]HOC_Histograma_Obra!KF52,0)</f>
        <v>0</v>
      </c>
      <c r="JB24" s="2">
        <f>IF(JB26&lt;=$E$20,[1]HOC_Histograma_Obra!KG52,0)</f>
        <v>0</v>
      </c>
      <c r="JC24" s="2">
        <f>IF(JC26&lt;=$E$20,[1]HOC_Histograma_Obra!KH52,0)</f>
        <v>0</v>
      </c>
      <c r="JD24" s="2">
        <f>IF(JD26&lt;=$E$20,[1]HOC_Histograma_Obra!KI52,0)</f>
        <v>0</v>
      </c>
      <c r="JE24" s="2">
        <f>IF(JE26&lt;=$E$20,[1]HOC_Histograma_Obra!KJ52,0)</f>
        <v>0</v>
      </c>
      <c r="JF24" s="2">
        <f>IF(JF26&lt;=$E$20,[1]HOC_Histograma_Obra!KK52,0)</f>
        <v>0</v>
      </c>
      <c r="JG24" s="2">
        <f>IF(JG26&lt;=$E$20,[1]HOC_Histograma_Obra!KL52,0)</f>
        <v>0</v>
      </c>
      <c r="JH24" s="2">
        <f>IF(JH26&lt;=$E$20,[1]HOC_Histograma_Obra!KM52,0)</f>
        <v>0</v>
      </c>
      <c r="JI24" s="2">
        <f>IF(JI26&lt;=$E$20,[1]HOC_Histograma_Obra!KN52,0)</f>
        <v>0</v>
      </c>
      <c r="JJ24" s="2">
        <f>IF(JJ26&lt;=$E$20,[1]HOC_Histograma_Obra!KO52,0)</f>
        <v>0</v>
      </c>
      <c r="JK24" s="2">
        <f>IF(JK26&lt;=$E$20,[1]HOC_Histograma_Obra!KP52,0)</f>
        <v>0</v>
      </c>
      <c r="JL24" s="2">
        <f>IF(JL26&lt;=$E$20,[1]HOC_Histograma_Obra!KQ52,0)</f>
        <v>0</v>
      </c>
      <c r="JM24" s="2">
        <f>IF(JM26&lt;=$E$20,[1]HOC_Histograma_Obra!KR52,0)</f>
        <v>0</v>
      </c>
      <c r="JN24" s="2">
        <f>IF(JN26&lt;=$E$20,[1]HOC_Histograma_Obra!KS52,0)</f>
        <v>0</v>
      </c>
      <c r="JO24" s="2">
        <f>IF(JO26&lt;=$E$20,[1]HOC_Histograma_Obra!KT52,0)</f>
        <v>0</v>
      </c>
      <c r="JP24" s="2">
        <f>IF(JP26&lt;=$E$20,[1]HOC_Histograma_Obra!KU52,0)</f>
        <v>0</v>
      </c>
      <c r="JQ24" s="2">
        <f>IF(JQ26&lt;=$E$20,[1]HOC_Histograma_Obra!KV52,0)</f>
        <v>0</v>
      </c>
      <c r="JR24" s="2">
        <f>IF(JR26&lt;=$E$20,[1]HOC_Histograma_Obra!KW52,0)</f>
        <v>0</v>
      </c>
      <c r="JS24" s="2">
        <f>IF(JS26&lt;=$E$20,[1]HOC_Histograma_Obra!KX52,0)</f>
        <v>0</v>
      </c>
      <c r="JT24" s="2">
        <f>IF(JT26&lt;=$E$20,[1]HOC_Histograma_Obra!KY52,0)</f>
        <v>0</v>
      </c>
      <c r="JU24" s="2">
        <f>IF(JU26&lt;=$E$20,[1]HOC_Histograma_Obra!KZ52,0)</f>
        <v>0</v>
      </c>
      <c r="JV24" s="2">
        <f>IF(JV26&lt;=$E$20,[1]HOC_Histograma_Obra!LA52,0)</f>
        <v>0</v>
      </c>
      <c r="JW24" s="2">
        <f>IF(JW26&lt;=$E$20,[1]HOC_Histograma_Obra!LB52,0)</f>
        <v>0</v>
      </c>
      <c r="JX24" s="2">
        <f>IF(JX26&lt;=$E$20,[1]HOC_Histograma_Obra!LC52,0)</f>
        <v>0</v>
      </c>
      <c r="JY24" s="2">
        <f>IF(JY26&lt;=$E$20,[1]HOC_Histograma_Obra!LD52,0)</f>
        <v>0</v>
      </c>
      <c r="JZ24" s="2">
        <f>IF(JZ26&lt;=$E$20,[1]HOC_Histograma_Obra!LE52,0)</f>
        <v>0</v>
      </c>
      <c r="KA24" s="2">
        <f>IF(KA26&lt;=$E$20,[1]HOC_Histograma_Obra!LF52,0)</f>
        <v>0</v>
      </c>
      <c r="KB24" s="2">
        <f>IF(KB26&lt;=$E$20,[1]HOC_Histograma_Obra!LG52,0)</f>
        <v>0</v>
      </c>
      <c r="KC24" s="2">
        <f>IF(KC26&lt;=$E$20,[1]HOC_Histograma_Obra!LH52,0)</f>
        <v>0</v>
      </c>
      <c r="KD24" s="2">
        <f>IF(KD26&lt;=$E$20,[1]HOC_Histograma_Obra!LI52,0)</f>
        <v>0</v>
      </c>
      <c r="KE24" s="2">
        <f>IF(KE26&lt;=$E$20,[1]HOC_Histograma_Obra!LJ52,0)</f>
        <v>0</v>
      </c>
      <c r="KF24" s="2">
        <f>IF(KF26&lt;=$E$20,[1]HOC_Histograma_Obra!LK52,0)</f>
        <v>0</v>
      </c>
      <c r="KG24" s="2">
        <f>IF(KG26&lt;=$E$20,[1]HOC_Histograma_Obra!LL52,0)</f>
        <v>0</v>
      </c>
      <c r="KH24" s="2">
        <f>IF(KH26&lt;=$E$20,[1]HOC_Histograma_Obra!LM52,0)</f>
        <v>0</v>
      </c>
      <c r="KI24" s="2">
        <f>IF(KI26&lt;=$E$20,[1]HOC_Histograma_Obra!LN52,0)</f>
        <v>0</v>
      </c>
      <c r="KJ24" s="2">
        <f>IF(KJ26&lt;=$E$20,[1]HOC_Histograma_Obra!LO52,0)</f>
        <v>0</v>
      </c>
      <c r="KK24" s="2">
        <f>IF(KK26&lt;=$E$20,[1]HOC_Histograma_Obra!LP52,0)</f>
        <v>0</v>
      </c>
      <c r="KL24" s="2">
        <f>IF(KL26&lt;=$E$20,[1]HOC_Histograma_Obra!LQ52,0)</f>
        <v>0</v>
      </c>
      <c r="KM24" s="2">
        <f>IF(KM26&lt;=$E$20,[1]HOC_Histograma_Obra!LR52,0)</f>
        <v>0</v>
      </c>
      <c r="KN24" s="2">
        <f>IF(KN26&lt;=$E$20,[1]HOC_Histograma_Obra!LS52,0)</f>
        <v>0</v>
      </c>
      <c r="KO24" s="2">
        <f>IF(KO26&lt;=$E$20,[1]HOC_Histograma_Obra!LT52,0)</f>
        <v>0</v>
      </c>
      <c r="KP24" s="2">
        <f>IF(KP26&lt;=$E$20,[1]HOC_Histograma_Obra!LU52,0)</f>
        <v>0</v>
      </c>
      <c r="KQ24" s="2">
        <f>IF(KQ26&lt;=$E$20,[1]HOC_Histograma_Obra!LV52,0)</f>
        <v>0</v>
      </c>
      <c r="KR24" s="2">
        <f>IF(KR26&lt;=$E$20,[1]HOC_Histograma_Obra!LW52,0)</f>
        <v>0</v>
      </c>
      <c r="KS24" s="2">
        <f>IF(KS26&lt;=$E$20,[1]HOC_Histograma_Obra!LX52,0)</f>
        <v>0</v>
      </c>
      <c r="KT24" s="2">
        <f>IF(KT26&lt;=$E$20,[1]HOC_Histograma_Obra!LY52,0)</f>
        <v>0</v>
      </c>
      <c r="KU24" s="2">
        <f>IF(KU26&lt;=$E$20,[1]HOC_Histograma_Obra!LZ52,0)</f>
        <v>0</v>
      </c>
      <c r="KV24" s="2">
        <f>IF(KV26&lt;=$E$20,[1]HOC_Histograma_Obra!MA52,0)</f>
        <v>0</v>
      </c>
      <c r="KW24" s="2">
        <f>IF(KW26&lt;=$E$20,[1]HOC_Histograma_Obra!MB52,0)</f>
        <v>0</v>
      </c>
      <c r="KX24" s="2">
        <f>IF(KX26&lt;=$E$20,[1]HOC_Histograma_Obra!MC52,0)</f>
        <v>0</v>
      </c>
      <c r="KY24" s="2">
        <f>IF(KY26&lt;=$E$20,[1]HOC_Histograma_Obra!MD52,0)</f>
        <v>0</v>
      </c>
      <c r="KZ24" s="2">
        <f>IF(KZ26&lt;=$E$20,[1]HOC_Histograma_Obra!ME52,0)</f>
        <v>0</v>
      </c>
      <c r="LA24" s="2">
        <f>IF(LA26&lt;=$E$20,[1]HOC_Histograma_Obra!MF52,0)</f>
        <v>0</v>
      </c>
      <c r="LB24" s="2">
        <f>IF(LB26&lt;=$E$20,[1]HOC_Histograma_Obra!MG52,0)</f>
        <v>0</v>
      </c>
      <c r="LC24" s="2">
        <f>IF(LC26&lt;=$E$20,[1]HOC_Histograma_Obra!MH52,0)</f>
        <v>0</v>
      </c>
      <c r="LD24" s="2">
        <f>IF(LD26&lt;=$E$20,[1]HOC_Histograma_Obra!MI52,0)</f>
        <v>0</v>
      </c>
      <c r="LE24" s="2">
        <f>IF(LE26&lt;=$E$20,[1]HOC_Histograma_Obra!MJ52,0)</f>
        <v>0</v>
      </c>
      <c r="LF24" s="2">
        <f>IF(LF26&lt;=$E$20,[1]HOC_Histograma_Obra!MK52,0)</f>
        <v>0</v>
      </c>
      <c r="LG24" s="2">
        <f>IF(LG26&lt;=$E$20,[1]HOC_Histograma_Obra!ML52,0)</f>
        <v>0</v>
      </c>
      <c r="LH24" s="2">
        <f>IF(LH26&lt;=$E$20,[1]HOC_Histograma_Obra!MM52,0)</f>
        <v>0</v>
      </c>
      <c r="LI24" s="2">
        <f>IF(LI26&lt;=$E$20,[1]HOC_Histograma_Obra!MN52,0)</f>
        <v>0</v>
      </c>
      <c r="LJ24" s="2">
        <f>IF(LJ26&lt;=$E$20,[1]HOC_Histograma_Obra!MO52,0)</f>
        <v>0</v>
      </c>
      <c r="LK24" s="2">
        <f>IF(LK26&lt;=$E$20,[1]HOC_Histograma_Obra!MP52,0)</f>
        <v>0</v>
      </c>
      <c r="LL24" s="2">
        <f>IF(LL26&lt;=$E$20,[1]HOC_Histograma_Obra!MQ52,0)</f>
        <v>0</v>
      </c>
      <c r="LM24" s="2">
        <f>IF(LM26&lt;=$E$20,[1]HOC_Histograma_Obra!MR52,0)</f>
        <v>0</v>
      </c>
      <c r="LN24" s="2">
        <f>IF(LN26&lt;=$E$20,[1]HOC_Histograma_Obra!MS52,0)</f>
        <v>0</v>
      </c>
      <c r="LO24" s="2">
        <f>IF(LO26&lt;=$E$20,[1]HOC_Histograma_Obra!MT52,0)</f>
        <v>0</v>
      </c>
      <c r="LP24" s="2">
        <f>IF(LP26&lt;=$E$20,[1]HOC_Histograma_Obra!MU52,0)</f>
        <v>0</v>
      </c>
      <c r="LQ24" s="2">
        <f>IF(LQ26&lt;=$E$20,[1]HOC_Histograma_Obra!MV52,0)</f>
        <v>0</v>
      </c>
      <c r="LR24" s="2">
        <f>IF(LR26&lt;=$E$20,[1]HOC_Histograma_Obra!MW52,0)</f>
        <v>0</v>
      </c>
      <c r="LS24" s="2">
        <f>IF(LS26&lt;=$E$20,[1]HOC_Histograma_Obra!MX52,0)</f>
        <v>0</v>
      </c>
      <c r="LT24" s="2">
        <f>IF(LT26&lt;=$E$20,[1]HOC_Histograma_Obra!MY52,0)</f>
        <v>0</v>
      </c>
      <c r="LU24" s="2">
        <f>IF(LU26&lt;=$E$20,[1]HOC_Histograma_Obra!MZ52,0)</f>
        <v>0</v>
      </c>
      <c r="LV24" s="2">
        <f>IF(LV26&lt;=$E$20,[1]HOC_Histograma_Obra!NA52,0)</f>
        <v>0</v>
      </c>
      <c r="LW24" s="2">
        <f>IF(LW26&lt;=$E$20,[1]HOC_Histograma_Obra!NB52,0)</f>
        <v>0</v>
      </c>
      <c r="LX24" s="2">
        <f>IF(LX26&lt;=$E$20,[1]HOC_Histograma_Obra!NC52,0)</f>
        <v>0</v>
      </c>
      <c r="LY24" s="2">
        <f>IF(LY26&lt;=$E$20,[1]HOC_Histograma_Obra!ND52,0)</f>
        <v>0</v>
      </c>
      <c r="LZ24" s="2">
        <f>IF(LZ26&lt;=$E$20,[1]HOC_Histograma_Obra!NE52,0)</f>
        <v>0</v>
      </c>
      <c r="MA24" s="2">
        <f>IF(MA26&lt;=$E$20,[1]HOC_Histograma_Obra!NF52,0)</f>
        <v>0</v>
      </c>
      <c r="MB24" s="2">
        <f>IF(MB26&lt;=$E$20,[1]HOC_Histograma_Obra!NG52,0)</f>
        <v>0</v>
      </c>
      <c r="MC24" s="2">
        <f>IF(MC26&lt;=$E$20,[1]HOC_Histograma_Obra!NH52,0)</f>
        <v>0</v>
      </c>
      <c r="MD24" s="2">
        <f>IF(MD26&lt;=$E$20,[1]HOC_Histograma_Obra!NI52,0)</f>
        <v>0</v>
      </c>
      <c r="ME24" s="2">
        <f>IF(ME26&lt;=$E$20,[1]HOC_Histograma_Obra!NJ52,0)</f>
        <v>0</v>
      </c>
      <c r="MF24" s="2">
        <f>IF(MF26&lt;=$E$20,[1]HOC_Histograma_Obra!NK52,0)</f>
        <v>0</v>
      </c>
      <c r="MG24" s="2">
        <f>IF(MG26&lt;=$E$20,[1]HOC_Histograma_Obra!NL52,0)</f>
        <v>0</v>
      </c>
      <c r="MH24" s="2">
        <f>IF(MH26&lt;=$E$20,[1]HOC_Histograma_Obra!NM52,0)</f>
        <v>0</v>
      </c>
      <c r="MI24" s="2">
        <f>IF(MI26&lt;=$E$20,[1]HOC_Histograma_Obra!NN52,0)</f>
        <v>0</v>
      </c>
      <c r="MJ24" s="2">
        <f>IF(MJ26&lt;=$E$20,[1]HOC_Histograma_Obra!NO52,0)</f>
        <v>0</v>
      </c>
      <c r="MK24" s="2">
        <f>IF(MK26&lt;=$E$20,[1]HOC_Histograma_Obra!NP52,0)</f>
        <v>0</v>
      </c>
      <c r="ML24" s="2">
        <f>IF(ML26&lt;=$E$20,[1]HOC_Histograma_Obra!NQ52,0)</f>
        <v>0</v>
      </c>
      <c r="MM24" s="2">
        <f>IF(MM26&lt;=$E$20,[1]HOC_Histograma_Obra!NR52,0)</f>
        <v>0</v>
      </c>
      <c r="MN24" s="2">
        <f>IF(MN26&lt;=$E$20,[1]HOC_Histograma_Obra!NS52,0)</f>
        <v>0</v>
      </c>
      <c r="MO24" s="2">
        <f>IF(MO26&lt;=$E$20,[1]HOC_Histograma_Obra!NT52,0)</f>
        <v>0</v>
      </c>
      <c r="MP24" s="2">
        <f>IF(MP26&lt;=$E$20,[1]HOC_Histograma_Obra!NU52,0)</f>
        <v>0</v>
      </c>
      <c r="MQ24" s="2">
        <f>IF(MQ26&lt;=$E$20,[1]HOC_Histograma_Obra!NV52,0)</f>
        <v>0</v>
      </c>
      <c r="MR24" s="2">
        <f>IF(MR26&lt;=$E$20,[1]HOC_Histograma_Obra!NW52,0)</f>
        <v>0</v>
      </c>
      <c r="MS24" s="2">
        <f>IF(MS26&lt;=$E$20,[1]HOC_Histograma_Obra!NX52,0)</f>
        <v>0</v>
      </c>
      <c r="MT24" s="2">
        <f>IF(MT26&lt;=$E$20,[1]HOC_Histograma_Obra!NY52,0)</f>
        <v>0</v>
      </c>
      <c r="MU24" s="2">
        <f>IF(MU26&lt;=$E$20,[1]HOC_Histograma_Obra!NZ52,0)</f>
        <v>0</v>
      </c>
      <c r="MV24" s="2">
        <f>IF(MV26&lt;=$E$20,[1]HOC_Histograma_Obra!OA52,0)</f>
        <v>0</v>
      </c>
      <c r="MW24" s="2">
        <f>IF(MW26&lt;=$E$20,[1]HOC_Histograma_Obra!OB52,0)</f>
        <v>0</v>
      </c>
      <c r="MX24" s="2">
        <f>IF(MX26&lt;=$E$20,[1]HOC_Histograma_Obra!OC52,0)</f>
        <v>0</v>
      </c>
      <c r="MY24" s="2">
        <f>IF(MY26&lt;=$E$20,[1]HOC_Histograma_Obra!OD52,0)</f>
        <v>0</v>
      </c>
      <c r="MZ24" s="2">
        <f>IF(MZ26&lt;=$E$20,[1]HOC_Histograma_Obra!OE52,0)</f>
        <v>0</v>
      </c>
      <c r="NA24" s="2">
        <f>IF(NA26&lt;=$E$20,[1]HOC_Histograma_Obra!OF52,0)</f>
        <v>0</v>
      </c>
      <c r="NB24" s="2">
        <f>IF(NB26&lt;=$E$20,[1]HOC_Histograma_Obra!OG52,0)</f>
        <v>0</v>
      </c>
      <c r="NC24" s="2">
        <f>IF(NC26&lt;=$E$20,[1]HOC_Histograma_Obra!OH52,0)</f>
        <v>0</v>
      </c>
      <c r="ND24" s="2">
        <f>IF(ND26&lt;=$E$20,[1]HOC_Histograma_Obra!OI52,0)</f>
        <v>0</v>
      </c>
      <c r="NE24" s="2">
        <f>IF(NE26&lt;=$E$20,[1]HOC_Histograma_Obra!OJ52,0)</f>
        <v>0</v>
      </c>
      <c r="NF24" s="2">
        <f>IF(NF26&lt;=$E$20,[1]HOC_Histograma_Obra!OK52,0)</f>
        <v>0</v>
      </c>
      <c r="NG24" s="2">
        <f>IF(NG26&lt;=$E$20,[1]HOC_Histograma_Obra!OL52,0)</f>
        <v>0</v>
      </c>
      <c r="NH24" s="2">
        <f>IF(NH26&lt;=$E$20,[1]HOC_Histograma_Obra!OM52,0)</f>
        <v>0</v>
      </c>
      <c r="NI24" s="2">
        <f>IF(NI26&lt;=$E$20,[1]HOC_Histograma_Obra!ON52,0)</f>
        <v>0</v>
      </c>
      <c r="NJ24" s="2">
        <f>IF(NJ26&lt;=$E$20,[1]HOC_Histograma_Obra!OO52,0)</f>
        <v>0</v>
      </c>
      <c r="NK24" s="2">
        <f>IF(NK26&lt;=$E$20,[1]HOC_Histograma_Obra!OP52,0)</f>
        <v>0</v>
      </c>
      <c r="NL24" s="2">
        <f>IF(NL26&lt;=$E$20,[1]HOC_Histograma_Obra!OQ52,0)</f>
        <v>0</v>
      </c>
      <c r="NM24" s="2">
        <f>IF(NM26&lt;=$E$20,[1]HOC_Histograma_Obra!OR52,0)</f>
        <v>0</v>
      </c>
      <c r="NN24" s="2">
        <f>IF(NN26&lt;=$E$20,[1]HOC_Histograma_Obra!OS52,0)</f>
        <v>0</v>
      </c>
      <c r="NO24" s="2">
        <f>IF(NO26&lt;=$E$20,[1]HOC_Histograma_Obra!OT52,0)</f>
        <v>0</v>
      </c>
      <c r="NP24" s="2">
        <f>IF(NP26&lt;=$E$20,[1]HOC_Histograma_Obra!OU52,0)</f>
        <v>0</v>
      </c>
      <c r="NQ24" s="2">
        <f>IF(NQ26&lt;=$E$20,[1]HOC_Histograma_Obra!OV52,0)</f>
        <v>0</v>
      </c>
      <c r="NR24" s="2">
        <f>IF(NR26&lt;=$E$20,[1]HOC_Histograma_Obra!OW52,0)</f>
        <v>0</v>
      </c>
      <c r="NS24" s="2">
        <f>IF(NS26&lt;=$E$20,[1]HOC_Histograma_Obra!OX52,0)</f>
        <v>0</v>
      </c>
      <c r="NT24" s="2">
        <f>IF(NT26&lt;=$E$20,[1]HOC_Histograma_Obra!OY52,0)</f>
        <v>0</v>
      </c>
      <c r="NU24" s="2">
        <f>IF(NU26&lt;=$E$20,[1]HOC_Histograma_Obra!OZ52,0)</f>
        <v>0</v>
      </c>
      <c r="NV24" s="2">
        <f>IF(NV26&lt;=$E$20,[1]HOC_Histograma_Obra!PA52,0)</f>
        <v>0</v>
      </c>
      <c r="NW24" s="2">
        <f>IF(NW26&lt;=$E$20,[1]HOC_Histograma_Obra!PB52,0)</f>
        <v>0</v>
      </c>
      <c r="NX24" s="2">
        <f>IF(NX26&lt;=$E$20,[1]HOC_Histograma_Obra!PC52,0)</f>
        <v>0</v>
      </c>
      <c r="NY24" s="2">
        <f>IF(NY26&lt;=$E$20,[1]HOC_Histograma_Obra!PD52,0)</f>
        <v>0</v>
      </c>
      <c r="NZ24" s="2">
        <f>IF(NZ26&lt;=$E$20,[1]HOC_Histograma_Obra!PE52,0)</f>
        <v>0</v>
      </c>
      <c r="OA24" s="2">
        <f>IF(OA26&lt;=$E$20,[1]HOC_Histograma_Obra!PF52,0)</f>
        <v>0</v>
      </c>
      <c r="OB24" s="2">
        <f>IF(OB26&lt;=$E$20,[1]HOC_Histograma_Obra!PG52,0)</f>
        <v>0</v>
      </c>
      <c r="OC24" s="2">
        <f>IF(OC26&lt;=$E$20,[1]HOC_Histograma_Obra!PH52,0)</f>
        <v>0</v>
      </c>
      <c r="OD24" s="2">
        <f>IF(OD26&lt;=$E$20,[1]HOC_Histograma_Obra!PI52,0)</f>
        <v>0</v>
      </c>
      <c r="OE24" s="2">
        <f>IF(OE26&lt;=$E$20,[1]HOC_Histograma_Obra!PJ52,0)</f>
        <v>0</v>
      </c>
      <c r="OF24" s="2">
        <f>IF(OF26&lt;=$E$20,[1]HOC_Histograma_Obra!PK52,0)</f>
        <v>0</v>
      </c>
      <c r="OG24" s="2">
        <f>IF(OG26&lt;=$E$20,[1]HOC_Histograma_Obra!PL52,0)</f>
        <v>0</v>
      </c>
      <c r="OH24" s="2">
        <f>IF(OH26&lt;=$E$20,[1]HOC_Histograma_Obra!PM52,0)</f>
        <v>0</v>
      </c>
      <c r="OI24" s="2">
        <f>IF(OI26&lt;=$E$20,[1]HOC_Histograma_Obra!PN52,0)</f>
        <v>0</v>
      </c>
      <c r="OJ24" s="2">
        <f>IF(OJ26&lt;=$E$20,[1]HOC_Histograma_Obra!PO52,0)</f>
        <v>0</v>
      </c>
      <c r="OK24" s="2">
        <f>IF(OK26&lt;=$E$20,[1]HOC_Histograma_Obra!PP52,0)</f>
        <v>0</v>
      </c>
      <c r="OL24" s="2">
        <f>IF(OL26&lt;=$E$20,[1]HOC_Histograma_Obra!PQ52,0)</f>
        <v>0</v>
      </c>
      <c r="OM24" s="2">
        <f>IF(OM26&lt;=$E$20,[1]HOC_Histograma_Obra!PR52,0)</f>
        <v>0</v>
      </c>
      <c r="ON24" s="2">
        <f>IF(ON26&lt;=$E$20,[1]HOC_Histograma_Obra!PS52,0)</f>
        <v>0</v>
      </c>
      <c r="OO24" s="2">
        <f>IF(OO26&lt;=$E$20,[1]HOC_Histograma_Obra!PT52,0)</f>
        <v>0</v>
      </c>
      <c r="OP24" s="2">
        <f>IF(OP26&lt;=$E$20,[1]HOC_Histograma_Obra!PU52,0)</f>
        <v>0</v>
      </c>
      <c r="OQ24" s="2">
        <f>IF(OQ26&lt;=$E$20,[1]HOC_Histograma_Obra!PV52,0)</f>
        <v>0</v>
      </c>
      <c r="OR24" s="2">
        <f>IF(OR26&lt;=$E$20,[1]HOC_Histograma_Obra!PW52,0)</f>
        <v>0</v>
      </c>
      <c r="OS24" s="2">
        <f>IF(OS26&lt;=$E$20,[1]HOC_Histograma_Obra!PX52,0)</f>
        <v>0</v>
      </c>
      <c r="OT24" s="2">
        <f>IF(OT26&lt;=$E$20,[1]HOC_Histograma_Obra!PY52,0)</f>
        <v>0</v>
      </c>
      <c r="OU24" s="2">
        <f>IF(OU26&lt;=$E$20,[1]HOC_Histograma_Obra!PZ52,0)</f>
        <v>0</v>
      </c>
      <c r="OV24" s="2">
        <f>IF(OV26&lt;=$E$20,[1]HOC_Histograma_Obra!QA52,0)</f>
        <v>0</v>
      </c>
      <c r="OW24" s="2">
        <f>IF(OW26&lt;=$E$20,[1]HOC_Histograma_Obra!QB52,0)</f>
        <v>0</v>
      </c>
      <c r="OX24" s="2">
        <f>IF(OX26&lt;=$E$20,[1]HOC_Histograma_Obra!QC52,0)</f>
        <v>0</v>
      </c>
      <c r="OY24" s="2">
        <f>IF(OY26&lt;=$E$20,[1]HOC_Histograma_Obra!QD52,0)</f>
        <v>0</v>
      </c>
      <c r="OZ24" s="2">
        <f>IF(OZ26&lt;=$E$20,[1]HOC_Histograma_Obra!QE52,0)</f>
        <v>0</v>
      </c>
      <c r="PA24" s="2">
        <f>IF(PA26&lt;=$E$20,[1]HOC_Histograma_Obra!QF52,0)</f>
        <v>0</v>
      </c>
      <c r="PB24" s="2">
        <f>IF(PB26&lt;=$E$20,[1]HOC_Histograma_Obra!QG52,0)</f>
        <v>0</v>
      </c>
      <c r="PC24" s="2">
        <f>IF(PC26&lt;=$E$20,[1]HOC_Histograma_Obra!QH52,0)</f>
        <v>0</v>
      </c>
      <c r="PD24" s="2">
        <f>IF(PD26&lt;=$E$20,[1]HOC_Histograma_Obra!QI52,0)</f>
        <v>0</v>
      </c>
      <c r="PE24" s="2">
        <f>IF(PE26&lt;=$E$20,[1]HOC_Histograma_Obra!QJ52,0)</f>
        <v>0</v>
      </c>
      <c r="PF24" s="2">
        <f>IF(PF26&lt;=$E$20,[1]HOC_Histograma_Obra!QK52,0)</f>
        <v>0</v>
      </c>
      <c r="PG24" s="2">
        <f>IF(PG26&lt;=$E$20,[1]HOC_Histograma_Obra!QL52,0)</f>
        <v>0</v>
      </c>
      <c r="PH24" s="2">
        <f>IF(PH26&lt;=$E$20,[1]HOC_Histograma_Obra!QM52,0)</f>
        <v>0</v>
      </c>
      <c r="PI24" s="2">
        <f>IF(PI26&lt;=$E$20,[1]HOC_Histograma_Obra!QN52,0)</f>
        <v>0</v>
      </c>
      <c r="PJ24" s="2">
        <f>IF(PJ26&lt;=$E$20,[1]HOC_Histograma_Obra!QO52,0)</f>
        <v>0</v>
      </c>
      <c r="PK24" s="2">
        <f>IF(PK26&lt;=$E$20,[1]HOC_Histograma_Obra!QP52,0)</f>
        <v>0</v>
      </c>
      <c r="PL24" s="2">
        <f>IF(PL26&lt;=$E$20,[1]HOC_Histograma_Obra!QQ52,0)</f>
        <v>0</v>
      </c>
      <c r="PM24" s="2">
        <f>IF(PM26&lt;=$E$20,[1]HOC_Histograma_Obra!QR52,0)</f>
        <v>0</v>
      </c>
      <c r="PN24" s="2">
        <f>IF(PN26&lt;=$E$20,[1]HOC_Histograma_Obra!QS52,0)</f>
        <v>0</v>
      </c>
      <c r="PO24" s="2">
        <f>IF(PO26&lt;=$E$20,[1]HOC_Histograma_Obra!QT52,0)</f>
        <v>0</v>
      </c>
      <c r="PP24" s="2">
        <f>IF(PP26&lt;=$E$20,[1]HOC_Histograma_Obra!QU52,0)</f>
        <v>0</v>
      </c>
      <c r="PQ24" s="2">
        <f>IF(PQ26&lt;=$E$20,[1]HOC_Histograma_Obra!QV52,0)</f>
        <v>0</v>
      </c>
      <c r="PR24" s="2">
        <f>IF(PR26&lt;=$E$20,[1]HOC_Histograma_Obra!QW52,0)</f>
        <v>0</v>
      </c>
      <c r="PS24" s="2">
        <f>IF(PS26&lt;=$E$20,[1]HOC_Histograma_Obra!QX52,0)</f>
        <v>0</v>
      </c>
      <c r="PT24" s="2">
        <f>IF(PT26&lt;=$E$20,[1]HOC_Histograma_Obra!QY52,0)</f>
        <v>0</v>
      </c>
      <c r="PU24" s="2">
        <f>IF(PU26&lt;=$E$20,[1]HOC_Histograma_Obra!QZ52,0)</f>
        <v>0</v>
      </c>
      <c r="PV24" s="2">
        <f>IF(PV26&lt;=$E$20,[1]HOC_Histograma_Obra!RA52,0)</f>
        <v>0</v>
      </c>
      <c r="PW24" s="2">
        <f>IF(PW26&lt;=$E$20,[1]HOC_Histograma_Obra!RB52,0)</f>
        <v>0</v>
      </c>
      <c r="PX24" s="2">
        <f>IF(PX26&lt;=$E$20,[1]HOC_Histograma_Obra!RC52,0)</f>
        <v>0</v>
      </c>
      <c r="PY24" s="2">
        <f>IF(PY26&lt;=$E$20,[1]HOC_Histograma_Obra!RD52,0)</f>
        <v>0</v>
      </c>
      <c r="PZ24" s="2">
        <f>IF(PZ26&lt;=$E$20,[1]HOC_Histograma_Obra!RE52,0)</f>
        <v>0</v>
      </c>
      <c r="QA24" s="2">
        <f>IF(QA26&lt;=$E$20,[1]HOC_Histograma_Obra!RF52,0)</f>
        <v>0</v>
      </c>
      <c r="QB24" s="2">
        <f>IF(QB26&lt;=$E$20,[1]HOC_Histograma_Obra!RG52,0)</f>
        <v>0</v>
      </c>
      <c r="QC24" s="2">
        <f>IF(QC26&lt;=$E$20,[1]HOC_Histograma_Obra!RH52,0)</f>
        <v>0</v>
      </c>
      <c r="QD24" s="2">
        <f>IF(QD26&lt;=$E$20,[1]HOC_Histograma_Obra!RI52,0)</f>
        <v>0</v>
      </c>
      <c r="QE24" s="2">
        <f>IF(QE26&lt;=$E$20,[1]HOC_Histograma_Obra!RJ52,0)</f>
        <v>0</v>
      </c>
      <c r="QF24" s="2">
        <f>IF(QF26&lt;=$E$20,[1]HOC_Histograma_Obra!RK52,0)</f>
        <v>0</v>
      </c>
      <c r="QG24" s="2">
        <f>IF(QG26&lt;=$E$20,[1]HOC_Histograma_Obra!RL52,0)</f>
        <v>0</v>
      </c>
      <c r="QH24" s="2">
        <f>IF(QH26&lt;=$E$20,[1]HOC_Histograma_Obra!RM52,0)</f>
        <v>0</v>
      </c>
      <c r="QI24" s="2">
        <f>IF(QI26&lt;=$E$20,[1]HOC_Histograma_Obra!RN52,0)</f>
        <v>0</v>
      </c>
      <c r="QJ24" s="2">
        <f>IF(QJ26&lt;=$E$20,[1]HOC_Histograma_Obra!RO52,0)</f>
        <v>0</v>
      </c>
      <c r="QK24" s="2">
        <f>IF(QK26&lt;=$E$20,[1]HOC_Histograma_Obra!RP52,0)</f>
        <v>0</v>
      </c>
      <c r="QL24" s="2">
        <f>IF(QL26&lt;=$E$20,[1]HOC_Histograma_Obra!RQ52,0)</f>
        <v>0</v>
      </c>
      <c r="QM24" s="2">
        <f>IF(QM26&lt;=$E$20,[1]HOC_Histograma_Obra!RR52,0)</f>
        <v>0</v>
      </c>
      <c r="QN24" s="2">
        <f>IF(QN26&lt;=$E$20,[1]HOC_Histograma_Obra!RS52,0)</f>
        <v>0</v>
      </c>
      <c r="QO24" s="2">
        <f>IF(QO26&lt;=$E$20,[1]HOC_Histograma_Obra!RT52,0)</f>
        <v>0</v>
      </c>
      <c r="QP24" s="2">
        <f>IF(QP26&lt;=$E$20,[1]HOC_Histograma_Obra!RU52,0)</f>
        <v>0</v>
      </c>
      <c r="QQ24" s="2">
        <f>IF(QQ26&lt;=$E$20,[1]HOC_Histograma_Obra!RV52,0)</f>
        <v>0</v>
      </c>
      <c r="QR24" s="2">
        <f>IF(QR26&lt;=$E$20,[1]HOC_Histograma_Obra!RW52,0)</f>
        <v>0</v>
      </c>
      <c r="QS24" s="2">
        <f>IF(QS26&lt;=$E$20,[1]HOC_Histograma_Obra!RX52,0)</f>
        <v>0</v>
      </c>
      <c r="QT24" s="2">
        <f>IF(QT26&lt;=$E$20,[1]HOC_Histograma_Obra!RY52,0)</f>
        <v>0</v>
      </c>
      <c r="QU24" s="2">
        <f>IF(QU26&lt;=$E$20,[1]HOC_Histograma_Obra!RZ52,0)</f>
        <v>0</v>
      </c>
      <c r="QV24" s="2">
        <f>IF(QV26&lt;=$E$20,[1]HOC_Histograma_Obra!SA52,0)</f>
        <v>0</v>
      </c>
      <c r="QW24" s="2">
        <f>IF(QW26&lt;=$E$20,[1]HOC_Histograma_Obra!SB52,0)</f>
        <v>0</v>
      </c>
      <c r="QX24" s="2">
        <f>IF(QX26&lt;=$E$20,[1]HOC_Histograma_Obra!SC52,0)</f>
        <v>0</v>
      </c>
      <c r="QY24" s="2">
        <f>IF(QY26&lt;=$E$20,[1]HOC_Histograma_Obra!SD52,0)</f>
        <v>0</v>
      </c>
      <c r="QZ24" s="2">
        <f>IF(QZ26&lt;=$E$20,[1]HOC_Histograma_Obra!SE52,0)</f>
        <v>0</v>
      </c>
      <c r="RA24" s="2">
        <f>IF(RA26&lt;=$E$20,[1]HOC_Histograma_Obra!SF52,0)</f>
        <v>0</v>
      </c>
      <c r="RB24" s="2">
        <f>IF(RB26&lt;=$E$20,[1]HOC_Histograma_Obra!SG52,0)</f>
        <v>0</v>
      </c>
      <c r="RC24" s="2">
        <f>IF(RC26&lt;=$E$20,[1]HOC_Histograma_Obra!SH52,0)</f>
        <v>0</v>
      </c>
      <c r="RD24" s="2">
        <f>IF(RD26&lt;=$E$20,[1]HOC_Histograma_Obra!SI52,0)</f>
        <v>0</v>
      </c>
      <c r="RE24" s="2">
        <f>IF(RE26&lt;=$E$20,[1]HOC_Histograma_Obra!SJ52,0)</f>
        <v>0</v>
      </c>
      <c r="RF24" s="2">
        <f>IF(RF26&lt;=$E$20,[1]HOC_Histograma_Obra!SK52,0)</f>
        <v>0</v>
      </c>
      <c r="RG24" s="2">
        <f>IF(RG26&lt;=$E$20,[1]HOC_Histograma_Obra!SL52,0)</f>
        <v>0</v>
      </c>
      <c r="RH24" s="2">
        <f>IF(RH26&lt;=$E$20,[1]HOC_Histograma_Obra!SM52,0)</f>
        <v>0</v>
      </c>
      <c r="RI24" s="2">
        <f>IF(RI26&lt;=$E$20,[1]HOC_Histograma_Obra!SN52,0)</f>
        <v>0</v>
      </c>
      <c r="RJ24" s="2">
        <f>IF(RJ26&lt;=$E$20,[1]HOC_Histograma_Obra!SO52,0)</f>
        <v>0</v>
      </c>
      <c r="RK24" s="2">
        <f>IF(RK26&lt;=$E$20,[1]HOC_Histograma_Obra!SP52,0)</f>
        <v>0</v>
      </c>
      <c r="RL24" s="2">
        <f>IF(RL26&lt;=$E$20,[1]HOC_Histograma_Obra!SQ52,0)</f>
        <v>0</v>
      </c>
      <c r="RM24" s="2">
        <f>IF(RM26&lt;=$E$20,[1]HOC_Histograma_Obra!SR52,0)</f>
        <v>0</v>
      </c>
      <c r="RN24" s="2">
        <f>IF(RN26&lt;=$E$20,[1]HOC_Histograma_Obra!SS52,0)</f>
        <v>0</v>
      </c>
      <c r="RO24" s="2">
        <f>IF(RO26&lt;=$E$20,[1]HOC_Histograma_Obra!ST52,0)</f>
        <v>0</v>
      </c>
      <c r="RP24" s="2">
        <f>IF(RP26&lt;=$E$20,[1]HOC_Histograma_Obra!SU52,0)</f>
        <v>0</v>
      </c>
      <c r="RQ24" s="2">
        <f>IF(RQ26&lt;=$E$20,[1]HOC_Histograma_Obra!SV52,0)</f>
        <v>0</v>
      </c>
      <c r="RR24" s="2">
        <f>IF(RR26&lt;=$E$20,[1]HOC_Histograma_Obra!SW52,0)</f>
        <v>0</v>
      </c>
      <c r="RS24" s="2">
        <f>IF(RS26&lt;=$E$20,[1]HOC_Histograma_Obra!SX52,0)</f>
        <v>0</v>
      </c>
      <c r="RT24" s="2">
        <f>IF(RT26&lt;=$E$20,[1]HOC_Histograma_Obra!SY52,0)</f>
        <v>0</v>
      </c>
      <c r="RU24" s="2">
        <f>IF(RU26&lt;=$E$20,[1]HOC_Histograma_Obra!SZ52,0)</f>
        <v>0</v>
      </c>
      <c r="RV24" s="2">
        <f>IF(RV26&lt;=$E$20,[1]HOC_Histograma_Obra!TA52,0)</f>
        <v>0</v>
      </c>
      <c r="RW24" s="2">
        <f>IF(RW26&lt;=$E$20,[1]HOC_Histograma_Obra!TB52,0)</f>
        <v>0</v>
      </c>
      <c r="RX24" s="2">
        <f>IF(RX26&lt;=$E$20,[1]HOC_Histograma_Obra!TC52,0)</f>
        <v>0</v>
      </c>
      <c r="RY24" s="2">
        <f>IF(RY26&lt;=$E$20,[1]HOC_Histograma_Obra!TD52,0)</f>
        <v>0</v>
      </c>
      <c r="RZ24" s="2">
        <f>IF(RZ26&lt;=$E$20,[1]HOC_Histograma_Obra!TE52,0)</f>
        <v>0</v>
      </c>
      <c r="SA24" s="2">
        <f>IF(SA26&lt;=$E$20,[1]HOC_Histograma_Obra!TF52,0)</f>
        <v>0</v>
      </c>
      <c r="SB24" s="2">
        <f>IF(SB26&lt;=$E$20,[1]HOC_Histograma_Obra!TG52,0)</f>
        <v>0</v>
      </c>
      <c r="SC24" s="2">
        <f>IF(SC26&lt;=$E$20,[1]HOC_Histograma_Obra!TH52,0)</f>
        <v>0</v>
      </c>
      <c r="SD24" s="2">
        <f>IF(SD26&lt;=$E$20,[1]HOC_Histograma_Obra!TI52,0)</f>
        <v>0</v>
      </c>
      <c r="SE24" s="2">
        <f>IF(SE26&lt;=$E$20,[1]HOC_Histograma_Obra!TJ52,0)</f>
        <v>0</v>
      </c>
      <c r="SF24" s="2">
        <f>IF(SF26&lt;=$E$20,[1]HOC_Histograma_Obra!TK52,0)</f>
        <v>0</v>
      </c>
      <c r="SG24" s="2">
        <f>IF(SG26&lt;=$E$20,[1]HOC_Histograma_Obra!TL52,0)</f>
        <v>0</v>
      </c>
      <c r="SH24" s="2">
        <f>IF(SH26&lt;=$E$20,[1]HOC_Histograma_Obra!TM52,0)</f>
        <v>0</v>
      </c>
      <c r="SI24" s="2">
        <f>IF(SI26&lt;=$E$20,[1]HOC_Histograma_Obra!TN52,0)</f>
        <v>0</v>
      </c>
      <c r="SJ24" s="2">
        <f>IF(SJ26&lt;=$E$20,[1]HOC_Histograma_Obra!TO52,0)</f>
        <v>0</v>
      </c>
      <c r="SK24" s="2">
        <f>IF(SK26&lt;=$E$20,[1]HOC_Histograma_Obra!TP52,0)</f>
        <v>0</v>
      </c>
      <c r="SL24" s="2">
        <f>IF(SL26&lt;=$E$20,[1]HOC_Histograma_Obra!TQ52,0)</f>
        <v>0</v>
      </c>
      <c r="SM24" s="2">
        <f>IF(SM26&lt;=$E$20,[1]HOC_Histograma_Obra!TR52,0)</f>
        <v>0</v>
      </c>
      <c r="SN24" s="2">
        <f>IF(SN26&lt;=$E$20,[1]HOC_Histograma_Obra!TS52,0)</f>
        <v>0</v>
      </c>
      <c r="SO24" s="2">
        <f>IF(SO26&lt;=$E$20,[1]HOC_Histograma_Obra!TT52,0)</f>
        <v>0</v>
      </c>
      <c r="SP24" s="2">
        <f>IF(SP26&lt;=$E$20,[1]HOC_Histograma_Obra!TU52,0)</f>
        <v>0</v>
      </c>
      <c r="SQ24" s="2">
        <f>IF(SQ26&lt;=$E$20,[1]HOC_Histograma_Obra!TV52,0)</f>
        <v>0</v>
      </c>
      <c r="SR24" s="2">
        <f>IF(SR26&lt;=$E$20,[1]HOC_Histograma_Obra!TW52,0)</f>
        <v>0</v>
      </c>
      <c r="SS24" s="2">
        <f>IF(SS26&lt;=$E$20,[1]HOC_Histograma_Obra!TX52,0)</f>
        <v>0</v>
      </c>
      <c r="ST24" s="2">
        <f>IF(ST26&lt;=$E$20,[1]HOC_Histograma_Obra!TY52,0)</f>
        <v>0</v>
      </c>
      <c r="SU24" s="2">
        <f>IF(SU26&lt;=$E$20,[1]HOC_Histograma_Obra!TZ52,0)</f>
        <v>0</v>
      </c>
      <c r="SV24" s="2">
        <f>IF(SV26&lt;=$E$20,[1]HOC_Histograma_Obra!UA52,0)</f>
        <v>0</v>
      </c>
      <c r="SW24" s="2">
        <f>IF(SW26&lt;=$E$20,[1]HOC_Histograma_Obra!UB52,0)</f>
        <v>0</v>
      </c>
      <c r="SX24" s="2">
        <f>IF(SX26&lt;=$E$20,[1]HOC_Histograma_Obra!UC52,0)</f>
        <v>0</v>
      </c>
      <c r="SY24" s="2">
        <f>IF(SY26&lt;=$E$20,[1]HOC_Histograma_Obra!UD52,0)</f>
        <v>0</v>
      </c>
      <c r="SZ24" s="2">
        <f>IF(SZ26&lt;=$E$20,[1]HOC_Histograma_Obra!UE52,0)</f>
        <v>0</v>
      </c>
      <c r="TA24" s="2">
        <f>IF(TA26&lt;=$E$20,[1]HOC_Histograma_Obra!UF52,0)</f>
        <v>0</v>
      </c>
      <c r="TB24" s="2">
        <f>IF(TB26&lt;=$E$20,[1]HOC_Histograma_Obra!UG52,0)</f>
        <v>0</v>
      </c>
      <c r="TC24" s="2">
        <f>IF(TC26&lt;=$E$20,[1]HOC_Histograma_Obra!UH52,0)</f>
        <v>0</v>
      </c>
      <c r="TD24" s="2">
        <f>IF(TD26&lt;=$E$20,[1]HOC_Histograma_Obra!UI52,0)</f>
        <v>0</v>
      </c>
      <c r="TE24" s="2">
        <f>IF(TE26&lt;=$E$20,[1]HOC_Histograma_Obra!UJ52,0)</f>
        <v>0</v>
      </c>
      <c r="TF24" s="2">
        <f>IF(TF26&lt;=$E$20,[1]HOC_Histograma_Obra!UK52,0)</f>
        <v>0</v>
      </c>
      <c r="TG24" s="2">
        <f>IF(TG26&lt;=$E$20,[1]HOC_Histograma_Obra!UL52,0)</f>
        <v>0</v>
      </c>
      <c r="TH24" s="2">
        <f>IF(TH26&lt;=$E$20,[1]HOC_Histograma_Obra!UM52,0)</f>
        <v>0</v>
      </c>
      <c r="TI24" s="2">
        <f>IF(TI26&lt;=$E$20,[1]HOC_Histograma_Obra!UN52,0)</f>
        <v>0</v>
      </c>
      <c r="TJ24" s="2">
        <f>IF(TJ26&lt;=$E$20,[1]HOC_Histograma_Obra!UO52,0)</f>
        <v>0</v>
      </c>
      <c r="TK24" s="2">
        <f>IF(TK26&lt;=$E$20,[1]HOC_Histograma_Obra!UP52,0)</f>
        <v>0</v>
      </c>
      <c r="TL24" s="2">
        <f>IF(TL26&lt;=$E$20,[1]HOC_Histograma_Obra!UQ52,0)</f>
        <v>0</v>
      </c>
      <c r="TM24" s="2">
        <f>IF(TM26&lt;=$E$20,[1]HOC_Histograma_Obra!UR52,0)</f>
        <v>0</v>
      </c>
      <c r="TN24" s="2">
        <f>IF(TN26&lt;=$E$20,[1]HOC_Histograma_Obra!US52,0)</f>
        <v>0</v>
      </c>
      <c r="TO24" s="2">
        <f>IF(TO26&lt;=$E$20,[1]HOC_Histograma_Obra!UT52,0)</f>
        <v>0</v>
      </c>
      <c r="TP24" s="2">
        <f>IF(TP26&lt;=$E$20,[1]HOC_Histograma_Obra!UU52,0)</f>
        <v>0</v>
      </c>
      <c r="TQ24" s="2">
        <f>IF(TQ26&lt;=$E$20,[1]HOC_Histograma_Obra!UV52,0)</f>
        <v>0</v>
      </c>
      <c r="TR24" s="2">
        <f>IF(TR26&lt;=$E$20,[1]HOC_Histograma_Obra!UW52,0)</f>
        <v>0</v>
      </c>
      <c r="TS24" s="2">
        <f>IF(TS26&lt;=$E$20,[1]HOC_Histograma_Obra!UX52,0)</f>
        <v>0</v>
      </c>
      <c r="TT24" s="2">
        <f>IF(TT26&lt;=$E$20,[1]HOC_Histograma_Obra!UY52,0)</f>
        <v>0</v>
      </c>
      <c r="TU24" s="2">
        <f>IF(TU26&lt;=$E$20,[1]HOC_Histograma_Obra!UZ52,0)</f>
        <v>0</v>
      </c>
      <c r="TV24" s="2">
        <f>IF(TV26&lt;=$E$20,[1]HOC_Histograma_Obra!VA52,0)</f>
        <v>0</v>
      </c>
      <c r="TW24" s="2">
        <f>IF(TW26&lt;=$E$20,[1]HOC_Histograma_Obra!VB52,0)</f>
        <v>0</v>
      </c>
      <c r="TX24" s="2">
        <f>IF(TX26&lt;=$E$20,[1]HOC_Histograma_Obra!VC52,0)</f>
        <v>0</v>
      </c>
      <c r="TY24" s="2">
        <f>IF(TY26&lt;=$E$20,[1]HOC_Histograma_Obra!VD52,0)</f>
        <v>0</v>
      </c>
      <c r="TZ24" s="2">
        <f>IF(TZ26&lt;=$E$20,[1]HOC_Histograma_Obra!VE52,0)</f>
        <v>0</v>
      </c>
      <c r="UA24" s="2">
        <f>IF(UA26&lt;=$E$20,[1]HOC_Histograma_Obra!VF52,0)</f>
        <v>0</v>
      </c>
      <c r="UB24" s="2">
        <f>IF(UB26&lt;=$E$20,[1]HOC_Histograma_Obra!VG52,0)</f>
        <v>0</v>
      </c>
      <c r="UC24" s="2">
        <f>IF(UC26&lt;=$E$20,[1]HOC_Histograma_Obra!VH52,0)</f>
        <v>0</v>
      </c>
      <c r="UD24" s="2">
        <f>IF(UD26&lt;=$E$20,[1]HOC_Histograma_Obra!VI52,0)</f>
        <v>0</v>
      </c>
      <c r="UE24" s="2">
        <f>IF(UE26&lt;=$E$20,[1]HOC_Histograma_Obra!VJ52,0)</f>
        <v>0</v>
      </c>
      <c r="UF24" s="2">
        <f>IF(UF26&lt;=$E$20,[1]HOC_Histograma_Obra!VK52,0)</f>
        <v>0</v>
      </c>
      <c r="UG24" s="2">
        <f>IF(UG26&lt;=$E$20,[1]HOC_Histograma_Obra!VL52,0)</f>
        <v>0</v>
      </c>
      <c r="UH24" s="2">
        <f>IF(UH26&lt;=$E$20,[1]HOC_Histograma_Obra!VM52,0)</f>
        <v>0</v>
      </c>
      <c r="UI24" s="2">
        <f>IF(UI26&lt;=$E$20,[1]HOC_Histograma_Obra!VN52,0)</f>
        <v>0</v>
      </c>
      <c r="UJ24" s="2">
        <f>IF(UJ26&lt;=$E$20,[1]HOC_Histograma_Obra!VO52,0)</f>
        <v>0</v>
      </c>
      <c r="UK24" s="2">
        <f>IF(UK26&lt;=$E$20,[1]HOC_Histograma_Obra!VP52,0)</f>
        <v>0</v>
      </c>
      <c r="UL24" s="2">
        <f>IF(UL26&lt;=$E$20,[1]HOC_Histograma_Obra!VQ52,0)</f>
        <v>0</v>
      </c>
      <c r="UM24" s="2">
        <f>IF(UM26&lt;=$E$20,[1]HOC_Histograma_Obra!VR52,0)</f>
        <v>0</v>
      </c>
      <c r="UN24" s="2">
        <f>IF(UN26&lt;=$E$20,[1]HOC_Histograma_Obra!VS52,0)</f>
        <v>0</v>
      </c>
      <c r="UO24" s="2">
        <f>IF(UO26&lt;=$E$20,[1]HOC_Histograma_Obra!VT52,0)</f>
        <v>0</v>
      </c>
      <c r="UP24" s="2">
        <f>IF(UP26&lt;=$E$20,[1]HOC_Histograma_Obra!VU52,0)</f>
        <v>0</v>
      </c>
      <c r="UQ24" s="2">
        <f>IF(UQ26&lt;=$E$20,[1]HOC_Histograma_Obra!VV52,0)</f>
        <v>0</v>
      </c>
      <c r="UR24" s="2">
        <f>IF(UR26&lt;=$E$20,[1]HOC_Histograma_Obra!VW52,0)</f>
        <v>0</v>
      </c>
      <c r="US24" s="2">
        <f>IF(US26&lt;=$E$20,[1]HOC_Histograma_Obra!VX52,0)</f>
        <v>0</v>
      </c>
      <c r="UT24" s="2">
        <f>IF(UT26&lt;=$E$20,[1]HOC_Histograma_Obra!VY52,0)</f>
        <v>0</v>
      </c>
      <c r="UU24" s="2">
        <f>IF(UU26&lt;=$E$20,[1]HOC_Histograma_Obra!VZ52,0)</f>
        <v>0</v>
      </c>
      <c r="UV24" s="2">
        <f>IF(UV26&lt;=$E$20,[1]HOC_Histograma_Obra!WA52,0)</f>
        <v>0</v>
      </c>
      <c r="UW24" s="2">
        <f>IF(UW26&lt;=$E$20,[1]HOC_Histograma_Obra!WB52,0)</f>
        <v>0</v>
      </c>
      <c r="UX24" s="2">
        <f>IF(UX26&lt;=$E$20,[1]HOC_Histograma_Obra!WC52,0)</f>
        <v>0</v>
      </c>
      <c r="UY24" s="2">
        <f>IF(UY26&lt;=$E$20,[1]HOC_Histograma_Obra!WD52,0)</f>
        <v>0</v>
      </c>
      <c r="UZ24" s="2">
        <f>IF(UZ26&lt;=$E$20,[1]HOC_Histograma_Obra!WE52,0)</f>
        <v>0</v>
      </c>
      <c r="VA24" s="2">
        <f>IF(VA26&lt;=$E$20,[1]HOC_Histograma_Obra!WF52,0)</f>
        <v>0</v>
      </c>
      <c r="VB24" s="2">
        <f>IF(VB26&lt;=$E$20,[1]HOC_Histograma_Obra!WG52,0)</f>
        <v>0</v>
      </c>
      <c r="VC24" s="2">
        <f>IF(VC26&lt;=$E$20,[1]HOC_Histograma_Obra!WH52,0)</f>
        <v>0</v>
      </c>
      <c r="VD24" s="2">
        <f>IF(VD26&lt;=$E$20,[1]HOC_Histograma_Obra!WI52,0)</f>
        <v>0</v>
      </c>
      <c r="VE24" s="2">
        <f>IF(VE26&lt;=$E$20,[1]HOC_Histograma_Obra!WJ52,0)</f>
        <v>0</v>
      </c>
      <c r="VF24" s="2">
        <f>IF(VF26&lt;=$E$20,[1]HOC_Histograma_Obra!WK52,0)</f>
        <v>0</v>
      </c>
      <c r="VG24" s="2">
        <f>IF(VG26&lt;=$E$20,[1]HOC_Histograma_Obra!WL52,0)</f>
        <v>0</v>
      </c>
      <c r="VH24" s="2">
        <f>IF(VH26&lt;=$E$20,[1]HOC_Histograma_Obra!WM52,0)</f>
        <v>0</v>
      </c>
      <c r="VI24" s="2">
        <f>IF(VI26&lt;=$E$20,[1]HOC_Histograma_Obra!WN52,0)</f>
        <v>0</v>
      </c>
      <c r="VJ24" s="2">
        <f>IF(VJ26&lt;=$E$20,[1]HOC_Histograma_Obra!WO52,0)</f>
        <v>0</v>
      </c>
      <c r="VK24" s="2">
        <f>IF(VK26&lt;=$E$20,[1]HOC_Histograma_Obra!WP52,0)</f>
        <v>0</v>
      </c>
      <c r="VL24" s="2">
        <f>IF(VL26&lt;=$E$20,[1]HOC_Histograma_Obra!WQ52,0)</f>
        <v>0</v>
      </c>
      <c r="VM24" s="2">
        <f>IF(VM26&lt;=$E$20,[1]HOC_Histograma_Obra!WR52,0)</f>
        <v>0</v>
      </c>
      <c r="VN24" s="2">
        <f>IF(VN26&lt;=$E$20,[1]HOC_Histograma_Obra!WS52,0)</f>
        <v>0</v>
      </c>
      <c r="VO24" s="2">
        <f>IF(VO26&lt;=$E$20,[1]HOC_Histograma_Obra!WT52,0)</f>
        <v>0</v>
      </c>
      <c r="VP24" s="2">
        <f>IF(VP26&lt;=$E$20,[1]HOC_Histograma_Obra!WU52,0)</f>
        <v>0</v>
      </c>
      <c r="VQ24" s="2">
        <f>IF(VQ26&lt;=$E$20,[1]HOC_Histograma_Obra!WV52,0)</f>
        <v>0</v>
      </c>
      <c r="VR24" s="2">
        <f>IF(VR26&lt;=$E$20,[1]HOC_Histograma_Obra!WW52,0)</f>
        <v>0</v>
      </c>
      <c r="VS24" s="2">
        <f>IF(VS26&lt;=$E$20,[1]HOC_Histograma_Obra!WX52,0)</f>
        <v>0</v>
      </c>
      <c r="VT24" s="2">
        <f>IF(VT26&lt;=$E$20,[1]HOC_Histograma_Obra!WY52,0)</f>
        <v>0</v>
      </c>
      <c r="VU24" s="2">
        <f>IF(VU26&lt;=$E$20,[1]HOC_Histograma_Obra!WZ52,0)</f>
        <v>0</v>
      </c>
      <c r="VV24" s="2">
        <f>IF(VV26&lt;=$E$20,[1]HOC_Histograma_Obra!XA52,0)</f>
        <v>0</v>
      </c>
      <c r="VW24" s="2">
        <f>IF(VW26&lt;=$E$20,[1]HOC_Histograma_Obra!XB52,0)</f>
        <v>0</v>
      </c>
      <c r="VX24" s="2">
        <f>IF(VX26&lt;=$E$20,[1]HOC_Histograma_Obra!XC52,0)</f>
        <v>0</v>
      </c>
      <c r="VY24" s="2">
        <f>IF(VY26&lt;=$E$20,[1]HOC_Histograma_Obra!XD52,0)</f>
        <v>0</v>
      </c>
      <c r="VZ24" s="2">
        <f>IF(VZ26&lt;=$E$20,[1]HOC_Histograma_Obra!XE52,0)</f>
        <v>0</v>
      </c>
      <c r="WA24" s="2">
        <f>IF(WA26&lt;=$E$20,[1]HOC_Histograma_Obra!XF52,0)</f>
        <v>0</v>
      </c>
      <c r="WB24" s="2">
        <f>IF(WB26&lt;=$E$20,[1]HOC_Histograma_Obra!XG52,0)</f>
        <v>0</v>
      </c>
      <c r="WC24" s="2">
        <f>IF(WC26&lt;=$E$20,[1]HOC_Histograma_Obra!XH52,0)</f>
        <v>0</v>
      </c>
      <c r="WD24" s="2">
        <f>IF(WD26&lt;=$E$20,[1]HOC_Histograma_Obra!XI52,0)</f>
        <v>0</v>
      </c>
      <c r="WE24" s="2">
        <f>IF(WE26&lt;=$E$20,[1]HOC_Histograma_Obra!XJ52,0)</f>
        <v>0</v>
      </c>
      <c r="WF24" s="2">
        <f>IF(WF26&lt;=$E$20,[1]HOC_Histograma_Obra!XK52,0)</f>
        <v>0</v>
      </c>
      <c r="WG24" s="2">
        <f>IF(WG26&lt;=$E$20,[1]HOC_Histograma_Obra!XL52,0)</f>
        <v>0</v>
      </c>
      <c r="WH24" s="2">
        <f>IF(WH26&lt;=$E$20,[1]HOC_Histograma_Obra!XM52,0)</f>
        <v>0</v>
      </c>
      <c r="WI24" s="2">
        <f>IF(WI26&lt;=$E$20,[1]HOC_Histograma_Obra!XN52,0)</f>
        <v>0</v>
      </c>
      <c r="WJ24" s="2">
        <f>IF(WJ26&lt;=$E$20,[1]HOC_Histograma_Obra!XO52,0)</f>
        <v>0</v>
      </c>
      <c r="WK24" s="2">
        <f>IF(WK26&lt;=$E$20,[1]HOC_Histograma_Obra!XP52,0)</f>
        <v>0</v>
      </c>
      <c r="WL24" s="2">
        <f>IF(WL26&lt;=$E$20,[1]HOC_Histograma_Obra!XQ52,0)</f>
        <v>0</v>
      </c>
      <c r="WM24" s="2">
        <f>IF(WM26&lt;=$E$20,[1]HOC_Histograma_Obra!XR52,0)</f>
        <v>0</v>
      </c>
      <c r="WN24" s="2">
        <f>IF(WN26&lt;=$E$20,[1]HOC_Histograma_Obra!XS52,0)</f>
        <v>0</v>
      </c>
      <c r="WO24" s="2">
        <f>IF(WO26&lt;=$E$20,[1]HOC_Histograma_Obra!XT52,0)</f>
        <v>0</v>
      </c>
      <c r="WP24" s="2">
        <f>IF(WP26&lt;=$E$20,[1]HOC_Histograma_Obra!XU52,0)</f>
        <v>0</v>
      </c>
      <c r="WQ24" s="2">
        <f>IF(WQ26&lt;=$E$20,[1]HOC_Histograma_Obra!XV52,0)</f>
        <v>0</v>
      </c>
      <c r="WR24" s="2">
        <f>IF(WR26&lt;=$E$20,[1]HOC_Histograma_Obra!XW52,0)</f>
        <v>0</v>
      </c>
      <c r="WS24" s="2">
        <f>IF(WS26&lt;=$E$20,[1]HOC_Histograma_Obra!XX52,0)</f>
        <v>0</v>
      </c>
      <c r="WT24" s="2">
        <f>IF(WT26&lt;=$E$20,[1]HOC_Histograma_Obra!XY52,0)</f>
        <v>0</v>
      </c>
      <c r="WU24" s="2">
        <f>IF(WU26&lt;=$E$20,[1]HOC_Histograma_Obra!XZ52,0)</f>
        <v>0</v>
      </c>
      <c r="WV24" s="2">
        <f>IF(WV26&lt;=$E$20,[1]HOC_Histograma_Obra!YA52,0)</f>
        <v>0</v>
      </c>
      <c r="WW24" s="2">
        <f>IF(WW26&lt;=$E$20,[1]HOC_Histograma_Obra!YB52,0)</f>
        <v>0</v>
      </c>
      <c r="WX24" s="2">
        <f>IF(WX26&lt;=$E$20,[1]HOC_Histograma_Obra!YC52,0)</f>
        <v>0</v>
      </c>
      <c r="WY24" s="2">
        <f>IF(WY26&lt;=$E$20,[1]HOC_Histograma_Obra!YD52,0)</f>
        <v>0</v>
      </c>
      <c r="WZ24" s="2">
        <f>IF(WZ26&lt;=$E$20,[1]HOC_Histograma_Obra!YE52,0)</f>
        <v>0</v>
      </c>
      <c r="XA24" s="2">
        <f>IF(XA26&lt;=$E$20,[1]HOC_Histograma_Obra!YF52,0)</f>
        <v>0</v>
      </c>
      <c r="XB24" s="2">
        <f>IF(XB26&lt;=$E$20,[1]HOC_Histograma_Obra!YG52,0)</f>
        <v>0</v>
      </c>
      <c r="XC24" s="2">
        <f>IF(XC26&lt;=$E$20,[1]HOC_Histograma_Obra!YH52,0)</f>
        <v>0</v>
      </c>
      <c r="XD24" s="2">
        <f>IF(XD26&lt;=$E$20,[1]HOC_Histograma_Obra!YI52,0)</f>
        <v>0</v>
      </c>
      <c r="XE24" s="2">
        <f>IF(XE26&lt;=$E$20,[1]HOC_Histograma_Obra!YJ52,0)</f>
        <v>0</v>
      </c>
      <c r="XF24" s="2">
        <f>IF(XF26&lt;=$E$20,[1]HOC_Histograma_Obra!YK52,0)</f>
        <v>0</v>
      </c>
      <c r="XG24" s="2">
        <f>IF(XG26&lt;=$E$20,[1]HOC_Histograma_Obra!YL52,0)</f>
        <v>0</v>
      </c>
      <c r="XH24" s="2">
        <f>IF(XH26&lt;=$E$20,[1]HOC_Histograma_Obra!YM52,0)</f>
        <v>0</v>
      </c>
      <c r="XI24" s="2">
        <f>IF(XI26&lt;=$E$20,[1]HOC_Histograma_Obra!YN52,0)</f>
        <v>0</v>
      </c>
      <c r="XJ24" s="2">
        <f>IF(XJ26&lt;=$E$20,[1]HOC_Histograma_Obra!YO52,0)</f>
        <v>0</v>
      </c>
      <c r="XK24" s="2">
        <f>IF(XK26&lt;=$E$20,[1]HOC_Histograma_Obra!YP52,0)</f>
        <v>0</v>
      </c>
      <c r="XL24" s="2">
        <f>IF(XL26&lt;=$E$20,[1]HOC_Histograma_Obra!YQ52,0)</f>
        <v>0</v>
      </c>
      <c r="XM24" s="2">
        <f>IF(XM26&lt;=$E$20,[1]HOC_Histograma_Obra!YR52,0)</f>
        <v>0</v>
      </c>
      <c r="XN24" s="2">
        <f>IF(XN26&lt;=$E$20,[1]HOC_Histograma_Obra!YS52,0)</f>
        <v>0</v>
      </c>
      <c r="XO24" s="2">
        <f>IF(XO26&lt;=$E$20,[1]HOC_Histograma_Obra!YT52,0)</f>
        <v>0</v>
      </c>
      <c r="XP24" s="2">
        <f>IF(XP26&lt;=$E$20,[1]HOC_Histograma_Obra!YU52,0)</f>
        <v>0</v>
      </c>
      <c r="XQ24" s="2">
        <f>IF(XQ26&lt;=$E$20,[1]HOC_Histograma_Obra!YV52,0)</f>
        <v>0</v>
      </c>
      <c r="XR24" s="2">
        <f>IF(XR26&lt;=$E$20,[1]HOC_Histograma_Obra!YW52,0)</f>
        <v>0</v>
      </c>
      <c r="XS24" s="2">
        <f>IF(XS26&lt;=$E$20,[1]HOC_Histograma_Obra!YX52,0)</f>
        <v>0</v>
      </c>
      <c r="XT24" s="2">
        <f>IF(XT26&lt;=$E$20,[1]HOC_Histograma_Obra!YY52,0)</f>
        <v>0</v>
      </c>
      <c r="XU24" s="2">
        <f>IF(XU26&lt;=$E$20,[1]HOC_Histograma_Obra!YZ52,0)</f>
        <v>0</v>
      </c>
      <c r="XV24" s="2">
        <f>IF(XV26&lt;=$E$20,[1]HOC_Histograma_Obra!ZA52,0)</f>
        <v>0</v>
      </c>
      <c r="XW24" s="2">
        <f>IF(XW26&lt;=$E$20,[1]HOC_Histograma_Obra!ZB52,0)</f>
        <v>0</v>
      </c>
      <c r="XX24" s="2">
        <f>IF(XX26&lt;=$E$20,[1]HOC_Histograma_Obra!ZC52,0)</f>
        <v>0</v>
      </c>
      <c r="XY24" s="2">
        <f>IF(XY26&lt;=$E$20,[1]HOC_Histograma_Obra!ZD52,0)</f>
        <v>0</v>
      </c>
      <c r="XZ24" s="2">
        <f>IF(XZ26&lt;=$E$20,[1]HOC_Histograma_Obra!ZE52,0)</f>
        <v>0</v>
      </c>
      <c r="YA24" s="2">
        <f>IF(YA26&lt;=$E$20,[1]HOC_Histograma_Obra!ZF52,0)</f>
        <v>0</v>
      </c>
      <c r="YB24" s="2">
        <f>IF(YB26&lt;=$E$20,[1]HOC_Histograma_Obra!ZG52,0)</f>
        <v>0</v>
      </c>
      <c r="YC24" s="2">
        <f>IF(YC26&lt;=$E$20,[1]HOC_Histograma_Obra!ZH52,0)</f>
        <v>0</v>
      </c>
      <c r="YD24" s="2">
        <f>IF(YD26&lt;=$E$20,[1]HOC_Histograma_Obra!ZI52,0)</f>
        <v>0</v>
      </c>
      <c r="YE24" s="2">
        <f>IF(YE26&lt;=$E$20,[1]HOC_Histograma_Obra!ZJ52,0)</f>
        <v>0</v>
      </c>
      <c r="YF24" s="2">
        <f>IF(YF26&lt;=$E$20,[1]HOC_Histograma_Obra!ZK52,0)</f>
        <v>0</v>
      </c>
      <c r="YG24" s="2">
        <f>IF(YG26&lt;=$E$20,[1]HOC_Histograma_Obra!ZL52,0)</f>
        <v>0</v>
      </c>
      <c r="YH24" s="2">
        <f>IF(YH26&lt;=$E$20,[1]HOC_Histograma_Obra!ZM52,0)</f>
        <v>0</v>
      </c>
      <c r="YI24" s="2">
        <f>IF(YI26&lt;=$E$20,[1]HOC_Histograma_Obra!ZN52,0)</f>
        <v>0</v>
      </c>
      <c r="YJ24" s="2">
        <f>IF(YJ26&lt;=$E$20,[1]HOC_Histograma_Obra!ZO52,0)</f>
        <v>0</v>
      </c>
      <c r="YK24" s="2">
        <f>IF(YK26&lt;=$E$20,[1]HOC_Histograma_Obra!ZP52,0)</f>
        <v>0</v>
      </c>
      <c r="YL24" s="2">
        <f>IF(YL26&lt;=$E$20,[1]HOC_Histograma_Obra!ZQ52,0)</f>
        <v>0</v>
      </c>
      <c r="YM24" s="2">
        <f>IF(YM26&lt;=$E$20,[1]HOC_Histograma_Obra!ZR52,0)</f>
        <v>0</v>
      </c>
      <c r="YN24" s="2">
        <f>IF(YN26&lt;=$E$20,[1]HOC_Histograma_Obra!ZS52,0)</f>
        <v>0</v>
      </c>
      <c r="YO24" s="2">
        <f>IF(YO26&lt;=$E$20,[1]HOC_Histograma_Obra!ZT52,0)</f>
        <v>0</v>
      </c>
      <c r="YP24" s="2">
        <f>IF(YP26&lt;=$E$20,[1]HOC_Histograma_Obra!ZU52,0)</f>
        <v>0</v>
      </c>
      <c r="YQ24" s="2">
        <f>IF(YQ26&lt;=$E$20,[1]HOC_Histograma_Obra!ZV52,0)</f>
        <v>0</v>
      </c>
      <c r="YR24" s="2">
        <f>IF(YR26&lt;=$E$20,[1]HOC_Histograma_Obra!ZW52,0)</f>
        <v>0</v>
      </c>
      <c r="YS24" s="2">
        <f>IF(YS26&lt;=$E$20,[1]HOC_Histograma_Obra!ZX52,0)</f>
        <v>0</v>
      </c>
      <c r="YT24" s="2">
        <f>IF(YT26&lt;=$E$20,[1]HOC_Histograma_Obra!ZY52,0)</f>
        <v>0</v>
      </c>
      <c r="YU24" s="2">
        <f>IF(YU26&lt;=$E$20,[1]HOC_Histograma_Obra!ZZ52,0)</f>
        <v>0</v>
      </c>
      <c r="YV24" s="2">
        <f>IF(YV26&lt;=$E$20,[1]HOC_Histograma_Obra!AAA52,0)</f>
        <v>0</v>
      </c>
      <c r="YW24" s="2">
        <f>IF(YW26&lt;=$E$20,[1]HOC_Histograma_Obra!AAB52,0)</f>
        <v>0</v>
      </c>
      <c r="YX24" s="2">
        <f>IF(YX26&lt;=$E$20,[1]HOC_Histograma_Obra!AAC52,0)</f>
        <v>0</v>
      </c>
      <c r="YY24" s="2">
        <f>IF(YY26&lt;=$E$20,[1]HOC_Histograma_Obra!AAD52,0)</f>
        <v>0</v>
      </c>
      <c r="YZ24" s="2">
        <f>IF(YZ26&lt;=$E$20,[1]HOC_Histograma_Obra!AAE52,0)</f>
        <v>0</v>
      </c>
      <c r="ZA24" s="2">
        <f>IF(ZA26&lt;=$E$20,[1]HOC_Histograma_Obra!AAF52,0)</f>
        <v>0</v>
      </c>
      <c r="ZB24" s="2">
        <f>IF(ZB26&lt;=$E$20,[1]HOC_Histograma_Obra!AAG52,0)</f>
        <v>0</v>
      </c>
      <c r="ZC24" s="2">
        <f>IF(ZC26&lt;=$E$20,[1]HOC_Histograma_Obra!AAH52,0)</f>
        <v>0</v>
      </c>
      <c r="ZD24" s="2">
        <f>IF(ZD26&lt;=$E$20,[1]HOC_Histograma_Obra!AAI52,0)</f>
        <v>0</v>
      </c>
      <c r="ZE24" s="2">
        <f>IF(ZE26&lt;=$E$20,[1]HOC_Histograma_Obra!AAJ52,0)</f>
        <v>0</v>
      </c>
      <c r="ZF24" s="2">
        <f>IF(ZF26&lt;=$E$20,[1]HOC_Histograma_Obra!AAK52,0)</f>
        <v>0</v>
      </c>
      <c r="ZG24" s="2">
        <f>IF(ZG26&lt;=$E$20,[1]HOC_Histograma_Obra!AAL52,0)</f>
        <v>0</v>
      </c>
      <c r="ZH24" s="2">
        <f>IF(ZH26&lt;=$E$20,[1]HOC_Histograma_Obra!AAM52,0)</f>
        <v>0</v>
      </c>
      <c r="ZI24" s="2">
        <f>IF(ZI26&lt;=$E$20,[1]HOC_Histograma_Obra!AAN52,0)</f>
        <v>0</v>
      </c>
      <c r="ZJ24" s="2">
        <f>IF(ZJ26&lt;=$E$20,[1]HOC_Histograma_Obra!AAO52,0)</f>
        <v>0</v>
      </c>
      <c r="ZK24" s="2">
        <f>IF(ZK26&lt;=$E$20,[1]HOC_Histograma_Obra!AAP52,0)</f>
        <v>0</v>
      </c>
      <c r="ZL24" s="2">
        <f>IF(ZL26&lt;=$E$20,[1]HOC_Histograma_Obra!AAQ52,0)</f>
        <v>0</v>
      </c>
      <c r="ZM24" s="2">
        <f>IF(ZM26&lt;=$E$20,[1]HOC_Histograma_Obra!AAR52,0)</f>
        <v>0</v>
      </c>
      <c r="ZN24" s="2">
        <f>IF(ZN26&lt;=$E$20,[1]HOC_Histograma_Obra!AAS52,0)</f>
        <v>0</v>
      </c>
      <c r="ZO24" s="2">
        <f>IF(ZO26&lt;=$E$20,[1]HOC_Histograma_Obra!AAT52,0)</f>
        <v>0</v>
      </c>
      <c r="ZP24" s="2">
        <f>IF(ZP26&lt;=$E$20,[1]HOC_Histograma_Obra!AAU52,0)</f>
        <v>0</v>
      </c>
      <c r="ZQ24" s="2">
        <f>IF(ZQ26&lt;=$E$20,[1]HOC_Histograma_Obra!AAV52,0)</f>
        <v>0</v>
      </c>
      <c r="ZR24" s="2">
        <f>IF(ZR26&lt;=$E$20,[1]HOC_Histograma_Obra!AAW52,0)</f>
        <v>0</v>
      </c>
      <c r="ZS24" s="2">
        <f>IF(ZS26&lt;=$E$20,[1]HOC_Histograma_Obra!AAX52,0)</f>
        <v>0</v>
      </c>
      <c r="ZT24" s="2">
        <f>IF(ZT26&lt;=$E$20,[1]HOC_Histograma_Obra!AAY52,0)</f>
        <v>0</v>
      </c>
      <c r="ZU24" s="2">
        <f>IF(ZU26&lt;=$E$20,[1]HOC_Histograma_Obra!AAZ52,0)</f>
        <v>0</v>
      </c>
      <c r="ZV24" s="2">
        <f>IF(ZV26&lt;=$E$20,[1]HOC_Histograma_Obra!ABA52,0)</f>
        <v>0</v>
      </c>
      <c r="ZW24" s="2">
        <f>IF(ZW26&lt;=$E$20,[1]HOC_Histograma_Obra!ABB52,0)</f>
        <v>0</v>
      </c>
      <c r="ZX24" s="2">
        <f>IF(ZX26&lt;=$E$20,[1]HOC_Histograma_Obra!ABC52,0)</f>
        <v>0</v>
      </c>
      <c r="ZY24" s="2">
        <f>IF(ZY26&lt;=$E$20,[1]HOC_Histograma_Obra!ABD52,0)</f>
        <v>0</v>
      </c>
      <c r="ZZ24" s="2">
        <f>IF(ZZ26&lt;=$E$20,[1]HOC_Histograma_Obra!ABE52,0)</f>
        <v>0</v>
      </c>
      <c r="AAA24" s="2">
        <f>IF(AAA26&lt;=$E$20,[1]HOC_Histograma_Obra!ABF52,0)</f>
        <v>0</v>
      </c>
      <c r="AAB24" s="2">
        <f>IF(AAB26&lt;=$E$20,[1]HOC_Histograma_Obra!ABG52,0)</f>
        <v>0</v>
      </c>
      <c r="AAC24" s="2">
        <f>IF(AAC26&lt;=$E$20,[1]HOC_Histograma_Obra!ABH52,0)</f>
        <v>0</v>
      </c>
      <c r="AAD24" s="2">
        <f>IF(AAD26&lt;=$E$20,[1]HOC_Histograma_Obra!ABI52,0)</f>
        <v>0</v>
      </c>
      <c r="AAE24" s="2">
        <f>IF(AAE26&lt;=$E$20,[1]HOC_Histograma_Obra!ABJ52,0)</f>
        <v>0</v>
      </c>
      <c r="AAF24" s="2">
        <f>IF(AAF26&lt;=$E$20,[1]HOC_Histograma_Obra!ABK52,0)</f>
        <v>0</v>
      </c>
      <c r="AAG24" s="2">
        <f>IF(AAG26&lt;=$E$20,[1]HOC_Histograma_Obra!ABL52,0)</f>
        <v>0</v>
      </c>
      <c r="AAH24" s="2">
        <f>IF(AAH26&lt;=$E$20,[1]HOC_Histograma_Obra!ABM52,0)</f>
        <v>0</v>
      </c>
      <c r="AAI24" s="2">
        <f>IF(AAI26&lt;=$E$20,[1]HOC_Histograma_Obra!ABN52,0)</f>
        <v>0</v>
      </c>
      <c r="AAJ24" s="2">
        <f>IF(AAJ26&lt;=$E$20,[1]HOC_Histograma_Obra!ABO52,0)</f>
        <v>0</v>
      </c>
      <c r="AAK24" s="2">
        <f>IF(AAK26&lt;=$E$20,[1]HOC_Histograma_Obra!ABP52,0)</f>
        <v>0</v>
      </c>
      <c r="AAL24" s="2">
        <f>IF(AAL26&lt;=$E$20,[1]HOC_Histograma_Obra!ABQ52,0)</f>
        <v>0</v>
      </c>
      <c r="AAM24" s="2">
        <f>IF(AAM26&lt;=$E$20,[1]HOC_Histograma_Obra!ABR52,0)</f>
        <v>0</v>
      </c>
      <c r="AAN24" s="2">
        <f>IF(AAN26&lt;=$E$20,[1]HOC_Histograma_Obra!ABS52,0)</f>
        <v>0</v>
      </c>
      <c r="AAO24" s="2">
        <f>IF(AAO26&lt;=$E$20,[1]HOC_Histograma_Obra!ABT52,0)</f>
        <v>0</v>
      </c>
      <c r="AAP24" s="2">
        <f>IF(AAP26&lt;=$E$20,[1]HOC_Histograma_Obra!ABU52,0)</f>
        <v>0</v>
      </c>
      <c r="AAQ24" s="2">
        <f>IF(AAQ26&lt;=$E$20,[1]HOC_Histograma_Obra!ABV52,0)</f>
        <v>0</v>
      </c>
      <c r="AAR24" s="2">
        <f>IF(AAR26&lt;=$E$20,[1]HOC_Histograma_Obra!ABW52,0)</f>
        <v>0</v>
      </c>
      <c r="AAS24" s="2">
        <f>IF(AAS26&lt;=$E$20,[1]HOC_Histograma_Obra!ABX52,0)</f>
        <v>0</v>
      </c>
      <c r="AAT24" s="2">
        <f>IF(AAT26&lt;=$E$20,[1]HOC_Histograma_Obra!ABY52,0)</f>
        <v>0</v>
      </c>
      <c r="AAU24" s="2">
        <f>IF(AAU26&lt;=$E$20,[1]HOC_Histograma_Obra!ABZ52,0)</f>
        <v>0</v>
      </c>
      <c r="AAV24" s="2">
        <f>IF(AAV26&lt;=$E$20,[1]HOC_Histograma_Obra!ACA52,0)</f>
        <v>0</v>
      </c>
      <c r="AAW24" s="2">
        <f>IF(AAW26&lt;=$E$20,[1]HOC_Histograma_Obra!ACB52,0)</f>
        <v>0</v>
      </c>
      <c r="AAX24" s="2">
        <f>IF(AAX26&lt;=$E$20,[1]HOC_Histograma_Obra!ACC52,0)</f>
        <v>0</v>
      </c>
      <c r="AAY24" s="2">
        <f>IF(AAY26&lt;=$E$20,[1]HOC_Histograma_Obra!ACD52,0)</f>
        <v>0</v>
      </c>
      <c r="AAZ24" s="2">
        <f>IF(AAZ26&lt;=$E$20,[1]HOC_Histograma_Obra!ACE52,0)</f>
        <v>0</v>
      </c>
      <c r="ABA24" s="2">
        <f>IF(ABA26&lt;=$E$20,[1]HOC_Histograma_Obra!ACF52,0)</f>
        <v>0</v>
      </c>
      <c r="ABB24" s="2">
        <f>IF(ABB26&lt;=$E$20,[1]HOC_Histograma_Obra!ACG52,0)</f>
        <v>0</v>
      </c>
      <c r="ABC24" s="2">
        <f>IF(ABC26&lt;=$E$20,[1]HOC_Histograma_Obra!ACH52,0)</f>
        <v>0</v>
      </c>
      <c r="ABD24" s="2">
        <f>IF(ABD26&lt;=$E$20,[1]HOC_Histograma_Obra!ACI52,0)</f>
        <v>0</v>
      </c>
      <c r="ABE24" s="2">
        <f>IF(ABE26&lt;=$E$20,[1]HOC_Histograma_Obra!ACJ52,0)</f>
        <v>0</v>
      </c>
      <c r="ABF24" s="2">
        <f>IF(ABF26&lt;=$E$20,[1]HOC_Histograma_Obra!ACK52,0)</f>
        <v>0</v>
      </c>
      <c r="ABG24" s="2">
        <f>IF(ABG26&lt;=$E$20,[1]HOC_Histograma_Obra!ACL52,0)</f>
        <v>0</v>
      </c>
      <c r="ABH24" s="2">
        <f>IF(ABH26&lt;=$E$20,[1]HOC_Histograma_Obra!ACM52,0)</f>
        <v>0</v>
      </c>
      <c r="ABI24" s="2">
        <f>IF(ABI26&lt;=$E$20,[1]HOC_Histograma_Obra!ACN52,0)</f>
        <v>0</v>
      </c>
    </row>
    <row r="25" spans="4:737" ht="12.95" customHeight="1" x14ac:dyDescent="0.25">
      <c r="AK25" s="4"/>
    </row>
    <row r="26" spans="4:737" ht="80.099999999999994" customHeight="1" x14ac:dyDescent="0.25">
      <c r="D26" s="11" t="s">
        <v>7</v>
      </c>
      <c r="E26" s="11"/>
      <c r="F26" s="12">
        <f>[1]HOC_Histograma_Obra!AK54</f>
        <v>46146</v>
      </c>
      <c r="G26" s="12">
        <f>[1]HOC_Histograma_Obra!AL54</f>
        <v>46147</v>
      </c>
      <c r="H26" s="12">
        <f>[1]HOC_Histograma_Obra!AM54</f>
        <v>46148</v>
      </c>
      <c r="I26" s="12">
        <f>[1]HOC_Histograma_Obra!AN54</f>
        <v>46149</v>
      </c>
      <c r="J26" s="12">
        <f>[1]HOC_Histograma_Obra!AO54</f>
        <v>46150</v>
      </c>
      <c r="K26" s="12">
        <f>[1]HOC_Histograma_Obra!AP54</f>
        <v>46151</v>
      </c>
      <c r="L26" s="12">
        <f>[1]HOC_Histograma_Obra!AQ54</f>
        <v>46152</v>
      </c>
      <c r="M26" s="12">
        <f>[1]HOC_Histograma_Obra!AR54</f>
        <v>46153</v>
      </c>
      <c r="N26" s="12">
        <f>[1]HOC_Histograma_Obra!AS54</f>
        <v>46154</v>
      </c>
      <c r="O26" s="12">
        <f>[1]HOC_Histograma_Obra!AT54</f>
        <v>46155</v>
      </c>
      <c r="P26" s="12">
        <f>[1]HOC_Histograma_Obra!AU54</f>
        <v>46156</v>
      </c>
      <c r="Q26" s="12">
        <f>[1]HOC_Histograma_Obra!AV54</f>
        <v>46157</v>
      </c>
      <c r="R26" s="12">
        <f>[1]HOC_Histograma_Obra!AW54</f>
        <v>46158</v>
      </c>
      <c r="S26" s="12">
        <f>[1]HOC_Histograma_Obra!AX54</f>
        <v>46159</v>
      </c>
      <c r="T26" s="12">
        <f>[1]HOC_Histograma_Obra!AY54</f>
        <v>46160</v>
      </c>
      <c r="U26" s="12">
        <f>[1]HOC_Histograma_Obra!AZ54</f>
        <v>46161</v>
      </c>
      <c r="V26" s="12">
        <f>[1]HOC_Histograma_Obra!BA54</f>
        <v>46162</v>
      </c>
      <c r="W26" s="12">
        <f>[1]HOC_Histograma_Obra!BB54</f>
        <v>46163</v>
      </c>
      <c r="X26" s="12">
        <f>[1]HOC_Histograma_Obra!BC54</f>
        <v>46164</v>
      </c>
      <c r="Y26" s="12">
        <f>[1]HOC_Histograma_Obra!BD54</f>
        <v>46165</v>
      </c>
      <c r="Z26" s="12">
        <f>[1]HOC_Histograma_Obra!BE54</f>
        <v>46166</v>
      </c>
      <c r="AA26" s="12">
        <f>[1]HOC_Histograma_Obra!BF54</f>
        <v>46167</v>
      </c>
      <c r="AB26" s="12">
        <f>[1]HOC_Histograma_Obra!BG54</f>
        <v>46168</v>
      </c>
      <c r="AC26" s="12">
        <f>[1]HOC_Histograma_Obra!BH54</f>
        <v>46169</v>
      </c>
      <c r="AD26" s="12">
        <f>[1]HOC_Histograma_Obra!BI54</f>
        <v>46170</v>
      </c>
      <c r="AE26" s="12">
        <f>[1]HOC_Histograma_Obra!BJ54</f>
        <v>46171</v>
      </c>
      <c r="AF26" s="12">
        <f>[1]HOC_Histograma_Obra!BK54</f>
        <v>46172</v>
      </c>
      <c r="AG26" s="12">
        <f>[1]HOC_Histograma_Obra!BL54</f>
        <v>46173</v>
      </c>
      <c r="AH26" s="12">
        <f>[1]HOC_Histograma_Obra!BM54</f>
        <v>46174</v>
      </c>
      <c r="AI26" s="12">
        <f>[1]HOC_Histograma_Obra!BN54</f>
        <v>46175</v>
      </c>
      <c r="AJ26" s="12">
        <f>[1]HOC_Histograma_Obra!BO54</f>
        <v>46176</v>
      </c>
      <c r="AK26" s="13">
        <f>[1]HOC_Histograma_Obra!BP54</f>
        <v>46177</v>
      </c>
      <c r="AL26" s="12">
        <f>[1]HOC_Histograma_Obra!BQ54</f>
        <v>46178</v>
      </c>
      <c r="AM26" s="12">
        <f>[1]HOC_Histograma_Obra!BR54</f>
        <v>46179</v>
      </c>
      <c r="AN26" s="12">
        <f>[1]HOC_Histograma_Obra!BS54</f>
        <v>46180</v>
      </c>
      <c r="AO26" s="12">
        <f>[1]HOC_Histograma_Obra!BT54</f>
        <v>46181</v>
      </c>
      <c r="AP26" s="12">
        <f>[1]HOC_Histograma_Obra!BU54</f>
        <v>46182</v>
      </c>
      <c r="AQ26" s="12">
        <f>[1]HOC_Histograma_Obra!BV54</f>
        <v>46183</v>
      </c>
      <c r="AR26" s="12">
        <f>[1]HOC_Histograma_Obra!BW54</f>
        <v>46184</v>
      </c>
      <c r="AS26" s="12">
        <f>[1]HOC_Histograma_Obra!BX54</f>
        <v>46185</v>
      </c>
      <c r="AT26" s="12">
        <f>[1]HOC_Histograma_Obra!BY54</f>
        <v>46186</v>
      </c>
      <c r="AU26" s="12">
        <f>[1]HOC_Histograma_Obra!BZ54</f>
        <v>46187</v>
      </c>
      <c r="AV26" s="12">
        <f>[1]HOC_Histograma_Obra!CA54</f>
        <v>46188</v>
      </c>
      <c r="AW26" s="12">
        <f>[1]HOC_Histograma_Obra!CB54</f>
        <v>46189</v>
      </c>
      <c r="AX26" s="12">
        <f>[1]HOC_Histograma_Obra!CC54</f>
        <v>46190</v>
      </c>
      <c r="AY26" s="12">
        <f>[1]HOC_Histograma_Obra!CD54</f>
        <v>46191</v>
      </c>
      <c r="AZ26" s="12">
        <f>[1]HOC_Histograma_Obra!CE54</f>
        <v>46192</v>
      </c>
      <c r="BA26" s="12">
        <f>[1]HOC_Histograma_Obra!CF54</f>
        <v>46193</v>
      </c>
      <c r="BB26" s="12">
        <f>[1]HOC_Histograma_Obra!CG54</f>
        <v>46194</v>
      </c>
      <c r="BC26" s="12">
        <f>[1]HOC_Histograma_Obra!CH54</f>
        <v>46195</v>
      </c>
      <c r="BD26" s="12">
        <f>[1]HOC_Histograma_Obra!CI54</f>
        <v>46196</v>
      </c>
      <c r="BE26" s="12">
        <f>[1]HOC_Histograma_Obra!CJ54</f>
        <v>46197</v>
      </c>
      <c r="BF26" s="12">
        <f>[1]HOC_Histograma_Obra!CK54</f>
        <v>46198</v>
      </c>
      <c r="BG26" s="12">
        <f>[1]HOC_Histograma_Obra!CL54</f>
        <v>46199</v>
      </c>
      <c r="BH26" s="12">
        <f>[1]HOC_Histograma_Obra!CM54</f>
        <v>46200</v>
      </c>
      <c r="BI26" s="12">
        <f>[1]HOC_Histograma_Obra!CN54</f>
        <v>46201</v>
      </c>
      <c r="BJ26" s="12">
        <f>[1]HOC_Histograma_Obra!CO54</f>
        <v>46202</v>
      </c>
      <c r="BK26" s="12">
        <f>[1]HOC_Histograma_Obra!CP54</f>
        <v>46203</v>
      </c>
      <c r="BL26" s="12">
        <f>[1]HOC_Histograma_Obra!CQ54</f>
        <v>46204</v>
      </c>
      <c r="BM26" s="12">
        <f>[1]HOC_Histograma_Obra!CR54</f>
        <v>46205</v>
      </c>
      <c r="BN26" s="12">
        <f>[1]HOC_Histograma_Obra!CS54</f>
        <v>46206</v>
      </c>
      <c r="BO26" s="12">
        <f>[1]HOC_Histograma_Obra!CT54</f>
        <v>46207</v>
      </c>
      <c r="BP26" s="12">
        <f>[1]HOC_Histograma_Obra!CU54</f>
        <v>46208</v>
      </c>
      <c r="BQ26" s="12">
        <f>[1]HOC_Histograma_Obra!CV54</f>
        <v>46209</v>
      </c>
      <c r="BR26" s="12">
        <f>[1]HOC_Histograma_Obra!CW54</f>
        <v>46210</v>
      </c>
      <c r="BS26" s="12">
        <f>[1]HOC_Histograma_Obra!CX54</f>
        <v>46211</v>
      </c>
      <c r="BT26" s="12">
        <f>[1]HOC_Histograma_Obra!CY54</f>
        <v>46212</v>
      </c>
      <c r="BU26" s="12">
        <f>[1]HOC_Histograma_Obra!CZ54</f>
        <v>46213</v>
      </c>
      <c r="BV26" s="12">
        <f>[1]HOC_Histograma_Obra!DA54</f>
        <v>46214</v>
      </c>
      <c r="BW26" s="12">
        <f>[1]HOC_Histograma_Obra!DB54</f>
        <v>46215</v>
      </c>
      <c r="BX26" s="12">
        <f>[1]HOC_Histograma_Obra!DC54</f>
        <v>46216</v>
      </c>
      <c r="BY26" s="12">
        <f>[1]HOC_Histograma_Obra!DD54</f>
        <v>46217</v>
      </c>
      <c r="BZ26" s="12">
        <f>[1]HOC_Histograma_Obra!DE54</f>
        <v>46218</v>
      </c>
      <c r="CA26" s="12">
        <f>[1]HOC_Histograma_Obra!DF54</f>
        <v>46219</v>
      </c>
      <c r="CB26" s="12">
        <f>[1]HOC_Histograma_Obra!DG54</f>
        <v>46220</v>
      </c>
      <c r="CC26" s="12">
        <f>[1]HOC_Histograma_Obra!DH54</f>
        <v>46221</v>
      </c>
      <c r="CD26" s="12">
        <f>[1]HOC_Histograma_Obra!DI54</f>
        <v>46222</v>
      </c>
      <c r="CE26" s="12">
        <f>[1]HOC_Histograma_Obra!DJ54</f>
        <v>46223</v>
      </c>
      <c r="CF26" s="12">
        <f>[1]HOC_Histograma_Obra!DK54</f>
        <v>46224</v>
      </c>
      <c r="CG26" s="12">
        <f>[1]HOC_Histograma_Obra!DL54</f>
        <v>46225</v>
      </c>
      <c r="CH26" s="12">
        <f>[1]HOC_Histograma_Obra!DM54</f>
        <v>46226</v>
      </c>
      <c r="CI26" s="12">
        <f>[1]HOC_Histograma_Obra!DN54</f>
        <v>46227</v>
      </c>
      <c r="CJ26" s="12">
        <f>[1]HOC_Histograma_Obra!DO54</f>
        <v>46228</v>
      </c>
      <c r="CK26" s="12">
        <f>[1]HOC_Histograma_Obra!DP54</f>
        <v>46229</v>
      </c>
      <c r="CL26" s="12">
        <f>[1]HOC_Histograma_Obra!DQ54</f>
        <v>46230</v>
      </c>
      <c r="CM26" s="12">
        <f>[1]HOC_Histograma_Obra!DR54</f>
        <v>46231</v>
      </c>
      <c r="CN26" s="12">
        <f>[1]HOC_Histograma_Obra!DS54</f>
        <v>46232</v>
      </c>
      <c r="CO26" s="12">
        <f>[1]HOC_Histograma_Obra!DT54</f>
        <v>46233</v>
      </c>
      <c r="CP26" s="12">
        <f>[1]HOC_Histograma_Obra!DU54</f>
        <v>46234</v>
      </c>
      <c r="CQ26" s="12">
        <f>[1]HOC_Histograma_Obra!DV54</f>
        <v>46235</v>
      </c>
      <c r="CR26" s="12">
        <f>[1]HOC_Histograma_Obra!DW54</f>
        <v>46236</v>
      </c>
      <c r="CS26" s="12">
        <f>[1]HOC_Histograma_Obra!DX54</f>
        <v>46237</v>
      </c>
      <c r="CT26" s="12">
        <f>[1]HOC_Histograma_Obra!DY54</f>
        <v>46238</v>
      </c>
      <c r="CU26" s="12">
        <f>[1]HOC_Histograma_Obra!DZ54</f>
        <v>46239</v>
      </c>
      <c r="CV26" s="12">
        <f>[1]HOC_Histograma_Obra!EA54</f>
        <v>46240</v>
      </c>
      <c r="CW26" s="12">
        <f>[1]HOC_Histograma_Obra!EB54</f>
        <v>46241</v>
      </c>
      <c r="CX26" s="12">
        <f>[1]HOC_Histograma_Obra!EC54</f>
        <v>46242</v>
      </c>
      <c r="CY26" s="12">
        <f>[1]HOC_Histograma_Obra!ED54</f>
        <v>46243</v>
      </c>
      <c r="CZ26" s="12">
        <f>[1]HOC_Histograma_Obra!EE54</f>
        <v>46244</v>
      </c>
      <c r="DA26" s="12">
        <f>[1]HOC_Histograma_Obra!EF54</f>
        <v>46245</v>
      </c>
      <c r="DB26" s="12">
        <f>[1]HOC_Histograma_Obra!EG54</f>
        <v>46246</v>
      </c>
      <c r="DC26" s="12">
        <f>[1]HOC_Histograma_Obra!EH54</f>
        <v>46247</v>
      </c>
      <c r="DD26" s="12">
        <f>[1]HOC_Histograma_Obra!EI54</f>
        <v>46248</v>
      </c>
      <c r="DE26" s="12">
        <f>[1]HOC_Histograma_Obra!EJ54</f>
        <v>46249</v>
      </c>
      <c r="DF26" s="12">
        <f>[1]HOC_Histograma_Obra!EK54</f>
        <v>46250</v>
      </c>
      <c r="DG26" s="12">
        <f>[1]HOC_Histograma_Obra!EL54</f>
        <v>46251</v>
      </c>
      <c r="DH26" s="12">
        <f>[1]HOC_Histograma_Obra!EM54</f>
        <v>46252</v>
      </c>
      <c r="DI26" s="12">
        <f>[1]HOC_Histograma_Obra!EN54</f>
        <v>46253</v>
      </c>
      <c r="DJ26" s="12">
        <f>[1]HOC_Histograma_Obra!EO54</f>
        <v>46254</v>
      </c>
      <c r="DK26" s="12">
        <f>[1]HOC_Histograma_Obra!EP54</f>
        <v>46255</v>
      </c>
      <c r="DL26" s="12">
        <f>[1]HOC_Histograma_Obra!EQ54</f>
        <v>46256</v>
      </c>
      <c r="DM26" s="12">
        <f>[1]HOC_Histograma_Obra!ER54</f>
        <v>46257</v>
      </c>
      <c r="DN26" s="12">
        <f>[1]HOC_Histograma_Obra!ES54</f>
        <v>46258</v>
      </c>
      <c r="DO26" s="12">
        <f>[1]HOC_Histograma_Obra!ET54</f>
        <v>46259</v>
      </c>
      <c r="DP26" s="12">
        <f>[1]HOC_Histograma_Obra!EU54</f>
        <v>46260</v>
      </c>
      <c r="DQ26" s="12">
        <f>[1]HOC_Histograma_Obra!EV54</f>
        <v>46261</v>
      </c>
      <c r="DR26" s="12">
        <f>[1]HOC_Histograma_Obra!EW54</f>
        <v>46262</v>
      </c>
      <c r="DS26" s="12">
        <f>[1]HOC_Histograma_Obra!EX54</f>
        <v>46263</v>
      </c>
      <c r="DT26" s="12">
        <f>[1]HOC_Histograma_Obra!EY54</f>
        <v>46264</v>
      </c>
      <c r="DU26" s="12">
        <f>[1]HOC_Histograma_Obra!EZ54</f>
        <v>46265</v>
      </c>
      <c r="DV26" s="12">
        <f>[1]HOC_Histograma_Obra!FA54</f>
        <v>46266</v>
      </c>
      <c r="DW26" s="12">
        <f>[1]HOC_Histograma_Obra!FB54</f>
        <v>46267</v>
      </c>
      <c r="DX26" s="12">
        <f>[1]HOC_Histograma_Obra!FC54</f>
        <v>46268</v>
      </c>
      <c r="DY26" s="12">
        <f>[1]HOC_Histograma_Obra!FD54</f>
        <v>46269</v>
      </c>
      <c r="DZ26" s="12">
        <f>[1]HOC_Histograma_Obra!FE54</f>
        <v>46270</v>
      </c>
      <c r="EA26" s="12">
        <f>[1]HOC_Histograma_Obra!FF54</f>
        <v>46271</v>
      </c>
      <c r="EB26" s="12">
        <f>[1]HOC_Histograma_Obra!FG54</f>
        <v>46272</v>
      </c>
      <c r="EC26" s="12">
        <f>[1]HOC_Histograma_Obra!FH54</f>
        <v>46273</v>
      </c>
      <c r="ED26" s="12">
        <f>[1]HOC_Histograma_Obra!FI54</f>
        <v>46274</v>
      </c>
      <c r="EE26" s="12">
        <f>[1]HOC_Histograma_Obra!FJ54</f>
        <v>46275</v>
      </c>
      <c r="EF26" s="12">
        <f>[1]HOC_Histograma_Obra!FK54</f>
        <v>46276</v>
      </c>
      <c r="EG26" s="12">
        <f>[1]HOC_Histograma_Obra!FL54</f>
        <v>46277</v>
      </c>
      <c r="EH26" s="12">
        <f>[1]HOC_Histograma_Obra!FM54</f>
        <v>46278</v>
      </c>
      <c r="EI26" s="12">
        <f>[1]HOC_Histograma_Obra!FN54</f>
        <v>46279</v>
      </c>
      <c r="EJ26" s="12">
        <f>[1]HOC_Histograma_Obra!FO54</f>
        <v>46280</v>
      </c>
      <c r="EK26" s="12">
        <f>[1]HOC_Histograma_Obra!FP54</f>
        <v>46281</v>
      </c>
      <c r="EL26" s="12">
        <f>[1]HOC_Histograma_Obra!FQ54</f>
        <v>46282</v>
      </c>
      <c r="EM26" s="12">
        <f>[1]HOC_Histograma_Obra!FR54</f>
        <v>46283</v>
      </c>
      <c r="EN26" s="12">
        <f>[1]HOC_Histograma_Obra!FS54</f>
        <v>46284</v>
      </c>
      <c r="EO26" s="12">
        <f>[1]HOC_Histograma_Obra!FT54</f>
        <v>46285</v>
      </c>
      <c r="EP26" s="12">
        <f>[1]HOC_Histograma_Obra!FU54</f>
        <v>46286</v>
      </c>
      <c r="EQ26" s="12">
        <f>[1]HOC_Histograma_Obra!FV54</f>
        <v>46287</v>
      </c>
      <c r="ER26" s="12">
        <f>[1]HOC_Histograma_Obra!FW54</f>
        <v>46288</v>
      </c>
      <c r="ES26" s="12">
        <f>[1]HOC_Histograma_Obra!FX54</f>
        <v>46289</v>
      </c>
      <c r="ET26" s="12">
        <f>[1]HOC_Histograma_Obra!FY54</f>
        <v>46290</v>
      </c>
      <c r="EU26" s="12">
        <f>[1]HOC_Histograma_Obra!FZ54</f>
        <v>46291</v>
      </c>
      <c r="EV26" s="12">
        <f>[1]HOC_Histograma_Obra!GA54</f>
        <v>46292</v>
      </c>
      <c r="EW26" s="12">
        <f>[1]HOC_Histograma_Obra!GB54</f>
        <v>46293</v>
      </c>
      <c r="EX26" s="12">
        <f>[1]HOC_Histograma_Obra!GC54</f>
        <v>46294</v>
      </c>
      <c r="EY26" s="12">
        <f>[1]HOC_Histograma_Obra!GD54</f>
        <v>46295</v>
      </c>
      <c r="EZ26" s="12">
        <f>[1]HOC_Histograma_Obra!GE54</f>
        <v>46296</v>
      </c>
      <c r="FA26" s="12">
        <f>[1]HOC_Histograma_Obra!GF54</f>
        <v>46297</v>
      </c>
      <c r="FB26" s="12">
        <f>[1]HOC_Histograma_Obra!GG54</f>
        <v>46298</v>
      </c>
      <c r="FC26" s="12">
        <f>[1]HOC_Histograma_Obra!GH54</f>
        <v>46299</v>
      </c>
      <c r="FD26" s="12">
        <f>[1]HOC_Histograma_Obra!GI54</f>
        <v>46300</v>
      </c>
      <c r="FE26" s="12">
        <f>[1]HOC_Histograma_Obra!GJ54</f>
        <v>46301</v>
      </c>
      <c r="FF26" s="12">
        <f>[1]HOC_Histograma_Obra!GK54</f>
        <v>46302</v>
      </c>
      <c r="FG26" s="12">
        <f>[1]HOC_Histograma_Obra!GL54</f>
        <v>46303</v>
      </c>
      <c r="FH26" s="12">
        <f>[1]HOC_Histograma_Obra!GM54</f>
        <v>46304</v>
      </c>
      <c r="FI26" s="12">
        <f>[1]HOC_Histograma_Obra!GN54</f>
        <v>46305</v>
      </c>
      <c r="FJ26" s="12">
        <f>[1]HOC_Histograma_Obra!GO54</f>
        <v>46306</v>
      </c>
      <c r="FK26" s="12">
        <f>[1]HOC_Histograma_Obra!GP54</f>
        <v>46307</v>
      </c>
      <c r="FL26" s="12">
        <f>[1]HOC_Histograma_Obra!GQ54</f>
        <v>46308</v>
      </c>
      <c r="FM26" s="12">
        <f>[1]HOC_Histograma_Obra!GR54</f>
        <v>46309</v>
      </c>
      <c r="FN26" s="12">
        <f>[1]HOC_Histograma_Obra!GS54</f>
        <v>46310</v>
      </c>
      <c r="FO26" s="12">
        <f>[1]HOC_Histograma_Obra!GT54</f>
        <v>46311</v>
      </c>
      <c r="FP26" s="12">
        <f>[1]HOC_Histograma_Obra!GU54</f>
        <v>46312</v>
      </c>
      <c r="FQ26" s="12">
        <f>[1]HOC_Histograma_Obra!GV54</f>
        <v>46313</v>
      </c>
      <c r="FR26" s="12">
        <f>[1]HOC_Histograma_Obra!GW54</f>
        <v>46314</v>
      </c>
      <c r="FS26" s="12">
        <f>[1]HOC_Histograma_Obra!GX54</f>
        <v>46315</v>
      </c>
      <c r="FT26" s="12">
        <f>[1]HOC_Histograma_Obra!GY54</f>
        <v>46316</v>
      </c>
      <c r="FU26" s="12">
        <f>[1]HOC_Histograma_Obra!GZ54</f>
        <v>46317</v>
      </c>
      <c r="FV26" s="12">
        <f>[1]HOC_Histograma_Obra!HA54</f>
        <v>46318</v>
      </c>
      <c r="FW26" s="12">
        <f>[1]HOC_Histograma_Obra!HB54</f>
        <v>46319</v>
      </c>
      <c r="FX26" s="12">
        <f>[1]HOC_Histograma_Obra!HC54</f>
        <v>46320</v>
      </c>
      <c r="FY26" s="12">
        <f>[1]HOC_Histograma_Obra!HD54</f>
        <v>46321</v>
      </c>
      <c r="FZ26" s="12">
        <f>[1]HOC_Histograma_Obra!HE54</f>
        <v>46322</v>
      </c>
      <c r="GA26" s="12">
        <f>[1]HOC_Histograma_Obra!HF54</f>
        <v>46323</v>
      </c>
      <c r="GB26" s="12">
        <f>[1]HOC_Histograma_Obra!HG54</f>
        <v>46324</v>
      </c>
      <c r="GC26" s="12">
        <f>[1]HOC_Histograma_Obra!HH54</f>
        <v>46325</v>
      </c>
      <c r="GD26" s="12">
        <f>[1]HOC_Histograma_Obra!HI54</f>
        <v>46326</v>
      </c>
      <c r="GE26" s="12">
        <f>[1]HOC_Histograma_Obra!HJ54</f>
        <v>46327</v>
      </c>
      <c r="GF26" s="12">
        <f>[1]HOC_Histograma_Obra!HK54</f>
        <v>46328</v>
      </c>
      <c r="GG26" s="12">
        <f>[1]HOC_Histograma_Obra!HL54</f>
        <v>46329</v>
      </c>
      <c r="GH26" s="12">
        <f>[1]HOC_Histograma_Obra!HM54</f>
        <v>46330</v>
      </c>
      <c r="GI26" s="12">
        <f>[1]HOC_Histograma_Obra!HN54</f>
        <v>46331</v>
      </c>
      <c r="GJ26" s="12">
        <f>[1]HOC_Histograma_Obra!HO54</f>
        <v>46332</v>
      </c>
      <c r="GK26" s="12">
        <f>[1]HOC_Histograma_Obra!HP54</f>
        <v>46333</v>
      </c>
      <c r="GL26" s="12">
        <f>[1]HOC_Histograma_Obra!HQ54</f>
        <v>46334</v>
      </c>
      <c r="GM26" s="12">
        <f>[1]HOC_Histograma_Obra!HR54</f>
        <v>46335</v>
      </c>
      <c r="GN26" s="12">
        <f>[1]HOC_Histograma_Obra!HS54</f>
        <v>46336</v>
      </c>
      <c r="GO26" s="12">
        <f>[1]HOC_Histograma_Obra!HT54</f>
        <v>46337</v>
      </c>
      <c r="GP26" s="12">
        <f>[1]HOC_Histograma_Obra!HU54</f>
        <v>46338</v>
      </c>
      <c r="GQ26" s="12">
        <f>[1]HOC_Histograma_Obra!HV54</f>
        <v>46339</v>
      </c>
      <c r="GR26" s="12">
        <f>[1]HOC_Histograma_Obra!HW54</f>
        <v>46340</v>
      </c>
      <c r="GS26" s="12">
        <f>[1]HOC_Histograma_Obra!HX54</f>
        <v>46341</v>
      </c>
      <c r="GT26" s="12">
        <f>[1]HOC_Histograma_Obra!HY54</f>
        <v>46342</v>
      </c>
      <c r="GU26" s="12">
        <f>[1]HOC_Histograma_Obra!HZ54</f>
        <v>46343</v>
      </c>
      <c r="GV26" s="12">
        <f>[1]HOC_Histograma_Obra!IA54</f>
        <v>46344</v>
      </c>
      <c r="GW26" s="12">
        <f>[1]HOC_Histograma_Obra!IB54</f>
        <v>46345</v>
      </c>
      <c r="GX26" s="12">
        <f>[1]HOC_Histograma_Obra!IC54</f>
        <v>46346</v>
      </c>
      <c r="GY26" s="12">
        <f>[1]HOC_Histograma_Obra!ID54</f>
        <v>46347</v>
      </c>
      <c r="GZ26" s="12">
        <f>[1]HOC_Histograma_Obra!IE54</f>
        <v>46348</v>
      </c>
      <c r="HA26" s="12">
        <f>[1]HOC_Histograma_Obra!IF54</f>
        <v>46349</v>
      </c>
      <c r="HB26" s="12">
        <f>[1]HOC_Histograma_Obra!IG54</f>
        <v>46350</v>
      </c>
      <c r="HC26" s="12">
        <f>[1]HOC_Histograma_Obra!IH54</f>
        <v>46351</v>
      </c>
      <c r="HD26" s="12">
        <f>[1]HOC_Histograma_Obra!II54</f>
        <v>46352</v>
      </c>
      <c r="HE26" s="12">
        <f>[1]HOC_Histograma_Obra!IJ54</f>
        <v>46353</v>
      </c>
      <c r="HF26" s="12">
        <f>[1]HOC_Histograma_Obra!IK54</f>
        <v>46354</v>
      </c>
      <c r="HG26" s="12">
        <f>[1]HOC_Histograma_Obra!IL54</f>
        <v>46355</v>
      </c>
      <c r="HH26" s="12">
        <f>[1]HOC_Histograma_Obra!IM54</f>
        <v>46356</v>
      </c>
      <c r="HI26" s="12">
        <f>[1]HOC_Histograma_Obra!IN54</f>
        <v>46357</v>
      </c>
      <c r="HJ26" s="12">
        <f>[1]HOC_Histograma_Obra!IO54</f>
        <v>46358</v>
      </c>
      <c r="HK26" s="12">
        <f>[1]HOC_Histograma_Obra!IP54</f>
        <v>46359</v>
      </c>
      <c r="HL26" s="12">
        <f>[1]HOC_Histograma_Obra!IQ54</f>
        <v>46360</v>
      </c>
      <c r="HM26" s="12">
        <f>[1]HOC_Histograma_Obra!IR54</f>
        <v>46361</v>
      </c>
      <c r="HN26" s="12">
        <f>[1]HOC_Histograma_Obra!IS54</f>
        <v>46362</v>
      </c>
      <c r="HO26" s="12">
        <f>[1]HOC_Histograma_Obra!IT54</f>
        <v>46363</v>
      </c>
      <c r="HP26" s="12">
        <f>[1]HOC_Histograma_Obra!IU54</f>
        <v>46364</v>
      </c>
      <c r="HQ26" s="12">
        <f>[1]HOC_Histograma_Obra!IV54</f>
        <v>46365</v>
      </c>
      <c r="HR26" s="12">
        <f>[1]HOC_Histograma_Obra!IW54</f>
        <v>46366</v>
      </c>
      <c r="HS26" s="12">
        <f>[1]HOC_Histograma_Obra!IX54</f>
        <v>46367</v>
      </c>
      <c r="HT26" s="12">
        <f>[1]HOC_Histograma_Obra!IY54</f>
        <v>46368</v>
      </c>
      <c r="HU26" s="12">
        <f>[1]HOC_Histograma_Obra!IZ54</f>
        <v>46369</v>
      </c>
      <c r="HV26" s="12">
        <f>[1]HOC_Histograma_Obra!JA54</f>
        <v>46370</v>
      </c>
      <c r="HW26" s="12">
        <f>[1]HOC_Histograma_Obra!JB54</f>
        <v>46371</v>
      </c>
      <c r="HX26" s="12">
        <f>[1]HOC_Histograma_Obra!JC54</f>
        <v>46372</v>
      </c>
      <c r="HY26" s="12">
        <f>[1]HOC_Histograma_Obra!JD54</f>
        <v>46373</v>
      </c>
      <c r="HZ26" s="12">
        <f>[1]HOC_Histograma_Obra!JE54</f>
        <v>46374</v>
      </c>
      <c r="IA26" s="12">
        <f>[1]HOC_Histograma_Obra!JF54</f>
        <v>46375</v>
      </c>
      <c r="IB26" s="12">
        <f>[1]HOC_Histograma_Obra!JG54</f>
        <v>46376</v>
      </c>
      <c r="IC26" s="12">
        <f>[1]HOC_Histograma_Obra!JH54</f>
        <v>46377</v>
      </c>
      <c r="ID26" s="12">
        <f>[1]HOC_Histograma_Obra!JI54</f>
        <v>46378</v>
      </c>
      <c r="IE26" s="12">
        <f>[1]HOC_Histograma_Obra!JJ54</f>
        <v>46379</v>
      </c>
      <c r="IF26" s="12">
        <f>[1]HOC_Histograma_Obra!JK54</f>
        <v>46380</v>
      </c>
      <c r="IG26" s="12">
        <f>[1]HOC_Histograma_Obra!JL54</f>
        <v>46381</v>
      </c>
      <c r="IH26" s="12">
        <f>[1]HOC_Histograma_Obra!JM54</f>
        <v>46382</v>
      </c>
      <c r="II26" s="12">
        <f>[1]HOC_Histograma_Obra!JN54</f>
        <v>46383</v>
      </c>
      <c r="IJ26" s="12">
        <f>[1]HOC_Histograma_Obra!JO54</f>
        <v>46384</v>
      </c>
      <c r="IK26" s="12">
        <f>[1]HOC_Histograma_Obra!JP54</f>
        <v>46385</v>
      </c>
      <c r="IL26" s="12">
        <f>[1]HOC_Histograma_Obra!JQ54</f>
        <v>46386</v>
      </c>
      <c r="IM26" s="12">
        <f>[1]HOC_Histograma_Obra!JR54</f>
        <v>46387</v>
      </c>
      <c r="IN26" s="12">
        <f>[1]HOC_Histograma_Obra!JS54</f>
        <v>46388</v>
      </c>
      <c r="IO26" s="12">
        <f>[1]HOC_Histograma_Obra!JT54</f>
        <v>46389</v>
      </c>
      <c r="IP26" s="12">
        <f>[1]HOC_Histograma_Obra!JU54</f>
        <v>46390</v>
      </c>
      <c r="IQ26" s="12">
        <f>[1]HOC_Histograma_Obra!JV54</f>
        <v>46391</v>
      </c>
      <c r="IR26" s="12">
        <f>[1]HOC_Histograma_Obra!JW54</f>
        <v>46392</v>
      </c>
      <c r="IS26" s="12">
        <f>[1]HOC_Histograma_Obra!JX54</f>
        <v>46393</v>
      </c>
      <c r="IT26" s="12">
        <f>[1]HOC_Histograma_Obra!JY54</f>
        <v>46394</v>
      </c>
      <c r="IU26" s="12">
        <f>[1]HOC_Histograma_Obra!JZ54</f>
        <v>46395</v>
      </c>
      <c r="IV26" s="12">
        <f>[1]HOC_Histograma_Obra!KA54</f>
        <v>46396</v>
      </c>
      <c r="IW26" s="12">
        <f>[1]HOC_Histograma_Obra!KB54</f>
        <v>46397</v>
      </c>
      <c r="IX26" s="12">
        <f>[1]HOC_Histograma_Obra!KC54</f>
        <v>46398</v>
      </c>
      <c r="IY26" s="12">
        <f>[1]HOC_Histograma_Obra!KD54</f>
        <v>46399</v>
      </c>
      <c r="IZ26" s="12">
        <f>[1]HOC_Histograma_Obra!KE54</f>
        <v>46400</v>
      </c>
      <c r="JA26" s="12">
        <f>[1]HOC_Histograma_Obra!KF54</f>
        <v>46401</v>
      </c>
      <c r="JB26" s="12">
        <f>[1]HOC_Histograma_Obra!KG54</f>
        <v>46402</v>
      </c>
      <c r="JC26" s="12">
        <f>[1]HOC_Histograma_Obra!KH54</f>
        <v>46403</v>
      </c>
      <c r="JD26" s="12">
        <f>[1]HOC_Histograma_Obra!KI54</f>
        <v>46404</v>
      </c>
      <c r="JE26" s="12">
        <f>[1]HOC_Histograma_Obra!KJ54</f>
        <v>46405</v>
      </c>
      <c r="JF26" s="12">
        <f>[1]HOC_Histograma_Obra!KK54</f>
        <v>46406</v>
      </c>
      <c r="JG26" s="12">
        <f>[1]HOC_Histograma_Obra!KL54</f>
        <v>46407</v>
      </c>
      <c r="JH26" s="12">
        <f>[1]HOC_Histograma_Obra!KM54</f>
        <v>46408</v>
      </c>
      <c r="JI26" s="12">
        <f>[1]HOC_Histograma_Obra!KN54</f>
        <v>46409</v>
      </c>
      <c r="JJ26" s="12">
        <f>[1]HOC_Histograma_Obra!KO54</f>
        <v>46410</v>
      </c>
      <c r="JK26" s="12">
        <f>[1]HOC_Histograma_Obra!KP54</f>
        <v>46411</v>
      </c>
      <c r="JL26" s="12">
        <f>[1]HOC_Histograma_Obra!KQ54</f>
        <v>46412</v>
      </c>
      <c r="JM26" s="12">
        <f>[1]HOC_Histograma_Obra!KR54</f>
        <v>46413</v>
      </c>
      <c r="JN26" s="12">
        <f>[1]HOC_Histograma_Obra!KS54</f>
        <v>46414</v>
      </c>
      <c r="JO26" s="12">
        <f>[1]HOC_Histograma_Obra!KT54</f>
        <v>46415</v>
      </c>
      <c r="JP26" s="12">
        <f>[1]HOC_Histograma_Obra!KU54</f>
        <v>46416</v>
      </c>
      <c r="JQ26" s="12">
        <f>[1]HOC_Histograma_Obra!KV54</f>
        <v>46417</v>
      </c>
      <c r="JR26" s="12">
        <f>[1]HOC_Histograma_Obra!KW54</f>
        <v>46418</v>
      </c>
      <c r="JS26" s="12">
        <f>[1]HOC_Histograma_Obra!KX54</f>
        <v>46419</v>
      </c>
      <c r="JT26" s="12">
        <f>[1]HOC_Histograma_Obra!KY54</f>
        <v>46420</v>
      </c>
      <c r="JU26" s="12">
        <f>[1]HOC_Histograma_Obra!KZ54</f>
        <v>46421</v>
      </c>
      <c r="JV26" s="12">
        <f>[1]HOC_Histograma_Obra!LA54</f>
        <v>46422</v>
      </c>
      <c r="JW26" s="12">
        <f>[1]HOC_Histograma_Obra!LB54</f>
        <v>46423</v>
      </c>
      <c r="JX26" s="12">
        <f>[1]HOC_Histograma_Obra!LC54</f>
        <v>46424</v>
      </c>
      <c r="JY26" s="12">
        <f>[1]HOC_Histograma_Obra!LD54</f>
        <v>46425</v>
      </c>
      <c r="JZ26" s="12">
        <f>[1]HOC_Histograma_Obra!LE54</f>
        <v>46426</v>
      </c>
      <c r="KA26" s="12">
        <f>[1]HOC_Histograma_Obra!LF54</f>
        <v>46427</v>
      </c>
      <c r="KB26" s="12">
        <f>[1]HOC_Histograma_Obra!LG54</f>
        <v>46428</v>
      </c>
      <c r="KC26" s="12">
        <f>[1]HOC_Histograma_Obra!LH54</f>
        <v>46429</v>
      </c>
      <c r="KD26" s="12">
        <f>[1]HOC_Histograma_Obra!LI54</f>
        <v>46430</v>
      </c>
      <c r="KE26" s="12">
        <f>[1]HOC_Histograma_Obra!LJ54</f>
        <v>46431</v>
      </c>
      <c r="KF26" s="12">
        <f>[1]HOC_Histograma_Obra!LK54</f>
        <v>46432</v>
      </c>
      <c r="KG26" s="12">
        <f>[1]HOC_Histograma_Obra!LL54</f>
        <v>46433</v>
      </c>
      <c r="KH26" s="12">
        <f>[1]HOC_Histograma_Obra!LM54</f>
        <v>46434</v>
      </c>
      <c r="KI26" s="12">
        <f>[1]HOC_Histograma_Obra!LN54</f>
        <v>46435</v>
      </c>
      <c r="KJ26" s="12">
        <f>[1]HOC_Histograma_Obra!LO54</f>
        <v>46436</v>
      </c>
      <c r="KK26" s="12">
        <f>[1]HOC_Histograma_Obra!LP54</f>
        <v>46437</v>
      </c>
      <c r="KL26" s="12">
        <f>[1]HOC_Histograma_Obra!LQ54</f>
        <v>46438</v>
      </c>
      <c r="KM26" s="12">
        <f>[1]HOC_Histograma_Obra!LR54</f>
        <v>46439</v>
      </c>
      <c r="KN26" s="12">
        <f>[1]HOC_Histograma_Obra!LS54</f>
        <v>46440</v>
      </c>
      <c r="KO26" s="12">
        <f>[1]HOC_Histograma_Obra!LT54</f>
        <v>46441</v>
      </c>
      <c r="KP26" s="12">
        <f>[1]HOC_Histograma_Obra!LU54</f>
        <v>46442</v>
      </c>
      <c r="KQ26" s="12">
        <f>[1]HOC_Histograma_Obra!LV54</f>
        <v>46443</v>
      </c>
      <c r="KR26" s="12">
        <f>[1]HOC_Histograma_Obra!LW54</f>
        <v>46444</v>
      </c>
      <c r="KS26" s="12">
        <f>[1]HOC_Histograma_Obra!LX54</f>
        <v>46445</v>
      </c>
      <c r="KT26" s="12">
        <f>[1]HOC_Histograma_Obra!LY54</f>
        <v>46446</v>
      </c>
      <c r="KU26" s="12">
        <f>[1]HOC_Histograma_Obra!LZ54</f>
        <v>46447</v>
      </c>
      <c r="KV26" s="12">
        <f>[1]HOC_Histograma_Obra!MA54</f>
        <v>46448</v>
      </c>
      <c r="KW26" s="12">
        <f>[1]HOC_Histograma_Obra!MB54</f>
        <v>46449</v>
      </c>
      <c r="KX26" s="12">
        <f>[1]HOC_Histograma_Obra!MC54</f>
        <v>46450</v>
      </c>
      <c r="KY26" s="12">
        <f>[1]HOC_Histograma_Obra!MD54</f>
        <v>46451</v>
      </c>
      <c r="KZ26" s="12">
        <f>[1]HOC_Histograma_Obra!ME54</f>
        <v>46452</v>
      </c>
      <c r="LA26" s="12">
        <f>[1]HOC_Histograma_Obra!MF54</f>
        <v>46453</v>
      </c>
      <c r="LB26" s="12">
        <f>[1]HOC_Histograma_Obra!MG54</f>
        <v>46454</v>
      </c>
      <c r="LC26" s="12">
        <f>[1]HOC_Histograma_Obra!MH54</f>
        <v>46455</v>
      </c>
      <c r="LD26" s="12">
        <f>[1]HOC_Histograma_Obra!MI54</f>
        <v>46456</v>
      </c>
      <c r="LE26" s="12">
        <f>[1]HOC_Histograma_Obra!MJ54</f>
        <v>46457</v>
      </c>
      <c r="LF26" s="12">
        <f>[1]HOC_Histograma_Obra!MK54</f>
        <v>46458</v>
      </c>
      <c r="LG26" s="12">
        <f>[1]HOC_Histograma_Obra!ML54</f>
        <v>46459</v>
      </c>
      <c r="LH26" s="12">
        <f>[1]HOC_Histograma_Obra!MM54</f>
        <v>46460</v>
      </c>
      <c r="LI26" s="12">
        <f>[1]HOC_Histograma_Obra!MN54</f>
        <v>46461</v>
      </c>
      <c r="LJ26" s="12">
        <f>[1]HOC_Histograma_Obra!MO54</f>
        <v>46462</v>
      </c>
      <c r="LK26" s="12">
        <f>[1]HOC_Histograma_Obra!MP54</f>
        <v>46463</v>
      </c>
      <c r="LL26" s="12">
        <f>[1]HOC_Histograma_Obra!MQ54</f>
        <v>46464</v>
      </c>
      <c r="LM26" s="12">
        <f>[1]HOC_Histograma_Obra!MR54</f>
        <v>46465</v>
      </c>
      <c r="LN26" s="12">
        <f>[1]HOC_Histograma_Obra!MS54</f>
        <v>46466</v>
      </c>
      <c r="LO26" s="12">
        <f>[1]HOC_Histograma_Obra!MT54</f>
        <v>46467</v>
      </c>
      <c r="LP26" s="12">
        <f>[1]HOC_Histograma_Obra!MU54</f>
        <v>46468</v>
      </c>
      <c r="LQ26" s="12">
        <f>[1]HOC_Histograma_Obra!MV54</f>
        <v>46469</v>
      </c>
      <c r="LR26" s="12">
        <f>[1]HOC_Histograma_Obra!MW54</f>
        <v>46470</v>
      </c>
      <c r="LS26" s="12">
        <f>[1]HOC_Histograma_Obra!MX54</f>
        <v>46471</v>
      </c>
      <c r="LT26" s="12">
        <f>[1]HOC_Histograma_Obra!MY54</f>
        <v>46472</v>
      </c>
      <c r="LU26" s="12">
        <f>[1]HOC_Histograma_Obra!MZ54</f>
        <v>46473</v>
      </c>
      <c r="LV26" s="12">
        <f>[1]HOC_Histograma_Obra!NA54</f>
        <v>46474</v>
      </c>
      <c r="LW26" s="12">
        <f>[1]HOC_Histograma_Obra!NB54</f>
        <v>46475</v>
      </c>
      <c r="LX26" s="12">
        <f>[1]HOC_Histograma_Obra!NC54</f>
        <v>46476</v>
      </c>
      <c r="LY26" s="12">
        <f>[1]HOC_Histograma_Obra!ND54</f>
        <v>46477</v>
      </c>
      <c r="LZ26" s="12">
        <f>[1]HOC_Histograma_Obra!NE54</f>
        <v>46478</v>
      </c>
      <c r="MA26" s="12">
        <f>[1]HOC_Histograma_Obra!NF54</f>
        <v>46479</v>
      </c>
      <c r="MB26" s="12">
        <f>[1]HOC_Histograma_Obra!NG54</f>
        <v>46480</v>
      </c>
      <c r="MC26" s="12">
        <f>[1]HOC_Histograma_Obra!NH54</f>
        <v>46481</v>
      </c>
      <c r="MD26" s="12">
        <f>[1]HOC_Histograma_Obra!NI54</f>
        <v>46482</v>
      </c>
      <c r="ME26" s="12">
        <f>[1]HOC_Histograma_Obra!NJ54</f>
        <v>46483</v>
      </c>
      <c r="MF26" s="12">
        <f>[1]HOC_Histograma_Obra!NK54</f>
        <v>46484</v>
      </c>
      <c r="MG26" s="12">
        <f>[1]HOC_Histograma_Obra!NL54</f>
        <v>46485</v>
      </c>
      <c r="MH26" s="12">
        <f>[1]HOC_Histograma_Obra!NM54</f>
        <v>46486</v>
      </c>
      <c r="MI26" s="12">
        <f>[1]HOC_Histograma_Obra!NN54</f>
        <v>46487</v>
      </c>
      <c r="MJ26" s="12">
        <f>[1]HOC_Histograma_Obra!NO54</f>
        <v>46488</v>
      </c>
      <c r="MK26" s="12">
        <f>[1]HOC_Histograma_Obra!NP54</f>
        <v>46489</v>
      </c>
      <c r="ML26" s="12">
        <f>[1]HOC_Histograma_Obra!NQ54</f>
        <v>46490</v>
      </c>
      <c r="MM26" s="12">
        <f>[1]HOC_Histograma_Obra!NR54</f>
        <v>46491</v>
      </c>
      <c r="MN26" s="12">
        <f>[1]HOC_Histograma_Obra!NS54</f>
        <v>46492</v>
      </c>
      <c r="MO26" s="12">
        <f>[1]HOC_Histograma_Obra!NT54</f>
        <v>46493</v>
      </c>
      <c r="MP26" s="12">
        <f>[1]HOC_Histograma_Obra!NU54</f>
        <v>46494</v>
      </c>
      <c r="MQ26" s="12">
        <f>[1]HOC_Histograma_Obra!NV54</f>
        <v>46495</v>
      </c>
      <c r="MR26" s="12">
        <f>[1]HOC_Histograma_Obra!NW54</f>
        <v>46496</v>
      </c>
      <c r="MS26" s="12">
        <f>[1]HOC_Histograma_Obra!NX54</f>
        <v>46497</v>
      </c>
      <c r="MT26" s="12">
        <f>[1]HOC_Histograma_Obra!NY54</f>
        <v>46498</v>
      </c>
      <c r="MU26" s="12">
        <f>[1]HOC_Histograma_Obra!NZ54</f>
        <v>46499</v>
      </c>
      <c r="MV26" s="12">
        <f>[1]HOC_Histograma_Obra!OA54</f>
        <v>46500</v>
      </c>
      <c r="MW26" s="12">
        <f>[1]HOC_Histograma_Obra!OB54</f>
        <v>46501</v>
      </c>
      <c r="MX26" s="12">
        <f>[1]HOC_Histograma_Obra!OC54</f>
        <v>46502</v>
      </c>
      <c r="MY26" s="12">
        <f>[1]HOC_Histograma_Obra!OD54</f>
        <v>46503</v>
      </c>
      <c r="MZ26" s="12">
        <f>[1]HOC_Histograma_Obra!OE54</f>
        <v>46504</v>
      </c>
      <c r="NA26" s="12">
        <f>[1]HOC_Histograma_Obra!OF54</f>
        <v>46505</v>
      </c>
      <c r="NB26" s="12">
        <f>[1]HOC_Histograma_Obra!OG54</f>
        <v>46506</v>
      </c>
      <c r="NC26" s="12">
        <f>[1]HOC_Histograma_Obra!OH54</f>
        <v>46507</v>
      </c>
      <c r="ND26" s="12">
        <f>[1]HOC_Histograma_Obra!OI54</f>
        <v>46508</v>
      </c>
      <c r="NE26" s="12">
        <f>[1]HOC_Histograma_Obra!OJ54</f>
        <v>46509</v>
      </c>
      <c r="NF26" s="12">
        <f>[1]HOC_Histograma_Obra!OK54</f>
        <v>46510</v>
      </c>
      <c r="NG26" s="12">
        <f>[1]HOC_Histograma_Obra!OL54</f>
        <v>46511</v>
      </c>
      <c r="NH26" s="12">
        <f>[1]HOC_Histograma_Obra!OM54</f>
        <v>46512</v>
      </c>
      <c r="NI26" s="12">
        <f>[1]HOC_Histograma_Obra!ON54</f>
        <v>46513</v>
      </c>
      <c r="NJ26" s="12">
        <f>[1]HOC_Histograma_Obra!OO54</f>
        <v>46514</v>
      </c>
      <c r="NK26" s="12">
        <f>[1]HOC_Histograma_Obra!OP54</f>
        <v>46515</v>
      </c>
      <c r="NL26" s="12">
        <f>[1]HOC_Histograma_Obra!OQ54</f>
        <v>46516</v>
      </c>
      <c r="NM26" s="12">
        <f>[1]HOC_Histograma_Obra!OR54</f>
        <v>46517</v>
      </c>
      <c r="NN26" s="12">
        <f>[1]HOC_Histograma_Obra!OS54</f>
        <v>46518</v>
      </c>
      <c r="NO26" s="12">
        <f>[1]HOC_Histograma_Obra!OT54</f>
        <v>46519</v>
      </c>
      <c r="NP26" s="12">
        <f>[1]HOC_Histograma_Obra!OU54</f>
        <v>46520</v>
      </c>
      <c r="NQ26" s="12">
        <f>[1]HOC_Histograma_Obra!OV54</f>
        <v>46521</v>
      </c>
      <c r="NR26" s="12">
        <f>[1]HOC_Histograma_Obra!OW54</f>
        <v>46522</v>
      </c>
      <c r="NS26" s="12">
        <f>[1]HOC_Histograma_Obra!OX54</f>
        <v>46523</v>
      </c>
      <c r="NT26" s="12">
        <f>[1]HOC_Histograma_Obra!OY54</f>
        <v>46524</v>
      </c>
      <c r="NU26" s="12">
        <f>[1]HOC_Histograma_Obra!OZ54</f>
        <v>46525</v>
      </c>
      <c r="NV26" s="12">
        <f>[1]HOC_Histograma_Obra!PA54</f>
        <v>46526</v>
      </c>
      <c r="NW26" s="12">
        <f>[1]HOC_Histograma_Obra!PB54</f>
        <v>46527</v>
      </c>
      <c r="NX26" s="12">
        <f>[1]HOC_Histograma_Obra!PC54</f>
        <v>46528</v>
      </c>
      <c r="NY26" s="12">
        <f>[1]HOC_Histograma_Obra!PD54</f>
        <v>46529</v>
      </c>
      <c r="NZ26" s="12">
        <f>[1]HOC_Histograma_Obra!PE54</f>
        <v>46530</v>
      </c>
      <c r="OA26" s="12">
        <f>[1]HOC_Histograma_Obra!PF54</f>
        <v>46531</v>
      </c>
      <c r="OB26" s="12">
        <f>[1]HOC_Histograma_Obra!PG54</f>
        <v>46532</v>
      </c>
      <c r="OC26" s="12">
        <f>[1]HOC_Histograma_Obra!PH54</f>
        <v>46533</v>
      </c>
      <c r="OD26" s="12">
        <f>[1]HOC_Histograma_Obra!PI54</f>
        <v>46534</v>
      </c>
      <c r="OE26" s="12">
        <f>[1]HOC_Histograma_Obra!PJ54</f>
        <v>46535</v>
      </c>
      <c r="OF26" s="12">
        <f>[1]HOC_Histograma_Obra!PK54</f>
        <v>46536</v>
      </c>
      <c r="OG26" s="12">
        <f>[1]HOC_Histograma_Obra!PL54</f>
        <v>46537</v>
      </c>
      <c r="OH26" s="12">
        <f>[1]HOC_Histograma_Obra!PM54</f>
        <v>46538</v>
      </c>
      <c r="OI26" s="12">
        <f>[1]HOC_Histograma_Obra!PN54</f>
        <v>46539</v>
      </c>
      <c r="OJ26" s="12">
        <f>[1]HOC_Histograma_Obra!PO54</f>
        <v>46540</v>
      </c>
      <c r="OK26" s="12">
        <f>[1]HOC_Histograma_Obra!PP54</f>
        <v>46541</v>
      </c>
      <c r="OL26" s="12">
        <f>[1]HOC_Histograma_Obra!PQ54</f>
        <v>46542</v>
      </c>
      <c r="OM26" s="12">
        <f>[1]HOC_Histograma_Obra!PR54</f>
        <v>46543</v>
      </c>
      <c r="ON26" s="12">
        <f>[1]HOC_Histograma_Obra!PS54</f>
        <v>46544</v>
      </c>
      <c r="OO26" s="12">
        <f>[1]HOC_Histograma_Obra!PT54</f>
        <v>46545</v>
      </c>
      <c r="OP26" s="12">
        <f>[1]HOC_Histograma_Obra!PU54</f>
        <v>46546</v>
      </c>
      <c r="OQ26" s="12">
        <f>[1]HOC_Histograma_Obra!PV54</f>
        <v>46547</v>
      </c>
      <c r="OR26" s="12">
        <f>[1]HOC_Histograma_Obra!PW54</f>
        <v>46548</v>
      </c>
      <c r="OS26" s="12">
        <f>[1]HOC_Histograma_Obra!PX54</f>
        <v>46549</v>
      </c>
      <c r="OT26" s="12">
        <f>[1]HOC_Histograma_Obra!PY54</f>
        <v>46550</v>
      </c>
      <c r="OU26" s="12">
        <f>[1]HOC_Histograma_Obra!PZ54</f>
        <v>46551</v>
      </c>
      <c r="OV26" s="12">
        <f>[1]HOC_Histograma_Obra!QA54</f>
        <v>46552</v>
      </c>
      <c r="OW26" s="12">
        <f>[1]HOC_Histograma_Obra!QB54</f>
        <v>46553</v>
      </c>
      <c r="OX26" s="12">
        <f>[1]HOC_Histograma_Obra!QC54</f>
        <v>46554</v>
      </c>
      <c r="OY26" s="12">
        <f>[1]HOC_Histograma_Obra!QD54</f>
        <v>46555</v>
      </c>
      <c r="OZ26" s="12">
        <f>[1]HOC_Histograma_Obra!QE54</f>
        <v>46556</v>
      </c>
      <c r="PA26" s="12">
        <f>[1]HOC_Histograma_Obra!QF54</f>
        <v>46557</v>
      </c>
      <c r="PB26" s="12">
        <f>[1]HOC_Histograma_Obra!QG54</f>
        <v>46558</v>
      </c>
      <c r="PC26" s="12">
        <f>[1]HOC_Histograma_Obra!QH54</f>
        <v>46559</v>
      </c>
      <c r="PD26" s="12">
        <f>[1]HOC_Histograma_Obra!QI54</f>
        <v>46560</v>
      </c>
      <c r="PE26" s="12">
        <f>[1]HOC_Histograma_Obra!QJ54</f>
        <v>46561</v>
      </c>
      <c r="PF26" s="12">
        <f>[1]HOC_Histograma_Obra!QK54</f>
        <v>46562</v>
      </c>
      <c r="PG26" s="12">
        <f>[1]HOC_Histograma_Obra!QL54</f>
        <v>46563</v>
      </c>
      <c r="PH26" s="12">
        <f>[1]HOC_Histograma_Obra!QM54</f>
        <v>46564</v>
      </c>
      <c r="PI26" s="12">
        <f>[1]HOC_Histograma_Obra!QN54</f>
        <v>46565</v>
      </c>
      <c r="PJ26" s="12">
        <f>[1]HOC_Histograma_Obra!QO54</f>
        <v>46566</v>
      </c>
      <c r="PK26" s="12">
        <f>[1]HOC_Histograma_Obra!QP54</f>
        <v>46567</v>
      </c>
      <c r="PL26" s="12">
        <f>[1]HOC_Histograma_Obra!QQ54</f>
        <v>46568</v>
      </c>
      <c r="PM26" s="12">
        <f>[1]HOC_Histograma_Obra!QR54</f>
        <v>46569</v>
      </c>
      <c r="PN26" s="12">
        <f>[1]HOC_Histograma_Obra!QS54</f>
        <v>46570</v>
      </c>
      <c r="PO26" s="12">
        <f>[1]HOC_Histograma_Obra!QT54</f>
        <v>46571</v>
      </c>
      <c r="PP26" s="12">
        <f>[1]HOC_Histograma_Obra!QU54</f>
        <v>46572</v>
      </c>
      <c r="PQ26" s="12">
        <f>[1]HOC_Histograma_Obra!QV54</f>
        <v>46573</v>
      </c>
      <c r="PR26" s="12">
        <f>[1]HOC_Histograma_Obra!QW54</f>
        <v>46574</v>
      </c>
      <c r="PS26" s="12">
        <f>[1]HOC_Histograma_Obra!QX54</f>
        <v>46575</v>
      </c>
      <c r="PT26" s="12">
        <f>[1]HOC_Histograma_Obra!QY54</f>
        <v>46576</v>
      </c>
      <c r="PU26" s="12">
        <f>[1]HOC_Histograma_Obra!QZ54</f>
        <v>46577</v>
      </c>
      <c r="PV26" s="12">
        <f>[1]HOC_Histograma_Obra!RA54</f>
        <v>46578</v>
      </c>
      <c r="PW26" s="12">
        <f>[1]HOC_Histograma_Obra!RB54</f>
        <v>46579</v>
      </c>
      <c r="PX26" s="12">
        <f>[1]HOC_Histograma_Obra!RC54</f>
        <v>46580</v>
      </c>
      <c r="PY26" s="12">
        <f>[1]HOC_Histograma_Obra!RD54</f>
        <v>46581</v>
      </c>
      <c r="PZ26" s="12">
        <f>[1]HOC_Histograma_Obra!RE54</f>
        <v>46582</v>
      </c>
      <c r="QA26" s="12">
        <f>[1]HOC_Histograma_Obra!RF54</f>
        <v>46583</v>
      </c>
      <c r="QB26" s="12">
        <f>[1]HOC_Histograma_Obra!RG54</f>
        <v>46584</v>
      </c>
      <c r="QC26" s="12">
        <f>[1]HOC_Histograma_Obra!RH54</f>
        <v>46585</v>
      </c>
      <c r="QD26" s="12">
        <f>[1]HOC_Histograma_Obra!RI54</f>
        <v>46586</v>
      </c>
      <c r="QE26" s="12">
        <f>[1]HOC_Histograma_Obra!RJ54</f>
        <v>46587</v>
      </c>
      <c r="QF26" s="12">
        <f>[1]HOC_Histograma_Obra!RK54</f>
        <v>46588</v>
      </c>
      <c r="QG26" s="12">
        <f>[1]HOC_Histograma_Obra!RL54</f>
        <v>46589</v>
      </c>
      <c r="QH26" s="12">
        <f>[1]HOC_Histograma_Obra!RM54</f>
        <v>46590</v>
      </c>
      <c r="QI26" s="12">
        <f>[1]HOC_Histograma_Obra!RN54</f>
        <v>46591</v>
      </c>
      <c r="QJ26" s="12">
        <f>[1]HOC_Histograma_Obra!RO54</f>
        <v>46592</v>
      </c>
      <c r="QK26" s="12">
        <f>[1]HOC_Histograma_Obra!RP54</f>
        <v>46593</v>
      </c>
      <c r="QL26" s="12">
        <f>[1]HOC_Histograma_Obra!RQ54</f>
        <v>46594</v>
      </c>
      <c r="QM26" s="12">
        <f>[1]HOC_Histograma_Obra!RR54</f>
        <v>46595</v>
      </c>
      <c r="QN26" s="12">
        <f>[1]HOC_Histograma_Obra!RS54</f>
        <v>46596</v>
      </c>
      <c r="QO26" s="12">
        <f>[1]HOC_Histograma_Obra!RT54</f>
        <v>46597</v>
      </c>
      <c r="QP26" s="12">
        <f>[1]HOC_Histograma_Obra!RU54</f>
        <v>46598</v>
      </c>
      <c r="QQ26" s="12">
        <f>[1]HOC_Histograma_Obra!RV54</f>
        <v>46599</v>
      </c>
      <c r="QR26" s="12">
        <f>[1]HOC_Histograma_Obra!RW54</f>
        <v>46600</v>
      </c>
      <c r="QS26" s="12">
        <f>[1]HOC_Histograma_Obra!RX54</f>
        <v>46601</v>
      </c>
      <c r="QT26" s="12">
        <f>[1]HOC_Histograma_Obra!RY54</f>
        <v>46602</v>
      </c>
      <c r="QU26" s="12">
        <f>[1]HOC_Histograma_Obra!RZ54</f>
        <v>46603</v>
      </c>
      <c r="QV26" s="12">
        <f>[1]HOC_Histograma_Obra!SA54</f>
        <v>46604</v>
      </c>
      <c r="QW26" s="12">
        <f>[1]HOC_Histograma_Obra!SB54</f>
        <v>46605</v>
      </c>
      <c r="QX26" s="12">
        <f>[1]HOC_Histograma_Obra!SC54</f>
        <v>46606</v>
      </c>
      <c r="QY26" s="12">
        <f>[1]HOC_Histograma_Obra!SD54</f>
        <v>46607</v>
      </c>
      <c r="QZ26" s="12">
        <f>[1]HOC_Histograma_Obra!SE54</f>
        <v>46608</v>
      </c>
      <c r="RA26" s="12">
        <f>[1]HOC_Histograma_Obra!SF54</f>
        <v>46609</v>
      </c>
      <c r="RB26" s="12">
        <f>[1]HOC_Histograma_Obra!SG54</f>
        <v>46610</v>
      </c>
      <c r="RC26" s="12">
        <f>[1]HOC_Histograma_Obra!SH54</f>
        <v>46611</v>
      </c>
      <c r="RD26" s="12">
        <f>[1]HOC_Histograma_Obra!SI54</f>
        <v>46612</v>
      </c>
      <c r="RE26" s="12">
        <f>[1]HOC_Histograma_Obra!SJ54</f>
        <v>46613</v>
      </c>
      <c r="RF26" s="12">
        <f>[1]HOC_Histograma_Obra!SK54</f>
        <v>46614</v>
      </c>
      <c r="RG26" s="12">
        <f>[1]HOC_Histograma_Obra!SL54</f>
        <v>46615</v>
      </c>
      <c r="RH26" s="12">
        <f>[1]HOC_Histograma_Obra!SM54</f>
        <v>46616</v>
      </c>
      <c r="RI26" s="12">
        <f>[1]HOC_Histograma_Obra!SN54</f>
        <v>46617</v>
      </c>
      <c r="RJ26" s="12">
        <f>[1]HOC_Histograma_Obra!SO54</f>
        <v>46618</v>
      </c>
      <c r="RK26" s="12">
        <f>[1]HOC_Histograma_Obra!SP54</f>
        <v>46619</v>
      </c>
      <c r="RL26" s="12">
        <f>[1]HOC_Histograma_Obra!SQ54</f>
        <v>46620</v>
      </c>
      <c r="RM26" s="12">
        <f>[1]HOC_Histograma_Obra!SR54</f>
        <v>46621</v>
      </c>
      <c r="RN26" s="12">
        <f>[1]HOC_Histograma_Obra!SS54</f>
        <v>46622</v>
      </c>
      <c r="RO26" s="12">
        <f>[1]HOC_Histograma_Obra!ST54</f>
        <v>46623</v>
      </c>
      <c r="RP26" s="12">
        <f>[1]HOC_Histograma_Obra!SU54</f>
        <v>46624</v>
      </c>
      <c r="RQ26" s="12">
        <f>[1]HOC_Histograma_Obra!SV54</f>
        <v>46625</v>
      </c>
      <c r="RR26" s="12">
        <f>[1]HOC_Histograma_Obra!SW54</f>
        <v>46626</v>
      </c>
      <c r="RS26" s="12">
        <f>[1]HOC_Histograma_Obra!SX54</f>
        <v>46627</v>
      </c>
      <c r="RT26" s="12">
        <f>[1]HOC_Histograma_Obra!SY54</f>
        <v>46628</v>
      </c>
      <c r="RU26" s="12">
        <f>[1]HOC_Histograma_Obra!SZ54</f>
        <v>46629</v>
      </c>
      <c r="RV26" s="12">
        <f>[1]HOC_Histograma_Obra!TA54</f>
        <v>46630</v>
      </c>
      <c r="RW26" s="12">
        <f>[1]HOC_Histograma_Obra!TB54</f>
        <v>46631</v>
      </c>
      <c r="RX26" s="12">
        <f>[1]HOC_Histograma_Obra!TC54</f>
        <v>46632</v>
      </c>
      <c r="RY26" s="12">
        <f>[1]HOC_Histograma_Obra!TD54</f>
        <v>46633</v>
      </c>
      <c r="RZ26" s="12">
        <f>[1]HOC_Histograma_Obra!TE54</f>
        <v>46634</v>
      </c>
      <c r="SA26" s="12">
        <f>[1]HOC_Histograma_Obra!TF54</f>
        <v>46635</v>
      </c>
      <c r="SB26" s="12">
        <f>[1]HOC_Histograma_Obra!TG54</f>
        <v>46636</v>
      </c>
      <c r="SC26" s="12">
        <f>[1]HOC_Histograma_Obra!TH54</f>
        <v>46637</v>
      </c>
      <c r="SD26" s="12">
        <f>[1]HOC_Histograma_Obra!TI54</f>
        <v>46638</v>
      </c>
      <c r="SE26" s="12">
        <f>[1]HOC_Histograma_Obra!TJ54</f>
        <v>46639</v>
      </c>
      <c r="SF26" s="12">
        <f>[1]HOC_Histograma_Obra!TK54</f>
        <v>46640</v>
      </c>
      <c r="SG26" s="12">
        <f>[1]HOC_Histograma_Obra!TL54</f>
        <v>46641</v>
      </c>
      <c r="SH26" s="12">
        <f>[1]HOC_Histograma_Obra!TM54</f>
        <v>46642</v>
      </c>
      <c r="SI26" s="12">
        <f>[1]HOC_Histograma_Obra!TN54</f>
        <v>46643</v>
      </c>
      <c r="SJ26" s="12">
        <f>[1]HOC_Histograma_Obra!TO54</f>
        <v>46644</v>
      </c>
      <c r="SK26" s="12">
        <f>[1]HOC_Histograma_Obra!TP54</f>
        <v>46645</v>
      </c>
      <c r="SL26" s="12">
        <f>[1]HOC_Histograma_Obra!TQ54</f>
        <v>46646</v>
      </c>
      <c r="SM26" s="12">
        <f>[1]HOC_Histograma_Obra!TR54</f>
        <v>46647</v>
      </c>
      <c r="SN26" s="12">
        <f>[1]HOC_Histograma_Obra!TS54</f>
        <v>46648</v>
      </c>
      <c r="SO26" s="12">
        <f>[1]HOC_Histograma_Obra!TT54</f>
        <v>46649</v>
      </c>
      <c r="SP26" s="12">
        <f>[1]HOC_Histograma_Obra!TU54</f>
        <v>46650</v>
      </c>
      <c r="SQ26" s="12">
        <f>[1]HOC_Histograma_Obra!TV54</f>
        <v>46651</v>
      </c>
      <c r="SR26" s="12">
        <f>[1]HOC_Histograma_Obra!TW54</f>
        <v>46652</v>
      </c>
      <c r="SS26" s="12">
        <f>[1]HOC_Histograma_Obra!TX54</f>
        <v>46653</v>
      </c>
      <c r="ST26" s="12">
        <f>[1]HOC_Histograma_Obra!TY54</f>
        <v>46654</v>
      </c>
      <c r="SU26" s="12">
        <f>[1]HOC_Histograma_Obra!TZ54</f>
        <v>46655</v>
      </c>
      <c r="SV26" s="12">
        <f>[1]HOC_Histograma_Obra!UA54</f>
        <v>46656</v>
      </c>
      <c r="SW26" s="12">
        <f>[1]HOC_Histograma_Obra!UB54</f>
        <v>46657</v>
      </c>
      <c r="SX26" s="12">
        <f>[1]HOC_Histograma_Obra!UC54</f>
        <v>46658</v>
      </c>
      <c r="SY26" s="12">
        <f>[1]HOC_Histograma_Obra!UD54</f>
        <v>46659</v>
      </c>
      <c r="SZ26" s="12">
        <f>[1]HOC_Histograma_Obra!UE54</f>
        <v>46660</v>
      </c>
      <c r="TA26" s="12">
        <f>[1]HOC_Histograma_Obra!UF54</f>
        <v>46661</v>
      </c>
      <c r="TB26" s="12">
        <f>[1]HOC_Histograma_Obra!UG54</f>
        <v>46662</v>
      </c>
      <c r="TC26" s="12">
        <f>[1]HOC_Histograma_Obra!UH54</f>
        <v>46663</v>
      </c>
      <c r="TD26" s="12">
        <f>[1]HOC_Histograma_Obra!UI54</f>
        <v>46664</v>
      </c>
      <c r="TE26" s="12">
        <f>[1]HOC_Histograma_Obra!UJ54</f>
        <v>46665</v>
      </c>
      <c r="TF26" s="12">
        <f>[1]HOC_Histograma_Obra!UK54</f>
        <v>46666</v>
      </c>
      <c r="TG26" s="12">
        <f>[1]HOC_Histograma_Obra!UL54</f>
        <v>46667</v>
      </c>
      <c r="TH26" s="12">
        <f>[1]HOC_Histograma_Obra!UM54</f>
        <v>46668</v>
      </c>
      <c r="TI26" s="12">
        <f>[1]HOC_Histograma_Obra!UN54</f>
        <v>46669</v>
      </c>
      <c r="TJ26" s="12">
        <f>[1]HOC_Histograma_Obra!UO54</f>
        <v>46670</v>
      </c>
      <c r="TK26" s="12">
        <f>[1]HOC_Histograma_Obra!UP54</f>
        <v>46671</v>
      </c>
      <c r="TL26" s="12">
        <f>[1]HOC_Histograma_Obra!UQ54</f>
        <v>46672</v>
      </c>
      <c r="TM26" s="12">
        <f>[1]HOC_Histograma_Obra!UR54</f>
        <v>46673</v>
      </c>
      <c r="TN26" s="12">
        <f>[1]HOC_Histograma_Obra!US54</f>
        <v>46674</v>
      </c>
      <c r="TO26" s="12">
        <f>[1]HOC_Histograma_Obra!UT54</f>
        <v>46675</v>
      </c>
      <c r="TP26" s="12">
        <f>[1]HOC_Histograma_Obra!UU54</f>
        <v>46676</v>
      </c>
      <c r="TQ26" s="12">
        <f>[1]HOC_Histograma_Obra!UV54</f>
        <v>46677</v>
      </c>
      <c r="TR26" s="12">
        <f>[1]HOC_Histograma_Obra!UW54</f>
        <v>46678</v>
      </c>
      <c r="TS26" s="12">
        <f>[1]HOC_Histograma_Obra!UX54</f>
        <v>46679</v>
      </c>
      <c r="TT26" s="12">
        <f>[1]HOC_Histograma_Obra!UY54</f>
        <v>46680</v>
      </c>
      <c r="TU26" s="12">
        <f>[1]HOC_Histograma_Obra!UZ54</f>
        <v>46681</v>
      </c>
      <c r="TV26" s="12">
        <f>[1]HOC_Histograma_Obra!VA54</f>
        <v>46682</v>
      </c>
      <c r="TW26" s="12">
        <f>[1]HOC_Histograma_Obra!VB54</f>
        <v>46683</v>
      </c>
      <c r="TX26" s="12">
        <f>[1]HOC_Histograma_Obra!VC54</f>
        <v>46684</v>
      </c>
      <c r="TY26" s="12">
        <f>[1]HOC_Histograma_Obra!VD54</f>
        <v>46685</v>
      </c>
      <c r="TZ26" s="12">
        <f>[1]HOC_Histograma_Obra!VE54</f>
        <v>46686</v>
      </c>
      <c r="UA26" s="12">
        <f>[1]HOC_Histograma_Obra!VF54</f>
        <v>46687</v>
      </c>
      <c r="UB26" s="12">
        <f>[1]HOC_Histograma_Obra!VG54</f>
        <v>46688</v>
      </c>
      <c r="UC26" s="12">
        <f>[1]HOC_Histograma_Obra!VH54</f>
        <v>46689</v>
      </c>
      <c r="UD26" s="12">
        <f>[1]HOC_Histograma_Obra!VI54</f>
        <v>46690</v>
      </c>
      <c r="UE26" s="12">
        <f>[1]HOC_Histograma_Obra!VJ54</f>
        <v>46691</v>
      </c>
      <c r="UF26" s="12">
        <f>[1]HOC_Histograma_Obra!VK54</f>
        <v>46692</v>
      </c>
      <c r="UG26" s="12">
        <f>[1]HOC_Histograma_Obra!VL54</f>
        <v>46693</v>
      </c>
      <c r="UH26" s="12">
        <f>[1]HOC_Histograma_Obra!VM54</f>
        <v>46694</v>
      </c>
      <c r="UI26" s="12">
        <f>[1]HOC_Histograma_Obra!VN54</f>
        <v>46695</v>
      </c>
      <c r="UJ26" s="12">
        <f>[1]HOC_Histograma_Obra!VO54</f>
        <v>46696</v>
      </c>
      <c r="UK26" s="12">
        <f>[1]HOC_Histograma_Obra!VP54</f>
        <v>46697</v>
      </c>
      <c r="UL26" s="12">
        <f>[1]HOC_Histograma_Obra!VQ54</f>
        <v>46698</v>
      </c>
      <c r="UM26" s="12">
        <f>[1]HOC_Histograma_Obra!VR54</f>
        <v>46699</v>
      </c>
      <c r="UN26" s="12">
        <f>[1]HOC_Histograma_Obra!VS54</f>
        <v>46700</v>
      </c>
      <c r="UO26" s="12">
        <f>[1]HOC_Histograma_Obra!VT54</f>
        <v>46701</v>
      </c>
      <c r="UP26" s="12">
        <f>[1]HOC_Histograma_Obra!VU54</f>
        <v>46702</v>
      </c>
      <c r="UQ26" s="12">
        <f>[1]HOC_Histograma_Obra!VV54</f>
        <v>46703</v>
      </c>
      <c r="UR26" s="12">
        <f>[1]HOC_Histograma_Obra!VW54</f>
        <v>46704</v>
      </c>
      <c r="US26" s="12">
        <f>[1]HOC_Histograma_Obra!VX54</f>
        <v>46705</v>
      </c>
      <c r="UT26" s="12">
        <f>[1]HOC_Histograma_Obra!VY54</f>
        <v>46706</v>
      </c>
      <c r="UU26" s="12">
        <f>[1]HOC_Histograma_Obra!VZ54</f>
        <v>46707</v>
      </c>
      <c r="UV26" s="12">
        <f>[1]HOC_Histograma_Obra!WA54</f>
        <v>46708</v>
      </c>
      <c r="UW26" s="12">
        <f>[1]HOC_Histograma_Obra!WB54</f>
        <v>46709</v>
      </c>
      <c r="UX26" s="12">
        <f>[1]HOC_Histograma_Obra!WC54</f>
        <v>46710</v>
      </c>
      <c r="UY26" s="12">
        <f>[1]HOC_Histograma_Obra!WD54</f>
        <v>46711</v>
      </c>
      <c r="UZ26" s="12">
        <f>[1]HOC_Histograma_Obra!WE54</f>
        <v>46712</v>
      </c>
      <c r="VA26" s="12">
        <f>[1]HOC_Histograma_Obra!WF54</f>
        <v>46713</v>
      </c>
      <c r="VB26" s="12">
        <f>[1]HOC_Histograma_Obra!WG54</f>
        <v>46714</v>
      </c>
      <c r="VC26" s="12">
        <f>[1]HOC_Histograma_Obra!WH54</f>
        <v>46715</v>
      </c>
      <c r="VD26" s="12">
        <f>[1]HOC_Histograma_Obra!WI54</f>
        <v>46716</v>
      </c>
      <c r="VE26" s="12">
        <f>[1]HOC_Histograma_Obra!WJ54</f>
        <v>46717</v>
      </c>
      <c r="VF26" s="12">
        <f>[1]HOC_Histograma_Obra!WK54</f>
        <v>46718</v>
      </c>
      <c r="VG26" s="12">
        <f>[1]HOC_Histograma_Obra!WL54</f>
        <v>46719</v>
      </c>
      <c r="VH26" s="12">
        <f>[1]HOC_Histograma_Obra!WM54</f>
        <v>46720</v>
      </c>
      <c r="VI26" s="12">
        <f>[1]HOC_Histograma_Obra!WN54</f>
        <v>46721</v>
      </c>
      <c r="VJ26" s="12">
        <f>[1]HOC_Histograma_Obra!WO54</f>
        <v>46722</v>
      </c>
      <c r="VK26" s="12">
        <f>[1]HOC_Histograma_Obra!WP54</f>
        <v>46723</v>
      </c>
      <c r="VL26" s="12">
        <f>[1]HOC_Histograma_Obra!WQ54</f>
        <v>46724</v>
      </c>
      <c r="VM26" s="12">
        <f>[1]HOC_Histograma_Obra!WR54</f>
        <v>46725</v>
      </c>
      <c r="VN26" s="12">
        <f>[1]HOC_Histograma_Obra!WS54</f>
        <v>46726</v>
      </c>
      <c r="VO26" s="12">
        <f>[1]HOC_Histograma_Obra!WT54</f>
        <v>46727</v>
      </c>
      <c r="VP26" s="12">
        <f>[1]HOC_Histograma_Obra!WU54</f>
        <v>46728</v>
      </c>
      <c r="VQ26" s="12">
        <f>[1]HOC_Histograma_Obra!WV54</f>
        <v>46729</v>
      </c>
      <c r="VR26" s="12">
        <f>[1]HOC_Histograma_Obra!WW54</f>
        <v>46730</v>
      </c>
      <c r="VS26" s="12">
        <f>[1]HOC_Histograma_Obra!WX54</f>
        <v>46731</v>
      </c>
      <c r="VT26" s="12">
        <f>[1]HOC_Histograma_Obra!WY54</f>
        <v>46732</v>
      </c>
      <c r="VU26" s="12">
        <f>[1]HOC_Histograma_Obra!WZ54</f>
        <v>46733</v>
      </c>
      <c r="VV26" s="12">
        <f>[1]HOC_Histograma_Obra!XA54</f>
        <v>46734</v>
      </c>
      <c r="VW26" s="12">
        <f>[1]HOC_Histograma_Obra!XB54</f>
        <v>46735</v>
      </c>
      <c r="VX26" s="12">
        <f>[1]HOC_Histograma_Obra!XC54</f>
        <v>46736</v>
      </c>
      <c r="VY26" s="12">
        <f>[1]HOC_Histograma_Obra!XD54</f>
        <v>46737</v>
      </c>
      <c r="VZ26" s="12">
        <f>[1]HOC_Histograma_Obra!XE54</f>
        <v>46738</v>
      </c>
      <c r="WA26" s="12">
        <f>[1]HOC_Histograma_Obra!XF54</f>
        <v>46739</v>
      </c>
      <c r="WB26" s="12">
        <f>[1]HOC_Histograma_Obra!XG54</f>
        <v>46740</v>
      </c>
      <c r="WC26" s="12">
        <f>[1]HOC_Histograma_Obra!XH54</f>
        <v>46741</v>
      </c>
      <c r="WD26" s="12">
        <f>[1]HOC_Histograma_Obra!XI54</f>
        <v>46742</v>
      </c>
      <c r="WE26" s="12">
        <f>[1]HOC_Histograma_Obra!XJ54</f>
        <v>46743</v>
      </c>
      <c r="WF26" s="12">
        <f>[1]HOC_Histograma_Obra!XK54</f>
        <v>46744</v>
      </c>
      <c r="WG26" s="12">
        <f>[1]HOC_Histograma_Obra!XL54</f>
        <v>46745</v>
      </c>
      <c r="WH26" s="12">
        <f>[1]HOC_Histograma_Obra!XM54</f>
        <v>46746</v>
      </c>
      <c r="WI26" s="12">
        <f>[1]HOC_Histograma_Obra!XN54</f>
        <v>46747</v>
      </c>
      <c r="WJ26" s="12">
        <f>[1]HOC_Histograma_Obra!XO54</f>
        <v>46748</v>
      </c>
      <c r="WK26" s="12">
        <f>[1]HOC_Histograma_Obra!XP54</f>
        <v>46749</v>
      </c>
      <c r="WL26" s="12">
        <f>[1]HOC_Histograma_Obra!XQ54</f>
        <v>46750</v>
      </c>
      <c r="WM26" s="12">
        <f>[1]HOC_Histograma_Obra!XR54</f>
        <v>46751</v>
      </c>
      <c r="WN26" s="12">
        <f>[1]HOC_Histograma_Obra!XS54</f>
        <v>46752</v>
      </c>
      <c r="WO26" s="12">
        <f>[1]HOC_Histograma_Obra!XT54</f>
        <v>46753</v>
      </c>
      <c r="WP26" s="12">
        <f>[1]HOC_Histograma_Obra!XU54</f>
        <v>46754</v>
      </c>
      <c r="WQ26" s="12">
        <f>[1]HOC_Histograma_Obra!XV54</f>
        <v>46755</v>
      </c>
      <c r="WR26" s="12">
        <f>[1]HOC_Histograma_Obra!XW54</f>
        <v>46756</v>
      </c>
      <c r="WS26" s="12">
        <f>[1]HOC_Histograma_Obra!XX54</f>
        <v>46757</v>
      </c>
      <c r="WT26" s="12">
        <f>[1]HOC_Histograma_Obra!XY54</f>
        <v>46758</v>
      </c>
      <c r="WU26" s="12">
        <f>[1]HOC_Histograma_Obra!XZ54</f>
        <v>46759</v>
      </c>
      <c r="WV26" s="12">
        <f>[1]HOC_Histograma_Obra!YA54</f>
        <v>46760</v>
      </c>
      <c r="WW26" s="12">
        <f>[1]HOC_Histograma_Obra!YB54</f>
        <v>46761</v>
      </c>
      <c r="WX26" s="12">
        <f>[1]HOC_Histograma_Obra!YC54</f>
        <v>46762</v>
      </c>
      <c r="WY26" s="12">
        <f>[1]HOC_Histograma_Obra!YD54</f>
        <v>46763</v>
      </c>
      <c r="WZ26" s="12">
        <f>[1]HOC_Histograma_Obra!YE54</f>
        <v>46764</v>
      </c>
      <c r="XA26" s="12">
        <f>[1]HOC_Histograma_Obra!YF54</f>
        <v>46765</v>
      </c>
      <c r="XB26" s="12">
        <f>[1]HOC_Histograma_Obra!YG54</f>
        <v>46766</v>
      </c>
      <c r="XC26" s="12">
        <f>[1]HOC_Histograma_Obra!YH54</f>
        <v>46767</v>
      </c>
      <c r="XD26" s="12">
        <f>[1]HOC_Histograma_Obra!YI54</f>
        <v>46768</v>
      </c>
      <c r="XE26" s="12">
        <f>[1]HOC_Histograma_Obra!YJ54</f>
        <v>46769</v>
      </c>
      <c r="XF26" s="12">
        <f>[1]HOC_Histograma_Obra!YK54</f>
        <v>46770</v>
      </c>
      <c r="XG26" s="12">
        <f>[1]HOC_Histograma_Obra!YL54</f>
        <v>46771</v>
      </c>
      <c r="XH26" s="12">
        <f>[1]HOC_Histograma_Obra!YM54</f>
        <v>46772</v>
      </c>
      <c r="XI26" s="12">
        <f>[1]HOC_Histograma_Obra!YN54</f>
        <v>46773</v>
      </c>
      <c r="XJ26" s="12">
        <f>[1]HOC_Histograma_Obra!YO54</f>
        <v>46774</v>
      </c>
      <c r="XK26" s="12">
        <f>[1]HOC_Histograma_Obra!YP54</f>
        <v>46775</v>
      </c>
      <c r="XL26" s="12">
        <f>[1]HOC_Histograma_Obra!YQ54</f>
        <v>46776</v>
      </c>
      <c r="XM26" s="12">
        <f>[1]HOC_Histograma_Obra!YR54</f>
        <v>46777</v>
      </c>
      <c r="XN26" s="12">
        <f>[1]HOC_Histograma_Obra!YS54</f>
        <v>46778</v>
      </c>
      <c r="XO26" s="12">
        <f>[1]HOC_Histograma_Obra!YT54</f>
        <v>46779</v>
      </c>
      <c r="XP26" s="12">
        <f>[1]HOC_Histograma_Obra!YU54</f>
        <v>46780</v>
      </c>
      <c r="XQ26" s="12">
        <f>[1]HOC_Histograma_Obra!YV54</f>
        <v>46781</v>
      </c>
      <c r="XR26" s="12">
        <f>[1]HOC_Histograma_Obra!YW54</f>
        <v>46782</v>
      </c>
      <c r="XS26" s="12">
        <f>[1]HOC_Histograma_Obra!YX54</f>
        <v>46783</v>
      </c>
      <c r="XT26" s="12">
        <f>[1]HOC_Histograma_Obra!YY54</f>
        <v>46784</v>
      </c>
      <c r="XU26" s="12">
        <f>[1]HOC_Histograma_Obra!YZ54</f>
        <v>46785</v>
      </c>
      <c r="XV26" s="12">
        <f>[1]HOC_Histograma_Obra!ZA54</f>
        <v>46786</v>
      </c>
      <c r="XW26" s="12">
        <f>[1]HOC_Histograma_Obra!ZB54</f>
        <v>46787</v>
      </c>
      <c r="XX26" s="12">
        <f>[1]HOC_Histograma_Obra!ZC54</f>
        <v>46788</v>
      </c>
      <c r="XY26" s="12">
        <f>[1]HOC_Histograma_Obra!ZD54</f>
        <v>46789</v>
      </c>
      <c r="XZ26" s="12">
        <f>[1]HOC_Histograma_Obra!ZE54</f>
        <v>46790</v>
      </c>
      <c r="YA26" s="12">
        <f>[1]HOC_Histograma_Obra!ZF54</f>
        <v>46791</v>
      </c>
      <c r="YB26" s="12">
        <f>[1]HOC_Histograma_Obra!ZG54</f>
        <v>46792</v>
      </c>
      <c r="YC26" s="12">
        <f>[1]HOC_Histograma_Obra!ZH54</f>
        <v>46793</v>
      </c>
      <c r="YD26" s="12">
        <f>[1]HOC_Histograma_Obra!ZI54</f>
        <v>46794</v>
      </c>
      <c r="YE26" s="12">
        <f>[1]HOC_Histograma_Obra!ZJ54</f>
        <v>46795</v>
      </c>
      <c r="YF26" s="12">
        <f>[1]HOC_Histograma_Obra!ZK54</f>
        <v>46796</v>
      </c>
      <c r="YG26" s="12">
        <f>[1]HOC_Histograma_Obra!ZL54</f>
        <v>46797</v>
      </c>
      <c r="YH26" s="12">
        <f>[1]HOC_Histograma_Obra!ZM54</f>
        <v>46798</v>
      </c>
      <c r="YI26" s="12">
        <f>[1]HOC_Histograma_Obra!ZN54</f>
        <v>46799</v>
      </c>
      <c r="YJ26" s="12">
        <f>[1]HOC_Histograma_Obra!ZO54</f>
        <v>46800</v>
      </c>
      <c r="YK26" s="12">
        <f>[1]HOC_Histograma_Obra!ZP54</f>
        <v>46801</v>
      </c>
      <c r="YL26" s="12">
        <f>[1]HOC_Histograma_Obra!ZQ54</f>
        <v>46802</v>
      </c>
      <c r="YM26" s="12">
        <f>[1]HOC_Histograma_Obra!ZR54</f>
        <v>46803</v>
      </c>
      <c r="YN26" s="12">
        <f>[1]HOC_Histograma_Obra!ZS54</f>
        <v>46804</v>
      </c>
      <c r="YO26" s="12">
        <f>[1]HOC_Histograma_Obra!ZT54</f>
        <v>46805</v>
      </c>
      <c r="YP26" s="12">
        <f>[1]HOC_Histograma_Obra!ZU54</f>
        <v>46806</v>
      </c>
      <c r="YQ26" s="12">
        <f>[1]HOC_Histograma_Obra!ZV54</f>
        <v>46807</v>
      </c>
      <c r="YR26" s="12">
        <f>[1]HOC_Histograma_Obra!ZW54</f>
        <v>46808</v>
      </c>
      <c r="YS26" s="12">
        <f>[1]HOC_Histograma_Obra!ZX54</f>
        <v>46809</v>
      </c>
      <c r="YT26" s="12">
        <f>[1]HOC_Histograma_Obra!ZY54</f>
        <v>46810</v>
      </c>
      <c r="YU26" s="12">
        <f>[1]HOC_Histograma_Obra!ZZ54</f>
        <v>46811</v>
      </c>
      <c r="YV26" s="12">
        <f>[1]HOC_Histograma_Obra!AAA54</f>
        <v>46812</v>
      </c>
      <c r="YW26" s="12">
        <f>[1]HOC_Histograma_Obra!AAB54</f>
        <v>46813</v>
      </c>
      <c r="YX26" s="12">
        <f>[1]HOC_Histograma_Obra!AAC54</f>
        <v>46814</v>
      </c>
      <c r="YY26" s="12">
        <f>[1]HOC_Histograma_Obra!AAD54</f>
        <v>46815</v>
      </c>
      <c r="YZ26" s="12">
        <f>[1]HOC_Histograma_Obra!AAE54</f>
        <v>46816</v>
      </c>
      <c r="ZA26" s="12">
        <f>[1]HOC_Histograma_Obra!AAF54</f>
        <v>46817</v>
      </c>
      <c r="ZB26" s="12">
        <f>[1]HOC_Histograma_Obra!AAG54</f>
        <v>46818</v>
      </c>
      <c r="ZC26" s="12">
        <f>[1]HOC_Histograma_Obra!AAH54</f>
        <v>46819</v>
      </c>
      <c r="ZD26" s="12">
        <f>[1]HOC_Histograma_Obra!AAI54</f>
        <v>46820</v>
      </c>
      <c r="ZE26" s="12">
        <f>[1]HOC_Histograma_Obra!AAJ54</f>
        <v>46821</v>
      </c>
      <c r="ZF26" s="12">
        <f>[1]HOC_Histograma_Obra!AAK54</f>
        <v>46822</v>
      </c>
      <c r="ZG26" s="12">
        <f>[1]HOC_Histograma_Obra!AAL54</f>
        <v>46823</v>
      </c>
      <c r="ZH26" s="12">
        <f>[1]HOC_Histograma_Obra!AAM54</f>
        <v>46824</v>
      </c>
      <c r="ZI26" s="12">
        <f>[1]HOC_Histograma_Obra!AAN54</f>
        <v>46825</v>
      </c>
      <c r="ZJ26" s="12">
        <f>[1]HOC_Histograma_Obra!AAO54</f>
        <v>46826</v>
      </c>
      <c r="ZK26" s="12">
        <f>[1]HOC_Histograma_Obra!AAP54</f>
        <v>46827</v>
      </c>
      <c r="ZL26" s="12">
        <f>[1]HOC_Histograma_Obra!AAQ54</f>
        <v>46828</v>
      </c>
      <c r="ZM26" s="12">
        <f>[1]HOC_Histograma_Obra!AAR54</f>
        <v>46829</v>
      </c>
      <c r="ZN26" s="12">
        <f>[1]HOC_Histograma_Obra!AAS54</f>
        <v>46830</v>
      </c>
      <c r="ZO26" s="12">
        <f>[1]HOC_Histograma_Obra!AAT54</f>
        <v>46831</v>
      </c>
      <c r="ZP26" s="12">
        <f>[1]HOC_Histograma_Obra!AAU54</f>
        <v>46832</v>
      </c>
      <c r="ZQ26" s="12">
        <f>[1]HOC_Histograma_Obra!AAV54</f>
        <v>46833</v>
      </c>
      <c r="ZR26" s="12">
        <f>[1]HOC_Histograma_Obra!AAW54</f>
        <v>46834</v>
      </c>
      <c r="ZS26" s="12">
        <f>[1]HOC_Histograma_Obra!AAX54</f>
        <v>46835</v>
      </c>
      <c r="ZT26" s="12">
        <f>[1]HOC_Histograma_Obra!AAY54</f>
        <v>46836</v>
      </c>
      <c r="ZU26" s="12">
        <f>[1]HOC_Histograma_Obra!AAZ54</f>
        <v>46837</v>
      </c>
      <c r="ZV26" s="12">
        <f>[1]HOC_Histograma_Obra!ABA54</f>
        <v>46838</v>
      </c>
      <c r="ZW26" s="12">
        <f>[1]HOC_Histograma_Obra!ABB54</f>
        <v>46839</v>
      </c>
      <c r="ZX26" s="12">
        <f>[1]HOC_Histograma_Obra!ABC54</f>
        <v>46840</v>
      </c>
      <c r="ZY26" s="12">
        <f>[1]HOC_Histograma_Obra!ABD54</f>
        <v>46841</v>
      </c>
      <c r="ZZ26" s="12">
        <f>[1]HOC_Histograma_Obra!ABE54</f>
        <v>46842</v>
      </c>
      <c r="AAA26" s="12">
        <f>[1]HOC_Histograma_Obra!ABF54</f>
        <v>46843</v>
      </c>
      <c r="AAB26" s="12">
        <f>[1]HOC_Histograma_Obra!ABG54</f>
        <v>46844</v>
      </c>
      <c r="AAC26" s="12">
        <f>[1]HOC_Histograma_Obra!ABH54</f>
        <v>46845</v>
      </c>
      <c r="AAD26" s="12">
        <f>[1]HOC_Histograma_Obra!ABI54</f>
        <v>46846</v>
      </c>
      <c r="AAE26" s="12">
        <f>[1]HOC_Histograma_Obra!ABJ54</f>
        <v>46847</v>
      </c>
      <c r="AAF26" s="12">
        <f>[1]HOC_Histograma_Obra!ABK54</f>
        <v>46848</v>
      </c>
      <c r="AAG26" s="12">
        <f>[1]HOC_Histograma_Obra!ABL54</f>
        <v>46849</v>
      </c>
      <c r="AAH26" s="12">
        <f>[1]HOC_Histograma_Obra!ABM54</f>
        <v>46850</v>
      </c>
      <c r="AAI26" s="12">
        <f>[1]HOC_Histograma_Obra!ABN54</f>
        <v>46851</v>
      </c>
      <c r="AAJ26" s="12">
        <f>[1]HOC_Histograma_Obra!ABO54</f>
        <v>46852</v>
      </c>
      <c r="AAK26" s="12">
        <f>[1]HOC_Histograma_Obra!ABP54</f>
        <v>46853</v>
      </c>
      <c r="AAL26" s="12">
        <f>[1]HOC_Histograma_Obra!ABQ54</f>
        <v>46854</v>
      </c>
      <c r="AAM26" s="12">
        <f>[1]HOC_Histograma_Obra!ABR54</f>
        <v>46855</v>
      </c>
      <c r="AAN26" s="12">
        <f>[1]HOC_Histograma_Obra!ABS54</f>
        <v>46856</v>
      </c>
      <c r="AAO26" s="12">
        <f>[1]HOC_Histograma_Obra!ABT54</f>
        <v>46857</v>
      </c>
      <c r="AAP26" s="12">
        <f>[1]HOC_Histograma_Obra!ABU54</f>
        <v>46858</v>
      </c>
      <c r="AAQ26" s="12">
        <f>[1]HOC_Histograma_Obra!ABV54</f>
        <v>46859</v>
      </c>
      <c r="AAR26" s="12">
        <f>[1]HOC_Histograma_Obra!ABW54</f>
        <v>46860</v>
      </c>
      <c r="AAS26" s="12">
        <f>[1]HOC_Histograma_Obra!ABX54</f>
        <v>46861</v>
      </c>
      <c r="AAT26" s="12">
        <f>[1]HOC_Histograma_Obra!ABY54</f>
        <v>46862</v>
      </c>
      <c r="AAU26" s="12">
        <f>[1]HOC_Histograma_Obra!ABZ54</f>
        <v>46863</v>
      </c>
      <c r="AAV26" s="12">
        <f>[1]HOC_Histograma_Obra!ACA54</f>
        <v>46864</v>
      </c>
      <c r="AAW26" s="12">
        <f>[1]HOC_Histograma_Obra!ACB54</f>
        <v>46865</v>
      </c>
      <c r="AAX26" s="12">
        <f>[1]HOC_Histograma_Obra!ACC54</f>
        <v>46866</v>
      </c>
      <c r="AAY26" s="12">
        <f>[1]HOC_Histograma_Obra!ACD54</f>
        <v>46867</v>
      </c>
      <c r="AAZ26" s="12">
        <f>[1]HOC_Histograma_Obra!ACE54</f>
        <v>46868</v>
      </c>
      <c r="ABA26" s="12">
        <f>[1]HOC_Histograma_Obra!ACF54</f>
        <v>46869</v>
      </c>
      <c r="ABB26" s="12">
        <f>[1]HOC_Histograma_Obra!ACG54</f>
        <v>46870</v>
      </c>
      <c r="ABC26" s="12">
        <f>[1]HOC_Histograma_Obra!ACH54</f>
        <v>46871</v>
      </c>
      <c r="ABD26" s="12">
        <f>[1]HOC_Histograma_Obra!ACI54</f>
        <v>46872</v>
      </c>
      <c r="ABE26" s="12">
        <f>[1]HOC_Histograma_Obra!ACJ54</f>
        <v>46873</v>
      </c>
      <c r="ABF26" s="12">
        <f>[1]HOC_Histograma_Obra!ACK54</f>
        <v>46874</v>
      </c>
      <c r="ABG26" s="12">
        <f>[1]HOC_Histograma_Obra!ACL54</f>
        <v>46875</v>
      </c>
      <c r="ABH26" s="12">
        <f>[1]HOC_Histograma_Obra!ACM54</f>
        <v>46876</v>
      </c>
      <c r="ABI26" s="12">
        <f>[1]HOC_Histograma_Obra!ACN54</f>
        <v>46877</v>
      </c>
    </row>
    <row r="27" spans="4:737" ht="12.95" hidden="1" customHeight="1" x14ac:dyDescent="0.25">
      <c r="D27" s="14">
        <f t="shared" ref="D27:D35" si="72">SUM(F27:ABI27)</f>
        <v>154</v>
      </c>
      <c r="E27" s="15" t="s">
        <v>8</v>
      </c>
      <c r="F27" s="11">
        <f>SUMIFS([1]HOC_Histograma_Obra!AK55:AK113,[1]HOC_Histograma_Obra!$C$55:$C$113,"MOA")</f>
        <v>1</v>
      </c>
      <c r="G27" s="11">
        <f>SUMIFS([1]HOC_Histograma_Obra!AL55:AL113,[1]HOC_Histograma_Obra!$C$55:$C$113,"MOA")</f>
        <v>1</v>
      </c>
      <c r="H27" s="11">
        <f>SUMIFS([1]HOC_Histograma_Obra!AM55:AM113,[1]HOC_Histograma_Obra!$C$55:$C$113,"MOA")</f>
        <v>1</v>
      </c>
      <c r="I27" s="11">
        <f>SUMIFS([1]HOC_Histograma_Obra!AN55:AN113,[1]HOC_Histograma_Obra!$C$55:$C$113,"MOA")</f>
        <v>1</v>
      </c>
      <c r="J27" s="11">
        <f>SUMIFS([1]HOC_Histograma_Obra!AO55:AO113,[1]HOC_Histograma_Obra!$C$55:$C$113,"MOA")</f>
        <v>1</v>
      </c>
      <c r="K27" s="11">
        <f>SUMIFS([1]HOC_Histograma_Obra!AP55:AP113,[1]HOC_Histograma_Obra!$C$55:$C$113,"MOA")</f>
        <v>1</v>
      </c>
      <c r="L27" s="11">
        <f>SUMIFS([1]HOC_Histograma_Obra!AQ55:AQ113,[1]HOC_Histograma_Obra!$C$55:$C$113,"MOA")</f>
        <v>0</v>
      </c>
      <c r="M27" s="11">
        <f>SUMIFS([1]HOC_Histograma_Obra!AR55:AR113,[1]HOC_Histograma_Obra!$C$55:$C$113,"MOA")</f>
        <v>1</v>
      </c>
      <c r="N27" s="11">
        <f>SUMIFS([1]HOC_Histograma_Obra!AS55:AS113,[1]HOC_Histograma_Obra!$C$55:$C$113,"MOA")</f>
        <v>1</v>
      </c>
      <c r="O27" s="11">
        <f>SUMIFS([1]HOC_Histograma_Obra!AT55:AT113,[1]HOC_Histograma_Obra!$C$55:$C$113,"MOA")</f>
        <v>1</v>
      </c>
      <c r="P27" s="11">
        <f>SUMIFS([1]HOC_Histograma_Obra!AU55:AU113,[1]HOC_Histograma_Obra!$C$55:$C$113,"MOA")</f>
        <v>1</v>
      </c>
      <c r="Q27" s="11">
        <f>SUMIFS([1]HOC_Histograma_Obra!AV55:AV113,[1]HOC_Histograma_Obra!$C$55:$C$113,"MOA")</f>
        <v>1</v>
      </c>
      <c r="R27" s="11">
        <f>SUMIFS([1]HOC_Histograma_Obra!AW55:AW113,[1]HOC_Histograma_Obra!$C$55:$C$113,"MOA")</f>
        <v>1</v>
      </c>
      <c r="S27" s="11">
        <f>SUMIFS([1]HOC_Histograma_Obra!AX55:AX113,[1]HOC_Histograma_Obra!$C$55:$C$113,"MOA")</f>
        <v>0</v>
      </c>
      <c r="T27" s="11">
        <f>SUMIFS([1]HOC_Histograma_Obra!AY55:AY113,[1]HOC_Histograma_Obra!$C$55:$C$113,"MOA")</f>
        <v>1</v>
      </c>
      <c r="U27" s="11">
        <f>SUMIFS([1]HOC_Histograma_Obra!AZ55:AZ113,[1]HOC_Histograma_Obra!$C$55:$C$113,"MOA")</f>
        <v>1</v>
      </c>
      <c r="V27" s="11">
        <f>SUMIFS([1]HOC_Histograma_Obra!BA55:BA113,[1]HOC_Histograma_Obra!$C$55:$C$113,"MOA")</f>
        <v>1</v>
      </c>
      <c r="W27" s="11">
        <f>SUMIFS([1]HOC_Histograma_Obra!BB55:BB113,[1]HOC_Histograma_Obra!$C$55:$C$113,"MOA")</f>
        <v>1</v>
      </c>
      <c r="X27" s="11">
        <f>SUMIFS([1]HOC_Histograma_Obra!BC55:BC113,[1]HOC_Histograma_Obra!$C$55:$C$113,"MOA")</f>
        <v>1</v>
      </c>
      <c r="Y27" s="11">
        <f>SUMIFS([1]HOC_Histograma_Obra!BD55:BD113,[1]HOC_Histograma_Obra!$C$55:$C$113,"MOA")</f>
        <v>1</v>
      </c>
      <c r="Z27" s="11">
        <f>SUMIFS([1]HOC_Histograma_Obra!BE55:BE113,[1]HOC_Histograma_Obra!$C$55:$C$113,"MOA")</f>
        <v>0</v>
      </c>
      <c r="AA27" s="11">
        <f>SUMIFS([1]HOC_Histograma_Obra!BF55:BF113,[1]HOC_Histograma_Obra!$C$55:$C$113,"MOA")</f>
        <v>1</v>
      </c>
      <c r="AB27" s="11">
        <f>SUMIFS([1]HOC_Histograma_Obra!BG55:BG113,[1]HOC_Histograma_Obra!$C$55:$C$113,"MOA")</f>
        <v>1</v>
      </c>
      <c r="AC27" s="11">
        <f>SUMIFS([1]HOC_Histograma_Obra!BH55:BH113,[1]HOC_Histograma_Obra!$C$55:$C$113,"MOA")</f>
        <v>1</v>
      </c>
      <c r="AD27" s="11">
        <f>SUMIFS([1]HOC_Histograma_Obra!BI55:BI113,[1]HOC_Histograma_Obra!$C$55:$C$113,"MOA")</f>
        <v>1</v>
      </c>
      <c r="AE27" s="11">
        <f>SUMIFS([1]HOC_Histograma_Obra!BJ55:BJ113,[1]HOC_Histograma_Obra!$C$55:$C$113,"MOA")</f>
        <v>1</v>
      </c>
      <c r="AF27" s="11">
        <f>SUMIFS([1]HOC_Histograma_Obra!BK55:BK113,[1]HOC_Histograma_Obra!$C$55:$C$113,"MOA")</f>
        <v>1</v>
      </c>
      <c r="AG27" s="11">
        <f>SUMIFS([1]HOC_Histograma_Obra!BL55:BL113,[1]HOC_Histograma_Obra!$C$55:$C$113,"MOA")</f>
        <v>0</v>
      </c>
      <c r="AH27" s="11">
        <f>SUMIFS([1]HOC_Histograma_Obra!BM55:BM113,[1]HOC_Histograma_Obra!$C$55:$C$113,"MOA")</f>
        <v>1</v>
      </c>
      <c r="AI27" s="11">
        <f>SUMIFS([1]HOC_Histograma_Obra!BN55:BN113,[1]HOC_Histograma_Obra!$C$55:$C$113,"MOA")</f>
        <v>1</v>
      </c>
      <c r="AJ27" s="11">
        <f>SUMIFS([1]HOC_Histograma_Obra!BO55:BO113,[1]HOC_Histograma_Obra!$C$55:$C$113,"MOA")</f>
        <v>1</v>
      </c>
      <c r="AK27" s="16">
        <f>SUMIFS([1]HOC_Histograma_Obra!BP55:BP113,[1]HOC_Histograma_Obra!$C$55:$C$113,"MOA")</f>
        <v>1</v>
      </c>
      <c r="AL27" s="11">
        <f>SUMIFS([1]HOC_Histograma_Obra!BQ55:BQ113,[1]HOC_Histograma_Obra!$C$55:$C$113,"MOA")</f>
        <v>1</v>
      </c>
      <c r="AM27" s="11">
        <f>SUMIFS([1]HOC_Histograma_Obra!BR55:BR113,[1]HOC_Histograma_Obra!$C$55:$C$113,"MOA")</f>
        <v>1</v>
      </c>
      <c r="AN27" s="11">
        <f>SUMIFS([1]HOC_Histograma_Obra!BS55:BS113,[1]HOC_Histograma_Obra!$C$55:$C$113,"MOA")</f>
        <v>0</v>
      </c>
      <c r="AO27" s="11">
        <f>SUMIFS([1]HOC_Histograma_Obra!BT55:BT113,[1]HOC_Histograma_Obra!$C$55:$C$113,"MOA")</f>
        <v>1</v>
      </c>
      <c r="AP27" s="11">
        <f>SUMIFS([1]HOC_Histograma_Obra!BU55:BU113,[1]HOC_Histograma_Obra!$C$55:$C$113,"MOA")</f>
        <v>1</v>
      </c>
      <c r="AQ27" s="11">
        <f>SUMIFS([1]HOC_Histograma_Obra!BV55:BV113,[1]HOC_Histograma_Obra!$C$55:$C$113,"MOA")</f>
        <v>1</v>
      </c>
      <c r="AR27" s="11">
        <f>SUMIFS([1]HOC_Histograma_Obra!BW55:BW113,[1]HOC_Histograma_Obra!$C$55:$C$113,"MOA")</f>
        <v>1</v>
      </c>
      <c r="AS27" s="11">
        <f>SUMIFS([1]HOC_Histograma_Obra!BX55:BX113,[1]HOC_Histograma_Obra!$C$55:$C$113,"MOA")</f>
        <v>1</v>
      </c>
      <c r="AT27" s="11">
        <f>SUMIFS([1]HOC_Histograma_Obra!BY55:BY113,[1]HOC_Histograma_Obra!$C$55:$C$113,"MOA")</f>
        <v>1</v>
      </c>
      <c r="AU27" s="11">
        <f>SUMIFS([1]HOC_Histograma_Obra!BZ55:BZ113,[1]HOC_Histograma_Obra!$C$55:$C$113,"MOA")</f>
        <v>0</v>
      </c>
      <c r="AV27" s="11">
        <f>SUMIFS([1]HOC_Histograma_Obra!CA55:CA113,[1]HOC_Histograma_Obra!$C$55:$C$113,"MOA")</f>
        <v>1</v>
      </c>
      <c r="AW27" s="11">
        <f>SUMIFS([1]HOC_Histograma_Obra!CB55:CB113,[1]HOC_Histograma_Obra!$C$55:$C$113,"MOA")</f>
        <v>1</v>
      </c>
      <c r="AX27" s="11">
        <f>SUMIFS([1]HOC_Histograma_Obra!CC55:CC113,[1]HOC_Histograma_Obra!$C$55:$C$113,"MOA")</f>
        <v>1</v>
      </c>
      <c r="AY27" s="11">
        <f>SUMIFS([1]HOC_Histograma_Obra!CD55:CD113,[1]HOC_Histograma_Obra!$C$55:$C$113,"MOA")</f>
        <v>1</v>
      </c>
      <c r="AZ27" s="11">
        <f>SUMIFS([1]HOC_Histograma_Obra!CE55:CE113,[1]HOC_Histograma_Obra!$C$55:$C$113,"MOA")</f>
        <v>1</v>
      </c>
      <c r="BA27" s="11">
        <f>SUMIFS([1]HOC_Histograma_Obra!CF55:CF113,[1]HOC_Histograma_Obra!$C$55:$C$113,"MOA")</f>
        <v>1</v>
      </c>
      <c r="BB27" s="11">
        <f>SUMIFS([1]HOC_Histograma_Obra!CG55:CG113,[1]HOC_Histograma_Obra!$C$55:$C$113,"MOA")</f>
        <v>0</v>
      </c>
      <c r="BC27" s="11">
        <f>SUMIFS([1]HOC_Histograma_Obra!CH55:CH113,[1]HOC_Histograma_Obra!$C$55:$C$113,"MOA")</f>
        <v>1</v>
      </c>
      <c r="BD27" s="11">
        <f>SUMIFS([1]HOC_Histograma_Obra!CI55:CI113,[1]HOC_Histograma_Obra!$C$55:$C$113,"MOA")</f>
        <v>1</v>
      </c>
      <c r="BE27" s="11">
        <f>SUMIFS([1]HOC_Histograma_Obra!CJ55:CJ113,[1]HOC_Histograma_Obra!$C$55:$C$113,"MOA")</f>
        <v>1</v>
      </c>
      <c r="BF27" s="11">
        <f>SUMIFS([1]HOC_Histograma_Obra!CK55:CK113,[1]HOC_Histograma_Obra!$C$55:$C$113,"MOA")</f>
        <v>1</v>
      </c>
      <c r="BG27" s="11">
        <f>SUMIFS([1]HOC_Histograma_Obra!CL55:CL113,[1]HOC_Histograma_Obra!$C$55:$C$113,"MOA")</f>
        <v>1</v>
      </c>
      <c r="BH27" s="11">
        <f>SUMIFS([1]HOC_Histograma_Obra!CM55:CM113,[1]HOC_Histograma_Obra!$C$55:$C$113,"MOA")</f>
        <v>1</v>
      </c>
      <c r="BI27" s="11">
        <f>SUMIFS([1]HOC_Histograma_Obra!CN55:CN113,[1]HOC_Histograma_Obra!$C$55:$C$113,"MOA")</f>
        <v>0</v>
      </c>
      <c r="BJ27" s="11">
        <f>SUMIFS([1]HOC_Histograma_Obra!CO55:CO113,[1]HOC_Histograma_Obra!$C$55:$C$113,"MOA")</f>
        <v>1</v>
      </c>
      <c r="BK27" s="11">
        <f>SUMIFS([1]HOC_Histograma_Obra!CP55:CP113,[1]HOC_Histograma_Obra!$C$55:$C$113,"MOA")</f>
        <v>1</v>
      </c>
      <c r="BL27" s="11">
        <f>SUMIFS([1]HOC_Histograma_Obra!CQ55:CQ113,[1]HOC_Histograma_Obra!$C$55:$C$113,"MOA")</f>
        <v>1</v>
      </c>
      <c r="BM27" s="11">
        <f>SUMIFS([1]HOC_Histograma_Obra!CR55:CR113,[1]HOC_Histograma_Obra!$C$55:$C$113,"MOA")</f>
        <v>1</v>
      </c>
      <c r="BN27" s="11">
        <f>SUMIFS([1]HOC_Histograma_Obra!CS55:CS113,[1]HOC_Histograma_Obra!$C$55:$C$113,"MOA")</f>
        <v>1</v>
      </c>
      <c r="BO27" s="11">
        <f>SUMIFS([1]HOC_Histograma_Obra!CT55:CT113,[1]HOC_Histograma_Obra!$C$55:$C$113,"MOA")</f>
        <v>1</v>
      </c>
      <c r="BP27" s="11">
        <f>SUMIFS([1]HOC_Histograma_Obra!CU55:CU113,[1]HOC_Histograma_Obra!$C$55:$C$113,"MOA")</f>
        <v>0</v>
      </c>
      <c r="BQ27" s="11">
        <f>SUMIFS([1]HOC_Histograma_Obra!CV55:CV113,[1]HOC_Histograma_Obra!$C$55:$C$113,"MOA")</f>
        <v>1</v>
      </c>
      <c r="BR27" s="11">
        <f>SUMIFS([1]HOC_Histograma_Obra!CW55:CW113,[1]HOC_Histograma_Obra!$C$55:$C$113,"MOA")</f>
        <v>1</v>
      </c>
      <c r="BS27" s="11">
        <f>SUMIFS([1]HOC_Histograma_Obra!CX55:CX113,[1]HOC_Histograma_Obra!$C$55:$C$113,"MOA")</f>
        <v>1</v>
      </c>
      <c r="BT27" s="11">
        <f>SUMIFS([1]HOC_Histograma_Obra!CY55:CY113,[1]HOC_Histograma_Obra!$C$55:$C$113,"MOA")</f>
        <v>1</v>
      </c>
      <c r="BU27" s="11">
        <f>SUMIFS([1]HOC_Histograma_Obra!CZ55:CZ113,[1]HOC_Histograma_Obra!$C$55:$C$113,"MOA")</f>
        <v>1</v>
      </c>
      <c r="BV27" s="11">
        <f>SUMIFS([1]HOC_Histograma_Obra!DA55:DA113,[1]HOC_Histograma_Obra!$C$55:$C$113,"MOA")</f>
        <v>1</v>
      </c>
      <c r="BW27" s="11">
        <f>SUMIFS([1]HOC_Histograma_Obra!DB55:DB113,[1]HOC_Histograma_Obra!$C$55:$C$113,"MOA")</f>
        <v>0</v>
      </c>
      <c r="BX27" s="11">
        <f>SUMIFS([1]HOC_Histograma_Obra!DC55:DC113,[1]HOC_Histograma_Obra!$C$55:$C$113,"MOA")</f>
        <v>1</v>
      </c>
      <c r="BY27" s="11">
        <f>SUMIFS([1]HOC_Histograma_Obra!DD55:DD113,[1]HOC_Histograma_Obra!$C$55:$C$113,"MOA")</f>
        <v>1</v>
      </c>
      <c r="BZ27" s="11">
        <f>SUMIFS([1]HOC_Histograma_Obra!DE55:DE113,[1]HOC_Histograma_Obra!$C$55:$C$113,"MOA")</f>
        <v>1</v>
      </c>
      <c r="CA27" s="11">
        <f>SUMIFS([1]HOC_Histograma_Obra!DF55:DF113,[1]HOC_Histograma_Obra!$C$55:$C$113,"MOA")</f>
        <v>1</v>
      </c>
      <c r="CB27" s="11">
        <f>SUMIFS([1]HOC_Histograma_Obra!DG55:DG113,[1]HOC_Histograma_Obra!$C$55:$C$113,"MOA")</f>
        <v>1</v>
      </c>
      <c r="CC27" s="11">
        <f>SUMIFS([1]HOC_Histograma_Obra!DH55:DH113,[1]HOC_Histograma_Obra!$C$55:$C$113,"MOA")</f>
        <v>1</v>
      </c>
      <c r="CD27" s="11">
        <f>SUMIFS([1]HOC_Histograma_Obra!DI55:DI113,[1]HOC_Histograma_Obra!$C$55:$C$113,"MOA")</f>
        <v>0</v>
      </c>
      <c r="CE27" s="11">
        <f>SUMIFS([1]HOC_Histograma_Obra!DJ55:DJ113,[1]HOC_Histograma_Obra!$C$55:$C$113,"MOA")</f>
        <v>1</v>
      </c>
      <c r="CF27" s="11">
        <f>SUMIFS([1]HOC_Histograma_Obra!DK55:DK113,[1]HOC_Histograma_Obra!$C$55:$C$113,"MOA")</f>
        <v>1</v>
      </c>
      <c r="CG27" s="11">
        <f>SUMIFS([1]HOC_Histograma_Obra!DL55:DL113,[1]HOC_Histograma_Obra!$C$55:$C$113,"MOA")</f>
        <v>1</v>
      </c>
      <c r="CH27" s="11">
        <f>SUMIFS([1]HOC_Histograma_Obra!DM55:DM113,[1]HOC_Histograma_Obra!$C$55:$C$113,"MOA")</f>
        <v>1</v>
      </c>
      <c r="CI27" s="11">
        <f>SUMIFS([1]HOC_Histograma_Obra!DN55:DN113,[1]HOC_Histograma_Obra!$C$55:$C$113,"MOA")</f>
        <v>1</v>
      </c>
      <c r="CJ27" s="11">
        <f>SUMIFS([1]HOC_Histograma_Obra!DO55:DO113,[1]HOC_Histograma_Obra!$C$55:$C$113,"MOA")</f>
        <v>1</v>
      </c>
      <c r="CK27" s="11">
        <f>SUMIFS([1]HOC_Histograma_Obra!DP55:DP113,[1]HOC_Histograma_Obra!$C$55:$C$113,"MOA")</f>
        <v>0</v>
      </c>
      <c r="CL27" s="11">
        <f>SUMIFS([1]HOC_Histograma_Obra!DQ55:DQ113,[1]HOC_Histograma_Obra!$C$55:$C$113,"MOA")</f>
        <v>1</v>
      </c>
      <c r="CM27" s="11">
        <f>SUMIFS([1]HOC_Histograma_Obra!DR55:DR113,[1]HOC_Histograma_Obra!$C$55:$C$113,"MOA")</f>
        <v>1</v>
      </c>
      <c r="CN27" s="11">
        <f>SUMIFS([1]HOC_Histograma_Obra!DS55:DS113,[1]HOC_Histograma_Obra!$C$55:$C$113,"MOA")</f>
        <v>1</v>
      </c>
      <c r="CO27" s="11">
        <f>SUMIFS([1]HOC_Histograma_Obra!DT55:DT113,[1]HOC_Histograma_Obra!$C$55:$C$113,"MOA")</f>
        <v>1</v>
      </c>
      <c r="CP27" s="11">
        <f>SUMIFS([1]HOC_Histograma_Obra!DU55:DU113,[1]HOC_Histograma_Obra!$C$55:$C$113,"MOA")</f>
        <v>1</v>
      </c>
      <c r="CQ27" s="11">
        <f>SUMIFS([1]HOC_Histograma_Obra!DV55:DV113,[1]HOC_Histograma_Obra!$C$55:$C$113,"MOA")</f>
        <v>1</v>
      </c>
      <c r="CR27" s="11">
        <f>SUMIFS([1]HOC_Histograma_Obra!DW55:DW113,[1]HOC_Histograma_Obra!$C$55:$C$113,"MOA")</f>
        <v>0</v>
      </c>
      <c r="CS27" s="11">
        <f>SUMIFS([1]HOC_Histograma_Obra!DX55:DX113,[1]HOC_Histograma_Obra!$C$55:$C$113,"MOA")</f>
        <v>1</v>
      </c>
      <c r="CT27" s="11">
        <f>SUMIFS([1]HOC_Histograma_Obra!DY55:DY113,[1]HOC_Histograma_Obra!$C$55:$C$113,"MOA")</f>
        <v>1</v>
      </c>
      <c r="CU27" s="11">
        <f>SUMIFS([1]HOC_Histograma_Obra!DZ55:DZ113,[1]HOC_Histograma_Obra!$C$55:$C$113,"MOA")</f>
        <v>1</v>
      </c>
      <c r="CV27" s="11">
        <f>SUMIFS([1]HOC_Histograma_Obra!EA55:EA113,[1]HOC_Histograma_Obra!$C$55:$C$113,"MOA")</f>
        <v>1</v>
      </c>
      <c r="CW27" s="11">
        <f>SUMIFS([1]HOC_Histograma_Obra!EB55:EB113,[1]HOC_Histograma_Obra!$C$55:$C$113,"MOA")</f>
        <v>1</v>
      </c>
      <c r="CX27" s="11">
        <f>SUMIFS([1]HOC_Histograma_Obra!EC55:EC113,[1]HOC_Histograma_Obra!$C$55:$C$113,"MOA")</f>
        <v>1</v>
      </c>
      <c r="CY27" s="11">
        <f>SUMIFS([1]HOC_Histograma_Obra!ED55:ED113,[1]HOC_Histograma_Obra!$C$55:$C$113,"MOA")</f>
        <v>0</v>
      </c>
      <c r="CZ27" s="11">
        <f>SUMIFS([1]HOC_Histograma_Obra!EE55:EE113,[1]HOC_Histograma_Obra!$C$55:$C$113,"MOA")</f>
        <v>1</v>
      </c>
      <c r="DA27" s="11">
        <f>SUMIFS([1]HOC_Histograma_Obra!EF55:EF113,[1]HOC_Histograma_Obra!$C$55:$C$113,"MOA")</f>
        <v>1</v>
      </c>
      <c r="DB27" s="11">
        <f>SUMIFS([1]HOC_Histograma_Obra!EG55:EG113,[1]HOC_Histograma_Obra!$C$55:$C$113,"MOA")</f>
        <v>1</v>
      </c>
      <c r="DC27" s="11">
        <f>SUMIFS([1]HOC_Histograma_Obra!EH55:EH113,[1]HOC_Histograma_Obra!$C$55:$C$113,"MOA")</f>
        <v>1</v>
      </c>
      <c r="DD27" s="11">
        <f>SUMIFS([1]HOC_Histograma_Obra!EI55:EI113,[1]HOC_Histograma_Obra!$C$55:$C$113,"MOA")</f>
        <v>1</v>
      </c>
      <c r="DE27" s="11">
        <f>SUMIFS([1]HOC_Histograma_Obra!EJ55:EJ113,[1]HOC_Histograma_Obra!$C$55:$C$113,"MOA")</f>
        <v>1</v>
      </c>
      <c r="DF27" s="11">
        <f>SUMIFS([1]HOC_Histograma_Obra!EK55:EK113,[1]HOC_Histograma_Obra!$C$55:$C$113,"MOA")</f>
        <v>0</v>
      </c>
      <c r="DG27" s="11">
        <f>SUMIFS([1]HOC_Histograma_Obra!EL55:EL113,[1]HOC_Histograma_Obra!$C$55:$C$113,"MOA")</f>
        <v>1</v>
      </c>
      <c r="DH27" s="11">
        <f>SUMIFS([1]HOC_Histograma_Obra!EM55:EM113,[1]HOC_Histograma_Obra!$C$55:$C$113,"MOA")</f>
        <v>1</v>
      </c>
      <c r="DI27" s="11">
        <f>SUMIFS([1]HOC_Histograma_Obra!EN55:EN113,[1]HOC_Histograma_Obra!$C$55:$C$113,"MOA")</f>
        <v>1</v>
      </c>
      <c r="DJ27" s="11">
        <f>SUMIFS([1]HOC_Histograma_Obra!EO55:EO113,[1]HOC_Histograma_Obra!$C$55:$C$113,"MOA")</f>
        <v>1</v>
      </c>
      <c r="DK27" s="11">
        <f>SUMIFS([1]HOC_Histograma_Obra!EP55:EP113,[1]HOC_Histograma_Obra!$C$55:$C$113,"MOA")</f>
        <v>1</v>
      </c>
      <c r="DL27" s="11">
        <f>SUMIFS([1]HOC_Histograma_Obra!EQ55:EQ113,[1]HOC_Histograma_Obra!$C$55:$C$113,"MOA")</f>
        <v>1</v>
      </c>
      <c r="DM27" s="11">
        <f>SUMIFS([1]HOC_Histograma_Obra!ER55:ER113,[1]HOC_Histograma_Obra!$C$55:$C$113,"MOA")</f>
        <v>0</v>
      </c>
      <c r="DN27" s="11">
        <f>SUMIFS([1]HOC_Histograma_Obra!ES55:ES113,[1]HOC_Histograma_Obra!$C$55:$C$113,"MOA")</f>
        <v>1</v>
      </c>
      <c r="DO27" s="11">
        <f>SUMIFS([1]HOC_Histograma_Obra!ET55:ET113,[1]HOC_Histograma_Obra!$C$55:$C$113,"MOA")</f>
        <v>1</v>
      </c>
      <c r="DP27" s="11">
        <f>SUMIFS([1]HOC_Histograma_Obra!EU55:EU113,[1]HOC_Histograma_Obra!$C$55:$C$113,"MOA")</f>
        <v>1</v>
      </c>
      <c r="DQ27" s="11">
        <f>SUMIFS([1]HOC_Histograma_Obra!EV55:EV113,[1]HOC_Histograma_Obra!$C$55:$C$113,"MOA")</f>
        <v>1</v>
      </c>
      <c r="DR27" s="11">
        <f>SUMIFS([1]HOC_Histograma_Obra!EW55:EW113,[1]HOC_Histograma_Obra!$C$55:$C$113,"MOA")</f>
        <v>1</v>
      </c>
      <c r="DS27" s="11">
        <f>SUMIFS([1]HOC_Histograma_Obra!EX55:EX113,[1]HOC_Histograma_Obra!$C$55:$C$113,"MOA")</f>
        <v>1</v>
      </c>
      <c r="DT27" s="11">
        <f>SUMIFS([1]HOC_Histograma_Obra!EY55:EY113,[1]HOC_Histograma_Obra!$C$55:$C$113,"MOA")</f>
        <v>0</v>
      </c>
      <c r="DU27" s="11">
        <f>SUMIFS([1]HOC_Histograma_Obra!EZ55:EZ113,[1]HOC_Histograma_Obra!$C$55:$C$113,"MOA")</f>
        <v>1</v>
      </c>
      <c r="DV27" s="11">
        <f>SUMIFS([1]HOC_Histograma_Obra!FA55:FA113,[1]HOC_Histograma_Obra!$C$55:$C$113,"MOA")</f>
        <v>1</v>
      </c>
      <c r="DW27" s="11">
        <f>SUMIFS([1]HOC_Histograma_Obra!FB55:FB113,[1]HOC_Histograma_Obra!$C$55:$C$113,"MOA")</f>
        <v>1</v>
      </c>
      <c r="DX27" s="11">
        <f>SUMIFS([1]HOC_Histograma_Obra!FC55:FC113,[1]HOC_Histograma_Obra!$C$55:$C$113,"MOA")</f>
        <v>1</v>
      </c>
      <c r="DY27" s="11">
        <f>SUMIFS([1]HOC_Histograma_Obra!FD55:FD113,[1]HOC_Histograma_Obra!$C$55:$C$113,"MOA")</f>
        <v>1</v>
      </c>
      <c r="DZ27" s="11">
        <f>SUMIFS([1]HOC_Histograma_Obra!FE55:FE113,[1]HOC_Histograma_Obra!$C$55:$C$113,"MOA")</f>
        <v>1</v>
      </c>
      <c r="EA27" s="11">
        <f>SUMIFS([1]HOC_Histograma_Obra!FF55:FF113,[1]HOC_Histograma_Obra!$C$55:$C$113,"MOA")</f>
        <v>0</v>
      </c>
      <c r="EB27" s="11">
        <f>SUMIFS([1]HOC_Histograma_Obra!FG55:FG113,[1]HOC_Histograma_Obra!$C$55:$C$113,"MOA")</f>
        <v>0</v>
      </c>
      <c r="EC27" s="11">
        <f>SUMIFS([1]HOC_Histograma_Obra!FH55:FH113,[1]HOC_Histograma_Obra!$C$55:$C$113,"MOA")</f>
        <v>1</v>
      </c>
      <c r="ED27" s="11">
        <f>SUMIFS([1]HOC_Histograma_Obra!FI55:FI113,[1]HOC_Histograma_Obra!$C$55:$C$113,"MOA")</f>
        <v>1</v>
      </c>
      <c r="EE27" s="11">
        <f>SUMIFS([1]HOC_Histograma_Obra!FJ55:FJ113,[1]HOC_Histograma_Obra!$C$55:$C$113,"MOA")</f>
        <v>1</v>
      </c>
      <c r="EF27" s="11">
        <f>SUMIFS([1]HOC_Histograma_Obra!FK55:FK113,[1]HOC_Histograma_Obra!$C$55:$C$113,"MOA")</f>
        <v>1</v>
      </c>
      <c r="EG27" s="11">
        <f>SUMIFS([1]HOC_Histograma_Obra!FL55:FL113,[1]HOC_Histograma_Obra!$C$55:$C$113,"MOA")</f>
        <v>1</v>
      </c>
      <c r="EH27" s="11">
        <f>SUMIFS([1]HOC_Histograma_Obra!FM55:FM113,[1]HOC_Histograma_Obra!$C$55:$C$113,"MOA")</f>
        <v>0</v>
      </c>
      <c r="EI27" s="11">
        <f>SUMIFS([1]HOC_Histograma_Obra!FN55:FN113,[1]HOC_Histograma_Obra!$C$55:$C$113,"MOA")</f>
        <v>1</v>
      </c>
      <c r="EJ27" s="11">
        <f>SUMIFS([1]HOC_Histograma_Obra!FO55:FO113,[1]HOC_Histograma_Obra!$C$55:$C$113,"MOA")</f>
        <v>1</v>
      </c>
      <c r="EK27" s="11">
        <f>SUMIFS([1]HOC_Histograma_Obra!FP55:FP113,[1]HOC_Histograma_Obra!$C$55:$C$113,"MOA")</f>
        <v>1</v>
      </c>
      <c r="EL27" s="11">
        <f>SUMIFS([1]HOC_Histograma_Obra!FQ55:FQ113,[1]HOC_Histograma_Obra!$C$55:$C$113,"MOA")</f>
        <v>1</v>
      </c>
      <c r="EM27" s="11">
        <f>SUMIFS([1]HOC_Histograma_Obra!FR55:FR113,[1]HOC_Histograma_Obra!$C$55:$C$113,"MOA")</f>
        <v>1</v>
      </c>
      <c r="EN27" s="11">
        <f>SUMIFS([1]HOC_Histograma_Obra!FS55:FS113,[1]HOC_Histograma_Obra!$C$55:$C$113,"MOA")</f>
        <v>1</v>
      </c>
      <c r="EO27" s="11">
        <f>SUMIFS([1]HOC_Histograma_Obra!FT55:FT113,[1]HOC_Histograma_Obra!$C$55:$C$113,"MOA")</f>
        <v>0</v>
      </c>
      <c r="EP27" s="11">
        <f>SUMIFS([1]HOC_Histograma_Obra!FU55:FU113,[1]HOC_Histograma_Obra!$C$55:$C$113,"MOA")</f>
        <v>1</v>
      </c>
      <c r="EQ27" s="11">
        <f>SUMIFS([1]HOC_Histograma_Obra!FV55:FV113,[1]HOC_Histograma_Obra!$C$55:$C$113,"MOA")</f>
        <v>1</v>
      </c>
      <c r="ER27" s="11">
        <f>SUMIFS([1]HOC_Histograma_Obra!FW55:FW113,[1]HOC_Histograma_Obra!$C$55:$C$113,"MOA")</f>
        <v>1</v>
      </c>
      <c r="ES27" s="11">
        <f>SUMIFS([1]HOC_Histograma_Obra!FX55:FX113,[1]HOC_Histograma_Obra!$C$55:$C$113,"MOA")</f>
        <v>1</v>
      </c>
      <c r="ET27" s="11">
        <f>SUMIFS([1]HOC_Histograma_Obra!FY55:FY113,[1]HOC_Histograma_Obra!$C$55:$C$113,"MOA")</f>
        <v>1</v>
      </c>
      <c r="EU27" s="11">
        <f>SUMIFS([1]HOC_Histograma_Obra!FZ55:FZ113,[1]HOC_Histograma_Obra!$C$55:$C$113,"MOA")</f>
        <v>1</v>
      </c>
      <c r="EV27" s="11">
        <f>SUMIFS([1]HOC_Histograma_Obra!GA55:GA113,[1]HOC_Histograma_Obra!$C$55:$C$113,"MOA")</f>
        <v>0</v>
      </c>
      <c r="EW27" s="11">
        <f>SUMIFS([1]HOC_Histograma_Obra!GB55:GB113,[1]HOC_Histograma_Obra!$C$55:$C$113,"MOA")</f>
        <v>1</v>
      </c>
      <c r="EX27" s="11">
        <f>SUMIFS([1]HOC_Histograma_Obra!GC55:GC113,[1]HOC_Histograma_Obra!$C$55:$C$113,"MOA")</f>
        <v>1</v>
      </c>
      <c r="EY27" s="11">
        <f>SUMIFS([1]HOC_Histograma_Obra!GD55:GD113,[1]HOC_Histograma_Obra!$C$55:$C$113,"MOA")</f>
        <v>1</v>
      </c>
      <c r="EZ27" s="11">
        <f>SUMIFS([1]HOC_Histograma_Obra!GE55:GE113,[1]HOC_Histograma_Obra!$C$55:$C$113,"MOA")</f>
        <v>1</v>
      </c>
      <c r="FA27" s="11">
        <f>SUMIFS([1]HOC_Histograma_Obra!GF55:GF113,[1]HOC_Histograma_Obra!$C$55:$C$113,"MOA")</f>
        <v>1</v>
      </c>
      <c r="FB27" s="11">
        <f>SUMIFS([1]HOC_Histograma_Obra!GG55:GG113,[1]HOC_Histograma_Obra!$C$55:$C$113,"MOA")</f>
        <v>1</v>
      </c>
      <c r="FC27" s="11">
        <f>SUMIFS([1]HOC_Histograma_Obra!GH55:GH113,[1]HOC_Histograma_Obra!$C$55:$C$113,"MOA")</f>
        <v>0</v>
      </c>
      <c r="FD27" s="11">
        <f>SUMIFS([1]HOC_Histograma_Obra!GI55:GI113,[1]HOC_Histograma_Obra!$C$55:$C$113,"MOA")</f>
        <v>1</v>
      </c>
      <c r="FE27" s="11">
        <f>SUMIFS([1]HOC_Histograma_Obra!GJ55:GJ113,[1]HOC_Histograma_Obra!$C$55:$C$113,"MOA")</f>
        <v>1</v>
      </c>
      <c r="FF27" s="11">
        <f>SUMIFS([1]HOC_Histograma_Obra!GK55:GK113,[1]HOC_Histograma_Obra!$C$55:$C$113,"MOA")</f>
        <v>1</v>
      </c>
      <c r="FG27" s="11">
        <f>SUMIFS([1]HOC_Histograma_Obra!GL55:GL113,[1]HOC_Histograma_Obra!$C$55:$C$113,"MOA")</f>
        <v>1</v>
      </c>
      <c r="FH27" s="11">
        <f>SUMIFS([1]HOC_Histograma_Obra!GM55:GM113,[1]HOC_Histograma_Obra!$C$55:$C$113,"MOA")</f>
        <v>1</v>
      </c>
      <c r="FI27" s="11">
        <f>SUMIFS([1]HOC_Histograma_Obra!GN55:GN113,[1]HOC_Histograma_Obra!$C$55:$C$113,"MOA")</f>
        <v>1</v>
      </c>
      <c r="FJ27" s="11">
        <f>SUMIFS([1]HOC_Histograma_Obra!GO55:GO113,[1]HOC_Histograma_Obra!$C$55:$C$113,"MOA")</f>
        <v>0</v>
      </c>
      <c r="FK27" s="11">
        <f>SUMIFS([1]HOC_Histograma_Obra!GP55:GP113,[1]HOC_Histograma_Obra!$C$55:$C$113,"MOA")</f>
        <v>0</v>
      </c>
      <c r="FL27" s="11">
        <f>SUMIFS([1]HOC_Histograma_Obra!GQ55:GQ113,[1]HOC_Histograma_Obra!$C$55:$C$113,"MOA")</f>
        <v>1</v>
      </c>
      <c r="FM27" s="11">
        <f>SUMIFS([1]HOC_Histograma_Obra!GR55:GR113,[1]HOC_Histograma_Obra!$C$55:$C$113,"MOA")</f>
        <v>1</v>
      </c>
      <c r="FN27" s="11">
        <f>SUMIFS([1]HOC_Histograma_Obra!GS55:GS113,[1]HOC_Histograma_Obra!$C$55:$C$113,"MOA")</f>
        <v>1</v>
      </c>
      <c r="FO27" s="11">
        <f>SUMIFS([1]HOC_Histograma_Obra!GT55:GT113,[1]HOC_Histograma_Obra!$C$55:$C$113,"MOA")</f>
        <v>1</v>
      </c>
      <c r="FP27" s="11">
        <f>SUMIFS([1]HOC_Histograma_Obra!GU55:GU113,[1]HOC_Histograma_Obra!$C$55:$C$113,"MOA")</f>
        <v>1</v>
      </c>
      <c r="FQ27" s="11">
        <f>SUMIFS([1]HOC_Histograma_Obra!GV55:GV113,[1]HOC_Histograma_Obra!$C$55:$C$113,"MOA")</f>
        <v>0</v>
      </c>
      <c r="FR27" s="11">
        <f>SUMIFS([1]HOC_Histograma_Obra!GW55:GW113,[1]HOC_Histograma_Obra!$C$55:$C$113,"MOA")</f>
        <v>1</v>
      </c>
      <c r="FS27" s="11">
        <f>SUMIFS([1]HOC_Histograma_Obra!GX55:GX113,[1]HOC_Histograma_Obra!$C$55:$C$113,"MOA")</f>
        <v>1</v>
      </c>
      <c r="FT27" s="11">
        <f>SUMIFS([1]HOC_Histograma_Obra!GY55:GY113,[1]HOC_Histograma_Obra!$C$55:$C$113,"MOA")</f>
        <v>1</v>
      </c>
      <c r="FU27" s="11">
        <f>SUMIFS([1]HOC_Histograma_Obra!GZ55:GZ113,[1]HOC_Histograma_Obra!$C$55:$C$113,"MOA")</f>
        <v>1</v>
      </c>
      <c r="FV27" s="11">
        <f>SUMIFS([1]HOC_Histograma_Obra!HA55:HA113,[1]HOC_Histograma_Obra!$C$55:$C$113,"MOA")</f>
        <v>1</v>
      </c>
      <c r="FW27" s="11">
        <f>SUMIFS([1]HOC_Histograma_Obra!HB55:HB113,[1]HOC_Histograma_Obra!$C$55:$C$113,"MOA")</f>
        <v>1</v>
      </c>
      <c r="FX27" s="11">
        <f>SUMIFS([1]HOC_Histograma_Obra!HC55:HC113,[1]HOC_Histograma_Obra!$C$55:$C$113,"MOA")</f>
        <v>0</v>
      </c>
      <c r="FY27" s="11">
        <f>SUMIFS([1]HOC_Histograma_Obra!HD55:HD113,[1]HOC_Histograma_Obra!$C$55:$C$113,"MOA")</f>
        <v>1</v>
      </c>
      <c r="FZ27" s="11">
        <f>SUMIFS([1]HOC_Histograma_Obra!HE55:HE113,[1]HOC_Histograma_Obra!$C$55:$C$113,"MOA")</f>
        <v>1</v>
      </c>
      <c r="GA27" s="11">
        <f>SUMIFS([1]HOC_Histograma_Obra!HF55:HF113,[1]HOC_Histograma_Obra!$C$55:$C$113,"MOA")</f>
        <v>1</v>
      </c>
      <c r="GB27" s="11">
        <f>SUMIFS([1]HOC_Histograma_Obra!HG55:HG113,[1]HOC_Histograma_Obra!$C$55:$C$113,"MOA")</f>
        <v>1</v>
      </c>
      <c r="GC27" s="11">
        <f>SUMIFS([1]HOC_Histograma_Obra!HH55:HH113,[1]HOC_Histograma_Obra!$C$55:$C$113,"MOA")</f>
        <v>1</v>
      </c>
      <c r="GD27" s="11">
        <f>SUMIFS([1]HOC_Histograma_Obra!HI55:HI113,[1]HOC_Histograma_Obra!$C$55:$C$113,"MOA")</f>
        <v>1</v>
      </c>
      <c r="GE27" s="11">
        <f>SUMIFS([1]HOC_Histograma_Obra!HJ55:HJ113,[1]HOC_Histograma_Obra!$C$55:$C$113,"MOA")</f>
        <v>0</v>
      </c>
      <c r="GF27" s="11">
        <f>SUMIFS([1]HOC_Histograma_Obra!HK55:HK113,[1]HOC_Histograma_Obra!$C$55:$C$113,"MOA")</f>
        <v>0</v>
      </c>
      <c r="GG27" s="11">
        <f>SUMIFS([1]HOC_Histograma_Obra!HL55:HL113,[1]HOC_Histograma_Obra!$C$55:$C$113,"MOA")</f>
        <v>0</v>
      </c>
      <c r="GH27" s="11">
        <f>SUMIFS([1]HOC_Histograma_Obra!HM55:HM113,[1]HOC_Histograma_Obra!$C$55:$C$113,"MOA")</f>
        <v>0</v>
      </c>
      <c r="GI27" s="11">
        <f>SUMIFS([1]HOC_Histograma_Obra!HN55:HN113,[1]HOC_Histograma_Obra!$C$55:$C$113,"MOA")</f>
        <v>0</v>
      </c>
      <c r="GJ27" s="11">
        <f>SUMIFS([1]HOC_Histograma_Obra!HO55:HO113,[1]HOC_Histograma_Obra!$C$55:$C$113,"MOA")</f>
        <v>0</v>
      </c>
      <c r="GK27" s="11">
        <f>SUMIFS([1]HOC_Histograma_Obra!HP55:HP113,[1]HOC_Histograma_Obra!$C$55:$C$113,"MOA")</f>
        <v>0</v>
      </c>
      <c r="GL27" s="11">
        <f>SUMIFS([1]HOC_Histograma_Obra!HQ55:HQ113,[1]HOC_Histograma_Obra!$C$55:$C$113,"MOA")</f>
        <v>0</v>
      </c>
      <c r="GM27" s="11">
        <f>SUMIFS([1]HOC_Histograma_Obra!HR55:HR113,[1]HOC_Histograma_Obra!$C$55:$C$113,"MOA")</f>
        <v>0</v>
      </c>
      <c r="GN27" s="11">
        <f>SUMIFS([1]HOC_Histograma_Obra!HS55:HS113,[1]HOC_Histograma_Obra!$C$55:$C$113,"MOA")</f>
        <v>0</v>
      </c>
      <c r="GO27" s="11">
        <f>SUMIFS([1]HOC_Histograma_Obra!HT55:HT113,[1]HOC_Histograma_Obra!$C$55:$C$113,"MOA")</f>
        <v>0</v>
      </c>
      <c r="GP27" s="11">
        <f>SUMIFS([1]HOC_Histograma_Obra!HU55:HU113,[1]HOC_Histograma_Obra!$C$55:$C$113,"MOA")</f>
        <v>0</v>
      </c>
      <c r="GQ27" s="11">
        <f>SUMIFS([1]HOC_Histograma_Obra!HV55:HV113,[1]HOC_Histograma_Obra!$C$55:$C$113,"MOA")</f>
        <v>0</v>
      </c>
      <c r="GR27" s="11">
        <f>SUMIFS([1]HOC_Histograma_Obra!HW55:HW113,[1]HOC_Histograma_Obra!$C$55:$C$113,"MOA")</f>
        <v>0</v>
      </c>
      <c r="GS27" s="11">
        <f>SUMIFS([1]HOC_Histograma_Obra!HX55:HX113,[1]HOC_Histograma_Obra!$C$55:$C$113,"MOA")</f>
        <v>0</v>
      </c>
      <c r="GT27" s="11">
        <f>SUMIFS([1]HOC_Histograma_Obra!HY55:HY113,[1]HOC_Histograma_Obra!$C$55:$C$113,"MOA")</f>
        <v>0</v>
      </c>
      <c r="GU27" s="11">
        <f>SUMIFS([1]HOC_Histograma_Obra!HZ55:HZ113,[1]HOC_Histograma_Obra!$C$55:$C$113,"MOA")</f>
        <v>0</v>
      </c>
      <c r="GV27" s="11">
        <f>SUMIFS([1]HOC_Histograma_Obra!IA55:IA113,[1]HOC_Histograma_Obra!$C$55:$C$113,"MOA")</f>
        <v>0</v>
      </c>
      <c r="GW27" s="11">
        <f>SUMIFS([1]HOC_Histograma_Obra!IB55:IB113,[1]HOC_Histograma_Obra!$C$55:$C$113,"MOA")</f>
        <v>0</v>
      </c>
      <c r="GX27" s="11">
        <f>SUMIFS([1]HOC_Histograma_Obra!IC55:IC113,[1]HOC_Histograma_Obra!$C$55:$C$113,"MOA")</f>
        <v>0</v>
      </c>
      <c r="GY27" s="11">
        <f>SUMIFS([1]HOC_Histograma_Obra!ID55:ID113,[1]HOC_Histograma_Obra!$C$55:$C$113,"MOA")</f>
        <v>0</v>
      </c>
      <c r="GZ27" s="11">
        <f>SUMIFS([1]HOC_Histograma_Obra!IE55:IE113,[1]HOC_Histograma_Obra!$C$55:$C$113,"MOA")</f>
        <v>0</v>
      </c>
      <c r="HA27" s="11">
        <f>SUMIFS([1]HOC_Histograma_Obra!IF55:IF113,[1]HOC_Histograma_Obra!$C$55:$C$113,"MOA")</f>
        <v>0</v>
      </c>
      <c r="HB27" s="11">
        <f>SUMIFS([1]HOC_Histograma_Obra!IG55:IG113,[1]HOC_Histograma_Obra!$C$55:$C$113,"MOA")</f>
        <v>0</v>
      </c>
      <c r="HC27" s="11">
        <f>SUMIFS([1]HOC_Histograma_Obra!IH55:IH113,[1]HOC_Histograma_Obra!$C$55:$C$113,"MOA")</f>
        <v>0</v>
      </c>
      <c r="HD27" s="11">
        <f>SUMIFS([1]HOC_Histograma_Obra!II55:II113,[1]HOC_Histograma_Obra!$C$55:$C$113,"MOA")</f>
        <v>0</v>
      </c>
      <c r="HE27" s="11">
        <f>SUMIFS([1]HOC_Histograma_Obra!IJ55:IJ113,[1]HOC_Histograma_Obra!$C$55:$C$113,"MOA")</f>
        <v>0</v>
      </c>
      <c r="HF27" s="11">
        <f>SUMIFS([1]HOC_Histograma_Obra!IK55:IK113,[1]HOC_Histograma_Obra!$C$55:$C$113,"MOA")</f>
        <v>0</v>
      </c>
      <c r="HG27" s="11">
        <f>SUMIFS([1]HOC_Histograma_Obra!IL55:IL113,[1]HOC_Histograma_Obra!$C$55:$C$113,"MOA")</f>
        <v>0</v>
      </c>
      <c r="HH27" s="11">
        <f>SUMIFS([1]HOC_Histograma_Obra!IM55:IM113,[1]HOC_Histograma_Obra!$C$55:$C$113,"MOA")</f>
        <v>0</v>
      </c>
      <c r="HI27" s="11">
        <f>SUMIFS([1]HOC_Histograma_Obra!IN55:IN113,[1]HOC_Histograma_Obra!$C$55:$C$113,"MOA")</f>
        <v>0</v>
      </c>
      <c r="HJ27" s="11">
        <f>SUMIFS([1]HOC_Histograma_Obra!IO55:IO113,[1]HOC_Histograma_Obra!$C$55:$C$113,"MOA")</f>
        <v>0</v>
      </c>
      <c r="HK27" s="11">
        <f>SUMIFS([1]HOC_Histograma_Obra!IP55:IP113,[1]HOC_Histograma_Obra!$C$55:$C$113,"MOA")</f>
        <v>0</v>
      </c>
      <c r="HL27" s="11">
        <f>SUMIFS([1]HOC_Histograma_Obra!IQ55:IQ113,[1]HOC_Histograma_Obra!$C$55:$C$113,"MOA")</f>
        <v>0</v>
      </c>
      <c r="HM27" s="11">
        <f>SUMIFS([1]HOC_Histograma_Obra!IR55:IR113,[1]HOC_Histograma_Obra!$C$55:$C$113,"MOA")</f>
        <v>0</v>
      </c>
      <c r="HN27" s="11">
        <f>SUMIFS([1]HOC_Histograma_Obra!IS55:IS113,[1]HOC_Histograma_Obra!$C$55:$C$113,"MOA")</f>
        <v>0</v>
      </c>
      <c r="HO27" s="11">
        <f>SUMIFS([1]HOC_Histograma_Obra!IT55:IT113,[1]HOC_Histograma_Obra!$C$55:$C$113,"MOA")</f>
        <v>0</v>
      </c>
      <c r="HP27" s="11">
        <f>SUMIFS([1]HOC_Histograma_Obra!IU55:IU113,[1]HOC_Histograma_Obra!$C$55:$C$113,"MOA")</f>
        <v>0</v>
      </c>
      <c r="HQ27" s="11">
        <f>SUMIFS([1]HOC_Histograma_Obra!IV55:IV113,[1]HOC_Histograma_Obra!$C$55:$C$113,"MOA")</f>
        <v>0</v>
      </c>
      <c r="HR27" s="11">
        <f>SUMIFS([1]HOC_Histograma_Obra!IW55:IW113,[1]HOC_Histograma_Obra!$C$55:$C$113,"MOA")</f>
        <v>0</v>
      </c>
      <c r="HS27" s="11">
        <f>SUMIFS([1]HOC_Histograma_Obra!IX55:IX113,[1]HOC_Histograma_Obra!$C$55:$C$113,"MOA")</f>
        <v>0</v>
      </c>
      <c r="HT27" s="11">
        <f>SUMIFS([1]HOC_Histograma_Obra!IY55:IY113,[1]HOC_Histograma_Obra!$C$55:$C$113,"MOA")</f>
        <v>0</v>
      </c>
      <c r="HU27" s="11">
        <f>SUMIFS([1]HOC_Histograma_Obra!IZ55:IZ113,[1]HOC_Histograma_Obra!$C$55:$C$113,"MOA")</f>
        <v>0</v>
      </c>
      <c r="HV27" s="11">
        <f>SUMIFS([1]HOC_Histograma_Obra!JA55:JA113,[1]HOC_Histograma_Obra!$C$55:$C$113,"MOA")</f>
        <v>0</v>
      </c>
      <c r="HW27" s="11">
        <f>SUMIFS([1]HOC_Histograma_Obra!JB55:JB113,[1]HOC_Histograma_Obra!$C$55:$C$113,"MOA")</f>
        <v>0</v>
      </c>
      <c r="HX27" s="11">
        <f>SUMIFS([1]HOC_Histograma_Obra!JC55:JC113,[1]HOC_Histograma_Obra!$C$55:$C$113,"MOA")</f>
        <v>0</v>
      </c>
      <c r="HY27" s="11">
        <f>SUMIFS([1]HOC_Histograma_Obra!JD55:JD113,[1]HOC_Histograma_Obra!$C$55:$C$113,"MOA")</f>
        <v>0</v>
      </c>
      <c r="HZ27" s="11">
        <f>SUMIFS([1]HOC_Histograma_Obra!JE55:JE113,[1]HOC_Histograma_Obra!$C$55:$C$113,"MOA")</f>
        <v>0</v>
      </c>
      <c r="IA27" s="11">
        <f>SUMIFS([1]HOC_Histograma_Obra!JF55:JF113,[1]HOC_Histograma_Obra!$C$55:$C$113,"MOA")</f>
        <v>0</v>
      </c>
      <c r="IB27" s="11">
        <f>SUMIFS([1]HOC_Histograma_Obra!JG55:JG113,[1]HOC_Histograma_Obra!$C$55:$C$113,"MOA")</f>
        <v>0</v>
      </c>
      <c r="IC27" s="11">
        <f>SUMIFS([1]HOC_Histograma_Obra!JH55:JH113,[1]HOC_Histograma_Obra!$C$55:$C$113,"MOA")</f>
        <v>0</v>
      </c>
      <c r="ID27" s="11">
        <f>SUMIFS([1]HOC_Histograma_Obra!JI55:JI113,[1]HOC_Histograma_Obra!$C$55:$C$113,"MOA")</f>
        <v>0</v>
      </c>
      <c r="IE27" s="11">
        <f>SUMIFS([1]HOC_Histograma_Obra!JJ55:JJ113,[1]HOC_Histograma_Obra!$C$55:$C$113,"MOA")</f>
        <v>0</v>
      </c>
      <c r="IF27" s="11">
        <f>SUMIFS([1]HOC_Histograma_Obra!JK55:JK113,[1]HOC_Histograma_Obra!$C$55:$C$113,"MOA")</f>
        <v>0</v>
      </c>
      <c r="IG27" s="11">
        <f>SUMIFS([1]HOC_Histograma_Obra!JL55:JL113,[1]HOC_Histograma_Obra!$C$55:$C$113,"MOA")</f>
        <v>0</v>
      </c>
      <c r="IH27" s="11">
        <f>SUMIFS([1]HOC_Histograma_Obra!JM55:JM113,[1]HOC_Histograma_Obra!$C$55:$C$113,"MOA")</f>
        <v>0</v>
      </c>
      <c r="II27" s="11">
        <f>SUMIFS([1]HOC_Histograma_Obra!JN55:JN113,[1]HOC_Histograma_Obra!$C$55:$C$113,"MOA")</f>
        <v>0</v>
      </c>
      <c r="IJ27" s="11">
        <f>SUMIFS([1]HOC_Histograma_Obra!JO55:JO113,[1]HOC_Histograma_Obra!$C$55:$C$113,"MOA")</f>
        <v>0</v>
      </c>
      <c r="IK27" s="11">
        <f>SUMIFS([1]HOC_Histograma_Obra!JP55:JP113,[1]HOC_Histograma_Obra!$C$55:$C$113,"MOA")</f>
        <v>0</v>
      </c>
      <c r="IL27" s="11">
        <f>SUMIFS([1]HOC_Histograma_Obra!JQ55:JQ113,[1]HOC_Histograma_Obra!$C$55:$C$113,"MOA")</f>
        <v>0</v>
      </c>
      <c r="IM27" s="11">
        <f>SUMIFS([1]HOC_Histograma_Obra!JR55:JR113,[1]HOC_Histograma_Obra!$C$55:$C$113,"MOA")</f>
        <v>0</v>
      </c>
      <c r="IN27" s="11">
        <f>SUMIFS([1]HOC_Histograma_Obra!JS55:JS113,[1]HOC_Histograma_Obra!$C$55:$C$113,"MOA")</f>
        <v>0</v>
      </c>
      <c r="IO27" s="11">
        <f>SUMIFS([1]HOC_Histograma_Obra!JT55:JT113,[1]HOC_Histograma_Obra!$C$55:$C$113,"MOA")</f>
        <v>0</v>
      </c>
      <c r="IP27" s="11">
        <f>SUMIFS([1]HOC_Histograma_Obra!JU55:JU113,[1]HOC_Histograma_Obra!$C$55:$C$113,"MOA")</f>
        <v>0</v>
      </c>
      <c r="IQ27" s="11">
        <f>SUMIFS([1]HOC_Histograma_Obra!JV55:JV113,[1]HOC_Histograma_Obra!$C$55:$C$113,"MOA")</f>
        <v>0</v>
      </c>
      <c r="IR27" s="11">
        <f>SUMIFS([1]HOC_Histograma_Obra!JW55:JW113,[1]HOC_Histograma_Obra!$C$55:$C$113,"MOA")</f>
        <v>0</v>
      </c>
      <c r="IS27" s="11">
        <f>SUMIFS([1]HOC_Histograma_Obra!JX55:JX113,[1]HOC_Histograma_Obra!$C$55:$C$113,"MOA")</f>
        <v>0</v>
      </c>
      <c r="IT27" s="11">
        <f>SUMIFS([1]HOC_Histograma_Obra!JY55:JY113,[1]HOC_Histograma_Obra!$C$55:$C$113,"MOA")</f>
        <v>0</v>
      </c>
      <c r="IU27" s="11">
        <f>SUMIFS([1]HOC_Histograma_Obra!JZ55:JZ113,[1]HOC_Histograma_Obra!$C$55:$C$113,"MOA")</f>
        <v>0</v>
      </c>
      <c r="IV27" s="11">
        <f>SUMIFS([1]HOC_Histograma_Obra!KA55:KA113,[1]HOC_Histograma_Obra!$C$55:$C$113,"MOA")</f>
        <v>0</v>
      </c>
      <c r="IW27" s="11">
        <f>SUMIFS([1]HOC_Histograma_Obra!KB55:KB113,[1]HOC_Histograma_Obra!$C$55:$C$113,"MOA")</f>
        <v>0</v>
      </c>
      <c r="IX27" s="11">
        <f>SUMIFS([1]HOC_Histograma_Obra!KC55:KC113,[1]HOC_Histograma_Obra!$C$55:$C$113,"MOA")</f>
        <v>0</v>
      </c>
      <c r="IY27" s="11">
        <f>SUMIFS([1]HOC_Histograma_Obra!KD55:KD113,[1]HOC_Histograma_Obra!$C$55:$C$113,"MOA")</f>
        <v>0</v>
      </c>
      <c r="IZ27" s="11">
        <f>SUMIFS([1]HOC_Histograma_Obra!KE55:KE113,[1]HOC_Histograma_Obra!$C$55:$C$113,"MOA")</f>
        <v>0</v>
      </c>
      <c r="JA27" s="11">
        <f>SUMIFS([1]HOC_Histograma_Obra!KF55:KF113,[1]HOC_Histograma_Obra!$C$55:$C$113,"MOA")</f>
        <v>0</v>
      </c>
      <c r="JB27" s="11">
        <f>SUMIFS([1]HOC_Histograma_Obra!KG55:KG113,[1]HOC_Histograma_Obra!$C$55:$C$113,"MOA")</f>
        <v>0</v>
      </c>
      <c r="JC27" s="11">
        <f>SUMIFS([1]HOC_Histograma_Obra!KH55:KH113,[1]HOC_Histograma_Obra!$C$55:$C$113,"MOA")</f>
        <v>0</v>
      </c>
      <c r="JD27" s="11">
        <f>SUMIFS([1]HOC_Histograma_Obra!KI55:KI113,[1]HOC_Histograma_Obra!$C$55:$C$113,"MOA")</f>
        <v>0</v>
      </c>
      <c r="JE27" s="11">
        <f>SUMIFS([1]HOC_Histograma_Obra!KJ55:KJ113,[1]HOC_Histograma_Obra!$C$55:$C$113,"MOA")</f>
        <v>0</v>
      </c>
      <c r="JF27" s="11">
        <f>SUMIFS([1]HOC_Histograma_Obra!KK55:KK113,[1]HOC_Histograma_Obra!$C$55:$C$113,"MOA")</f>
        <v>0</v>
      </c>
      <c r="JG27" s="11">
        <f>SUMIFS([1]HOC_Histograma_Obra!KL55:KL113,[1]HOC_Histograma_Obra!$C$55:$C$113,"MOA")</f>
        <v>0</v>
      </c>
      <c r="JH27" s="11">
        <f>SUMIFS([1]HOC_Histograma_Obra!KM55:KM113,[1]HOC_Histograma_Obra!$C$55:$C$113,"MOA")</f>
        <v>0</v>
      </c>
      <c r="JI27" s="11">
        <f>SUMIFS([1]HOC_Histograma_Obra!KN55:KN113,[1]HOC_Histograma_Obra!$C$55:$C$113,"MOA")</f>
        <v>0</v>
      </c>
      <c r="JJ27" s="11">
        <f>SUMIFS([1]HOC_Histograma_Obra!KO55:KO113,[1]HOC_Histograma_Obra!$C$55:$C$113,"MOA")</f>
        <v>0</v>
      </c>
      <c r="JK27" s="11">
        <f>SUMIFS([1]HOC_Histograma_Obra!KP55:KP113,[1]HOC_Histograma_Obra!$C$55:$C$113,"MOA")</f>
        <v>0</v>
      </c>
      <c r="JL27" s="11">
        <f>SUMIFS([1]HOC_Histograma_Obra!KQ55:KQ113,[1]HOC_Histograma_Obra!$C$55:$C$113,"MOA")</f>
        <v>0</v>
      </c>
      <c r="JM27" s="11">
        <f>SUMIFS([1]HOC_Histograma_Obra!KR55:KR113,[1]HOC_Histograma_Obra!$C$55:$C$113,"MOA")</f>
        <v>0</v>
      </c>
      <c r="JN27" s="11">
        <f>SUMIFS([1]HOC_Histograma_Obra!KS55:KS113,[1]HOC_Histograma_Obra!$C$55:$C$113,"MOA")</f>
        <v>0</v>
      </c>
      <c r="JO27" s="11">
        <f>SUMIFS([1]HOC_Histograma_Obra!KT55:KT113,[1]HOC_Histograma_Obra!$C$55:$C$113,"MOA")</f>
        <v>0</v>
      </c>
      <c r="JP27" s="11">
        <f>SUMIFS([1]HOC_Histograma_Obra!KU55:KU113,[1]HOC_Histograma_Obra!$C$55:$C$113,"MOA")</f>
        <v>0</v>
      </c>
      <c r="JQ27" s="11">
        <f>SUMIFS([1]HOC_Histograma_Obra!KV55:KV113,[1]HOC_Histograma_Obra!$C$55:$C$113,"MOA")</f>
        <v>0</v>
      </c>
      <c r="JR27" s="11">
        <f>SUMIFS([1]HOC_Histograma_Obra!KW55:KW113,[1]HOC_Histograma_Obra!$C$55:$C$113,"MOA")</f>
        <v>0</v>
      </c>
      <c r="JS27" s="11">
        <f>SUMIFS([1]HOC_Histograma_Obra!KX55:KX113,[1]HOC_Histograma_Obra!$C$55:$C$113,"MOA")</f>
        <v>0</v>
      </c>
      <c r="JT27" s="11">
        <f>SUMIFS([1]HOC_Histograma_Obra!KY55:KY113,[1]HOC_Histograma_Obra!$C$55:$C$113,"MOA")</f>
        <v>0</v>
      </c>
      <c r="JU27" s="11">
        <f>SUMIFS([1]HOC_Histograma_Obra!KZ55:KZ113,[1]HOC_Histograma_Obra!$C$55:$C$113,"MOA")</f>
        <v>0</v>
      </c>
      <c r="JV27" s="11">
        <f>SUMIFS([1]HOC_Histograma_Obra!LA55:LA113,[1]HOC_Histograma_Obra!$C$55:$C$113,"MOA")</f>
        <v>0</v>
      </c>
      <c r="JW27" s="11">
        <f>SUMIFS([1]HOC_Histograma_Obra!LB55:LB113,[1]HOC_Histograma_Obra!$C$55:$C$113,"MOA")</f>
        <v>0</v>
      </c>
      <c r="JX27" s="11">
        <f>SUMIFS([1]HOC_Histograma_Obra!LC55:LC113,[1]HOC_Histograma_Obra!$C$55:$C$113,"MOA")</f>
        <v>0</v>
      </c>
      <c r="JY27" s="11">
        <f>SUMIFS([1]HOC_Histograma_Obra!LD55:LD113,[1]HOC_Histograma_Obra!$C$55:$C$113,"MOA")</f>
        <v>0</v>
      </c>
      <c r="JZ27" s="11">
        <f>SUMIFS([1]HOC_Histograma_Obra!LE55:LE113,[1]HOC_Histograma_Obra!$C$55:$C$113,"MOA")</f>
        <v>0</v>
      </c>
      <c r="KA27" s="11">
        <f>SUMIFS([1]HOC_Histograma_Obra!LF55:LF113,[1]HOC_Histograma_Obra!$C$55:$C$113,"MOA")</f>
        <v>0</v>
      </c>
      <c r="KB27" s="11">
        <f>SUMIFS([1]HOC_Histograma_Obra!LG55:LG113,[1]HOC_Histograma_Obra!$C$55:$C$113,"MOA")</f>
        <v>0</v>
      </c>
      <c r="KC27" s="11">
        <f>SUMIFS([1]HOC_Histograma_Obra!LH55:LH113,[1]HOC_Histograma_Obra!$C$55:$C$113,"MOA")</f>
        <v>0</v>
      </c>
      <c r="KD27" s="11">
        <f>SUMIFS([1]HOC_Histograma_Obra!LI55:LI113,[1]HOC_Histograma_Obra!$C$55:$C$113,"MOA")</f>
        <v>0</v>
      </c>
      <c r="KE27" s="11">
        <f>SUMIFS([1]HOC_Histograma_Obra!LJ55:LJ113,[1]HOC_Histograma_Obra!$C$55:$C$113,"MOA")</f>
        <v>0</v>
      </c>
      <c r="KF27" s="11">
        <f>SUMIFS([1]HOC_Histograma_Obra!LK55:LK113,[1]HOC_Histograma_Obra!$C$55:$C$113,"MOA")</f>
        <v>0</v>
      </c>
      <c r="KG27" s="11">
        <f>SUMIFS([1]HOC_Histograma_Obra!LL55:LL113,[1]HOC_Histograma_Obra!$C$55:$C$113,"MOA")</f>
        <v>0</v>
      </c>
      <c r="KH27" s="11">
        <f>SUMIFS([1]HOC_Histograma_Obra!LM55:LM113,[1]HOC_Histograma_Obra!$C$55:$C$113,"MOA")</f>
        <v>0</v>
      </c>
      <c r="KI27" s="11">
        <f>SUMIFS([1]HOC_Histograma_Obra!LN55:LN113,[1]HOC_Histograma_Obra!$C$55:$C$113,"MOA")</f>
        <v>0</v>
      </c>
      <c r="KJ27" s="11">
        <f>SUMIFS([1]HOC_Histograma_Obra!LO55:LO113,[1]HOC_Histograma_Obra!$C$55:$C$113,"MOA")</f>
        <v>0</v>
      </c>
      <c r="KK27" s="11">
        <f>SUMIFS([1]HOC_Histograma_Obra!LP55:LP113,[1]HOC_Histograma_Obra!$C$55:$C$113,"MOA")</f>
        <v>0</v>
      </c>
      <c r="KL27" s="11">
        <f>SUMIFS([1]HOC_Histograma_Obra!LQ55:LQ113,[1]HOC_Histograma_Obra!$C$55:$C$113,"MOA")</f>
        <v>0</v>
      </c>
      <c r="KM27" s="11">
        <f>SUMIFS([1]HOC_Histograma_Obra!LR55:LR113,[1]HOC_Histograma_Obra!$C$55:$C$113,"MOA")</f>
        <v>0</v>
      </c>
      <c r="KN27" s="11">
        <f>SUMIFS([1]HOC_Histograma_Obra!LS55:LS113,[1]HOC_Histograma_Obra!$C$55:$C$113,"MOA")</f>
        <v>0</v>
      </c>
      <c r="KO27" s="11">
        <f>SUMIFS([1]HOC_Histograma_Obra!LT55:LT113,[1]HOC_Histograma_Obra!$C$55:$C$113,"MOA")</f>
        <v>0</v>
      </c>
      <c r="KP27" s="11">
        <f>SUMIFS([1]HOC_Histograma_Obra!LU55:LU113,[1]HOC_Histograma_Obra!$C$55:$C$113,"MOA")</f>
        <v>0</v>
      </c>
      <c r="KQ27" s="11">
        <f>SUMIFS([1]HOC_Histograma_Obra!LV55:LV113,[1]HOC_Histograma_Obra!$C$55:$C$113,"MOA")</f>
        <v>0</v>
      </c>
      <c r="KR27" s="11">
        <f>SUMIFS([1]HOC_Histograma_Obra!LW55:LW113,[1]HOC_Histograma_Obra!$C$55:$C$113,"MOA")</f>
        <v>0</v>
      </c>
      <c r="KS27" s="11">
        <f>SUMIFS([1]HOC_Histograma_Obra!LX55:LX113,[1]HOC_Histograma_Obra!$C$55:$C$113,"MOA")</f>
        <v>0</v>
      </c>
      <c r="KT27" s="11">
        <f>SUMIFS([1]HOC_Histograma_Obra!LY55:LY113,[1]HOC_Histograma_Obra!$C$55:$C$113,"MOA")</f>
        <v>0</v>
      </c>
      <c r="KU27" s="11">
        <f>SUMIFS([1]HOC_Histograma_Obra!LZ55:LZ113,[1]HOC_Histograma_Obra!$C$55:$C$113,"MOA")</f>
        <v>0</v>
      </c>
      <c r="KV27" s="11">
        <f>SUMIFS([1]HOC_Histograma_Obra!MA55:MA113,[1]HOC_Histograma_Obra!$C$55:$C$113,"MOA")</f>
        <v>0</v>
      </c>
      <c r="KW27" s="11">
        <f>SUMIFS([1]HOC_Histograma_Obra!MB55:MB113,[1]HOC_Histograma_Obra!$C$55:$C$113,"MOA")</f>
        <v>0</v>
      </c>
      <c r="KX27" s="11">
        <f>SUMIFS([1]HOC_Histograma_Obra!MC55:MC113,[1]HOC_Histograma_Obra!$C$55:$C$113,"MOA")</f>
        <v>0</v>
      </c>
      <c r="KY27" s="11">
        <f>SUMIFS([1]HOC_Histograma_Obra!MD55:MD113,[1]HOC_Histograma_Obra!$C$55:$C$113,"MOA")</f>
        <v>0</v>
      </c>
      <c r="KZ27" s="11">
        <f>SUMIFS([1]HOC_Histograma_Obra!ME55:ME113,[1]HOC_Histograma_Obra!$C$55:$C$113,"MOA")</f>
        <v>0</v>
      </c>
      <c r="LA27" s="11">
        <f>SUMIFS([1]HOC_Histograma_Obra!MF55:MF113,[1]HOC_Histograma_Obra!$C$55:$C$113,"MOA")</f>
        <v>0</v>
      </c>
      <c r="LB27" s="11">
        <f>SUMIFS([1]HOC_Histograma_Obra!MG55:MG113,[1]HOC_Histograma_Obra!$C$55:$C$113,"MOA")</f>
        <v>0</v>
      </c>
      <c r="LC27" s="11">
        <f>SUMIFS([1]HOC_Histograma_Obra!MH55:MH113,[1]HOC_Histograma_Obra!$C$55:$C$113,"MOA")</f>
        <v>0</v>
      </c>
      <c r="LD27" s="11">
        <f>SUMIFS([1]HOC_Histograma_Obra!MI55:MI113,[1]HOC_Histograma_Obra!$C$55:$C$113,"MOA")</f>
        <v>0</v>
      </c>
      <c r="LE27" s="11">
        <f>SUMIFS([1]HOC_Histograma_Obra!MJ55:MJ113,[1]HOC_Histograma_Obra!$C$55:$C$113,"MOA")</f>
        <v>0</v>
      </c>
      <c r="LF27" s="11">
        <f>SUMIFS([1]HOC_Histograma_Obra!MK55:MK113,[1]HOC_Histograma_Obra!$C$55:$C$113,"MOA")</f>
        <v>0</v>
      </c>
      <c r="LG27" s="11">
        <f>SUMIFS([1]HOC_Histograma_Obra!ML55:ML113,[1]HOC_Histograma_Obra!$C$55:$C$113,"MOA")</f>
        <v>0</v>
      </c>
      <c r="LH27" s="11">
        <f>SUMIFS([1]HOC_Histograma_Obra!MM55:MM113,[1]HOC_Histograma_Obra!$C$55:$C$113,"MOA")</f>
        <v>0</v>
      </c>
      <c r="LI27" s="11">
        <f>SUMIFS([1]HOC_Histograma_Obra!MN55:MN113,[1]HOC_Histograma_Obra!$C$55:$C$113,"MOA")</f>
        <v>0</v>
      </c>
      <c r="LJ27" s="11">
        <f>SUMIFS([1]HOC_Histograma_Obra!MO55:MO113,[1]HOC_Histograma_Obra!$C$55:$C$113,"MOA")</f>
        <v>0</v>
      </c>
      <c r="LK27" s="11">
        <f>SUMIFS([1]HOC_Histograma_Obra!MP55:MP113,[1]HOC_Histograma_Obra!$C$55:$C$113,"MOA")</f>
        <v>0</v>
      </c>
      <c r="LL27" s="11">
        <f>SUMIFS([1]HOC_Histograma_Obra!MQ55:MQ113,[1]HOC_Histograma_Obra!$C$55:$C$113,"MOA")</f>
        <v>0</v>
      </c>
      <c r="LM27" s="11">
        <f>SUMIFS([1]HOC_Histograma_Obra!MR55:MR113,[1]HOC_Histograma_Obra!$C$55:$C$113,"MOA")</f>
        <v>0</v>
      </c>
      <c r="LN27" s="11">
        <f>SUMIFS([1]HOC_Histograma_Obra!MS55:MS113,[1]HOC_Histograma_Obra!$C$55:$C$113,"MOA")</f>
        <v>0</v>
      </c>
      <c r="LO27" s="11">
        <f>SUMIFS([1]HOC_Histograma_Obra!MT55:MT113,[1]HOC_Histograma_Obra!$C$55:$C$113,"MOA")</f>
        <v>0</v>
      </c>
      <c r="LP27" s="11">
        <f>SUMIFS([1]HOC_Histograma_Obra!MU55:MU113,[1]HOC_Histograma_Obra!$C$55:$C$113,"MOA")</f>
        <v>0</v>
      </c>
      <c r="LQ27" s="11">
        <f>SUMIFS([1]HOC_Histograma_Obra!MV55:MV113,[1]HOC_Histograma_Obra!$C$55:$C$113,"MOA")</f>
        <v>0</v>
      </c>
      <c r="LR27" s="11">
        <f>SUMIFS([1]HOC_Histograma_Obra!MW55:MW113,[1]HOC_Histograma_Obra!$C$55:$C$113,"MOA")</f>
        <v>0</v>
      </c>
      <c r="LS27" s="11">
        <f>SUMIFS([1]HOC_Histograma_Obra!MX55:MX113,[1]HOC_Histograma_Obra!$C$55:$C$113,"MOA")</f>
        <v>0</v>
      </c>
      <c r="LT27" s="11">
        <f>SUMIFS([1]HOC_Histograma_Obra!MY55:MY113,[1]HOC_Histograma_Obra!$C$55:$C$113,"MOA")</f>
        <v>0</v>
      </c>
      <c r="LU27" s="11">
        <f>SUMIFS([1]HOC_Histograma_Obra!MZ55:MZ113,[1]HOC_Histograma_Obra!$C$55:$C$113,"MOA")</f>
        <v>0</v>
      </c>
      <c r="LV27" s="11">
        <f>SUMIFS([1]HOC_Histograma_Obra!NA55:NA113,[1]HOC_Histograma_Obra!$C$55:$C$113,"MOA")</f>
        <v>0</v>
      </c>
      <c r="LW27" s="11">
        <f>SUMIFS([1]HOC_Histograma_Obra!NB55:NB113,[1]HOC_Histograma_Obra!$C$55:$C$113,"MOA")</f>
        <v>0</v>
      </c>
      <c r="LX27" s="11">
        <f>SUMIFS([1]HOC_Histograma_Obra!NC55:NC113,[1]HOC_Histograma_Obra!$C$55:$C$113,"MOA")</f>
        <v>0</v>
      </c>
      <c r="LY27" s="11">
        <f>SUMIFS([1]HOC_Histograma_Obra!ND55:ND113,[1]HOC_Histograma_Obra!$C$55:$C$113,"MOA")</f>
        <v>0</v>
      </c>
      <c r="LZ27" s="11">
        <f>SUMIFS([1]HOC_Histograma_Obra!NE55:NE113,[1]HOC_Histograma_Obra!$C$55:$C$113,"MOA")</f>
        <v>0</v>
      </c>
      <c r="MA27" s="11">
        <f>SUMIFS([1]HOC_Histograma_Obra!NF55:NF113,[1]HOC_Histograma_Obra!$C$55:$C$113,"MOA")</f>
        <v>0</v>
      </c>
      <c r="MB27" s="11">
        <f>SUMIFS([1]HOC_Histograma_Obra!NG55:NG113,[1]HOC_Histograma_Obra!$C$55:$C$113,"MOA")</f>
        <v>0</v>
      </c>
      <c r="MC27" s="11">
        <f>SUMIFS([1]HOC_Histograma_Obra!NH55:NH113,[1]HOC_Histograma_Obra!$C$55:$C$113,"MOA")</f>
        <v>0</v>
      </c>
      <c r="MD27" s="11">
        <f>SUMIFS([1]HOC_Histograma_Obra!NI55:NI113,[1]HOC_Histograma_Obra!$C$55:$C$113,"MOA")</f>
        <v>0</v>
      </c>
      <c r="ME27" s="11">
        <f>SUMIFS([1]HOC_Histograma_Obra!NJ55:NJ113,[1]HOC_Histograma_Obra!$C$55:$C$113,"MOA")</f>
        <v>0</v>
      </c>
      <c r="MF27" s="11">
        <f>SUMIFS([1]HOC_Histograma_Obra!NK55:NK113,[1]HOC_Histograma_Obra!$C$55:$C$113,"MOA")</f>
        <v>0</v>
      </c>
      <c r="MG27" s="11">
        <f>SUMIFS([1]HOC_Histograma_Obra!NL55:NL113,[1]HOC_Histograma_Obra!$C$55:$C$113,"MOA")</f>
        <v>0</v>
      </c>
      <c r="MH27" s="11">
        <f>SUMIFS([1]HOC_Histograma_Obra!NM55:NM113,[1]HOC_Histograma_Obra!$C$55:$C$113,"MOA")</f>
        <v>0</v>
      </c>
      <c r="MI27" s="11">
        <f>SUMIFS([1]HOC_Histograma_Obra!NN55:NN113,[1]HOC_Histograma_Obra!$C$55:$C$113,"MOA")</f>
        <v>0</v>
      </c>
      <c r="MJ27" s="11">
        <f>SUMIFS([1]HOC_Histograma_Obra!NO55:NO113,[1]HOC_Histograma_Obra!$C$55:$C$113,"MOA")</f>
        <v>0</v>
      </c>
      <c r="MK27" s="11">
        <f>SUMIFS([1]HOC_Histograma_Obra!NP55:NP113,[1]HOC_Histograma_Obra!$C$55:$C$113,"MOA")</f>
        <v>0</v>
      </c>
      <c r="ML27" s="11">
        <f>SUMIFS([1]HOC_Histograma_Obra!NQ55:NQ113,[1]HOC_Histograma_Obra!$C$55:$C$113,"MOA")</f>
        <v>0</v>
      </c>
      <c r="MM27" s="11">
        <f>SUMIFS([1]HOC_Histograma_Obra!NR55:NR113,[1]HOC_Histograma_Obra!$C$55:$C$113,"MOA")</f>
        <v>0</v>
      </c>
      <c r="MN27" s="11">
        <f>SUMIFS([1]HOC_Histograma_Obra!NS55:NS113,[1]HOC_Histograma_Obra!$C$55:$C$113,"MOA")</f>
        <v>0</v>
      </c>
      <c r="MO27" s="11">
        <f>SUMIFS([1]HOC_Histograma_Obra!NT55:NT113,[1]HOC_Histograma_Obra!$C$55:$C$113,"MOA")</f>
        <v>0</v>
      </c>
      <c r="MP27" s="11">
        <f>SUMIFS([1]HOC_Histograma_Obra!NU55:NU113,[1]HOC_Histograma_Obra!$C$55:$C$113,"MOA")</f>
        <v>0</v>
      </c>
      <c r="MQ27" s="11">
        <f>SUMIFS([1]HOC_Histograma_Obra!NV55:NV113,[1]HOC_Histograma_Obra!$C$55:$C$113,"MOA")</f>
        <v>0</v>
      </c>
      <c r="MR27" s="11">
        <f>SUMIFS([1]HOC_Histograma_Obra!NW55:NW113,[1]HOC_Histograma_Obra!$C$55:$C$113,"MOA")</f>
        <v>0</v>
      </c>
      <c r="MS27" s="11">
        <f>SUMIFS([1]HOC_Histograma_Obra!NX55:NX113,[1]HOC_Histograma_Obra!$C$55:$C$113,"MOA")</f>
        <v>0</v>
      </c>
      <c r="MT27" s="11">
        <f>SUMIFS([1]HOC_Histograma_Obra!NY55:NY113,[1]HOC_Histograma_Obra!$C$55:$C$113,"MOA")</f>
        <v>0</v>
      </c>
      <c r="MU27" s="11">
        <f>SUMIFS([1]HOC_Histograma_Obra!NZ55:NZ113,[1]HOC_Histograma_Obra!$C$55:$C$113,"MOA")</f>
        <v>0</v>
      </c>
      <c r="MV27" s="11">
        <f>SUMIFS([1]HOC_Histograma_Obra!OA55:OA113,[1]HOC_Histograma_Obra!$C$55:$C$113,"MOA")</f>
        <v>0</v>
      </c>
      <c r="MW27" s="11">
        <f>SUMIFS([1]HOC_Histograma_Obra!OB55:OB113,[1]HOC_Histograma_Obra!$C$55:$C$113,"MOA")</f>
        <v>0</v>
      </c>
      <c r="MX27" s="11">
        <f>SUMIFS([1]HOC_Histograma_Obra!OC55:OC113,[1]HOC_Histograma_Obra!$C$55:$C$113,"MOA")</f>
        <v>0</v>
      </c>
      <c r="MY27" s="11">
        <f>SUMIFS([1]HOC_Histograma_Obra!OD55:OD113,[1]HOC_Histograma_Obra!$C$55:$C$113,"MOA")</f>
        <v>0</v>
      </c>
      <c r="MZ27" s="11">
        <f>SUMIFS([1]HOC_Histograma_Obra!OE55:OE113,[1]HOC_Histograma_Obra!$C$55:$C$113,"MOA")</f>
        <v>0</v>
      </c>
      <c r="NA27" s="11">
        <f>SUMIFS([1]HOC_Histograma_Obra!OF55:OF113,[1]HOC_Histograma_Obra!$C$55:$C$113,"MOA")</f>
        <v>0</v>
      </c>
      <c r="NB27" s="11">
        <f>SUMIFS([1]HOC_Histograma_Obra!OG55:OG113,[1]HOC_Histograma_Obra!$C$55:$C$113,"MOA")</f>
        <v>0</v>
      </c>
      <c r="NC27" s="11">
        <f>SUMIFS([1]HOC_Histograma_Obra!OH55:OH113,[1]HOC_Histograma_Obra!$C$55:$C$113,"MOA")</f>
        <v>0</v>
      </c>
      <c r="ND27" s="11">
        <f>SUMIFS([1]HOC_Histograma_Obra!OI55:OI113,[1]HOC_Histograma_Obra!$C$55:$C$113,"MOA")</f>
        <v>0</v>
      </c>
      <c r="NE27" s="11">
        <f>SUMIFS([1]HOC_Histograma_Obra!OJ55:OJ113,[1]HOC_Histograma_Obra!$C$55:$C$113,"MOA")</f>
        <v>0</v>
      </c>
      <c r="NF27" s="11">
        <f>SUMIFS([1]HOC_Histograma_Obra!OK55:OK113,[1]HOC_Histograma_Obra!$C$55:$C$113,"MOA")</f>
        <v>0</v>
      </c>
      <c r="NG27" s="11">
        <f>SUMIFS([1]HOC_Histograma_Obra!OL55:OL113,[1]HOC_Histograma_Obra!$C$55:$C$113,"MOA")</f>
        <v>0</v>
      </c>
      <c r="NH27" s="11">
        <f>SUMIFS([1]HOC_Histograma_Obra!OM55:OM113,[1]HOC_Histograma_Obra!$C$55:$C$113,"MOA")</f>
        <v>0</v>
      </c>
      <c r="NI27" s="11">
        <f>SUMIFS([1]HOC_Histograma_Obra!ON55:ON113,[1]HOC_Histograma_Obra!$C$55:$C$113,"MOA")</f>
        <v>0</v>
      </c>
      <c r="NJ27" s="11">
        <f>SUMIFS([1]HOC_Histograma_Obra!OO55:OO113,[1]HOC_Histograma_Obra!$C$55:$C$113,"MOA")</f>
        <v>0</v>
      </c>
      <c r="NK27" s="11">
        <f>SUMIFS([1]HOC_Histograma_Obra!OP55:OP113,[1]HOC_Histograma_Obra!$C$55:$C$113,"MOA")</f>
        <v>0</v>
      </c>
      <c r="NL27" s="11">
        <f>SUMIFS([1]HOC_Histograma_Obra!OQ55:OQ113,[1]HOC_Histograma_Obra!$C$55:$C$113,"MOA")</f>
        <v>0</v>
      </c>
      <c r="NM27" s="11">
        <f>SUMIFS([1]HOC_Histograma_Obra!OR55:OR113,[1]HOC_Histograma_Obra!$C$55:$C$113,"MOA")</f>
        <v>0</v>
      </c>
      <c r="NN27" s="11">
        <f>SUMIFS([1]HOC_Histograma_Obra!OS55:OS113,[1]HOC_Histograma_Obra!$C$55:$C$113,"MOA")</f>
        <v>0</v>
      </c>
      <c r="NO27" s="11">
        <f>SUMIFS([1]HOC_Histograma_Obra!OT55:OT113,[1]HOC_Histograma_Obra!$C$55:$C$113,"MOA")</f>
        <v>0</v>
      </c>
      <c r="NP27" s="11">
        <f>SUMIFS([1]HOC_Histograma_Obra!OU55:OU113,[1]HOC_Histograma_Obra!$C$55:$C$113,"MOA")</f>
        <v>0</v>
      </c>
      <c r="NQ27" s="11">
        <f>SUMIFS([1]HOC_Histograma_Obra!OV55:OV113,[1]HOC_Histograma_Obra!$C$55:$C$113,"MOA")</f>
        <v>0</v>
      </c>
      <c r="NR27" s="11">
        <f>SUMIFS([1]HOC_Histograma_Obra!OW55:OW113,[1]HOC_Histograma_Obra!$C$55:$C$113,"MOA")</f>
        <v>0</v>
      </c>
      <c r="NS27" s="11">
        <f>SUMIFS([1]HOC_Histograma_Obra!OX55:OX113,[1]HOC_Histograma_Obra!$C$55:$C$113,"MOA")</f>
        <v>0</v>
      </c>
      <c r="NT27" s="11">
        <f>SUMIFS([1]HOC_Histograma_Obra!OY55:OY113,[1]HOC_Histograma_Obra!$C$55:$C$113,"MOA")</f>
        <v>0</v>
      </c>
      <c r="NU27" s="11">
        <f>SUMIFS([1]HOC_Histograma_Obra!OZ55:OZ113,[1]HOC_Histograma_Obra!$C$55:$C$113,"MOA")</f>
        <v>0</v>
      </c>
      <c r="NV27" s="11">
        <f>SUMIFS([1]HOC_Histograma_Obra!PA55:PA113,[1]HOC_Histograma_Obra!$C$55:$C$113,"MOA")</f>
        <v>0</v>
      </c>
      <c r="NW27" s="11">
        <f>SUMIFS([1]HOC_Histograma_Obra!PB55:PB113,[1]HOC_Histograma_Obra!$C$55:$C$113,"MOA")</f>
        <v>0</v>
      </c>
      <c r="NX27" s="11">
        <f>SUMIFS([1]HOC_Histograma_Obra!PC55:PC113,[1]HOC_Histograma_Obra!$C$55:$C$113,"MOA")</f>
        <v>0</v>
      </c>
      <c r="NY27" s="11">
        <f>SUMIFS([1]HOC_Histograma_Obra!PD55:PD113,[1]HOC_Histograma_Obra!$C$55:$C$113,"MOA")</f>
        <v>0</v>
      </c>
      <c r="NZ27" s="11">
        <f>SUMIFS([1]HOC_Histograma_Obra!PE55:PE113,[1]HOC_Histograma_Obra!$C$55:$C$113,"MOA")</f>
        <v>0</v>
      </c>
      <c r="OA27" s="11">
        <f>SUMIFS([1]HOC_Histograma_Obra!PF55:PF113,[1]HOC_Histograma_Obra!$C$55:$C$113,"MOA")</f>
        <v>0</v>
      </c>
      <c r="OB27" s="11">
        <f>SUMIFS([1]HOC_Histograma_Obra!PG55:PG113,[1]HOC_Histograma_Obra!$C$55:$C$113,"MOA")</f>
        <v>0</v>
      </c>
      <c r="OC27" s="11">
        <f>SUMIFS([1]HOC_Histograma_Obra!PH55:PH113,[1]HOC_Histograma_Obra!$C$55:$C$113,"MOA")</f>
        <v>0</v>
      </c>
      <c r="OD27" s="11">
        <f>SUMIFS([1]HOC_Histograma_Obra!PI55:PI113,[1]HOC_Histograma_Obra!$C$55:$C$113,"MOA")</f>
        <v>0</v>
      </c>
      <c r="OE27" s="11">
        <f>SUMIFS([1]HOC_Histograma_Obra!PJ55:PJ113,[1]HOC_Histograma_Obra!$C$55:$C$113,"MOA")</f>
        <v>0</v>
      </c>
      <c r="OF27" s="11">
        <f>SUMIFS([1]HOC_Histograma_Obra!PK55:PK113,[1]HOC_Histograma_Obra!$C$55:$C$113,"MOA")</f>
        <v>0</v>
      </c>
      <c r="OG27" s="11">
        <f>SUMIFS([1]HOC_Histograma_Obra!PL55:PL113,[1]HOC_Histograma_Obra!$C$55:$C$113,"MOA")</f>
        <v>0</v>
      </c>
      <c r="OH27" s="11">
        <f>SUMIFS([1]HOC_Histograma_Obra!PM55:PM113,[1]HOC_Histograma_Obra!$C$55:$C$113,"MOA")</f>
        <v>0</v>
      </c>
      <c r="OI27" s="11">
        <f>SUMIFS([1]HOC_Histograma_Obra!PN55:PN113,[1]HOC_Histograma_Obra!$C$55:$C$113,"MOA")</f>
        <v>0</v>
      </c>
      <c r="OJ27" s="11">
        <f>SUMIFS([1]HOC_Histograma_Obra!PO55:PO113,[1]HOC_Histograma_Obra!$C$55:$C$113,"MOA")</f>
        <v>0</v>
      </c>
      <c r="OK27" s="11">
        <f>SUMIFS([1]HOC_Histograma_Obra!PP55:PP113,[1]HOC_Histograma_Obra!$C$55:$C$113,"MOA")</f>
        <v>0</v>
      </c>
      <c r="OL27" s="11">
        <f>SUMIFS([1]HOC_Histograma_Obra!PQ55:PQ113,[1]HOC_Histograma_Obra!$C$55:$C$113,"MOA")</f>
        <v>0</v>
      </c>
      <c r="OM27" s="11">
        <f>SUMIFS([1]HOC_Histograma_Obra!PR55:PR113,[1]HOC_Histograma_Obra!$C$55:$C$113,"MOA")</f>
        <v>0</v>
      </c>
      <c r="ON27" s="11">
        <f>SUMIFS([1]HOC_Histograma_Obra!PS55:PS113,[1]HOC_Histograma_Obra!$C$55:$C$113,"MOA")</f>
        <v>0</v>
      </c>
      <c r="OO27" s="11">
        <f>SUMIFS([1]HOC_Histograma_Obra!PT55:PT113,[1]HOC_Histograma_Obra!$C$55:$C$113,"MOA")</f>
        <v>0</v>
      </c>
      <c r="OP27" s="11">
        <f>SUMIFS([1]HOC_Histograma_Obra!PU55:PU113,[1]HOC_Histograma_Obra!$C$55:$C$113,"MOA")</f>
        <v>0</v>
      </c>
      <c r="OQ27" s="11">
        <f>SUMIFS([1]HOC_Histograma_Obra!PV55:PV113,[1]HOC_Histograma_Obra!$C$55:$C$113,"MOA")</f>
        <v>0</v>
      </c>
      <c r="OR27" s="11">
        <f>SUMIFS([1]HOC_Histograma_Obra!PW55:PW113,[1]HOC_Histograma_Obra!$C$55:$C$113,"MOA")</f>
        <v>0</v>
      </c>
      <c r="OS27" s="11">
        <f>SUMIFS([1]HOC_Histograma_Obra!PX55:PX113,[1]HOC_Histograma_Obra!$C$55:$C$113,"MOA")</f>
        <v>0</v>
      </c>
      <c r="OT27" s="11">
        <f>SUMIFS([1]HOC_Histograma_Obra!PY55:PY113,[1]HOC_Histograma_Obra!$C$55:$C$113,"MOA")</f>
        <v>0</v>
      </c>
      <c r="OU27" s="11">
        <f>SUMIFS([1]HOC_Histograma_Obra!PZ55:PZ113,[1]HOC_Histograma_Obra!$C$55:$C$113,"MOA")</f>
        <v>0</v>
      </c>
      <c r="OV27" s="11">
        <f>SUMIFS([1]HOC_Histograma_Obra!QA55:QA113,[1]HOC_Histograma_Obra!$C$55:$C$113,"MOA")</f>
        <v>0</v>
      </c>
      <c r="OW27" s="11">
        <f>SUMIFS([1]HOC_Histograma_Obra!QB55:QB113,[1]HOC_Histograma_Obra!$C$55:$C$113,"MOA")</f>
        <v>0</v>
      </c>
      <c r="OX27" s="11">
        <f>SUMIFS([1]HOC_Histograma_Obra!QC55:QC113,[1]HOC_Histograma_Obra!$C$55:$C$113,"MOA")</f>
        <v>0</v>
      </c>
      <c r="OY27" s="11">
        <f>SUMIFS([1]HOC_Histograma_Obra!QD55:QD113,[1]HOC_Histograma_Obra!$C$55:$C$113,"MOA")</f>
        <v>0</v>
      </c>
      <c r="OZ27" s="11">
        <f>SUMIFS([1]HOC_Histograma_Obra!QE55:QE113,[1]HOC_Histograma_Obra!$C$55:$C$113,"MOA")</f>
        <v>0</v>
      </c>
      <c r="PA27" s="11">
        <f>SUMIFS([1]HOC_Histograma_Obra!QF55:QF113,[1]HOC_Histograma_Obra!$C$55:$C$113,"MOA")</f>
        <v>0</v>
      </c>
      <c r="PB27" s="11">
        <f>SUMIFS([1]HOC_Histograma_Obra!QG55:QG113,[1]HOC_Histograma_Obra!$C$55:$C$113,"MOA")</f>
        <v>0</v>
      </c>
      <c r="PC27" s="11">
        <f>SUMIFS([1]HOC_Histograma_Obra!QH55:QH113,[1]HOC_Histograma_Obra!$C$55:$C$113,"MOA")</f>
        <v>0</v>
      </c>
      <c r="PD27" s="11">
        <f>SUMIFS([1]HOC_Histograma_Obra!QI55:QI113,[1]HOC_Histograma_Obra!$C$55:$C$113,"MOA")</f>
        <v>0</v>
      </c>
      <c r="PE27" s="11">
        <f>SUMIFS([1]HOC_Histograma_Obra!QJ55:QJ113,[1]HOC_Histograma_Obra!$C$55:$C$113,"MOA")</f>
        <v>0</v>
      </c>
      <c r="PF27" s="11">
        <f>SUMIFS([1]HOC_Histograma_Obra!QK55:QK113,[1]HOC_Histograma_Obra!$C$55:$C$113,"MOA")</f>
        <v>0</v>
      </c>
      <c r="PG27" s="11">
        <f>SUMIFS([1]HOC_Histograma_Obra!QL55:QL113,[1]HOC_Histograma_Obra!$C$55:$C$113,"MOA")</f>
        <v>0</v>
      </c>
      <c r="PH27" s="11">
        <f>SUMIFS([1]HOC_Histograma_Obra!QM55:QM113,[1]HOC_Histograma_Obra!$C$55:$C$113,"MOA")</f>
        <v>0</v>
      </c>
      <c r="PI27" s="11">
        <f>SUMIFS([1]HOC_Histograma_Obra!QN55:QN113,[1]HOC_Histograma_Obra!$C$55:$C$113,"MOA")</f>
        <v>0</v>
      </c>
      <c r="PJ27" s="11">
        <f>SUMIFS([1]HOC_Histograma_Obra!QO55:QO113,[1]HOC_Histograma_Obra!$C$55:$C$113,"MOA")</f>
        <v>0</v>
      </c>
      <c r="PK27" s="11">
        <f>SUMIFS([1]HOC_Histograma_Obra!QP55:QP113,[1]HOC_Histograma_Obra!$C$55:$C$113,"MOA")</f>
        <v>0</v>
      </c>
      <c r="PL27" s="11">
        <f>SUMIFS([1]HOC_Histograma_Obra!QQ55:QQ113,[1]HOC_Histograma_Obra!$C$55:$C$113,"MOA")</f>
        <v>0</v>
      </c>
      <c r="PM27" s="11">
        <f>SUMIFS([1]HOC_Histograma_Obra!QR55:QR113,[1]HOC_Histograma_Obra!$C$55:$C$113,"MOA")</f>
        <v>0</v>
      </c>
      <c r="PN27" s="11">
        <f>SUMIFS([1]HOC_Histograma_Obra!QS55:QS113,[1]HOC_Histograma_Obra!$C$55:$C$113,"MOA")</f>
        <v>0</v>
      </c>
      <c r="PO27" s="11">
        <f>SUMIFS([1]HOC_Histograma_Obra!QT55:QT113,[1]HOC_Histograma_Obra!$C$55:$C$113,"MOA")</f>
        <v>0</v>
      </c>
      <c r="PP27" s="11">
        <f>SUMIFS([1]HOC_Histograma_Obra!QU55:QU113,[1]HOC_Histograma_Obra!$C$55:$C$113,"MOA")</f>
        <v>0</v>
      </c>
      <c r="PQ27" s="11">
        <f>SUMIFS([1]HOC_Histograma_Obra!QV55:QV113,[1]HOC_Histograma_Obra!$C$55:$C$113,"MOA")</f>
        <v>0</v>
      </c>
      <c r="PR27" s="11">
        <f>SUMIFS([1]HOC_Histograma_Obra!QW55:QW113,[1]HOC_Histograma_Obra!$C$55:$C$113,"MOA")</f>
        <v>0</v>
      </c>
      <c r="PS27" s="11">
        <f>SUMIFS([1]HOC_Histograma_Obra!QX55:QX113,[1]HOC_Histograma_Obra!$C$55:$C$113,"MOA")</f>
        <v>0</v>
      </c>
      <c r="PT27" s="11">
        <f>SUMIFS([1]HOC_Histograma_Obra!QY55:QY113,[1]HOC_Histograma_Obra!$C$55:$C$113,"MOA")</f>
        <v>0</v>
      </c>
      <c r="PU27" s="11">
        <f>SUMIFS([1]HOC_Histograma_Obra!QZ55:QZ113,[1]HOC_Histograma_Obra!$C$55:$C$113,"MOA")</f>
        <v>0</v>
      </c>
      <c r="PV27" s="11">
        <f>SUMIFS([1]HOC_Histograma_Obra!RA55:RA113,[1]HOC_Histograma_Obra!$C$55:$C$113,"MOA")</f>
        <v>0</v>
      </c>
      <c r="PW27" s="11">
        <f>SUMIFS([1]HOC_Histograma_Obra!RB55:RB113,[1]HOC_Histograma_Obra!$C$55:$C$113,"MOA")</f>
        <v>0</v>
      </c>
      <c r="PX27" s="11">
        <f>SUMIFS([1]HOC_Histograma_Obra!RC55:RC113,[1]HOC_Histograma_Obra!$C$55:$C$113,"MOA")</f>
        <v>0</v>
      </c>
      <c r="PY27" s="11">
        <f>SUMIFS([1]HOC_Histograma_Obra!RD55:RD113,[1]HOC_Histograma_Obra!$C$55:$C$113,"MOA")</f>
        <v>0</v>
      </c>
      <c r="PZ27" s="11">
        <f>SUMIFS([1]HOC_Histograma_Obra!RE55:RE113,[1]HOC_Histograma_Obra!$C$55:$C$113,"MOA")</f>
        <v>0</v>
      </c>
      <c r="QA27" s="11">
        <f>SUMIFS([1]HOC_Histograma_Obra!RF55:RF113,[1]HOC_Histograma_Obra!$C$55:$C$113,"MOA")</f>
        <v>0</v>
      </c>
      <c r="QB27" s="11">
        <f>SUMIFS([1]HOC_Histograma_Obra!RG55:RG113,[1]HOC_Histograma_Obra!$C$55:$C$113,"MOA")</f>
        <v>0</v>
      </c>
      <c r="QC27" s="11">
        <f>SUMIFS([1]HOC_Histograma_Obra!RH55:RH113,[1]HOC_Histograma_Obra!$C$55:$C$113,"MOA")</f>
        <v>0</v>
      </c>
      <c r="QD27" s="11">
        <f>SUMIFS([1]HOC_Histograma_Obra!RI55:RI113,[1]HOC_Histograma_Obra!$C$55:$C$113,"MOA")</f>
        <v>0</v>
      </c>
      <c r="QE27" s="11">
        <f>SUMIFS([1]HOC_Histograma_Obra!RJ55:RJ113,[1]HOC_Histograma_Obra!$C$55:$C$113,"MOA")</f>
        <v>0</v>
      </c>
      <c r="QF27" s="11">
        <f>SUMIFS([1]HOC_Histograma_Obra!RK55:RK113,[1]HOC_Histograma_Obra!$C$55:$C$113,"MOA")</f>
        <v>0</v>
      </c>
      <c r="QG27" s="11">
        <f>SUMIFS([1]HOC_Histograma_Obra!RL55:RL113,[1]HOC_Histograma_Obra!$C$55:$C$113,"MOA")</f>
        <v>0</v>
      </c>
      <c r="QH27" s="11">
        <f>SUMIFS([1]HOC_Histograma_Obra!RM55:RM113,[1]HOC_Histograma_Obra!$C$55:$C$113,"MOA")</f>
        <v>0</v>
      </c>
      <c r="QI27" s="11">
        <f>SUMIFS([1]HOC_Histograma_Obra!RN55:RN113,[1]HOC_Histograma_Obra!$C$55:$C$113,"MOA")</f>
        <v>0</v>
      </c>
      <c r="QJ27" s="11">
        <f>SUMIFS([1]HOC_Histograma_Obra!RO55:RO113,[1]HOC_Histograma_Obra!$C$55:$C$113,"MOA")</f>
        <v>0</v>
      </c>
      <c r="QK27" s="11">
        <f>SUMIFS([1]HOC_Histograma_Obra!RP55:RP113,[1]HOC_Histograma_Obra!$C$55:$C$113,"MOA")</f>
        <v>0</v>
      </c>
      <c r="QL27" s="11">
        <f>SUMIFS([1]HOC_Histograma_Obra!RQ55:RQ113,[1]HOC_Histograma_Obra!$C$55:$C$113,"MOA")</f>
        <v>0</v>
      </c>
      <c r="QM27" s="11">
        <f>SUMIFS([1]HOC_Histograma_Obra!RR55:RR113,[1]HOC_Histograma_Obra!$C$55:$C$113,"MOA")</f>
        <v>0</v>
      </c>
      <c r="QN27" s="11">
        <f>SUMIFS([1]HOC_Histograma_Obra!RS55:RS113,[1]HOC_Histograma_Obra!$C$55:$C$113,"MOA")</f>
        <v>0</v>
      </c>
      <c r="QO27" s="11">
        <f>SUMIFS([1]HOC_Histograma_Obra!RT55:RT113,[1]HOC_Histograma_Obra!$C$55:$C$113,"MOA")</f>
        <v>0</v>
      </c>
      <c r="QP27" s="11">
        <f>SUMIFS([1]HOC_Histograma_Obra!RU55:RU113,[1]HOC_Histograma_Obra!$C$55:$C$113,"MOA")</f>
        <v>0</v>
      </c>
      <c r="QQ27" s="11">
        <f>SUMIFS([1]HOC_Histograma_Obra!RV55:RV113,[1]HOC_Histograma_Obra!$C$55:$C$113,"MOA")</f>
        <v>0</v>
      </c>
      <c r="QR27" s="11">
        <f>SUMIFS([1]HOC_Histograma_Obra!RW55:RW113,[1]HOC_Histograma_Obra!$C$55:$C$113,"MOA")</f>
        <v>0</v>
      </c>
      <c r="QS27" s="11">
        <f>SUMIFS([1]HOC_Histograma_Obra!RX55:RX113,[1]HOC_Histograma_Obra!$C$55:$C$113,"MOA")</f>
        <v>0</v>
      </c>
      <c r="QT27" s="11">
        <f>SUMIFS([1]HOC_Histograma_Obra!RY55:RY113,[1]HOC_Histograma_Obra!$C$55:$C$113,"MOA")</f>
        <v>0</v>
      </c>
      <c r="QU27" s="11">
        <f>SUMIFS([1]HOC_Histograma_Obra!RZ55:RZ113,[1]HOC_Histograma_Obra!$C$55:$C$113,"MOA")</f>
        <v>0</v>
      </c>
      <c r="QV27" s="11">
        <f>SUMIFS([1]HOC_Histograma_Obra!SA55:SA113,[1]HOC_Histograma_Obra!$C$55:$C$113,"MOA")</f>
        <v>0</v>
      </c>
      <c r="QW27" s="11">
        <f>SUMIFS([1]HOC_Histograma_Obra!SB55:SB113,[1]HOC_Histograma_Obra!$C$55:$C$113,"MOA")</f>
        <v>0</v>
      </c>
      <c r="QX27" s="11">
        <f>SUMIFS([1]HOC_Histograma_Obra!SC55:SC113,[1]HOC_Histograma_Obra!$C$55:$C$113,"MOA")</f>
        <v>0</v>
      </c>
      <c r="QY27" s="11">
        <f>SUMIFS([1]HOC_Histograma_Obra!SD55:SD113,[1]HOC_Histograma_Obra!$C$55:$C$113,"MOA")</f>
        <v>0</v>
      </c>
      <c r="QZ27" s="11">
        <f>SUMIFS([1]HOC_Histograma_Obra!SE55:SE113,[1]HOC_Histograma_Obra!$C$55:$C$113,"MOA")</f>
        <v>0</v>
      </c>
      <c r="RA27" s="11">
        <f>SUMIFS([1]HOC_Histograma_Obra!SF55:SF113,[1]HOC_Histograma_Obra!$C$55:$C$113,"MOA")</f>
        <v>0</v>
      </c>
      <c r="RB27" s="11">
        <f>SUMIFS([1]HOC_Histograma_Obra!SG55:SG113,[1]HOC_Histograma_Obra!$C$55:$C$113,"MOA")</f>
        <v>0</v>
      </c>
      <c r="RC27" s="11">
        <f>SUMIFS([1]HOC_Histograma_Obra!SH55:SH113,[1]HOC_Histograma_Obra!$C$55:$C$113,"MOA")</f>
        <v>0</v>
      </c>
      <c r="RD27" s="11">
        <f>SUMIFS([1]HOC_Histograma_Obra!SI55:SI113,[1]HOC_Histograma_Obra!$C$55:$C$113,"MOA")</f>
        <v>0</v>
      </c>
      <c r="RE27" s="11">
        <f>SUMIFS([1]HOC_Histograma_Obra!SJ55:SJ113,[1]HOC_Histograma_Obra!$C$55:$C$113,"MOA")</f>
        <v>0</v>
      </c>
      <c r="RF27" s="11">
        <f>SUMIFS([1]HOC_Histograma_Obra!SK55:SK113,[1]HOC_Histograma_Obra!$C$55:$C$113,"MOA")</f>
        <v>0</v>
      </c>
      <c r="RG27" s="11">
        <f>SUMIFS([1]HOC_Histograma_Obra!SL55:SL113,[1]HOC_Histograma_Obra!$C$55:$C$113,"MOA")</f>
        <v>0</v>
      </c>
      <c r="RH27" s="11">
        <f>SUMIFS([1]HOC_Histograma_Obra!SM55:SM113,[1]HOC_Histograma_Obra!$C$55:$C$113,"MOA")</f>
        <v>0</v>
      </c>
      <c r="RI27" s="11">
        <f>SUMIFS([1]HOC_Histograma_Obra!SN55:SN113,[1]HOC_Histograma_Obra!$C$55:$C$113,"MOA")</f>
        <v>0</v>
      </c>
      <c r="RJ27" s="11">
        <f>SUMIFS([1]HOC_Histograma_Obra!SO55:SO113,[1]HOC_Histograma_Obra!$C$55:$C$113,"MOA")</f>
        <v>0</v>
      </c>
      <c r="RK27" s="11">
        <f>SUMIFS([1]HOC_Histograma_Obra!SP55:SP113,[1]HOC_Histograma_Obra!$C$55:$C$113,"MOA")</f>
        <v>0</v>
      </c>
      <c r="RL27" s="11">
        <f>SUMIFS([1]HOC_Histograma_Obra!SQ55:SQ113,[1]HOC_Histograma_Obra!$C$55:$C$113,"MOA")</f>
        <v>0</v>
      </c>
      <c r="RM27" s="11">
        <f>SUMIFS([1]HOC_Histograma_Obra!SR55:SR113,[1]HOC_Histograma_Obra!$C$55:$C$113,"MOA")</f>
        <v>0</v>
      </c>
      <c r="RN27" s="11">
        <f>SUMIFS([1]HOC_Histograma_Obra!SS55:SS113,[1]HOC_Histograma_Obra!$C$55:$C$113,"MOA")</f>
        <v>0</v>
      </c>
      <c r="RO27" s="11">
        <f>SUMIFS([1]HOC_Histograma_Obra!ST55:ST113,[1]HOC_Histograma_Obra!$C$55:$C$113,"MOA")</f>
        <v>0</v>
      </c>
      <c r="RP27" s="11">
        <f>SUMIFS([1]HOC_Histograma_Obra!SU55:SU113,[1]HOC_Histograma_Obra!$C$55:$C$113,"MOA")</f>
        <v>0</v>
      </c>
      <c r="RQ27" s="11">
        <f>SUMIFS([1]HOC_Histograma_Obra!SV55:SV113,[1]HOC_Histograma_Obra!$C$55:$C$113,"MOA")</f>
        <v>0</v>
      </c>
      <c r="RR27" s="11">
        <f>SUMIFS([1]HOC_Histograma_Obra!SW55:SW113,[1]HOC_Histograma_Obra!$C$55:$C$113,"MOA")</f>
        <v>0</v>
      </c>
      <c r="RS27" s="11">
        <f>SUMIFS([1]HOC_Histograma_Obra!SX55:SX113,[1]HOC_Histograma_Obra!$C$55:$C$113,"MOA")</f>
        <v>0</v>
      </c>
      <c r="RT27" s="11">
        <f>SUMIFS([1]HOC_Histograma_Obra!SY55:SY113,[1]HOC_Histograma_Obra!$C$55:$C$113,"MOA")</f>
        <v>0</v>
      </c>
      <c r="RU27" s="11">
        <f>SUMIFS([1]HOC_Histograma_Obra!SZ55:SZ113,[1]HOC_Histograma_Obra!$C$55:$C$113,"MOA")</f>
        <v>0</v>
      </c>
      <c r="RV27" s="11">
        <f>SUMIFS([1]HOC_Histograma_Obra!TA55:TA113,[1]HOC_Histograma_Obra!$C$55:$C$113,"MOA")</f>
        <v>0</v>
      </c>
      <c r="RW27" s="11">
        <f>SUMIFS([1]HOC_Histograma_Obra!TB55:TB113,[1]HOC_Histograma_Obra!$C$55:$C$113,"MOA")</f>
        <v>0</v>
      </c>
      <c r="RX27" s="11">
        <f>SUMIFS([1]HOC_Histograma_Obra!TC55:TC113,[1]HOC_Histograma_Obra!$C$55:$C$113,"MOA")</f>
        <v>0</v>
      </c>
      <c r="RY27" s="11">
        <f>SUMIFS([1]HOC_Histograma_Obra!TD55:TD113,[1]HOC_Histograma_Obra!$C$55:$C$113,"MOA")</f>
        <v>0</v>
      </c>
      <c r="RZ27" s="11">
        <f>SUMIFS([1]HOC_Histograma_Obra!TE55:TE113,[1]HOC_Histograma_Obra!$C$55:$C$113,"MOA")</f>
        <v>0</v>
      </c>
      <c r="SA27" s="11">
        <f>SUMIFS([1]HOC_Histograma_Obra!TF55:TF113,[1]HOC_Histograma_Obra!$C$55:$C$113,"MOA")</f>
        <v>0</v>
      </c>
      <c r="SB27" s="11">
        <f>SUMIFS([1]HOC_Histograma_Obra!TG55:TG113,[1]HOC_Histograma_Obra!$C$55:$C$113,"MOA")</f>
        <v>0</v>
      </c>
      <c r="SC27" s="11">
        <f>SUMIFS([1]HOC_Histograma_Obra!TH55:TH113,[1]HOC_Histograma_Obra!$C$55:$C$113,"MOA")</f>
        <v>0</v>
      </c>
      <c r="SD27" s="11">
        <f>SUMIFS([1]HOC_Histograma_Obra!TI55:TI113,[1]HOC_Histograma_Obra!$C$55:$C$113,"MOA")</f>
        <v>0</v>
      </c>
      <c r="SE27" s="11">
        <f>SUMIFS([1]HOC_Histograma_Obra!TJ55:TJ113,[1]HOC_Histograma_Obra!$C$55:$C$113,"MOA")</f>
        <v>0</v>
      </c>
      <c r="SF27" s="11">
        <f>SUMIFS([1]HOC_Histograma_Obra!TK55:TK113,[1]HOC_Histograma_Obra!$C$55:$C$113,"MOA")</f>
        <v>0</v>
      </c>
      <c r="SG27" s="11">
        <f>SUMIFS([1]HOC_Histograma_Obra!TL55:TL113,[1]HOC_Histograma_Obra!$C$55:$C$113,"MOA")</f>
        <v>0</v>
      </c>
      <c r="SH27" s="11">
        <f>SUMIFS([1]HOC_Histograma_Obra!TM55:TM113,[1]HOC_Histograma_Obra!$C$55:$C$113,"MOA")</f>
        <v>0</v>
      </c>
      <c r="SI27" s="11">
        <f>SUMIFS([1]HOC_Histograma_Obra!TN55:TN113,[1]HOC_Histograma_Obra!$C$55:$C$113,"MOA")</f>
        <v>0</v>
      </c>
      <c r="SJ27" s="11">
        <f>SUMIFS([1]HOC_Histograma_Obra!TO55:TO113,[1]HOC_Histograma_Obra!$C$55:$C$113,"MOA")</f>
        <v>0</v>
      </c>
      <c r="SK27" s="11">
        <f>SUMIFS([1]HOC_Histograma_Obra!TP55:TP113,[1]HOC_Histograma_Obra!$C$55:$C$113,"MOA")</f>
        <v>0</v>
      </c>
      <c r="SL27" s="11">
        <f>SUMIFS([1]HOC_Histograma_Obra!TQ55:TQ113,[1]HOC_Histograma_Obra!$C$55:$C$113,"MOA")</f>
        <v>0</v>
      </c>
      <c r="SM27" s="11">
        <f>SUMIFS([1]HOC_Histograma_Obra!TR55:TR113,[1]HOC_Histograma_Obra!$C$55:$C$113,"MOA")</f>
        <v>0</v>
      </c>
      <c r="SN27" s="11">
        <f>SUMIFS([1]HOC_Histograma_Obra!TS55:TS113,[1]HOC_Histograma_Obra!$C$55:$C$113,"MOA")</f>
        <v>0</v>
      </c>
      <c r="SO27" s="11">
        <f>SUMIFS([1]HOC_Histograma_Obra!TT55:TT113,[1]HOC_Histograma_Obra!$C$55:$C$113,"MOA")</f>
        <v>0</v>
      </c>
      <c r="SP27" s="11">
        <f>SUMIFS([1]HOC_Histograma_Obra!TU55:TU113,[1]HOC_Histograma_Obra!$C$55:$C$113,"MOA")</f>
        <v>0</v>
      </c>
      <c r="SQ27" s="11">
        <f>SUMIFS([1]HOC_Histograma_Obra!TV55:TV113,[1]HOC_Histograma_Obra!$C$55:$C$113,"MOA")</f>
        <v>0</v>
      </c>
      <c r="SR27" s="11">
        <f>SUMIFS([1]HOC_Histograma_Obra!TW55:TW113,[1]HOC_Histograma_Obra!$C$55:$C$113,"MOA")</f>
        <v>0</v>
      </c>
      <c r="SS27" s="11">
        <f>SUMIFS([1]HOC_Histograma_Obra!TX55:TX113,[1]HOC_Histograma_Obra!$C$55:$C$113,"MOA")</f>
        <v>0</v>
      </c>
      <c r="ST27" s="11">
        <f>SUMIFS([1]HOC_Histograma_Obra!TY55:TY113,[1]HOC_Histograma_Obra!$C$55:$C$113,"MOA")</f>
        <v>0</v>
      </c>
      <c r="SU27" s="11">
        <f>SUMIFS([1]HOC_Histograma_Obra!TZ55:TZ113,[1]HOC_Histograma_Obra!$C$55:$C$113,"MOA")</f>
        <v>0</v>
      </c>
      <c r="SV27" s="11">
        <f>SUMIFS([1]HOC_Histograma_Obra!UA55:UA113,[1]HOC_Histograma_Obra!$C$55:$C$113,"MOA")</f>
        <v>0</v>
      </c>
      <c r="SW27" s="11">
        <f>SUMIFS([1]HOC_Histograma_Obra!UB55:UB113,[1]HOC_Histograma_Obra!$C$55:$C$113,"MOA")</f>
        <v>0</v>
      </c>
      <c r="SX27" s="11">
        <f>SUMIFS([1]HOC_Histograma_Obra!UC55:UC113,[1]HOC_Histograma_Obra!$C$55:$C$113,"MOA")</f>
        <v>0</v>
      </c>
      <c r="SY27" s="11">
        <f>SUMIFS([1]HOC_Histograma_Obra!UD55:UD113,[1]HOC_Histograma_Obra!$C$55:$C$113,"MOA")</f>
        <v>0</v>
      </c>
      <c r="SZ27" s="11">
        <f>SUMIFS([1]HOC_Histograma_Obra!UE55:UE113,[1]HOC_Histograma_Obra!$C$55:$C$113,"MOA")</f>
        <v>0</v>
      </c>
      <c r="TA27" s="11">
        <f>SUMIFS([1]HOC_Histograma_Obra!UF55:UF113,[1]HOC_Histograma_Obra!$C$55:$C$113,"MOA")</f>
        <v>0</v>
      </c>
      <c r="TB27" s="11">
        <f>SUMIFS([1]HOC_Histograma_Obra!UG55:UG113,[1]HOC_Histograma_Obra!$C$55:$C$113,"MOA")</f>
        <v>0</v>
      </c>
      <c r="TC27" s="11">
        <f>SUMIFS([1]HOC_Histograma_Obra!UH55:UH113,[1]HOC_Histograma_Obra!$C$55:$C$113,"MOA")</f>
        <v>0</v>
      </c>
      <c r="TD27" s="11">
        <f>SUMIFS([1]HOC_Histograma_Obra!UI55:UI113,[1]HOC_Histograma_Obra!$C$55:$C$113,"MOA")</f>
        <v>0</v>
      </c>
      <c r="TE27" s="11">
        <f>SUMIFS([1]HOC_Histograma_Obra!UJ55:UJ113,[1]HOC_Histograma_Obra!$C$55:$C$113,"MOA")</f>
        <v>0</v>
      </c>
      <c r="TF27" s="11">
        <f>SUMIFS([1]HOC_Histograma_Obra!UK55:UK113,[1]HOC_Histograma_Obra!$C$55:$C$113,"MOA")</f>
        <v>0</v>
      </c>
      <c r="TG27" s="11">
        <f>SUMIFS([1]HOC_Histograma_Obra!UL55:UL113,[1]HOC_Histograma_Obra!$C$55:$C$113,"MOA")</f>
        <v>0</v>
      </c>
      <c r="TH27" s="11">
        <f>SUMIFS([1]HOC_Histograma_Obra!UM55:UM113,[1]HOC_Histograma_Obra!$C$55:$C$113,"MOA")</f>
        <v>0</v>
      </c>
      <c r="TI27" s="11">
        <f>SUMIFS([1]HOC_Histograma_Obra!UN55:UN113,[1]HOC_Histograma_Obra!$C$55:$C$113,"MOA")</f>
        <v>0</v>
      </c>
      <c r="TJ27" s="11">
        <f>SUMIFS([1]HOC_Histograma_Obra!UO55:UO113,[1]HOC_Histograma_Obra!$C$55:$C$113,"MOA")</f>
        <v>0</v>
      </c>
      <c r="TK27" s="11">
        <f>SUMIFS([1]HOC_Histograma_Obra!UP55:UP113,[1]HOC_Histograma_Obra!$C$55:$C$113,"MOA")</f>
        <v>0</v>
      </c>
      <c r="TL27" s="11">
        <f>SUMIFS([1]HOC_Histograma_Obra!UQ55:UQ113,[1]HOC_Histograma_Obra!$C$55:$C$113,"MOA")</f>
        <v>0</v>
      </c>
      <c r="TM27" s="11">
        <f>SUMIFS([1]HOC_Histograma_Obra!UR55:UR113,[1]HOC_Histograma_Obra!$C$55:$C$113,"MOA")</f>
        <v>0</v>
      </c>
      <c r="TN27" s="11">
        <f>SUMIFS([1]HOC_Histograma_Obra!US55:US113,[1]HOC_Histograma_Obra!$C$55:$C$113,"MOA")</f>
        <v>0</v>
      </c>
      <c r="TO27" s="11">
        <f>SUMIFS([1]HOC_Histograma_Obra!UT55:UT113,[1]HOC_Histograma_Obra!$C$55:$C$113,"MOA")</f>
        <v>0</v>
      </c>
      <c r="TP27" s="11">
        <f>SUMIFS([1]HOC_Histograma_Obra!UU55:UU113,[1]HOC_Histograma_Obra!$C$55:$C$113,"MOA")</f>
        <v>0</v>
      </c>
      <c r="TQ27" s="11">
        <f>SUMIFS([1]HOC_Histograma_Obra!UV55:UV113,[1]HOC_Histograma_Obra!$C$55:$C$113,"MOA")</f>
        <v>0</v>
      </c>
      <c r="TR27" s="11">
        <f>SUMIFS([1]HOC_Histograma_Obra!UW55:UW113,[1]HOC_Histograma_Obra!$C$55:$C$113,"MOA")</f>
        <v>0</v>
      </c>
      <c r="TS27" s="11">
        <f>SUMIFS([1]HOC_Histograma_Obra!UX55:UX113,[1]HOC_Histograma_Obra!$C$55:$C$113,"MOA")</f>
        <v>0</v>
      </c>
      <c r="TT27" s="11">
        <f>SUMIFS([1]HOC_Histograma_Obra!UY55:UY113,[1]HOC_Histograma_Obra!$C$55:$C$113,"MOA")</f>
        <v>0</v>
      </c>
      <c r="TU27" s="11">
        <f>SUMIFS([1]HOC_Histograma_Obra!UZ55:UZ113,[1]HOC_Histograma_Obra!$C$55:$C$113,"MOA")</f>
        <v>0</v>
      </c>
      <c r="TV27" s="11">
        <f>SUMIFS([1]HOC_Histograma_Obra!VA55:VA113,[1]HOC_Histograma_Obra!$C$55:$C$113,"MOA")</f>
        <v>0</v>
      </c>
      <c r="TW27" s="11">
        <f>SUMIFS([1]HOC_Histograma_Obra!VB55:VB113,[1]HOC_Histograma_Obra!$C$55:$C$113,"MOA")</f>
        <v>0</v>
      </c>
      <c r="TX27" s="11">
        <f>SUMIFS([1]HOC_Histograma_Obra!VC55:VC113,[1]HOC_Histograma_Obra!$C$55:$C$113,"MOA")</f>
        <v>0</v>
      </c>
      <c r="TY27" s="11">
        <f>SUMIFS([1]HOC_Histograma_Obra!VD55:VD113,[1]HOC_Histograma_Obra!$C$55:$C$113,"MOA")</f>
        <v>0</v>
      </c>
      <c r="TZ27" s="11">
        <f>SUMIFS([1]HOC_Histograma_Obra!VE55:VE113,[1]HOC_Histograma_Obra!$C$55:$C$113,"MOA")</f>
        <v>0</v>
      </c>
      <c r="UA27" s="11">
        <f>SUMIFS([1]HOC_Histograma_Obra!VF55:VF113,[1]HOC_Histograma_Obra!$C$55:$C$113,"MOA")</f>
        <v>0</v>
      </c>
      <c r="UB27" s="11">
        <f>SUMIFS([1]HOC_Histograma_Obra!VG55:VG113,[1]HOC_Histograma_Obra!$C$55:$C$113,"MOA")</f>
        <v>0</v>
      </c>
      <c r="UC27" s="11">
        <f>SUMIFS([1]HOC_Histograma_Obra!VH55:VH113,[1]HOC_Histograma_Obra!$C$55:$C$113,"MOA")</f>
        <v>0</v>
      </c>
      <c r="UD27" s="11">
        <f>SUMIFS([1]HOC_Histograma_Obra!VI55:VI113,[1]HOC_Histograma_Obra!$C$55:$C$113,"MOA")</f>
        <v>0</v>
      </c>
      <c r="UE27" s="11">
        <f>SUMIFS([1]HOC_Histograma_Obra!VJ55:VJ113,[1]HOC_Histograma_Obra!$C$55:$C$113,"MOA")</f>
        <v>0</v>
      </c>
      <c r="UF27" s="11">
        <f>SUMIFS([1]HOC_Histograma_Obra!VK55:VK113,[1]HOC_Histograma_Obra!$C$55:$C$113,"MOA")</f>
        <v>0</v>
      </c>
      <c r="UG27" s="11">
        <f>SUMIFS([1]HOC_Histograma_Obra!VL55:VL113,[1]HOC_Histograma_Obra!$C$55:$C$113,"MOA")</f>
        <v>0</v>
      </c>
      <c r="UH27" s="11">
        <f>SUMIFS([1]HOC_Histograma_Obra!VM55:VM113,[1]HOC_Histograma_Obra!$C$55:$C$113,"MOA")</f>
        <v>0</v>
      </c>
      <c r="UI27" s="11">
        <f>SUMIFS([1]HOC_Histograma_Obra!VN55:VN113,[1]HOC_Histograma_Obra!$C$55:$C$113,"MOA")</f>
        <v>0</v>
      </c>
      <c r="UJ27" s="11">
        <f>SUMIFS([1]HOC_Histograma_Obra!VO55:VO113,[1]HOC_Histograma_Obra!$C$55:$C$113,"MOA")</f>
        <v>0</v>
      </c>
      <c r="UK27" s="11">
        <f>SUMIFS([1]HOC_Histograma_Obra!VP55:VP113,[1]HOC_Histograma_Obra!$C$55:$C$113,"MOA")</f>
        <v>0</v>
      </c>
      <c r="UL27" s="11">
        <f>SUMIFS([1]HOC_Histograma_Obra!VQ55:VQ113,[1]HOC_Histograma_Obra!$C$55:$C$113,"MOA")</f>
        <v>0</v>
      </c>
      <c r="UM27" s="11">
        <f>SUMIFS([1]HOC_Histograma_Obra!VR55:VR113,[1]HOC_Histograma_Obra!$C$55:$C$113,"MOA")</f>
        <v>0</v>
      </c>
      <c r="UN27" s="11">
        <f>SUMIFS([1]HOC_Histograma_Obra!VS55:VS113,[1]HOC_Histograma_Obra!$C$55:$C$113,"MOA")</f>
        <v>0</v>
      </c>
      <c r="UO27" s="11">
        <f>SUMIFS([1]HOC_Histograma_Obra!VT55:VT113,[1]HOC_Histograma_Obra!$C$55:$C$113,"MOA")</f>
        <v>0</v>
      </c>
      <c r="UP27" s="11">
        <f>SUMIFS([1]HOC_Histograma_Obra!VU55:VU113,[1]HOC_Histograma_Obra!$C$55:$C$113,"MOA")</f>
        <v>0</v>
      </c>
      <c r="UQ27" s="11">
        <f>SUMIFS([1]HOC_Histograma_Obra!VV55:VV113,[1]HOC_Histograma_Obra!$C$55:$C$113,"MOA")</f>
        <v>0</v>
      </c>
      <c r="UR27" s="11">
        <f>SUMIFS([1]HOC_Histograma_Obra!VW55:VW113,[1]HOC_Histograma_Obra!$C$55:$C$113,"MOA")</f>
        <v>0</v>
      </c>
      <c r="US27" s="11">
        <f>SUMIFS([1]HOC_Histograma_Obra!VX55:VX113,[1]HOC_Histograma_Obra!$C$55:$C$113,"MOA")</f>
        <v>0</v>
      </c>
      <c r="UT27" s="11">
        <f>SUMIFS([1]HOC_Histograma_Obra!VY55:VY113,[1]HOC_Histograma_Obra!$C$55:$C$113,"MOA")</f>
        <v>0</v>
      </c>
      <c r="UU27" s="11">
        <f>SUMIFS([1]HOC_Histograma_Obra!VZ55:VZ113,[1]HOC_Histograma_Obra!$C$55:$C$113,"MOA")</f>
        <v>0</v>
      </c>
      <c r="UV27" s="11">
        <f>SUMIFS([1]HOC_Histograma_Obra!WA55:WA113,[1]HOC_Histograma_Obra!$C$55:$C$113,"MOA")</f>
        <v>0</v>
      </c>
      <c r="UW27" s="11">
        <f>SUMIFS([1]HOC_Histograma_Obra!WB55:WB113,[1]HOC_Histograma_Obra!$C$55:$C$113,"MOA")</f>
        <v>0</v>
      </c>
      <c r="UX27" s="11">
        <f>SUMIFS([1]HOC_Histograma_Obra!WC55:WC113,[1]HOC_Histograma_Obra!$C$55:$C$113,"MOA")</f>
        <v>0</v>
      </c>
      <c r="UY27" s="11">
        <f>SUMIFS([1]HOC_Histograma_Obra!WD55:WD113,[1]HOC_Histograma_Obra!$C$55:$C$113,"MOA")</f>
        <v>0</v>
      </c>
      <c r="UZ27" s="11">
        <f>SUMIFS([1]HOC_Histograma_Obra!WE55:WE113,[1]HOC_Histograma_Obra!$C$55:$C$113,"MOA")</f>
        <v>0</v>
      </c>
      <c r="VA27" s="11">
        <f>SUMIFS([1]HOC_Histograma_Obra!WF55:WF113,[1]HOC_Histograma_Obra!$C$55:$C$113,"MOA")</f>
        <v>0</v>
      </c>
      <c r="VB27" s="11">
        <f>SUMIFS([1]HOC_Histograma_Obra!WG55:WG113,[1]HOC_Histograma_Obra!$C$55:$C$113,"MOA")</f>
        <v>0</v>
      </c>
      <c r="VC27" s="11">
        <f>SUMIFS([1]HOC_Histograma_Obra!WH55:WH113,[1]HOC_Histograma_Obra!$C$55:$C$113,"MOA")</f>
        <v>0</v>
      </c>
      <c r="VD27" s="11">
        <f>SUMIFS([1]HOC_Histograma_Obra!WI55:WI113,[1]HOC_Histograma_Obra!$C$55:$C$113,"MOA")</f>
        <v>0</v>
      </c>
      <c r="VE27" s="11">
        <f>SUMIFS([1]HOC_Histograma_Obra!WJ55:WJ113,[1]HOC_Histograma_Obra!$C$55:$C$113,"MOA")</f>
        <v>0</v>
      </c>
      <c r="VF27" s="11">
        <f>SUMIFS([1]HOC_Histograma_Obra!WK55:WK113,[1]HOC_Histograma_Obra!$C$55:$C$113,"MOA")</f>
        <v>0</v>
      </c>
      <c r="VG27" s="11">
        <f>SUMIFS([1]HOC_Histograma_Obra!WL55:WL113,[1]HOC_Histograma_Obra!$C$55:$C$113,"MOA")</f>
        <v>0</v>
      </c>
      <c r="VH27" s="11">
        <f>SUMIFS([1]HOC_Histograma_Obra!WM55:WM113,[1]HOC_Histograma_Obra!$C$55:$C$113,"MOA")</f>
        <v>0</v>
      </c>
      <c r="VI27" s="11">
        <f>SUMIFS([1]HOC_Histograma_Obra!WN55:WN113,[1]HOC_Histograma_Obra!$C$55:$C$113,"MOA")</f>
        <v>0</v>
      </c>
      <c r="VJ27" s="11">
        <f>SUMIFS([1]HOC_Histograma_Obra!WO55:WO113,[1]HOC_Histograma_Obra!$C$55:$C$113,"MOA")</f>
        <v>0</v>
      </c>
      <c r="VK27" s="11">
        <f>SUMIFS([1]HOC_Histograma_Obra!WP55:WP113,[1]HOC_Histograma_Obra!$C$55:$C$113,"MOA")</f>
        <v>0</v>
      </c>
      <c r="VL27" s="11">
        <f>SUMIFS([1]HOC_Histograma_Obra!WQ55:WQ113,[1]HOC_Histograma_Obra!$C$55:$C$113,"MOA")</f>
        <v>0</v>
      </c>
      <c r="VM27" s="11">
        <f>SUMIFS([1]HOC_Histograma_Obra!WR55:WR113,[1]HOC_Histograma_Obra!$C$55:$C$113,"MOA")</f>
        <v>0</v>
      </c>
      <c r="VN27" s="11">
        <f>SUMIFS([1]HOC_Histograma_Obra!WS55:WS113,[1]HOC_Histograma_Obra!$C$55:$C$113,"MOA")</f>
        <v>0</v>
      </c>
      <c r="VO27" s="11">
        <f>SUMIFS([1]HOC_Histograma_Obra!WT55:WT113,[1]HOC_Histograma_Obra!$C$55:$C$113,"MOA")</f>
        <v>0</v>
      </c>
      <c r="VP27" s="11">
        <f>SUMIFS([1]HOC_Histograma_Obra!WU55:WU113,[1]HOC_Histograma_Obra!$C$55:$C$113,"MOA")</f>
        <v>0</v>
      </c>
      <c r="VQ27" s="11">
        <f>SUMIFS([1]HOC_Histograma_Obra!WV55:WV113,[1]HOC_Histograma_Obra!$C$55:$C$113,"MOA")</f>
        <v>0</v>
      </c>
      <c r="VR27" s="11">
        <f>SUMIFS([1]HOC_Histograma_Obra!WW55:WW113,[1]HOC_Histograma_Obra!$C$55:$C$113,"MOA")</f>
        <v>0</v>
      </c>
      <c r="VS27" s="11">
        <f>SUMIFS([1]HOC_Histograma_Obra!WX55:WX113,[1]HOC_Histograma_Obra!$C$55:$C$113,"MOA")</f>
        <v>0</v>
      </c>
      <c r="VT27" s="11">
        <f>SUMIFS([1]HOC_Histograma_Obra!WY55:WY113,[1]HOC_Histograma_Obra!$C$55:$C$113,"MOA")</f>
        <v>0</v>
      </c>
      <c r="VU27" s="11">
        <f>SUMIFS([1]HOC_Histograma_Obra!WZ55:WZ113,[1]HOC_Histograma_Obra!$C$55:$C$113,"MOA")</f>
        <v>0</v>
      </c>
      <c r="VV27" s="11">
        <f>SUMIFS([1]HOC_Histograma_Obra!XA55:XA113,[1]HOC_Histograma_Obra!$C$55:$C$113,"MOA")</f>
        <v>0</v>
      </c>
      <c r="VW27" s="11">
        <f>SUMIFS([1]HOC_Histograma_Obra!XB55:XB113,[1]HOC_Histograma_Obra!$C$55:$C$113,"MOA")</f>
        <v>0</v>
      </c>
      <c r="VX27" s="11">
        <f>SUMIFS([1]HOC_Histograma_Obra!XC55:XC113,[1]HOC_Histograma_Obra!$C$55:$C$113,"MOA")</f>
        <v>0</v>
      </c>
      <c r="VY27" s="11">
        <f>SUMIFS([1]HOC_Histograma_Obra!XD55:XD113,[1]HOC_Histograma_Obra!$C$55:$C$113,"MOA")</f>
        <v>0</v>
      </c>
      <c r="VZ27" s="11">
        <f>SUMIFS([1]HOC_Histograma_Obra!XE55:XE113,[1]HOC_Histograma_Obra!$C$55:$C$113,"MOA")</f>
        <v>0</v>
      </c>
      <c r="WA27" s="11">
        <f>SUMIFS([1]HOC_Histograma_Obra!XF55:XF113,[1]HOC_Histograma_Obra!$C$55:$C$113,"MOA")</f>
        <v>0</v>
      </c>
      <c r="WB27" s="11">
        <f>SUMIFS([1]HOC_Histograma_Obra!XG55:XG113,[1]HOC_Histograma_Obra!$C$55:$C$113,"MOA")</f>
        <v>0</v>
      </c>
      <c r="WC27" s="11">
        <f>SUMIFS([1]HOC_Histograma_Obra!XH55:XH113,[1]HOC_Histograma_Obra!$C$55:$C$113,"MOA")</f>
        <v>0</v>
      </c>
      <c r="WD27" s="11">
        <f>SUMIFS([1]HOC_Histograma_Obra!XI55:XI113,[1]HOC_Histograma_Obra!$C$55:$C$113,"MOA")</f>
        <v>0</v>
      </c>
      <c r="WE27" s="11">
        <f>SUMIFS([1]HOC_Histograma_Obra!XJ55:XJ113,[1]HOC_Histograma_Obra!$C$55:$C$113,"MOA")</f>
        <v>0</v>
      </c>
      <c r="WF27" s="11">
        <f>SUMIFS([1]HOC_Histograma_Obra!XK55:XK113,[1]HOC_Histograma_Obra!$C$55:$C$113,"MOA")</f>
        <v>0</v>
      </c>
      <c r="WG27" s="11">
        <f>SUMIFS([1]HOC_Histograma_Obra!XL55:XL113,[1]HOC_Histograma_Obra!$C$55:$C$113,"MOA")</f>
        <v>0</v>
      </c>
      <c r="WH27" s="11">
        <f>SUMIFS([1]HOC_Histograma_Obra!XM55:XM113,[1]HOC_Histograma_Obra!$C$55:$C$113,"MOA")</f>
        <v>0</v>
      </c>
      <c r="WI27" s="11">
        <f>SUMIFS([1]HOC_Histograma_Obra!XN55:XN113,[1]HOC_Histograma_Obra!$C$55:$C$113,"MOA")</f>
        <v>0</v>
      </c>
      <c r="WJ27" s="11">
        <f>SUMIFS([1]HOC_Histograma_Obra!XO55:XO113,[1]HOC_Histograma_Obra!$C$55:$C$113,"MOA")</f>
        <v>0</v>
      </c>
      <c r="WK27" s="11">
        <f>SUMIFS([1]HOC_Histograma_Obra!XP55:XP113,[1]HOC_Histograma_Obra!$C$55:$C$113,"MOA")</f>
        <v>0</v>
      </c>
      <c r="WL27" s="11">
        <f>SUMIFS([1]HOC_Histograma_Obra!XQ55:XQ113,[1]HOC_Histograma_Obra!$C$55:$C$113,"MOA")</f>
        <v>0</v>
      </c>
      <c r="WM27" s="11">
        <f>SUMIFS([1]HOC_Histograma_Obra!XR55:XR113,[1]HOC_Histograma_Obra!$C$55:$C$113,"MOA")</f>
        <v>0</v>
      </c>
      <c r="WN27" s="11">
        <f>SUMIFS([1]HOC_Histograma_Obra!XS55:XS113,[1]HOC_Histograma_Obra!$C$55:$C$113,"MOA")</f>
        <v>0</v>
      </c>
      <c r="WO27" s="11">
        <f>SUMIFS([1]HOC_Histograma_Obra!XT55:XT113,[1]HOC_Histograma_Obra!$C$55:$C$113,"MOA")</f>
        <v>0</v>
      </c>
      <c r="WP27" s="11">
        <f>SUMIFS([1]HOC_Histograma_Obra!XU55:XU113,[1]HOC_Histograma_Obra!$C$55:$C$113,"MOA")</f>
        <v>0</v>
      </c>
      <c r="WQ27" s="11">
        <f>SUMIFS([1]HOC_Histograma_Obra!XV55:XV113,[1]HOC_Histograma_Obra!$C$55:$C$113,"MOA")</f>
        <v>0</v>
      </c>
      <c r="WR27" s="11">
        <f>SUMIFS([1]HOC_Histograma_Obra!XW55:XW113,[1]HOC_Histograma_Obra!$C$55:$C$113,"MOA")</f>
        <v>0</v>
      </c>
      <c r="WS27" s="11">
        <f>SUMIFS([1]HOC_Histograma_Obra!XX55:XX113,[1]HOC_Histograma_Obra!$C$55:$C$113,"MOA")</f>
        <v>0</v>
      </c>
      <c r="WT27" s="11">
        <f>SUMIFS([1]HOC_Histograma_Obra!XY55:XY113,[1]HOC_Histograma_Obra!$C$55:$C$113,"MOA")</f>
        <v>0</v>
      </c>
      <c r="WU27" s="11">
        <f>SUMIFS([1]HOC_Histograma_Obra!XZ55:XZ113,[1]HOC_Histograma_Obra!$C$55:$C$113,"MOA")</f>
        <v>0</v>
      </c>
      <c r="WV27" s="11">
        <f>SUMIFS([1]HOC_Histograma_Obra!YA55:YA113,[1]HOC_Histograma_Obra!$C$55:$C$113,"MOA")</f>
        <v>0</v>
      </c>
      <c r="WW27" s="11">
        <f>SUMIFS([1]HOC_Histograma_Obra!YB55:YB113,[1]HOC_Histograma_Obra!$C$55:$C$113,"MOA")</f>
        <v>0</v>
      </c>
      <c r="WX27" s="11">
        <f>SUMIFS([1]HOC_Histograma_Obra!YC55:YC113,[1]HOC_Histograma_Obra!$C$55:$C$113,"MOA")</f>
        <v>0</v>
      </c>
      <c r="WY27" s="11">
        <f>SUMIFS([1]HOC_Histograma_Obra!YD55:YD113,[1]HOC_Histograma_Obra!$C$55:$C$113,"MOA")</f>
        <v>0</v>
      </c>
      <c r="WZ27" s="11">
        <f>SUMIFS([1]HOC_Histograma_Obra!YE55:YE113,[1]HOC_Histograma_Obra!$C$55:$C$113,"MOA")</f>
        <v>0</v>
      </c>
      <c r="XA27" s="11">
        <f>SUMIFS([1]HOC_Histograma_Obra!YF55:YF113,[1]HOC_Histograma_Obra!$C$55:$C$113,"MOA")</f>
        <v>0</v>
      </c>
      <c r="XB27" s="11">
        <f>SUMIFS([1]HOC_Histograma_Obra!YG55:YG113,[1]HOC_Histograma_Obra!$C$55:$C$113,"MOA")</f>
        <v>0</v>
      </c>
      <c r="XC27" s="11">
        <f>SUMIFS([1]HOC_Histograma_Obra!YH55:YH113,[1]HOC_Histograma_Obra!$C$55:$C$113,"MOA")</f>
        <v>0</v>
      </c>
      <c r="XD27" s="11">
        <f>SUMIFS([1]HOC_Histograma_Obra!YI55:YI113,[1]HOC_Histograma_Obra!$C$55:$C$113,"MOA")</f>
        <v>0</v>
      </c>
      <c r="XE27" s="11">
        <f>SUMIFS([1]HOC_Histograma_Obra!YJ55:YJ113,[1]HOC_Histograma_Obra!$C$55:$C$113,"MOA")</f>
        <v>0</v>
      </c>
      <c r="XF27" s="11">
        <f>SUMIFS([1]HOC_Histograma_Obra!YK55:YK113,[1]HOC_Histograma_Obra!$C$55:$C$113,"MOA")</f>
        <v>0</v>
      </c>
      <c r="XG27" s="11">
        <f>SUMIFS([1]HOC_Histograma_Obra!YL55:YL113,[1]HOC_Histograma_Obra!$C$55:$C$113,"MOA")</f>
        <v>0</v>
      </c>
      <c r="XH27" s="11">
        <f>SUMIFS([1]HOC_Histograma_Obra!YM55:YM113,[1]HOC_Histograma_Obra!$C$55:$C$113,"MOA")</f>
        <v>0</v>
      </c>
      <c r="XI27" s="11">
        <f>SUMIFS([1]HOC_Histograma_Obra!YN55:YN113,[1]HOC_Histograma_Obra!$C$55:$C$113,"MOA")</f>
        <v>0</v>
      </c>
      <c r="XJ27" s="11">
        <f>SUMIFS([1]HOC_Histograma_Obra!YO55:YO113,[1]HOC_Histograma_Obra!$C$55:$C$113,"MOA")</f>
        <v>0</v>
      </c>
      <c r="XK27" s="11">
        <f>SUMIFS([1]HOC_Histograma_Obra!YP55:YP113,[1]HOC_Histograma_Obra!$C$55:$C$113,"MOA")</f>
        <v>0</v>
      </c>
      <c r="XL27" s="11">
        <f>SUMIFS([1]HOC_Histograma_Obra!YQ55:YQ113,[1]HOC_Histograma_Obra!$C$55:$C$113,"MOA")</f>
        <v>0</v>
      </c>
      <c r="XM27" s="11">
        <f>SUMIFS([1]HOC_Histograma_Obra!YR55:YR113,[1]HOC_Histograma_Obra!$C$55:$C$113,"MOA")</f>
        <v>0</v>
      </c>
      <c r="XN27" s="11">
        <f>SUMIFS([1]HOC_Histograma_Obra!YS55:YS113,[1]HOC_Histograma_Obra!$C$55:$C$113,"MOA")</f>
        <v>0</v>
      </c>
      <c r="XO27" s="11">
        <f>SUMIFS([1]HOC_Histograma_Obra!YT55:YT113,[1]HOC_Histograma_Obra!$C$55:$C$113,"MOA")</f>
        <v>0</v>
      </c>
      <c r="XP27" s="11">
        <f>SUMIFS([1]HOC_Histograma_Obra!YU55:YU113,[1]HOC_Histograma_Obra!$C$55:$C$113,"MOA")</f>
        <v>0</v>
      </c>
      <c r="XQ27" s="11">
        <f>SUMIFS([1]HOC_Histograma_Obra!YV55:YV113,[1]HOC_Histograma_Obra!$C$55:$C$113,"MOA")</f>
        <v>0</v>
      </c>
      <c r="XR27" s="11">
        <f>SUMIFS([1]HOC_Histograma_Obra!YW55:YW113,[1]HOC_Histograma_Obra!$C$55:$C$113,"MOA")</f>
        <v>0</v>
      </c>
      <c r="XS27" s="11">
        <f>SUMIFS([1]HOC_Histograma_Obra!YX55:YX113,[1]HOC_Histograma_Obra!$C$55:$C$113,"MOA")</f>
        <v>0</v>
      </c>
      <c r="XT27" s="11">
        <f>SUMIFS([1]HOC_Histograma_Obra!YY55:YY113,[1]HOC_Histograma_Obra!$C$55:$C$113,"MOA")</f>
        <v>0</v>
      </c>
      <c r="XU27" s="11">
        <f>SUMIFS([1]HOC_Histograma_Obra!YZ55:YZ113,[1]HOC_Histograma_Obra!$C$55:$C$113,"MOA")</f>
        <v>0</v>
      </c>
      <c r="XV27" s="11">
        <f>SUMIFS([1]HOC_Histograma_Obra!ZA55:ZA113,[1]HOC_Histograma_Obra!$C$55:$C$113,"MOA")</f>
        <v>0</v>
      </c>
      <c r="XW27" s="11">
        <f>SUMIFS([1]HOC_Histograma_Obra!ZB55:ZB113,[1]HOC_Histograma_Obra!$C$55:$C$113,"MOA")</f>
        <v>0</v>
      </c>
      <c r="XX27" s="11">
        <f>SUMIFS([1]HOC_Histograma_Obra!ZC55:ZC113,[1]HOC_Histograma_Obra!$C$55:$C$113,"MOA")</f>
        <v>0</v>
      </c>
      <c r="XY27" s="11">
        <f>SUMIFS([1]HOC_Histograma_Obra!ZD55:ZD113,[1]HOC_Histograma_Obra!$C$55:$C$113,"MOA")</f>
        <v>0</v>
      </c>
      <c r="XZ27" s="11">
        <f>SUMIFS([1]HOC_Histograma_Obra!ZE55:ZE113,[1]HOC_Histograma_Obra!$C$55:$C$113,"MOA")</f>
        <v>0</v>
      </c>
      <c r="YA27" s="11">
        <f>SUMIFS([1]HOC_Histograma_Obra!ZF55:ZF113,[1]HOC_Histograma_Obra!$C$55:$C$113,"MOA")</f>
        <v>0</v>
      </c>
      <c r="YB27" s="11">
        <f>SUMIFS([1]HOC_Histograma_Obra!ZG55:ZG113,[1]HOC_Histograma_Obra!$C$55:$C$113,"MOA")</f>
        <v>0</v>
      </c>
      <c r="YC27" s="11">
        <f>SUMIFS([1]HOC_Histograma_Obra!ZH55:ZH113,[1]HOC_Histograma_Obra!$C$55:$C$113,"MOA")</f>
        <v>0</v>
      </c>
      <c r="YD27" s="11">
        <f>SUMIFS([1]HOC_Histograma_Obra!ZI55:ZI113,[1]HOC_Histograma_Obra!$C$55:$C$113,"MOA")</f>
        <v>0</v>
      </c>
      <c r="YE27" s="11">
        <f>SUMIFS([1]HOC_Histograma_Obra!ZJ55:ZJ113,[1]HOC_Histograma_Obra!$C$55:$C$113,"MOA")</f>
        <v>0</v>
      </c>
      <c r="YF27" s="11">
        <f>SUMIFS([1]HOC_Histograma_Obra!ZK55:ZK113,[1]HOC_Histograma_Obra!$C$55:$C$113,"MOA")</f>
        <v>0</v>
      </c>
      <c r="YG27" s="11">
        <f>SUMIFS([1]HOC_Histograma_Obra!ZL55:ZL113,[1]HOC_Histograma_Obra!$C$55:$C$113,"MOA")</f>
        <v>0</v>
      </c>
      <c r="YH27" s="11">
        <f>SUMIFS([1]HOC_Histograma_Obra!ZM55:ZM113,[1]HOC_Histograma_Obra!$C$55:$C$113,"MOA")</f>
        <v>0</v>
      </c>
      <c r="YI27" s="11">
        <f>SUMIFS([1]HOC_Histograma_Obra!ZN55:ZN113,[1]HOC_Histograma_Obra!$C$55:$C$113,"MOA")</f>
        <v>0</v>
      </c>
      <c r="YJ27" s="11">
        <f>SUMIFS([1]HOC_Histograma_Obra!ZO55:ZO113,[1]HOC_Histograma_Obra!$C$55:$C$113,"MOA")</f>
        <v>0</v>
      </c>
      <c r="YK27" s="11">
        <f>SUMIFS([1]HOC_Histograma_Obra!ZP55:ZP113,[1]HOC_Histograma_Obra!$C$55:$C$113,"MOA")</f>
        <v>0</v>
      </c>
      <c r="YL27" s="11">
        <f>SUMIFS([1]HOC_Histograma_Obra!ZQ55:ZQ113,[1]HOC_Histograma_Obra!$C$55:$C$113,"MOA")</f>
        <v>0</v>
      </c>
      <c r="YM27" s="11">
        <f>SUMIFS([1]HOC_Histograma_Obra!ZR55:ZR113,[1]HOC_Histograma_Obra!$C$55:$C$113,"MOA")</f>
        <v>0</v>
      </c>
      <c r="YN27" s="11">
        <f>SUMIFS([1]HOC_Histograma_Obra!ZS55:ZS113,[1]HOC_Histograma_Obra!$C$55:$C$113,"MOA")</f>
        <v>0</v>
      </c>
      <c r="YO27" s="11">
        <f>SUMIFS([1]HOC_Histograma_Obra!ZT55:ZT113,[1]HOC_Histograma_Obra!$C$55:$C$113,"MOA")</f>
        <v>0</v>
      </c>
      <c r="YP27" s="11">
        <f>SUMIFS([1]HOC_Histograma_Obra!ZU55:ZU113,[1]HOC_Histograma_Obra!$C$55:$C$113,"MOA")</f>
        <v>0</v>
      </c>
      <c r="YQ27" s="11">
        <f>SUMIFS([1]HOC_Histograma_Obra!ZV55:ZV113,[1]HOC_Histograma_Obra!$C$55:$C$113,"MOA")</f>
        <v>0</v>
      </c>
      <c r="YR27" s="11">
        <f>SUMIFS([1]HOC_Histograma_Obra!ZW55:ZW113,[1]HOC_Histograma_Obra!$C$55:$C$113,"MOA")</f>
        <v>0</v>
      </c>
      <c r="YS27" s="11">
        <f>SUMIFS([1]HOC_Histograma_Obra!ZX55:ZX113,[1]HOC_Histograma_Obra!$C$55:$C$113,"MOA")</f>
        <v>0</v>
      </c>
      <c r="YT27" s="11">
        <f>SUMIFS([1]HOC_Histograma_Obra!ZY55:ZY113,[1]HOC_Histograma_Obra!$C$55:$C$113,"MOA")</f>
        <v>0</v>
      </c>
      <c r="YU27" s="11">
        <f>SUMIFS([1]HOC_Histograma_Obra!ZZ55:ZZ113,[1]HOC_Histograma_Obra!$C$55:$C$113,"MOA")</f>
        <v>0</v>
      </c>
      <c r="YV27" s="11">
        <f>SUMIFS([1]HOC_Histograma_Obra!AAA55:AAA113,[1]HOC_Histograma_Obra!$C$55:$C$113,"MOA")</f>
        <v>0</v>
      </c>
      <c r="YW27" s="11">
        <f>SUMIFS([1]HOC_Histograma_Obra!AAB55:AAB113,[1]HOC_Histograma_Obra!$C$55:$C$113,"MOA")</f>
        <v>0</v>
      </c>
      <c r="YX27" s="11">
        <f>SUMIFS([1]HOC_Histograma_Obra!AAC55:AAC113,[1]HOC_Histograma_Obra!$C$55:$C$113,"MOA")</f>
        <v>0</v>
      </c>
      <c r="YY27" s="11">
        <f>SUMIFS([1]HOC_Histograma_Obra!AAD55:AAD113,[1]HOC_Histograma_Obra!$C$55:$C$113,"MOA")</f>
        <v>0</v>
      </c>
      <c r="YZ27" s="11">
        <f>SUMIFS([1]HOC_Histograma_Obra!AAE55:AAE113,[1]HOC_Histograma_Obra!$C$55:$C$113,"MOA")</f>
        <v>0</v>
      </c>
      <c r="ZA27" s="11">
        <f>SUMIFS([1]HOC_Histograma_Obra!AAF55:AAF113,[1]HOC_Histograma_Obra!$C$55:$C$113,"MOA")</f>
        <v>0</v>
      </c>
      <c r="ZB27" s="11">
        <f>SUMIFS([1]HOC_Histograma_Obra!AAG55:AAG113,[1]HOC_Histograma_Obra!$C$55:$C$113,"MOA")</f>
        <v>0</v>
      </c>
      <c r="ZC27" s="11">
        <f>SUMIFS([1]HOC_Histograma_Obra!AAH55:AAH113,[1]HOC_Histograma_Obra!$C$55:$C$113,"MOA")</f>
        <v>0</v>
      </c>
      <c r="ZD27" s="11">
        <f>SUMIFS([1]HOC_Histograma_Obra!AAI55:AAI113,[1]HOC_Histograma_Obra!$C$55:$C$113,"MOA")</f>
        <v>0</v>
      </c>
      <c r="ZE27" s="11">
        <f>SUMIFS([1]HOC_Histograma_Obra!AAJ55:AAJ113,[1]HOC_Histograma_Obra!$C$55:$C$113,"MOA")</f>
        <v>0</v>
      </c>
      <c r="ZF27" s="11">
        <f>SUMIFS([1]HOC_Histograma_Obra!AAK55:AAK113,[1]HOC_Histograma_Obra!$C$55:$C$113,"MOA")</f>
        <v>0</v>
      </c>
      <c r="ZG27" s="11">
        <f>SUMIFS([1]HOC_Histograma_Obra!AAL55:AAL113,[1]HOC_Histograma_Obra!$C$55:$C$113,"MOA")</f>
        <v>0</v>
      </c>
      <c r="ZH27" s="11">
        <f>SUMIFS([1]HOC_Histograma_Obra!AAM55:AAM113,[1]HOC_Histograma_Obra!$C$55:$C$113,"MOA")</f>
        <v>0</v>
      </c>
      <c r="ZI27" s="11">
        <f>SUMIFS([1]HOC_Histograma_Obra!AAN55:AAN113,[1]HOC_Histograma_Obra!$C$55:$C$113,"MOA")</f>
        <v>0</v>
      </c>
      <c r="ZJ27" s="11">
        <f>SUMIFS([1]HOC_Histograma_Obra!AAO55:AAO113,[1]HOC_Histograma_Obra!$C$55:$C$113,"MOA")</f>
        <v>0</v>
      </c>
      <c r="ZK27" s="11">
        <f>SUMIFS([1]HOC_Histograma_Obra!AAP55:AAP113,[1]HOC_Histograma_Obra!$C$55:$C$113,"MOA")</f>
        <v>0</v>
      </c>
      <c r="ZL27" s="11">
        <f>SUMIFS([1]HOC_Histograma_Obra!AAQ55:AAQ113,[1]HOC_Histograma_Obra!$C$55:$C$113,"MOA")</f>
        <v>0</v>
      </c>
      <c r="ZM27" s="11">
        <f>SUMIFS([1]HOC_Histograma_Obra!AAR55:AAR113,[1]HOC_Histograma_Obra!$C$55:$C$113,"MOA")</f>
        <v>0</v>
      </c>
      <c r="ZN27" s="11">
        <f>SUMIFS([1]HOC_Histograma_Obra!AAS55:AAS113,[1]HOC_Histograma_Obra!$C$55:$C$113,"MOA")</f>
        <v>0</v>
      </c>
      <c r="ZO27" s="11">
        <f>SUMIFS([1]HOC_Histograma_Obra!AAT55:AAT113,[1]HOC_Histograma_Obra!$C$55:$C$113,"MOA")</f>
        <v>0</v>
      </c>
      <c r="ZP27" s="11">
        <f>SUMIFS([1]HOC_Histograma_Obra!AAU55:AAU113,[1]HOC_Histograma_Obra!$C$55:$C$113,"MOA")</f>
        <v>0</v>
      </c>
      <c r="ZQ27" s="11">
        <f>SUMIFS([1]HOC_Histograma_Obra!AAV55:AAV113,[1]HOC_Histograma_Obra!$C$55:$C$113,"MOA")</f>
        <v>0</v>
      </c>
      <c r="ZR27" s="11">
        <f>SUMIFS([1]HOC_Histograma_Obra!AAW55:AAW113,[1]HOC_Histograma_Obra!$C$55:$C$113,"MOA")</f>
        <v>0</v>
      </c>
      <c r="ZS27" s="11">
        <f>SUMIFS([1]HOC_Histograma_Obra!AAX55:AAX113,[1]HOC_Histograma_Obra!$C$55:$C$113,"MOA")</f>
        <v>0</v>
      </c>
      <c r="ZT27" s="11">
        <f>SUMIFS([1]HOC_Histograma_Obra!AAY55:AAY113,[1]HOC_Histograma_Obra!$C$55:$C$113,"MOA")</f>
        <v>0</v>
      </c>
      <c r="ZU27" s="11">
        <f>SUMIFS([1]HOC_Histograma_Obra!AAZ55:AAZ113,[1]HOC_Histograma_Obra!$C$55:$C$113,"MOA")</f>
        <v>0</v>
      </c>
      <c r="ZV27" s="11">
        <f>SUMIFS([1]HOC_Histograma_Obra!ABA55:ABA113,[1]HOC_Histograma_Obra!$C$55:$C$113,"MOA")</f>
        <v>0</v>
      </c>
      <c r="ZW27" s="11">
        <f>SUMIFS([1]HOC_Histograma_Obra!ABB55:ABB113,[1]HOC_Histograma_Obra!$C$55:$C$113,"MOA")</f>
        <v>0</v>
      </c>
      <c r="ZX27" s="11">
        <f>SUMIFS([1]HOC_Histograma_Obra!ABC55:ABC113,[1]HOC_Histograma_Obra!$C$55:$C$113,"MOA")</f>
        <v>0</v>
      </c>
      <c r="ZY27" s="11">
        <f>SUMIFS([1]HOC_Histograma_Obra!ABD55:ABD113,[1]HOC_Histograma_Obra!$C$55:$C$113,"MOA")</f>
        <v>0</v>
      </c>
      <c r="ZZ27" s="11">
        <f>SUMIFS([1]HOC_Histograma_Obra!ABE55:ABE113,[1]HOC_Histograma_Obra!$C$55:$C$113,"MOA")</f>
        <v>0</v>
      </c>
      <c r="AAA27" s="11">
        <f>SUMIFS([1]HOC_Histograma_Obra!ABF55:ABF113,[1]HOC_Histograma_Obra!$C$55:$C$113,"MOA")</f>
        <v>0</v>
      </c>
      <c r="AAB27" s="11">
        <f>SUMIFS([1]HOC_Histograma_Obra!ABG55:ABG113,[1]HOC_Histograma_Obra!$C$55:$C$113,"MOA")</f>
        <v>0</v>
      </c>
      <c r="AAC27" s="11">
        <f>SUMIFS([1]HOC_Histograma_Obra!ABH55:ABH113,[1]HOC_Histograma_Obra!$C$55:$C$113,"MOA")</f>
        <v>0</v>
      </c>
      <c r="AAD27" s="11">
        <f>SUMIFS([1]HOC_Histograma_Obra!ABI55:ABI113,[1]HOC_Histograma_Obra!$C$55:$C$113,"MOA")</f>
        <v>0</v>
      </c>
      <c r="AAE27" s="11">
        <f>SUMIFS([1]HOC_Histograma_Obra!ABJ55:ABJ113,[1]HOC_Histograma_Obra!$C$55:$C$113,"MOA")</f>
        <v>0</v>
      </c>
      <c r="AAF27" s="11">
        <f>SUMIFS([1]HOC_Histograma_Obra!ABK55:ABK113,[1]HOC_Histograma_Obra!$C$55:$C$113,"MOA")</f>
        <v>0</v>
      </c>
      <c r="AAG27" s="11">
        <f>SUMIFS([1]HOC_Histograma_Obra!ABL55:ABL113,[1]HOC_Histograma_Obra!$C$55:$C$113,"MOA")</f>
        <v>0</v>
      </c>
      <c r="AAH27" s="11">
        <f>SUMIFS([1]HOC_Histograma_Obra!ABM55:ABM113,[1]HOC_Histograma_Obra!$C$55:$C$113,"MOA")</f>
        <v>0</v>
      </c>
      <c r="AAI27" s="11">
        <f>SUMIFS([1]HOC_Histograma_Obra!ABN55:ABN113,[1]HOC_Histograma_Obra!$C$55:$C$113,"MOA")</f>
        <v>0</v>
      </c>
      <c r="AAJ27" s="11">
        <f>SUMIFS([1]HOC_Histograma_Obra!ABO55:ABO113,[1]HOC_Histograma_Obra!$C$55:$C$113,"MOA")</f>
        <v>0</v>
      </c>
      <c r="AAK27" s="11">
        <f>SUMIFS([1]HOC_Histograma_Obra!ABP55:ABP113,[1]HOC_Histograma_Obra!$C$55:$C$113,"MOA")</f>
        <v>0</v>
      </c>
      <c r="AAL27" s="11">
        <f>SUMIFS([1]HOC_Histograma_Obra!ABQ55:ABQ113,[1]HOC_Histograma_Obra!$C$55:$C$113,"MOA")</f>
        <v>0</v>
      </c>
      <c r="AAM27" s="11">
        <f>SUMIFS([1]HOC_Histograma_Obra!ABR55:ABR113,[1]HOC_Histograma_Obra!$C$55:$C$113,"MOA")</f>
        <v>0</v>
      </c>
      <c r="AAN27" s="11">
        <f>SUMIFS([1]HOC_Histograma_Obra!ABS55:ABS113,[1]HOC_Histograma_Obra!$C$55:$C$113,"MOA")</f>
        <v>0</v>
      </c>
      <c r="AAO27" s="11">
        <f>SUMIFS([1]HOC_Histograma_Obra!ABT55:ABT113,[1]HOC_Histograma_Obra!$C$55:$C$113,"MOA")</f>
        <v>0</v>
      </c>
      <c r="AAP27" s="11">
        <f>SUMIFS([1]HOC_Histograma_Obra!ABU55:ABU113,[1]HOC_Histograma_Obra!$C$55:$C$113,"MOA")</f>
        <v>0</v>
      </c>
      <c r="AAQ27" s="11">
        <f>SUMIFS([1]HOC_Histograma_Obra!ABV55:ABV113,[1]HOC_Histograma_Obra!$C$55:$C$113,"MOA")</f>
        <v>0</v>
      </c>
      <c r="AAR27" s="11">
        <f>SUMIFS([1]HOC_Histograma_Obra!ABW55:ABW113,[1]HOC_Histograma_Obra!$C$55:$C$113,"MOA")</f>
        <v>0</v>
      </c>
      <c r="AAS27" s="11">
        <f>SUMIFS([1]HOC_Histograma_Obra!ABX55:ABX113,[1]HOC_Histograma_Obra!$C$55:$C$113,"MOA")</f>
        <v>0</v>
      </c>
      <c r="AAT27" s="11">
        <f>SUMIFS([1]HOC_Histograma_Obra!ABY55:ABY113,[1]HOC_Histograma_Obra!$C$55:$C$113,"MOA")</f>
        <v>0</v>
      </c>
      <c r="AAU27" s="11">
        <f>SUMIFS([1]HOC_Histograma_Obra!ABZ55:ABZ113,[1]HOC_Histograma_Obra!$C$55:$C$113,"MOA")</f>
        <v>0</v>
      </c>
      <c r="AAV27" s="11">
        <f>SUMIFS([1]HOC_Histograma_Obra!ACA55:ACA113,[1]HOC_Histograma_Obra!$C$55:$C$113,"MOA")</f>
        <v>0</v>
      </c>
      <c r="AAW27" s="11">
        <f>SUMIFS([1]HOC_Histograma_Obra!ACB55:ACB113,[1]HOC_Histograma_Obra!$C$55:$C$113,"MOA")</f>
        <v>0</v>
      </c>
      <c r="AAX27" s="11">
        <f>SUMIFS([1]HOC_Histograma_Obra!ACC55:ACC113,[1]HOC_Histograma_Obra!$C$55:$C$113,"MOA")</f>
        <v>0</v>
      </c>
      <c r="AAY27" s="11">
        <f>SUMIFS([1]HOC_Histograma_Obra!ACD55:ACD113,[1]HOC_Histograma_Obra!$C$55:$C$113,"MOA")</f>
        <v>0</v>
      </c>
      <c r="AAZ27" s="11">
        <f>SUMIFS([1]HOC_Histograma_Obra!ACE55:ACE113,[1]HOC_Histograma_Obra!$C$55:$C$113,"MOA")</f>
        <v>0</v>
      </c>
      <c r="ABA27" s="11">
        <f>SUMIFS([1]HOC_Histograma_Obra!ACF55:ACF113,[1]HOC_Histograma_Obra!$C$55:$C$113,"MOA")</f>
        <v>0</v>
      </c>
      <c r="ABB27" s="11">
        <f>SUMIFS([1]HOC_Histograma_Obra!ACG55:ACG113,[1]HOC_Histograma_Obra!$C$55:$C$113,"MOA")</f>
        <v>0</v>
      </c>
      <c r="ABC27" s="11">
        <f>SUMIFS([1]HOC_Histograma_Obra!ACH55:ACH113,[1]HOC_Histograma_Obra!$C$55:$C$113,"MOA")</f>
        <v>0</v>
      </c>
      <c r="ABD27" s="11">
        <f>SUMIFS([1]HOC_Histograma_Obra!ACI55:ACI113,[1]HOC_Histograma_Obra!$C$55:$C$113,"MOA")</f>
        <v>0</v>
      </c>
      <c r="ABE27" s="11">
        <f>SUMIFS([1]HOC_Histograma_Obra!ACJ55:ACJ113,[1]HOC_Histograma_Obra!$C$55:$C$113,"MOA")</f>
        <v>0</v>
      </c>
      <c r="ABF27" s="11">
        <f>SUMIFS([1]HOC_Histograma_Obra!ACK55:ACK113,[1]HOC_Histograma_Obra!$C$55:$C$113,"MOA")</f>
        <v>0</v>
      </c>
      <c r="ABG27" s="11">
        <f>SUMIFS([1]HOC_Histograma_Obra!ACL55:ACL113,[1]HOC_Histograma_Obra!$C$55:$C$113,"MOA")</f>
        <v>0</v>
      </c>
      <c r="ABH27" s="11">
        <f>SUMIFS([1]HOC_Histograma_Obra!ACM55:ACM113,[1]HOC_Histograma_Obra!$C$55:$C$113,"MOA")</f>
        <v>0</v>
      </c>
      <c r="ABI27" s="11">
        <f>SUMIFS([1]HOC_Histograma_Obra!ACN55:ACN113,[1]HOC_Histograma_Obra!$C$55:$C$113,"MOA")</f>
        <v>0</v>
      </c>
    </row>
    <row r="28" spans="4:737" ht="12.95" hidden="1" customHeight="1" x14ac:dyDescent="0.25">
      <c r="D28" s="14">
        <f t="shared" si="72"/>
        <v>771</v>
      </c>
      <c r="E28" s="15" t="s">
        <v>9</v>
      </c>
      <c r="F28" s="11">
        <f>SUMIFS([1]HOC_Histograma_Obra!AK56:AK114,[1]HOC_Histograma_Obra!$C$55:$C$113,"MOi")</f>
        <v>4</v>
      </c>
      <c r="G28" s="11">
        <f>SUMIFS([1]HOC_Histograma_Obra!AL56:AL114,[1]HOC_Histograma_Obra!$C$55:$C$113,"MOi")</f>
        <v>4</v>
      </c>
      <c r="H28" s="11">
        <f>SUMIFS([1]HOC_Histograma_Obra!AM56:AM114,[1]HOC_Histograma_Obra!$C$55:$C$113,"MOi")</f>
        <v>4</v>
      </c>
      <c r="I28" s="11">
        <f>SUMIFS([1]HOC_Histograma_Obra!AN56:AN114,[1]HOC_Histograma_Obra!$C$55:$C$113,"MOi")</f>
        <v>4</v>
      </c>
      <c r="J28" s="11">
        <f>SUMIFS([1]HOC_Histograma_Obra!AO56:AO114,[1]HOC_Histograma_Obra!$C$55:$C$113,"MOi")</f>
        <v>4</v>
      </c>
      <c r="K28" s="11">
        <f>SUMIFS([1]HOC_Histograma_Obra!AP56:AP114,[1]HOC_Histograma_Obra!$C$55:$C$113,"MOi")</f>
        <v>4</v>
      </c>
      <c r="L28" s="11">
        <f>SUMIFS([1]HOC_Histograma_Obra!AQ56:AQ114,[1]HOC_Histograma_Obra!$C$55:$C$113,"MOi")</f>
        <v>0</v>
      </c>
      <c r="M28" s="11">
        <f>SUMIFS([1]HOC_Histograma_Obra!AR56:AR114,[1]HOC_Histograma_Obra!$C$55:$C$113,"MOi")</f>
        <v>4</v>
      </c>
      <c r="N28" s="11">
        <f>SUMIFS([1]HOC_Histograma_Obra!AS56:AS114,[1]HOC_Histograma_Obra!$C$55:$C$113,"MOi")</f>
        <v>4</v>
      </c>
      <c r="O28" s="11">
        <f>SUMIFS([1]HOC_Histograma_Obra!AT56:AT114,[1]HOC_Histograma_Obra!$C$55:$C$113,"MOi")</f>
        <v>4</v>
      </c>
      <c r="P28" s="11">
        <f>SUMIFS([1]HOC_Histograma_Obra!AU56:AU114,[1]HOC_Histograma_Obra!$C$55:$C$113,"MOi")</f>
        <v>4</v>
      </c>
      <c r="Q28" s="11">
        <f>SUMIFS([1]HOC_Histograma_Obra!AV56:AV114,[1]HOC_Histograma_Obra!$C$55:$C$113,"MOi")</f>
        <v>4</v>
      </c>
      <c r="R28" s="11">
        <f>SUMIFS([1]HOC_Histograma_Obra!AW56:AW114,[1]HOC_Histograma_Obra!$C$55:$C$113,"MOi")</f>
        <v>4</v>
      </c>
      <c r="S28" s="11">
        <f>SUMIFS([1]HOC_Histograma_Obra!AX56:AX114,[1]HOC_Histograma_Obra!$C$55:$C$113,"MOi")</f>
        <v>0</v>
      </c>
      <c r="T28" s="11">
        <f>SUMIFS([1]HOC_Histograma_Obra!AY56:AY114,[1]HOC_Histograma_Obra!$C$55:$C$113,"MOi")</f>
        <v>4</v>
      </c>
      <c r="U28" s="11">
        <f>SUMIFS([1]HOC_Histograma_Obra!AZ56:AZ114,[1]HOC_Histograma_Obra!$C$55:$C$113,"MOi")</f>
        <v>4</v>
      </c>
      <c r="V28" s="11">
        <f>SUMIFS([1]HOC_Histograma_Obra!BA56:BA114,[1]HOC_Histograma_Obra!$C$55:$C$113,"MOi")</f>
        <v>4</v>
      </c>
      <c r="W28" s="11">
        <f>SUMIFS([1]HOC_Histograma_Obra!BB56:BB114,[1]HOC_Histograma_Obra!$C$55:$C$113,"MOi")</f>
        <v>4</v>
      </c>
      <c r="X28" s="11">
        <f>SUMIFS([1]HOC_Histograma_Obra!BC56:BC114,[1]HOC_Histograma_Obra!$C$55:$C$113,"MOi")</f>
        <v>4</v>
      </c>
      <c r="Y28" s="11">
        <f>SUMIFS([1]HOC_Histograma_Obra!BD56:BD114,[1]HOC_Histograma_Obra!$C$55:$C$113,"MOi")</f>
        <v>4</v>
      </c>
      <c r="Z28" s="11">
        <f>SUMIFS([1]HOC_Histograma_Obra!BE56:BE114,[1]HOC_Histograma_Obra!$C$55:$C$113,"MOi")</f>
        <v>0</v>
      </c>
      <c r="AA28" s="11">
        <f>SUMIFS([1]HOC_Histograma_Obra!BF56:BF114,[1]HOC_Histograma_Obra!$C$55:$C$113,"MOi")</f>
        <v>4</v>
      </c>
      <c r="AB28" s="11">
        <f>SUMIFS([1]HOC_Histograma_Obra!BG56:BG114,[1]HOC_Histograma_Obra!$C$55:$C$113,"MOi")</f>
        <v>4</v>
      </c>
      <c r="AC28" s="11">
        <f>SUMIFS([1]HOC_Histograma_Obra!BH56:BH114,[1]HOC_Histograma_Obra!$C$55:$C$113,"MOi")</f>
        <v>4</v>
      </c>
      <c r="AD28" s="11">
        <f>SUMIFS([1]HOC_Histograma_Obra!BI56:BI114,[1]HOC_Histograma_Obra!$C$55:$C$113,"MOi")</f>
        <v>4</v>
      </c>
      <c r="AE28" s="11">
        <f>SUMIFS([1]HOC_Histograma_Obra!BJ56:BJ114,[1]HOC_Histograma_Obra!$C$55:$C$113,"MOi")</f>
        <v>4</v>
      </c>
      <c r="AF28" s="11">
        <f>SUMIFS([1]HOC_Histograma_Obra!BK56:BK114,[1]HOC_Histograma_Obra!$C$55:$C$113,"MOi")</f>
        <v>4</v>
      </c>
      <c r="AG28" s="11">
        <f>SUMIFS([1]HOC_Histograma_Obra!BL56:BL114,[1]HOC_Histograma_Obra!$C$55:$C$113,"MOi")</f>
        <v>0</v>
      </c>
      <c r="AH28" s="11">
        <f>SUMIFS([1]HOC_Histograma_Obra!BM56:BM114,[1]HOC_Histograma_Obra!$C$55:$C$113,"MOi")</f>
        <v>5</v>
      </c>
      <c r="AI28" s="11">
        <f>SUMIFS([1]HOC_Histograma_Obra!BN56:BN114,[1]HOC_Histograma_Obra!$C$55:$C$113,"MOi")</f>
        <v>5</v>
      </c>
      <c r="AJ28" s="11">
        <f>SUMIFS([1]HOC_Histograma_Obra!BO56:BO114,[1]HOC_Histograma_Obra!$C$55:$C$113,"MOi")</f>
        <v>5</v>
      </c>
      <c r="AK28" s="16">
        <f>SUMIFS([1]HOC_Histograma_Obra!BP56:BP114,[1]HOC_Histograma_Obra!$C$55:$C$113,"MOi")</f>
        <v>5</v>
      </c>
      <c r="AL28" s="11">
        <f>SUMIFS([1]HOC_Histograma_Obra!BQ56:BQ114,[1]HOC_Histograma_Obra!$C$55:$C$113,"MOi")</f>
        <v>5</v>
      </c>
      <c r="AM28" s="11">
        <f>SUMIFS([1]HOC_Histograma_Obra!BR56:BR114,[1]HOC_Histograma_Obra!$C$55:$C$113,"MOi")</f>
        <v>5</v>
      </c>
      <c r="AN28" s="11">
        <f>SUMIFS([1]HOC_Histograma_Obra!BS56:BS114,[1]HOC_Histograma_Obra!$C$55:$C$113,"MOi")</f>
        <v>0</v>
      </c>
      <c r="AO28" s="11">
        <f>SUMIFS([1]HOC_Histograma_Obra!BT56:BT114,[1]HOC_Histograma_Obra!$C$55:$C$113,"MOi")</f>
        <v>5</v>
      </c>
      <c r="AP28" s="11">
        <f>SUMIFS([1]HOC_Histograma_Obra!BU56:BU114,[1]HOC_Histograma_Obra!$C$55:$C$113,"MOi")</f>
        <v>5</v>
      </c>
      <c r="AQ28" s="11">
        <f>SUMIFS([1]HOC_Histograma_Obra!BV56:BV114,[1]HOC_Histograma_Obra!$C$55:$C$113,"MOi")</f>
        <v>5</v>
      </c>
      <c r="AR28" s="11">
        <f>SUMIFS([1]HOC_Histograma_Obra!BW56:BW114,[1]HOC_Histograma_Obra!$C$55:$C$113,"MOi")</f>
        <v>5</v>
      </c>
      <c r="AS28" s="11">
        <f>SUMIFS([1]HOC_Histograma_Obra!BX56:BX114,[1]HOC_Histograma_Obra!$C$55:$C$113,"MOi")</f>
        <v>5</v>
      </c>
      <c r="AT28" s="11">
        <f>SUMIFS([1]HOC_Histograma_Obra!BY56:BY114,[1]HOC_Histograma_Obra!$C$55:$C$113,"MOi")</f>
        <v>5</v>
      </c>
      <c r="AU28" s="11">
        <f>SUMIFS([1]HOC_Histograma_Obra!BZ56:BZ114,[1]HOC_Histograma_Obra!$C$55:$C$113,"MOi")</f>
        <v>0</v>
      </c>
      <c r="AV28" s="11">
        <f>SUMIFS([1]HOC_Histograma_Obra!CA56:CA114,[1]HOC_Histograma_Obra!$C$55:$C$113,"MOi")</f>
        <v>5</v>
      </c>
      <c r="AW28" s="11">
        <f>SUMIFS([1]HOC_Histograma_Obra!CB56:CB114,[1]HOC_Histograma_Obra!$C$55:$C$113,"MOi")</f>
        <v>5</v>
      </c>
      <c r="AX28" s="11">
        <f>SUMIFS([1]HOC_Histograma_Obra!CC56:CC114,[1]HOC_Histograma_Obra!$C$55:$C$113,"MOi")</f>
        <v>5</v>
      </c>
      <c r="AY28" s="11">
        <f>SUMIFS([1]HOC_Histograma_Obra!CD56:CD114,[1]HOC_Histograma_Obra!$C$55:$C$113,"MOi")</f>
        <v>5</v>
      </c>
      <c r="AZ28" s="11">
        <f>SUMIFS([1]HOC_Histograma_Obra!CE56:CE114,[1]HOC_Histograma_Obra!$C$55:$C$113,"MOi")</f>
        <v>5</v>
      </c>
      <c r="BA28" s="11">
        <f>SUMIFS([1]HOC_Histograma_Obra!CF56:CF114,[1]HOC_Histograma_Obra!$C$55:$C$113,"MOi")</f>
        <v>5</v>
      </c>
      <c r="BB28" s="11">
        <f>SUMIFS([1]HOC_Histograma_Obra!CG56:CG114,[1]HOC_Histograma_Obra!$C$55:$C$113,"MOi")</f>
        <v>0</v>
      </c>
      <c r="BC28" s="11">
        <f>SUMIFS([1]HOC_Histograma_Obra!CH56:CH114,[1]HOC_Histograma_Obra!$C$55:$C$113,"MOi")</f>
        <v>5</v>
      </c>
      <c r="BD28" s="11">
        <f>SUMIFS([1]HOC_Histograma_Obra!CI56:CI114,[1]HOC_Histograma_Obra!$C$55:$C$113,"MOi")</f>
        <v>5</v>
      </c>
      <c r="BE28" s="11">
        <f>SUMIFS([1]HOC_Histograma_Obra!CJ56:CJ114,[1]HOC_Histograma_Obra!$C$55:$C$113,"MOi")</f>
        <v>5</v>
      </c>
      <c r="BF28" s="11">
        <f>SUMIFS([1]HOC_Histograma_Obra!CK56:CK114,[1]HOC_Histograma_Obra!$C$55:$C$113,"MOi")</f>
        <v>5</v>
      </c>
      <c r="BG28" s="11">
        <f>SUMIFS([1]HOC_Histograma_Obra!CL56:CL114,[1]HOC_Histograma_Obra!$C$55:$C$113,"MOi")</f>
        <v>5</v>
      </c>
      <c r="BH28" s="11">
        <f>SUMIFS([1]HOC_Histograma_Obra!CM56:CM114,[1]HOC_Histograma_Obra!$C$55:$C$113,"MOi")</f>
        <v>5</v>
      </c>
      <c r="BI28" s="11">
        <f>SUMIFS([1]HOC_Histograma_Obra!CN56:CN114,[1]HOC_Histograma_Obra!$C$55:$C$113,"MOi")</f>
        <v>0</v>
      </c>
      <c r="BJ28" s="11">
        <f>SUMIFS([1]HOC_Histograma_Obra!CO56:CO114,[1]HOC_Histograma_Obra!$C$55:$C$113,"MOi")</f>
        <v>6</v>
      </c>
      <c r="BK28" s="11">
        <f>SUMIFS([1]HOC_Histograma_Obra!CP56:CP114,[1]HOC_Histograma_Obra!$C$55:$C$113,"MOi")</f>
        <v>6</v>
      </c>
      <c r="BL28" s="11">
        <f>SUMIFS([1]HOC_Histograma_Obra!CQ56:CQ114,[1]HOC_Histograma_Obra!$C$55:$C$113,"MOi")</f>
        <v>6</v>
      </c>
      <c r="BM28" s="11">
        <f>SUMIFS([1]HOC_Histograma_Obra!CR56:CR114,[1]HOC_Histograma_Obra!$C$55:$C$113,"MOi")</f>
        <v>6</v>
      </c>
      <c r="BN28" s="11">
        <f>SUMIFS([1]HOC_Histograma_Obra!CS56:CS114,[1]HOC_Histograma_Obra!$C$55:$C$113,"MOi")</f>
        <v>6</v>
      </c>
      <c r="BO28" s="11">
        <f>SUMIFS([1]HOC_Histograma_Obra!CT56:CT114,[1]HOC_Histograma_Obra!$C$55:$C$113,"MOi")</f>
        <v>6</v>
      </c>
      <c r="BP28" s="11">
        <f>SUMIFS([1]HOC_Histograma_Obra!CU56:CU114,[1]HOC_Histograma_Obra!$C$55:$C$113,"MOi")</f>
        <v>0</v>
      </c>
      <c r="BQ28" s="11">
        <f>SUMIFS([1]HOC_Histograma_Obra!CV56:CV114,[1]HOC_Histograma_Obra!$C$55:$C$113,"MOi")</f>
        <v>6</v>
      </c>
      <c r="BR28" s="11">
        <f>SUMIFS([1]HOC_Histograma_Obra!CW56:CW114,[1]HOC_Histograma_Obra!$C$55:$C$113,"MOi")</f>
        <v>6</v>
      </c>
      <c r="BS28" s="11">
        <f>SUMIFS([1]HOC_Histograma_Obra!CX56:CX114,[1]HOC_Histograma_Obra!$C$55:$C$113,"MOi")</f>
        <v>6</v>
      </c>
      <c r="BT28" s="11">
        <f>SUMIFS([1]HOC_Histograma_Obra!CY56:CY114,[1]HOC_Histograma_Obra!$C$55:$C$113,"MOi")</f>
        <v>6</v>
      </c>
      <c r="BU28" s="11">
        <f>SUMIFS([1]HOC_Histograma_Obra!CZ56:CZ114,[1]HOC_Histograma_Obra!$C$55:$C$113,"MOi")</f>
        <v>6</v>
      </c>
      <c r="BV28" s="11">
        <f>SUMIFS([1]HOC_Histograma_Obra!DA56:DA114,[1]HOC_Histograma_Obra!$C$55:$C$113,"MOi")</f>
        <v>6</v>
      </c>
      <c r="BW28" s="11">
        <f>SUMIFS([1]HOC_Histograma_Obra!DB56:DB114,[1]HOC_Histograma_Obra!$C$55:$C$113,"MOi")</f>
        <v>0</v>
      </c>
      <c r="BX28" s="11">
        <f>SUMIFS([1]HOC_Histograma_Obra!DC56:DC114,[1]HOC_Histograma_Obra!$C$55:$C$113,"MOi")</f>
        <v>6</v>
      </c>
      <c r="BY28" s="11">
        <f>SUMIFS([1]HOC_Histograma_Obra!DD56:DD114,[1]HOC_Histograma_Obra!$C$55:$C$113,"MOi")</f>
        <v>6</v>
      </c>
      <c r="BZ28" s="11">
        <f>SUMIFS([1]HOC_Histograma_Obra!DE56:DE114,[1]HOC_Histograma_Obra!$C$55:$C$113,"MOi")</f>
        <v>6</v>
      </c>
      <c r="CA28" s="11">
        <f>SUMIFS([1]HOC_Histograma_Obra!DF56:DF114,[1]HOC_Histograma_Obra!$C$55:$C$113,"MOi")</f>
        <v>6</v>
      </c>
      <c r="CB28" s="11">
        <f>SUMIFS([1]HOC_Histograma_Obra!DG56:DG114,[1]HOC_Histograma_Obra!$C$55:$C$113,"MOi")</f>
        <v>6</v>
      </c>
      <c r="CC28" s="11">
        <f>SUMIFS([1]HOC_Histograma_Obra!DH56:DH114,[1]HOC_Histograma_Obra!$C$55:$C$113,"MOi")</f>
        <v>6</v>
      </c>
      <c r="CD28" s="11">
        <f>SUMIFS([1]HOC_Histograma_Obra!DI56:DI114,[1]HOC_Histograma_Obra!$C$55:$C$113,"MOi")</f>
        <v>0</v>
      </c>
      <c r="CE28" s="11">
        <f>SUMIFS([1]HOC_Histograma_Obra!DJ56:DJ114,[1]HOC_Histograma_Obra!$C$55:$C$113,"MOi")</f>
        <v>6</v>
      </c>
      <c r="CF28" s="11">
        <f>SUMIFS([1]HOC_Histograma_Obra!DK56:DK114,[1]HOC_Histograma_Obra!$C$55:$C$113,"MOi")</f>
        <v>6</v>
      </c>
      <c r="CG28" s="11">
        <f>SUMIFS([1]HOC_Histograma_Obra!DL56:DL114,[1]HOC_Histograma_Obra!$C$55:$C$113,"MOi")</f>
        <v>6</v>
      </c>
      <c r="CH28" s="11">
        <f>SUMIFS([1]HOC_Histograma_Obra!DM56:DM114,[1]HOC_Histograma_Obra!$C$55:$C$113,"MOi")</f>
        <v>6</v>
      </c>
      <c r="CI28" s="11">
        <f>SUMIFS([1]HOC_Histograma_Obra!DN56:DN114,[1]HOC_Histograma_Obra!$C$55:$C$113,"MOi")</f>
        <v>6</v>
      </c>
      <c r="CJ28" s="11">
        <f>SUMIFS([1]HOC_Histograma_Obra!DO56:DO114,[1]HOC_Histograma_Obra!$C$55:$C$113,"MOi")</f>
        <v>6</v>
      </c>
      <c r="CK28" s="11">
        <f>SUMIFS([1]HOC_Histograma_Obra!DP56:DP114,[1]HOC_Histograma_Obra!$C$55:$C$113,"MOi")</f>
        <v>0</v>
      </c>
      <c r="CL28" s="11">
        <f>SUMIFS([1]HOC_Histograma_Obra!DQ56:DQ114,[1]HOC_Histograma_Obra!$C$55:$C$113,"MOi")</f>
        <v>6</v>
      </c>
      <c r="CM28" s="11">
        <f>SUMIFS([1]HOC_Histograma_Obra!DR56:DR114,[1]HOC_Histograma_Obra!$C$55:$C$113,"MOi")</f>
        <v>6</v>
      </c>
      <c r="CN28" s="11">
        <f>SUMIFS([1]HOC_Histograma_Obra!DS56:DS114,[1]HOC_Histograma_Obra!$C$55:$C$113,"MOi")</f>
        <v>6</v>
      </c>
      <c r="CO28" s="11">
        <f>SUMIFS([1]HOC_Histograma_Obra!DT56:DT114,[1]HOC_Histograma_Obra!$C$55:$C$113,"MOi")</f>
        <v>6</v>
      </c>
      <c r="CP28" s="11">
        <f>SUMIFS([1]HOC_Histograma_Obra!DU56:DU114,[1]HOC_Histograma_Obra!$C$55:$C$113,"MOi")</f>
        <v>6</v>
      </c>
      <c r="CQ28" s="11">
        <f>SUMIFS([1]HOC_Histograma_Obra!DV56:DV114,[1]HOC_Histograma_Obra!$C$55:$C$113,"MOi")</f>
        <v>6</v>
      </c>
      <c r="CR28" s="11">
        <f>SUMIFS([1]HOC_Histograma_Obra!DW56:DW114,[1]HOC_Histograma_Obra!$C$55:$C$113,"MOi")</f>
        <v>0</v>
      </c>
      <c r="CS28" s="11">
        <f>SUMIFS([1]HOC_Histograma_Obra!DX56:DX114,[1]HOC_Histograma_Obra!$C$55:$C$113,"MOi")</f>
        <v>6</v>
      </c>
      <c r="CT28" s="11">
        <f>SUMIFS([1]HOC_Histograma_Obra!DY56:DY114,[1]HOC_Histograma_Obra!$C$55:$C$113,"MOi")</f>
        <v>6</v>
      </c>
      <c r="CU28" s="11">
        <f>SUMIFS([1]HOC_Histograma_Obra!DZ56:DZ114,[1]HOC_Histograma_Obra!$C$55:$C$113,"MOi")</f>
        <v>6</v>
      </c>
      <c r="CV28" s="11">
        <f>SUMIFS([1]HOC_Histograma_Obra!EA56:EA114,[1]HOC_Histograma_Obra!$C$55:$C$113,"MOi")</f>
        <v>6</v>
      </c>
      <c r="CW28" s="11">
        <f>SUMIFS([1]HOC_Histograma_Obra!EB56:EB114,[1]HOC_Histograma_Obra!$C$55:$C$113,"MOi")</f>
        <v>6</v>
      </c>
      <c r="CX28" s="11">
        <f>SUMIFS([1]HOC_Histograma_Obra!EC56:EC114,[1]HOC_Histograma_Obra!$C$55:$C$113,"MOi")</f>
        <v>6</v>
      </c>
      <c r="CY28" s="11">
        <f>SUMIFS([1]HOC_Histograma_Obra!ED56:ED114,[1]HOC_Histograma_Obra!$C$55:$C$113,"MOi")</f>
        <v>0</v>
      </c>
      <c r="CZ28" s="11">
        <f>SUMIFS([1]HOC_Histograma_Obra!EE56:EE114,[1]HOC_Histograma_Obra!$C$55:$C$113,"MOi")</f>
        <v>6</v>
      </c>
      <c r="DA28" s="11">
        <f>SUMIFS([1]HOC_Histograma_Obra!EF56:EF114,[1]HOC_Histograma_Obra!$C$55:$C$113,"MOi")</f>
        <v>6</v>
      </c>
      <c r="DB28" s="11">
        <f>SUMIFS([1]HOC_Histograma_Obra!EG56:EG114,[1]HOC_Histograma_Obra!$C$55:$C$113,"MOi")</f>
        <v>6</v>
      </c>
      <c r="DC28" s="11">
        <f>SUMIFS([1]HOC_Histograma_Obra!EH56:EH114,[1]HOC_Histograma_Obra!$C$55:$C$113,"MOi")</f>
        <v>6</v>
      </c>
      <c r="DD28" s="11">
        <f>SUMIFS([1]HOC_Histograma_Obra!EI56:EI114,[1]HOC_Histograma_Obra!$C$55:$C$113,"MOi")</f>
        <v>6</v>
      </c>
      <c r="DE28" s="11">
        <f>SUMIFS([1]HOC_Histograma_Obra!EJ56:EJ114,[1]HOC_Histograma_Obra!$C$55:$C$113,"MOi")</f>
        <v>6</v>
      </c>
      <c r="DF28" s="11">
        <f>SUMIFS([1]HOC_Histograma_Obra!EK56:EK114,[1]HOC_Histograma_Obra!$C$55:$C$113,"MOi")</f>
        <v>0</v>
      </c>
      <c r="DG28" s="11">
        <f>SUMIFS([1]HOC_Histograma_Obra!EL56:EL114,[1]HOC_Histograma_Obra!$C$55:$C$113,"MOi")</f>
        <v>6</v>
      </c>
      <c r="DH28" s="11">
        <f>SUMIFS([1]HOC_Histograma_Obra!EM56:EM114,[1]HOC_Histograma_Obra!$C$55:$C$113,"MOi")</f>
        <v>6</v>
      </c>
      <c r="DI28" s="11">
        <f>SUMIFS([1]HOC_Histograma_Obra!EN56:EN114,[1]HOC_Histograma_Obra!$C$55:$C$113,"MOi")</f>
        <v>6</v>
      </c>
      <c r="DJ28" s="11">
        <f>SUMIFS([1]HOC_Histograma_Obra!EO56:EO114,[1]HOC_Histograma_Obra!$C$55:$C$113,"MOi")</f>
        <v>6</v>
      </c>
      <c r="DK28" s="11">
        <f>SUMIFS([1]HOC_Histograma_Obra!EP56:EP114,[1]HOC_Histograma_Obra!$C$55:$C$113,"MOi")</f>
        <v>6</v>
      </c>
      <c r="DL28" s="11">
        <f>SUMIFS([1]HOC_Histograma_Obra!EQ56:EQ114,[1]HOC_Histograma_Obra!$C$55:$C$113,"MOi")</f>
        <v>6</v>
      </c>
      <c r="DM28" s="11">
        <f>SUMIFS([1]HOC_Histograma_Obra!ER56:ER114,[1]HOC_Histograma_Obra!$C$55:$C$113,"MOi")</f>
        <v>0</v>
      </c>
      <c r="DN28" s="11">
        <f>SUMIFS([1]HOC_Histograma_Obra!ES56:ES114,[1]HOC_Histograma_Obra!$C$55:$C$113,"MOi")</f>
        <v>6</v>
      </c>
      <c r="DO28" s="11">
        <f>SUMIFS([1]HOC_Histograma_Obra!ET56:ET114,[1]HOC_Histograma_Obra!$C$55:$C$113,"MOi")</f>
        <v>6</v>
      </c>
      <c r="DP28" s="11">
        <f>SUMIFS([1]HOC_Histograma_Obra!EU56:EU114,[1]HOC_Histograma_Obra!$C$55:$C$113,"MOi")</f>
        <v>6</v>
      </c>
      <c r="DQ28" s="11">
        <f>SUMIFS([1]HOC_Histograma_Obra!EV56:EV114,[1]HOC_Histograma_Obra!$C$55:$C$113,"MOi")</f>
        <v>6</v>
      </c>
      <c r="DR28" s="11">
        <f>SUMIFS([1]HOC_Histograma_Obra!EW56:EW114,[1]HOC_Histograma_Obra!$C$55:$C$113,"MOi")</f>
        <v>6</v>
      </c>
      <c r="DS28" s="11">
        <f>SUMIFS([1]HOC_Histograma_Obra!EX56:EX114,[1]HOC_Histograma_Obra!$C$55:$C$113,"MOi")</f>
        <v>6</v>
      </c>
      <c r="DT28" s="11">
        <f>SUMIFS([1]HOC_Histograma_Obra!EY56:EY114,[1]HOC_Histograma_Obra!$C$55:$C$113,"MOi")</f>
        <v>0</v>
      </c>
      <c r="DU28" s="11">
        <f>SUMIFS([1]HOC_Histograma_Obra!EZ56:EZ114,[1]HOC_Histograma_Obra!$C$55:$C$113,"MOi")</f>
        <v>6</v>
      </c>
      <c r="DV28" s="11">
        <f>SUMIFS([1]HOC_Histograma_Obra!FA56:FA114,[1]HOC_Histograma_Obra!$C$55:$C$113,"MOi")</f>
        <v>6</v>
      </c>
      <c r="DW28" s="11">
        <f>SUMIFS([1]HOC_Histograma_Obra!FB56:FB114,[1]HOC_Histograma_Obra!$C$55:$C$113,"MOi")</f>
        <v>6</v>
      </c>
      <c r="DX28" s="11">
        <f>SUMIFS([1]HOC_Histograma_Obra!FC56:FC114,[1]HOC_Histograma_Obra!$C$55:$C$113,"MOi")</f>
        <v>6</v>
      </c>
      <c r="DY28" s="11">
        <f>SUMIFS([1]HOC_Histograma_Obra!FD56:FD114,[1]HOC_Histograma_Obra!$C$55:$C$113,"MOi")</f>
        <v>6</v>
      </c>
      <c r="DZ28" s="11">
        <f>SUMIFS([1]HOC_Histograma_Obra!FE56:FE114,[1]HOC_Histograma_Obra!$C$55:$C$113,"MOi")</f>
        <v>6</v>
      </c>
      <c r="EA28" s="11">
        <f>SUMIFS([1]HOC_Histograma_Obra!FF56:FF114,[1]HOC_Histograma_Obra!$C$55:$C$113,"MOi")</f>
        <v>0</v>
      </c>
      <c r="EB28" s="11">
        <f>SUMIFS([1]HOC_Histograma_Obra!FG56:FG114,[1]HOC_Histograma_Obra!$C$55:$C$113,"MOi")</f>
        <v>0</v>
      </c>
      <c r="EC28" s="11">
        <f>SUMIFS([1]HOC_Histograma_Obra!FH56:FH114,[1]HOC_Histograma_Obra!$C$55:$C$113,"MOi")</f>
        <v>6</v>
      </c>
      <c r="ED28" s="11">
        <f>SUMIFS([1]HOC_Histograma_Obra!FI56:FI114,[1]HOC_Histograma_Obra!$C$55:$C$113,"MOi")</f>
        <v>6</v>
      </c>
      <c r="EE28" s="11">
        <f>SUMIFS([1]HOC_Histograma_Obra!FJ56:FJ114,[1]HOC_Histograma_Obra!$C$55:$C$113,"MOi")</f>
        <v>6</v>
      </c>
      <c r="EF28" s="11">
        <f>SUMIFS([1]HOC_Histograma_Obra!FK56:FK114,[1]HOC_Histograma_Obra!$C$55:$C$113,"MOi")</f>
        <v>6</v>
      </c>
      <c r="EG28" s="11">
        <f>SUMIFS([1]HOC_Histograma_Obra!FL56:FL114,[1]HOC_Histograma_Obra!$C$55:$C$113,"MOi")</f>
        <v>6</v>
      </c>
      <c r="EH28" s="11">
        <f>SUMIFS([1]HOC_Histograma_Obra!FM56:FM114,[1]HOC_Histograma_Obra!$C$55:$C$113,"MOi")</f>
        <v>0</v>
      </c>
      <c r="EI28" s="11">
        <f>SUMIFS([1]HOC_Histograma_Obra!FN56:FN114,[1]HOC_Histograma_Obra!$C$55:$C$113,"MOi")</f>
        <v>6</v>
      </c>
      <c r="EJ28" s="11">
        <f>SUMIFS([1]HOC_Histograma_Obra!FO56:FO114,[1]HOC_Histograma_Obra!$C$55:$C$113,"MOi")</f>
        <v>6</v>
      </c>
      <c r="EK28" s="11">
        <f>SUMIFS([1]HOC_Histograma_Obra!FP56:FP114,[1]HOC_Histograma_Obra!$C$55:$C$113,"MOi")</f>
        <v>6</v>
      </c>
      <c r="EL28" s="11">
        <f>SUMIFS([1]HOC_Histograma_Obra!FQ56:FQ114,[1]HOC_Histograma_Obra!$C$55:$C$113,"MOi")</f>
        <v>6</v>
      </c>
      <c r="EM28" s="11">
        <f>SUMIFS([1]HOC_Histograma_Obra!FR56:FR114,[1]HOC_Histograma_Obra!$C$55:$C$113,"MOi")</f>
        <v>6</v>
      </c>
      <c r="EN28" s="11">
        <f>SUMIFS([1]HOC_Histograma_Obra!FS56:FS114,[1]HOC_Histograma_Obra!$C$55:$C$113,"MOi")</f>
        <v>6</v>
      </c>
      <c r="EO28" s="11">
        <f>SUMIFS([1]HOC_Histograma_Obra!FT56:FT114,[1]HOC_Histograma_Obra!$C$55:$C$113,"MOi")</f>
        <v>0</v>
      </c>
      <c r="EP28" s="11">
        <f>SUMIFS([1]HOC_Histograma_Obra!FU56:FU114,[1]HOC_Histograma_Obra!$C$55:$C$113,"MOi")</f>
        <v>6</v>
      </c>
      <c r="EQ28" s="11">
        <f>SUMIFS([1]HOC_Histograma_Obra!FV56:FV114,[1]HOC_Histograma_Obra!$C$55:$C$113,"MOi")</f>
        <v>6</v>
      </c>
      <c r="ER28" s="11">
        <f>SUMIFS([1]HOC_Histograma_Obra!FW56:FW114,[1]HOC_Histograma_Obra!$C$55:$C$113,"MOi")</f>
        <v>6</v>
      </c>
      <c r="ES28" s="11">
        <f>SUMIFS([1]HOC_Histograma_Obra!FX56:FX114,[1]HOC_Histograma_Obra!$C$55:$C$113,"MOi")</f>
        <v>6</v>
      </c>
      <c r="ET28" s="11">
        <f>SUMIFS([1]HOC_Histograma_Obra!FY56:FY114,[1]HOC_Histograma_Obra!$C$55:$C$113,"MOi")</f>
        <v>6</v>
      </c>
      <c r="EU28" s="11">
        <f>SUMIFS([1]HOC_Histograma_Obra!FZ56:FZ114,[1]HOC_Histograma_Obra!$C$55:$C$113,"MOi")</f>
        <v>6</v>
      </c>
      <c r="EV28" s="11">
        <f>SUMIFS([1]HOC_Histograma_Obra!GA56:GA114,[1]HOC_Histograma_Obra!$C$55:$C$113,"MOi")</f>
        <v>0</v>
      </c>
      <c r="EW28" s="11">
        <f>SUMIFS([1]HOC_Histograma_Obra!GB56:GB114,[1]HOC_Histograma_Obra!$C$55:$C$113,"MOi")</f>
        <v>4</v>
      </c>
      <c r="EX28" s="11">
        <f>SUMIFS([1]HOC_Histograma_Obra!GC56:GC114,[1]HOC_Histograma_Obra!$C$55:$C$113,"MOi")</f>
        <v>4</v>
      </c>
      <c r="EY28" s="11">
        <f>SUMIFS([1]HOC_Histograma_Obra!GD56:GD114,[1]HOC_Histograma_Obra!$C$55:$C$113,"MOi")</f>
        <v>4</v>
      </c>
      <c r="EZ28" s="11">
        <f>SUMIFS([1]HOC_Histograma_Obra!GE56:GE114,[1]HOC_Histograma_Obra!$C$55:$C$113,"MOi")</f>
        <v>4</v>
      </c>
      <c r="FA28" s="11">
        <f>SUMIFS([1]HOC_Histograma_Obra!GF56:GF114,[1]HOC_Histograma_Obra!$C$55:$C$113,"MOi")</f>
        <v>4</v>
      </c>
      <c r="FB28" s="11">
        <f>SUMIFS([1]HOC_Histograma_Obra!GG56:GG114,[1]HOC_Histograma_Obra!$C$55:$C$113,"MOi")</f>
        <v>4</v>
      </c>
      <c r="FC28" s="11">
        <f>SUMIFS([1]HOC_Histograma_Obra!GH56:GH114,[1]HOC_Histograma_Obra!$C$55:$C$113,"MOi")</f>
        <v>0</v>
      </c>
      <c r="FD28" s="11">
        <f>SUMIFS([1]HOC_Histograma_Obra!GI56:GI114,[1]HOC_Histograma_Obra!$C$55:$C$113,"MOi")</f>
        <v>3</v>
      </c>
      <c r="FE28" s="11">
        <f>SUMIFS([1]HOC_Histograma_Obra!GJ56:GJ114,[1]HOC_Histograma_Obra!$C$55:$C$113,"MOi")</f>
        <v>3</v>
      </c>
      <c r="FF28" s="11">
        <f>SUMIFS([1]HOC_Histograma_Obra!GK56:GK114,[1]HOC_Histograma_Obra!$C$55:$C$113,"MOi")</f>
        <v>3</v>
      </c>
      <c r="FG28" s="11">
        <f>SUMIFS([1]HOC_Histograma_Obra!GL56:GL114,[1]HOC_Histograma_Obra!$C$55:$C$113,"MOi")</f>
        <v>3</v>
      </c>
      <c r="FH28" s="11">
        <f>SUMIFS([1]HOC_Histograma_Obra!GM56:GM114,[1]HOC_Histograma_Obra!$C$55:$C$113,"MOi")</f>
        <v>3</v>
      </c>
      <c r="FI28" s="11">
        <f>SUMIFS([1]HOC_Histograma_Obra!GN56:GN114,[1]HOC_Histograma_Obra!$C$55:$C$113,"MOi")</f>
        <v>3</v>
      </c>
      <c r="FJ28" s="11">
        <f>SUMIFS([1]HOC_Histograma_Obra!GO56:GO114,[1]HOC_Histograma_Obra!$C$55:$C$113,"MOi")</f>
        <v>0</v>
      </c>
      <c r="FK28" s="11">
        <f>SUMIFS([1]HOC_Histograma_Obra!GP56:GP114,[1]HOC_Histograma_Obra!$C$55:$C$113,"MOi")</f>
        <v>0</v>
      </c>
      <c r="FL28" s="11">
        <f>SUMIFS([1]HOC_Histograma_Obra!GQ56:GQ114,[1]HOC_Histograma_Obra!$C$55:$C$113,"MOi")</f>
        <v>3</v>
      </c>
      <c r="FM28" s="11">
        <f>SUMIFS([1]HOC_Histograma_Obra!GR56:GR114,[1]HOC_Histograma_Obra!$C$55:$C$113,"MOi")</f>
        <v>3</v>
      </c>
      <c r="FN28" s="11">
        <f>SUMIFS([1]HOC_Histograma_Obra!GS56:GS114,[1]HOC_Histograma_Obra!$C$55:$C$113,"MOi")</f>
        <v>3</v>
      </c>
      <c r="FO28" s="11">
        <f>SUMIFS([1]HOC_Histograma_Obra!GT56:GT114,[1]HOC_Histograma_Obra!$C$55:$C$113,"MOi")</f>
        <v>3</v>
      </c>
      <c r="FP28" s="11">
        <f>SUMIFS([1]HOC_Histograma_Obra!GU56:GU114,[1]HOC_Histograma_Obra!$C$55:$C$113,"MOi")</f>
        <v>3</v>
      </c>
      <c r="FQ28" s="11">
        <f>SUMIFS([1]HOC_Histograma_Obra!GV56:GV114,[1]HOC_Histograma_Obra!$C$55:$C$113,"MOi")</f>
        <v>0</v>
      </c>
      <c r="FR28" s="11">
        <f>SUMIFS([1]HOC_Histograma_Obra!GW56:GW114,[1]HOC_Histograma_Obra!$C$55:$C$113,"MOi")</f>
        <v>3</v>
      </c>
      <c r="FS28" s="11">
        <f>SUMIFS([1]HOC_Histograma_Obra!GX56:GX114,[1]HOC_Histograma_Obra!$C$55:$C$113,"MOi")</f>
        <v>3</v>
      </c>
      <c r="FT28" s="11">
        <f>SUMIFS([1]HOC_Histograma_Obra!GY56:GY114,[1]HOC_Histograma_Obra!$C$55:$C$113,"MOi")</f>
        <v>3</v>
      </c>
      <c r="FU28" s="11">
        <f>SUMIFS([1]HOC_Histograma_Obra!GZ56:GZ114,[1]HOC_Histograma_Obra!$C$55:$C$113,"MOi")</f>
        <v>3</v>
      </c>
      <c r="FV28" s="11">
        <f>SUMIFS([1]HOC_Histograma_Obra!HA56:HA114,[1]HOC_Histograma_Obra!$C$55:$C$113,"MOi")</f>
        <v>3</v>
      </c>
      <c r="FW28" s="11">
        <f>SUMIFS([1]HOC_Histograma_Obra!HB56:HB114,[1]HOC_Histograma_Obra!$C$55:$C$113,"MOi")</f>
        <v>3</v>
      </c>
      <c r="FX28" s="11">
        <f>SUMIFS([1]HOC_Histograma_Obra!HC56:HC114,[1]HOC_Histograma_Obra!$C$55:$C$113,"MOi")</f>
        <v>0</v>
      </c>
      <c r="FY28" s="11">
        <f>SUMIFS([1]HOC_Histograma_Obra!HD56:HD114,[1]HOC_Histograma_Obra!$C$55:$C$113,"MOi")</f>
        <v>3</v>
      </c>
      <c r="FZ28" s="11">
        <f>SUMIFS([1]HOC_Histograma_Obra!HE56:HE114,[1]HOC_Histograma_Obra!$C$55:$C$113,"MOi")</f>
        <v>3</v>
      </c>
      <c r="GA28" s="11">
        <f>SUMIFS([1]HOC_Histograma_Obra!HF56:HF114,[1]HOC_Histograma_Obra!$C$55:$C$113,"MOi")</f>
        <v>3</v>
      </c>
      <c r="GB28" s="11">
        <f>SUMIFS([1]HOC_Histograma_Obra!HG56:HG114,[1]HOC_Histograma_Obra!$C$55:$C$113,"MOi")</f>
        <v>3</v>
      </c>
      <c r="GC28" s="11">
        <f>SUMIFS([1]HOC_Histograma_Obra!HH56:HH114,[1]HOC_Histograma_Obra!$C$55:$C$113,"MOi")</f>
        <v>3</v>
      </c>
      <c r="GD28" s="11">
        <f>SUMIFS([1]HOC_Histograma_Obra!HI56:HI114,[1]HOC_Histograma_Obra!$C$55:$C$113,"MOi")</f>
        <v>3</v>
      </c>
      <c r="GE28" s="11">
        <f>SUMIFS([1]HOC_Histograma_Obra!HJ56:HJ114,[1]HOC_Histograma_Obra!$C$55:$C$113,"MOi")</f>
        <v>0</v>
      </c>
      <c r="GF28" s="11">
        <f>SUMIFS([1]HOC_Histograma_Obra!HK56:HK114,[1]HOC_Histograma_Obra!$C$55:$C$113,"MOi")</f>
        <v>0</v>
      </c>
      <c r="GG28" s="11">
        <f>SUMIFS([1]HOC_Histograma_Obra!HL56:HL114,[1]HOC_Histograma_Obra!$C$55:$C$113,"MOi")</f>
        <v>0</v>
      </c>
      <c r="GH28" s="11">
        <f>SUMIFS([1]HOC_Histograma_Obra!HM56:HM114,[1]HOC_Histograma_Obra!$C$55:$C$113,"MOi")</f>
        <v>0</v>
      </c>
      <c r="GI28" s="11">
        <f>SUMIFS([1]HOC_Histograma_Obra!HN56:HN114,[1]HOC_Histograma_Obra!$C$55:$C$113,"MOi")</f>
        <v>0</v>
      </c>
      <c r="GJ28" s="11">
        <f>SUMIFS([1]HOC_Histograma_Obra!HO56:HO114,[1]HOC_Histograma_Obra!$C$55:$C$113,"MOi")</f>
        <v>0</v>
      </c>
      <c r="GK28" s="11">
        <f>SUMIFS([1]HOC_Histograma_Obra!HP56:HP114,[1]HOC_Histograma_Obra!$C$55:$C$113,"MOi")</f>
        <v>0</v>
      </c>
      <c r="GL28" s="11">
        <f>SUMIFS([1]HOC_Histograma_Obra!HQ56:HQ114,[1]HOC_Histograma_Obra!$C$55:$C$113,"MOi")</f>
        <v>0</v>
      </c>
      <c r="GM28" s="11">
        <f>SUMIFS([1]HOC_Histograma_Obra!HR56:HR114,[1]HOC_Histograma_Obra!$C$55:$C$113,"MOi")</f>
        <v>0</v>
      </c>
      <c r="GN28" s="11">
        <f>SUMIFS([1]HOC_Histograma_Obra!HS56:HS114,[1]HOC_Histograma_Obra!$C$55:$C$113,"MOi")</f>
        <v>0</v>
      </c>
      <c r="GO28" s="11">
        <f>SUMIFS([1]HOC_Histograma_Obra!HT56:HT114,[1]HOC_Histograma_Obra!$C$55:$C$113,"MOi")</f>
        <v>0</v>
      </c>
      <c r="GP28" s="11">
        <f>SUMIFS([1]HOC_Histograma_Obra!HU56:HU114,[1]HOC_Histograma_Obra!$C$55:$C$113,"MOi")</f>
        <v>0</v>
      </c>
      <c r="GQ28" s="11">
        <f>SUMIFS([1]HOC_Histograma_Obra!HV56:HV114,[1]HOC_Histograma_Obra!$C$55:$C$113,"MOi")</f>
        <v>0</v>
      </c>
      <c r="GR28" s="11">
        <f>SUMIFS([1]HOC_Histograma_Obra!HW56:HW114,[1]HOC_Histograma_Obra!$C$55:$C$113,"MOi")</f>
        <v>0</v>
      </c>
      <c r="GS28" s="11">
        <f>SUMIFS([1]HOC_Histograma_Obra!HX56:HX114,[1]HOC_Histograma_Obra!$C$55:$C$113,"MOi")</f>
        <v>0</v>
      </c>
      <c r="GT28" s="11">
        <f>SUMIFS([1]HOC_Histograma_Obra!HY56:HY114,[1]HOC_Histograma_Obra!$C$55:$C$113,"MOi")</f>
        <v>0</v>
      </c>
      <c r="GU28" s="11">
        <f>SUMIFS([1]HOC_Histograma_Obra!HZ56:HZ114,[1]HOC_Histograma_Obra!$C$55:$C$113,"MOi")</f>
        <v>0</v>
      </c>
      <c r="GV28" s="11">
        <f>SUMIFS([1]HOC_Histograma_Obra!IA56:IA114,[1]HOC_Histograma_Obra!$C$55:$C$113,"MOi")</f>
        <v>0</v>
      </c>
      <c r="GW28" s="11">
        <f>SUMIFS([1]HOC_Histograma_Obra!IB56:IB114,[1]HOC_Histograma_Obra!$C$55:$C$113,"MOi")</f>
        <v>0</v>
      </c>
      <c r="GX28" s="11">
        <f>SUMIFS([1]HOC_Histograma_Obra!IC56:IC114,[1]HOC_Histograma_Obra!$C$55:$C$113,"MOi")</f>
        <v>0</v>
      </c>
      <c r="GY28" s="11">
        <f>SUMIFS([1]HOC_Histograma_Obra!ID56:ID114,[1]HOC_Histograma_Obra!$C$55:$C$113,"MOi")</f>
        <v>0</v>
      </c>
      <c r="GZ28" s="11">
        <f>SUMIFS([1]HOC_Histograma_Obra!IE56:IE114,[1]HOC_Histograma_Obra!$C$55:$C$113,"MOi")</f>
        <v>0</v>
      </c>
      <c r="HA28" s="11">
        <f>SUMIFS([1]HOC_Histograma_Obra!IF56:IF114,[1]HOC_Histograma_Obra!$C$55:$C$113,"MOi")</f>
        <v>0</v>
      </c>
      <c r="HB28" s="11">
        <f>SUMIFS([1]HOC_Histograma_Obra!IG56:IG114,[1]HOC_Histograma_Obra!$C$55:$C$113,"MOi")</f>
        <v>0</v>
      </c>
      <c r="HC28" s="11">
        <f>SUMIFS([1]HOC_Histograma_Obra!IH56:IH114,[1]HOC_Histograma_Obra!$C$55:$C$113,"MOi")</f>
        <v>0</v>
      </c>
      <c r="HD28" s="11">
        <f>SUMIFS([1]HOC_Histograma_Obra!II56:II114,[1]HOC_Histograma_Obra!$C$55:$C$113,"MOi")</f>
        <v>0</v>
      </c>
      <c r="HE28" s="11">
        <f>SUMIFS([1]HOC_Histograma_Obra!IJ56:IJ114,[1]HOC_Histograma_Obra!$C$55:$C$113,"MOi")</f>
        <v>0</v>
      </c>
      <c r="HF28" s="11">
        <f>SUMIFS([1]HOC_Histograma_Obra!IK56:IK114,[1]HOC_Histograma_Obra!$C$55:$C$113,"MOi")</f>
        <v>0</v>
      </c>
      <c r="HG28" s="11">
        <f>SUMIFS([1]HOC_Histograma_Obra!IL56:IL114,[1]HOC_Histograma_Obra!$C$55:$C$113,"MOi")</f>
        <v>0</v>
      </c>
      <c r="HH28" s="11">
        <f>SUMIFS([1]HOC_Histograma_Obra!IM56:IM114,[1]HOC_Histograma_Obra!$C$55:$C$113,"MOi")</f>
        <v>0</v>
      </c>
      <c r="HI28" s="11">
        <f>SUMIFS([1]HOC_Histograma_Obra!IN56:IN114,[1]HOC_Histograma_Obra!$C$55:$C$113,"MOi")</f>
        <v>0</v>
      </c>
      <c r="HJ28" s="11">
        <f>SUMIFS([1]HOC_Histograma_Obra!IO56:IO114,[1]HOC_Histograma_Obra!$C$55:$C$113,"MOi")</f>
        <v>0</v>
      </c>
      <c r="HK28" s="11">
        <f>SUMIFS([1]HOC_Histograma_Obra!IP56:IP114,[1]HOC_Histograma_Obra!$C$55:$C$113,"MOi")</f>
        <v>0</v>
      </c>
      <c r="HL28" s="11">
        <f>SUMIFS([1]HOC_Histograma_Obra!IQ56:IQ114,[1]HOC_Histograma_Obra!$C$55:$C$113,"MOi")</f>
        <v>0</v>
      </c>
      <c r="HM28" s="11">
        <f>SUMIFS([1]HOC_Histograma_Obra!IR56:IR114,[1]HOC_Histograma_Obra!$C$55:$C$113,"MOi")</f>
        <v>0</v>
      </c>
      <c r="HN28" s="11">
        <f>SUMIFS([1]HOC_Histograma_Obra!IS56:IS114,[1]HOC_Histograma_Obra!$C$55:$C$113,"MOi")</f>
        <v>0</v>
      </c>
      <c r="HO28" s="11">
        <f>SUMIFS([1]HOC_Histograma_Obra!IT56:IT114,[1]HOC_Histograma_Obra!$C$55:$C$113,"MOi")</f>
        <v>0</v>
      </c>
      <c r="HP28" s="11">
        <f>SUMIFS([1]HOC_Histograma_Obra!IU56:IU114,[1]HOC_Histograma_Obra!$C$55:$C$113,"MOi")</f>
        <v>0</v>
      </c>
      <c r="HQ28" s="11">
        <f>SUMIFS([1]HOC_Histograma_Obra!IV56:IV114,[1]HOC_Histograma_Obra!$C$55:$C$113,"MOi")</f>
        <v>0</v>
      </c>
      <c r="HR28" s="11">
        <f>SUMIFS([1]HOC_Histograma_Obra!IW56:IW114,[1]HOC_Histograma_Obra!$C$55:$C$113,"MOi")</f>
        <v>0</v>
      </c>
      <c r="HS28" s="11">
        <f>SUMIFS([1]HOC_Histograma_Obra!IX56:IX114,[1]HOC_Histograma_Obra!$C$55:$C$113,"MOi")</f>
        <v>0</v>
      </c>
      <c r="HT28" s="11">
        <f>SUMIFS([1]HOC_Histograma_Obra!IY56:IY114,[1]HOC_Histograma_Obra!$C$55:$C$113,"MOi")</f>
        <v>0</v>
      </c>
      <c r="HU28" s="11">
        <f>SUMIFS([1]HOC_Histograma_Obra!IZ56:IZ114,[1]HOC_Histograma_Obra!$C$55:$C$113,"MOi")</f>
        <v>0</v>
      </c>
      <c r="HV28" s="11">
        <f>SUMIFS([1]HOC_Histograma_Obra!JA56:JA114,[1]HOC_Histograma_Obra!$C$55:$C$113,"MOi")</f>
        <v>0</v>
      </c>
      <c r="HW28" s="11">
        <f>SUMIFS([1]HOC_Histograma_Obra!JB56:JB114,[1]HOC_Histograma_Obra!$C$55:$C$113,"MOi")</f>
        <v>0</v>
      </c>
      <c r="HX28" s="11">
        <f>SUMIFS([1]HOC_Histograma_Obra!JC56:JC114,[1]HOC_Histograma_Obra!$C$55:$C$113,"MOi")</f>
        <v>0</v>
      </c>
      <c r="HY28" s="11">
        <f>SUMIFS([1]HOC_Histograma_Obra!JD56:JD114,[1]HOC_Histograma_Obra!$C$55:$C$113,"MOi")</f>
        <v>0</v>
      </c>
      <c r="HZ28" s="11">
        <f>SUMIFS([1]HOC_Histograma_Obra!JE56:JE114,[1]HOC_Histograma_Obra!$C$55:$C$113,"MOi")</f>
        <v>0</v>
      </c>
      <c r="IA28" s="11">
        <f>SUMIFS([1]HOC_Histograma_Obra!JF56:JF114,[1]HOC_Histograma_Obra!$C$55:$C$113,"MOi")</f>
        <v>0</v>
      </c>
      <c r="IB28" s="11">
        <f>SUMIFS([1]HOC_Histograma_Obra!JG56:JG114,[1]HOC_Histograma_Obra!$C$55:$C$113,"MOi")</f>
        <v>0</v>
      </c>
      <c r="IC28" s="11">
        <f>SUMIFS([1]HOC_Histograma_Obra!JH56:JH114,[1]HOC_Histograma_Obra!$C$55:$C$113,"MOi")</f>
        <v>0</v>
      </c>
      <c r="ID28" s="11">
        <f>SUMIFS([1]HOC_Histograma_Obra!JI56:JI114,[1]HOC_Histograma_Obra!$C$55:$C$113,"MOi")</f>
        <v>0</v>
      </c>
      <c r="IE28" s="11">
        <f>SUMIFS([1]HOC_Histograma_Obra!JJ56:JJ114,[1]HOC_Histograma_Obra!$C$55:$C$113,"MOi")</f>
        <v>0</v>
      </c>
      <c r="IF28" s="11">
        <f>SUMIFS([1]HOC_Histograma_Obra!JK56:JK114,[1]HOC_Histograma_Obra!$C$55:$C$113,"MOi")</f>
        <v>0</v>
      </c>
      <c r="IG28" s="11">
        <f>SUMIFS([1]HOC_Histograma_Obra!JL56:JL114,[1]HOC_Histograma_Obra!$C$55:$C$113,"MOi")</f>
        <v>0</v>
      </c>
      <c r="IH28" s="11">
        <f>SUMIFS([1]HOC_Histograma_Obra!JM56:JM114,[1]HOC_Histograma_Obra!$C$55:$C$113,"MOi")</f>
        <v>0</v>
      </c>
      <c r="II28" s="11">
        <f>SUMIFS([1]HOC_Histograma_Obra!JN56:JN114,[1]HOC_Histograma_Obra!$C$55:$C$113,"MOi")</f>
        <v>0</v>
      </c>
      <c r="IJ28" s="11">
        <f>SUMIFS([1]HOC_Histograma_Obra!JO56:JO114,[1]HOC_Histograma_Obra!$C$55:$C$113,"MOi")</f>
        <v>0</v>
      </c>
      <c r="IK28" s="11">
        <f>SUMIFS([1]HOC_Histograma_Obra!JP56:JP114,[1]HOC_Histograma_Obra!$C$55:$C$113,"MOi")</f>
        <v>0</v>
      </c>
      <c r="IL28" s="11">
        <f>SUMIFS([1]HOC_Histograma_Obra!JQ56:JQ114,[1]HOC_Histograma_Obra!$C$55:$C$113,"MOi")</f>
        <v>0</v>
      </c>
      <c r="IM28" s="11">
        <f>SUMIFS([1]HOC_Histograma_Obra!JR56:JR114,[1]HOC_Histograma_Obra!$C$55:$C$113,"MOi")</f>
        <v>0</v>
      </c>
      <c r="IN28" s="11">
        <f>SUMIFS([1]HOC_Histograma_Obra!JS56:JS114,[1]HOC_Histograma_Obra!$C$55:$C$113,"MOi")</f>
        <v>0</v>
      </c>
      <c r="IO28" s="11">
        <f>SUMIFS([1]HOC_Histograma_Obra!JT56:JT114,[1]HOC_Histograma_Obra!$C$55:$C$113,"MOi")</f>
        <v>0</v>
      </c>
      <c r="IP28" s="11">
        <f>SUMIFS([1]HOC_Histograma_Obra!JU56:JU114,[1]HOC_Histograma_Obra!$C$55:$C$113,"MOi")</f>
        <v>0</v>
      </c>
      <c r="IQ28" s="11">
        <f>SUMIFS([1]HOC_Histograma_Obra!JV56:JV114,[1]HOC_Histograma_Obra!$C$55:$C$113,"MOi")</f>
        <v>0</v>
      </c>
      <c r="IR28" s="11">
        <f>SUMIFS([1]HOC_Histograma_Obra!JW56:JW114,[1]HOC_Histograma_Obra!$C$55:$C$113,"MOi")</f>
        <v>0</v>
      </c>
      <c r="IS28" s="11">
        <f>SUMIFS([1]HOC_Histograma_Obra!JX56:JX114,[1]HOC_Histograma_Obra!$C$55:$C$113,"MOi")</f>
        <v>0</v>
      </c>
      <c r="IT28" s="11">
        <f>SUMIFS([1]HOC_Histograma_Obra!JY56:JY114,[1]HOC_Histograma_Obra!$C$55:$C$113,"MOi")</f>
        <v>0</v>
      </c>
      <c r="IU28" s="11">
        <f>SUMIFS([1]HOC_Histograma_Obra!JZ56:JZ114,[1]HOC_Histograma_Obra!$C$55:$C$113,"MOi")</f>
        <v>0</v>
      </c>
      <c r="IV28" s="11">
        <f>SUMIFS([1]HOC_Histograma_Obra!KA56:KA114,[1]HOC_Histograma_Obra!$C$55:$C$113,"MOi")</f>
        <v>0</v>
      </c>
      <c r="IW28" s="11">
        <f>SUMIFS([1]HOC_Histograma_Obra!KB56:KB114,[1]HOC_Histograma_Obra!$C$55:$C$113,"MOi")</f>
        <v>0</v>
      </c>
      <c r="IX28" s="11">
        <f>SUMIFS([1]HOC_Histograma_Obra!KC56:KC114,[1]HOC_Histograma_Obra!$C$55:$C$113,"MOi")</f>
        <v>0</v>
      </c>
      <c r="IY28" s="11">
        <f>SUMIFS([1]HOC_Histograma_Obra!KD56:KD114,[1]HOC_Histograma_Obra!$C$55:$C$113,"MOi")</f>
        <v>0</v>
      </c>
      <c r="IZ28" s="11">
        <f>SUMIFS([1]HOC_Histograma_Obra!KE56:KE114,[1]HOC_Histograma_Obra!$C$55:$C$113,"MOi")</f>
        <v>0</v>
      </c>
      <c r="JA28" s="11">
        <f>SUMIFS([1]HOC_Histograma_Obra!KF56:KF114,[1]HOC_Histograma_Obra!$C$55:$C$113,"MOi")</f>
        <v>0</v>
      </c>
      <c r="JB28" s="11">
        <f>SUMIFS([1]HOC_Histograma_Obra!KG56:KG114,[1]HOC_Histograma_Obra!$C$55:$C$113,"MOi")</f>
        <v>0</v>
      </c>
      <c r="JC28" s="11">
        <f>SUMIFS([1]HOC_Histograma_Obra!KH56:KH114,[1]HOC_Histograma_Obra!$C$55:$C$113,"MOi")</f>
        <v>0</v>
      </c>
      <c r="JD28" s="11">
        <f>SUMIFS([1]HOC_Histograma_Obra!KI56:KI114,[1]HOC_Histograma_Obra!$C$55:$C$113,"MOi")</f>
        <v>0</v>
      </c>
      <c r="JE28" s="11">
        <f>SUMIFS([1]HOC_Histograma_Obra!KJ56:KJ114,[1]HOC_Histograma_Obra!$C$55:$C$113,"MOi")</f>
        <v>0</v>
      </c>
      <c r="JF28" s="11">
        <f>SUMIFS([1]HOC_Histograma_Obra!KK56:KK114,[1]HOC_Histograma_Obra!$C$55:$C$113,"MOi")</f>
        <v>0</v>
      </c>
      <c r="JG28" s="11">
        <f>SUMIFS([1]HOC_Histograma_Obra!KL56:KL114,[1]HOC_Histograma_Obra!$C$55:$C$113,"MOi")</f>
        <v>0</v>
      </c>
      <c r="JH28" s="11">
        <f>SUMIFS([1]HOC_Histograma_Obra!KM56:KM114,[1]HOC_Histograma_Obra!$C$55:$C$113,"MOi")</f>
        <v>0</v>
      </c>
      <c r="JI28" s="11">
        <f>SUMIFS([1]HOC_Histograma_Obra!KN56:KN114,[1]HOC_Histograma_Obra!$C$55:$C$113,"MOi")</f>
        <v>0</v>
      </c>
      <c r="JJ28" s="11">
        <f>SUMIFS([1]HOC_Histograma_Obra!KO56:KO114,[1]HOC_Histograma_Obra!$C$55:$C$113,"MOi")</f>
        <v>0</v>
      </c>
      <c r="JK28" s="11">
        <f>SUMIFS([1]HOC_Histograma_Obra!KP56:KP114,[1]HOC_Histograma_Obra!$C$55:$C$113,"MOi")</f>
        <v>0</v>
      </c>
      <c r="JL28" s="11">
        <f>SUMIFS([1]HOC_Histograma_Obra!KQ56:KQ114,[1]HOC_Histograma_Obra!$C$55:$C$113,"MOi")</f>
        <v>0</v>
      </c>
      <c r="JM28" s="11">
        <f>SUMIFS([1]HOC_Histograma_Obra!KR56:KR114,[1]HOC_Histograma_Obra!$C$55:$C$113,"MOi")</f>
        <v>0</v>
      </c>
      <c r="JN28" s="11">
        <f>SUMIFS([1]HOC_Histograma_Obra!KS56:KS114,[1]HOC_Histograma_Obra!$C$55:$C$113,"MOi")</f>
        <v>0</v>
      </c>
      <c r="JO28" s="11">
        <f>SUMIFS([1]HOC_Histograma_Obra!KT56:KT114,[1]HOC_Histograma_Obra!$C$55:$C$113,"MOi")</f>
        <v>0</v>
      </c>
      <c r="JP28" s="11">
        <f>SUMIFS([1]HOC_Histograma_Obra!KU56:KU114,[1]HOC_Histograma_Obra!$C$55:$C$113,"MOi")</f>
        <v>0</v>
      </c>
      <c r="JQ28" s="11">
        <f>SUMIFS([1]HOC_Histograma_Obra!KV56:KV114,[1]HOC_Histograma_Obra!$C$55:$C$113,"MOi")</f>
        <v>0</v>
      </c>
      <c r="JR28" s="11">
        <f>SUMIFS([1]HOC_Histograma_Obra!KW56:KW114,[1]HOC_Histograma_Obra!$C$55:$C$113,"MOi")</f>
        <v>0</v>
      </c>
      <c r="JS28" s="11">
        <f>SUMIFS([1]HOC_Histograma_Obra!KX56:KX114,[1]HOC_Histograma_Obra!$C$55:$C$113,"MOi")</f>
        <v>0</v>
      </c>
      <c r="JT28" s="11">
        <f>SUMIFS([1]HOC_Histograma_Obra!KY56:KY114,[1]HOC_Histograma_Obra!$C$55:$C$113,"MOi")</f>
        <v>0</v>
      </c>
      <c r="JU28" s="11">
        <f>SUMIFS([1]HOC_Histograma_Obra!KZ56:KZ114,[1]HOC_Histograma_Obra!$C$55:$C$113,"MOi")</f>
        <v>0</v>
      </c>
      <c r="JV28" s="11">
        <f>SUMIFS([1]HOC_Histograma_Obra!LA56:LA114,[1]HOC_Histograma_Obra!$C$55:$C$113,"MOi")</f>
        <v>0</v>
      </c>
      <c r="JW28" s="11">
        <f>SUMIFS([1]HOC_Histograma_Obra!LB56:LB114,[1]HOC_Histograma_Obra!$C$55:$C$113,"MOi")</f>
        <v>0</v>
      </c>
      <c r="JX28" s="11">
        <f>SUMIFS([1]HOC_Histograma_Obra!LC56:LC114,[1]HOC_Histograma_Obra!$C$55:$C$113,"MOi")</f>
        <v>0</v>
      </c>
      <c r="JY28" s="11">
        <f>SUMIFS([1]HOC_Histograma_Obra!LD56:LD114,[1]HOC_Histograma_Obra!$C$55:$C$113,"MOi")</f>
        <v>0</v>
      </c>
      <c r="JZ28" s="11">
        <f>SUMIFS([1]HOC_Histograma_Obra!LE56:LE114,[1]HOC_Histograma_Obra!$C$55:$C$113,"MOi")</f>
        <v>0</v>
      </c>
      <c r="KA28" s="11">
        <f>SUMIFS([1]HOC_Histograma_Obra!LF56:LF114,[1]HOC_Histograma_Obra!$C$55:$C$113,"MOi")</f>
        <v>0</v>
      </c>
      <c r="KB28" s="11">
        <f>SUMIFS([1]HOC_Histograma_Obra!LG56:LG114,[1]HOC_Histograma_Obra!$C$55:$C$113,"MOi")</f>
        <v>0</v>
      </c>
      <c r="KC28" s="11">
        <f>SUMIFS([1]HOC_Histograma_Obra!LH56:LH114,[1]HOC_Histograma_Obra!$C$55:$C$113,"MOi")</f>
        <v>0</v>
      </c>
      <c r="KD28" s="11">
        <f>SUMIFS([1]HOC_Histograma_Obra!LI56:LI114,[1]HOC_Histograma_Obra!$C$55:$C$113,"MOi")</f>
        <v>0</v>
      </c>
      <c r="KE28" s="11">
        <f>SUMIFS([1]HOC_Histograma_Obra!LJ56:LJ114,[1]HOC_Histograma_Obra!$C$55:$C$113,"MOi")</f>
        <v>0</v>
      </c>
      <c r="KF28" s="11">
        <f>SUMIFS([1]HOC_Histograma_Obra!LK56:LK114,[1]HOC_Histograma_Obra!$C$55:$C$113,"MOi")</f>
        <v>0</v>
      </c>
      <c r="KG28" s="11">
        <f>SUMIFS([1]HOC_Histograma_Obra!LL56:LL114,[1]HOC_Histograma_Obra!$C$55:$C$113,"MOi")</f>
        <v>0</v>
      </c>
      <c r="KH28" s="11">
        <f>SUMIFS([1]HOC_Histograma_Obra!LM56:LM114,[1]HOC_Histograma_Obra!$C$55:$C$113,"MOi")</f>
        <v>0</v>
      </c>
      <c r="KI28" s="11">
        <f>SUMIFS([1]HOC_Histograma_Obra!LN56:LN114,[1]HOC_Histograma_Obra!$C$55:$C$113,"MOi")</f>
        <v>0</v>
      </c>
      <c r="KJ28" s="11">
        <f>SUMIFS([1]HOC_Histograma_Obra!LO56:LO114,[1]HOC_Histograma_Obra!$C$55:$C$113,"MOi")</f>
        <v>0</v>
      </c>
      <c r="KK28" s="11">
        <f>SUMIFS([1]HOC_Histograma_Obra!LP56:LP114,[1]HOC_Histograma_Obra!$C$55:$C$113,"MOi")</f>
        <v>0</v>
      </c>
      <c r="KL28" s="11">
        <f>SUMIFS([1]HOC_Histograma_Obra!LQ56:LQ114,[1]HOC_Histograma_Obra!$C$55:$C$113,"MOi")</f>
        <v>0</v>
      </c>
      <c r="KM28" s="11">
        <f>SUMIFS([1]HOC_Histograma_Obra!LR56:LR114,[1]HOC_Histograma_Obra!$C$55:$C$113,"MOi")</f>
        <v>0</v>
      </c>
      <c r="KN28" s="11">
        <f>SUMIFS([1]HOC_Histograma_Obra!LS56:LS114,[1]HOC_Histograma_Obra!$C$55:$C$113,"MOi")</f>
        <v>0</v>
      </c>
      <c r="KO28" s="11">
        <f>SUMIFS([1]HOC_Histograma_Obra!LT56:LT114,[1]HOC_Histograma_Obra!$C$55:$C$113,"MOi")</f>
        <v>0</v>
      </c>
      <c r="KP28" s="11">
        <f>SUMIFS([1]HOC_Histograma_Obra!LU56:LU114,[1]HOC_Histograma_Obra!$C$55:$C$113,"MOi")</f>
        <v>0</v>
      </c>
      <c r="KQ28" s="11">
        <f>SUMIFS([1]HOC_Histograma_Obra!LV56:LV114,[1]HOC_Histograma_Obra!$C$55:$C$113,"MOi")</f>
        <v>0</v>
      </c>
      <c r="KR28" s="11">
        <f>SUMIFS([1]HOC_Histograma_Obra!LW56:LW114,[1]HOC_Histograma_Obra!$C$55:$C$113,"MOi")</f>
        <v>0</v>
      </c>
      <c r="KS28" s="11">
        <f>SUMIFS([1]HOC_Histograma_Obra!LX56:LX114,[1]HOC_Histograma_Obra!$C$55:$C$113,"MOi")</f>
        <v>0</v>
      </c>
      <c r="KT28" s="11">
        <f>SUMIFS([1]HOC_Histograma_Obra!LY56:LY114,[1]HOC_Histograma_Obra!$C$55:$C$113,"MOi")</f>
        <v>0</v>
      </c>
      <c r="KU28" s="11">
        <f>SUMIFS([1]HOC_Histograma_Obra!LZ56:LZ114,[1]HOC_Histograma_Obra!$C$55:$C$113,"MOi")</f>
        <v>0</v>
      </c>
      <c r="KV28" s="11">
        <f>SUMIFS([1]HOC_Histograma_Obra!MA56:MA114,[1]HOC_Histograma_Obra!$C$55:$C$113,"MOi")</f>
        <v>0</v>
      </c>
      <c r="KW28" s="11">
        <f>SUMIFS([1]HOC_Histograma_Obra!MB56:MB114,[1]HOC_Histograma_Obra!$C$55:$C$113,"MOi")</f>
        <v>0</v>
      </c>
      <c r="KX28" s="11">
        <f>SUMIFS([1]HOC_Histograma_Obra!MC56:MC114,[1]HOC_Histograma_Obra!$C$55:$C$113,"MOi")</f>
        <v>0</v>
      </c>
      <c r="KY28" s="11">
        <f>SUMIFS([1]HOC_Histograma_Obra!MD56:MD114,[1]HOC_Histograma_Obra!$C$55:$C$113,"MOi")</f>
        <v>0</v>
      </c>
      <c r="KZ28" s="11">
        <f>SUMIFS([1]HOC_Histograma_Obra!ME56:ME114,[1]HOC_Histograma_Obra!$C$55:$C$113,"MOi")</f>
        <v>0</v>
      </c>
      <c r="LA28" s="11">
        <f>SUMIFS([1]HOC_Histograma_Obra!MF56:MF114,[1]HOC_Histograma_Obra!$C$55:$C$113,"MOi")</f>
        <v>0</v>
      </c>
      <c r="LB28" s="11">
        <f>SUMIFS([1]HOC_Histograma_Obra!MG56:MG114,[1]HOC_Histograma_Obra!$C$55:$C$113,"MOi")</f>
        <v>0</v>
      </c>
      <c r="LC28" s="11">
        <f>SUMIFS([1]HOC_Histograma_Obra!MH56:MH114,[1]HOC_Histograma_Obra!$C$55:$C$113,"MOi")</f>
        <v>0</v>
      </c>
      <c r="LD28" s="11">
        <f>SUMIFS([1]HOC_Histograma_Obra!MI56:MI114,[1]HOC_Histograma_Obra!$C$55:$C$113,"MOi")</f>
        <v>0</v>
      </c>
      <c r="LE28" s="11">
        <f>SUMIFS([1]HOC_Histograma_Obra!MJ56:MJ114,[1]HOC_Histograma_Obra!$C$55:$C$113,"MOi")</f>
        <v>0</v>
      </c>
      <c r="LF28" s="11">
        <f>SUMIFS([1]HOC_Histograma_Obra!MK56:MK114,[1]HOC_Histograma_Obra!$C$55:$C$113,"MOi")</f>
        <v>0</v>
      </c>
      <c r="LG28" s="11">
        <f>SUMIFS([1]HOC_Histograma_Obra!ML56:ML114,[1]HOC_Histograma_Obra!$C$55:$C$113,"MOi")</f>
        <v>0</v>
      </c>
      <c r="LH28" s="11">
        <f>SUMIFS([1]HOC_Histograma_Obra!MM56:MM114,[1]HOC_Histograma_Obra!$C$55:$C$113,"MOi")</f>
        <v>0</v>
      </c>
      <c r="LI28" s="11">
        <f>SUMIFS([1]HOC_Histograma_Obra!MN56:MN114,[1]HOC_Histograma_Obra!$C$55:$C$113,"MOi")</f>
        <v>0</v>
      </c>
      <c r="LJ28" s="11">
        <f>SUMIFS([1]HOC_Histograma_Obra!MO56:MO114,[1]HOC_Histograma_Obra!$C$55:$C$113,"MOi")</f>
        <v>0</v>
      </c>
      <c r="LK28" s="11">
        <f>SUMIFS([1]HOC_Histograma_Obra!MP56:MP114,[1]HOC_Histograma_Obra!$C$55:$C$113,"MOi")</f>
        <v>0</v>
      </c>
      <c r="LL28" s="11">
        <f>SUMIFS([1]HOC_Histograma_Obra!MQ56:MQ114,[1]HOC_Histograma_Obra!$C$55:$C$113,"MOi")</f>
        <v>0</v>
      </c>
      <c r="LM28" s="11">
        <f>SUMIFS([1]HOC_Histograma_Obra!MR56:MR114,[1]HOC_Histograma_Obra!$C$55:$C$113,"MOi")</f>
        <v>0</v>
      </c>
      <c r="LN28" s="11">
        <f>SUMIFS([1]HOC_Histograma_Obra!MS56:MS114,[1]HOC_Histograma_Obra!$C$55:$C$113,"MOi")</f>
        <v>0</v>
      </c>
      <c r="LO28" s="11">
        <f>SUMIFS([1]HOC_Histograma_Obra!MT56:MT114,[1]HOC_Histograma_Obra!$C$55:$C$113,"MOi")</f>
        <v>0</v>
      </c>
      <c r="LP28" s="11">
        <f>SUMIFS([1]HOC_Histograma_Obra!MU56:MU114,[1]HOC_Histograma_Obra!$C$55:$C$113,"MOi")</f>
        <v>0</v>
      </c>
      <c r="LQ28" s="11">
        <f>SUMIFS([1]HOC_Histograma_Obra!MV56:MV114,[1]HOC_Histograma_Obra!$C$55:$C$113,"MOi")</f>
        <v>0</v>
      </c>
      <c r="LR28" s="11">
        <f>SUMIFS([1]HOC_Histograma_Obra!MW56:MW114,[1]HOC_Histograma_Obra!$C$55:$C$113,"MOi")</f>
        <v>0</v>
      </c>
      <c r="LS28" s="11">
        <f>SUMIFS([1]HOC_Histograma_Obra!MX56:MX114,[1]HOC_Histograma_Obra!$C$55:$C$113,"MOi")</f>
        <v>0</v>
      </c>
      <c r="LT28" s="11">
        <f>SUMIFS([1]HOC_Histograma_Obra!MY56:MY114,[1]HOC_Histograma_Obra!$C$55:$C$113,"MOi")</f>
        <v>0</v>
      </c>
      <c r="LU28" s="11">
        <f>SUMIFS([1]HOC_Histograma_Obra!MZ56:MZ114,[1]HOC_Histograma_Obra!$C$55:$C$113,"MOi")</f>
        <v>0</v>
      </c>
      <c r="LV28" s="11">
        <f>SUMIFS([1]HOC_Histograma_Obra!NA56:NA114,[1]HOC_Histograma_Obra!$C$55:$C$113,"MOi")</f>
        <v>0</v>
      </c>
      <c r="LW28" s="11">
        <f>SUMIFS([1]HOC_Histograma_Obra!NB56:NB114,[1]HOC_Histograma_Obra!$C$55:$C$113,"MOi")</f>
        <v>0</v>
      </c>
      <c r="LX28" s="11">
        <f>SUMIFS([1]HOC_Histograma_Obra!NC56:NC114,[1]HOC_Histograma_Obra!$C$55:$C$113,"MOi")</f>
        <v>0</v>
      </c>
      <c r="LY28" s="11">
        <f>SUMIFS([1]HOC_Histograma_Obra!ND56:ND114,[1]HOC_Histograma_Obra!$C$55:$C$113,"MOi")</f>
        <v>0</v>
      </c>
      <c r="LZ28" s="11">
        <f>SUMIFS([1]HOC_Histograma_Obra!NE56:NE114,[1]HOC_Histograma_Obra!$C$55:$C$113,"MOi")</f>
        <v>0</v>
      </c>
      <c r="MA28" s="11">
        <f>SUMIFS([1]HOC_Histograma_Obra!NF56:NF114,[1]HOC_Histograma_Obra!$C$55:$C$113,"MOi")</f>
        <v>0</v>
      </c>
      <c r="MB28" s="11">
        <f>SUMIFS([1]HOC_Histograma_Obra!NG56:NG114,[1]HOC_Histograma_Obra!$C$55:$C$113,"MOi")</f>
        <v>0</v>
      </c>
      <c r="MC28" s="11">
        <f>SUMIFS([1]HOC_Histograma_Obra!NH56:NH114,[1]HOC_Histograma_Obra!$C$55:$C$113,"MOi")</f>
        <v>0</v>
      </c>
      <c r="MD28" s="11">
        <f>SUMIFS([1]HOC_Histograma_Obra!NI56:NI114,[1]HOC_Histograma_Obra!$C$55:$C$113,"MOi")</f>
        <v>0</v>
      </c>
      <c r="ME28" s="11">
        <f>SUMIFS([1]HOC_Histograma_Obra!NJ56:NJ114,[1]HOC_Histograma_Obra!$C$55:$C$113,"MOi")</f>
        <v>0</v>
      </c>
      <c r="MF28" s="11">
        <f>SUMIFS([1]HOC_Histograma_Obra!NK56:NK114,[1]HOC_Histograma_Obra!$C$55:$C$113,"MOi")</f>
        <v>0</v>
      </c>
      <c r="MG28" s="11">
        <f>SUMIFS([1]HOC_Histograma_Obra!NL56:NL114,[1]HOC_Histograma_Obra!$C$55:$C$113,"MOi")</f>
        <v>0</v>
      </c>
      <c r="MH28" s="11">
        <f>SUMIFS([1]HOC_Histograma_Obra!NM56:NM114,[1]HOC_Histograma_Obra!$C$55:$C$113,"MOi")</f>
        <v>0</v>
      </c>
      <c r="MI28" s="11">
        <f>SUMIFS([1]HOC_Histograma_Obra!NN56:NN114,[1]HOC_Histograma_Obra!$C$55:$C$113,"MOi")</f>
        <v>0</v>
      </c>
      <c r="MJ28" s="11">
        <f>SUMIFS([1]HOC_Histograma_Obra!NO56:NO114,[1]HOC_Histograma_Obra!$C$55:$C$113,"MOi")</f>
        <v>0</v>
      </c>
      <c r="MK28" s="11">
        <f>SUMIFS([1]HOC_Histograma_Obra!NP56:NP114,[1]HOC_Histograma_Obra!$C$55:$C$113,"MOi")</f>
        <v>0</v>
      </c>
      <c r="ML28" s="11">
        <f>SUMIFS([1]HOC_Histograma_Obra!NQ56:NQ114,[1]HOC_Histograma_Obra!$C$55:$C$113,"MOi")</f>
        <v>0</v>
      </c>
      <c r="MM28" s="11">
        <f>SUMIFS([1]HOC_Histograma_Obra!NR56:NR114,[1]HOC_Histograma_Obra!$C$55:$C$113,"MOi")</f>
        <v>0</v>
      </c>
      <c r="MN28" s="11">
        <f>SUMIFS([1]HOC_Histograma_Obra!NS56:NS114,[1]HOC_Histograma_Obra!$C$55:$C$113,"MOi")</f>
        <v>0</v>
      </c>
      <c r="MO28" s="11">
        <f>SUMIFS([1]HOC_Histograma_Obra!NT56:NT114,[1]HOC_Histograma_Obra!$C$55:$C$113,"MOi")</f>
        <v>0</v>
      </c>
      <c r="MP28" s="11">
        <f>SUMIFS([1]HOC_Histograma_Obra!NU56:NU114,[1]HOC_Histograma_Obra!$C$55:$C$113,"MOi")</f>
        <v>0</v>
      </c>
      <c r="MQ28" s="11">
        <f>SUMIFS([1]HOC_Histograma_Obra!NV56:NV114,[1]HOC_Histograma_Obra!$C$55:$C$113,"MOi")</f>
        <v>0</v>
      </c>
      <c r="MR28" s="11">
        <f>SUMIFS([1]HOC_Histograma_Obra!NW56:NW114,[1]HOC_Histograma_Obra!$C$55:$C$113,"MOi")</f>
        <v>0</v>
      </c>
      <c r="MS28" s="11">
        <f>SUMIFS([1]HOC_Histograma_Obra!NX56:NX114,[1]HOC_Histograma_Obra!$C$55:$C$113,"MOi")</f>
        <v>0</v>
      </c>
      <c r="MT28" s="11">
        <f>SUMIFS([1]HOC_Histograma_Obra!NY56:NY114,[1]HOC_Histograma_Obra!$C$55:$C$113,"MOi")</f>
        <v>0</v>
      </c>
      <c r="MU28" s="11">
        <f>SUMIFS([1]HOC_Histograma_Obra!NZ56:NZ114,[1]HOC_Histograma_Obra!$C$55:$C$113,"MOi")</f>
        <v>0</v>
      </c>
      <c r="MV28" s="11">
        <f>SUMIFS([1]HOC_Histograma_Obra!OA56:OA114,[1]HOC_Histograma_Obra!$C$55:$C$113,"MOi")</f>
        <v>0</v>
      </c>
      <c r="MW28" s="11">
        <f>SUMIFS([1]HOC_Histograma_Obra!OB56:OB114,[1]HOC_Histograma_Obra!$C$55:$C$113,"MOi")</f>
        <v>0</v>
      </c>
      <c r="MX28" s="11">
        <f>SUMIFS([1]HOC_Histograma_Obra!OC56:OC114,[1]HOC_Histograma_Obra!$C$55:$C$113,"MOi")</f>
        <v>0</v>
      </c>
      <c r="MY28" s="11">
        <f>SUMIFS([1]HOC_Histograma_Obra!OD56:OD114,[1]HOC_Histograma_Obra!$C$55:$C$113,"MOi")</f>
        <v>0</v>
      </c>
      <c r="MZ28" s="11">
        <f>SUMIFS([1]HOC_Histograma_Obra!OE56:OE114,[1]HOC_Histograma_Obra!$C$55:$C$113,"MOi")</f>
        <v>0</v>
      </c>
      <c r="NA28" s="11">
        <f>SUMIFS([1]HOC_Histograma_Obra!OF56:OF114,[1]HOC_Histograma_Obra!$C$55:$C$113,"MOi")</f>
        <v>0</v>
      </c>
      <c r="NB28" s="11">
        <f>SUMIFS([1]HOC_Histograma_Obra!OG56:OG114,[1]HOC_Histograma_Obra!$C$55:$C$113,"MOi")</f>
        <v>0</v>
      </c>
      <c r="NC28" s="11">
        <f>SUMIFS([1]HOC_Histograma_Obra!OH56:OH114,[1]HOC_Histograma_Obra!$C$55:$C$113,"MOi")</f>
        <v>0</v>
      </c>
      <c r="ND28" s="11">
        <f>SUMIFS([1]HOC_Histograma_Obra!OI56:OI114,[1]HOC_Histograma_Obra!$C$55:$C$113,"MOi")</f>
        <v>0</v>
      </c>
      <c r="NE28" s="11">
        <f>SUMIFS([1]HOC_Histograma_Obra!OJ56:OJ114,[1]HOC_Histograma_Obra!$C$55:$C$113,"MOi")</f>
        <v>0</v>
      </c>
      <c r="NF28" s="11">
        <f>SUMIFS([1]HOC_Histograma_Obra!OK56:OK114,[1]HOC_Histograma_Obra!$C$55:$C$113,"MOi")</f>
        <v>0</v>
      </c>
      <c r="NG28" s="11">
        <f>SUMIFS([1]HOC_Histograma_Obra!OL56:OL114,[1]HOC_Histograma_Obra!$C$55:$C$113,"MOi")</f>
        <v>0</v>
      </c>
      <c r="NH28" s="11">
        <f>SUMIFS([1]HOC_Histograma_Obra!OM56:OM114,[1]HOC_Histograma_Obra!$C$55:$C$113,"MOi")</f>
        <v>0</v>
      </c>
      <c r="NI28" s="11">
        <f>SUMIFS([1]HOC_Histograma_Obra!ON56:ON114,[1]HOC_Histograma_Obra!$C$55:$C$113,"MOi")</f>
        <v>0</v>
      </c>
      <c r="NJ28" s="11">
        <f>SUMIFS([1]HOC_Histograma_Obra!OO56:OO114,[1]HOC_Histograma_Obra!$C$55:$C$113,"MOi")</f>
        <v>0</v>
      </c>
      <c r="NK28" s="11">
        <f>SUMIFS([1]HOC_Histograma_Obra!OP56:OP114,[1]HOC_Histograma_Obra!$C$55:$C$113,"MOi")</f>
        <v>0</v>
      </c>
      <c r="NL28" s="11">
        <f>SUMIFS([1]HOC_Histograma_Obra!OQ56:OQ114,[1]HOC_Histograma_Obra!$C$55:$C$113,"MOi")</f>
        <v>0</v>
      </c>
      <c r="NM28" s="11">
        <f>SUMIFS([1]HOC_Histograma_Obra!OR56:OR114,[1]HOC_Histograma_Obra!$C$55:$C$113,"MOi")</f>
        <v>0</v>
      </c>
      <c r="NN28" s="11">
        <f>SUMIFS([1]HOC_Histograma_Obra!OS56:OS114,[1]HOC_Histograma_Obra!$C$55:$C$113,"MOi")</f>
        <v>0</v>
      </c>
      <c r="NO28" s="11">
        <f>SUMIFS([1]HOC_Histograma_Obra!OT56:OT114,[1]HOC_Histograma_Obra!$C$55:$C$113,"MOi")</f>
        <v>0</v>
      </c>
      <c r="NP28" s="11">
        <f>SUMIFS([1]HOC_Histograma_Obra!OU56:OU114,[1]HOC_Histograma_Obra!$C$55:$C$113,"MOi")</f>
        <v>0</v>
      </c>
      <c r="NQ28" s="11">
        <f>SUMIFS([1]HOC_Histograma_Obra!OV56:OV114,[1]HOC_Histograma_Obra!$C$55:$C$113,"MOi")</f>
        <v>0</v>
      </c>
      <c r="NR28" s="11">
        <f>SUMIFS([1]HOC_Histograma_Obra!OW56:OW114,[1]HOC_Histograma_Obra!$C$55:$C$113,"MOi")</f>
        <v>0</v>
      </c>
      <c r="NS28" s="11">
        <f>SUMIFS([1]HOC_Histograma_Obra!OX56:OX114,[1]HOC_Histograma_Obra!$C$55:$C$113,"MOi")</f>
        <v>0</v>
      </c>
      <c r="NT28" s="11">
        <f>SUMIFS([1]HOC_Histograma_Obra!OY56:OY114,[1]HOC_Histograma_Obra!$C$55:$C$113,"MOi")</f>
        <v>0</v>
      </c>
      <c r="NU28" s="11">
        <f>SUMIFS([1]HOC_Histograma_Obra!OZ56:OZ114,[1]HOC_Histograma_Obra!$C$55:$C$113,"MOi")</f>
        <v>0</v>
      </c>
      <c r="NV28" s="11">
        <f>SUMIFS([1]HOC_Histograma_Obra!PA56:PA114,[1]HOC_Histograma_Obra!$C$55:$C$113,"MOi")</f>
        <v>0</v>
      </c>
      <c r="NW28" s="11">
        <f>SUMIFS([1]HOC_Histograma_Obra!PB56:PB114,[1]HOC_Histograma_Obra!$C$55:$C$113,"MOi")</f>
        <v>0</v>
      </c>
      <c r="NX28" s="11">
        <f>SUMIFS([1]HOC_Histograma_Obra!PC56:PC114,[1]HOC_Histograma_Obra!$C$55:$C$113,"MOi")</f>
        <v>0</v>
      </c>
      <c r="NY28" s="11">
        <f>SUMIFS([1]HOC_Histograma_Obra!PD56:PD114,[1]HOC_Histograma_Obra!$C$55:$C$113,"MOi")</f>
        <v>0</v>
      </c>
      <c r="NZ28" s="11">
        <f>SUMIFS([1]HOC_Histograma_Obra!PE56:PE114,[1]HOC_Histograma_Obra!$C$55:$C$113,"MOi")</f>
        <v>0</v>
      </c>
      <c r="OA28" s="11">
        <f>SUMIFS([1]HOC_Histograma_Obra!PF56:PF114,[1]HOC_Histograma_Obra!$C$55:$C$113,"MOi")</f>
        <v>0</v>
      </c>
      <c r="OB28" s="11">
        <f>SUMIFS([1]HOC_Histograma_Obra!PG56:PG114,[1]HOC_Histograma_Obra!$C$55:$C$113,"MOi")</f>
        <v>0</v>
      </c>
      <c r="OC28" s="11">
        <f>SUMIFS([1]HOC_Histograma_Obra!PH56:PH114,[1]HOC_Histograma_Obra!$C$55:$C$113,"MOi")</f>
        <v>0</v>
      </c>
      <c r="OD28" s="11">
        <f>SUMIFS([1]HOC_Histograma_Obra!PI56:PI114,[1]HOC_Histograma_Obra!$C$55:$C$113,"MOi")</f>
        <v>0</v>
      </c>
      <c r="OE28" s="11">
        <f>SUMIFS([1]HOC_Histograma_Obra!PJ56:PJ114,[1]HOC_Histograma_Obra!$C$55:$C$113,"MOi")</f>
        <v>0</v>
      </c>
      <c r="OF28" s="11">
        <f>SUMIFS([1]HOC_Histograma_Obra!PK56:PK114,[1]HOC_Histograma_Obra!$C$55:$C$113,"MOi")</f>
        <v>0</v>
      </c>
      <c r="OG28" s="11">
        <f>SUMIFS([1]HOC_Histograma_Obra!PL56:PL114,[1]HOC_Histograma_Obra!$C$55:$C$113,"MOi")</f>
        <v>0</v>
      </c>
      <c r="OH28" s="11">
        <f>SUMIFS([1]HOC_Histograma_Obra!PM56:PM114,[1]HOC_Histograma_Obra!$C$55:$C$113,"MOi")</f>
        <v>0</v>
      </c>
      <c r="OI28" s="11">
        <f>SUMIFS([1]HOC_Histograma_Obra!PN56:PN114,[1]HOC_Histograma_Obra!$C$55:$C$113,"MOi")</f>
        <v>0</v>
      </c>
      <c r="OJ28" s="11">
        <f>SUMIFS([1]HOC_Histograma_Obra!PO56:PO114,[1]HOC_Histograma_Obra!$C$55:$C$113,"MOi")</f>
        <v>0</v>
      </c>
      <c r="OK28" s="11">
        <f>SUMIFS([1]HOC_Histograma_Obra!PP56:PP114,[1]HOC_Histograma_Obra!$C$55:$C$113,"MOi")</f>
        <v>0</v>
      </c>
      <c r="OL28" s="11">
        <f>SUMIFS([1]HOC_Histograma_Obra!PQ56:PQ114,[1]HOC_Histograma_Obra!$C$55:$C$113,"MOi")</f>
        <v>0</v>
      </c>
      <c r="OM28" s="11">
        <f>SUMIFS([1]HOC_Histograma_Obra!PR56:PR114,[1]HOC_Histograma_Obra!$C$55:$C$113,"MOi")</f>
        <v>0</v>
      </c>
      <c r="ON28" s="11">
        <f>SUMIFS([1]HOC_Histograma_Obra!PS56:PS114,[1]HOC_Histograma_Obra!$C$55:$C$113,"MOi")</f>
        <v>0</v>
      </c>
      <c r="OO28" s="11">
        <f>SUMIFS([1]HOC_Histograma_Obra!PT56:PT114,[1]HOC_Histograma_Obra!$C$55:$C$113,"MOi")</f>
        <v>0</v>
      </c>
      <c r="OP28" s="11">
        <f>SUMIFS([1]HOC_Histograma_Obra!PU56:PU114,[1]HOC_Histograma_Obra!$C$55:$C$113,"MOi")</f>
        <v>0</v>
      </c>
      <c r="OQ28" s="11">
        <f>SUMIFS([1]HOC_Histograma_Obra!PV56:PV114,[1]HOC_Histograma_Obra!$C$55:$C$113,"MOi")</f>
        <v>0</v>
      </c>
      <c r="OR28" s="11">
        <f>SUMIFS([1]HOC_Histograma_Obra!PW56:PW114,[1]HOC_Histograma_Obra!$C$55:$C$113,"MOi")</f>
        <v>0</v>
      </c>
      <c r="OS28" s="11">
        <f>SUMIFS([1]HOC_Histograma_Obra!PX56:PX114,[1]HOC_Histograma_Obra!$C$55:$C$113,"MOi")</f>
        <v>0</v>
      </c>
      <c r="OT28" s="11">
        <f>SUMIFS([1]HOC_Histograma_Obra!PY56:PY114,[1]HOC_Histograma_Obra!$C$55:$C$113,"MOi")</f>
        <v>0</v>
      </c>
      <c r="OU28" s="11">
        <f>SUMIFS([1]HOC_Histograma_Obra!PZ56:PZ114,[1]HOC_Histograma_Obra!$C$55:$C$113,"MOi")</f>
        <v>0</v>
      </c>
      <c r="OV28" s="11">
        <f>SUMIFS([1]HOC_Histograma_Obra!QA56:QA114,[1]HOC_Histograma_Obra!$C$55:$C$113,"MOi")</f>
        <v>0</v>
      </c>
      <c r="OW28" s="11">
        <f>SUMIFS([1]HOC_Histograma_Obra!QB56:QB114,[1]HOC_Histograma_Obra!$C$55:$C$113,"MOi")</f>
        <v>0</v>
      </c>
      <c r="OX28" s="11">
        <f>SUMIFS([1]HOC_Histograma_Obra!QC56:QC114,[1]HOC_Histograma_Obra!$C$55:$C$113,"MOi")</f>
        <v>0</v>
      </c>
      <c r="OY28" s="11">
        <f>SUMIFS([1]HOC_Histograma_Obra!QD56:QD114,[1]HOC_Histograma_Obra!$C$55:$C$113,"MOi")</f>
        <v>0</v>
      </c>
      <c r="OZ28" s="11">
        <f>SUMIFS([1]HOC_Histograma_Obra!QE56:QE114,[1]HOC_Histograma_Obra!$C$55:$C$113,"MOi")</f>
        <v>0</v>
      </c>
      <c r="PA28" s="11">
        <f>SUMIFS([1]HOC_Histograma_Obra!QF56:QF114,[1]HOC_Histograma_Obra!$C$55:$C$113,"MOi")</f>
        <v>0</v>
      </c>
      <c r="PB28" s="11">
        <f>SUMIFS([1]HOC_Histograma_Obra!QG56:QG114,[1]HOC_Histograma_Obra!$C$55:$C$113,"MOi")</f>
        <v>0</v>
      </c>
      <c r="PC28" s="11">
        <f>SUMIFS([1]HOC_Histograma_Obra!QH56:QH114,[1]HOC_Histograma_Obra!$C$55:$C$113,"MOi")</f>
        <v>0</v>
      </c>
      <c r="PD28" s="11">
        <f>SUMIFS([1]HOC_Histograma_Obra!QI56:QI114,[1]HOC_Histograma_Obra!$C$55:$C$113,"MOi")</f>
        <v>0</v>
      </c>
      <c r="PE28" s="11">
        <f>SUMIFS([1]HOC_Histograma_Obra!QJ56:QJ114,[1]HOC_Histograma_Obra!$C$55:$C$113,"MOi")</f>
        <v>0</v>
      </c>
      <c r="PF28" s="11">
        <f>SUMIFS([1]HOC_Histograma_Obra!QK56:QK114,[1]HOC_Histograma_Obra!$C$55:$C$113,"MOi")</f>
        <v>0</v>
      </c>
      <c r="PG28" s="11">
        <f>SUMIFS([1]HOC_Histograma_Obra!QL56:QL114,[1]HOC_Histograma_Obra!$C$55:$C$113,"MOi")</f>
        <v>0</v>
      </c>
      <c r="PH28" s="11">
        <f>SUMIFS([1]HOC_Histograma_Obra!QM56:QM114,[1]HOC_Histograma_Obra!$C$55:$C$113,"MOi")</f>
        <v>0</v>
      </c>
      <c r="PI28" s="11">
        <f>SUMIFS([1]HOC_Histograma_Obra!QN56:QN114,[1]HOC_Histograma_Obra!$C$55:$C$113,"MOi")</f>
        <v>0</v>
      </c>
      <c r="PJ28" s="11">
        <f>SUMIFS([1]HOC_Histograma_Obra!QO56:QO114,[1]HOC_Histograma_Obra!$C$55:$C$113,"MOi")</f>
        <v>0</v>
      </c>
      <c r="PK28" s="11">
        <f>SUMIFS([1]HOC_Histograma_Obra!QP56:QP114,[1]HOC_Histograma_Obra!$C$55:$C$113,"MOi")</f>
        <v>0</v>
      </c>
      <c r="PL28" s="11">
        <f>SUMIFS([1]HOC_Histograma_Obra!QQ56:QQ114,[1]HOC_Histograma_Obra!$C$55:$C$113,"MOi")</f>
        <v>0</v>
      </c>
      <c r="PM28" s="11">
        <f>SUMIFS([1]HOC_Histograma_Obra!QR56:QR114,[1]HOC_Histograma_Obra!$C$55:$C$113,"MOi")</f>
        <v>0</v>
      </c>
      <c r="PN28" s="11">
        <f>SUMIFS([1]HOC_Histograma_Obra!QS56:QS114,[1]HOC_Histograma_Obra!$C$55:$C$113,"MOi")</f>
        <v>0</v>
      </c>
      <c r="PO28" s="11">
        <f>SUMIFS([1]HOC_Histograma_Obra!QT56:QT114,[1]HOC_Histograma_Obra!$C$55:$C$113,"MOi")</f>
        <v>0</v>
      </c>
      <c r="PP28" s="11">
        <f>SUMIFS([1]HOC_Histograma_Obra!QU56:QU114,[1]HOC_Histograma_Obra!$C$55:$C$113,"MOi")</f>
        <v>0</v>
      </c>
      <c r="PQ28" s="11">
        <f>SUMIFS([1]HOC_Histograma_Obra!QV56:QV114,[1]HOC_Histograma_Obra!$C$55:$C$113,"MOi")</f>
        <v>0</v>
      </c>
      <c r="PR28" s="11">
        <f>SUMIFS([1]HOC_Histograma_Obra!QW56:QW114,[1]HOC_Histograma_Obra!$C$55:$C$113,"MOi")</f>
        <v>0</v>
      </c>
      <c r="PS28" s="11">
        <f>SUMIFS([1]HOC_Histograma_Obra!QX56:QX114,[1]HOC_Histograma_Obra!$C$55:$C$113,"MOi")</f>
        <v>0</v>
      </c>
      <c r="PT28" s="11">
        <f>SUMIFS([1]HOC_Histograma_Obra!QY56:QY114,[1]HOC_Histograma_Obra!$C$55:$C$113,"MOi")</f>
        <v>0</v>
      </c>
      <c r="PU28" s="11">
        <f>SUMIFS([1]HOC_Histograma_Obra!QZ56:QZ114,[1]HOC_Histograma_Obra!$C$55:$C$113,"MOi")</f>
        <v>0</v>
      </c>
      <c r="PV28" s="11">
        <f>SUMIFS([1]HOC_Histograma_Obra!RA56:RA114,[1]HOC_Histograma_Obra!$C$55:$C$113,"MOi")</f>
        <v>0</v>
      </c>
      <c r="PW28" s="11">
        <f>SUMIFS([1]HOC_Histograma_Obra!RB56:RB114,[1]HOC_Histograma_Obra!$C$55:$C$113,"MOi")</f>
        <v>0</v>
      </c>
      <c r="PX28" s="11">
        <f>SUMIFS([1]HOC_Histograma_Obra!RC56:RC114,[1]HOC_Histograma_Obra!$C$55:$C$113,"MOi")</f>
        <v>0</v>
      </c>
      <c r="PY28" s="11">
        <f>SUMIFS([1]HOC_Histograma_Obra!RD56:RD114,[1]HOC_Histograma_Obra!$C$55:$C$113,"MOi")</f>
        <v>0</v>
      </c>
      <c r="PZ28" s="11">
        <f>SUMIFS([1]HOC_Histograma_Obra!RE56:RE114,[1]HOC_Histograma_Obra!$C$55:$C$113,"MOi")</f>
        <v>0</v>
      </c>
      <c r="QA28" s="11">
        <f>SUMIFS([1]HOC_Histograma_Obra!RF56:RF114,[1]HOC_Histograma_Obra!$C$55:$C$113,"MOi")</f>
        <v>0</v>
      </c>
      <c r="QB28" s="11">
        <f>SUMIFS([1]HOC_Histograma_Obra!RG56:RG114,[1]HOC_Histograma_Obra!$C$55:$C$113,"MOi")</f>
        <v>0</v>
      </c>
      <c r="QC28" s="11">
        <f>SUMIFS([1]HOC_Histograma_Obra!RH56:RH114,[1]HOC_Histograma_Obra!$C$55:$C$113,"MOi")</f>
        <v>0</v>
      </c>
      <c r="QD28" s="11">
        <f>SUMIFS([1]HOC_Histograma_Obra!RI56:RI114,[1]HOC_Histograma_Obra!$C$55:$C$113,"MOi")</f>
        <v>0</v>
      </c>
      <c r="QE28" s="11">
        <f>SUMIFS([1]HOC_Histograma_Obra!RJ56:RJ114,[1]HOC_Histograma_Obra!$C$55:$C$113,"MOi")</f>
        <v>0</v>
      </c>
      <c r="QF28" s="11">
        <f>SUMIFS([1]HOC_Histograma_Obra!RK56:RK114,[1]HOC_Histograma_Obra!$C$55:$C$113,"MOi")</f>
        <v>0</v>
      </c>
      <c r="QG28" s="11">
        <f>SUMIFS([1]HOC_Histograma_Obra!RL56:RL114,[1]HOC_Histograma_Obra!$C$55:$C$113,"MOi")</f>
        <v>0</v>
      </c>
      <c r="QH28" s="11">
        <f>SUMIFS([1]HOC_Histograma_Obra!RM56:RM114,[1]HOC_Histograma_Obra!$C$55:$C$113,"MOi")</f>
        <v>0</v>
      </c>
      <c r="QI28" s="11">
        <f>SUMIFS([1]HOC_Histograma_Obra!RN56:RN114,[1]HOC_Histograma_Obra!$C$55:$C$113,"MOi")</f>
        <v>0</v>
      </c>
      <c r="QJ28" s="11">
        <f>SUMIFS([1]HOC_Histograma_Obra!RO56:RO114,[1]HOC_Histograma_Obra!$C$55:$C$113,"MOi")</f>
        <v>0</v>
      </c>
      <c r="QK28" s="11">
        <f>SUMIFS([1]HOC_Histograma_Obra!RP56:RP114,[1]HOC_Histograma_Obra!$C$55:$C$113,"MOi")</f>
        <v>0</v>
      </c>
      <c r="QL28" s="11">
        <f>SUMIFS([1]HOC_Histograma_Obra!RQ56:RQ114,[1]HOC_Histograma_Obra!$C$55:$C$113,"MOi")</f>
        <v>0</v>
      </c>
      <c r="QM28" s="11">
        <f>SUMIFS([1]HOC_Histograma_Obra!RR56:RR114,[1]HOC_Histograma_Obra!$C$55:$C$113,"MOi")</f>
        <v>0</v>
      </c>
      <c r="QN28" s="11">
        <f>SUMIFS([1]HOC_Histograma_Obra!RS56:RS114,[1]HOC_Histograma_Obra!$C$55:$C$113,"MOi")</f>
        <v>0</v>
      </c>
      <c r="QO28" s="11">
        <f>SUMIFS([1]HOC_Histograma_Obra!RT56:RT114,[1]HOC_Histograma_Obra!$C$55:$C$113,"MOi")</f>
        <v>0</v>
      </c>
      <c r="QP28" s="11">
        <f>SUMIFS([1]HOC_Histograma_Obra!RU56:RU114,[1]HOC_Histograma_Obra!$C$55:$C$113,"MOi")</f>
        <v>0</v>
      </c>
      <c r="QQ28" s="11">
        <f>SUMIFS([1]HOC_Histograma_Obra!RV56:RV114,[1]HOC_Histograma_Obra!$C$55:$C$113,"MOi")</f>
        <v>0</v>
      </c>
      <c r="QR28" s="11">
        <f>SUMIFS([1]HOC_Histograma_Obra!RW56:RW114,[1]HOC_Histograma_Obra!$C$55:$C$113,"MOi")</f>
        <v>0</v>
      </c>
      <c r="QS28" s="11">
        <f>SUMIFS([1]HOC_Histograma_Obra!RX56:RX114,[1]HOC_Histograma_Obra!$C$55:$C$113,"MOi")</f>
        <v>0</v>
      </c>
      <c r="QT28" s="11">
        <f>SUMIFS([1]HOC_Histograma_Obra!RY56:RY114,[1]HOC_Histograma_Obra!$C$55:$C$113,"MOi")</f>
        <v>0</v>
      </c>
      <c r="QU28" s="11">
        <f>SUMIFS([1]HOC_Histograma_Obra!RZ56:RZ114,[1]HOC_Histograma_Obra!$C$55:$C$113,"MOi")</f>
        <v>0</v>
      </c>
      <c r="QV28" s="11">
        <f>SUMIFS([1]HOC_Histograma_Obra!SA56:SA114,[1]HOC_Histograma_Obra!$C$55:$C$113,"MOi")</f>
        <v>0</v>
      </c>
      <c r="QW28" s="11">
        <f>SUMIFS([1]HOC_Histograma_Obra!SB56:SB114,[1]HOC_Histograma_Obra!$C$55:$C$113,"MOi")</f>
        <v>0</v>
      </c>
      <c r="QX28" s="11">
        <f>SUMIFS([1]HOC_Histograma_Obra!SC56:SC114,[1]HOC_Histograma_Obra!$C$55:$C$113,"MOi")</f>
        <v>0</v>
      </c>
      <c r="QY28" s="11">
        <f>SUMIFS([1]HOC_Histograma_Obra!SD56:SD114,[1]HOC_Histograma_Obra!$C$55:$C$113,"MOi")</f>
        <v>0</v>
      </c>
      <c r="QZ28" s="11">
        <f>SUMIFS([1]HOC_Histograma_Obra!SE56:SE114,[1]HOC_Histograma_Obra!$C$55:$C$113,"MOi")</f>
        <v>0</v>
      </c>
      <c r="RA28" s="11">
        <f>SUMIFS([1]HOC_Histograma_Obra!SF56:SF114,[1]HOC_Histograma_Obra!$C$55:$C$113,"MOi")</f>
        <v>0</v>
      </c>
      <c r="RB28" s="11">
        <f>SUMIFS([1]HOC_Histograma_Obra!SG56:SG114,[1]HOC_Histograma_Obra!$C$55:$C$113,"MOi")</f>
        <v>0</v>
      </c>
      <c r="RC28" s="11">
        <f>SUMIFS([1]HOC_Histograma_Obra!SH56:SH114,[1]HOC_Histograma_Obra!$C$55:$C$113,"MOi")</f>
        <v>0</v>
      </c>
      <c r="RD28" s="11">
        <f>SUMIFS([1]HOC_Histograma_Obra!SI56:SI114,[1]HOC_Histograma_Obra!$C$55:$C$113,"MOi")</f>
        <v>0</v>
      </c>
      <c r="RE28" s="11">
        <f>SUMIFS([1]HOC_Histograma_Obra!SJ56:SJ114,[1]HOC_Histograma_Obra!$C$55:$C$113,"MOi")</f>
        <v>0</v>
      </c>
      <c r="RF28" s="11">
        <f>SUMIFS([1]HOC_Histograma_Obra!SK56:SK114,[1]HOC_Histograma_Obra!$C$55:$C$113,"MOi")</f>
        <v>0</v>
      </c>
      <c r="RG28" s="11">
        <f>SUMIFS([1]HOC_Histograma_Obra!SL56:SL114,[1]HOC_Histograma_Obra!$C$55:$C$113,"MOi")</f>
        <v>0</v>
      </c>
      <c r="RH28" s="11">
        <f>SUMIFS([1]HOC_Histograma_Obra!SM56:SM114,[1]HOC_Histograma_Obra!$C$55:$C$113,"MOi")</f>
        <v>0</v>
      </c>
      <c r="RI28" s="11">
        <f>SUMIFS([1]HOC_Histograma_Obra!SN56:SN114,[1]HOC_Histograma_Obra!$C$55:$C$113,"MOi")</f>
        <v>0</v>
      </c>
      <c r="RJ28" s="11">
        <f>SUMIFS([1]HOC_Histograma_Obra!SO56:SO114,[1]HOC_Histograma_Obra!$C$55:$C$113,"MOi")</f>
        <v>0</v>
      </c>
      <c r="RK28" s="11">
        <f>SUMIFS([1]HOC_Histograma_Obra!SP56:SP114,[1]HOC_Histograma_Obra!$C$55:$C$113,"MOi")</f>
        <v>0</v>
      </c>
      <c r="RL28" s="11">
        <f>SUMIFS([1]HOC_Histograma_Obra!SQ56:SQ114,[1]HOC_Histograma_Obra!$C$55:$C$113,"MOi")</f>
        <v>0</v>
      </c>
      <c r="RM28" s="11">
        <f>SUMIFS([1]HOC_Histograma_Obra!SR56:SR114,[1]HOC_Histograma_Obra!$C$55:$C$113,"MOi")</f>
        <v>0</v>
      </c>
      <c r="RN28" s="11">
        <f>SUMIFS([1]HOC_Histograma_Obra!SS56:SS114,[1]HOC_Histograma_Obra!$C$55:$C$113,"MOi")</f>
        <v>0</v>
      </c>
      <c r="RO28" s="11">
        <f>SUMIFS([1]HOC_Histograma_Obra!ST56:ST114,[1]HOC_Histograma_Obra!$C$55:$C$113,"MOi")</f>
        <v>0</v>
      </c>
      <c r="RP28" s="11">
        <f>SUMIFS([1]HOC_Histograma_Obra!SU56:SU114,[1]HOC_Histograma_Obra!$C$55:$C$113,"MOi")</f>
        <v>0</v>
      </c>
      <c r="RQ28" s="11">
        <f>SUMIFS([1]HOC_Histograma_Obra!SV56:SV114,[1]HOC_Histograma_Obra!$C$55:$C$113,"MOi")</f>
        <v>0</v>
      </c>
      <c r="RR28" s="11">
        <f>SUMIFS([1]HOC_Histograma_Obra!SW56:SW114,[1]HOC_Histograma_Obra!$C$55:$C$113,"MOi")</f>
        <v>0</v>
      </c>
      <c r="RS28" s="11">
        <f>SUMIFS([1]HOC_Histograma_Obra!SX56:SX114,[1]HOC_Histograma_Obra!$C$55:$C$113,"MOi")</f>
        <v>0</v>
      </c>
      <c r="RT28" s="11">
        <f>SUMIFS([1]HOC_Histograma_Obra!SY56:SY114,[1]HOC_Histograma_Obra!$C$55:$C$113,"MOi")</f>
        <v>0</v>
      </c>
      <c r="RU28" s="11">
        <f>SUMIFS([1]HOC_Histograma_Obra!SZ56:SZ114,[1]HOC_Histograma_Obra!$C$55:$C$113,"MOi")</f>
        <v>0</v>
      </c>
      <c r="RV28" s="11">
        <f>SUMIFS([1]HOC_Histograma_Obra!TA56:TA114,[1]HOC_Histograma_Obra!$C$55:$C$113,"MOi")</f>
        <v>0</v>
      </c>
      <c r="RW28" s="11">
        <f>SUMIFS([1]HOC_Histograma_Obra!TB56:TB114,[1]HOC_Histograma_Obra!$C$55:$C$113,"MOi")</f>
        <v>0</v>
      </c>
      <c r="RX28" s="11">
        <f>SUMIFS([1]HOC_Histograma_Obra!TC56:TC114,[1]HOC_Histograma_Obra!$C$55:$C$113,"MOi")</f>
        <v>0</v>
      </c>
      <c r="RY28" s="11">
        <f>SUMIFS([1]HOC_Histograma_Obra!TD56:TD114,[1]HOC_Histograma_Obra!$C$55:$C$113,"MOi")</f>
        <v>0</v>
      </c>
      <c r="RZ28" s="11">
        <f>SUMIFS([1]HOC_Histograma_Obra!TE56:TE114,[1]HOC_Histograma_Obra!$C$55:$C$113,"MOi")</f>
        <v>0</v>
      </c>
      <c r="SA28" s="11">
        <f>SUMIFS([1]HOC_Histograma_Obra!TF56:TF114,[1]HOC_Histograma_Obra!$C$55:$C$113,"MOi")</f>
        <v>0</v>
      </c>
      <c r="SB28" s="11">
        <f>SUMIFS([1]HOC_Histograma_Obra!TG56:TG114,[1]HOC_Histograma_Obra!$C$55:$C$113,"MOi")</f>
        <v>0</v>
      </c>
      <c r="SC28" s="11">
        <f>SUMIFS([1]HOC_Histograma_Obra!TH56:TH114,[1]HOC_Histograma_Obra!$C$55:$C$113,"MOi")</f>
        <v>0</v>
      </c>
      <c r="SD28" s="11">
        <f>SUMIFS([1]HOC_Histograma_Obra!TI56:TI114,[1]HOC_Histograma_Obra!$C$55:$C$113,"MOi")</f>
        <v>0</v>
      </c>
      <c r="SE28" s="11">
        <f>SUMIFS([1]HOC_Histograma_Obra!TJ56:TJ114,[1]HOC_Histograma_Obra!$C$55:$C$113,"MOi")</f>
        <v>0</v>
      </c>
      <c r="SF28" s="11">
        <f>SUMIFS([1]HOC_Histograma_Obra!TK56:TK114,[1]HOC_Histograma_Obra!$C$55:$C$113,"MOi")</f>
        <v>0</v>
      </c>
      <c r="SG28" s="11">
        <f>SUMIFS([1]HOC_Histograma_Obra!TL56:TL114,[1]HOC_Histograma_Obra!$C$55:$C$113,"MOi")</f>
        <v>0</v>
      </c>
      <c r="SH28" s="11">
        <f>SUMIFS([1]HOC_Histograma_Obra!TM56:TM114,[1]HOC_Histograma_Obra!$C$55:$C$113,"MOi")</f>
        <v>0</v>
      </c>
      <c r="SI28" s="11">
        <f>SUMIFS([1]HOC_Histograma_Obra!TN56:TN114,[1]HOC_Histograma_Obra!$C$55:$C$113,"MOi")</f>
        <v>0</v>
      </c>
      <c r="SJ28" s="11">
        <f>SUMIFS([1]HOC_Histograma_Obra!TO56:TO114,[1]HOC_Histograma_Obra!$C$55:$C$113,"MOi")</f>
        <v>0</v>
      </c>
      <c r="SK28" s="11">
        <f>SUMIFS([1]HOC_Histograma_Obra!TP56:TP114,[1]HOC_Histograma_Obra!$C$55:$C$113,"MOi")</f>
        <v>0</v>
      </c>
      <c r="SL28" s="11">
        <f>SUMIFS([1]HOC_Histograma_Obra!TQ56:TQ114,[1]HOC_Histograma_Obra!$C$55:$C$113,"MOi")</f>
        <v>0</v>
      </c>
      <c r="SM28" s="11">
        <f>SUMIFS([1]HOC_Histograma_Obra!TR56:TR114,[1]HOC_Histograma_Obra!$C$55:$C$113,"MOi")</f>
        <v>0</v>
      </c>
      <c r="SN28" s="11">
        <f>SUMIFS([1]HOC_Histograma_Obra!TS56:TS114,[1]HOC_Histograma_Obra!$C$55:$C$113,"MOi")</f>
        <v>0</v>
      </c>
      <c r="SO28" s="11">
        <f>SUMIFS([1]HOC_Histograma_Obra!TT56:TT114,[1]HOC_Histograma_Obra!$C$55:$C$113,"MOi")</f>
        <v>0</v>
      </c>
      <c r="SP28" s="11">
        <f>SUMIFS([1]HOC_Histograma_Obra!TU56:TU114,[1]HOC_Histograma_Obra!$C$55:$C$113,"MOi")</f>
        <v>0</v>
      </c>
      <c r="SQ28" s="11">
        <f>SUMIFS([1]HOC_Histograma_Obra!TV56:TV114,[1]HOC_Histograma_Obra!$C$55:$C$113,"MOi")</f>
        <v>0</v>
      </c>
      <c r="SR28" s="11">
        <f>SUMIFS([1]HOC_Histograma_Obra!TW56:TW114,[1]HOC_Histograma_Obra!$C$55:$C$113,"MOi")</f>
        <v>0</v>
      </c>
      <c r="SS28" s="11">
        <f>SUMIFS([1]HOC_Histograma_Obra!TX56:TX114,[1]HOC_Histograma_Obra!$C$55:$C$113,"MOi")</f>
        <v>0</v>
      </c>
      <c r="ST28" s="11">
        <f>SUMIFS([1]HOC_Histograma_Obra!TY56:TY114,[1]HOC_Histograma_Obra!$C$55:$C$113,"MOi")</f>
        <v>0</v>
      </c>
      <c r="SU28" s="11">
        <f>SUMIFS([1]HOC_Histograma_Obra!TZ56:TZ114,[1]HOC_Histograma_Obra!$C$55:$C$113,"MOi")</f>
        <v>0</v>
      </c>
      <c r="SV28" s="11">
        <f>SUMIFS([1]HOC_Histograma_Obra!UA56:UA114,[1]HOC_Histograma_Obra!$C$55:$C$113,"MOi")</f>
        <v>0</v>
      </c>
      <c r="SW28" s="11">
        <f>SUMIFS([1]HOC_Histograma_Obra!UB56:UB114,[1]HOC_Histograma_Obra!$C$55:$C$113,"MOi")</f>
        <v>0</v>
      </c>
      <c r="SX28" s="11">
        <f>SUMIFS([1]HOC_Histograma_Obra!UC56:UC114,[1]HOC_Histograma_Obra!$C$55:$C$113,"MOi")</f>
        <v>0</v>
      </c>
      <c r="SY28" s="11">
        <f>SUMIFS([1]HOC_Histograma_Obra!UD56:UD114,[1]HOC_Histograma_Obra!$C$55:$C$113,"MOi")</f>
        <v>0</v>
      </c>
      <c r="SZ28" s="11">
        <f>SUMIFS([1]HOC_Histograma_Obra!UE56:UE114,[1]HOC_Histograma_Obra!$C$55:$C$113,"MOi")</f>
        <v>0</v>
      </c>
      <c r="TA28" s="11">
        <f>SUMIFS([1]HOC_Histograma_Obra!UF56:UF114,[1]HOC_Histograma_Obra!$C$55:$C$113,"MOi")</f>
        <v>0</v>
      </c>
      <c r="TB28" s="11">
        <f>SUMIFS([1]HOC_Histograma_Obra!UG56:UG114,[1]HOC_Histograma_Obra!$C$55:$C$113,"MOi")</f>
        <v>0</v>
      </c>
      <c r="TC28" s="11">
        <f>SUMIFS([1]HOC_Histograma_Obra!UH56:UH114,[1]HOC_Histograma_Obra!$C$55:$C$113,"MOi")</f>
        <v>0</v>
      </c>
      <c r="TD28" s="11">
        <f>SUMIFS([1]HOC_Histograma_Obra!UI56:UI114,[1]HOC_Histograma_Obra!$C$55:$C$113,"MOi")</f>
        <v>0</v>
      </c>
      <c r="TE28" s="11">
        <f>SUMIFS([1]HOC_Histograma_Obra!UJ56:UJ114,[1]HOC_Histograma_Obra!$C$55:$C$113,"MOi")</f>
        <v>0</v>
      </c>
      <c r="TF28" s="11">
        <f>SUMIFS([1]HOC_Histograma_Obra!UK56:UK114,[1]HOC_Histograma_Obra!$C$55:$C$113,"MOi")</f>
        <v>0</v>
      </c>
      <c r="TG28" s="11">
        <f>SUMIFS([1]HOC_Histograma_Obra!UL56:UL114,[1]HOC_Histograma_Obra!$C$55:$C$113,"MOi")</f>
        <v>0</v>
      </c>
      <c r="TH28" s="11">
        <f>SUMIFS([1]HOC_Histograma_Obra!UM56:UM114,[1]HOC_Histograma_Obra!$C$55:$C$113,"MOi")</f>
        <v>0</v>
      </c>
      <c r="TI28" s="11">
        <f>SUMIFS([1]HOC_Histograma_Obra!UN56:UN114,[1]HOC_Histograma_Obra!$C$55:$C$113,"MOi")</f>
        <v>0</v>
      </c>
      <c r="TJ28" s="11">
        <f>SUMIFS([1]HOC_Histograma_Obra!UO56:UO114,[1]HOC_Histograma_Obra!$C$55:$C$113,"MOi")</f>
        <v>0</v>
      </c>
      <c r="TK28" s="11">
        <f>SUMIFS([1]HOC_Histograma_Obra!UP56:UP114,[1]HOC_Histograma_Obra!$C$55:$C$113,"MOi")</f>
        <v>0</v>
      </c>
      <c r="TL28" s="11">
        <f>SUMIFS([1]HOC_Histograma_Obra!UQ56:UQ114,[1]HOC_Histograma_Obra!$C$55:$C$113,"MOi")</f>
        <v>0</v>
      </c>
      <c r="TM28" s="11">
        <f>SUMIFS([1]HOC_Histograma_Obra!UR56:UR114,[1]HOC_Histograma_Obra!$C$55:$C$113,"MOi")</f>
        <v>0</v>
      </c>
      <c r="TN28" s="11">
        <f>SUMIFS([1]HOC_Histograma_Obra!US56:US114,[1]HOC_Histograma_Obra!$C$55:$C$113,"MOi")</f>
        <v>0</v>
      </c>
      <c r="TO28" s="11">
        <f>SUMIFS([1]HOC_Histograma_Obra!UT56:UT114,[1]HOC_Histograma_Obra!$C$55:$C$113,"MOi")</f>
        <v>0</v>
      </c>
      <c r="TP28" s="11">
        <f>SUMIFS([1]HOC_Histograma_Obra!UU56:UU114,[1]HOC_Histograma_Obra!$C$55:$C$113,"MOi")</f>
        <v>0</v>
      </c>
      <c r="TQ28" s="11">
        <f>SUMIFS([1]HOC_Histograma_Obra!UV56:UV114,[1]HOC_Histograma_Obra!$C$55:$C$113,"MOi")</f>
        <v>0</v>
      </c>
      <c r="TR28" s="11">
        <f>SUMIFS([1]HOC_Histograma_Obra!UW56:UW114,[1]HOC_Histograma_Obra!$C$55:$C$113,"MOi")</f>
        <v>0</v>
      </c>
      <c r="TS28" s="11">
        <f>SUMIFS([1]HOC_Histograma_Obra!UX56:UX114,[1]HOC_Histograma_Obra!$C$55:$C$113,"MOi")</f>
        <v>0</v>
      </c>
      <c r="TT28" s="11">
        <f>SUMIFS([1]HOC_Histograma_Obra!UY56:UY114,[1]HOC_Histograma_Obra!$C$55:$C$113,"MOi")</f>
        <v>0</v>
      </c>
      <c r="TU28" s="11">
        <f>SUMIFS([1]HOC_Histograma_Obra!UZ56:UZ114,[1]HOC_Histograma_Obra!$C$55:$C$113,"MOi")</f>
        <v>0</v>
      </c>
      <c r="TV28" s="11">
        <f>SUMIFS([1]HOC_Histograma_Obra!VA56:VA114,[1]HOC_Histograma_Obra!$C$55:$C$113,"MOi")</f>
        <v>0</v>
      </c>
      <c r="TW28" s="11">
        <f>SUMIFS([1]HOC_Histograma_Obra!VB56:VB114,[1]HOC_Histograma_Obra!$C$55:$C$113,"MOi")</f>
        <v>0</v>
      </c>
      <c r="TX28" s="11">
        <f>SUMIFS([1]HOC_Histograma_Obra!VC56:VC114,[1]HOC_Histograma_Obra!$C$55:$C$113,"MOi")</f>
        <v>0</v>
      </c>
      <c r="TY28" s="11">
        <f>SUMIFS([1]HOC_Histograma_Obra!VD56:VD114,[1]HOC_Histograma_Obra!$C$55:$C$113,"MOi")</f>
        <v>0</v>
      </c>
      <c r="TZ28" s="11">
        <f>SUMIFS([1]HOC_Histograma_Obra!VE56:VE114,[1]HOC_Histograma_Obra!$C$55:$C$113,"MOi")</f>
        <v>0</v>
      </c>
      <c r="UA28" s="11">
        <f>SUMIFS([1]HOC_Histograma_Obra!VF56:VF114,[1]HOC_Histograma_Obra!$C$55:$C$113,"MOi")</f>
        <v>0</v>
      </c>
      <c r="UB28" s="11">
        <f>SUMIFS([1]HOC_Histograma_Obra!VG56:VG114,[1]HOC_Histograma_Obra!$C$55:$C$113,"MOi")</f>
        <v>0</v>
      </c>
      <c r="UC28" s="11">
        <f>SUMIFS([1]HOC_Histograma_Obra!VH56:VH114,[1]HOC_Histograma_Obra!$C$55:$C$113,"MOi")</f>
        <v>0</v>
      </c>
      <c r="UD28" s="11">
        <f>SUMIFS([1]HOC_Histograma_Obra!VI56:VI114,[1]HOC_Histograma_Obra!$C$55:$C$113,"MOi")</f>
        <v>0</v>
      </c>
      <c r="UE28" s="11">
        <f>SUMIFS([1]HOC_Histograma_Obra!VJ56:VJ114,[1]HOC_Histograma_Obra!$C$55:$C$113,"MOi")</f>
        <v>0</v>
      </c>
      <c r="UF28" s="11">
        <f>SUMIFS([1]HOC_Histograma_Obra!VK56:VK114,[1]HOC_Histograma_Obra!$C$55:$C$113,"MOi")</f>
        <v>0</v>
      </c>
      <c r="UG28" s="11">
        <f>SUMIFS([1]HOC_Histograma_Obra!VL56:VL114,[1]HOC_Histograma_Obra!$C$55:$C$113,"MOi")</f>
        <v>0</v>
      </c>
      <c r="UH28" s="11">
        <f>SUMIFS([1]HOC_Histograma_Obra!VM56:VM114,[1]HOC_Histograma_Obra!$C$55:$C$113,"MOi")</f>
        <v>0</v>
      </c>
      <c r="UI28" s="11">
        <f>SUMIFS([1]HOC_Histograma_Obra!VN56:VN114,[1]HOC_Histograma_Obra!$C$55:$C$113,"MOi")</f>
        <v>0</v>
      </c>
      <c r="UJ28" s="11">
        <f>SUMIFS([1]HOC_Histograma_Obra!VO56:VO114,[1]HOC_Histograma_Obra!$C$55:$C$113,"MOi")</f>
        <v>0</v>
      </c>
      <c r="UK28" s="11">
        <f>SUMIFS([1]HOC_Histograma_Obra!VP56:VP114,[1]HOC_Histograma_Obra!$C$55:$C$113,"MOi")</f>
        <v>0</v>
      </c>
      <c r="UL28" s="11">
        <f>SUMIFS([1]HOC_Histograma_Obra!VQ56:VQ114,[1]HOC_Histograma_Obra!$C$55:$C$113,"MOi")</f>
        <v>0</v>
      </c>
      <c r="UM28" s="11">
        <f>SUMIFS([1]HOC_Histograma_Obra!VR56:VR114,[1]HOC_Histograma_Obra!$C$55:$C$113,"MOi")</f>
        <v>0</v>
      </c>
      <c r="UN28" s="11">
        <f>SUMIFS([1]HOC_Histograma_Obra!VS56:VS114,[1]HOC_Histograma_Obra!$C$55:$C$113,"MOi")</f>
        <v>0</v>
      </c>
      <c r="UO28" s="11">
        <f>SUMIFS([1]HOC_Histograma_Obra!VT56:VT114,[1]HOC_Histograma_Obra!$C$55:$C$113,"MOi")</f>
        <v>0</v>
      </c>
      <c r="UP28" s="11">
        <f>SUMIFS([1]HOC_Histograma_Obra!VU56:VU114,[1]HOC_Histograma_Obra!$C$55:$C$113,"MOi")</f>
        <v>0</v>
      </c>
      <c r="UQ28" s="11">
        <f>SUMIFS([1]HOC_Histograma_Obra!VV56:VV114,[1]HOC_Histograma_Obra!$C$55:$C$113,"MOi")</f>
        <v>0</v>
      </c>
      <c r="UR28" s="11">
        <f>SUMIFS([1]HOC_Histograma_Obra!VW56:VW114,[1]HOC_Histograma_Obra!$C$55:$C$113,"MOi")</f>
        <v>0</v>
      </c>
      <c r="US28" s="11">
        <f>SUMIFS([1]HOC_Histograma_Obra!VX56:VX114,[1]HOC_Histograma_Obra!$C$55:$C$113,"MOi")</f>
        <v>0</v>
      </c>
      <c r="UT28" s="11">
        <f>SUMIFS([1]HOC_Histograma_Obra!VY56:VY114,[1]HOC_Histograma_Obra!$C$55:$C$113,"MOi")</f>
        <v>0</v>
      </c>
      <c r="UU28" s="11">
        <f>SUMIFS([1]HOC_Histograma_Obra!VZ56:VZ114,[1]HOC_Histograma_Obra!$C$55:$C$113,"MOi")</f>
        <v>0</v>
      </c>
      <c r="UV28" s="11">
        <f>SUMIFS([1]HOC_Histograma_Obra!WA56:WA114,[1]HOC_Histograma_Obra!$C$55:$C$113,"MOi")</f>
        <v>0</v>
      </c>
      <c r="UW28" s="11">
        <f>SUMIFS([1]HOC_Histograma_Obra!WB56:WB114,[1]HOC_Histograma_Obra!$C$55:$C$113,"MOi")</f>
        <v>0</v>
      </c>
      <c r="UX28" s="11">
        <f>SUMIFS([1]HOC_Histograma_Obra!WC56:WC114,[1]HOC_Histograma_Obra!$C$55:$C$113,"MOi")</f>
        <v>0</v>
      </c>
      <c r="UY28" s="11">
        <f>SUMIFS([1]HOC_Histograma_Obra!WD56:WD114,[1]HOC_Histograma_Obra!$C$55:$C$113,"MOi")</f>
        <v>0</v>
      </c>
      <c r="UZ28" s="11">
        <f>SUMIFS([1]HOC_Histograma_Obra!WE56:WE114,[1]HOC_Histograma_Obra!$C$55:$C$113,"MOi")</f>
        <v>0</v>
      </c>
      <c r="VA28" s="11">
        <f>SUMIFS([1]HOC_Histograma_Obra!WF56:WF114,[1]HOC_Histograma_Obra!$C$55:$C$113,"MOi")</f>
        <v>0</v>
      </c>
      <c r="VB28" s="11">
        <f>SUMIFS([1]HOC_Histograma_Obra!WG56:WG114,[1]HOC_Histograma_Obra!$C$55:$C$113,"MOi")</f>
        <v>0</v>
      </c>
      <c r="VC28" s="11">
        <f>SUMIFS([1]HOC_Histograma_Obra!WH56:WH114,[1]HOC_Histograma_Obra!$C$55:$C$113,"MOi")</f>
        <v>0</v>
      </c>
      <c r="VD28" s="11">
        <f>SUMIFS([1]HOC_Histograma_Obra!WI56:WI114,[1]HOC_Histograma_Obra!$C$55:$C$113,"MOi")</f>
        <v>0</v>
      </c>
      <c r="VE28" s="11">
        <f>SUMIFS([1]HOC_Histograma_Obra!WJ56:WJ114,[1]HOC_Histograma_Obra!$C$55:$C$113,"MOi")</f>
        <v>0</v>
      </c>
      <c r="VF28" s="11">
        <f>SUMIFS([1]HOC_Histograma_Obra!WK56:WK114,[1]HOC_Histograma_Obra!$C$55:$C$113,"MOi")</f>
        <v>0</v>
      </c>
      <c r="VG28" s="11">
        <f>SUMIFS([1]HOC_Histograma_Obra!WL56:WL114,[1]HOC_Histograma_Obra!$C$55:$C$113,"MOi")</f>
        <v>0</v>
      </c>
      <c r="VH28" s="11">
        <f>SUMIFS([1]HOC_Histograma_Obra!WM56:WM114,[1]HOC_Histograma_Obra!$C$55:$C$113,"MOi")</f>
        <v>0</v>
      </c>
      <c r="VI28" s="11">
        <f>SUMIFS([1]HOC_Histograma_Obra!WN56:WN114,[1]HOC_Histograma_Obra!$C$55:$C$113,"MOi")</f>
        <v>0</v>
      </c>
      <c r="VJ28" s="11">
        <f>SUMIFS([1]HOC_Histograma_Obra!WO56:WO114,[1]HOC_Histograma_Obra!$C$55:$C$113,"MOi")</f>
        <v>0</v>
      </c>
      <c r="VK28" s="11">
        <f>SUMIFS([1]HOC_Histograma_Obra!WP56:WP114,[1]HOC_Histograma_Obra!$C$55:$C$113,"MOi")</f>
        <v>0</v>
      </c>
      <c r="VL28" s="11">
        <f>SUMIFS([1]HOC_Histograma_Obra!WQ56:WQ114,[1]HOC_Histograma_Obra!$C$55:$C$113,"MOi")</f>
        <v>0</v>
      </c>
      <c r="VM28" s="11">
        <f>SUMIFS([1]HOC_Histograma_Obra!WR56:WR114,[1]HOC_Histograma_Obra!$C$55:$C$113,"MOi")</f>
        <v>0</v>
      </c>
      <c r="VN28" s="11">
        <f>SUMIFS([1]HOC_Histograma_Obra!WS56:WS114,[1]HOC_Histograma_Obra!$C$55:$C$113,"MOi")</f>
        <v>0</v>
      </c>
      <c r="VO28" s="11">
        <f>SUMIFS([1]HOC_Histograma_Obra!WT56:WT114,[1]HOC_Histograma_Obra!$C$55:$C$113,"MOi")</f>
        <v>0</v>
      </c>
      <c r="VP28" s="11">
        <f>SUMIFS([1]HOC_Histograma_Obra!WU56:WU114,[1]HOC_Histograma_Obra!$C$55:$C$113,"MOi")</f>
        <v>0</v>
      </c>
      <c r="VQ28" s="11">
        <f>SUMIFS([1]HOC_Histograma_Obra!WV56:WV114,[1]HOC_Histograma_Obra!$C$55:$C$113,"MOi")</f>
        <v>0</v>
      </c>
      <c r="VR28" s="11">
        <f>SUMIFS([1]HOC_Histograma_Obra!WW56:WW114,[1]HOC_Histograma_Obra!$C$55:$C$113,"MOi")</f>
        <v>0</v>
      </c>
      <c r="VS28" s="11">
        <f>SUMIFS([1]HOC_Histograma_Obra!WX56:WX114,[1]HOC_Histograma_Obra!$C$55:$C$113,"MOi")</f>
        <v>0</v>
      </c>
      <c r="VT28" s="11">
        <f>SUMIFS([1]HOC_Histograma_Obra!WY56:WY114,[1]HOC_Histograma_Obra!$C$55:$C$113,"MOi")</f>
        <v>0</v>
      </c>
      <c r="VU28" s="11">
        <f>SUMIFS([1]HOC_Histograma_Obra!WZ56:WZ114,[1]HOC_Histograma_Obra!$C$55:$C$113,"MOi")</f>
        <v>0</v>
      </c>
      <c r="VV28" s="11">
        <f>SUMIFS([1]HOC_Histograma_Obra!XA56:XA114,[1]HOC_Histograma_Obra!$C$55:$C$113,"MOi")</f>
        <v>0</v>
      </c>
      <c r="VW28" s="11">
        <f>SUMIFS([1]HOC_Histograma_Obra!XB56:XB114,[1]HOC_Histograma_Obra!$C$55:$C$113,"MOi")</f>
        <v>0</v>
      </c>
      <c r="VX28" s="11">
        <f>SUMIFS([1]HOC_Histograma_Obra!XC56:XC114,[1]HOC_Histograma_Obra!$C$55:$C$113,"MOi")</f>
        <v>0</v>
      </c>
      <c r="VY28" s="11">
        <f>SUMIFS([1]HOC_Histograma_Obra!XD56:XD114,[1]HOC_Histograma_Obra!$C$55:$C$113,"MOi")</f>
        <v>0</v>
      </c>
      <c r="VZ28" s="11">
        <f>SUMIFS([1]HOC_Histograma_Obra!XE56:XE114,[1]HOC_Histograma_Obra!$C$55:$C$113,"MOi")</f>
        <v>0</v>
      </c>
      <c r="WA28" s="11">
        <f>SUMIFS([1]HOC_Histograma_Obra!XF56:XF114,[1]HOC_Histograma_Obra!$C$55:$C$113,"MOi")</f>
        <v>0</v>
      </c>
      <c r="WB28" s="11">
        <f>SUMIFS([1]HOC_Histograma_Obra!XG56:XG114,[1]HOC_Histograma_Obra!$C$55:$C$113,"MOi")</f>
        <v>0</v>
      </c>
      <c r="WC28" s="11">
        <f>SUMIFS([1]HOC_Histograma_Obra!XH56:XH114,[1]HOC_Histograma_Obra!$C$55:$C$113,"MOi")</f>
        <v>0</v>
      </c>
      <c r="WD28" s="11">
        <f>SUMIFS([1]HOC_Histograma_Obra!XI56:XI114,[1]HOC_Histograma_Obra!$C$55:$C$113,"MOi")</f>
        <v>0</v>
      </c>
      <c r="WE28" s="11">
        <f>SUMIFS([1]HOC_Histograma_Obra!XJ56:XJ114,[1]HOC_Histograma_Obra!$C$55:$C$113,"MOi")</f>
        <v>0</v>
      </c>
      <c r="WF28" s="11">
        <f>SUMIFS([1]HOC_Histograma_Obra!XK56:XK114,[1]HOC_Histograma_Obra!$C$55:$C$113,"MOi")</f>
        <v>0</v>
      </c>
      <c r="WG28" s="11">
        <f>SUMIFS([1]HOC_Histograma_Obra!XL56:XL114,[1]HOC_Histograma_Obra!$C$55:$C$113,"MOi")</f>
        <v>0</v>
      </c>
      <c r="WH28" s="11">
        <f>SUMIFS([1]HOC_Histograma_Obra!XM56:XM114,[1]HOC_Histograma_Obra!$C$55:$C$113,"MOi")</f>
        <v>0</v>
      </c>
      <c r="WI28" s="11">
        <f>SUMIFS([1]HOC_Histograma_Obra!XN56:XN114,[1]HOC_Histograma_Obra!$C$55:$C$113,"MOi")</f>
        <v>0</v>
      </c>
      <c r="WJ28" s="11">
        <f>SUMIFS([1]HOC_Histograma_Obra!XO56:XO114,[1]HOC_Histograma_Obra!$C$55:$C$113,"MOi")</f>
        <v>0</v>
      </c>
      <c r="WK28" s="11">
        <f>SUMIFS([1]HOC_Histograma_Obra!XP56:XP114,[1]HOC_Histograma_Obra!$C$55:$C$113,"MOi")</f>
        <v>0</v>
      </c>
      <c r="WL28" s="11">
        <f>SUMIFS([1]HOC_Histograma_Obra!XQ56:XQ114,[1]HOC_Histograma_Obra!$C$55:$C$113,"MOi")</f>
        <v>0</v>
      </c>
      <c r="WM28" s="11">
        <f>SUMIFS([1]HOC_Histograma_Obra!XR56:XR114,[1]HOC_Histograma_Obra!$C$55:$C$113,"MOi")</f>
        <v>0</v>
      </c>
      <c r="WN28" s="11">
        <f>SUMIFS([1]HOC_Histograma_Obra!XS56:XS114,[1]HOC_Histograma_Obra!$C$55:$C$113,"MOi")</f>
        <v>0</v>
      </c>
      <c r="WO28" s="11">
        <f>SUMIFS([1]HOC_Histograma_Obra!XT56:XT114,[1]HOC_Histograma_Obra!$C$55:$C$113,"MOi")</f>
        <v>0</v>
      </c>
      <c r="WP28" s="11">
        <f>SUMIFS([1]HOC_Histograma_Obra!XU56:XU114,[1]HOC_Histograma_Obra!$C$55:$C$113,"MOi")</f>
        <v>0</v>
      </c>
      <c r="WQ28" s="11">
        <f>SUMIFS([1]HOC_Histograma_Obra!XV56:XV114,[1]HOC_Histograma_Obra!$C$55:$C$113,"MOi")</f>
        <v>0</v>
      </c>
      <c r="WR28" s="11">
        <f>SUMIFS([1]HOC_Histograma_Obra!XW56:XW114,[1]HOC_Histograma_Obra!$C$55:$C$113,"MOi")</f>
        <v>0</v>
      </c>
      <c r="WS28" s="11">
        <f>SUMIFS([1]HOC_Histograma_Obra!XX56:XX114,[1]HOC_Histograma_Obra!$C$55:$C$113,"MOi")</f>
        <v>0</v>
      </c>
      <c r="WT28" s="11">
        <f>SUMIFS([1]HOC_Histograma_Obra!XY56:XY114,[1]HOC_Histograma_Obra!$C$55:$C$113,"MOi")</f>
        <v>0</v>
      </c>
      <c r="WU28" s="11">
        <f>SUMIFS([1]HOC_Histograma_Obra!XZ56:XZ114,[1]HOC_Histograma_Obra!$C$55:$C$113,"MOi")</f>
        <v>0</v>
      </c>
      <c r="WV28" s="11">
        <f>SUMIFS([1]HOC_Histograma_Obra!YA56:YA114,[1]HOC_Histograma_Obra!$C$55:$C$113,"MOi")</f>
        <v>0</v>
      </c>
      <c r="WW28" s="11">
        <f>SUMIFS([1]HOC_Histograma_Obra!YB56:YB114,[1]HOC_Histograma_Obra!$C$55:$C$113,"MOi")</f>
        <v>0</v>
      </c>
      <c r="WX28" s="11">
        <f>SUMIFS([1]HOC_Histograma_Obra!YC56:YC114,[1]HOC_Histograma_Obra!$C$55:$C$113,"MOi")</f>
        <v>0</v>
      </c>
      <c r="WY28" s="11">
        <f>SUMIFS([1]HOC_Histograma_Obra!YD56:YD114,[1]HOC_Histograma_Obra!$C$55:$C$113,"MOi")</f>
        <v>0</v>
      </c>
      <c r="WZ28" s="11">
        <f>SUMIFS([1]HOC_Histograma_Obra!YE56:YE114,[1]HOC_Histograma_Obra!$C$55:$C$113,"MOi")</f>
        <v>0</v>
      </c>
      <c r="XA28" s="11">
        <f>SUMIFS([1]HOC_Histograma_Obra!YF56:YF114,[1]HOC_Histograma_Obra!$C$55:$C$113,"MOi")</f>
        <v>0</v>
      </c>
      <c r="XB28" s="11">
        <f>SUMIFS([1]HOC_Histograma_Obra!YG56:YG114,[1]HOC_Histograma_Obra!$C$55:$C$113,"MOi")</f>
        <v>0</v>
      </c>
      <c r="XC28" s="11">
        <f>SUMIFS([1]HOC_Histograma_Obra!YH56:YH114,[1]HOC_Histograma_Obra!$C$55:$C$113,"MOi")</f>
        <v>0</v>
      </c>
      <c r="XD28" s="11">
        <f>SUMIFS([1]HOC_Histograma_Obra!YI56:YI114,[1]HOC_Histograma_Obra!$C$55:$C$113,"MOi")</f>
        <v>0</v>
      </c>
      <c r="XE28" s="11">
        <f>SUMIFS([1]HOC_Histograma_Obra!YJ56:YJ114,[1]HOC_Histograma_Obra!$C$55:$C$113,"MOi")</f>
        <v>0</v>
      </c>
      <c r="XF28" s="11">
        <f>SUMIFS([1]HOC_Histograma_Obra!YK56:YK114,[1]HOC_Histograma_Obra!$C$55:$C$113,"MOi")</f>
        <v>0</v>
      </c>
      <c r="XG28" s="11">
        <f>SUMIFS([1]HOC_Histograma_Obra!YL56:YL114,[1]HOC_Histograma_Obra!$C$55:$C$113,"MOi")</f>
        <v>0</v>
      </c>
      <c r="XH28" s="11">
        <f>SUMIFS([1]HOC_Histograma_Obra!YM56:YM114,[1]HOC_Histograma_Obra!$C$55:$C$113,"MOi")</f>
        <v>0</v>
      </c>
      <c r="XI28" s="11">
        <f>SUMIFS([1]HOC_Histograma_Obra!YN56:YN114,[1]HOC_Histograma_Obra!$C$55:$C$113,"MOi")</f>
        <v>0</v>
      </c>
      <c r="XJ28" s="11">
        <f>SUMIFS([1]HOC_Histograma_Obra!YO56:YO114,[1]HOC_Histograma_Obra!$C$55:$C$113,"MOi")</f>
        <v>0</v>
      </c>
      <c r="XK28" s="11">
        <f>SUMIFS([1]HOC_Histograma_Obra!YP56:YP114,[1]HOC_Histograma_Obra!$C$55:$C$113,"MOi")</f>
        <v>0</v>
      </c>
      <c r="XL28" s="11">
        <f>SUMIFS([1]HOC_Histograma_Obra!YQ56:YQ114,[1]HOC_Histograma_Obra!$C$55:$C$113,"MOi")</f>
        <v>0</v>
      </c>
      <c r="XM28" s="11">
        <f>SUMIFS([1]HOC_Histograma_Obra!YR56:YR114,[1]HOC_Histograma_Obra!$C$55:$C$113,"MOi")</f>
        <v>0</v>
      </c>
      <c r="XN28" s="11">
        <f>SUMIFS([1]HOC_Histograma_Obra!YS56:YS114,[1]HOC_Histograma_Obra!$C$55:$C$113,"MOi")</f>
        <v>0</v>
      </c>
      <c r="XO28" s="11">
        <f>SUMIFS([1]HOC_Histograma_Obra!YT56:YT114,[1]HOC_Histograma_Obra!$C$55:$C$113,"MOi")</f>
        <v>0</v>
      </c>
      <c r="XP28" s="11">
        <f>SUMIFS([1]HOC_Histograma_Obra!YU56:YU114,[1]HOC_Histograma_Obra!$C$55:$C$113,"MOi")</f>
        <v>0</v>
      </c>
      <c r="XQ28" s="11">
        <f>SUMIFS([1]HOC_Histograma_Obra!YV56:YV114,[1]HOC_Histograma_Obra!$C$55:$C$113,"MOi")</f>
        <v>0</v>
      </c>
      <c r="XR28" s="11">
        <f>SUMIFS([1]HOC_Histograma_Obra!YW56:YW114,[1]HOC_Histograma_Obra!$C$55:$C$113,"MOi")</f>
        <v>0</v>
      </c>
      <c r="XS28" s="11">
        <f>SUMIFS([1]HOC_Histograma_Obra!YX56:YX114,[1]HOC_Histograma_Obra!$C$55:$C$113,"MOi")</f>
        <v>0</v>
      </c>
      <c r="XT28" s="11">
        <f>SUMIFS([1]HOC_Histograma_Obra!YY56:YY114,[1]HOC_Histograma_Obra!$C$55:$C$113,"MOi")</f>
        <v>0</v>
      </c>
      <c r="XU28" s="11">
        <f>SUMIFS([1]HOC_Histograma_Obra!YZ56:YZ114,[1]HOC_Histograma_Obra!$C$55:$C$113,"MOi")</f>
        <v>0</v>
      </c>
      <c r="XV28" s="11">
        <f>SUMIFS([1]HOC_Histograma_Obra!ZA56:ZA114,[1]HOC_Histograma_Obra!$C$55:$C$113,"MOi")</f>
        <v>0</v>
      </c>
      <c r="XW28" s="11">
        <f>SUMIFS([1]HOC_Histograma_Obra!ZB56:ZB114,[1]HOC_Histograma_Obra!$C$55:$C$113,"MOi")</f>
        <v>0</v>
      </c>
      <c r="XX28" s="11">
        <f>SUMIFS([1]HOC_Histograma_Obra!ZC56:ZC114,[1]HOC_Histograma_Obra!$C$55:$C$113,"MOi")</f>
        <v>0</v>
      </c>
      <c r="XY28" s="11">
        <f>SUMIFS([1]HOC_Histograma_Obra!ZD56:ZD114,[1]HOC_Histograma_Obra!$C$55:$C$113,"MOi")</f>
        <v>0</v>
      </c>
      <c r="XZ28" s="11">
        <f>SUMIFS([1]HOC_Histograma_Obra!ZE56:ZE114,[1]HOC_Histograma_Obra!$C$55:$C$113,"MOi")</f>
        <v>0</v>
      </c>
      <c r="YA28" s="11">
        <f>SUMIFS([1]HOC_Histograma_Obra!ZF56:ZF114,[1]HOC_Histograma_Obra!$C$55:$C$113,"MOi")</f>
        <v>0</v>
      </c>
      <c r="YB28" s="11">
        <f>SUMIFS([1]HOC_Histograma_Obra!ZG56:ZG114,[1]HOC_Histograma_Obra!$C$55:$C$113,"MOi")</f>
        <v>0</v>
      </c>
      <c r="YC28" s="11">
        <f>SUMIFS([1]HOC_Histograma_Obra!ZH56:ZH114,[1]HOC_Histograma_Obra!$C$55:$C$113,"MOi")</f>
        <v>0</v>
      </c>
      <c r="YD28" s="11">
        <f>SUMIFS([1]HOC_Histograma_Obra!ZI56:ZI114,[1]HOC_Histograma_Obra!$C$55:$C$113,"MOi")</f>
        <v>0</v>
      </c>
      <c r="YE28" s="11">
        <f>SUMIFS([1]HOC_Histograma_Obra!ZJ56:ZJ114,[1]HOC_Histograma_Obra!$C$55:$C$113,"MOi")</f>
        <v>0</v>
      </c>
      <c r="YF28" s="11">
        <f>SUMIFS([1]HOC_Histograma_Obra!ZK56:ZK114,[1]HOC_Histograma_Obra!$C$55:$C$113,"MOi")</f>
        <v>0</v>
      </c>
      <c r="YG28" s="11">
        <f>SUMIFS([1]HOC_Histograma_Obra!ZL56:ZL114,[1]HOC_Histograma_Obra!$C$55:$C$113,"MOi")</f>
        <v>0</v>
      </c>
      <c r="YH28" s="11">
        <f>SUMIFS([1]HOC_Histograma_Obra!ZM56:ZM114,[1]HOC_Histograma_Obra!$C$55:$C$113,"MOi")</f>
        <v>0</v>
      </c>
      <c r="YI28" s="11">
        <f>SUMIFS([1]HOC_Histograma_Obra!ZN56:ZN114,[1]HOC_Histograma_Obra!$C$55:$C$113,"MOi")</f>
        <v>0</v>
      </c>
      <c r="YJ28" s="11">
        <f>SUMIFS([1]HOC_Histograma_Obra!ZO56:ZO114,[1]HOC_Histograma_Obra!$C$55:$C$113,"MOi")</f>
        <v>0</v>
      </c>
      <c r="YK28" s="11">
        <f>SUMIFS([1]HOC_Histograma_Obra!ZP56:ZP114,[1]HOC_Histograma_Obra!$C$55:$C$113,"MOi")</f>
        <v>0</v>
      </c>
      <c r="YL28" s="11">
        <f>SUMIFS([1]HOC_Histograma_Obra!ZQ56:ZQ114,[1]HOC_Histograma_Obra!$C$55:$C$113,"MOi")</f>
        <v>0</v>
      </c>
      <c r="YM28" s="11">
        <f>SUMIFS([1]HOC_Histograma_Obra!ZR56:ZR114,[1]HOC_Histograma_Obra!$C$55:$C$113,"MOi")</f>
        <v>0</v>
      </c>
      <c r="YN28" s="11">
        <f>SUMIFS([1]HOC_Histograma_Obra!ZS56:ZS114,[1]HOC_Histograma_Obra!$C$55:$C$113,"MOi")</f>
        <v>0</v>
      </c>
      <c r="YO28" s="11">
        <f>SUMIFS([1]HOC_Histograma_Obra!ZT56:ZT114,[1]HOC_Histograma_Obra!$C$55:$C$113,"MOi")</f>
        <v>0</v>
      </c>
      <c r="YP28" s="11">
        <f>SUMIFS([1]HOC_Histograma_Obra!ZU56:ZU114,[1]HOC_Histograma_Obra!$C$55:$C$113,"MOi")</f>
        <v>0</v>
      </c>
      <c r="YQ28" s="11">
        <f>SUMIFS([1]HOC_Histograma_Obra!ZV56:ZV114,[1]HOC_Histograma_Obra!$C$55:$C$113,"MOi")</f>
        <v>0</v>
      </c>
      <c r="YR28" s="11">
        <f>SUMIFS([1]HOC_Histograma_Obra!ZW56:ZW114,[1]HOC_Histograma_Obra!$C$55:$C$113,"MOi")</f>
        <v>0</v>
      </c>
      <c r="YS28" s="11">
        <f>SUMIFS([1]HOC_Histograma_Obra!ZX56:ZX114,[1]HOC_Histograma_Obra!$C$55:$C$113,"MOi")</f>
        <v>0</v>
      </c>
      <c r="YT28" s="11">
        <f>SUMIFS([1]HOC_Histograma_Obra!ZY56:ZY114,[1]HOC_Histograma_Obra!$C$55:$C$113,"MOi")</f>
        <v>0</v>
      </c>
      <c r="YU28" s="11">
        <f>SUMIFS([1]HOC_Histograma_Obra!ZZ56:ZZ114,[1]HOC_Histograma_Obra!$C$55:$C$113,"MOi")</f>
        <v>0</v>
      </c>
      <c r="YV28" s="11">
        <f>SUMIFS([1]HOC_Histograma_Obra!AAA56:AAA114,[1]HOC_Histograma_Obra!$C$55:$C$113,"MOi")</f>
        <v>0</v>
      </c>
      <c r="YW28" s="11">
        <f>SUMIFS([1]HOC_Histograma_Obra!AAB56:AAB114,[1]HOC_Histograma_Obra!$C$55:$C$113,"MOi")</f>
        <v>0</v>
      </c>
      <c r="YX28" s="11">
        <f>SUMIFS([1]HOC_Histograma_Obra!AAC56:AAC114,[1]HOC_Histograma_Obra!$C$55:$C$113,"MOi")</f>
        <v>0</v>
      </c>
      <c r="YY28" s="11">
        <f>SUMIFS([1]HOC_Histograma_Obra!AAD56:AAD114,[1]HOC_Histograma_Obra!$C$55:$C$113,"MOi")</f>
        <v>0</v>
      </c>
      <c r="YZ28" s="11">
        <f>SUMIFS([1]HOC_Histograma_Obra!AAE56:AAE114,[1]HOC_Histograma_Obra!$C$55:$C$113,"MOi")</f>
        <v>0</v>
      </c>
      <c r="ZA28" s="11">
        <f>SUMIFS([1]HOC_Histograma_Obra!AAF56:AAF114,[1]HOC_Histograma_Obra!$C$55:$C$113,"MOi")</f>
        <v>0</v>
      </c>
      <c r="ZB28" s="11">
        <f>SUMIFS([1]HOC_Histograma_Obra!AAG56:AAG114,[1]HOC_Histograma_Obra!$C$55:$C$113,"MOi")</f>
        <v>0</v>
      </c>
      <c r="ZC28" s="11">
        <f>SUMIFS([1]HOC_Histograma_Obra!AAH56:AAH114,[1]HOC_Histograma_Obra!$C$55:$C$113,"MOi")</f>
        <v>0</v>
      </c>
      <c r="ZD28" s="11">
        <f>SUMIFS([1]HOC_Histograma_Obra!AAI56:AAI114,[1]HOC_Histograma_Obra!$C$55:$C$113,"MOi")</f>
        <v>0</v>
      </c>
      <c r="ZE28" s="11">
        <f>SUMIFS([1]HOC_Histograma_Obra!AAJ56:AAJ114,[1]HOC_Histograma_Obra!$C$55:$C$113,"MOi")</f>
        <v>0</v>
      </c>
      <c r="ZF28" s="11">
        <f>SUMIFS([1]HOC_Histograma_Obra!AAK56:AAK114,[1]HOC_Histograma_Obra!$C$55:$C$113,"MOi")</f>
        <v>0</v>
      </c>
      <c r="ZG28" s="11">
        <f>SUMIFS([1]HOC_Histograma_Obra!AAL56:AAL114,[1]HOC_Histograma_Obra!$C$55:$C$113,"MOi")</f>
        <v>0</v>
      </c>
      <c r="ZH28" s="11">
        <f>SUMIFS([1]HOC_Histograma_Obra!AAM56:AAM114,[1]HOC_Histograma_Obra!$C$55:$C$113,"MOi")</f>
        <v>0</v>
      </c>
      <c r="ZI28" s="11">
        <f>SUMIFS([1]HOC_Histograma_Obra!AAN56:AAN114,[1]HOC_Histograma_Obra!$C$55:$C$113,"MOi")</f>
        <v>0</v>
      </c>
      <c r="ZJ28" s="11">
        <f>SUMIFS([1]HOC_Histograma_Obra!AAO56:AAO114,[1]HOC_Histograma_Obra!$C$55:$C$113,"MOi")</f>
        <v>0</v>
      </c>
      <c r="ZK28" s="11">
        <f>SUMIFS([1]HOC_Histograma_Obra!AAP56:AAP114,[1]HOC_Histograma_Obra!$C$55:$C$113,"MOi")</f>
        <v>0</v>
      </c>
      <c r="ZL28" s="11">
        <f>SUMIFS([1]HOC_Histograma_Obra!AAQ56:AAQ114,[1]HOC_Histograma_Obra!$C$55:$C$113,"MOi")</f>
        <v>0</v>
      </c>
      <c r="ZM28" s="11">
        <f>SUMIFS([1]HOC_Histograma_Obra!AAR56:AAR114,[1]HOC_Histograma_Obra!$C$55:$C$113,"MOi")</f>
        <v>0</v>
      </c>
      <c r="ZN28" s="11">
        <f>SUMIFS([1]HOC_Histograma_Obra!AAS56:AAS114,[1]HOC_Histograma_Obra!$C$55:$C$113,"MOi")</f>
        <v>0</v>
      </c>
      <c r="ZO28" s="11">
        <f>SUMIFS([1]HOC_Histograma_Obra!AAT56:AAT114,[1]HOC_Histograma_Obra!$C$55:$C$113,"MOi")</f>
        <v>0</v>
      </c>
      <c r="ZP28" s="11">
        <f>SUMIFS([1]HOC_Histograma_Obra!AAU56:AAU114,[1]HOC_Histograma_Obra!$C$55:$C$113,"MOi")</f>
        <v>0</v>
      </c>
      <c r="ZQ28" s="11">
        <f>SUMIFS([1]HOC_Histograma_Obra!AAV56:AAV114,[1]HOC_Histograma_Obra!$C$55:$C$113,"MOi")</f>
        <v>0</v>
      </c>
      <c r="ZR28" s="11">
        <f>SUMIFS([1]HOC_Histograma_Obra!AAW56:AAW114,[1]HOC_Histograma_Obra!$C$55:$C$113,"MOi")</f>
        <v>0</v>
      </c>
      <c r="ZS28" s="11">
        <f>SUMIFS([1]HOC_Histograma_Obra!AAX56:AAX114,[1]HOC_Histograma_Obra!$C$55:$C$113,"MOi")</f>
        <v>0</v>
      </c>
      <c r="ZT28" s="11">
        <f>SUMIFS([1]HOC_Histograma_Obra!AAY56:AAY114,[1]HOC_Histograma_Obra!$C$55:$C$113,"MOi")</f>
        <v>0</v>
      </c>
      <c r="ZU28" s="11">
        <f>SUMIFS([1]HOC_Histograma_Obra!AAZ56:AAZ114,[1]HOC_Histograma_Obra!$C$55:$C$113,"MOi")</f>
        <v>0</v>
      </c>
      <c r="ZV28" s="11">
        <f>SUMIFS([1]HOC_Histograma_Obra!ABA56:ABA114,[1]HOC_Histograma_Obra!$C$55:$C$113,"MOi")</f>
        <v>0</v>
      </c>
      <c r="ZW28" s="11">
        <f>SUMIFS([1]HOC_Histograma_Obra!ABB56:ABB114,[1]HOC_Histograma_Obra!$C$55:$C$113,"MOi")</f>
        <v>0</v>
      </c>
      <c r="ZX28" s="11">
        <f>SUMIFS([1]HOC_Histograma_Obra!ABC56:ABC114,[1]HOC_Histograma_Obra!$C$55:$C$113,"MOi")</f>
        <v>0</v>
      </c>
      <c r="ZY28" s="11">
        <f>SUMIFS([1]HOC_Histograma_Obra!ABD56:ABD114,[1]HOC_Histograma_Obra!$C$55:$C$113,"MOi")</f>
        <v>0</v>
      </c>
      <c r="ZZ28" s="11">
        <f>SUMIFS([1]HOC_Histograma_Obra!ABE56:ABE114,[1]HOC_Histograma_Obra!$C$55:$C$113,"MOi")</f>
        <v>0</v>
      </c>
      <c r="AAA28" s="11">
        <f>SUMIFS([1]HOC_Histograma_Obra!ABF56:ABF114,[1]HOC_Histograma_Obra!$C$55:$C$113,"MOi")</f>
        <v>0</v>
      </c>
      <c r="AAB28" s="11">
        <f>SUMIFS([1]HOC_Histograma_Obra!ABG56:ABG114,[1]HOC_Histograma_Obra!$C$55:$C$113,"MOi")</f>
        <v>0</v>
      </c>
      <c r="AAC28" s="11">
        <f>SUMIFS([1]HOC_Histograma_Obra!ABH56:ABH114,[1]HOC_Histograma_Obra!$C$55:$C$113,"MOi")</f>
        <v>0</v>
      </c>
      <c r="AAD28" s="11">
        <f>SUMIFS([1]HOC_Histograma_Obra!ABI56:ABI114,[1]HOC_Histograma_Obra!$C$55:$C$113,"MOi")</f>
        <v>0</v>
      </c>
      <c r="AAE28" s="11">
        <f>SUMIFS([1]HOC_Histograma_Obra!ABJ56:ABJ114,[1]HOC_Histograma_Obra!$C$55:$C$113,"MOi")</f>
        <v>0</v>
      </c>
      <c r="AAF28" s="11">
        <f>SUMIFS([1]HOC_Histograma_Obra!ABK56:ABK114,[1]HOC_Histograma_Obra!$C$55:$C$113,"MOi")</f>
        <v>0</v>
      </c>
      <c r="AAG28" s="11">
        <f>SUMIFS([1]HOC_Histograma_Obra!ABL56:ABL114,[1]HOC_Histograma_Obra!$C$55:$C$113,"MOi")</f>
        <v>0</v>
      </c>
      <c r="AAH28" s="11">
        <f>SUMIFS([1]HOC_Histograma_Obra!ABM56:ABM114,[1]HOC_Histograma_Obra!$C$55:$C$113,"MOi")</f>
        <v>0</v>
      </c>
      <c r="AAI28" s="11">
        <f>SUMIFS([1]HOC_Histograma_Obra!ABN56:ABN114,[1]HOC_Histograma_Obra!$C$55:$C$113,"MOi")</f>
        <v>0</v>
      </c>
      <c r="AAJ28" s="11">
        <f>SUMIFS([1]HOC_Histograma_Obra!ABO56:ABO114,[1]HOC_Histograma_Obra!$C$55:$C$113,"MOi")</f>
        <v>0</v>
      </c>
      <c r="AAK28" s="11">
        <f>SUMIFS([1]HOC_Histograma_Obra!ABP56:ABP114,[1]HOC_Histograma_Obra!$C$55:$C$113,"MOi")</f>
        <v>0</v>
      </c>
      <c r="AAL28" s="11">
        <f>SUMIFS([1]HOC_Histograma_Obra!ABQ56:ABQ114,[1]HOC_Histograma_Obra!$C$55:$C$113,"MOi")</f>
        <v>0</v>
      </c>
      <c r="AAM28" s="11">
        <f>SUMIFS([1]HOC_Histograma_Obra!ABR56:ABR114,[1]HOC_Histograma_Obra!$C$55:$C$113,"MOi")</f>
        <v>0</v>
      </c>
      <c r="AAN28" s="11">
        <f>SUMIFS([1]HOC_Histograma_Obra!ABS56:ABS114,[1]HOC_Histograma_Obra!$C$55:$C$113,"MOi")</f>
        <v>0</v>
      </c>
      <c r="AAO28" s="11">
        <f>SUMIFS([1]HOC_Histograma_Obra!ABT56:ABT114,[1]HOC_Histograma_Obra!$C$55:$C$113,"MOi")</f>
        <v>0</v>
      </c>
      <c r="AAP28" s="11">
        <f>SUMIFS([1]HOC_Histograma_Obra!ABU56:ABU114,[1]HOC_Histograma_Obra!$C$55:$C$113,"MOi")</f>
        <v>0</v>
      </c>
      <c r="AAQ28" s="11">
        <f>SUMIFS([1]HOC_Histograma_Obra!ABV56:ABV114,[1]HOC_Histograma_Obra!$C$55:$C$113,"MOi")</f>
        <v>0</v>
      </c>
      <c r="AAR28" s="11">
        <f>SUMIFS([1]HOC_Histograma_Obra!ABW56:ABW114,[1]HOC_Histograma_Obra!$C$55:$C$113,"MOi")</f>
        <v>0</v>
      </c>
      <c r="AAS28" s="11">
        <f>SUMIFS([1]HOC_Histograma_Obra!ABX56:ABX114,[1]HOC_Histograma_Obra!$C$55:$C$113,"MOi")</f>
        <v>0</v>
      </c>
      <c r="AAT28" s="11">
        <f>SUMIFS([1]HOC_Histograma_Obra!ABY56:ABY114,[1]HOC_Histograma_Obra!$C$55:$C$113,"MOi")</f>
        <v>0</v>
      </c>
      <c r="AAU28" s="11">
        <f>SUMIFS([1]HOC_Histograma_Obra!ABZ56:ABZ114,[1]HOC_Histograma_Obra!$C$55:$C$113,"MOi")</f>
        <v>0</v>
      </c>
      <c r="AAV28" s="11">
        <f>SUMIFS([1]HOC_Histograma_Obra!ACA56:ACA114,[1]HOC_Histograma_Obra!$C$55:$C$113,"MOi")</f>
        <v>0</v>
      </c>
      <c r="AAW28" s="11">
        <f>SUMIFS([1]HOC_Histograma_Obra!ACB56:ACB114,[1]HOC_Histograma_Obra!$C$55:$C$113,"MOi")</f>
        <v>0</v>
      </c>
      <c r="AAX28" s="11">
        <f>SUMIFS([1]HOC_Histograma_Obra!ACC56:ACC114,[1]HOC_Histograma_Obra!$C$55:$C$113,"MOi")</f>
        <v>0</v>
      </c>
      <c r="AAY28" s="11">
        <f>SUMIFS([1]HOC_Histograma_Obra!ACD56:ACD114,[1]HOC_Histograma_Obra!$C$55:$C$113,"MOi")</f>
        <v>0</v>
      </c>
      <c r="AAZ28" s="11">
        <f>SUMIFS([1]HOC_Histograma_Obra!ACE56:ACE114,[1]HOC_Histograma_Obra!$C$55:$C$113,"MOi")</f>
        <v>0</v>
      </c>
      <c r="ABA28" s="11">
        <f>SUMIFS([1]HOC_Histograma_Obra!ACF56:ACF114,[1]HOC_Histograma_Obra!$C$55:$C$113,"MOi")</f>
        <v>0</v>
      </c>
      <c r="ABB28" s="11">
        <f>SUMIFS([1]HOC_Histograma_Obra!ACG56:ACG114,[1]HOC_Histograma_Obra!$C$55:$C$113,"MOi")</f>
        <v>0</v>
      </c>
      <c r="ABC28" s="11">
        <f>SUMIFS([1]HOC_Histograma_Obra!ACH56:ACH114,[1]HOC_Histograma_Obra!$C$55:$C$113,"MOi")</f>
        <v>0</v>
      </c>
      <c r="ABD28" s="11">
        <f>SUMIFS([1]HOC_Histograma_Obra!ACI56:ACI114,[1]HOC_Histograma_Obra!$C$55:$C$113,"MOi")</f>
        <v>0</v>
      </c>
      <c r="ABE28" s="11">
        <f>SUMIFS([1]HOC_Histograma_Obra!ACJ56:ACJ114,[1]HOC_Histograma_Obra!$C$55:$C$113,"MOi")</f>
        <v>0</v>
      </c>
      <c r="ABF28" s="11">
        <f>SUMIFS([1]HOC_Histograma_Obra!ACK56:ACK114,[1]HOC_Histograma_Obra!$C$55:$C$113,"MOi")</f>
        <v>0</v>
      </c>
      <c r="ABG28" s="11">
        <f>SUMIFS([1]HOC_Histograma_Obra!ACL56:ACL114,[1]HOC_Histograma_Obra!$C$55:$C$113,"MOi")</f>
        <v>0</v>
      </c>
      <c r="ABH28" s="11">
        <f>SUMIFS([1]HOC_Histograma_Obra!ACM56:ACM114,[1]HOC_Histograma_Obra!$C$55:$C$113,"MOi")</f>
        <v>0</v>
      </c>
      <c r="ABI28" s="11">
        <f>SUMIFS([1]HOC_Histograma_Obra!ACN56:ACN114,[1]HOC_Histograma_Obra!$C$55:$C$113,"MOi")</f>
        <v>0</v>
      </c>
    </row>
    <row r="29" spans="4:737" ht="12.95" hidden="1" customHeight="1" x14ac:dyDescent="0.25">
      <c r="D29" s="14">
        <f t="shared" si="72"/>
        <v>154</v>
      </c>
      <c r="E29" s="15" t="s">
        <v>10</v>
      </c>
      <c r="F29" s="11">
        <f>SUMIFS([1]HOC_Histograma_Obra!AK57:AK115,[1]HOC_Histograma_Obra!$C$55:$C$113,"ST")</f>
        <v>1</v>
      </c>
      <c r="G29" s="11">
        <f>SUMIFS([1]HOC_Histograma_Obra!AL57:AL115,[1]HOC_Histograma_Obra!$C$55:$C$113,"ST")</f>
        <v>1</v>
      </c>
      <c r="H29" s="11">
        <f>SUMIFS([1]HOC_Histograma_Obra!AM57:AM115,[1]HOC_Histograma_Obra!$C$55:$C$113,"ST")</f>
        <v>1</v>
      </c>
      <c r="I29" s="11">
        <f>SUMIFS([1]HOC_Histograma_Obra!AN57:AN115,[1]HOC_Histograma_Obra!$C$55:$C$113,"ST")</f>
        <v>1</v>
      </c>
      <c r="J29" s="11">
        <f>SUMIFS([1]HOC_Histograma_Obra!AO57:AO115,[1]HOC_Histograma_Obra!$C$55:$C$113,"ST")</f>
        <v>1</v>
      </c>
      <c r="K29" s="11">
        <f>SUMIFS([1]HOC_Histograma_Obra!AP57:AP115,[1]HOC_Histograma_Obra!$C$55:$C$113,"ST")</f>
        <v>1</v>
      </c>
      <c r="L29" s="11">
        <f>SUMIFS([1]HOC_Histograma_Obra!AQ57:AQ115,[1]HOC_Histograma_Obra!$C$55:$C$113,"ST")</f>
        <v>0</v>
      </c>
      <c r="M29" s="11">
        <f>SUMIFS([1]HOC_Histograma_Obra!AR57:AR115,[1]HOC_Histograma_Obra!$C$55:$C$113,"ST")</f>
        <v>1</v>
      </c>
      <c r="N29" s="11">
        <f>SUMIFS([1]HOC_Histograma_Obra!AS57:AS115,[1]HOC_Histograma_Obra!$C$55:$C$113,"ST")</f>
        <v>1</v>
      </c>
      <c r="O29" s="11">
        <f>SUMIFS([1]HOC_Histograma_Obra!AT57:AT115,[1]HOC_Histograma_Obra!$C$55:$C$113,"ST")</f>
        <v>1</v>
      </c>
      <c r="P29" s="11">
        <f>SUMIFS([1]HOC_Histograma_Obra!AU57:AU115,[1]HOC_Histograma_Obra!$C$55:$C$113,"ST")</f>
        <v>1</v>
      </c>
      <c r="Q29" s="11">
        <f>SUMIFS([1]HOC_Histograma_Obra!AV57:AV115,[1]HOC_Histograma_Obra!$C$55:$C$113,"ST")</f>
        <v>1</v>
      </c>
      <c r="R29" s="11">
        <f>SUMIFS([1]HOC_Histograma_Obra!AW57:AW115,[1]HOC_Histograma_Obra!$C$55:$C$113,"ST")</f>
        <v>1</v>
      </c>
      <c r="S29" s="11">
        <f>SUMIFS([1]HOC_Histograma_Obra!AX57:AX115,[1]HOC_Histograma_Obra!$C$55:$C$113,"ST")</f>
        <v>0</v>
      </c>
      <c r="T29" s="11">
        <f>SUMIFS([1]HOC_Histograma_Obra!AY57:AY115,[1]HOC_Histograma_Obra!$C$55:$C$113,"ST")</f>
        <v>1</v>
      </c>
      <c r="U29" s="11">
        <f>SUMIFS([1]HOC_Histograma_Obra!AZ57:AZ115,[1]HOC_Histograma_Obra!$C$55:$C$113,"ST")</f>
        <v>1</v>
      </c>
      <c r="V29" s="11">
        <f>SUMIFS([1]HOC_Histograma_Obra!BA57:BA115,[1]HOC_Histograma_Obra!$C$55:$C$113,"ST")</f>
        <v>1</v>
      </c>
      <c r="W29" s="11">
        <f>SUMIFS([1]HOC_Histograma_Obra!BB57:BB115,[1]HOC_Histograma_Obra!$C$55:$C$113,"ST")</f>
        <v>1</v>
      </c>
      <c r="X29" s="11">
        <f>SUMIFS([1]HOC_Histograma_Obra!BC57:BC115,[1]HOC_Histograma_Obra!$C$55:$C$113,"ST")</f>
        <v>1</v>
      </c>
      <c r="Y29" s="11">
        <f>SUMIFS([1]HOC_Histograma_Obra!BD57:BD115,[1]HOC_Histograma_Obra!$C$55:$C$113,"ST")</f>
        <v>1</v>
      </c>
      <c r="Z29" s="11">
        <f>SUMIFS([1]HOC_Histograma_Obra!BE57:BE115,[1]HOC_Histograma_Obra!$C$55:$C$113,"ST")</f>
        <v>0</v>
      </c>
      <c r="AA29" s="11">
        <f>SUMIFS([1]HOC_Histograma_Obra!BF57:BF115,[1]HOC_Histograma_Obra!$C$55:$C$113,"ST")</f>
        <v>1</v>
      </c>
      <c r="AB29" s="11">
        <f>SUMIFS([1]HOC_Histograma_Obra!BG57:BG115,[1]HOC_Histograma_Obra!$C$55:$C$113,"ST")</f>
        <v>1</v>
      </c>
      <c r="AC29" s="11">
        <f>SUMIFS([1]HOC_Histograma_Obra!BH57:BH115,[1]HOC_Histograma_Obra!$C$55:$C$113,"ST")</f>
        <v>1</v>
      </c>
      <c r="AD29" s="11">
        <f>SUMIFS([1]HOC_Histograma_Obra!BI57:BI115,[1]HOC_Histograma_Obra!$C$55:$C$113,"ST")</f>
        <v>1</v>
      </c>
      <c r="AE29" s="11">
        <f>SUMIFS([1]HOC_Histograma_Obra!BJ57:BJ115,[1]HOC_Histograma_Obra!$C$55:$C$113,"ST")</f>
        <v>1</v>
      </c>
      <c r="AF29" s="11">
        <f>SUMIFS([1]HOC_Histograma_Obra!BK57:BK115,[1]HOC_Histograma_Obra!$C$55:$C$113,"ST")</f>
        <v>1</v>
      </c>
      <c r="AG29" s="11">
        <f>SUMIFS([1]HOC_Histograma_Obra!BL57:BL115,[1]HOC_Histograma_Obra!$C$55:$C$113,"ST")</f>
        <v>0</v>
      </c>
      <c r="AH29" s="11">
        <f>SUMIFS([1]HOC_Histograma_Obra!BM57:BM115,[1]HOC_Histograma_Obra!$C$55:$C$113,"ST")</f>
        <v>1</v>
      </c>
      <c r="AI29" s="11">
        <f>SUMIFS([1]HOC_Histograma_Obra!BN57:BN115,[1]HOC_Histograma_Obra!$C$55:$C$113,"ST")</f>
        <v>1</v>
      </c>
      <c r="AJ29" s="11">
        <f>SUMIFS([1]HOC_Histograma_Obra!BO57:BO115,[1]HOC_Histograma_Obra!$C$55:$C$113,"ST")</f>
        <v>1</v>
      </c>
      <c r="AK29" s="16">
        <f>SUMIFS([1]HOC_Histograma_Obra!BP57:BP115,[1]HOC_Histograma_Obra!$C$55:$C$113,"ST")</f>
        <v>1</v>
      </c>
      <c r="AL29" s="11">
        <f>SUMIFS([1]HOC_Histograma_Obra!BQ57:BQ115,[1]HOC_Histograma_Obra!$C$55:$C$113,"ST")</f>
        <v>1</v>
      </c>
      <c r="AM29" s="11">
        <f>SUMIFS([1]HOC_Histograma_Obra!BR57:BR115,[1]HOC_Histograma_Obra!$C$55:$C$113,"ST")</f>
        <v>1</v>
      </c>
      <c r="AN29" s="11">
        <f>SUMIFS([1]HOC_Histograma_Obra!BS57:BS115,[1]HOC_Histograma_Obra!$C$55:$C$113,"ST")</f>
        <v>0</v>
      </c>
      <c r="AO29" s="11">
        <f>SUMIFS([1]HOC_Histograma_Obra!BT57:BT115,[1]HOC_Histograma_Obra!$C$55:$C$113,"ST")</f>
        <v>1</v>
      </c>
      <c r="AP29" s="11">
        <f>SUMIFS([1]HOC_Histograma_Obra!BU57:BU115,[1]HOC_Histograma_Obra!$C$55:$C$113,"ST")</f>
        <v>1</v>
      </c>
      <c r="AQ29" s="11">
        <f>SUMIFS([1]HOC_Histograma_Obra!BV57:BV115,[1]HOC_Histograma_Obra!$C$55:$C$113,"ST")</f>
        <v>1</v>
      </c>
      <c r="AR29" s="11">
        <f>SUMIFS([1]HOC_Histograma_Obra!BW57:BW115,[1]HOC_Histograma_Obra!$C$55:$C$113,"ST")</f>
        <v>1</v>
      </c>
      <c r="AS29" s="11">
        <f>SUMIFS([1]HOC_Histograma_Obra!BX57:BX115,[1]HOC_Histograma_Obra!$C$55:$C$113,"ST")</f>
        <v>1</v>
      </c>
      <c r="AT29" s="11">
        <f>SUMIFS([1]HOC_Histograma_Obra!BY57:BY115,[1]HOC_Histograma_Obra!$C$55:$C$113,"ST")</f>
        <v>1</v>
      </c>
      <c r="AU29" s="11">
        <f>SUMIFS([1]HOC_Histograma_Obra!BZ57:BZ115,[1]HOC_Histograma_Obra!$C$55:$C$113,"ST")</f>
        <v>0</v>
      </c>
      <c r="AV29" s="11">
        <f>SUMIFS([1]HOC_Histograma_Obra!CA57:CA115,[1]HOC_Histograma_Obra!$C$55:$C$113,"ST")</f>
        <v>1</v>
      </c>
      <c r="AW29" s="11">
        <f>SUMIFS([1]HOC_Histograma_Obra!CB57:CB115,[1]HOC_Histograma_Obra!$C$55:$C$113,"ST")</f>
        <v>1</v>
      </c>
      <c r="AX29" s="11">
        <f>SUMIFS([1]HOC_Histograma_Obra!CC57:CC115,[1]HOC_Histograma_Obra!$C$55:$C$113,"ST")</f>
        <v>1</v>
      </c>
      <c r="AY29" s="11">
        <f>SUMIFS([1]HOC_Histograma_Obra!CD57:CD115,[1]HOC_Histograma_Obra!$C$55:$C$113,"ST")</f>
        <v>1</v>
      </c>
      <c r="AZ29" s="11">
        <f>SUMIFS([1]HOC_Histograma_Obra!CE57:CE115,[1]HOC_Histograma_Obra!$C$55:$C$113,"ST")</f>
        <v>1</v>
      </c>
      <c r="BA29" s="11">
        <f>SUMIFS([1]HOC_Histograma_Obra!CF57:CF115,[1]HOC_Histograma_Obra!$C$55:$C$113,"ST")</f>
        <v>1</v>
      </c>
      <c r="BB29" s="11">
        <f>SUMIFS([1]HOC_Histograma_Obra!CG57:CG115,[1]HOC_Histograma_Obra!$C$55:$C$113,"ST")</f>
        <v>0</v>
      </c>
      <c r="BC29" s="11">
        <f>SUMIFS([1]HOC_Histograma_Obra!CH57:CH115,[1]HOC_Histograma_Obra!$C$55:$C$113,"ST")</f>
        <v>1</v>
      </c>
      <c r="BD29" s="11">
        <f>SUMIFS([1]HOC_Histograma_Obra!CI57:CI115,[1]HOC_Histograma_Obra!$C$55:$C$113,"ST")</f>
        <v>1</v>
      </c>
      <c r="BE29" s="11">
        <f>SUMIFS([1]HOC_Histograma_Obra!CJ57:CJ115,[1]HOC_Histograma_Obra!$C$55:$C$113,"ST")</f>
        <v>1</v>
      </c>
      <c r="BF29" s="11">
        <f>SUMIFS([1]HOC_Histograma_Obra!CK57:CK115,[1]HOC_Histograma_Obra!$C$55:$C$113,"ST")</f>
        <v>1</v>
      </c>
      <c r="BG29" s="11">
        <f>SUMIFS([1]HOC_Histograma_Obra!CL57:CL115,[1]HOC_Histograma_Obra!$C$55:$C$113,"ST")</f>
        <v>1</v>
      </c>
      <c r="BH29" s="11">
        <f>SUMIFS([1]HOC_Histograma_Obra!CM57:CM115,[1]HOC_Histograma_Obra!$C$55:$C$113,"ST")</f>
        <v>1</v>
      </c>
      <c r="BI29" s="11">
        <f>SUMIFS([1]HOC_Histograma_Obra!CN57:CN115,[1]HOC_Histograma_Obra!$C$55:$C$113,"ST")</f>
        <v>0</v>
      </c>
      <c r="BJ29" s="11">
        <f>SUMIFS([1]HOC_Histograma_Obra!CO57:CO115,[1]HOC_Histograma_Obra!$C$55:$C$113,"ST")</f>
        <v>1</v>
      </c>
      <c r="BK29" s="11">
        <f>SUMIFS([1]HOC_Histograma_Obra!CP57:CP115,[1]HOC_Histograma_Obra!$C$55:$C$113,"ST")</f>
        <v>1</v>
      </c>
      <c r="BL29" s="11">
        <f>SUMIFS([1]HOC_Histograma_Obra!CQ57:CQ115,[1]HOC_Histograma_Obra!$C$55:$C$113,"ST")</f>
        <v>1</v>
      </c>
      <c r="BM29" s="11">
        <f>SUMIFS([1]HOC_Histograma_Obra!CR57:CR115,[1]HOC_Histograma_Obra!$C$55:$C$113,"ST")</f>
        <v>1</v>
      </c>
      <c r="BN29" s="11">
        <f>SUMIFS([1]HOC_Histograma_Obra!CS57:CS115,[1]HOC_Histograma_Obra!$C$55:$C$113,"ST")</f>
        <v>1</v>
      </c>
      <c r="BO29" s="11">
        <f>SUMIFS([1]HOC_Histograma_Obra!CT57:CT115,[1]HOC_Histograma_Obra!$C$55:$C$113,"ST")</f>
        <v>1</v>
      </c>
      <c r="BP29" s="11">
        <f>SUMIFS([1]HOC_Histograma_Obra!CU57:CU115,[1]HOC_Histograma_Obra!$C$55:$C$113,"ST")</f>
        <v>0</v>
      </c>
      <c r="BQ29" s="11">
        <f>SUMIFS([1]HOC_Histograma_Obra!CV57:CV115,[1]HOC_Histograma_Obra!$C$55:$C$113,"ST")</f>
        <v>1</v>
      </c>
      <c r="BR29" s="11">
        <f>SUMIFS([1]HOC_Histograma_Obra!CW57:CW115,[1]HOC_Histograma_Obra!$C$55:$C$113,"ST")</f>
        <v>1</v>
      </c>
      <c r="BS29" s="11">
        <f>SUMIFS([1]HOC_Histograma_Obra!CX57:CX115,[1]HOC_Histograma_Obra!$C$55:$C$113,"ST")</f>
        <v>1</v>
      </c>
      <c r="BT29" s="11">
        <f>SUMIFS([1]HOC_Histograma_Obra!CY57:CY115,[1]HOC_Histograma_Obra!$C$55:$C$113,"ST")</f>
        <v>1</v>
      </c>
      <c r="BU29" s="11">
        <f>SUMIFS([1]HOC_Histograma_Obra!CZ57:CZ115,[1]HOC_Histograma_Obra!$C$55:$C$113,"ST")</f>
        <v>1</v>
      </c>
      <c r="BV29" s="11">
        <f>SUMIFS([1]HOC_Histograma_Obra!DA57:DA115,[1]HOC_Histograma_Obra!$C$55:$C$113,"ST")</f>
        <v>1</v>
      </c>
      <c r="BW29" s="11">
        <f>SUMIFS([1]HOC_Histograma_Obra!DB57:DB115,[1]HOC_Histograma_Obra!$C$55:$C$113,"ST")</f>
        <v>0</v>
      </c>
      <c r="BX29" s="11">
        <f>SUMIFS([1]HOC_Histograma_Obra!DC57:DC115,[1]HOC_Histograma_Obra!$C$55:$C$113,"ST")</f>
        <v>1</v>
      </c>
      <c r="BY29" s="11">
        <f>SUMIFS([1]HOC_Histograma_Obra!DD57:DD115,[1]HOC_Histograma_Obra!$C$55:$C$113,"ST")</f>
        <v>1</v>
      </c>
      <c r="BZ29" s="11">
        <f>SUMIFS([1]HOC_Histograma_Obra!DE57:DE115,[1]HOC_Histograma_Obra!$C$55:$C$113,"ST")</f>
        <v>1</v>
      </c>
      <c r="CA29" s="11">
        <f>SUMIFS([1]HOC_Histograma_Obra!DF57:DF115,[1]HOC_Histograma_Obra!$C$55:$C$113,"ST")</f>
        <v>1</v>
      </c>
      <c r="CB29" s="11">
        <f>SUMIFS([1]HOC_Histograma_Obra!DG57:DG115,[1]HOC_Histograma_Obra!$C$55:$C$113,"ST")</f>
        <v>1</v>
      </c>
      <c r="CC29" s="11">
        <f>SUMIFS([1]HOC_Histograma_Obra!DH57:DH115,[1]HOC_Histograma_Obra!$C$55:$C$113,"ST")</f>
        <v>1</v>
      </c>
      <c r="CD29" s="11">
        <f>SUMIFS([1]HOC_Histograma_Obra!DI57:DI115,[1]HOC_Histograma_Obra!$C$55:$C$113,"ST")</f>
        <v>0</v>
      </c>
      <c r="CE29" s="11">
        <f>SUMIFS([1]HOC_Histograma_Obra!DJ57:DJ115,[1]HOC_Histograma_Obra!$C$55:$C$113,"ST")</f>
        <v>1</v>
      </c>
      <c r="CF29" s="11">
        <f>SUMIFS([1]HOC_Histograma_Obra!DK57:DK115,[1]HOC_Histograma_Obra!$C$55:$C$113,"ST")</f>
        <v>1</v>
      </c>
      <c r="CG29" s="11">
        <f>SUMIFS([1]HOC_Histograma_Obra!DL57:DL115,[1]HOC_Histograma_Obra!$C$55:$C$113,"ST")</f>
        <v>1</v>
      </c>
      <c r="CH29" s="11">
        <f>SUMIFS([1]HOC_Histograma_Obra!DM57:DM115,[1]HOC_Histograma_Obra!$C$55:$C$113,"ST")</f>
        <v>1</v>
      </c>
      <c r="CI29" s="11">
        <f>SUMIFS([1]HOC_Histograma_Obra!DN57:DN115,[1]HOC_Histograma_Obra!$C$55:$C$113,"ST")</f>
        <v>1</v>
      </c>
      <c r="CJ29" s="11">
        <f>SUMIFS([1]HOC_Histograma_Obra!DO57:DO115,[1]HOC_Histograma_Obra!$C$55:$C$113,"ST")</f>
        <v>1</v>
      </c>
      <c r="CK29" s="11">
        <f>SUMIFS([1]HOC_Histograma_Obra!DP57:DP115,[1]HOC_Histograma_Obra!$C$55:$C$113,"ST")</f>
        <v>0</v>
      </c>
      <c r="CL29" s="11">
        <f>SUMIFS([1]HOC_Histograma_Obra!DQ57:DQ115,[1]HOC_Histograma_Obra!$C$55:$C$113,"ST")</f>
        <v>1</v>
      </c>
      <c r="CM29" s="11">
        <f>SUMIFS([1]HOC_Histograma_Obra!DR57:DR115,[1]HOC_Histograma_Obra!$C$55:$C$113,"ST")</f>
        <v>1</v>
      </c>
      <c r="CN29" s="11">
        <f>SUMIFS([1]HOC_Histograma_Obra!DS57:DS115,[1]HOC_Histograma_Obra!$C$55:$C$113,"ST")</f>
        <v>1</v>
      </c>
      <c r="CO29" s="11">
        <f>SUMIFS([1]HOC_Histograma_Obra!DT57:DT115,[1]HOC_Histograma_Obra!$C$55:$C$113,"ST")</f>
        <v>1</v>
      </c>
      <c r="CP29" s="11">
        <f>SUMIFS([1]HOC_Histograma_Obra!DU57:DU115,[1]HOC_Histograma_Obra!$C$55:$C$113,"ST")</f>
        <v>1</v>
      </c>
      <c r="CQ29" s="11">
        <f>SUMIFS([1]HOC_Histograma_Obra!DV57:DV115,[1]HOC_Histograma_Obra!$C$55:$C$113,"ST")</f>
        <v>1</v>
      </c>
      <c r="CR29" s="11">
        <f>SUMIFS([1]HOC_Histograma_Obra!DW57:DW115,[1]HOC_Histograma_Obra!$C$55:$C$113,"ST")</f>
        <v>0</v>
      </c>
      <c r="CS29" s="11">
        <f>SUMIFS([1]HOC_Histograma_Obra!DX57:DX115,[1]HOC_Histograma_Obra!$C$55:$C$113,"ST")</f>
        <v>1</v>
      </c>
      <c r="CT29" s="11">
        <f>SUMIFS([1]HOC_Histograma_Obra!DY57:DY115,[1]HOC_Histograma_Obra!$C$55:$C$113,"ST")</f>
        <v>1</v>
      </c>
      <c r="CU29" s="11">
        <f>SUMIFS([1]HOC_Histograma_Obra!DZ57:DZ115,[1]HOC_Histograma_Obra!$C$55:$C$113,"ST")</f>
        <v>1</v>
      </c>
      <c r="CV29" s="11">
        <f>SUMIFS([1]HOC_Histograma_Obra!EA57:EA115,[1]HOC_Histograma_Obra!$C$55:$C$113,"ST")</f>
        <v>1</v>
      </c>
      <c r="CW29" s="11">
        <f>SUMIFS([1]HOC_Histograma_Obra!EB57:EB115,[1]HOC_Histograma_Obra!$C$55:$C$113,"ST")</f>
        <v>1</v>
      </c>
      <c r="CX29" s="11">
        <f>SUMIFS([1]HOC_Histograma_Obra!EC57:EC115,[1]HOC_Histograma_Obra!$C$55:$C$113,"ST")</f>
        <v>1</v>
      </c>
      <c r="CY29" s="11">
        <f>SUMIFS([1]HOC_Histograma_Obra!ED57:ED115,[1]HOC_Histograma_Obra!$C$55:$C$113,"ST")</f>
        <v>0</v>
      </c>
      <c r="CZ29" s="11">
        <f>SUMIFS([1]HOC_Histograma_Obra!EE57:EE115,[1]HOC_Histograma_Obra!$C$55:$C$113,"ST")</f>
        <v>1</v>
      </c>
      <c r="DA29" s="11">
        <f>SUMIFS([1]HOC_Histograma_Obra!EF57:EF115,[1]HOC_Histograma_Obra!$C$55:$C$113,"ST")</f>
        <v>1</v>
      </c>
      <c r="DB29" s="11">
        <f>SUMIFS([1]HOC_Histograma_Obra!EG57:EG115,[1]HOC_Histograma_Obra!$C$55:$C$113,"ST")</f>
        <v>1</v>
      </c>
      <c r="DC29" s="11">
        <f>SUMIFS([1]HOC_Histograma_Obra!EH57:EH115,[1]HOC_Histograma_Obra!$C$55:$C$113,"ST")</f>
        <v>1</v>
      </c>
      <c r="DD29" s="11">
        <f>SUMIFS([1]HOC_Histograma_Obra!EI57:EI115,[1]HOC_Histograma_Obra!$C$55:$C$113,"ST")</f>
        <v>1</v>
      </c>
      <c r="DE29" s="11">
        <f>SUMIFS([1]HOC_Histograma_Obra!EJ57:EJ115,[1]HOC_Histograma_Obra!$C$55:$C$113,"ST")</f>
        <v>1</v>
      </c>
      <c r="DF29" s="11">
        <f>SUMIFS([1]HOC_Histograma_Obra!EK57:EK115,[1]HOC_Histograma_Obra!$C$55:$C$113,"ST")</f>
        <v>0</v>
      </c>
      <c r="DG29" s="11">
        <f>SUMIFS([1]HOC_Histograma_Obra!EL57:EL115,[1]HOC_Histograma_Obra!$C$55:$C$113,"ST")</f>
        <v>1</v>
      </c>
      <c r="DH29" s="11">
        <f>SUMIFS([1]HOC_Histograma_Obra!EM57:EM115,[1]HOC_Histograma_Obra!$C$55:$C$113,"ST")</f>
        <v>1</v>
      </c>
      <c r="DI29" s="11">
        <f>SUMIFS([1]HOC_Histograma_Obra!EN57:EN115,[1]HOC_Histograma_Obra!$C$55:$C$113,"ST")</f>
        <v>1</v>
      </c>
      <c r="DJ29" s="11">
        <f>SUMIFS([1]HOC_Histograma_Obra!EO57:EO115,[1]HOC_Histograma_Obra!$C$55:$C$113,"ST")</f>
        <v>1</v>
      </c>
      <c r="DK29" s="11">
        <f>SUMIFS([1]HOC_Histograma_Obra!EP57:EP115,[1]HOC_Histograma_Obra!$C$55:$C$113,"ST")</f>
        <v>1</v>
      </c>
      <c r="DL29" s="11">
        <f>SUMIFS([1]HOC_Histograma_Obra!EQ57:EQ115,[1]HOC_Histograma_Obra!$C$55:$C$113,"ST")</f>
        <v>1</v>
      </c>
      <c r="DM29" s="11">
        <f>SUMIFS([1]HOC_Histograma_Obra!ER57:ER115,[1]HOC_Histograma_Obra!$C$55:$C$113,"ST")</f>
        <v>0</v>
      </c>
      <c r="DN29" s="11">
        <f>SUMIFS([1]HOC_Histograma_Obra!ES57:ES115,[1]HOC_Histograma_Obra!$C$55:$C$113,"ST")</f>
        <v>1</v>
      </c>
      <c r="DO29" s="11">
        <f>SUMIFS([1]HOC_Histograma_Obra!ET57:ET115,[1]HOC_Histograma_Obra!$C$55:$C$113,"ST")</f>
        <v>1</v>
      </c>
      <c r="DP29" s="11">
        <f>SUMIFS([1]HOC_Histograma_Obra!EU57:EU115,[1]HOC_Histograma_Obra!$C$55:$C$113,"ST")</f>
        <v>1</v>
      </c>
      <c r="DQ29" s="11">
        <f>SUMIFS([1]HOC_Histograma_Obra!EV57:EV115,[1]HOC_Histograma_Obra!$C$55:$C$113,"ST")</f>
        <v>1</v>
      </c>
      <c r="DR29" s="11">
        <f>SUMIFS([1]HOC_Histograma_Obra!EW57:EW115,[1]HOC_Histograma_Obra!$C$55:$C$113,"ST")</f>
        <v>1</v>
      </c>
      <c r="DS29" s="11">
        <f>SUMIFS([1]HOC_Histograma_Obra!EX57:EX115,[1]HOC_Histograma_Obra!$C$55:$C$113,"ST")</f>
        <v>1</v>
      </c>
      <c r="DT29" s="11">
        <f>SUMIFS([1]HOC_Histograma_Obra!EY57:EY115,[1]HOC_Histograma_Obra!$C$55:$C$113,"ST")</f>
        <v>0</v>
      </c>
      <c r="DU29" s="11">
        <f>SUMIFS([1]HOC_Histograma_Obra!EZ57:EZ115,[1]HOC_Histograma_Obra!$C$55:$C$113,"ST")</f>
        <v>1</v>
      </c>
      <c r="DV29" s="11">
        <f>SUMIFS([1]HOC_Histograma_Obra!FA57:FA115,[1]HOC_Histograma_Obra!$C$55:$C$113,"ST")</f>
        <v>1</v>
      </c>
      <c r="DW29" s="11">
        <f>SUMIFS([1]HOC_Histograma_Obra!FB57:FB115,[1]HOC_Histograma_Obra!$C$55:$C$113,"ST")</f>
        <v>1</v>
      </c>
      <c r="DX29" s="11">
        <f>SUMIFS([1]HOC_Histograma_Obra!FC57:FC115,[1]HOC_Histograma_Obra!$C$55:$C$113,"ST")</f>
        <v>1</v>
      </c>
      <c r="DY29" s="11">
        <f>SUMIFS([1]HOC_Histograma_Obra!FD57:FD115,[1]HOC_Histograma_Obra!$C$55:$C$113,"ST")</f>
        <v>1</v>
      </c>
      <c r="DZ29" s="11">
        <f>SUMIFS([1]HOC_Histograma_Obra!FE57:FE115,[1]HOC_Histograma_Obra!$C$55:$C$113,"ST")</f>
        <v>1</v>
      </c>
      <c r="EA29" s="11">
        <f>SUMIFS([1]HOC_Histograma_Obra!FF57:FF115,[1]HOC_Histograma_Obra!$C$55:$C$113,"ST")</f>
        <v>0</v>
      </c>
      <c r="EB29" s="11">
        <f>SUMIFS([1]HOC_Histograma_Obra!FG57:FG115,[1]HOC_Histograma_Obra!$C$55:$C$113,"ST")</f>
        <v>0</v>
      </c>
      <c r="EC29" s="11">
        <f>SUMIFS([1]HOC_Histograma_Obra!FH57:FH115,[1]HOC_Histograma_Obra!$C$55:$C$113,"ST")</f>
        <v>1</v>
      </c>
      <c r="ED29" s="11">
        <f>SUMIFS([1]HOC_Histograma_Obra!FI57:FI115,[1]HOC_Histograma_Obra!$C$55:$C$113,"ST")</f>
        <v>1</v>
      </c>
      <c r="EE29" s="11">
        <f>SUMIFS([1]HOC_Histograma_Obra!FJ57:FJ115,[1]HOC_Histograma_Obra!$C$55:$C$113,"ST")</f>
        <v>1</v>
      </c>
      <c r="EF29" s="11">
        <f>SUMIFS([1]HOC_Histograma_Obra!FK57:FK115,[1]HOC_Histograma_Obra!$C$55:$C$113,"ST")</f>
        <v>1</v>
      </c>
      <c r="EG29" s="11">
        <f>SUMIFS([1]HOC_Histograma_Obra!FL57:FL115,[1]HOC_Histograma_Obra!$C$55:$C$113,"ST")</f>
        <v>1</v>
      </c>
      <c r="EH29" s="11">
        <f>SUMIFS([1]HOC_Histograma_Obra!FM57:FM115,[1]HOC_Histograma_Obra!$C$55:$C$113,"ST")</f>
        <v>0</v>
      </c>
      <c r="EI29" s="11">
        <f>SUMIFS([1]HOC_Histograma_Obra!FN57:FN115,[1]HOC_Histograma_Obra!$C$55:$C$113,"ST")</f>
        <v>1</v>
      </c>
      <c r="EJ29" s="11">
        <f>SUMIFS([1]HOC_Histograma_Obra!FO57:FO115,[1]HOC_Histograma_Obra!$C$55:$C$113,"ST")</f>
        <v>1</v>
      </c>
      <c r="EK29" s="11">
        <f>SUMIFS([1]HOC_Histograma_Obra!FP57:FP115,[1]HOC_Histograma_Obra!$C$55:$C$113,"ST")</f>
        <v>1</v>
      </c>
      <c r="EL29" s="11">
        <f>SUMIFS([1]HOC_Histograma_Obra!FQ57:FQ115,[1]HOC_Histograma_Obra!$C$55:$C$113,"ST")</f>
        <v>1</v>
      </c>
      <c r="EM29" s="11">
        <f>SUMIFS([1]HOC_Histograma_Obra!FR57:FR115,[1]HOC_Histograma_Obra!$C$55:$C$113,"ST")</f>
        <v>1</v>
      </c>
      <c r="EN29" s="11">
        <f>SUMIFS([1]HOC_Histograma_Obra!FS57:FS115,[1]HOC_Histograma_Obra!$C$55:$C$113,"ST")</f>
        <v>1</v>
      </c>
      <c r="EO29" s="11">
        <f>SUMIFS([1]HOC_Histograma_Obra!FT57:FT115,[1]HOC_Histograma_Obra!$C$55:$C$113,"ST")</f>
        <v>0</v>
      </c>
      <c r="EP29" s="11">
        <f>SUMIFS([1]HOC_Histograma_Obra!FU57:FU115,[1]HOC_Histograma_Obra!$C$55:$C$113,"ST")</f>
        <v>1</v>
      </c>
      <c r="EQ29" s="11">
        <f>SUMIFS([1]HOC_Histograma_Obra!FV57:FV115,[1]HOC_Histograma_Obra!$C$55:$C$113,"ST")</f>
        <v>1</v>
      </c>
      <c r="ER29" s="11">
        <f>SUMIFS([1]HOC_Histograma_Obra!FW57:FW115,[1]HOC_Histograma_Obra!$C$55:$C$113,"ST")</f>
        <v>1</v>
      </c>
      <c r="ES29" s="11">
        <f>SUMIFS([1]HOC_Histograma_Obra!FX57:FX115,[1]HOC_Histograma_Obra!$C$55:$C$113,"ST")</f>
        <v>1</v>
      </c>
      <c r="ET29" s="11">
        <f>SUMIFS([1]HOC_Histograma_Obra!FY57:FY115,[1]HOC_Histograma_Obra!$C$55:$C$113,"ST")</f>
        <v>1</v>
      </c>
      <c r="EU29" s="11">
        <f>SUMIFS([1]HOC_Histograma_Obra!FZ57:FZ115,[1]HOC_Histograma_Obra!$C$55:$C$113,"ST")</f>
        <v>1</v>
      </c>
      <c r="EV29" s="11">
        <f>SUMIFS([1]HOC_Histograma_Obra!GA57:GA115,[1]HOC_Histograma_Obra!$C$55:$C$113,"ST")</f>
        <v>0</v>
      </c>
      <c r="EW29" s="11">
        <f>SUMIFS([1]HOC_Histograma_Obra!GB57:GB115,[1]HOC_Histograma_Obra!$C$55:$C$113,"ST")</f>
        <v>1</v>
      </c>
      <c r="EX29" s="11">
        <f>SUMIFS([1]HOC_Histograma_Obra!GC57:GC115,[1]HOC_Histograma_Obra!$C$55:$C$113,"ST")</f>
        <v>1</v>
      </c>
      <c r="EY29" s="11">
        <f>SUMIFS([1]HOC_Histograma_Obra!GD57:GD115,[1]HOC_Histograma_Obra!$C$55:$C$113,"ST")</f>
        <v>1</v>
      </c>
      <c r="EZ29" s="11">
        <f>SUMIFS([1]HOC_Histograma_Obra!GE57:GE115,[1]HOC_Histograma_Obra!$C$55:$C$113,"ST")</f>
        <v>1</v>
      </c>
      <c r="FA29" s="11">
        <f>SUMIFS([1]HOC_Histograma_Obra!GF57:GF115,[1]HOC_Histograma_Obra!$C$55:$C$113,"ST")</f>
        <v>1</v>
      </c>
      <c r="FB29" s="11">
        <f>SUMIFS([1]HOC_Histograma_Obra!GG57:GG115,[1]HOC_Histograma_Obra!$C$55:$C$113,"ST")</f>
        <v>1</v>
      </c>
      <c r="FC29" s="11">
        <f>SUMIFS([1]HOC_Histograma_Obra!GH57:GH115,[1]HOC_Histograma_Obra!$C$55:$C$113,"ST")</f>
        <v>0</v>
      </c>
      <c r="FD29" s="11">
        <f>SUMIFS([1]HOC_Histograma_Obra!GI57:GI115,[1]HOC_Histograma_Obra!$C$55:$C$113,"ST")</f>
        <v>1</v>
      </c>
      <c r="FE29" s="11">
        <f>SUMIFS([1]HOC_Histograma_Obra!GJ57:GJ115,[1]HOC_Histograma_Obra!$C$55:$C$113,"ST")</f>
        <v>1</v>
      </c>
      <c r="FF29" s="11">
        <f>SUMIFS([1]HOC_Histograma_Obra!GK57:GK115,[1]HOC_Histograma_Obra!$C$55:$C$113,"ST")</f>
        <v>1</v>
      </c>
      <c r="FG29" s="11">
        <f>SUMIFS([1]HOC_Histograma_Obra!GL57:GL115,[1]HOC_Histograma_Obra!$C$55:$C$113,"ST")</f>
        <v>1</v>
      </c>
      <c r="FH29" s="11">
        <f>SUMIFS([1]HOC_Histograma_Obra!GM57:GM115,[1]HOC_Histograma_Obra!$C$55:$C$113,"ST")</f>
        <v>1</v>
      </c>
      <c r="FI29" s="11">
        <f>SUMIFS([1]HOC_Histograma_Obra!GN57:GN115,[1]HOC_Histograma_Obra!$C$55:$C$113,"ST")</f>
        <v>1</v>
      </c>
      <c r="FJ29" s="11">
        <f>SUMIFS([1]HOC_Histograma_Obra!GO57:GO115,[1]HOC_Histograma_Obra!$C$55:$C$113,"ST")</f>
        <v>0</v>
      </c>
      <c r="FK29" s="11">
        <f>SUMIFS([1]HOC_Histograma_Obra!GP57:GP115,[1]HOC_Histograma_Obra!$C$55:$C$113,"ST")</f>
        <v>0</v>
      </c>
      <c r="FL29" s="11">
        <f>SUMIFS([1]HOC_Histograma_Obra!GQ57:GQ115,[1]HOC_Histograma_Obra!$C$55:$C$113,"ST")</f>
        <v>1</v>
      </c>
      <c r="FM29" s="11">
        <f>SUMIFS([1]HOC_Histograma_Obra!GR57:GR115,[1]HOC_Histograma_Obra!$C$55:$C$113,"ST")</f>
        <v>1</v>
      </c>
      <c r="FN29" s="11">
        <f>SUMIFS([1]HOC_Histograma_Obra!GS57:GS115,[1]HOC_Histograma_Obra!$C$55:$C$113,"ST")</f>
        <v>1</v>
      </c>
      <c r="FO29" s="11">
        <f>SUMIFS([1]HOC_Histograma_Obra!GT57:GT115,[1]HOC_Histograma_Obra!$C$55:$C$113,"ST")</f>
        <v>1</v>
      </c>
      <c r="FP29" s="11">
        <f>SUMIFS([1]HOC_Histograma_Obra!GU57:GU115,[1]HOC_Histograma_Obra!$C$55:$C$113,"ST")</f>
        <v>1</v>
      </c>
      <c r="FQ29" s="11">
        <f>SUMIFS([1]HOC_Histograma_Obra!GV57:GV115,[1]HOC_Histograma_Obra!$C$55:$C$113,"ST")</f>
        <v>0</v>
      </c>
      <c r="FR29" s="11">
        <f>SUMIFS([1]HOC_Histograma_Obra!GW57:GW115,[1]HOC_Histograma_Obra!$C$55:$C$113,"ST")</f>
        <v>1</v>
      </c>
      <c r="FS29" s="11">
        <f>SUMIFS([1]HOC_Histograma_Obra!GX57:GX115,[1]HOC_Histograma_Obra!$C$55:$C$113,"ST")</f>
        <v>1</v>
      </c>
      <c r="FT29" s="11">
        <f>SUMIFS([1]HOC_Histograma_Obra!GY57:GY115,[1]HOC_Histograma_Obra!$C$55:$C$113,"ST")</f>
        <v>1</v>
      </c>
      <c r="FU29" s="11">
        <f>SUMIFS([1]HOC_Histograma_Obra!GZ57:GZ115,[1]HOC_Histograma_Obra!$C$55:$C$113,"ST")</f>
        <v>1</v>
      </c>
      <c r="FV29" s="11">
        <f>SUMIFS([1]HOC_Histograma_Obra!HA57:HA115,[1]HOC_Histograma_Obra!$C$55:$C$113,"ST")</f>
        <v>1</v>
      </c>
      <c r="FW29" s="11">
        <f>SUMIFS([1]HOC_Histograma_Obra!HB57:HB115,[1]HOC_Histograma_Obra!$C$55:$C$113,"ST")</f>
        <v>1</v>
      </c>
      <c r="FX29" s="11">
        <f>SUMIFS([1]HOC_Histograma_Obra!HC57:HC115,[1]HOC_Histograma_Obra!$C$55:$C$113,"ST")</f>
        <v>0</v>
      </c>
      <c r="FY29" s="11">
        <f>SUMIFS([1]HOC_Histograma_Obra!HD57:HD115,[1]HOC_Histograma_Obra!$C$55:$C$113,"ST")</f>
        <v>1</v>
      </c>
      <c r="FZ29" s="11">
        <f>SUMIFS([1]HOC_Histograma_Obra!HE57:HE115,[1]HOC_Histograma_Obra!$C$55:$C$113,"ST")</f>
        <v>1</v>
      </c>
      <c r="GA29" s="11">
        <f>SUMIFS([1]HOC_Histograma_Obra!HF57:HF115,[1]HOC_Histograma_Obra!$C$55:$C$113,"ST")</f>
        <v>1</v>
      </c>
      <c r="GB29" s="11">
        <f>SUMIFS([1]HOC_Histograma_Obra!HG57:HG115,[1]HOC_Histograma_Obra!$C$55:$C$113,"ST")</f>
        <v>1</v>
      </c>
      <c r="GC29" s="11">
        <f>SUMIFS([1]HOC_Histograma_Obra!HH57:HH115,[1]HOC_Histograma_Obra!$C$55:$C$113,"ST")</f>
        <v>1</v>
      </c>
      <c r="GD29" s="11">
        <f>SUMIFS([1]HOC_Histograma_Obra!HI57:HI115,[1]HOC_Histograma_Obra!$C$55:$C$113,"ST")</f>
        <v>1</v>
      </c>
      <c r="GE29" s="11">
        <f>SUMIFS([1]HOC_Histograma_Obra!HJ57:HJ115,[1]HOC_Histograma_Obra!$C$55:$C$113,"ST")</f>
        <v>0</v>
      </c>
      <c r="GF29" s="11">
        <f>SUMIFS([1]HOC_Histograma_Obra!HK57:HK115,[1]HOC_Histograma_Obra!$C$55:$C$113,"ST")</f>
        <v>0</v>
      </c>
      <c r="GG29" s="11">
        <f>SUMIFS([1]HOC_Histograma_Obra!HL57:HL115,[1]HOC_Histograma_Obra!$C$55:$C$113,"ST")</f>
        <v>0</v>
      </c>
      <c r="GH29" s="11">
        <f>SUMIFS([1]HOC_Histograma_Obra!HM57:HM115,[1]HOC_Histograma_Obra!$C$55:$C$113,"ST")</f>
        <v>0</v>
      </c>
      <c r="GI29" s="11">
        <f>SUMIFS([1]HOC_Histograma_Obra!HN57:HN115,[1]HOC_Histograma_Obra!$C$55:$C$113,"ST")</f>
        <v>0</v>
      </c>
      <c r="GJ29" s="11">
        <f>SUMIFS([1]HOC_Histograma_Obra!HO57:HO115,[1]HOC_Histograma_Obra!$C$55:$C$113,"ST")</f>
        <v>0</v>
      </c>
      <c r="GK29" s="11">
        <f>SUMIFS([1]HOC_Histograma_Obra!HP57:HP115,[1]HOC_Histograma_Obra!$C$55:$C$113,"ST")</f>
        <v>0</v>
      </c>
      <c r="GL29" s="11">
        <f>SUMIFS([1]HOC_Histograma_Obra!HQ57:HQ115,[1]HOC_Histograma_Obra!$C$55:$C$113,"ST")</f>
        <v>0</v>
      </c>
      <c r="GM29" s="11">
        <f>SUMIFS([1]HOC_Histograma_Obra!HR57:HR115,[1]HOC_Histograma_Obra!$C$55:$C$113,"ST")</f>
        <v>0</v>
      </c>
      <c r="GN29" s="11">
        <f>SUMIFS([1]HOC_Histograma_Obra!HS57:HS115,[1]HOC_Histograma_Obra!$C$55:$C$113,"ST")</f>
        <v>0</v>
      </c>
      <c r="GO29" s="11">
        <f>SUMIFS([1]HOC_Histograma_Obra!HT57:HT115,[1]HOC_Histograma_Obra!$C$55:$C$113,"ST")</f>
        <v>0</v>
      </c>
      <c r="GP29" s="11">
        <f>SUMIFS([1]HOC_Histograma_Obra!HU57:HU115,[1]HOC_Histograma_Obra!$C$55:$C$113,"ST")</f>
        <v>0</v>
      </c>
      <c r="GQ29" s="11">
        <f>SUMIFS([1]HOC_Histograma_Obra!HV57:HV115,[1]HOC_Histograma_Obra!$C$55:$C$113,"ST")</f>
        <v>0</v>
      </c>
      <c r="GR29" s="11">
        <f>SUMIFS([1]HOC_Histograma_Obra!HW57:HW115,[1]HOC_Histograma_Obra!$C$55:$C$113,"ST")</f>
        <v>0</v>
      </c>
      <c r="GS29" s="11">
        <f>SUMIFS([1]HOC_Histograma_Obra!HX57:HX115,[1]HOC_Histograma_Obra!$C$55:$C$113,"ST")</f>
        <v>0</v>
      </c>
      <c r="GT29" s="11">
        <f>SUMIFS([1]HOC_Histograma_Obra!HY57:HY115,[1]HOC_Histograma_Obra!$C$55:$C$113,"ST")</f>
        <v>0</v>
      </c>
      <c r="GU29" s="11">
        <f>SUMIFS([1]HOC_Histograma_Obra!HZ57:HZ115,[1]HOC_Histograma_Obra!$C$55:$C$113,"ST")</f>
        <v>0</v>
      </c>
      <c r="GV29" s="11">
        <f>SUMIFS([1]HOC_Histograma_Obra!IA57:IA115,[1]HOC_Histograma_Obra!$C$55:$C$113,"ST")</f>
        <v>0</v>
      </c>
      <c r="GW29" s="11">
        <f>SUMIFS([1]HOC_Histograma_Obra!IB57:IB115,[1]HOC_Histograma_Obra!$C$55:$C$113,"ST")</f>
        <v>0</v>
      </c>
      <c r="GX29" s="11">
        <f>SUMIFS([1]HOC_Histograma_Obra!IC57:IC115,[1]HOC_Histograma_Obra!$C$55:$C$113,"ST")</f>
        <v>0</v>
      </c>
      <c r="GY29" s="11">
        <f>SUMIFS([1]HOC_Histograma_Obra!ID57:ID115,[1]HOC_Histograma_Obra!$C$55:$C$113,"ST")</f>
        <v>0</v>
      </c>
      <c r="GZ29" s="11">
        <f>SUMIFS([1]HOC_Histograma_Obra!IE57:IE115,[1]HOC_Histograma_Obra!$C$55:$C$113,"ST")</f>
        <v>0</v>
      </c>
      <c r="HA29" s="11">
        <f>SUMIFS([1]HOC_Histograma_Obra!IF57:IF115,[1]HOC_Histograma_Obra!$C$55:$C$113,"ST")</f>
        <v>0</v>
      </c>
      <c r="HB29" s="11">
        <f>SUMIFS([1]HOC_Histograma_Obra!IG57:IG115,[1]HOC_Histograma_Obra!$C$55:$C$113,"ST")</f>
        <v>0</v>
      </c>
      <c r="HC29" s="11">
        <f>SUMIFS([1]HOC_Histograma_Obra!IH57:IH115,[1]HOC_Histograma_Obra!$C$55:$C$113,"ST")</f>
        <v>0</v>
      </c>
      <c r="HD29" s="11">
        <f>SUMIFS([1]HOC_Histograma_Obra!II57:II115,[1]HOC_Histograma_Obra!$C$55:$C$113,"ST")</f>
        <v>0</v>
      </c>
      <c r="HE29" s="11">
        <f>SUMIFS([1]HOC_Histograma_Obra!IJ57:IJ115,[1]HOC_Histograma_Obra!$C$55:$C$113,"ST")</f>
        <v>0</v>
      </c>
      <c r="HF29" s="11">
        <f>SUMIFS([1]HOC_Histograma_Obra!IK57:IK115,[1]HOC_Histograma_Obra!$C$55:$C$113,"ST")</f>
        <v>0</v>
      </c>
      <c r="HG29" s="11">
        <f>SUMIFS([1]HOC_Histograma_Obra!IL57:IL115,[1]HOC_Histograma_Obra!$C$55:$C$113,"ST")</f>
        <v>0</v>
      </c>
      <c r="HH29" s="11">
        <f>SUMIFS([1]HOC_Histograma_Obra!IM57:IM115,[1]HOC_Histograma_Obra!$C$55:$C$113,"ST")</f>
        <v>0</v>
      </c>
      <c r="HI29" s="11">
        <f>SUMIFS([1]HOC_Histograma_Obra!IN57:IN115,[1]HOC_Histograma_Obra!$C$55:$C$113,"ST")</f>
        <v>0</v>
      </c>
      <c r="HJ29" s="11">
        <f>SUMIFS([1]HOC_Histograma_Obra!IO57:IO115,[1]HOC_Histograma_Obra!$C$55:$C$113,"ST")</f>
        <v>0</v>
      </c>
      <c r="HK29" s="11">
        <f>SUMIFS([1]HOC_Histograma_Obra!IP57:IP115,[1]HOC_Histograma_Obra!$C$55:$C$113,"ST")</f>
        <v>0</v>
      </c>
      <c r="HL29" s="11">
        <f>SUMIFS([1]HOC_Histograma_Obra!IQ57:IQ115,[1]HOC_Histograma_Obra!$C$55:$C$113,"ST")</f>
        <v>0</v>
      </c>
      <c r="HM29" s="11">
        <f>SUMIFS([1]HOC_Histograma_Obra!IR57:IR115,[1]HOC_Histograma_Obra!$C$55:$C$113,"ST")</f>
        <v>0</v>
      </c>
      <c r="HN29" s="11">
        <f>SUMIFS([1]HOC_Histograma_Obra!IS57:IS115,[1]HOC_Histograma_Obra!$C$55:$C$113,"ST")</f>
        <v>0</v>
      </c>
      <c r="HO29" s="11">
        <f>SUMIFS([1]HOC_Histograma_Obra!IT57:IT115,[1]HOC_Histograma_Obra!$C$55:$C$113,"ST")</f>
        <v>0</v>
      </c>
      <c r="HP29" s="11">
        <f>SUMIFS([1]HOC_Histograma_Obra!IU57:IU115,[1]HOC_Histograma_Obra!$C$55:$C$113,"ST")</f>
        <v>0</v>
      </c>
      <c r="HQ29" s="11">
        <f>SUMIFS([1]HOC_Histograma_Obra!IV57:IV115,[1]HOC_Histograma_Obra!$C$55:$C$113,"ST")</f>
        <v>0</v>
      </c>
      <c r="HR29" s="11">
        <f>SUMIFS([1]HOC_Histograma_Obra!IW57:IW115,[1]HOC_Histograma_Obra!$C$55:$C$113,"ST")</f>
        <v>0</v>
      </c>
      <c r="HS29" s="11">
        <f>SUMIFS([1]HOC_Histograma_Obra!IX57:IX115,[1]HOC_Histograma_Obra!$C$55:$C$113,"ST")</f>
        <v>0</v>
      </c>
      <c r="HT29" s="11">
        <f>SUMIFS([1]HOC_Histograma_Obra!IY57:IY115,[1]HOC_Histograma_Obra!$C$55:$C$113,"ST")</f>
        <v>0</v>
      </c>
      <c r="HU29" s="11">
        <f>SUMIFS([1]HOC_Histograma_Obra!IZ57:IZ115,[1]HOC_Histograma_Obra!$C$55:$C$113,"ST")</f>
        <v>0</v>
      </c>
      <c r="HV29" s="11">
        <f>SUMIFS([1]HOC_Histograma_Obra!JA57:JA115,[1]HOC_Histograma_Obra!$C$55:$C$113,"ST")</f>
        <v>0</v>
      </c>
      <c r="HW29" s="11">
        <f>SUMIFS([1]HOC_Histograma_Obra!JB57:JB115,[1]HOC_Histograma_Obra!$C$55:$C$113,"ST")</f>
        <v>0</v>
      </c>
      <c r="HX29" s="11">
        <f>SUMIFS([1]HOC_Histograma_Obra!JC57:JC115,[1]HOC_Histograma_Obra!$C$55:$C$113,"ST")</f>
        <v>0</v>
      </c>
      <c r="HY29" s="11">
        <f>SUMIFS([1]HOC_Histograma_Obra!JD57:JD115,[1]HOC_Histograma_Obra!$C$55:$C$113,"ST")</f>
        <v>0</v>
      </c>
      <c r="HZ29" s="11">
        <f>SUMIFS([1]HOC_Histograma_Obra!JE57:JE115,[1]HOC_Histograma_Obra!$C$55:$C$113,"ST")</f>
        <v>0</v>
      </c>
      <c r="IA29" s="11">
        <f>SUMIFS([1]HOC_Histograma_Obra!JF57:JF115,[1]HOC_Histograma_Obra!$C$55:$C$113,"ST")</f>
        <v>0</v>
      </c>
      <c r="IB29" s="11">
        <f>SUMIFS([1]HOC_Histograma_Obra!JG57:JG115,[1]HOC_Histograma_Obra!$C$55:$C$113,"ST")</f>
        <v>0</v>
      </c>
      <c r="IC29" s="11">
        <f>SUMIFS([1]HOC_Histograma_Obra!JH57:JH115,[1]HOC_Histograma_Obra!$C$55:$C$113,"ST")</f>
        <v>0</v>
      </c>
      <c r="ID29" s="11">
        <f>SUMIFS([1]HOC_Histograma_Obra!JI57:JI115,[1]HOC_Histograma_Obra!$C$55:$C$113,"ST")</f>
        <v>0</v>
      </c>
      <c r="IE29" s="11">
        <f>SUMIFS([1]HOC_Histograma_Obra!JJ57:JJ115,[1]HOC_Histograma_Obra!$C$55:$C$113,"ST")</f>
        <v>0</v>
      </c>
      <c r="IF29" s="11">
        <f>SUMIFS([1]HOC_Histograma_Obra!JK57:JK115,[1]HOC_Histograma_Obra!$C$55:$C$113,"ST")</f>
        <v>0</v>
      </c>
      <c r="IG29" s="11">
        <f>SUMIFS([1]HOC_Histograma_Obra!JL57:JL115,[1]HOC_Histograma_Obra!$C$55:$C$113,"ST")</f>
        <v>0</v>
      </c>
      <c r="IH29" s="11">
        <f>SUMIFS([1]HOC_Histograma_Obra!JM57:JM115,[1]HOC_Histograma_Obra!$C$55:$C$113,"ST")</f>
        <v>0</v>
      </c>
      <c r="II29" s="11">
        <f>SUMIFS([1]HOC_Histograma_Obra!JN57:JN115,[1]HOC_Histograma_Obra!$C$55:$C$113,"ST")</f>
        <v>0</v>
      </c>
      <c r="IJ29" s="11">
        <f>SUMIFS([1]HOC_Histograma_Obra!JO57:JO115,[1]HOC_Histograma_Obra!$C$55:$C$113,"ST")</f>
        <v>0</v>
      </c>
      <c r="IK29" s="11">
        <f>SUMIFS([1]HOC_Histograma_Obra!JP57:JP115,[1]HOC_Histograma_Obra!$C$55:$C$113,"ST")</f>
        <v>0</v>
      </c>
      <c r="IL29" s="11">
        <f>SUMIFS([1]HOC_Histograma_Obra!JQ57:JQ115,[1]HOC_Histograma_Obra!$C$55:$C$113,"ST")</f>
        <v>0</v>
      </c>
      <c r="IM29" s="11">
        <f>SUMIFS([1]HOC_Histograma_Obra!JR57:JR115,[1]HOC_Histograma_Obra!$C$55:$C$113,"ST")</f>
        <v>0</v>
      </c>
      <c r="IN29" s="11">
        <f>SUMIFS([1]HOC_Histograma_Obra!JS57:JS115,[1]HOC_Histograma_Obra!$C$55:$C$113,"ST")</f>
        <v>0</v>
      </c>
      <c r="IO29" s="11">
        <f>SUMIFS([1]HOC_Histograma_Obra!JT57:JT115,[1]HOC_Histograma_Obra!$C$55:$C$113,"ST")</f>
        <v>0</v>
      </c>
      <c r="IP29" s="11">
        <f>SUMIFS([1]HOC_Histograma_Obra!JU57:JU115,[1]HOC_Histograma_Obra!$C$55:$C$113,"ST")</f>
        <v>0</v>
      </c>
      <c r="IQ29" s="11">
        <f>SUMIFS([1]HOC_Histograma_Obra!JV57:JV115,[1]HOC_Histograma_Obra!$C$55:$C$113,"ST")</f>
        <v>0</v>
      </c>
      <c r="IR29" s="11">
        <f>SUMIFS([1]HOC_Histograma_Obra!JW57:JW115,[1]HOC_Histograma_Obra!$C$55:$C$113,"ST")</f>
        <v>0</v>
      </c>
      <c r="IS29" s="11">
        <f>SUMIFS([1]HOC_Histograma_Obra!JX57:JX115,[1]HOC_Histograma_Obra!$C$55:$C$113,"ST")</f>
        <v>0</v>
      </c>
      <c r="IT29" s="11">
        <f>SUMIFS([1]HOC_Histograma_Obra!JY57:JY115,[1]HOC_Histograma_Obra!$C$55:$C$113,"ST")</f>
        <v>0</v>
      </c>
      <c r="IU29" s="11">
        <f>SUMIFS([1]HOC_Histograma_Obra!JZ57:JZ115,[1]HOC_Histograma_Obra!$C$55:$C$113,"ST")</f>
        <v>0</v>
      </c>
      <c r="IV29" s="11">
        <f>SUMIFS([1]HOC_Histograma_Obra!KA57:KA115,[1]HOC_Histograma_Obra!$C$55:$C$113,"ST")</f>
        <v>0</v>
      </c>
      <c r="IW29" s="11">
        <f>SUMIFS([1]HOC_Histograma_Obra!KB57:KB115,[1]HOC_Histograma_Obra!$C$55:$C$113,"ST")</f>
        <v>0</v>
      </c>
      <c r="IX29" s="11">
        <f>SUMIFS([1]HOC_Histograma_Obra!KC57:KC115,[1]HOC_Histograma_Obra!$C$55:$C$113,"ST")</f>
        <v>0</v>
      </c>
      <c r="IY29" s="11">
        <f>SUMIFS([1]HOC_Histograma_Obra!KD57:KD115,[1]HOC_Histograma_Obra!$C$55:$C$113,"ST")</f>
        <v>0</v>
      </c>
      <c r="IZ29" s="11">
        <f>SUMIFS([1]HOC_Histograma_Obra!KE57:KE115,[1]HOC_Histograma_Obra!$C$55:$C$113,"ST")</f>
        <v>0</v>
      </c>
      <c r="JA29" s="11">
        <f>SUMIFS([1]HOC_Histograma_Obra!KF57:KF115,[1]HOC_Histograma_Obra!$C$55:$C$113,"ST")</f>
        <v>0</v>
      </c>
      <c r="JB29" s="11">
        <f>SUMIFS([1]HOC_Histograma_Obra!KG57:KG115,[1]HOC_Histograma_Obra!$C$55:$C$113,"ST")</f>
        <v>0</v>
      </c>
      <c r="JC29" s="11">
        <f>SUMIFS([1]HOC_Histograma_Obra!KH57:KH115,[1]HOC_Histograma_Obra!$C$55:$C$113,"ST")</f>
        <v>0</v>
      </c>
      <c r="JD29" s="11">
        <f>SUMIFS([1]HOC_Histograma_Obra!KI57:KI115,[1]HOC_Histograma_Obra!$C$55:$C$113,"ST")</f>
        <v>0</v>
      </c>
      <c r="JE29" s="11">
        <f>SUMIFS([1]HOC_Histograma_Obra!KJ57:KJ115,[1]HOC_Histograma_Obra!$C$55:$C$113,"ST")</f>
        <v>0</v>
      </c>
      <c r="JF29" s="11">
        <f>SUMIFS([1]HOC_Histograma_Obra!KK57:KK115,[1]HOC_Histograma_Obra!$C$55:$C$113,"ST")</f>
        <v>0</v>
      </c>
      <c r="JG29" s="11">
        <f>SUMIFS([1]HOC_Histograma_Obra!KL57:KL115,[1]HOC_Histograma_Obra!$C$55:$C$113,"ST")</f>
        <v>0</v>
      </c>
      <c r="JH29" s="11">
        <f>SUMIFS([1]HOC_Histograma_Obra!KM57:KM115,[1]HOC_Histograma_Obra!$C$55:$C$113,"ST")</f>
        <v>0</v>
      </c>
      <c r="JI29" s="11">
        <f>SUMIFS([1]HOC_Histograma_Obra!KN57:KN115,[1]HOC_Histograma_Obra!$C$55:$C$113,"ST")</f>
        <v>0</v>
      </c>
      <c r="JJ29" s="11">
        <f>SUMIFS([1]HOC_Histograma_Obra!KO57:KO115,[1]HOC_Histograma_Obra!$C$55:$C$113,"ST")</f>
        <v>0</v>
      </c>
      <c r="JK29" s="11">
        <f>SUMIFS([1]HOC_Histograma_Obra!KP57:KP115,[1]HOC_Histograma_Obra!$C$55:$C$113,"ST")</f>
        <v>0</v>
      </c>
      <c r="JL29" s="11">
        <f>SUMIFS([1]HOC_Histograma_Obra!KQ57:KQ115,[1]HOC_Histograma_Obra!$C$55:$C$113,"ST")</f>
        <v>0</v>
      </c>
      <c r="JM29" s="11">
        <f>SUMIFS([1]HOC_Histograma_Obra!KR57:KR115,[1]HOC_Histograma_Obra!$C$55:$C$113,"ST")</f>
        <v>0</v>
      </c>
      <c r="JN29" s="11">
        <f>SUMIFS([1]HOC_Histograma_Obra!KS57:KS115,[1]HOC_Histograma_Obra!$C$55:$C$113,"ST")</f>
        <v>0</v>
      </c>
      <c r="JO29" s="11">
        <f>SUMIFS([1]HOC_Histograma_Obra!KT57:KT115,[1]HOC_Histograma_Obra!$C$55:$C$113,"ST")</f>
        <v>0</v>
      </c>
      <c r="JP29" s="11">
        <f>SUMIFS([1]HOC_Histograma_Obra!KU57:KU115,[1]HOC_Histograma_Obra!$C$55:$C$113,"ST")</f>
        <v>0</v>
      </c>
      <c r="JQ29" s="11">
        <f>SUMIFS([1]HOC_Histograma_Obra!KV57:KV115,[1]HOC_Histograma_Obra!$C$55:$C$113,"ST")</f>
        <v>0</v>
      </c>
      <c r="JR29" s="11">
        <f>SUMIFS([1]HOC_Histograma_Obra!KW57:KW115,[1]HOC_Histograma_Obra!$C$55:$C$113,"ST")</f>
        <v>0</v>
      </c>
      <c r="JS29" s="11">
        <f>SUMIFS([1]HOC_Histograma_Obra!KX57:KX115,[1]HOC_Histograma_Obra!$C$55:$C$113,"ST")</f>
        <v>0</v>
      </c>
      <c r="JT29" s="11">
        <f>SUMIFS([1]HOC_Histograma_Obra!KY57:KY115,[1]HOC_Histograma_Obra!$C$55:$C$113,"ST")</f>
        <v>0</v>
      </c>
      <c r="JU29" s="11">
        <f>SUMIFS([1]HOC_Histograma_Obra!KZ57:KZ115,[1]HOC_Histograma_Obra!$C$55:$C$113,"ST")</f>
        <v>0</v>
      </c>
      <c r="JV29" s="11">
        <f>SUMIFS([1]HOC_Histograma_Obra!LA57:LA115,[1]HOC_Histograma_Obra!$C$55:$C$113,"ST")</f>
        <v>0</v>
      </c>
      <c r="JW29" s="11">
        <f>SUMIFS([1]HOC_Histograma_Obra!LB57:LB115,[1]HOC_Histograma_Obra!$C$55:$C$113,"ST")</f>
        <v>0</v>
      </c>
      <c r="JX29" s="11">
        <f>SUMIFS([1]HOC_Histograma_Obra!LC57:LC115,[1]HOC_Histograma_Obra!$C$55:$C$113,"ST")</f>
        <v>0</v>
      </c>
      <c r="JY29" s="11">
        <f>SUMIFS([1]HOC_Histograma_Obra!LD57:LD115,[1]HOC_Histograma_Obra!$C$55:$C$113,"ST")</f>
        <v>0</v>
      </c>
      <c r="JZ29" s="11">
        <f>SUMIFS([1]HOC_Histograma_Obra!LE57:LE115,[1]HOC_Histograma_Obra!$C$55:$C$113,"ST")</f>
        <v>0</v>
      </c>
      <c r="KA29" s="11">
        <f>SUMIFS([1]HOC_Histograma_Obra!LF57:LF115,[1]HOC_Histograma_Obra!$C$55:$C$113,"ST")</f>
        <v>0</v>
      </c>
      <c r="KB29" s="11">
        <f>SUMIFS([1]HOC_Histograma_Obra!LG57:LG115,[1]HOC_Histograma_Obra!$C$55:$C$113,"ST")</f>
        <v>0</v>
      </c>
      <c r="KC29" s="11">
        <f>SUMIFS([1]HOC_Histograma_Obra!LH57:LH115,[1]HOC_Histograma_Obra!$C$55:$C$113,"ST")</f>
        <v>0</v>
      </c>
      <c r="KD29" s="11">
        <f>SUMIFS([1]HOC_Histograma_Obra!LI57:LI115,[1]HOC_Histograma_Obra!$C$55:$C$113,"ST")</f>
        <v>0</v>
      </c>
      <c r="KE29" s="11">
        <f>SUMIFS([1]HOC_Histograma_Obra!LJ57:LJ115,[1]HOC_Histograma_Obra!$C$55:$C$113,"ST")</f>
        <v>0</v>
      </c>
      <c r="KF29" s="11">
        <f>SUMIFS([1]HOC_Histograma_Obra!LK57:LK115,[1]HOC_Histograma_Obra!$C$55:$C$113,"ST")</f>
        <v>0</v>
      </c>
      <c r="KG29" s="11">
        <f>SUMIFS([1]HOC_Histograma_Obra!LL57:LL115,[1]HOC_Histograma_Obra!$C$55:$C$113,"ST")</f>
        <v>0</v>
      </c>
      <c r="KH29" s="11">
        <f>SUMIFS([1]HOC_Histograma_Obra!LM57:LM115,[1]HOC_Histograma_Obra!$C$55:$C$113,"ST")</f>
        <v>0</v>
      </c>
      <c r="KI29" s="11">
        <f>SUMIFS([1]HOC_Histograma_Obra!LN57:LN115,[1]HOC_Histograma_Obra!$C$55:$C$113,"ST")</f>
        <v>0</v>
      </c>
      <c r="KJ29" s="11">
        <f>SUMIFS([1]HOC_Histograma_Obra!LO57:LO115,[1]HOC_Histograma_Obra!$C$55:$C$113,"ST")</f>
        <v>0</v>
      </c>
      <c r="KK29" s="11">
        <f>SUMIFS([1]HOC_Histograma_Obra!LP57:LP115,[1]HOC_Histograma_Obra!$C$55:$C$113,"ST")</f>
        <v>0</v>
      </c>
      <c r="KL29" s="11">
        <f>SUMIFS([1]HOC_Histograma_Obra!LQ57:LQ115,[1]HOC_Histograma_Obra!$C$55:$C$113,"ST")</f>
        <v>0</v>
      </c>
      <c r="KM29" s="11">
        <f>SUMIFS([1]HOC_Histograma_Obra!LR57:LR115,[1]HOC_Histograma_Obra!$C$55:$C$113,"ST")</f>
        <v>0</v>
      </c>
      <c r="KN29" s="11">
        <f>SUMIFS([1]HOC_Histograma_Obra!LS57:LS115,[1]HOC_Histograma_Obra!$C$55:$C$113,"ST")</f>
        <v>0</v>
      </c>
      <c r="KO29" s="11">
        <f>SUMIFS([1]HOC_Histograma_Obra!LT57:LT115,[1]HOC_Histograma_Obra!$C$55:$C$113,"ST")</f>
        <v>0</v>
      </c>
      <c r="KP29" s="11">
        <f>SUMIFS([1]HOC_Histograma_Obra!LU57:LU115,[1]HOC_Histograma_Obra!$C$55:$C$113,"ST")</f>
        <v>0</v>
      </c>
      <c r="KQ29" s="11">
        <f>SUMIFS([1]HOC_Histograma_Obra!LV57:LV115,[1]HOC_Histograma_Obra!$C$55:$C$113,"ST")</f>
        <v>0</v>
      </c>
      <c r="KR29" s="11">
        <f>SUMIFS([1]HOC_Histograma_Obra!LW57:LW115,[1]HOC_Histograma_Obra!$C$55:$C$113,"ST")</f>
        <v>0</v>
      </c>
      <c r="KS29" s="11">
        <f>SUMIFS([1]HOC_Histograma_Obra!LX57:LX115,[1]HOC_Histograma_Obra!$C$55:$C$113,"ST")</f>
        <v>0</v>
      </c>
      <c r="KT29" s="11">
        <f>SUMIFS([1]HOC_Histograma_Obra!LY57:LY115,[1]HOC_Histograma_Obra!$C$55:$C$113,"ST")</f>
        <v>0</v>
      </c>
      <c r="KU29" s="11">
        <f>SUMIFS([1]HOC_Histograma_Obra!LZ57:LZ115,[1]HOC_Histograma_Obra!$C$55:$C$113,"ST")</f>
        <v>0</v>
      </c>
      <c r="KV29" s="11">
        <f>SUMIFS([1]HOC_Histograma_Obra!MA57:MA115,[1]HOC_Histograma_Obra!$C$55:$C$113,"ST")</f>
        <v>0</v>
      </c>
      <c r="KW29" s="11">
        <f>SUMIFS([1]HOC_Histograma_Obra!MB57:MB115,[1]HOC_Histograma_Obra!$C$55:$C$113,"ST")</f>
        <v>0</v>
      </c>
      <c r="KX29" s="11">
        <f>SUMIFS([1]HOC_Histograma_Obra!MC57:MC115,[1]HOC_Histograma_Obra!$C$55:$C$113,"ST")</f>
        <v>0</v>
      </c>
      <c r="KY29" s="11">
        <f>SUMIFS([1]HOC_Histograma_Obra!MD57:MD115,[1]HOC_Histograma_Obra!$C$55:$C$113,"ST")</f>
        <v>0</v>
      </c>
      <c r="KZ29" s="11">
        <f>SUMIFS([1]HOC_Histograma_Obra!ME57:ME115,[1]HOC_Histograma_Obra!$C$55:$C$113,"ST")</f>
        <v>0</v>
      </c>
      <c r="LA29" s="11">
        <f>SUMIFS([1]HOC_Histograma_Obra!MF57:MF115,[1]HOC_Histograma_Obra!$C$55:$C$113,"ST")</f>
        <v>0</v>
      </c>
      <c r="LB29" s="11">
        <f>SUMIFS([1]HOC_Histograma_Obra!MG57:MG115,[1]HOC_Histograma_Obra!$C$55:$C$113,"ST")</f>
        <v>0</v>
      </c>
      <c r="LC29" s="11">
        <f>SUMIFS([1]HOC_Histograma_Obra!MH57:MH115,[1]HOC_Histograma_Obra!$C$55:$C$113,"ST")</f>
        <v>0</v>
      </c>
      <c r="LD29" s="11">
        <f>SUMIFS([1]HOC_Histograma_Obra!MI57:MI115,[1]HOC_Histograma_Obra!$C$55:$C$113,"ST")</f>
        <v>0</v>
      </c>
      <c r="LE29" s="11">
        <f>SUMIFS([1]HOC_Histograma_Obra!MJ57:MJ115,[1]HOC_Histograma_Obra!$C$55:$C$113,"ST")</f>
        <v>0</v>
      </c>
      <c r="LF29" s="11">
        <f>SUMIFS([1]HOC_Histograma_Obra!MK57:MK115,[1]HOC_Histograma_Obra!$C$55:$C$113,"ST")</f>
        <v>0</v>
      </c>
      <c r="LG29" s="11">
        <f>SUMIFS([1]HOC_Histograma_Obra!ML57:ML115,[1]HOC_Histograma_Obra!$C$55:$C$113,"ST")</f>
        <v>0</v>
      </c>
      <c r="LH29" s="11">
        <f>SUMIFS([1]HOC_Histograma_Obra!MM57:MM115,[1]HOC_Histograma_Obra!$C$55:$C$113,"ST")</f>
        <v>0</v>
      </c>
      <c r="LI29" s="11">
        <f>SUMIFS([1]HOC_Histograma_Obra!MN57:MN115,[1]HOC_Histograma_Obra!$C$55:$C$113,"ST")</f>
        <v>0</v>
      </c>
      <c r="LJ29" s="11">
        <f>SUMIFS([1]HOC_Histograma_Obra!MO57:MO115,[1]HOC_Histograma_Obra!$C$55:$C$113,"ST")</f>
        <v>0</v>
      </c>
      <c r="LK29" s="11">
        <f>SUMIFS([1]HOC_Histograma_Obra!MP57:MP115,[1]HOC_Histograma_Obra!$C$55:$C$113,"ST")</f>
        <v>0</v>
      </c>
      <c r="LL29" s="11">
        <f>SUMIFS([1]HOC_Histograma_Obra!MQ57:MQ115,[1]HOC_Histograma_Obra!$C$55:$C$113,"ST")</f>
        <v>0</v>
      </c>
      <c r="LM29" s="11">
        <f>SUMIFS([1]HOC_Histograma_Obra!MR57:MR115,[1]HOC_Histograma_Obra!$C$55:$C$113,"ST")</f>
        <v>0</v>
      </c>
      <c r="LN29" s="11">
        <f>SUMIFS([1]HOC_Histograma_Obra!MS57:MS115,[1]HOC_Histograma_Obra!$C$55:$C$113,"ST")</f>
        <v>0</v>
      </c>
      <c r="LO29" s="11">
        <f>SUMIFS([1]HOC_Histograma_Obra!MT57:MT115,[1]HOC_Histograma_Obra!$C$55:$C$113,"ST")</f>
        <v>0</v>
      </c>
      <c r="LP29" s="11">
        <f>SUMIFS([1]HOC_Histograma_Obra!MU57:MU115,[1]HOC_Histograma_Obra!$C$55:$C$113,"ST")</f>
        <v>0</v>
      </c>
      <c r="LQ29" s="11">
        <f>SUMIFS([1]HOC_Histograma_Obra!MV57:MV115,[1]HOC_Histograma_Obra!$C$55:$C$113,"ST")</f>
        <v>0</v>
      </c>
      <c r="LR29" s="11">
        <f>SUMIFS([1]HOC_Histograma_Obra!MW57:MW115,[1]HOC_Histograma_Obra!$C$55:$C$113,"ST")</f>
        <v>0</v>
      </c>
      <c r="LS29" s="11">
        <f>SUMIFS([1]HOC_Histograma_Obra!MX57:MX115,[1]HOC_Histograma_Obra!$C$55:$C$113,"ST")</f>
        <v>0</v>
      </c>
      <c r="LT29" s="11">
        <f>SUMIFS([1]HOC_Histograma_Obra!MY57:MY115,[1]HOC_Histograma_Obra!$C$55:$C$113,"ST")</f>
        <v>0</v>
      </c>
      <c r="LU29" s="11">
        <f>SUMIFS([1]HOC_Histograma_Obra!MZ57:MZ115,[1]HOC_Histograma_Obra!$C$55:$C$113,"ST")</f>
        <v>0</v>
      </c>
      <c r="LV29" s="11">
        <f>SUMIFS([1]HOC_Histograma_Obra!NA57:NA115,[1]HOC_Histograma_Obra!$C$55:$C$113,"ST")</f>
        <v>0</v>
      </c>
      <c r="LW29" s="11">
        <f>SUMIFS([1]HOC_Histograma_Obra!NB57:NB115,[1]HOC_Histograma_Obra!$C$55:$C$113,"ST")</f>
        <v>0</v>
      </c>
      <c r="LX29" s="11">
        <f>SUMIFS([1]HOC_Histograma_Obra!NC57:NC115,[1]HOC_Histograma_Obra!$C$55:$C$113,"ST")</f>
        <v>0</v>
      </c>
      <c r="LY29" s="11">
        <f>SUMIFS([1]HOC_Histograma_Obra!ND57:ND115,[1]HOC_Histograma_Obra!$C$55:$C$113,"ST")</f>
        <v>0</v>
      </c>
      <c r="LZ29" s="11">
        <f>SUMIFS([1]HOC_Histograma_Obra!NE57:NE115,[1]HOC_Histograma_Obra!$C$55:$C$113,"ST")</f>
        <v>0</v>
      </c>
      <c r="MA29" s="11">
        <f>SUMIFS([1]HOC_Histograma_Obra!NF57:NF115,[1]HOC_Histograma_Obra!$C$55:$C$113,"ST")</f>
        <v>0</v>
      </c>
      <c r="MB29" s="11">
        <f>SUMIFS([1]HOC_Histograma_Obra!NG57:NG115,[1]HOC_Histograma_Obra!$C$55:$C$113,"ST")</f>
        <v>0</v>
      </c>
      <c r="MC29" s="11">
        <f>SUMIFS([1]HOC_Histograma_Obra!NH57:NH115,[1]HOC_Histograma_Obra!$C$55:$C$113,"ST")</f>
        <v>0</v>
      </c>
      <c r="MD29" s="11">
        <f>SUMIFS([1]HOC_Histograma_Obra!NI57:NI115,[1]HOC_Histograma_Obra!$C$55:$C$113,"ST")</f>
        <v>0</v>
      </c>
      <c r="ME29" s="11">
        <f>SUMIFS([1]HOC_Histograma_Obra!NJ57:NJ115,[1]HOC_Histograma_Obra!$C$55:$C$113,"ST")</f>
        <v>0</v>
      </c>
      <c r="MF29" s="11">
        <f>SUMIFS([1]HOC_Histograma_Obra!NK57:NK115,[1]HOC_Histograma_Obra!$C$55:$C$113,"ST")</f>
        <v>0</v>
      </c>
      <c r="MG29" s="11">
        <f>SUMIFS([1]HOC_Histograma_Obra!NL57:NL115,[1]HOC_Histograma_Obra!$C$55:$C$113,"ST")</f>
        <v>0</v>
      </c>
      <c r="MH29" s="11">
        <f>SUMIFS([1]HOC_Histograma_Obra!NM57:NM115,[1]HOC_Histograma_Obra!$C$55:$C$113,"ST")</f>
        <v>0</v>
      </c>
      <c r="MI29" s="11">
        <f>SUMIFS([1]HOC_Histograma_Obra!NN57:NN115,[1]HOC_Histograma_Obra!$C$55:$C$113,"ST")</f>
        <v>0</v>
      </c>
      <c r="MJ29" s="11">
        <f>SUMIFS([1]HOC_Histograma_Obra!NO57:NO115,[1]HOC_Histograma_Obra!$C$55:$C$113,"ST")</f>
        <v>0</v>
      </c>
      <c r="MK29" s="11">
        <f>SUMIFS([1]HOC_Histograma_Obra!NP57:NP115,[1]HOC_Histograma_Obra!$C$55:$C$113,"ST")</f>
        <v>0</v>
      </c>
      <c r="ML29" s="11">
        <f>SUMIFS([1]HOC_Histograma_Obra!NQ57:NQ115,[1]HOC_Histograma_Obra!$C$55:$C$113,"ST")</f>
        <v>0</v>
      </c>
      <c r="MM29" s="11">
        <f>SUMIFS([1]HOC_Histograma_Obra!NR57:NR115,[1]HOC_Histograma_Obra!$C$55:$C$113,"ST")</f>
        <v>0</v>
      </c>
      <c r="MN29" s="11">
        <f>SUMIFS([1]HOC_Histograma_Obra!NS57:NS115,[1]HOC_Histograma_Obra!$C$55:$C$113,"ST")</f>
        <v>0</v>
      </c>
      <c r="MO29" s="11">
        <f>SUMIFS([1]HOC_Histograma_Obra!NT57:NT115,[1]HOC_Histograma_Obra!$C$55:$C$113,"ST")</f>
        <v>0</v>
      </c>
      <c r="MP29" s="11">
        <f>SUMIFS([1]HOC_Histograma_Obra!NU57:NU115,[1]HOC_Histograma_Obra!$C$55:$C$113,"ST")</f>
        <v>0</v>
      </c>
      <c r="MQ29" s="11">
        <f>SUMIFS([1]HOC_Histograma_Obra!NV57:NV115,[1]HOC_Histograma_Obra!$C$55:$C$113,"ST")</f>
        <v>0</v>
      </c>
      <c r="MR29" s="11">
        <f>SUMIFS([1]HOC_Histograma_Obra!NW57:NW115,[1]HOC_Histograma_Obra!$C$55:$C$113,"ST")</f>
        <v>0</v>
      </c>
      <c r="MS29" s="11">
        <f>SUMIFS([1]HOC_Histograma_Obra!NX57:NX115,[1]HOC_Histograma_Obra!$C$55:$C$113,"ST")</f>
        <v>0</v>
      </c>
      <c r="MT29" s="11">
        <f>SUMIFS([1]HOC_Histograma_Obra!NY57:NY115,[1]HOC_Histograma_Obra!$C$55:$C$113,"ST")</f>
        <v>0</v>
      </c>
      <c r="MU29" s="11">
        <f>SUMIFS([1]HOC_Histograma_Obra!NZ57:NZ115,[1]HOC_Histograma_Obra!$C$55:$C$113,"ST")</f>
        <v>0</v>
      </c>
      <c r="MV29" s="11">
        <f>SUMIFS([1]HOC_Histograma_Obra!OA57:OA115,[1]HOC_Histograma_Obra!$C$55:$C$113,"ST")</f>
        <v>0</v>
      </c>
      <c r="MW29" s="11">
        <f>SUMIFS([1]HOC_Histograma_Obra!OB57:OB115,[1]HOC_Histograma_Obra!$C$55:$C$113,"ST")</f>
        <v>0</v>
      </c>
      <c r="MX29" s="11">
        <f>SUMIFS([1]HOC_Histograma_Obra!OC57:OC115,[1]HOC_Histograma_Obra!$C$55:$C$113,"ST")</f>
        <v>0</v>
      </c>
      <c r="MY29" s="11">
        <f>SUMIFS([1]HOC_Histograma_Obra!OD57:OD115,[1]HOC_Histograma_Obra!$C$55:$C$113,"ST")</f>
        <v>0</v>
      </c>
      <c r="MZ29" s="11">
        <f>SUMIFS([1]HOC_Histograma_Obra!OE57:OE115,[1]HOC_Histograma_Obra!$C$55:$C$113,"ST")</f>
        <v>0</v>
      </c>
      <c r="NA29" s="11">
        <f>SUMIFS([1]HOC_Histograma_Obra!OF57:OF115,[1]HOC_Histograma_Obra!$C$55:$C$113,"ST")</f>
        <v>0</v>
      </c>
      <c r="NB29" s="11">
        <f>SUMIFS([1]HOC_Histograma_Obra!OG57:OG115,[1]HOC_Histograma_Obra!$C$55:$C$113,"ST")</f>
        <v>0</v>
      </c>
      <c r="NC29" s="11">
        <f>SUMIFS([1]HOC_Histograma_Obra!OH57:OH115,[1]HOC_Histograma_Obra!$C$55:$C$113,"ST")</f>
        <v>0</v>
      </c>
      <c r="ND29" s="11">
        <f>SUMIFS([1]HOC_Histograma_Obra!OI57:OI115,[1]HOC_Histograma_Obra!$C$55:$C$113,"ST")</f>
        <v>0</v>
      </c>
      <c r="NE29" s="11">
        <f>SUMIFS([1]HOC_Histograma_Obra!OJ57:OJ115,[1]HOC_Histograma_Obra!$C$55:$C$113,"ST")</f>
        <v>0</v>
      </c>
      <c r="NF29" s="11">
        <f>SUMIFS([1]HOC_Histograma_Obra!OK57:OK115,[1]HOC_Histograma_Obra!$C$55:$C$113,"ST")</f>
        <v>0</v>
      </c>
      <c r="NG29" s="11">
        <f>SUMIFS([1]HOC_Histograma_Obra!OL57:OL115,[1]HOC_Histograma_Obra!$C$55:$C$113,"ST")</f>
        <v>0</v>
      </c>
      <c r="NH29" s="11">
        <f>SUMIFS([1]HOC_Histograma_Obra!OM57:OM115,[1]HOC_Histograma_Obra!$C$55:$C$113,"ST")</f>
        <v>0</v>
      </c>
      <c r="NI29" s="11">
        <f>SUMIFS([1]HOC_Histograma_Obra!ON57:ON115,[1]HOC_Histograma_Obra!$C$55:$C$113,"ST")</f>
        <v>0</v>
      </c>
      <c r="NJ29" s="11">
        <f>SUMIFS([1]HOC_Histograma_Obra!OO57:OO115,[1]HOC_Histograma_Obra!$C$55:$C$113,"ST")</f>
        <v>0</v>
      </c>
      <c r="NK29" s="11">
        <f>SUMIFS([1]HOC_Histograma_Obra!OP57:OP115,[1]HOC_Histograma_Obra!$C$55:$C$113,"ST")</f>
        <v>0</v>
      </c>
      <c r="NL29" s="11">
        <f>SUMIFS([1]HOC_Histograma_Obra!OQ57:OQ115,[1]HOC_Histograma_Obra!$C$55:$C$113,"ST")</f>
        <v>0</v>
      </c>
      <c r="NM29" s="11">
        <f>SUMIFS([1]HOC_Histograma_Obra!OR57:OR115,[1]HOC_Histograma_Obra!$C$55:$C$113,"ST")</f>
        <v>0</v>
      </c>
      <c r="NN29" s="11">
        <f>SUMIFS([1]HOC_Histograma_Obra!OS57:OS115,[1]HOC_Histograma_Obra!$C$55:$C$113,"ST")</f>
        <v>0</v>
      </c>
      <c r="NO29" s="11">
        <f>SUMIFS([1]HOC_Histograma_Obra!OT57:OT115,[1]HOC_Histograma_Obra!$C$55:$C$113,"ST")</f>
        <v>0</v>
      </c>
      <c r="NP29" s="11">
        <f>SUMIFS([1]HOC_Histograma_Obra!OU57:OU115,[1]HOC_Histograma_Obra!$C$55:$C$113,"ST")</f>
        <v>0</v>
      </c>
      <c r="NQ29" s="11">
        <f>SUMIFS([1]HOC_Histograma_Obra!OV57:OV115,[1]HOC_Histograma_Obra!$C$55:$C$113,"ST")</f>
        <v>0</v>
      </c>
      <c r="NR29" s="11">
        <f>SUMIFS([1]HOC_Histograma_Obra!OW57:OW115,[1]HOC_Histograma_Obra!$C$55:$C$113,"ST")</f>
        <v>0</v>
      </c>
      <c r="NS29" s="11">
        <f>SUMIFS([1]HOC_Histograma_Obra!OX57:OX115,[1]HOC_Histograma_Obra!$C$55:$C$113,"ST")</f>
        <v>0</v>
      </c>
      <c r="NT29" s="11">
        <f>SUMIFS([1]HOC_Histograma_Obra!OY57:OY115,[1]HOC_Histograma_Obra!$C$55:$C$113,"ST")</f>
        <v>0</v>
      </c>
      <c r="NU29" s="11">
        <f>SUMIFS([1]HOC_Histograma_Obra!OZ57:OZ115,[1]HOC_Histograma_Obra!$C$55:$C$113,"ST")</f>
        <v>0</v>
      </c>
      <c r="NV29" s="11">
        <f>SUMIFS([1]HOC_Histograma_Obra!PA57:PA115,[1]HOC_Histograma_Obra!$C$55:$C$113,"ST")</f>
        <v>0</v>
      </c>
      <c r="NW29" s="11">
        <f>SUMIFS([1]HOC_Histograma_Obra!PB57:PB115,[1]HOC_Histograma_Obra!$C$55:$C$113,"ST")</f>
        <v>0</v>
      </c>
      <c r="NX29" s="11">
        <f>SUMIFS([1]HOC_Histograma_Obra!PC57:PC115,[1]HOC_Histograma_Obra!$C$55:$C$113,"ST")</f>
        <v>0</v>
      </c>
      <c r="NY29" s="11">
        <f>SUMIFS([1]HOC_Histograma_Obra!PD57:PD115,[1]HOC_Histograma_Obra!$C$55:$C$113,"ST")</f>
        <v>0</v>
      </c>
      <c r="NZ29" s="11">
        <f>SUMIFS([1]HOC_Histograma_Obra!PE57:PE115,[1]HOC_Histograma_Obra!$C$55:$C$113,"ST")</f>
        <v>0</v>
      </c>
      <c r="OA29" s="11">
        <f>SUMIFS([1]HOC_Histograma_Obra!PF57:PF115,[1]HOC_Histograma_Obra!$C$55:$C$113,"ST")</f>
        <v>0</v>
      </c>
      <c r="OB29" s="11">
        <f>SUMIFS([1]HOC_Histograma_Obra!PG57:PG115,[1]HOC_Histograma_Obra!$C$55:$C$113,"ST")</f>
        <v>0</v>
      </c>
      <c r="OC29" s="11">
        <f>SUMIFS([1]HOC_Histograma_Obra!PH57:PH115,[1]HOC_Histograma_Obra!$C$55:$C$113,"ST")</f>
        <v>0</v>
      </c>
      <c r="OD29" s="11">
        <f>SUMIFS([1]HOC_Histograma_Obra!PI57:PI115,[1]HOC_Histograma_Obra!$C$55:$C$113,"ST")</f>
        <v>0</v>
      </c>
      <c r="OE29" s="11">
        <f>SUMIFS([1]HOC_Histograma_Obra!PJ57:PJ115,[1]HOC_Histograma_Obra!$C$55:$C$113,"ST")</f>
        <v>0</v>
      </c>
      <c r="OF29" s="11">
        <f>SUMIFS([1]HOC_Histograma_Obra!PK57:PK115,[1]HOC_Histograma_Obra!$C$55:$C$113,"ST")</f>
        <v>0</v>
      </c>
      <c r="OG29" s="11">
        <f>SUMIFS([1]HOC_Histograma_Obra!PL57:PL115,[1]HOC_Histograma_Obra!$C$55:$C$113,"ST")</f>
        <v>0</v>
      </c>
      <c r="OH29" s="11">
        <f>SUMIFS([1]HOC_Histograma_Obra!PM57:PM115,[1]HOC_Histograma_Obra!$C$55:$C$113,"ST")</f>
        <v>0</v>
      </c>
      <c r="OI29" s="11">
        <f>SUMIFS([1]HOC_Histograma_Obra!PN57:PN115,[1]HOC_Histograma_Obra!$C$55:$C$113,"ST")</f>
        <v>0</v>
      </c>
      <c r="OJ29" s="11">
        <f>SUMIFS([1]HOC_Histograma_Obra!PO57:PO115,[1]HOC_Histograma_Obra!$C$55:$C$113,"ST")</f>
        <v>0</v>
      </c>
      <c r="OK29" s="11">
        <f>SUMIFS([1]HOC_Histograma_Obra!PP57:PP115,[1]HOC_Histograma_Obra!$C$55:$C$113,"ST")</f>
        <v>0</v>
      </c>
      <c r="OL29" s="11">
        <f>SUMIFS([1]HOC_Histograma_Obra!PQ57:PQ115,[1]HOC_Histograma_Obra!$C$55:$C$113,"ST")</f>
        <v>0</v>
      </c>
      <c r="OM29" s="11">
        <f>SUMIFS([1]HOC_Histograma_Obra!PR57:PR115,[1]HOC_Histograma_Obra!$C$55:$C$113,"ST")</f>
        <v>0</v>
      </c>
      <c r="ON29" s="11">
        <f>SUMIFS([1]HOC_Histograma_Obra!PS57:PS115,[1]HOC_Histograma_Obra!$C$55:$C$113,"ST")</f>
        <v>0</v>
      </c>
      <c r="OO29" s="11">
        <f>SUMIFS([1]HOC_Histograma_Obra!PT57:PT115,[1]HOC_Histograma_Obra!$C$55:$C$113,"ST")</f>
        <v>0</v>
      </c>
      <c r="OP29" s="11">
        <f>SUMIFS([1]HOC_Histograma_Obra!PU57:PU115,[1]HOC_Histograma_Obra!$C$55:$C$113,"ST")</f>
        <v>0</v>
      </c>
      <c r="OQ29" s="11">
        <f>SUMIFS([1]HOC_Histograma_Obra!PV57:PV115,[1]HOC_Histograma_Obra!$C$55:$C$113,"ST")</f>
        <v>0</v>
      </c>
      <c r="OR29" s="11">
        <f>SUMIFS([1]HOC_Histograma_Obra!PW57:PW115,[1]HOC_Histograma_Obra!$C$55:$C$113,"ST")</f>
        <v>0</v>
      </c>
      <c r="OS29" s="11">
        <f>SUMIFS([1]HOC_Histograma_Obra!PX57:PX115,[1]HOC_Histograma_Obra!$C$55:$C$113,"ST")</f>
        <v>0</v>
      </c>
      <c r="OT29" s="11">
        <f>SUMIFS([1]HOC_Histograma_Obra!PY57:PY115,[1]HOC_Histograma_Obra!$C$55:$C$113,"ST")</f>
        <v>0</v>
      </c>
      <c r="OU29" s="11">
        <f>SUMIFS([1]HOC_Histograma_Obra!PZ57:PZ115,[1]HOC_Histograma_Obra!$C$55:$C$113,"ST")</f>
        <v>0</v>
      </c>
      <c r="OV29" s="11">
        <f>SUMIFS([1]HOC_Histograma_Obra!QA57:QA115,[1]HOC_Histograma_Obra!$C$55:$C$113,"ST")</f>
        <v>0</v>
      </c>
      <c r="OW29" s="11">
        <f>SUMIFS([1]HOC_Histograma_Obra!QB57:QB115,[1]HOC_Histograma_Obra!$C$55:$C$113,"ST")</f>
        <v>0</v>
      </c>
      <c r="OX29" s="11">
        <f>SUMIFS([1]HOC_Histograma_Obra!QC57:QC115,[1]HOC_Histograma_Obra!$C$55:$C$113,"ST")</f>
        <v>0</v>
      </c>
      <c r="OY29" s="11">
        <f>SUMIFS([1]HOC_Histograma_Obra!QD57:QD115,[1]HOC_Histograma_Obra!$C$55:$C$113,"ST")</f>
        <v>0</v>
      </c>
      <c r="OZ29" s="11">
        <f>SUMIFS([1]HOC_Histograma_Obra!QE57:QE115,[1]HOC_Histograma_Obra!$C$55:$C$113,"ST")</f>
        <v>0</v>
      </c>
      <c r="PA29" s="11">
        <f>SUMIFS([1]HOC_Histograma_Obra!QF57:QF115,[1]HOC_Histograma_Obra!$C$55:$C$113,"ST")</f>
        <v>0</v>
      </c>
      <c r="PB29" s="11">
        <f>SUMIFS([1]HOC_Histograma_Obra!QG57:QG115,[1]HOC_Histograma_Obra!$C$55:$C$113,"ST")</f>
        <v>0</v>
      </c>
      <c r="PC29" s="11">
        <f>SUMIFS([1]HOC_Histograma_Obra!QH57:QH115,[1]HOC_Histograma_Obra!$C$55:$C$113,"ST")</f>
        <v>0</v>
      </c>
      <c r="PD29" s="11">
        <f>SUMIFS([1]HOC_Histograma_Obra!QI57:QI115,[1]HOC_Histograma_Obra!$C$55:$C$113,"ST")</f>
        <v>0</v>
      </c>
      <c r="PE29" s="11">
        <f>SUMIFS([1]HOC_Histograma_Obra!QJ57:QJ115,[1]HOC_Histograma_Obra!$C$55:$C$113,"ST")</f>
        <v>0</v>
      </c>
      <c r="PF29" s="11">
        <f>SUMIFS([1]HOC_Histograma_Obra!QK57:QK115,[1]HOC_Histograma_Obra!$C$55:$C$113,"ST")</f>
        <v>0</v>
      </c>
      <c r="PG29" s="11">
        <f>SUMIFS([1]HOC_Histograma_Obra!QL57:QL115,[1]HOC_Histograma_Obra!$C$55:$C$113,"ST")</f>
        <v>0</v>
      </c>
      <c r="PH29" s="11">
        <f>SUMIFS([1]HOC_Histograma_Obra!QM57:QM115,[1]HOC_Histograma_Obra!$C$55:$C$113,"ST")</f>
        <v>0</v>
      </c>
      <c r="PI29" s="11">
        <f>SUMIFS([1]HOC_Histograma_Obra!QN57:QN115,[1]HOC_Histograma_Obra!$C$55:$C$113,"ST")</f>
        <v>0</v>
      </c>
      <c r="PJ29" s="11">
        <f>SUMIFS([1]HOC_Histograma_Obra!QO57:QO115,[1]HOC_Histograma_Obra!$C$55:$C$113,"ST")</f>
        <v>0</v>
      </c>
      <c r="PK29" s="11">
        <f>SUMIFS([1]HOC_Histograma_Obra!QP57:QP115,[1]HOC_Histograma_Obra!$C$55:$C$113,"ST")</f>
        <v>0</v>
      </c>
      <c r="PL29" s="11">
        <f>SUMIFS([1]HOC_Histograma_Obra!QQ57:QQ115,[1]HOC_Histograma_Obra!$C$55:$C$113,"ST")</f>
        <v>0</v>
      </c>
      <c r="PM29" s="11">
        <f>SUMIFS([1]HOC_Histograma_Obra!QR57:QR115,[1]HOC_Histograma_Obra!$C$55:$C$113,"ST")</f>
        <v>0</v>
      </c>
      <c r="PN29" s="11">
        <f>SUMIFS([1]HOC_Histograma_Obra!QS57:QS115,[1]HOC_Histograma_Obra!$C$55:$C$113,"ST")</f>
        <v>0</v>
      </c>
      <c r="PO29" s="11">
        <f>SUMIFS([1]HOC_Histograma_Obra!QT57:QT115,[1]HOC_Histograma_Obra!$C$55:$C$113,"ST")</f>
        <v>0</v>
      </c>
      <c r="PP29" s="11">
        <f>SUMIFS([1]HOC_Histograma_Obra!QU57:QU115,[1]HOC_Histograma_Obra!$C$55:$C$113,"ST")</f>
        <v>0</v>
      </c>
      <c r="PQ29" s="11">
        <f>SUMIFS([1]HOC_Histograma_Obra!QV57:QV115,[1]HOC_Histograma_Obra!$C$55:$C$113,"ST")</f>
        <v>0</v>
      </c>
      <c r="PR29" s="11">
        <f>SUMIFS([1]HOC_Histograma_Obra!QW57:QW115,[1]HOC_Histograma_Obra!$C$55:$C$113,"ST")</f>
        <v>0</v>
      </c>
      <c r="PS29" s="11">
        <f>SUMIFS([1]HOC_Histograma_Obra!QX57:QX115,[1]HOC_Histograma_Obra!$C$55:$C$113,"ST")</f>
        <v>0</v>
      </c>
      <c r="PT29" s="11">
        <f>SUMIFS([1]HOC_Histograma_Obra!QY57:QY115,[1]HOC_Histograma_Obra!$C$55:$C$113,"ST")</f>
        <v>0</v>
      </c>
      <c r="PU29" s="11">
        <f>SUMIFS([1]HOC_Histograma_Obra!QZ57:QZ115,[1]HOC_Histograma_Obra!$C$55:$C$113,"ST")</f>
        <v>0</v>
      </c>
      <c r="PV29" s="11">
        <f>SUMIFS([1]HOC_Histograma_Obra!RA57:RA115,[1]HOC_Histograma_Obra!$C$55:$C$113,"ST")</f>
        <v>0</v>
      </c>
      <c r="PW29" s="11">
        <f>SUMIFS([1]HOC_Histograma_Obra!RB57:RB115,[1]HOC_Histograma_Obra!$C$55:$C$113,"ST")</f>
        <v>0</v>
      </c>
      <c r="PX29" s="11">
        <f>SUMIFS([1]HOC_Histograma_Obra!RC57:RC115,[1]HOC_Histograma_Obra!$C$55:$C$113,"ST")</f>
        <v>0</v>
      </c>
      <c r="PY29" s="11">
        <f>SUMIFS([1]HOC_Histograma_Obra!RD57:RD115,[1]HOC_Histograma_Obra!$C$55:$C$113,"ST")</f>
        <v>0</v>
      </c>
      <c r="PZ29" s="11">
        <f>SUMIFS([1]HOC_Histograma_Obra!RE57:RE115,[1]HOC_Histograma_Obra!$C$55:$C$113,"ST")</f>
        <v>0</v>
      </c>
      <c r="QA29" s="11">
        <f>SUMIFS([1]HOC_Histograma_Obra!RF57:RF115,[1]HOC_Histograma_Obra!$C$55:$C$113,"ST")</f>
        <v>0</v>
      </c>
      <c r="QB29" s="11">
        <f>SUMIFS([1]HOC_Histograma_Obra!RG57:RG115,[1]HOC_Histograma_Obra!$C$55:$C$113,"ST")</f>
        <v>0</v>
      </c>
      <c r="QC29" s="11">
        <f>SUMIFS([1]HOC_Histograma_Obra!RH57:RH115,[1]HOC_Histograma_Obra!$C$55:$C$113,"ST")</f>
        <v>0</v>
      </c>
      <c r="QD29" s="11">
        <f>SUMIFS([1]HOC_Histograma_Obra!RI57:RI115,[1]HOC_Histograma_Obra!$C$55:$C$113,"ST")</f>
        <v>0</v>
      </c>
      <c r="QE29" s="11">
        <f>SUMIFS([1]HOC_Histograma_Obra!RJ57:RJ115,[1]HOC_Histograma_Obra!$C$55:$C$113,"ST")</f>
        <v>0</v>
      </c>
      <c r="QF29" s="11">
        <f>SUMIFS([1]HOC_Histograma_Obra!RK57:RK115,[1]HOC_Histograma_Obra!$C$55:$C$113,"ST")</f>
        <v>0</v>
      </c>
      <c r="QG29" s="11">
        <f>SUMIFS([1]HOC_Histograma_Obra!RL57:RL115,[1]HOC_Histograma_Obra!$C$55:$C$113,"ST")</f>
        <v>0</v>
      </c>
      <c r="QH29" s="11">
        <f>SUMIFS([1]HOC_Histograma_Obra!RM57:RM115,[1]HOC_Histograma_Obra!$C$55:$C$113,"ST")</f>
        <v>0</v>
      </c>
      <c r="QI29" s="11">
        <f>SUMIFS([1]HOC_Histograma_Obra!RN57:RN115,[1]HOC_Histograma_Obra!$C$55:$C$113,"ST")</f>
        <v>0</v>
      </c>
      <c r="QJ29" s="11">
        <f>SUMIFS([1]HOC_Histograma_Obra!RO57:RO115,[1]HOC_Histograma_Obra!$C$55:$C$113,"ST")</f>
        <v>0</v>
      </c>
      <c r="QK29" s="11">
        <f>SUMIFS([1]HOC_Histograma_Obra!RP57:RP115,[1]HOC_Histograma_Obra!$C$55:$C$113,"ST")</f>
        <v>0</v>
      </c>
      <c r="QL29" s="11">
        <f>SUMIFS([1]HOC_Histograma_Obra!RQ57:RQ115,[1]HOC_Histograma_Obra!$C$55:$C$113,"ST")</f>
        <v>0</v>
      </c>
      <c r="QM29" s="11">
        <f>SUMIFS([1]HOC_Histograma_Obra!RR57:RR115,[1]HOC_Histograma_Obra!$C$55:$C$113,"ST")</f>
        <v>0</v>
      </c>
      <c r="QN29" s="11">
        <f>SUMIFS([1]HOC_Histograma_Obra!RS57:RS115,[1]HOC_Histograma_Obra!$C$55:$C$113,"ST")</f>
        <v>0</v>
      </c>
      <c r="QO29" s="11">
        <f>SUMIFS([1]HOC_Histograma_Obra!RT57:RT115,[1]HOC_Histograma_Obra!$C$55:$C$113,"ST")</f>
        <v>0</v>
      </c>
      <c r="QP29" s="11">
        <f>SUMIFS([1]HOC_Histograma_Obra!RU57:RU115,[1]HOC_Histograma_Obra!$C$55:$C$113,"ST")</f>
        <v>0</v>
      </c>
      <c r="QQ29" s="11">
        <f>SUMIFS([1]HOC_Histograma_Obra!RV57:RV115,[1]HOC_Histograma_Obra!$C$55:$C$113,"ST")</f>
        <v>0</v>
      </c>
      <c r="QR29" s="11">
        <f>SUMIFS([1]HOC_Histograma_Obra!RW57:RW115,[1]HOC_Histograma_Obra!$C$55:$C$113,"ST")</f>
        <v>0</v>
      </c>
      <c r="QS29" s="11">
        <f>SUMIFS([1]HOC_Histograma_Obra!RX57:RX115,[1]HOC_Histograma_Obra!$C$55:$C$113,"ST")</f>
        <v>0</v>
      </c>
      <c r="QT29" s="11">
        <f>SUMIFS([1]HOC_Histograma_Obra!RY57:RY115,[1]HOC_Histograma_Obra!$C$55:$C$113,"ST")</f>
        <v>0</v>
      </c>
      <c r="QU29" s="11">
        <f>SUMIFS([1]HOC_Histograma_Obra!RZ57:RZ115,[1]HOC_Histograma_Obra!$C$55:$C$113,"ST")</f>
        <v>0</v>
      </c>
      <c r="QV29" s="11">
        <f>SUMIFS([1]HOC_Histograma_Obra!SA57:SA115,[1]HOC_Histograma_Obra!$C$55:$C$113,"ST")</f>
        <v>0</v>
      </c>
      <c r="QW29" s="11">
        <f>SUMIFS([1]HOC_Histograma_Obra!SB57:SB115,[1]HOC_Histograma_Obra!$C$55:$C$113,"ST")</f>
        <v>0</v>
      </c>
      <c r="QX29" s="11">
        <f>SUMIFS([1]HOC_Histograma_Obra!SC57:SC115,[1]HOC_Histograma_Obra!$C$55:$C$113,"ST")</f>
        <v>0</v>
      </c>
      <c r="QY29" s="11">
        <f>SUMIFS([1]HOC_Histograma_Obra!SD57:SD115,[1]HOC_Histograma_Obra!$C$55:$C$113,"ST")</f>
        <v>0</v>
      </c>
      <c r="QZ29" s="11">
        <f>SUMIFS([1]HOC_Histograma_Obra!SE57:SE115,[1]HOC_Histograma_Obra!$C$55:$C$113,"ST")</f>
        <v>0</v>
      </c>
      <c r="RA29" s="11">
        <f>SUMIFS([1]HOC_Histograma_Obra!SF57:SF115,[1]HOC_Histograma_Obra!$C$55:$C$113,"ST")</f>
        <v>0</v>
      </c>
      <c r="RB29" s="11">
        <f>SUMIFS([1]HOC_Histograma_Obra!SG57:SG115,[1]HOC_Histograma_Obra!$C$55:$C$113,"ST")</f>
        <v>0</v>
      </c>
      <c r="RC29" s="11">
        <f>SUMIFS([1]HOC_Histograma_Obra!SH57:SH115,[1]HOC_Histograma_Obra!$C$55:$C$113,"ST")</f>
        <v>0</v>
      </c>
      <c r="RD29" s="11">
        <f>SUMIFS([1]HOC_Histograma_Obra!SI57:SI115,[1]HOC_Histograma_Obra!$C$55:$C$113,"ST")</f>
        <v>0</v>
      </c>
      <c r="RE29" s="11">
        <f>SUMIFS([1]HOC_Histograma_Obra!SJ57:SJ115,[1]HOC_Histograma_Obra!$C$55:$C$113,"ST")</f>
        <v>0</v>
      </c>
      <c r="RF29" s="11">
        <f>SUMIFS([1]HOC_Histograma_Obra!SK57:SK115,[1]HOC_Histograma_Obra!$C$55:$C$113,"ST")</f>
        <v>0</v>
      </c>
      <c r="RG29" s="11">
        <f>SUMIFS([1]HOC_Histograma_Obra!SL57:SL115,[1]HOC_Histograma_Obra!$C$55:$C$113,"ST")</f>
        <v>0</v>
      </c>
      <c r="RH29" s="11">
        <f>SUMIFS([1]HOC_Histograma_Obra!SM57:SM115,[1]HOC_Histograma_Obra!$C$55:$C$113,"ST")</f>
        <v>0</v>
      </c>
      <c r="RI29" s="11">
        <f>SUMIFS([1]HOC_Histograma_Obra!SN57:SN115,[1]HOC_Histograma_Obra!$C$55:$C$113,"ST")</f>
        <v>0</v>
      </c>
      <c r="RJ29" s="11">
        <f>SUMIFS([1]HOC_Histograma_Obra!SO57:SO115,[1]HOC_Histograma_Obra!$C$55:$C$113,"ST")</f>
        <v>0</v>
      </c>
      <c r="RK29" s="11">
        <f>SUMIFS([1]HOC_Histograma_Obra!SP57:SP115,[1]HOC_Histograma_Obra!$C$55:$C$113,"ST")</f>
        <v>0</v>
      </c>
      <c r="RL29" s="11">
        <f>SUMIFS([1]HOC_Histograma_Obra!SQ57:SQ115,[1]HOC_Histograma_Obra!$C$55:$C$113,"ST")</f>
        <v>0</v>
      </c>
      <c r="RM29" s="11">
        <f>SUMIFS([1]HOC_Histograma_Obra!SR57:SR115,[1]HOC_Histograma_Obra!$C$55:$C$113,"ST")</f>
        <v>0</v>
      </c>
      <c r="RN29" s="11">
        <f>SUMIFS([1]HOC_Histograma_Obra!SS57:SS115,[1]HOC_Histograma_Obra!$C$55:$C$113,"ST")</f>
        <v>0</v>
      </c>
      <c r="RO29" s="11">
        <f>SUMIFS([1]HOC_Histograma_Obra!ST57:ST115,[1]HOC_Histograma_Obra!$C$55:$C$113,"ST")</f>
        <v>0</v>
      </c>
      <c r="RP29" s="11">
        <f>SUMIFS([1]HOC_Histograma_Obra!SU57:SU115,[1]HOC_Histograma_Obra!$C$55:$C$113,"ST")</f>
        <v>0</v>
      </c>
      <c r="RQ29" s="11">
        <f>SUMIFS([1]HOC_Histograma_Obra!SV57:SV115,[1]HOC_Histograma_Obra!$C$55:$C$113,"ST")</f>
        <v>0</v>
      </c>
      <c r="RR29" s="11">
        <f>SUMIFS([1]HOC_Histograma_Obra!SW57:SW115,[1]HOC_Histograma_Obra!$C$55:$C$113,"ST")</f>
        <v>0</v>
      </c>
      <c r="RS29" s="11">
        <f>SUMIFS([1]HOC_Histograma_Obra!SX57:SX115,[1]HOC_Histograma_Obra!$C$55:$C$113,"ST")</f>
        <v>0</v>
      </c>
      <c r="RT29" s="11">
        <f>SUMIFS([1]HOC_Histograma_Obra!SY57:SY115,[1]HOC_Histograma_Obra!$C$55:$C$113,"ST")</f>
        <v>0</v>
      </c>
      <c r="RU29" s="11">
        <f>SUMIFS([1]HOC_Histograma_Obra!SZ57:SZ115,[1]HOC_Histograma_Obra!$C$55:$C$113,"ST")</f>
        <v>0</v>
      </c>
      <c r="RV29" s="11">
        <f>SUMIFS([1]HOC_Histograma_Obra!TA57:TA115,[1]HOC_Histograma_Obra!$C$55:$C$113,"ST")</f>
        <v>0</v>
      </c>
      <c r="RW29" s="11">
        <f>SUMIFS([1]HOC_Histograma_Obra!TB57:TB115,[1]HOC_Histograma_Obra!$C$55:$C$113,"ST")</f>
        <v>0</v>
      </c>
      <c r="RX29" s="11">
        <f>SUMIFS([1]HOC_Histograma_Obra!TC57:TC115,[1]HOC_Histograma_Obra!$C$55:$C$113,"ST")</f>
        <v>0</v>
      </c>
      <c r="RY29" s="11">
        <f>SUMIFS([1]HOC_Histograma_Obra!TD57:TD115,[1]HOC_Histograma_Obra!$C$55:$C$113,"ST")</f>
        <v>0</v>
      </c>
      <c r="RZ29" s="11">
        <f>SUMIFS([1]HOC_Histograma_Obra!TE57:TE115,[1]HOC_Histograma_Obra!$C$55:$C$113,"ST")</f>
        <v>0</v>
      </c>
      <c r="SA29" s="11">
        <f>SUMIFS([1]HOC_Histograma_Obra!TF57:TF115,[1]HOC_Histograma_Obra!$C$55:$C$113,"ST")</f>
        <v>0</v>
      </c>
      <c r="SB29" s="11">
        <f>SUMIFS([1]HOC_Histograma_Obra!TG57:TG115,[1]HOC_Histograma_Obra!$C$55:$C$113,"ST")</f>
        <v>0</v>
      </c>
      <c r="SC29" s="11">
        <f>SUMIFS([1]HOC_Histograma_Obra!TH57:TH115,[1]HOC_Histograma_Obra!$C$55:$C$113,"ST")</f>
        <v>0</v>
      </c>
      <c r="SD29" s="11">
        <f>SUMIFS([1]HOC_Histograma_Obra!TI57:TI115,[1]HOC_Histograma_Obra!$C$55:$C$113,"ST")</f>
        <v>0</v>
      </c>
      <c r="SE29" s="11">
        <f>SUMIFS([1]HOC_Histograma_Obra!TJ57:TJ115,[1]HOC_Histograma_Obra!$C$55:$C$113,"ST")</f>
        <v>0</v>
      </c>
      <c r="SF29" s="11">
        <f>SUMIFS([1]HOC_Histograma_Obra!TK57:TK115,[1]HOC_Histograma_Obra!$C$55:$C$113,"ST")</f>
        <v>0</v>
      </c>
      <c r="SG29" s="11">
        <f>SUMIFS([1]HOC_Histograma_Obra!TL57:TL115,[1]HOC_Histograma_Obra!$C$55:$C$113,"ST")</f>
        <v>0</v>
      </c>
      <c r="SH29" s="11">
        <f>SUMIFS([1]HOC_Histograma_Obra!TM57:TM115,[1]HOC_Histograma_Obra!$C$55:$C$113,"ST")</f>
        <v>0</v>
      </c>
      <c r="SI29" s="11">
        <f>SUMIFS([1]HOC_Histograma_Obra!TN57:TN115,[1]HOC_Histograma_Obra!$C$55:$C$113,"ST")</f>
        <v>0</v>
      </c>
      <c r="SJ29" s="11">
        <f>SUMIFS([1]HOC_Histograma_Obra!TO57:TO115,[1]HOC_Histograma_Obra!$C$55:$C$113,"ST")</f>
        <v>0</v>
      </c>
      <c r="SK29" s="11">
        <f>SUMIFS([1]HOC_Histograma_Obra!TP57:TP115,[1]HOC_Histograma_Obra!$C$55:$C$113,"ST")</f>
        <v>0</v>
      </c>
      <c r="SL29" s="11">
        <f>SUMIFS([1]HOC_Histograma_Obra!TQ57:TQ115,[1]HOC_Histograma_Obra!$C$55:$C$113,"ST")</f>
        <v>0</v>
      </c>
      <c r="SM29" s="11">
        <f>SUMIFS([1]HOC_Histograma_Obra!TR57:TR115,[1]HOC_Histograma_Obra!$C$55:$C$113,"ST")</f>
        <v>0</v>
      </c>
      <c r="SN29" s="11">
        <f>SUMIFS([1]HOC_Histograma_Obra!TS57:TS115,[1]HOC_Histograma_Obra!$C$55:$C$113,"ST")</f>
        <v>0</v>
      </c>
      <c r="SO29" s="11">
        <f>SUMIFS([1]HOC_Histograma_Obra!TT57:TT115,[1]HOC_Histograma_Obra!$C$55:$C$113,"ST")</f>
        <v>0</v>
      </c>
      <c r="SP29" s="11">
        <f>SUMIFS([1]HOC_Histograma_Obra!TU57:TU115,[1]HOC_Histograma_Obra!$C$55:$C$113,"ST")</f>
        <v>0</v>
      </c>
      <c r="SQ29" s="11">
        <f>SUMIFS([1]HOC_Histograma_Obra!TV57:TV115,[1]HOC_Histograma_Obra!$C$55:$C$113,"ST")</f>
        <v>0</v>
      </c>
      <c r="SR29" s="11">
        <f>SUMIFS([1]HOC_Histograma_Obra!TW57:TW115,[1]HOC_Histograma_Obra!$C$55:$C$113,"ST")</f>
        <v>0</v>
      </c>
      <c r="SS29" s="11">
        <f>SUMIFS([1]HOC_Histograma_Obra!TX57:TX115,[1]HOC_Histograma_Obra!$C$55:$C$113,"ST")</f>
        <v>0</v>
      </c>
      <c r="ST29" s="11">
        <f>SUMIFS([1]HOC_Histograma_Obra!TY57:TY115,[1]HOC_Histograma_Obra!$C$55:$C$113,"ST")</f>
        <v>0</v>
      </c>
      <c r="SU29" s="11">
        <f>SUMIFS([1]HOC_Histograma_Obra!TZ57:TZ115,[1]HOC_Histograma_Obra!$C$55:$C$113,"ST")</f>
        <v>0</v>
      </c>
      <c r="SV29" s="11">
        <f>SUMIFS([1]HOC_Histograma_Obra!UA57:UA115,[1]HOC_Histograma_Obra!$C$55:$C$113,"ST")</f>
        <v>0</v>
      </c>
      <c r="SW29" s="11">
        <f>SUMIFS([1]HOC_Histograma_Obra!UB57:UB115,[1]HOC_Histograma_Obra!$C$55:$C$113,"ST")</f>
        <v>0</v>
      </c>
      <c r="SX29" s="11">
        <f>SUMIFS([1]HOC_Histograma_Obra!UC57:UC115,[1]HOC_Histograma_Obra!$C$55:$C$113,"ST")</f>
        <v>0</v>
      </c>
      <c r="SY29" s="11">
        <f>SUMIFS([1]HOC_Histograma_Obra!UD57:UD115,[1]HOC_Histograma_Obra!$C$55:$C$113,"ST")</f>
        <v>0</v>
      </c>
      <c r="SZ29" s="11">
        <f>SUMIFS([1]HOC_Histograma_Obra!UE57:UE115,[1]HOC_Histograma_Obra!$C$55:$C$113,"ST")</f>
        <v>0</v>
      </c>
      <c r="TA29" s="11">
        <f>SUMIFS([1]HOC_Histograma_Obra!UF57:UF115,[1]HOC_Histograma_Obra!$C$55:$C$113,"ST")</f>
        <v>0</v>
      </c>
      <c r="TB29" s="11">
        <f>SUMIFS([1]HOC_Histograma_Obra!UG57:UG115,[1]HOC_Histograma_Obra!$C$55:$C$113,"ST")</f>
        <v>0</v>
      </c>
      <c r="TC29" s="11">
        <f>SUMIFS([1]HOC_Histograma_Obra!UH57:UH115,[1]HOC_Histograma_Obra!$C$55:$C$113,"ST")</f>
        <v>0</v>
      </c>
      <c r="TD29" s="11">
        <f>SUMIFS([1]HOC_Histograma_Obra!UI57:UI115,[1]HOC_Histograma_Obra!$C$55:$C$113,"ST")</f>
        <v>0</v>
      </c>
      <c r="TE29" s="11">
        <f>SUMIFS([1]HOC_Histograma_Obra!UJ57:UJ115,[1]HOC_Histograma_Obra!$C$55:$C$113,"ST")</f>
        <v>0</v>
      </c>
      <c r="TF29" s="11">
        <f>SUMIFS([1]HOC_Histograma_Obra!UK57:UK115,[1]HOC_Histograma_Obra!$C$55:$C$113,"ST")</f>
        <v>0</v>
      </c>
      <c r="TG29" s="11">
        <f>SUMIFS([1]HOC_Histograma_Obra!UL57:UL115,[1]HOC_Histograma_Obra!$C$55:$C$113,"ST")</f>
        <v>0</v>
      </c>
      <c r="TH29" s="11">
        <f>SUMIFS([1]HOC_Histograma_Obra!UM57:UM115,[1]HOC_Histograma_Obra!$C$55:$C$113,"ST")</f>
        <v>0</v>
      </c>
      <c r="TI29" s="11">
        <f>SUMIFS([1]HOC_Histograma_Obra!UN57:UN115,[1]HOC_Histograma_Obra!$C$55:$C$113,"ST")</f>
        <v>0</v>
      </c>
      <c r="TJ29" s="11">
        <f>SUMIFS([1]HOC_Histograma_Obra!UO57:UO115,[1]HOC_Histograma_Obra!$C$55:$C$113,"ST")</f>
        <v>0</v>
      </c>
      <c r="TK29" s="11">
        <f>SUMIFS([1]HOC_Histograma_Obra!UP57:UP115,[1]HOC_Histograma_Obra!$C$55:$C$113,"ST")</f>
        <v>0</v>
      </c>
      <c r="TL29" s="11">
        <f>SUMIFS([1]HOC_Histograma_Obra!UQ57:UQ115,[1]HOC_Histograma_Obra!$C$55:$C$113,"ST")</f>
        <v>0</v>
      </c>
      <c r="TM29" s="11">
        <f>SUMIFS([1]HOC_Histograma_Obra!UR57:UR115,[1]HOC_Histograma_Obra!$C$55:$C$113,"ST")</f>
        <v>0</v>
      </c>
      <c r="TN29" s="11">
        <f>SUMIFS([1]HOC_Histograma_Obra!US57:US115,[1]HOC_Histograma_Obra!$C$55:$C$113,"ST")</f>
        <v>0</v>
      </c>
      <c r="TO29" s="11">
        <f>SUMIFS([1]HOC_Histograma_Obra!UT57:UT115,[1]HOC_Histograma_Obra!$C$55:$C$113,"ST")</f>
        <v>0</v>
      </c>
      <c r="TP29" s="11">
        <f>SUMIFS([1]HOC_Histograma_Obra!UU57:UU115,[1]HOC_Histograma_Obra!$C$55:$C$113,"ST")</f>
        <v>0</v>
      </c>
      <c r="TQ29" s="11">
        <f>SUMIFS([1]HOC_Histograma_Obra!UV57:UV115,[1]HOC_Histograma_Obra!$C$55:$C$113,"ST")</f>
        <v>0</v>
      </c>
      <c r="TR29" s="11">
        <f>SUMIFS([1]HOC_Histograma_Obra!UW57:UW115,[1]HOC_Histograma_Obra!$C$55:$C$113,"ST")</f>
        <v>0</v>
      </c>
      <c r="TS29" s="11">
        <f>SUMIFS([1]HOC_Histograma_Obra!UX57:UX115,[1]HOC_Histograma_Obra!$C$55:$C$113,"ST")</f>
        <v>0</v>
      </c>
      <c r="TT29" s="11">
        <f>SUMIFS([1]HOC_Histograma_Obra!UY57:UY115,[1]HOC_Histograma_Obra!$C$55:$C$113,"ST")</f>
        <v>0</v>
      </c>
      <c r="TU29" s="11">
        <f>SUMIFS([1]HOC_Histograma_Obra!UZ57:UZ115,[1]HOC_Histograma_Obra!$C$55:$C$113,"ST")</f>
        <v>0</v>
      </c>
      <c r="TV29" s="11">
        <f>SUMIFS([1]HOC_Histograma_Obra!VA57:VA115,[1]HOC_Histograma_Obra!$C$55:$C$113,"ST")</f>
        <v>0</v>
      </c>
      <c r="TW29" s="11">
        <f>SUMIFS([1]HOC_Histograma_Obra!VB57:VB115,[1]HOC_Histograma_Obra!$C$55:$C$113,"ST")</f>
        <v>0</v>
      </c>
      <c r="TX29" s="11">
        <f>SUMIFS([1]HOC_Histograma_Obra!VC57:VC115,[1]HOC_Histograma_Obra!$C$55:$C$113,"ST")</f>
        <v>0</v>
      </c>
      <c r="TY29" s="11">
        <f>SUMIFS([1]HOC_Histograma_Obra!VD57:VD115,[1]HOC_Histograma_Obra!$C$55:$C$113,"ST")</f>
        <v>0</v>
      </c>
      <c r="TZ29" s="11">
        <f>SUMIFS([1]HOC_Histograma_Obra!VE57:VE115,[1]HOC_Histograma_Obra!$C$55:$C$113,"ST")</f>
        <v>0</v>
      </c>
      <c r="UA29" s="11">
        <f>SUMIFS([1]HOC_Histograma_Obra!VF57:VF115,[1]HOC_Histograma_Obra!$C$55:$C$113,"ST")</f>
        <v>0</v>
      </c>
      <c r="UB29" s="11">
        <f>SUMIFS([1]HOC_Histograma_Obra!VG57:VG115,[1]HOC_Histograma_Obra!$C$55:$C$113,"ST")</f>
        <v>0</v>
      </c>
      <c r="UC29" s="11">
        <f>SUMIFS([1]HOC_Histograma_Obra!VH57:VH115,[1]HOC_Histograma_Obra!$C$55:$C$113,"ST")</f>
        <v>0</v>
      </c>
      <c r="UD29" s="11">
        <f>SUMIFS([1]HOC_Histograma_Obra!VI57:VI115,[1]HOC_Histograma_Obra!$C$55:$C$113,"ST")</f>
        <v>0</v>
      </c>
      <c r="UE29" s="11">
        <f>SUMIFS([1]HOC_Histograma_Obra!VJ57:VJ115,[1]HOC_Histograma_Obra!$C$55:$C$113,"ST")</f>
        <v>0</v>
      </c>
      <c r="UF29" s="11">
        <f>SUMIFS([1]HOC_Histograma_Obra!VK57:VK115,[1]HOC_Histograma_Obra!$C$55:$C$113,"ST")</f>
        <v>0</v>
      </c>
      <c r="UG29" s="11">
        <f>SUMIFS([1]HOC_Histograma_Obra!VL57:VL115,[1]HOC_Histograma_Obra!$C$55:$C$113,"ST")</f>
        <v>0</v>
      </c>
      <c r="UH29" s="11">
        <f>SUMIFS([1]HOC_Histograma_Obra!VM57:VM115,[1]HOC_Histograma_Obra!$C$55:$C$113,"ST")</f>
        <v>0</v>
      </c>
      <c r="UI29" s="11">
        <f>SUMIFS([1]HOC_Histograma_Obra!VN57:VN115,[1]HOC_Histograma_Obra!$C$55:$C$113,"ST")</f>
        <v>0</v>
      </c>
      <c r="UJ29" s="11">
        <f>SUMIFS([1]HOC_Histograma_Obra!VO57:VO115,[1]HOC_Histograma_Obra!$C$55:$C$113,"ST")</f>
        <v>0</v>
      </c>
      <c r="UK29" s="11">
        <f>SUMIFS([1]HOC_Histograma_Obra!VP57:VP115,[1]HOC_Histograma_Obra!$C$55:$C$113,"ST")</f>
        <v>0</v>
      </c>
      <c r="UL29" s="11">
        <f>SUMIFS([1]HOC_Histograma_Obra!VQ57:VQ115,[1]HOC_Histograma_Obra!$C$55:$C$113,"ST")</f>
        <v>0</v>
      </c>
      <c r="UM29" s="11">
        <f>SUMIFS([1]HOC_Histograma_Obra!VR57:VR115,[1]HOC_Histograma_Obra!$C$55:$C$113,"ST")</f>
        <v>0</v>
      </c>
      <c r="UN29" s="11">
        <f>SUMIFS([1]HOC_Histograma_Obra!VS57:VS115,[1]HOC_Histograma_Obra!$C$55:$C$113,"ST")</f>
        <v>0</v>
      </c>
      <c r="UO29" s="11">
        <f>SUMIFS([1]HOC_Histograma_Obra!VT57:VT115,[1]HOC_Histograma_Obra!$C$55:$C$113,"ST")</f>
        <v>0</v>
      </c>
      <c r="UP29" s="11">
        <f>SUMIFS([1]HOC_Histograma_Obra!VU57:VU115,[1]HOC_Histograma_Obra!$C$55:$C$113,"ST")</f>
        <v>0</v>
      </c>
      <c r="UQ29" s="11">
        <f>SUMIFS([1]HOC_Histograma_Obra!VV57:VV115,[1]HOC_Histograma_Obra!$C$55:$C$113,"ST")</f>
        <v>0</v>
      </c>
      <c r="UR29" s="11">
        <f>SUMIFS([1]HOC_Histograma_Obra!VW57:VW115,[1]HOC_Histograma_Obra!$C$55:$C$113,"ST")</f>
        <v>0</v>
      </c>
      <c r="US29" s="11">
        <f>SUMIFS([1]HOC_Histograma_Obra!VX57:VX115,[1]HOC_Histograma_Obra!$C$55:$C$113,"ST")</f>
        <v>0</v>
      </c>
      <c r="UT29" s="11">
        <f>SUMIFS([1]HOC_Histograma_Obra!VY57:VY115,[1]HOC_Histograma_Obra!$C$55:$C$113,"ST")</f>
        <v>0</v>
      </c>
      <c r="UU29" s="11">
        <f>SUMIFS([1]HOC_Histograma_Obra!VZ57:VZ115,[1]HOC_Histograma_Obra!$C$55:$C$113,"ST")</f>
        <v>0</v>
      </c>
      <c r="UV29" s="11">
        <f>SUMIFS([1]HOC_Histograma_Obra!WA57:WA115,[1]HOC_Histograma_Obra!$C$55:$C$113,"ST")</f>
        <v>0</v>
      </c>
      <c r="UW29" s="11">
        <f>SUMIFS([1]HOC_Histograma_Obra!WB57:WB115,[1]HOC_Histograma_Obra!$C$55:$C$113,"ST")</f>
        <v>0</v>
      </c>
      <c r="UX29" s="11">
        <f>SUMIFS([1]HOC_Histograma_Obra!WC57:WC115,[1]HOC_Histograma_Obra!$C$55:$C$113,"ST")</f>
        <v>0</v>
      </c>
      <c r="UY29" s="11">
        <f>SUMIFS([1]HOC_Histograma_Obra!WD57:WD115,[1]HOC_Histograma_Obra!$C$55:$C$113,"ST")</f>
        <v>0</v>
      </c>
      <c r="UZ29" s="11">
        <f>SUMIFS([1]HOC_Histograma_Obra!WE57:WE115,[1]HOC_Histograma_Obra!$C$55:$C$113,"ST")</f>
        <v>0</v>
      </c>
      <c r="VA29" s="11">
        <f>SUMIFS([1]HOC_Histograma_Obra!WF57:WF115,[1]HOC_Histograma_Obra!$C$55:$C$113,"ST")</f>
        <v>0</v>
      </c>
      <c r="VB29" s="11">
        <f>SUMIFS([1]HOC_Histograma_Obra!WG57:WG115,[1]HOC_Histograma_Obra!$C$55:$C$113,"ST")</f>
        <v>0</v>
      </c>
      <c r="VC29" s="11">
        <f>SUMIFS([1]HOC_Histograma_Obra!WH57:WH115,[1]HOC_Histograma_Obra!$C$55:$C$113,"ST")</f>
        <v>0</v>
      </c>
      <c r="VD29" s="11">
        <f>SUMIFS([1]HOC_Histograma_Obra!WI57:WI115,[1]HOC_Histograma_Obra!$C$55:$C$113,"ST")</f>
        <v>0</v>
      </c>
      <c r="VE29" s="11">
        <f>SUMIFS([1]HOC_Histograma_Obra!WJ57:WJ115,[1]HOC_Histograma_Obra!$C$55:$C$113,"ST")</f>
        <v>0</v>
      </c>
      <c r="VF29" s="11">
        <f>SUMIFS([1]HOC_Histograma_Obra!WK57:WK115,[1]HOC_Histograma_Obra!$C$55:$C$113,"ST")</f>
        <v>0</v>
      </c>
      <c r="VG29" s="11">
        <f>SUMIFS([1]HOC_Histograma_Obra!WL57:WL115,[1]HOC_Histograma_Obra!$C$55:$C$113,"ST")</f>
        <v>0</v>
      </c>
      <c r="VH29" s="11">
        <f>SUMIFS([1]HOC_Histograma_Obra!WM57:WM115,[1]HOC_Histograma_Obra!$C$55:$C$113,"ST")</f>
        <v>0</v>
      </c>
      <c r="VI29" s="11">
        <f>SUMIFS([1]HOC_Histograma_Obra!WN57:WN115,[1]HOC_Histograma_Obra!$C$55:$C$113,"ST")</f>
        <v>0</v>
      </c>
      <c r="VJ29" s="11">
        <f>SUMIFS([1]HOC_Histograma_Obra!WO57:WO115,[1]HOC_Histograma_Obra!$C$55:$C$113,"ST")</f>
        <v>0</v>
      </c>
      <c r="VK29" s="11">
        <f>SUMIFS([1]HOC_Histograma_Obra!WP57:WP115,[1]HOC_Histograma_Obra!$C$55:$C$113,"ST")</f>
        <v>0</v>
      </c>
      <c r="VL29" s="11">
        <f>SUMIFS([1]HOC_Histograma_Obra!WQ57:WQ115,[1]HOC_Histograma_Obra!$C$55:$C$113,"ST")</f>
        <v>0</v>
      </c>
      <c r="VM29" s="11">
        <f>SUMIFS([1]HOC_Histograma_Obra!WR57:WR115,[1]HOC_Histograma_Obra!$C$55:$C$113,"ST")</f>
        <v>0</v>
      </c>
      <c r="VN29" s="11">
        <f>SUMIFS([1]HOC_Histograma_Obra!WS57:WS115,[1]HOC_Histograma_Obra!$C$55:$C$113,"ST")</f>
        <v>0</v>
      </c>
      <c r="VO29" s="11">
        <f>SUMIFS([1]HOC_Histograma_Obra!WT57:WT115,[1]HOC_Histograma_Obra!$C$55:$C$113,"ST")</f>
        <v>0</v>
      </c>
      <c r="VP29" s="11">
        <f>SUMIFS([1]HOC_Histograma_Obra!WU57:WU115,[1]HOC_Histograma_Obra!$C$55:$C$113,"ST")</f>
        <v>0</v>
      </c>
      <c r="VQ29" s="11">
        <f>SUMIFS([1]HOC_Histograma_Obra!WV57:WV115,[1]HOC_Histograma_Obra!$C$55:$C$113,"ST")</f>
        <v>0</v>
      </c>
      <c r="VR29" s="11">
        <f>SUMIFS([1]HOC_Histograma_Obra!WW57:WW115,[1]HOC_Histograma_Obra!$C$55:$C$113,"ST")</f>
        <v>0</v>
      </c>
      <c r="VS29" s="11">
        <f>SUMIFS([1]HOC_Histograma_Obra!WX57:WX115,[1]HOC_Histograma_Obra!$C$55:$C$113,"ST")</f>
        <v>0</v>
      </c>
      <c r="VT29" s="11">
        <f>SUMIFS([1]HOC_Histograma_Obra!WY57:WY115,[1]HOC_Histograma_Obra!$C$55:$C$113,"ST")</f>
        <v>0</v>
      </c>
      <c r="VU29" s="11">
        <f>SUMIFS([1]HOC_Histograma_Obra!WZ57:WZ115,[1]HOC_Histograma_Obra!$C$55:$C$113,"ST")</f>
        <v>0</v>
      </c>
      <c r="VV29" s="11">
        <f>SUMIFS([1]HOC_Histograma_Obra!XA57:XA115,[1]HOC_Histograma_Obra!$C$55:$C$113,"ST")</f>
        <v>0</v>
      </c>
      <c r="VW29" s="11">
        <f>SUMIFS([1]HOC_Histograma_Obra!XB57:XB115,[1]HOC_Histograma_Obra!$C$55:$C$113,"ST")</f>
        <v>0</v>
      </c>
      <c r="VX29" s="11">
        <f>SUMIFS([1]HOC_Histograma_Obra!XC57:XC115,[1]HOC_Histograma_Obra!$C$55:$C$113,"ST")</f>
        <v>0</v>
      </c>
      <c r="VY29" s="11">
        <f>SUMIFS([1]HOC_Histograma_Obra!XD57:XD115,[1]HOC_Histograma_Obra!$C$55:$C$113,"ST")</f>
        <v>0</v>
      </c>
      <c r="VZ29" s="11">
        <f>SUMIFS([1]HOC_Histograma_Obra!XE57:XE115,[1]HOC_Histograma_Obra!$C$55:$C$113,"ST")</f>
        <v>0</v>
      </c>
      <c r="WA29" s="11">
        <f>SUMIFS([1]HOC_Histograma_Obra!XF57:XF115,[1]HOC_Histograma_Obra!$C$55:$C$113,"ST")</f>
        <v>0</v>
      </c>
      <c r="WB29" s="11">
        <f>SUMIFS([1]HOC_Histograma_Obra!XG57:XG115,[1]HOC_Histograma_Obra!$C$55:$C$113,"ST")</f>
        <v>0</v>
      </c>
      <c r="WC29" s="11">
        <f>SUMIFS([1]HOC_Histograma_Obra!XH57:XH115,[1]HOC_Histograma_Obra!$C$55:$C$113,"ST")</f>
        <v>0</v>
      </c>
      <c r="WD29" s="11">
        <f>SUMIFS([1]HOC_Histograma_Obra!XI57:XI115,[1]HOC_Histograma_Obra!$C$55:$C$113,"ST")</f>
        <v>0</v>
      </c>
      <c r="WE29" s="11">
        <f>SUMIFS([1]HOC_Histograma_Obra!XJ57:XJ115,[1]HOC_Histograma_Obra!$C$55:$C$113,"ST")</f>
        <v>0</v>
      </c>
      <c r="WF29" s="11">
        <f>SUMIFS([1]HOC_Histograma_Obra!XK57:XK115,[1]HOC_Histograma_Obra!$C$55:$C$113,"ST")</f>
        <v>0</v>
      </c>
      <c r="WG29" s="11">
        <f>SUMIFS([1]HOC_Histograma_Obra!XL57:XL115,[1]HOC_Histograma_Obra!$C$55:$C$113,"ST")</f>
        <v>0</v>
      </c>
      <c r="WH29" s="11">
        <f>SUMIFS([1]HOC_Histograma_Obra!XM57:XM115,[1]HOC_Histograma_Obra!$C$55:$C$113,"ST")</f>
        <v>0</v>
      </c>
      <c r="WI29" s="11">
        <f>SUMIFS([1]HOC_Histograma_Obra!XN57:XN115,[1]HOC_Histograma_Obra!$C$55:$C$113,"ST")</f>
        <v>0</v>
      </c>
      <c r="WJ29" s="11">
        <f>SUMIFS([1]HOC_Histograma_Obra!XO57:XO115,[1]HOC_Histograma_Obra!$C$55:$C$113,"ST")</f>
        <v>0</v>
      </c>
      <c r="WK29" s="11">
        <f>SUMIFS([1]HOC_Histograma_Obra!XP57:XP115,[1]HOC_Histograma_Obra!$C$55:$C$113,"ST")</f>
        <v>0</v>
      </c>
      <c r="WL29" s="11">
        <f>SUMIFS([1]HOC_Histograma_Obra!XQ57:XQ115,[1]HOC_Histograma_Obra!$C$55:$C$113,"ST")</f>
        <v>0</v>
      </c>
      <c r="WM29" s="11">
        <f>SUMIFS([1]HOC_Histograma_Obra!XR57:XR115,[1]HOC_Histograma_Obra!$C$55:$C$113,"ST")</f>
        <v>0</v>
      </c>
      <c r="WN29" s="11">
        <f>SUMIFS([1]HOC_Histograma_Obra!XS57:XS115,[1]HOC_Histograma_Obra!$C$55:$C$113,"ST")</f>
        <v>0</v>
      </c>
      <c r="WO29" s="11">
        <f>SUMIFS([1]HOC_Histograma_Obra!XT57:XT115,[1]HOC_Histograma_Obra!$C$55:$C$113,"ST")</f>
        <v>0</v>
      </c>
      <c r="WP29" s="11">
        <f>SUMIFS([1]HOC_Histograma_Obra!XU57:XU115,[1]HOC_Histograma_Obra!$C$55:$C$113,"ST")</f>
        <v>0</v>
      </c>
      <c r="WQ29" s="11">
        <f>SUMIFS([1]HOC_Histograma_Obra!XV57:XV115,[1]HOC_Histograma_Obra!$C$55:$C$113,"ST")</f>
        <v>0</v>
      </c>
      <c r="WR29" s="11">
        <f>SUMIFS([1]HOC_Histograma_Obra!XW57:XW115,[1]HOC_Histograma_Obra!$C$55:$C$113,"ST")</f>
        <v>0</v>
      </c>
      <c r="WS29" s="11">
        <f>SUMIFS([1]HOC_Histograma_Obra!XX57:XX115,[1]HOC_Histograma_Obra!$C$55:$C$113,"ST")</f>
        <v>0</v>
      </c>
      <c r="WT29" s="11">
        <f>SUMIFS([1]HOC_Histograma_Obra!XY57:XY115,[1]HOC_Histograma_Obra!$C$55:$C$113,"ST")</f>
        <v>0</v>
      </c>
      <c r="WU29" s="11">
        <f>SUMIFS([1]HOC_Histograma_Obra!XZ57:XZ115,[1]HOC_Histograma_Obra!$C$55:$C$113,"ST")</f>
        <v>0</v>
      </c>
      <c r="WV29" s="11">
        <f>SUMIFS([1]HOC_Histograma_Obra!YA57:YA115,[1]HOC_Histograma_Obra!$C$55:$C$113,"ST")</f>
        <v>0</v>
      </c>
      <c r="WW29" s="11">
        <f>SUMIFS([1]HOC_Histograma_Obra!YB57:YB115,[1]HOC_Histograma_Obra!$C$55:$C$113,"ST")</f>
        <v>0</v>
      </c>
      <c r="WX29" s="11">
        <f>SUMIFS([1]HOC_Histograma_Obra!YC57:YC115,[1]HOC_Histograma_Obra!$C$55:$C$113,"ST")</f>
        <v>0</v>
      </c>
      <c r="WY29" s="11">
        <f>SUMIFS([1]HOC_Histograma_Obra!YD57:YD115,[1]HOC_Histograma_Obra!$C$55:$C$113,"ST")</f>
        <v>0</v>
      </c>
      <c r="WZ29" s="11">
        <f>SUMIFS([1]HOC_Histograma_Obra!YE57:YE115,[1]HOC_Histograma_Obra!$C$55:$C$113,"ST")</f>
        <v>0</v>
      </c>
      <c r="XA29" s="11">
        <f>SUMIFS([1]HOC_Histograma_Obra!YF57:YF115,[1]HOC_Histograma_Obra!$C$55:$C$113,"ST")</f>
        <v>0</v>
      </c>
      <c r="XB29" s="11">
        <f>SUMIFS([1]HOC_Histograma_Obra!YG57:YG115,[1]HOC_Histograma_Obra!$C$55:$C$113,"ST")</f>
        <v>0</v>
      </c>
      <c r="XC29" s="11">
        <f>SUMIFS([1]HOC_Histograma_Obra!YH57:YH115,[1]HOC_Histograma_Obra!$C$55:$C$113,"ST")</f>
        <v>0</v>
      </c>
      <c r="XD29" s="11">
        <f>SUMIFS([1]HOC_Histograma_Obra!YI57:YI115,[1]HOC_Histograma_Obra!$C$55:$C$113,"ST")</f>
        <v>0</v>
      </c>
      <c r="XE29" s="11">
        <f>SUMIFS([1]HOC_Histograma_Obra!YJ57:YJ115,[1]HOC_Histograma_Obra!$C$55:$C$113,"ST")</f>
        <v>0</v>
      </c>
      <c r="XF29" s="11">
        <f>SUMIFS([1]HOC_Histograma_Obra!YK57:YK115,[1]HOC_Histograma_Obra!$C$55:$C$113,"ST")</f>
        <v>0</v>
      </c>
      <c r="XG29" s="11">
        <f>SUMIFS([1]HOC_Histograma_Obra!YL57:YL115,[1]HOC_Histograma_Obra!$C$55:$C$113,"ST")</f>
        <v>0</v>
      </c>
      <c r="XH29" s="11">
        <f>SUMIFS([1]HOC_Histograma_Obra!YM57:YM115,[1]HOC_Histograma_Obra!$C$55:$C$113,"ST")</f>
        <v>0</v>
      </c>
      <c r="XI29" s="11">
        <f>SUMIFS([1]HOC_Histograma_Obra!YN57:YN115,[1]HOC_Histograma_Obra!$C$55:$C$113,"ST")</f>
        <v>0</v>
      </c>
      <c r="XJ29" s="11">
        <f>SUMIFS([1]HOC_Histograma_Obra!YO57:YO115,[1]HOC_Histograma_Obra!$C$55:$C$113,"ST")</f>
        <v>0</v>
      </c>
      <c r="XK29" s="11">
        <f>SUMIFS([1]HOC_Histograma_Obra!YP57:YP115,[1]HOC_Histograma_Obra!$C$55:$C$113,"ST")</f>
        <v>0</v>
      </c>
      <c r="XL29" s="11">
        <f>SUMIFS([1]HOC_Histograma_Obra!YQ57:YQ115,[1]HOC_Histograma_Obra!$C$55:$C$113,"ST")</f>
        <v>0</v>
      </c>
      <c r="XM29" s="11">
        <f>SUMIFS([1]HOC_Histograma_Obra!YR57:YR115,[1]HOC_Histograma_Obra!$C$55:$C$113,"ST")</f>
        <v>0</v>
      </c>
      <c r="XN29" s="11">
        <f>SUMIFS([1]HOC_Histograma_Obra!YS57:YS115,[1]HOC_Histograma_Obra!$C$55:$C$113,"ST")</f>
        <v>0</v>
      </c>
      <c r="XO29" s="11">
        <f>SUMIFS([1]HOC_Histograma_Obra!YT57:YT115,[1]HOC_Histograma_Obra!$C$55:$C$113,"ST")</f>
        <v>0</v>
      </c>
      <c r="XP29" s="11">
        <f>SUMIFS([1]HOC_Histograma_Obra!YU57:YU115,[1]HOC_Histograma_Obra!$C$55:$C$113,"ST")</f>
        <v>0</v>
      </c>
      <c r="XQ29" s="11">
        <f>SUMIFS([1]HOC_Histograma_Obra!YV57:YV115,[1]HOC_Histograma_Obra!$C$55:$C$113,"ST")</f>
        <v>0</v>
      </c>
      <c r="XR29" s="11">
        <f>SUMIFS([1]HOC_Histograma_Obra!YW57:YW115,[1]HOC_Histograma_Obra!$C$55:$C$113,"ST")</f>
        <v>0</v>
      </c>
      <c r="XS29" s="11">
        <f>SUMIFS([1]HOC_Histograma_Obra!YX57:YX115,[1]HOC_Histograma_Obra!$C$55:$C$113,"ST")</f>
        <v>0</v>
      </c>
      <c r="XT29" s="11">
        <f>SUMIFS([1]HOC_Histograma_Obra!YY57:YY115,[1]HOC_Histograma_Obra!$C$55:$C$113,"ST")</f>
        <v>0</v>
      </c>
      <c r="XU29" s="11">
        <f>SUMIFS([1]HOC_Histograma_Obra!YZ57:YZ115,[1]HOC_Histograma_Obra!$C$55:$C$113,"ST")</f>
        <v>0</v>
      </c>
      <c r="XV29" s="11">
        <f>SUMIFS([1]HOC_Histograma_Obra!ZA57:ZA115,[1]HOC_Histograma_Obra!$C$55:$C$113,"ST")</f>
        <v>0</v>
      </c>
      <c r="XW29" s="11">
        <f>SUMIFS([1]HOC_Histograma_Obra!ZB57:ZB115,[1]HOC_Histograma_Obra!$C$55:$C$113,"ST")</f>
        <v>0</v>
      </c>
      <c r="XX29" s="11">
        <f>SUMIFS([1]HOC_Histograma_Obra!ZC57:ZC115,[1]HOC_Histograma_Obra!$C$55:$C$113,"ST")</f>
        <v>0</v>
      </c>
      <c r="XY29" s="11">
        <f>SUMIFS([1]HOC_Histograma_Obra!ZD57:ZD115,[1]HOC_Histograma_Obra!$C$55:$C$113,"ST")</f>
        <v>0</v>
      </c>
      <c r="XZ29" s="11">
        <f>SUMIFS([1]HOC_Histograma_Obra!ZE57:ZE115,[1]HOC_Histograma_Obra!$C$55:$C$113,"ST")</f>
        <v>0</v>
      </c>
      <c r="YA29" s="11">
        <f>SUMIFS([1]HOC_Histograma_Obra!ZF57:ZF115,[1]HOC_Histograma_Obra!$C$55:$C$113,"ST")</f>
        <v>0</v>
      </c>
      <c r="YB29" s="11">
        <f>SUMIFS([1]HOC_Histograma_Obra!ZG57:ZG115,[1]HOC_Histograma_Obra!$C$55:$C$113,"ST")</f>
        <v>0</v>
      </c>
      <c r="YC29" s="11">
        <f>SUMIFS([1]HOC_Histograma_Obra!ZH57:ZH115,[1]HOC_Histograma_Obra!$C$55:$C$113,"ST")</f>
        <v>0</v>
      </c>
      <c r="YD29" s="11">
        <f>SUMIFS([1]HOC_Histograma_Obra!ZI57:ZI115,[1]HOC_Histograma_Obra!$C$55:$C$113,"ST")</f>
        <v>0</v>
      </c>
      <c r="YE29" s="11">
        <f>SUMIFS([1]HOC_Histograma_Obra!ZJ57:ZJ115,[1]HOC_Histograma_Obra!$C$55:$C$113,"ST")</f>
        <v>0</v>
      </c>
      <c r="YF29" s="11">
        <f>SUMIFS([1]HOC_Histograma_Obra!ZK57:ZK115,[1]HOC_Histograma_Obra!$C$55:$C$113,"ST")</f>
        <v>0</v>
      </c>
      <c r="YG29" s="11">
        <f>SUMIFS([1]HOC_Histograma_Obra!ZL57:ZL115,[1]HOC_Histograma_Obra!$C$55:$C$113,"ST")</f>
        <v>0</v>
      </c>
      <c r="YH29" s="11">
        <f>SUMIFS([1]HOC_Histograma_Obra!ZM57:ZM115,[1]HOC_Histograma_Obra!$C$55:$C$113,"ST")</f>
        <v>0</v>
      </c>
      <c r="YI29" s="11">
        <f>SUMIFS([1]HOC_Histograma_Obra!ZN57:ZN115,[1]HOC_Histograma_Obra!$C$55:$C$113,"ST")</f>
        <v>0</v>
      </c>
      <c r="YJ29" s="11">
        <f>SUMIFS([1]HOC_Histograma_Obra!ZO57:ZO115,[1]HOC_Histograma_Obra!$C$55:$C$113,"ST")</f>
        <v>0</v>
      </c>
      <c r="YK29" s="11">
        <f>SUMIFS([1]HOC_Histograma_Obra!ZP57:ZP115,[1]HOC_Histograma_Obra!$C$55:$C$113,"ST")</f>
        <v>0</v>
      </c>
      <c r="YL29" s="11">
        <f>SUMIFS([1]HOC_Histograma_Obra!ZQ57:ZQ115,[1]HOC_Histograma_Obra!$C$55:$C$113,"ST")</f>
        <v>0</v>
      </c>
      <c r="YM29" s="11">
        <f>SUMIFS([1]HOC_Histograma_Obra!ZR57:ZR115,[1]HOC_Histograma_Obra!$C$55:$C$113,"ST")</f>
        <v>0</v>
      </c>
      <c r="YN29" s="11">
        <f>SUMIFS([1]HOC_Histograma_Obra!ZS57:ZS115,[1]HOC_Histograma_Obra!$C$55:$C$113,"ST")</f>
        <v>0</v>
      </c>
      <c r="YO29" s="11">
        <f>SUMIFS([1]HOC_Histograma_Obra!ZT57:ZT115,[1]HOC_Histograma_Obra!$C$55:$C$113,"ST")</f>
        <v>0</v>
      </c>
      <c r="YP29" s="11">
        <f>SUMIFS([1]HOC_Histograma_Obra!ZU57:ZU115,[1]HOC_Histograma_Obra!$C$55:$C$113,"ST")</f>
        <v>0</v>
      </c>
      <c r="YQ29" s="11">
        <f>SUMIFS([1]HOC_Histograma_Obra!ZV57:ZV115,[1]HOC_Histograma_Obra!$C$55:$C$113,"ST")</f>
        <v>0</v>
      </c>
      <c r="YR29" s="11">
        <f>SUMIFS([1]HOC_Histograma_Obra!ZW57:ZW115,[1]HOC_Histograma_Obra!$C$55:$C$113,"ST")</f>
        <v>0</v>
      </c>
      <c r="YS29" s="11">
        <f>SUMIFS([1]HOC_Histograma_Obra!ZX57:ZX115,[1]HOC_Histograma_Obra!$C$55:$C$113,"ST")</f>
        <v>0</v>
      </c>
      <c r="YT29" s="11">
        <f>SUMIFS([1]HOC_Histograma_Obra!ZY57:ZY115,[1]HOC_Histograma_Obra!$C$55:$C$113,"ST")</f>
        <v>0</v>
      </c>
      <c r="YU29" s="11">
        <f>SUMIFS([1]HOC_Histograma_Obra!ZZ57:ZZ115,[1]HOC_Histograma_Obra!$C$55:$C$113,"ST")</f>
        <v>0</v>
      </c>
      <c r="YV29" s="11">
        <f>SUMIFS([1]HOC_Histograma_Obra!AAA57:AAA115,[1]HOC_Histograma_Obra!$C$55:$C$113,"ST")</f>
        <v>0</v>
      </c>
      <c r="YW29" s="11">
        <f>SUMIFS([1]HOC_Histograma_Obra!AAB57:AAB115,[1]HOC_Histograma_Obra!$C$55:$C$113,"ST")</f>
        <v>0</v>
      </c>
      <c r="YX29" s="11">
        <f>SUMIFS([1]HOC_Histograma_Obra!AAC57:AAC115,[1]HOC_Histograma_Obra!$C$55:$C$113,"ST")</f>
        <v>0</v>
      </c>
      <c r="YY29" s="11">
        <f>SUMIFS([1]HOC_Histograma_Obra!AAD57:AAD115,[1]HOC_Histograma_Obra!$C$55:$C$113,"ST")</f>
        <v>0</v>
      </c>
      <c r="YZ29" s="11">
        <f>SUMIFS([1]HOC_Histograma_Obra!AAE57:AAE115,[1]HOC_Histograma_Obra!$C$55:$C$113,"ST")</f>
        <v>0</v>
      </c>
      <c r="ZA29" s="11">
        <f>SUMIFS([1]HOC_Histograma_Obra!AAF57:AAF115,[1]HOC_Histograma_Obra!$C$55:$C$113,"ST")</f>
        <v>0</v>
      </c>
      <c r="ZB29" s="11">
        <f>SUMIFS([1]HOC_Histograma_Obra!AAG57:AAG115,[1]HOC_Histograma_Obra!$C$55:$C$113,"ST")</f>
        <v>0</v>
      </c>
      <c r="ZC29" s="11">
        <f>SUMIFS([1]HOC_Histograma_Obra!AAH57:AAH115,[1]HOC_Histograma_Obra!$C$55:$C$113,"ST")</f>
        <v>0</v>
      </c>
      <c r="ZD29" s="11">
        <f>SUMIFS([1]HOC_Histograma_Obra!AAI57:AAI115,[1]HOC_Histograma_Obra!$C$55:$C$113,"ST")</f>
        <v>0</v>
      </c>
      <c r="ZE29" s="11">
        <f>SUMIFS([1]HOC_Histograma_Obra!AAJ57:AAJ115,[1]HOC_Histograma_Obra!$C$55:$C$113,"ST")</f>
        <v>0</v>
      </c>
      <c r="ZF29" s="11">
        <f>SUMIFS([1]HOC_Histograma_Obra!AAK57:AAK115,[1]HOC_Histograma_Obra!$C$55:$C$113,"ST")</f>
        <v>0</v>
      </c>
      <c r="ZG29" s="11">
        <f>SUMIFS([1]HOC_Histograma_Obra!AAL57:AAL115,[1]HOC_Histograma_Obra!$C$55:$C$113,"ST")</f>
        <v>0</v>
      </c>
      <c r="ZH29" s="11">
        <f>SUMIFS([1]HOC_Histograma_Obra!AAM57:AAM115,[1]HOC_Histograma_Obra!$C$55:$C$113,"ST")</f>
        <v>0</v>
      </c>
      <c r="ZI29" s="11">
        <f>SUMIFS([1]HOC_Histograma_Obra!AAN57:AAN115,[1]HOC_Histograma_Obra!$C$55:$C$113,"ST")</f>
        <v>0</v>
      </c>
      <c r="ZJ29" s="11">
        <f>SUMIFS([1]HOC_Histograma_Obra!AAO57:AAO115,[1]HOC_Histograma_Obra!$C$55:$C$113,"ST")</f>
        <v>0</v>
      </c>
      <c r="ZK29" s="11">
        <f>SUMIFS([1]HOC_Histograma_Obra!AAP57:AAP115,[1]HOC_Histograma_Obra!$C$55:$C$113,"ST")</f>
        <v>0</v>
      </c>
      <c r="ZL29" s="11">
        <f>SUMIFS([1]HOC_Histograma_Obra!AAQ57:AAQ115,[1]HOC_Histograma_Obra!$C$55:$C$113,"ST")</f>
        <v>0</v>
      </c>
      <c r="ZM29" s="11">
        <f>SUMIFS([1]HOC_Histograma_Obra!AAR57:AAR115,[1]HOC_Histograma_Obra!$C$55:$C$113,"ST")</f>
        <v>0</v>
      </c>
      <c r="ZN29" s="11">
        <f>SUMIFS([1]HOC_Histograma_Obra!AAS57:AAS115,[1]HOC_Histograma_Obra!$C$55:$C$113,"ST")</f>
        <v>0</v>
      </c>
      <c r="ZO29" s="11">
        <f>SUMIFS([1]HOC_Histograma_Obra!AAT57:AAT115,[1]HOC_Histograma_Obra!$C$55:$C$113,"ST")</f>
        <v>0</v>
      </c>
      <c r="ZP29" s="11">
        <f>SUMIFS([1]HOC_Histograma_Obra!AAU57:AAU115,[1]HOC_Histograma_Obra!$C$55:$C$113,"ST")</f>
        <v>0</v>
      </c>
      <c r="ZQ29" s="11">
        <f>SUMIFS([1]HOC_Histograma_Obra!AAV57:AAV115,[1]HOC_Histograma_Obra!$C$55:$C$113,"ST")</f>
        <v>0</v>
      </c>
      <c r="ZR29" s="11">
        <f>SUMIFS([1]HOC_Histograma_Obra!AAW57:AAW115,[1]HOC_Histograma_Obra!$C$55:$C$113,"ST")</f>
        <v>0</v>
      </c>
      <c r="ZS29" s="11">
        <f>SUMIFS([1]HOC_Histograma_Obra!AAX57:AAX115,[1]HOC_Histograma_Obra!$C$55:$C$113,"ST")</f>
        <v>0</v>
      </c>
      <c r="ZT29" s="11">
        <f>SUMIFS([1]HOC_Histograma_Obra!AAY57:AAY115,[1]HOC_Histograma_Obra!$C$55:$C$113,"ST")</f>
        <v>0</v>
      </c>
      <c r="ZU29" s="11">
        <f>SUMIFS([1]HOC_Histograma_Obra!AAZ57:AAZ115,[1]HOC_Histograma_Obra!$C$55:$C$113,"ST")</f>
        <v>0</v>
      </c>
      <c r="ZV29" s="11">
        <f>SUMIFS([1]HOC_Histograma_Obra!ABA57:ABA115,[1]HOC_Histograma_Obra!$C$55:$C$113,"ST")</f>
        <v>0</v>
      </c>
      <c r="ZW29" s="11">
        <f>SUMIFS([1]HOC_Histograma_Obra!ABB57:ABB115,[1]HOC_Histograma_Obra!$C$55:$C$113,"ST")</f>
        <v>0</v>
      </c>
      <c r="ZX29" s="11">
        <f>SUMIFS([1]HOC_Histograma_Obra!ABC57:ABC115,[1]HOC_Histograma_Obra!$C$55:$C$113,"ST")</f>
        <v>0</v>
      </c>
      <c r="ZY29" s="11">
        <f>SUMIFS([1]HOC_Histograma_Obra!ABD57:ABD115,[1]HOC_Histograma_Obra!$C$55:$C$113,"ST")</f>
        <v>0</v>
      </c>
      <c r="ZZ29" s="11">
        <f>SUMIFS([1]HOC_Histograma_Obra!ABE57:ABE115,[1]HOC_Histograma_Obra!$C$55:$C$113,"ST")</f>
        <v>0</v>
      </c>
      <c r="AAA29" s="11">
        <f>SUMIFS([1]HOC_Histograma_Obra!ABF57:ABF115,[1]HOC_Histograma_Obra!$C$55:$C$113,"ST")</f>
        <v>0</v>
      </c>
      <c r="AAB29" s="11">
        <f>SUMIFS([1]HOC_Histograma_Obra!ABG57:ABG115,[1]HOC_Histograma_Obra!$C$55:$C$113,"ST")</f>
        <v>0</v>
      </c>
      <c r="AAC29" s="11">
        <f>SUMIFS([1]HOC_Histograma_Obra!ABH57:ABH115,[1]HOC_Histograma_Obra!$C$55:$C$113,"ST")</f>
        <v>0</v>
      </c>
      <c r="AAD29" s="11">
        <f>SUMIFS([1]HOC_Histograma_Obra!ABI57:ABI115,[1]HOC_Histograma_Obra!$C$55:$C$113,"ST")</f>
        <v>0</v>
      </c>
      <c r="AAE29" s="11">
        <f>SUMIFS([1]HOC_Histograma_Obra!ABJ57:ABJ115,[1]HOC_Histograma_Obra!$C$55:$C$113,"ST")</f>
        <v>0</v>
      </c>
      <c r="AAF29" s="11">
        <f>SUMIFS([1]HOC_Histograma_Obra!ABK57:ABK115,[1]HOC_Histograma_Obra!$C$55:$C$113,"ST")</f>
        <v>0</v>
      </c>
      <c r="AAG29" s="11">
        <f>SUMIFS([1]HOC_Histograma_Obra!ABL57:ABL115,[1]HOC_Histograma_Obra!$C$55:$C$113,"ST")</f>
        <v>0</v>
      </c>
      <c r="AAH29" s="11">
        <f>SUMIFS([1]HOC_Histograma_Obra!ABM57:ABM115,[1]HOC_Histograma_Obra!$C$55:$C$113,"ST")</f>
        <v>0</v>
      </c>
      <c r="AAI29" s="11">
        <f>SUMIFS([1]HOC_Histograma_Obra!ABN57:ABN115,[1]HOC_Histograma_Obra!$C$55:$C$113,"ST")</f>
        <v>0</v>
      </c>
      <c r="AAJ29" s="11">
        <f>SUMIFS([1]HOC_Histograma_Obra!ABO57:ABO115,[1]HOC_Histograma_Obra!$C$55:$C$113,"ST")</f>
        <v>0</v>
      </c>
      <c r="AAK29" s="11">
        <f>SUMIFS([1]HOC_Histograma_Obra!ABP57:ABP115,[1]HOC_Histograma_Obra!$C$55:$C$113,"ST")</f>
        <v>0</v>
      </c>
      <c r="AAL29" s="11">
        <f>SUMIFS([1]HOC_Histograma_Obra!ABQ57:ABQ115,[1]HOC_Histograma_Obra!$C$55:$C$113,"ST")</f>
        <v>0</v>
      </c>
      <c r="AAM29" s="11">
        <f>SUMIFS([1]HOC_Histograma_Obra!ABR57:ABR115,[1]HOC_Histograma_Obra!$C$55:$C$113,"ST")</f>
        <v>0</v>
      </c>
      <c r="AAN29" s="11">
        <f>SUMIFS([1]HOC_Histograma_Obra!ABS57:ABS115,[1]HOC_Histograma_Obra!$C$55:$C$113,"ST")</f>
        <v>0</v>
      </c>
      <c r="AAO29" s="11">
        <f>SUMIFS([1]HOC_Histograma_Obra!ABT57:ABT115,[1]HOC_Histograma_Obra!$C$55:$C$113,"ST")</f>
        <v>0</v>
      </c>
      <c r="AAP29" s="11">
        <f>SUMIFS([1]HOC_Histograma_Obra!ABU57:ABU115,[1]HOC_Histograma_Obra!$C$55:$C$113,"ST")</f>
        <v>0</v>
      </c>
      <c r="AAQ29" s="11">
        <f>SUMIFS([1]HOC_Histograma_Obra!ABV57:ABV115,[1]HOC_Histograma_Obra!$C$55:$C$113,"ST")</f>
        <v>0</v>
      </c>
      <c r="AAR29" s="11">
        <f>SUMIFS([1]HOC_Histograma_Obra!ABW57:ABW115,[1]HOC_Histograma_Obra!$C$55:$C$113,"ST")</f>
        <v>0</v>
      </c>
      <c r="AAS29" s="11">
        <f>SUMIFS([1]HOC_Histograma_Obra!ABX57:ABX115,[1]HOC_Histograma_Obra!$C$55:$C$113,"ST")</f>
        <v>0</v>
      </c>
      <c r="AAT29" s="11">
        <f>SUMIFS([1]HOC_Histograma_Obra!ABY57:ABY115,[1]HOC_Histograma_Obra!$C$55:$C$113,"ST")</f>
        <v>0</v>
      </c>
      <c r="AAU29" s="11">
        <f>SUMIFS([1]HOC_Histograma_Obra!ABZ57:ABZ115,[1]HOC_Histograma_Obra!$C$55:$C$113,"ST")</f>
        <v>0</v>
      </c>
      <c r="AAV29" s="11">
        <f>SUMIFS([1]HOC_Histograma_Obra!ACA57:ACA115,[1]HOC_Histograma_Obra!$C$55:$C$113,"ST")</f>
        <v>0</v>
      </c>
      <c r="AAW29" s="11">
        <f>SUMIFS([1]HOC_Histograma_Obra!ACB57:ACB115,[1]HOC_Histograma_Obra!$C$55:$C$113,"ST")</f>
        <v>0</v>
      </c>
      <c r="AAX29" s="11">
        <f>SUMIFS([1]HOC_Histograma_Obra!ACC57:ACC115,[1]HOC_Histograma_Obra!$C$55:$C$113,"ST")</f>
        <v>0</v>
      </c>
      <c r="AAY29" s="11">
        <f>SUMIFS([1]HOC_Histograma_Obra!ACD57:ACD115,[1]HOC_Histograma_Obra!$C$55:$C$113,"ST")</f>
        <v>0</v>
      </c>
      <c r="AAZ29" s="11">
        <f>SUMIFS([1]HOC_Histograma_Obra!ACE57:ACE115,[1]HOC_Histograma_Obra!$C$55:$C$113,"ST")</f>
        <v>0</v>
      </c>
      <c r="ABA29" s="11">
        <f>SUMIFS([1]HOC_Histograma_Obra!ACF57:ACF115,[1]HOC_Histograma_Obra!$C$55:$C$113,"ST")</f>
        <v>0</v>
      </c>
      <c r="ABB29" s="11">
        <f>SUMIFS([1]HOC_Histograma_Obra!ACG57:ACG115,[1]HOC_Histograma_Obra!$C$55:$C$113,"ST")</f>
        <v>0</v>
      </c>
      <c r="ABC29" s="11">
        <f>SUMIFS([1]HOC_Histograma_Obra!ACH57:ACH115,[1]HOC_Histograma_Obra!$C$55:$C$113,"ST")</f>
        <v>0</v>
      </c>
      <c r="ABD29" s="11">
        <f>SUMIFS([1]HOC_Histograma_Obra!ACI57:ACI115,[1]HOC_Histograma_Obra!$C$55:$C$113,"ST")</f>
        <v>0</v>
      </c>
      <c r="ABE29" s="11">
        <f>SUMIFS([1]HOC_Histograma_Obra!ACJ57:ACJ115,[1]HOC_Histograma_Obra!$C$55:$C$113,"ST")</f>
        <v>0</v>
      </c>
      <c r="ABF29" s="11">
        <f>SUMIFS([1]HOC_Histograma_Obra!ACK57:ACK115,[1]HOC_Histograma_Obra!$C$55:$C$113,"ST")</f>
        <v>0</v>
      </c>
      <c r="ABG29" s="11">
        <f>SUMIFS([1]HOC_Histograma_Obra!ACL57:ACL115,[1]HOC_Histograma_Obra!$C$55:$C$113,"ST")</f>
        <v>0</v>
      </c>
      <c r="ABH29" s="11">
        <f>SUMIFS([1]HOC_Histograma_Obra!ACM57:ACM115,[1]HOC_Histograma_Obra!$C$55:$C$113,"ST")</f>
        <v>0</v>
      </c>
      <c r="ABI29" s="11">
        <f>SUMIFS([1]HOC_Histograma_Obra!ACN57:ACN115,[1]HOC_Histograma_Obra!$C$55:$C$113,"ST")</f>
        <v>0</v>
      </c>
    </row>
    <row r="30" spans="4:737" ht="12.95" hidden="1" customHeight="1" x14ac:dyDescent="0.25">
      <c r="D30" s="14">
        <f t="shared" si="72"/>
        <v>6057</v>
      </c>
      <c r="E30" s="11" t="s">
        <v>11</v>
      </c>
      <c r="F30" s="11">
        <f>SUMIFS([1]HOC_Histograma_Obra!AK55:AK113,[1]HOC_Histograma_Obra!$C$55:$C$113,"MOD")</f>
        <v>16</v>
      </c>
      <c r="G30" s="11">
        <f>SUMIFS([1]HOC_Histograma_Obra!AL55:AL113,[1]HOC_Histograma_Obra!$C$55:$C$113,"MOD")</f>
        <v>16</v>
      </c>
      <c r="H30" s="11">
        <f>SUMIFS([1]HOC_Histograma_Obra!AM55:AM113,[1]HOC_Histograma_Obra!$C$55:$C$113,"MOD")</f>
        <v>16</v>
      </c>
      <c r="I30" s="11">
        <f>SUMIFS([1]HOC_Histograma_Obra!AN55:AN113,[1]HOC_Histograma_Obra!$C$55:$C$113,"MOD")</f>
        <v>16</v>
      </c>
      <c r="J30" s="11">
        <f>SUMIFS([1]HOC_Histograma_Obra!AO55:AO113,[1]HOC_Histograma_Obra!$C$55:$C$113,"MOD")</f>
        <v>16</v>
      </c>
      <c r="K30" s="11">
        <f>SUMIFS([1]HOC_Histograma_Obra!AP55:AP113,[1]HOC_Histograma_Obra!$C$55:$C$113,"MOD")</f>
        <v>16</v>
      </c>
      <c r="L30" s="11">
        <f>SUMIFS([1]HOC_Histograma_Obra!AQ55:AQ113,[1]HOC_Histograma_Obra!$C$55:$C$113,"MOD")</f>
        <v>0</v>
      </c>
      <c r="M30" s="11">
        <f>SUMIFS([1]HOC_Histograma_Obra!AR55:AR113,[1]HOC_Histograma_Obra!$C$55:$C$113,"MOD")</f>
        <v>16</v>
      </c>
      <c r="N30" s="11">
        <f>SUMIFS([1]HOC_Histograma_Obra!AS55:AS113,[1]HOC_Histograma_Obra!$C$55:$C$113,"MOD")</f>
        <v>16</v>
      </c>
      <c r="O30" s="11">
        <f>SUMIFS([1]HOC_Histograma_Obra!AT55:AT113,[1]HOC_Histograma_Obra!$C$55:$C$113,"MOD")</f>
        <v>16</v>
      </c>
      <c r="P30" s="11">
        <f>SUMIFS([1]HOC_Histograma_Obra!AU55:AU113,[1]HOC_Histograma_Obra!$C$55:$C$113,"MOD")</f>
        <v>16</v>
      </c>
      <c r="Q30" s="11">
        <f>SUMIFS([1]HOC_Histograma_Obra!AV55:AV113,[1]HOC_Histograma_Obra!$C$55:$C$113,"MOD")</f>
        <v>16</v>
      </c>
      <c r="R30" s="11">
        <f>SUMIFS([1]HOC_Histograma_Obra!AW55:AW113,[1]HOC_Histograma_Obra!$C$55:$C$113,"MOD")</f>
        <v>16</v>
      </c>
      <c r="S30" s="11">
        <f>SUMIFS([1]HOC_Histograma_Obra!AX55:AX113,[1]HOC_Histograma_Obra!$C$55:$C$113,"MOD")</f>
        <v>0</v>
      </c>
      <c r="T30" s="11">
        <f>SUMIFS([1]HOC_Histograma_Obra!AY55:AY113,[1]HOC_Histograma_Obra!$C$55:$C$113,"MOD")</f>
        <v>16</v>
      </c>
      <c r="U30" s="11">
        <f>SUMIFS([1]HOC_Histograma_Obra!AZ55:AZ113,[1]HOC_Histograma_Obra!$C$55:$C$113,"MOD")</f>
        <v>16</v>
      </c>
      <c r="V30" s="11">
        <f>SUMIFS([1]HOC_Histograma_Obra!BA55:BA113,[1]HOC_Histograma_Obra!$C$55:$C$113,"MOD")</f>
        <v>16</v>
      </c>
      <c r="W30" s="11">
        <f>SUMIFS([1]HOC_Histograma_Obra!BB55:BB113,[1]HOC_Histograma_Obra!$C$55:$C$113,"MOD")</f>
        <v>16</v>
      </c>
      <c r="X30" s="11">
        <f>SUMIFS([1]HOC_Histograma_Obra!BC55:BC113,[1]HOC_Histograma_Obra!$C$55:$C$113,"MOD")</f>
        <v>16</v>
      </c>
      <c r="Y30" s="11">
        <f>SUMIFS([1]HOC_Histograma_Obra!BD55:BD113,[1]HOC_Histograma_Obra!$C$55:$C$113,"MOD")</f>
        <v>16</v>
      </c>
      <c r="Z30" s="11">
        <f>SUMIFS([1]HOC_Histograma_Obra!BE55:BE113,[1]HOC_Histograma_Obra!$C$55:$C$113,"MOD")</f>
        <v>0</v>
      </c>
      <c r="AA30" s="11">
        <f>SUMIFS([1]HOC_Histograma_Obra!BF55:BF113,[1]HOC_Histograma_Obra!$C$55:$C$113,"MOD")</f>
        <v>16</v>
      </c>
      <c r="AB30" s="11">
        <f>SUMIFS([1]HOC_Histograma_Obra!BG55:BG113,[1]HOC_Histograma_Obra!$C$55:$C$113,"MOD")</f>
        <v>16</v>
      </c>
      <c r="AC30" s="11">
        <f>SUMIFS([1]HOC_Histograma_Obra!BH55:BH113,[1]HOC_Histograma_Obra!$C$55:$C$113,"MOD")</f>
        <v>16</v>
      </c>
      <c r="AD30" s="11">
        <f>SUMIFS([1]HOC_Histograma_Obra!BI55:BI113,[1]HOC_Histograma_Obra!$C$55:$C$113,"MOD")</f>
        <v>16</v>
      </c>
      <c r="AE30" s="11">
        <f>SUMIFS([1]HOC_Histograma_Obra!BJ55:BJ113,[1]HOC_Histograma_Obra!$C$55:$C$113,"MOD")</f>
        <v>16</v>
      </c>
      <c r="AF30" s="11">
        <f>SUMIFS([1]HOC_Histograma_Obra!BK55:BK113,[1]HOC_Histograma_Obra!$C$55:$C$113,"MOD")</f>
        <v>16</v>
      </c>
      <c r="AG30" s="11">
        <f>SUMIFS([1]HOC_Histograma_Obra!BL55:BL113,[1]HOC_Histograma_Obra!$C$55:$C$113,"MOD")</f>
        <v>0</v>
      </c>
      <c r="AH30" s="11">
        <f>SUMIFS([1]HOC_Histograma_Obra!BM55:BM113,[1]HOC_Histograma_Obra!$C$55:$C$113,"MOD")</f>
        <v>22</v>
      </c>
      <c r="AI30" s="11">
        <f>SUMIFS([1]HOC_Histograma_Obra!BN55:BN113,[1]HOC_Histograma_Obra!$C$55:$C$113,"MOD")</f>
        <v>22</v>
      </c>
      <c r="AJ30" s="11">
        <f>SUMIFS([1]HOC_Histograma_Obra!BO55:BO113,[1]HOC_Histograma_Obra!$C$55:$C$113,"MOD")</f>
        <v>22</v>
      </c>
      <c r="AK30" s="16">
        <f>SUMIFS([1]HOC_Histograma_Obra!BP55:BP113,[1]HOC_Histograma_Obra!$C$55:$C$113,"MOD")</f>
        <v>22</v>
      </c>
      <c r="AL30" s="11">
        <f>SUMIFS([1]HOC_Histograma_Obra!BQ55:BQ113,[1]HOC_Histograma_Obra!$C$55:$C$113,"MOD")</f>
        <v>22</v>
      </c>
      <c r="AM30" s="11">
        <f>SUMIFS([1]HOC_Histograma_Obra!BR55:BR113,[1]HOC_Histograma_Obra!$C$55:$C$113,"MOD")</f>
        <v>22</v>
      </c>
      <c r="AN30" s="11">
        <f>SUMIFS([1]HOC_Histograma_Obra!BS55:BS113,[1]HOC_Histograma_Obra!$C$55:$C$113,"MOD")</f>
        <v>0</v>
      </c>
      <c r="AO30" s="11">
        <f>SUMIFS([1]HOC_Histograma_Obra!BT55:BT113,[1]HOC_Histograma_Obra!$C$55:$C$113,"MOD")</f>
        <v>22</v>
      </c>
      <c r="AP30" s="11">
        <f>SUMIFS([1]HOC_Histograma_Obra!BU55:BU113,[1]HOC_Histograma_Obra!$C$55:$C$113,"MOD")</f>
        <v>22</v>
      </c>
      <c r="AQ30" s="11">
        <f>SUMIFS([1]HOC_Histograma_Obra!BV55:BV113,[1]HOC_Histograma_Obra!$C$55:$C$113,"MOD")</f>
        <v>22</v>
      </c>
      <c r="AR30" s="11">
        <f>SUMIFS([1]HOC_Histograma_Obra!BW55:BW113,[1]HOC_Histograma_Obra!$C$55:$C$113,"MOD")</f>
        <v>22</v>
      </c>
      <c r="AS30" s="11">
        <f>SUMIFS([1]HOC_Histograma_Obra!BX55:BX113,[1]HOC_Histograma_Obra!$C$55:$C$113,"MOD")</f>
        <v>22</v>
      </c>
      <c r="AT30" s="11">
        <f>SUMIFS([1]HOC_Histograma_Obra!BY55:BY113,[1]HOC_Histograma_Obra!$C$55:$C$113,"MOD")</f>
        <v>22</v>
      </c>
      <c r="AU30" s="11">
        <f>SUMIFS([1]HOC_Histograma_Obra!BZ55:BZ113,[1]HOC_Histograma_Obra!$C$55:$C$113,"MOD")</f>
        <v>0</v>
      </c>
      <c r="AV30" s="11">
        <f>SUMIFS([1]HOC_Histograma_Obra!CA55:CA113,[1]HOC_Histograma_Obra!$C$55:$C$113,"MOD")</f>
        <v>22</v>
      </c>
      <c r="AW30" s="11">
        <f>SUMIFS([1]HOC_Histograma_Obra!CB55:CB113,[1]HOC_Histograma_Obra!$C$55:$C$113,"MOD")</f>
        <v>22</v>
      </c>
      <c r="AX30" s="11">
        <f>SUMIFS([1]HOC_Histograma_Obra!CC55:CC113,[1]HOC_Histograma_Obra!$C$55:$C$113,"MOD")</f>
        <v>22</v>
      </c>
      <c r="AY30" s="11">
        <f>SUMIFS([1]HOC_Histograma_Obra!CD55:CD113,[1]HOC_Histograma_Obra!$C$55:$C$113,"MOD")</f>
        <v>22</v>
      </c>
      <c r="AZ30" s="11">
        <f>SUMIFS([1]HOC_Histograma_Obra!CE55:CE113,[1]HOC_Histograma_Obra!$C$55:$C$113,"MOD")</f>
        <v>22</v>
      </c>
      <c r="BA30" s="11">
        <f>SUMIFS([1]HOC_Histograma_Obra!CF55:CF113,[1]HOC_Histograma_Obra!$C$55:$C$113,"MOD")</f>
        <v>22</v>
      </c>
      <c r="BB30" s="11">
        <f>SUMIFS([1]HOC_Histograma_Obra!CG55:CG113,[1]HOC_Histograma_Obra!$C$55:$C$113,"MOD")</f>
        <v>0</v>
      </c>
      <c r="BC30" s="11">
        <f>SUMIFS([1]HOC_Histograma_Obra!CH55:CH113,[1]HOC_Histograma_Obra!$C$55:$C$113,"MOD")</f>
        <v>52</v>
      </c>
      <c r="BD30" s="11">
        <f>SUMIFS([1]HOC_Histograma_Obra!CI55:CI113,[1]HOC_Histograma_Obra!$C$55:$C$113,"MOD")</f>
        <v>52</v>
      </c>
      <c r="BE30" s="11">
        <f>SUMIFS([1]HOC_Histograma_Obra!CJ55:CJ113,[1]HOC_Histograma_Obra!$C$55:$C$113,"MOD")</f>
        <v>52</v>
      </c>
      <c r="BF30" s="11">
        <f>SUMIFS([1]HOC_Histograma_Obra!CK55:CK113,[1]HOC_Histograma_Obra!$C$55:$C$113,"MOD")</f>
        <v>52</v>
      </c>
      <c r="BG30" s="11">
        <f>SUMIFS([1]HOC_Histograma_Obra!CL55:CL113,[1]HOC_Histograma_Obra!$C$55:$C$113,"MOD")</f>
        <v>52</v>
      </c>
      <c r="BH30" s="11">
        <f>SUMIFS([1]HOC_Histograma_Obra!CM55:CM113,[1]HOC_Histograma_Obra!$C$55:$C$113,"MOD")</f>
        <v>52</v>
      </c>
      <c r="BI30" s="11">
        <f>SUMIFS([1]HOC_Histograma_Obra!CN55:CN113,[1]HOC_Histograma_Obra!$C$55:$C$113,"MOD")</f>
        <v>0</v>
      </c>
      <c r="BJ30" s="11">
        <f>SUMIFS([1]HOC_Histograma_Obra!CO55:CO113,[1]HOC_Histograma_Obra!$C$55:$C$113,"MOD")</f>
        <v>52</v>
      </c>
      <c r="BK30" s="11">
        <f>SUMIFS([1]HOC_Histograma_Obra!CP55:CP113,[1]HOC_Histograma_Obra!$C$55:$C$113,"MOD")</f>
        <v>52</v>
      </c>
      <c r="BL30" s="11">
        <f>SUMIFS([1]HOC_Histograma_Obra!CQ55:CQ113,[1]HOC_Histograma_Obra!$C$55:$C$113,"MOD")</f>
        <v>52</v>
      </c>
      <c r="BM30" s="11">
        <f>SUMIFS([1]HOC_Histograma_Obra!CR55:CR113,[1]HOC_Histograma_Obra!$C$55:$C$113,"MOD")</f>
        <v>52</v>
      </c>
      <c r="BN30" s="11">
        <f>SUMIFS([1]HOC_Histograma_Obra!CS55:CS113,[1]HOC_Histograma_Obra!$C$55:$C$113,"MOD")</f>
        <v>52</v>
      </c>
      <c r="BO30" s="11">
        <f>SUMIFS([1]HOC_Histograma_Obra!CT55:CT113,[1]HOC_Histograma_Obra!$C$55:$C$113,"MOD")</f>
        <v>52</v>
      </c>
      <c r="BP30" s="11">
        <f>SUMIFS([1]HOC_Histograma_Obra!CU55:CU113,[1]HOC_Histograma_Obra!$C$55:$C$113,"MOD")</f>
        <v>0</v>
      </c>
      <c r="BQ30" s="11">
        <f>SUMIFS([1]HOC_Histograma_Obra!CV55:CV113,[1]HOC_Histograma_Obra!$C$55:$C$113,"MOD")</f>
        <v>52</v>
      </c>
      <c r="BR30" s="11">
        <f>SUMIFS([1]HOC_Histograma_Obra!CW55:CW113,[1]HOC_Histograma_Obra!$C$55:$C$113,"MOD")</f>
        <v>52</v>
      </c>
      <c r="BS30" s="11">
        <f>SUMIFS([1]HOC_Histograma_Obra!CX55:CX113,[1]HOC_Histograma_Obra!$C$55:$C$113,"MOD")</f>
        <v>52</v>
      </c>
      <c r="BT30" s="11">
        <f>SUMIFS([1]HOC_Histograma_Obra!CY55:CY113,[1]HOC_Histograma_Obra!$C$55:$C$113,"MOD")</f>
        <v>52</v>
      </c>
      <c r="BU30" s="11">
        <f>SUMIFS([1]HOC_Histograma_Obra!CZ55:CZ113,[1]HOC_Histograma_Obra!$C$55:$C$113,"MOD")</f>
        <v>52</v>
      </c>
      <c r="BV30" s="11">
        <f>SUMIFS([1]HOC_Histograma_Obra!DA55:DA113,[1]HOC_Histograma_Obra!$C$55:$C$113,"MOD")</f>
        <v>52</v>
      </c>
      <c r="BW30" s="11">
        <f>SUMIFS([1]HOC_Histograma_Obra!DB55:DB113,[1]HOC_Histograma_Obra!$C$55:$C$113,"MOD")</f>
        <v>0</v>
      </c>
      <c r="BX30" s="11">
        <f>SUMIFS([1]HOC_Histograma_Obra!DC55:DC113,[1]HOC_Histograma_Obra!$C$55:$C$113,"MOD")</f>
        <v>52</v>
      </c>
      <c r="BY30" s="11">
        <f>SUMIFS([1]HOC_Histograma_Obra!DD55:DD113,[1]HOC_Histograma_Obra!$C$55:$C$113,"MOD")</f>
        <v>52</v>
      </c>
      <c r="BZ30" s="11">
        <f>SUMIFS([1]HOC_Histograma_Obra!DE55:DE113,[1]HOC_Histograma_Obra!$C$55:$C$113,"MOD")</f>
        <v>52</v>
      </c>
      <c r="CA30" s="11">
        <f>SUMIFS([1]HOC_Histograma_Obra!DF55:DF113,[1]HOC_Histograma_Obra!$C$55:$C$113,"MOD")</f>
        <v>52</v>
      </c>
      <c r="CB30" s="11">
        <f>SUMIFS([1]HOC_Histograma_Obra!DG55:DG113,[1]HOC_Histograma_Obra!$C$55:$C$113,"MOD")</f>
        <v>52</v>
      </c>
      <c r="CC30" s="11">
        <f>SUMIFS([1]HOC_Histograma_Obra!DH55:DH113,[1]HOC_Histograma_Obra!$C$55:$C$113,"MOD")</f>
        <v>52</v>
      </c>
      <c r="CD30" s="11">
        <f>SUMIFS([1]HOC_Histograma_Obra!DI55:DI113,[1]HOC_Histograma_Obra!$C$55:$C$113,"MOD")</f>
        <v>0</v>
      </c>
      <c r="CE30" s="11">
        <f>SUMIFS([1]HOC_Histograma_Obra!DJ55:DJ113,[1]HOC_Histograma_Obra!$C$55:$C$113,"MOD")</f>
        <v>52</v>
      </c>
      <c r="CF30" s="11">
        <f>SUMIFS([1]HOC_Histograma_Obra!DK55:DK113,[1]HOC_Histograma_Obra!$C$55:$C$113,"MOD")</f>
        <v>52</v>
      </c>
      <c r="CG30" s="11">
        <f>SUMIFS([1]HOC_Histograma_Obra!DL55:DL113,[1]HOC_Histograma_Obra!$C$55:$C$113,"MOD")</f>
        <v>52</v>
      </c>
      <c r="CH30" s="11">
        <f>SUMIFS([1]HOC_Histograma_Obra!DM55:DM113,[1]HOC_Histograma_Obra!$C$55:$C$113,"MOD")</f>
        <v>52</v>
      </c>
      <c r="CI30" s="11">
        <f>SUMIFS([1]HOC_Histograma_Obra!DN55:DN113,[1]HOC_Histograma_Obra!$C$55:$C$113,"MOD")</f>
        <v>52</v>
      </c>
      <c r="CJ30" s="11">
        <f>SUMIFS([1]HOC_Histograma_Obra!DO55:DO113,[1]HOC_Histograma_Obra!$C$55:$C$113,"MOD")</f>
        <v>52</v>
      </c>
      <c r="CK30" s="11">
        <f>SUMIFS([1]HOC_Histograma_Obra!DP55:DP113,[1]HOC_Histograma_Obra!$C$55:$C$113,"MOD")</f>
        <v>0</v>
      </c>
      <c r="CL30" s="11">
        <f>SUMIFS([1]HOC_Histograma_Obra!DQ55:DQ113,[1]HOC_Histograma_Obra!$C$55:$C$113,"MOD")</f>
        <v>52</v>
      </c>
      <c r="CM30" s="11">
        <f>SUMIFS([1]HOC_Histograma_Obra!DR55:DR113,[1]HOC_Histograma_Obra!$C$55:$C$113,"MOD")</f>
        <v>52</v>
      </c>
      <c r="CN30" s="11">
        <f>SUMIFS([1]HOC_Histograma_Obra!DS55:DS113,[1]HOC_Histograma_Obra!$C$55:$C$113,"MOD")</f>
        <v>52</v>
      </c>
      <c r="CO30" s="11">
        <f>SUMIFS([1]HOC_Histograma_Obra!DT55:DT113,[1]HOC_Histograma_Obra!$C$55:$C$113,"MOD")</f>
        <v>52</v>
      </c>
      <c r="CP30" s="11">
        <f>SUMIFS([1]HOC_Histograma_Obra!DU55:DU113,[1]HOC_Histograma_Obra!$C$55:$C$113,"MOD")</f>
        <v>52</v>
      </c>
      <c r="CQ30" s="11">
        <f>SUMIFS([1]HOC_Histograma_Obra!DV55:DV113,[1]HOC_Histograma_Obra!$C$55:$C$113,"MOD")</f>
        <v>52</v>
      </c>
      <c r="CR30" s="11">
        <f>SUMIFS([1]HOC_Histograma_Obra!DW55:DW113,[1]HOC_Histograma_Obra!$C$55:$C$113,"MOD")</f>
        <v>0</v>
      </c>
      <c r="CS30" s="11">
        <f>SUMIFS([1]HOC_Histograma_Obra!DX55:DX113,[1]HOC_Histograma_Obra!$C$55:$C$113,"MOD")</f>
        <v>59</v>
      </c>
      <c r="CT30" s="11">
        <f>SUMIFS([1]HOC_Histograma_Obra!DY55:DY113,[1]HOC_Histograma_Obra!$C$55:$C$113,"MOD")</f>
        <v>59</v>
      </c>
      <c r="CU30" s="11">
        <f>SUMIFS([1]HOC_Histograma_Obra!DZ55:DZ113,[1]HOC_Histograma_Obra!$C$55:$C$113,"MOD")</f>
        <v>59</v>
      </c>
      <c r="CV30" s="11">
        <f>SUMIFS([1]HOC_Histograma_Obra!EA55:EA113,[1]HOC_Histograma_Obra!$C$55:$C$113,"MOD")</f>
        <v>59</v>
      </c>
      <c r="CW30" s="11">
        <f>SUMIFS([1]HOC_Histograma_Obra!EB55:EB113,[1]HOC_Histograma_Obra!$C$55:$C$113,"MOD")</f>
        <v>59</v>
      </c>
      <c r="CX30" s="11">
        <f>SUMIFS([1]HOC_Histograma_Obra!EC55:EC113,[1]HOC_Histograma_Obra!$C$55:$C$113,"MOD")</f>
        <v>59</v>
      </c>
      <c r="CY30" s="11">
        <f>SUMIFS([1]HOC_Histograma_Obra!ED55:ED113,[1]HOC_Histograma_Obra!$C$55:$C$113,"MOD")</f>
        <v>0</v>
      </c>
      <c r="CZ30" s="11">
        <f>SUMIFS([1]HOC_Histograma_Obra!EE55:EE113,[1]HOC_Histograma_Obra!$C$55:$C$113,"MOD")</f>
        <v>59</v>
      </c>
      <c r="DA30" s="11">
        <f>SUMIFS([1]HOC_Histograma_Obra!EF55:EF113,[1]HOC_Histograma_Obra!$C$55:$C$113,"MOD")</f>
        <v>59</v>
      </c>
      <c r="DB30" s="11">
        <f>SUMIFS([1]HOC_Histograma_Obra!EG55:EG113,[1]HOC_Histograma_Obra!$C$55:$C$113,"MOD")</f>
        <v>59</v>
      </c>
      <c r="DC30" s="11">
        <f>SUMIFS([1]HOC_Histograma_Obra!EH55:EH113,[1]HOC_Histograma_Obra!$C$55:$C$113,"MOD")</f>
        <v>59</v>
      </c>
      <c r="DD30" s="11">
        <f>SUMIFS([1]HOC_Histograma_Obra!EI55:EI113,[1]HOC_Histograma_Obra!$C$55:$C$113,"MOD")</f>
        <v>59</v>
      </c>
      <c r="DE30" s="11">
        <f>SUMIFS([1]HOC_Histograma_Obra!EJ55:EJ113,[1]HOC_Histograma_Obra!$C$55:$C$113,"MOD")</f>
        <v>59</v>
      </c>
      <c r="DF30" s="11">
        <f>SUMIFS([1]HOC_Histograma_Obra!EK55:EK113,[1]HOC_Histograma_Obra!$C$55:$C$113,"MOD")</f>
        <v>0</v>
      </c>
      <c r="DG30" s="11">
        <f>SUMIFS([1]HOC_Histograma_Obra!EL55:EL113,[1]HOC_Histograma_Obra!$C$55:$C$113,"MOD")</f>
        <v>54</v>
      </c>
      <c r="DH30" s="11">
        <f>SUMIFS([1]HOC_Histograma_Obra!EM55:EM113,[1]HOC_Histograma_Obra!$C$55:$C$113,"MOD")</f>
        <v>54</v>
      </c>
      <c r="DI30" s="11">
        <f>SUMIFS([1]HOC_Histograma_Obra!EN55:EN113,[1]HOC_Histograma_Obra!$C$55:$C$113,"MOD")</f>
        <v>54</v>
      </c>
      <c r="DJ30" s="11">
        <f>SUMIFS([1]HOC_Histograma_Obra!EO55:EO113,[1]HOC_Histograma_Obra!$C$55:$C$113,"MOD")</f>
        <v>54</v>
      </c>
      <c r="DK30" s="11">
        <f>SUMIFS([1]HOC_Histograma_Obra!EP55:EP113,[1]HOC_Histograma_Obra!$C$55:$C$113,"MOD")</f>
        <v>54</v>
      </c>
      <c r="DL30" s="11">
        <f>SUMIFS([1]HOC_Histograma_Obra!EQ55:EQ113,[1]HOC_Histograma_Obra!$C$55:$C$113,"MOD")</f>
        <v>54</v>
      </c>
      <c r="DM30" s="11">
        <f>SUMIFS([1]HOC_Histograma_Obra!ER55:ER113,[1]HOC_Histograma_Obra!$C$55:$C$113,"MOD")</f>
        <v>0</v>
      </c>
      <c r="DN30" s="11">
        <f>SUMIFS([1]HOC_Histograma_Obra!ES55:ES113,[1]HOC_Histograma_Obra!$C$55:$C$113,"MOD")</f>
        <v>54</v>
      </c>
      <c r="DO30" s="11">
        <f>SUMIFS([1]HOC_Histograma_Obra!ET55:ET113,[1]HOC_Histograma_Obra!$C$55:$C$113,"MOD")</f>
        <v>54</v>
      </c>
      <c r="DP30" s="11">
        <f>SUMIFS([1]HOC_Histograma_Obra!EU55:EU113,[1]HOC_Histograma_Obra!$C$55:$C$113,"MOD")</f>
        <v>54</v>
      </c>
      <c r="DQ30" s="11">
        <f>SUMIFS([1]HOC_Histograma_Obra!EV55:EV113,[1]HOC_Histograma_Obra!$C$55:$C$113,"MOD")</f>
        <v>54</v>
      </c>
      <c r="DR30" s="11">
        <f>SUMIFS([1]HOC_Histograma_Obra!EW55:EW113,[1]HOC_Histograma_Obra!$C$55:$C$113,"MOD")</f>
        <v>54</v>
      </c>
      <c r="DS30" s="11">
        <f>SUMIFS([1]HOC_Histograma_Obra!EX55:EX113,[1]HOC_Histograma_Obra!$C$55:$C$113,"MOD")</f>
        <v>54</v>
      </c>
      <c r="DT30" s="11">
        <f>SUMIFS([1]HOC_Histograma_Obra!EY55:EY113,[1]HOC_Histograma_Obra!$C$55:$C$113,"MOD")</f>
        <v>0</v>
      </c>
      <c r="DU30" s="11">
        <f>SUMIFS([1]HOC_Histograma_Obra!EZ55:EZ113,[1]HOC_Histograma_Obra!$C$55:$C$113,"MOD")</f>
        <v>54</v>
      </c>
      <c r="DV30" s="11">
        <f>SUMIFS([1]HOC_Histograma_Obra!FA55:FA113,[1]HOC_Histograma_Obra!$C$55:$C$113,"MOD")</f>
        <v>54</v>
      </c>
      <c r="DW30" s="11">
        <f>SUMIFS([1]HOC_Histograma_Obra!FB55:FB113,[1]HOC_Histograma_Obra!$C$55:$C$113,"MOD")</f>
        <v>54</v>
      </c>
      <c r="DX30" s="11">
        <f>SUMIFS([1]HOC_Histograma_Obra!FC55:FC113,[1]HOC_Histograma_Obra!$C$55:$C$113,"MOD")</f>
        <v>54</v>
      </c>
      <c r="DY30" s="11">
        <f>SUMIFS([1]HOC_Histograma_Obra!FD55:FD113,[1]HOC_Histograma_Obra!$C$55:$C$113,"MOD")</f>
        <v>54</v>
      </c>
      <c r="DZ30" s="11">
        <f>SUMIFS([1]HOC_Histograma_Obra!FE55:FE113,[1]HOC_Histograma_Obra!$C$55:$C$113,"MOD")</f>
        <v>54</v>
      </c>
      <c r="EA30" s="11">
        <f>SUMIFS([1]HOC_Histograma_Obra!FF55:FF113,[1]HOC_Histograma_Obra!$C$55:$C$113,"MOD")</f>
        <v>0</v>
      </c>
      <c r="EB30" s="11">
        <f>SUMIFS([1]HOC_Histograma_Obra!FG55:FG113,[1]HOC_Histograma_Obra!$C$55:$C$113,"MOD")</f>
        <v>0</v>
      </c>
      <c r="EC30" s="11">
        <f>SUMIFS([1]HOC_Histograma_Obra!FH55:FH113,[1]HOC_Histograma_Obra!$C$55:$C$113,"MOD")</f>
        <v>54</v>
      </c>
      <c r="ED30" s="11">
        <f>SUMIFS([1]HOC_Histograma_Obra!FI55:FI113,[1]HOC_Histograma_Obra!$C$55:$C$113,"MOD")</f>
        <v>54</v>
      </c>
      <c r="EE30" s="11">
        <f>SUMIFS([1]HOC_Histograma_Obra!FJ55:FJ113,[1]HOC_Histograma_Obra!$C$55:$C$113,"MOD")</f>
        <v>54</v>
      </c>
      <c r="EF30" s="11">
        <f>SUMIFS([1]HOC_Histograma_Obra!FK55:FK113,[1]HOC_Histograma_Obra!$C$55:$C$113,"MOD")</f>
        <v>54</v>
      </c>
      <c r="EG30" s="11">
        <f>SUMIFS([1]HOC_Histograma_Obra!FL55:FL113,[1]HOC_Histograma_Obra!$C$55:$C$113,"MOD")</f>
        <v>54</v>
      </c>
      <c r="EH30" s="11">
        <f>SUMIFS([1]HOC_Histograma_Obra!FM55:FM113,[1]HOC_Histograma_Obra!$C$55:$C$113,"MOD")</f>
        <v>0</v>
      </c>
      <c r="EI30" s="11">
        <f>SUMIFS([1]HOC_Histograma_Obra!FN55:FN113,[1]HOC_Histograma_Obra!$C$55:$C$113,"MOD")</f>
        <v>54</v>
      </c>
      <c r="EJ30" s="11">
        <f>SUMIFS([1]HOC_Histograma_Obra!FO55:FO113,[1]HOC_Histograma_Obra!$C$55:$C$113,"MOD")</f>
        <v>54</v>
      </c>
      <c r="EK30" s="11">
        <f>SUMIFS([1]HOC_Histograma_Obra!FP55:FP113,[1]HOC_Histograma_Obra!$C$55:$C$113,"MOD")</f>
        <v>54</v>
      </c>
      <c r="EL30" s="11">
        <f>SUMIFS([1]HOC_Histograma_Obra!FQ55:FQ113,[1]HOC_Histograma_Obra!$C$55:$C$113,"MOD")</f>
        <v>54</v>
      </c>
      <c r="EM30" s="11">
        <f>SUMIFS([1]HOC_Histograma_Obra!FR55:FR113,[1]HOC_Histograma_Obra!$C$55:$C$113,"MOD")</f>
        <v>54</v>
      </c>
      <c r="EN30" s="11">
        <f>SUMIFS([1]HOC_Histograma_Obra!FS55:FS113,[1]HOC_Histograma_Obra!$C$55:$C$113,"MOD")</f>
        <v>54</v>
      </c>
      <c r="EO30" s="11">
        <f>SUMIFS([1]HOC_Histograma_Obra!FT55:FT113,[1]HOC_Histograma_Obra!$C$55:$C$113,"MOD")</f>
        <v>0</v>
      </c>
      <c r="EP30" s="11">
        <f>SUMIFS([1]HOC_Histograma_Obra!FU55:FU113,[1]HOC_Histograma_Obra!$C$55:$C$113,"MOD")</f>
        <v>54</v>
      </c>
      <c r="EQ30" s="11">
        <f>SUMIFS([1]HOC_Histograma_Obra!FV55:FV113,[1]HOC_Histograma_Obra!$C$55:$C$113,"MOD")</f>
        <v>54</v>
      </c>
      <c r="ER30" s="11">
        <f>SUMIFS([1]HOC_Histograma_Obra!FW55:FW113,[1]HOC_Histograma_Obra!$C$55:$C$113,"MOD")</f>
        <v>54</v>
      </c>
      <c r="ES30" s="11">
        <f>SUMIFS([1]HOC_Histograma_Obra!FX55:FX113,[1]HOC_Histograma_Obra!$C$55:$C$113,"MOD")</f>
        <v>54</v>
      </c>
      <c r="ET30" s="11">
        <f>SUMIFS([1]HOC_Histograma_Obra!FY55:FY113,[1]HOC_Histograma_Obra!$C$55:$C$113,"MOD")</f>
        <v>54</v>
      </c>
      <c r="EU30" s="11">
        <f>SUMIFS([1]HOC_Histograma_Obra!FZ55:FZ113,[1]HOC_Histograma_Obra!$C$55:$C$113,"MOD")</f>
        <v>54</v>
      </c>
      <c r="EV30" s="11">
        <f>SUMIFS([1]HOC_Histograma_Obra!GA55:GA113,[1]HOC_Histograma_Obra!$C$55:$C$113,"MOD")</f>
        <v>0</v>
      </c>
      <c r="EW30" s="11">
        <f>SUMIFS([1]HOC_Histograma_Obra!GB55:GB113,[1]HOC_Histograma_Obra!$C$55:$C$113,"MOD")</f>
        <v>30</v>
      </c>
      <c r="EX30" s="11">
        <f>SUMIFS([1]HOC_Histograma_Obra!GC55:GC113,[1]HOC_Histograma_Obra!$C$55:$C$113,"MOD")</f>
        <v>30</v>
      </c>
      <c r="EY30" s="11">
        <f>SUMIFS([1]HOC_Histograma_Obra!GD55:GD113,[1]HOC_Histograma_Obra!$C$55:$C$113,"MOD")</f>
        <v>30</v>
      </c>
      <c r="EZ30" s="11">
        <f>SUMIFS([1]HOC_Histograma_Obra!GE55:GE113,[1]HOC_Histograma_Obra!$C$55:$C$113,"MOD")</f>
        <v>30</v>
      </c>
      <c r="FA30" s="11">
        <f>SUMIFS([1]HOC_Histograma_Obra!GF55:GF113,[1]HOC_Histograma_Obra!$C$55:$C$113,"MOD")</f>
        <v>30</v>
      </c>
      <c r="FB30" s="11">
        <f>SUMIFS([1]HOC_Histograma_Obra!GG55:GG113,[1]HOC_Histograma_Obra!$C$55:$C$113,"MOD")</f>
        <v>30</v>
      </c>
      <c r="FC30" s="11">
        <f>SUMIFS([1]HOC_Histograma_Obra!GH55:GH113,[1]HOC_Histograma_Obra!$C$55:$C$113,"MOD")</f>
        <v>0</v>
      </c>
      <c r="FD30" s="11">
        <f>SUMIFS([1]HOC_Histograma_Obra!GI55:GI113,[1]HOC_Histograma_Obra!$C$55:$C$113,"MOD")</f>
        <v>28</v>
      </c>
      <c r="FE30" s="11">
        <f>SUMIFS([1]HOC_Histograma_Obra!GJ55:GJ113,[1]HOC_Histograma_Obra!$C$55:$C$113,"MOD")</f>
        <v>28</v>
      </c>
      <c r="FF30" s="11">
        <f>SUMIFS([1]HOC_Histograma_Obra!GK55:GK113,[1]HOC_Histograma_Obra!$C$55:$C$113,"MOD")</f>
        <v>28</v>
      </c>
      <c r="FG30" s="11">
        <f>SUMIFS([1]HOC_Histograma_Obra!GL55:GL113,[1]HOC_Histograma_Obra!$C$55:$C$113,"MOD")</f>
        <v>28</v>
      </c>
      <c r="FH30" s="11">
        <f>SUMIFS([1]HOC_Histograma_Obra!GM55:GM113,[1]HOC_Histograma_Obra!$C$55:$C$113,"MOD")</f>
        <v>28</v>
      </c>
      <c r="FI30" s="11">
        <f>SUMIFS([1]HOC_Histograma_Obra!GN55:GN113,[1]HOC_Histograma_Obra!$C$55:$C$113,"MOD")</f>
        <v>28</v>
      </c>
      <c r="FJ30" s="11">
        <f>SUMIFS([1]HOC_Histograma_Obra!GO55:GO113,[1]HOC_Histograma_Obra!$C$55:$C$113,"MOD")</f>
        <v>0</v>
      </c>
      <c r="FK30" s="11">
        <f>SUMIFS([1]HOC_Histograma_Obra!GP55:GP113,[1]HOC_Histograma_Obra!$C$55:$C$113,"MOD")</f>
        <v>0</v>
      </c>
      <c r="FL30" s="11">
        <f>SUMIFS([1]HOC_Histograma_Obra!GQ55:GQ113,[1]HOC_Histograma_Obra!$C$55:$C$113,"MOD")</f>
        <v>27</v>
      </c>
      <c r="FM30" s="11">
        <f>SUMIFS([1]HOC_Histograma_Obra!GR55:GR113,[1]HOC_Histograma_Obra!$C$55:$C$113,"MOD")</f>
        <v>27</v>
      </c>
      <c r="FN30" s="11">
        <f>SUMIFS([1]HOC_Histograma_Obra!GS55:GS113,[1]HOC_Histograma_Obra!$C$55:$C$113,"MOD")</f>
        <v>27</v>
      </c>
      <c r="FO30" s="11">
        <f>SUMIFS([1]HOC_Histograma_Obra!GT55:GT113,[1]HOC_Histograma_Obra!$C$55:$C$113,"MOD")</f>
        <v>27</v>
      </c>
      <c r="FP30" s="11">
        <f>SUMIFS([1]HOC_Histograma_Obra!GU55:GU113,[1]HOC_Histograma_Obra!$C$55:$C$113,"MOD")</f>
        <v>27</v>
      </c>
      <c r="FQ30" s="11">
        <f>SUMIFS([1]HOC_Histograma_Obra!GV55:GV113,[1]HOC_Histograma_Obra!$C$55:$C$113,"MOD")</f>
        <v>0</v>
      </c>
      <c r="FR30" s="11">
        <f>SUMIFS([1]HOC_Histograma_Obra!GW55:GW113,[1]HOC_Histograma_Obra!$C$55:$C$113,"MOD")</f>
        <v>27</v>
      </c>
      <c r="FS30" s="11">
        <f>SUMIFS([1]HOC_Histograma_Obra!GX55:GX113,[1]HOC_Histograma_Obra!$C$55:$C$113,"MOD")</f>
        <v>27</v>
      </c>
      <c r="FT30" s="11">
        <f>SUMIFS([1]HOC_Histograma_Obra!GY55:GY113,[1]HOC_Histograma_Obra!$C$55:$C$113,"MOD")</f>
        <v>27</v>
      </c>
      <c r="FU30" s="11">
        <f>SUMIFS([1]HOC_Histograma_Obra!GZ55:GZ113,[1]HOC_Histograma_Obra!$C$55:$C$113,"MOD")</f>
        <v>27</v>
      </c>
      <c r="FV30" s="11">
        <f>SUMIFS([1]HOC_Histograma_Obra!HA55:HA113,[1]HOC_Histograma_Obra!$C$55:$C$113,"MOD")</f>
        <v>27</v>
      </c>
      <c r="FW30" s="11">
        <f>SUMIFS([1]HOC_Histograma_Obra!HB55:HB113,[1]HOC_Histograma_Obra!$C$55:$C$113,"MOD")</f>
        <v>27</v>
      </c>
      <c r="FX30" s="11">
        <f>SUMIFS([1]HOC_Histograma_Obra!HC55:HC113,[1]HOC_Histograma_Obra!$C$55:$C$113,"MOD")</f>
        <v>0</v>
      </c>
      <c r="FY30" s="11">
        <f>SUMIFS([1]HOC_Histograma_Obra!HD55:HD113,[1]HOC_Histograma_Obra!$C$55:$C$113,"MOD")</f>
        <v>27</v>
      </c>
      <c r="FZ30" s="11">
        <f>SUMIFS([1]HOC_Histograma_Obra!HE55:HE113,[1]HOC_Histograma_Obra!$C$55:$C$113,"MOD")</f>
        <v>27</v>
      </c>
      <c r="GA30" s="11">
        <f>SUMIFS([1]HOC_Histograma_Obra!HF55:HF113,[1]HOC_Histograma_Obra!$C$55:$C$113,"MOD")</f>
        <v>27</v>
      </c>
      <c r="GB30" s="11">
        <f>SUMIFS([1]HOC_Histograma_Obra!HG55:HG113,[1]HOC_Histograma_Obra!$C$55:$C$113,"MOD")</f>
        <v>27</v>
      </c>
      <c r="GC30" s="11">
        <f>SUMIFS([1]HOC_Histograma_Obra!HH55:HH113,[1]HOC_Histograma_Obra!$C$55:$C$113,"MOD")</f>
        <v>27</v>
      </c>
      <c r="GD30" s="11">
        <f>SUMIFS([1]HOC_Histograma_Obra!HI55:HI113,[1]HOC_Histograma_Obra!$C$55:$C$113,"MOD")</f>
        <v>27</v>
      </c>
      <c r="GE30" s="11">
        <f>SUMIFS([1]HOC_Histograma_Obra!HJ55:HJ113,[1]HOC_Histograma_Obra!$C$55:$C$113,"MOD")</f>
        <v>0</v>
      </c>
      <c r="GF30" s="11">
        <f>SUMIFS([1]HOC_Histograma_Obra!HK55:HK113,[1]HOC_Histograma_Obra!$C$55:$C$113,"MOD")</f>
        <v>0</v>
      </c>
      <c r="GG30" s="11">
        <f>SUMIFS([1]HOC_Histograma_Obra!HL55:HL113,[1]HOC_Histograma_Obra!$C$55:$C$113,"MOD")</f>
        <v>0</v>
      </c>
      <c r="GH30" s="11">
        <f>SUMIFS([1]HOC_Histograma_Obra!HM55:HM113,[1]HOC_Histograma_Obra!$C$55:$C$113,"MOD")</f>
        <v>0</v>
      </c>
      <c r="GI30" s="11">
        <f>SUMIFS([1]HOC_Histograma_Obra!HN55:HN113,[1]HOC_Histograma_Obra!$C$55:$C$113,"MOD")</f>
        <v>0</v>
      </c>
      <c r="GJ30" s="11">
        <f>SUMIFS([1]HOC_Histograma_Obra!HO55:HO113,[1]HOC_Histograma_Obra!$C$55:$C$113,"MOD")</f>
        <v>0</v>
      </c>
      <c r="GK30" s="11">
        <f>SUMIFS([1]HOC_Histograma_Obra!HP55:HP113,[1]HOC_Histograma_Obra!$C$55:$C$113,"MOD")</f>
        <v>0</v>
      </c>
      <c r="GL30" s="11">
        <f>SUMIFS([1]HOC_Histograma_Obra!HQ55:HQ113,[1]HOC_Histograma_Obra!$C$55:$C$113,"MOD")</f>
        <v>0</v>
      </c>
      <c r="GM30" s="11">
        <f>SUMIFS([1]HOC_Histograma_Obra!HR55:HR113,[1]HOC_Histograma_Obra!$C$55:$C$113,"MOD")</f>
        <v>0</v>
      </c>
      <c r="GN30" s="11">
        <f>SUMIFS([1]HOC_Histograma_Obra!HS55:HS113,[1]HOC_Histograma_Obra!$C$55:$C$113,"MOD")</f>
        <v>0</v>
      </c>
      <c r="GO30" s="11">
        <f>SUMIFS([1]HOC_Histograma_Obra!HT55:HT113,[1]HOC_Histograma_Obra!$C$55:$C$113,"MOD")</f>
        <v>0</v>
      </c>
      <c r="GP30" s="11">
        <f>SUMIFS([1]HOC_Histograma_Obra!HU55:HU113,[1]HOC_Histograma_Obra!$C$55:$C$113,"MOD")</f>
        <v>0</v>
      </c>
      <c r="GQ30" s="11">
        <f>SUMIFS([1]HOC_Histograma_Obra!HV55:HV113,[1]HOC_Histograma_Obra!$C$55:$C$113,"MOD")</f>
        <v>0</v>
      </c>
      <c r="GR30" s="11">
        <f>SUMIFS([1]HOC_Histograma_Obra!HW55:HW113,[1]HOC_Histograma_Obra!$C$55:$C$113,"MOD")</f>
        <v>0</v>
      </c>
      <c r="GS30" s="11">
        <f>SUMIFS([1]HOC_Histograma_Obra!HX55:HX113,[1]HOC_Histograma_Obra!$C$55:$C$113,"MOD")</f>
        <v>0</v>
      </c>
      <c r="GT30" s="11">
        <f>SUMIFS([1]HOC_Histograma_Obra!HY55:HY113,[1]HOC_Histograma_Obra!$C$55:$C$113,"MOD")</f>
        <v>0</v>
      </c>
      <c r="GU30" s="11">
        <f>SUMIFS([1]HOC_Histograma_Obra!HZ55:HZ113,[1]HOC_Histograma_Obra!$C$55:$C$113,"MOD")</f>
        <v>0</v>
      </c>
      <c r="GV30" s="11">
        <f>SUMIFS([1]HOC_Histograma_Obra!IA55:IA113,[1]HOC_Histograma_Obra!$C$55:$C$113,"MOD")</f>
        <v>0</v>
      </c>
      <c r="GW30" s="11">
        <f>SUMIFS([1]HOC_Histograma_Obra!IB55:IB113,[1]HOC_Histograma_Obra!$C$55:$C$113,"MOD")</f>
        <v>0</v>
      </c>
      <c r="GX30" s="11">
        <f>SUMIFS([1]HOC_Histograma_Obra!IC55:IC113,[1]HOC_Histograma_Obra!$C$55:$C$113,"MOD")</f>
        <v>0</v>
      </c>
      <c r="GY30" s="11">
        <f>SUMIFS([1]HOC_Histograma_Obra!ID55:ID113,[1]HOC_Histograma_Obra!$C$55:$C$113,"MOD")</f>
        <v>0</v>
      </c>
      <c r="GZ30" s="11">
        <f>SUMIFS([1]HOC_Histograma_Obra!IE55:IE113,[1]HOC_Histograma_Obra!$C$55:$C$113,"MOD")</f>
        <v>0</v>
      </c>
      <c r="HA30" s="11">
        <f>SUMIFS([1]HOC_Histograma_Obra!IF55:IF113,[1]HOC_Histograma_Obra!$C$55:$C$113,"MOD")</f>
        <v>0</v>
      </c>
      <c r="HB30" s="11">
        <f>SUMIFS([1]HOC_Histograma_Obra!IG55:IG113,[1]HOC_Histograma_Obra!$C$55:$C$113,"MOD")</f>
        <v>0</v>
      </c>
      <c r="HC30" s="11">
        <f>SUMIFS([1]HOC_Histograma_Obra!IH55:IH113,[1]HOC_Histograma_Obra!$C$55:$C$113,"MOD")</f>
        <v>0</v>
      </c>
      <c r="HD30" s="11">
        <f>SUMIFS([1]HOC_Histograma_Obra!II55:II113,[1]HOC_Histograma_Obra!$C$55:$C$113,"MOD")</f>
        <v>0</v>
      </c>
      <c r="HE30" s="11">
        <f>SUMIFS([1]HOC_Histograma_Obra!IJ55:IJ113,[1]HOC_Histograma_Obra!$C$55:$C$113,"MOD")</f>
        <v>0</v>
      </c>
      <c r="HF30" s="11">
        <f>SUMIFS([1]HOC_Histograma_Obra!IK55:IK113,[1]HOC_Histograma_Obra!$C$55:$C$113,"MOD")</f>
        <v>0</v>
      </c>
      <c r="HG30" s="11">
        <f>SUMIFS([1]HOC_Histograma_Obra!IL55:IL113,[1]HOC_Histograma_Obra!$C$55:$C$113,"MOD")</f>
        <v>0</v>
      </c>
      <c r="HH30" s="11">
        <f>SUMIFS([1]HOC_Histograma_Obra!IM55:IM113,[1]HOC_Histograma_Obra!$C$55:$C$113,"MOD")</f>
        <v>0</v>
      </c>
      <c r="HI30" s="11">
        <f>SUMIFS([1]HOC_Histograma_Obra!IN55:IN113,[1]HOC_Histograma_Obra!$C$55:$C$113,"MOD")</f>
        <v>0</v>
      </c>
      <c r="HJ30" s="11">
        <f>SUMIFS([1]HOC_Histograma_Obra!IO55:IO113,[1]HOC_Histograma_Obra!$C$55:$C$113,"MOD")</f>
        <v>0</v>
      </c>
      <c r="HK30" s="11">
        <f>SUMIFS([1]HOC_Histograma_Obra!IP55:IP113,[1]HOC_Histograma_Obra!$C$55:$C$113,"MOD")</f>
        <v>0</v>
      </c>
      <c r="HL30" s="11">
        <f>SUMIFS([1]HOC_Histograma_Obra!IQ55:IQ113,[1]HOC_Histograma_Obra!$C$55:$C$113,"MOD")</f>
        <v>0</v>
      </c>
      <c r="HM30" s="11">
        <f>SUMIFS([1]HOC_Histograma_Obra!IR55:IR113,[1]HOC_Histograma_Obra!$C$55:$C$113,"MOD")</f>
        <v>0</v>
      </c>
      <c r="HN30" s="11">
        <f>SUMIFS([1]HOC_Histograma_Obra!IS55:IS113,[1]HOC_Histograma_Obra!$C$55:$C$113,"MOD")</f>
        <v>0</v>
      </c>
      <c r="HO30" s="11">
        <f>SUMIFS([1]HOC_Histograma_Obra!IT55:IT113,[1]HOC_Histograma_Obra!$C$55:$C$113,"MOD")</f>
        <v>0</v>
      </c>
      <c r="HP30" s="11">
        <f>SUMIFS([1]HOC_Histograma_Obra!IU55:IU113,[1]HOC_Histograma_Obra!$C$55:$C$113,"MOD")</f>
        <v>0</v>
      </c>
      <c r="HQ30" s="11">
        <f>SUMIFS([1]HOC_Histograma_Obra!IV55:IV113,[1]HOC_Histograma_Obra!$C$55:$C$113,"MOD")</f>
        <v>0</v>
      </c>
      <c r="HR30" s="11">
        <f>SUMIFS([1]HOC_Histograma_Obra!IW55:IW113,[1]HOC_Histograma_Obra!$C$55:$C$113,"MOD")</f>
        <v>0</v>
      </c>
      <c r="HS30" s="11">
        <f>SUMIFS([1]HOC_Histograma_Obra!IX55:IX113,[1]HOC_Histograma_Obra!$C$55:$C$113,"MOD")</f>
        <v>0</v>
      </c>
      <c r="HT30" s="11">
        <f>SUMIFS([1]HOC_Histograma_Obra!IY55:IY113,[1]HOC_Histograma_Obra!$C$55:$C$113,"MOD")</f>
        <v>0</v>
      </c>
      <c r="HU30" s="11">
        <f>SUMIFS([1]HOC_Histograma_Obra!IZ55:IZ113,[1]HOC_Histograma_Obra!$C$55:$C$113,"MOD")</f>
        <v>0</v>
      </c>
      <c r="HV30" s="11">
        <f>SUMIFS([1]HOC_Histograma_Obra!JA55:JA113,[1]HOC_Histograma_Obra!$C$55:$C$113,"MOD")</f>
        <v>0</v>
      </c>
      <c r="HW30" s="11">
        <f>SUMIFS([1]HOC_Histograma_Obra!JB55:JB113,[1]HOC_Histograma_Obra!$C$55:$C$113,"MOD")</f>
        <v>0</v>
      </c>
      <c r="HX30" s="11">
        <f>SUMIFS([1]HOC_Histograma_Obra!JC55:JC113,[1]HOC_Histograma_Obra!$C$55:$C$113,"MOD")</f>
        <v>0</v>
      </c>
      <c r="HY30" s="11">
        <f>SUMIFS([1]HOC_Histograma_Obra!JD55:JD113,[1]HOC_Histograma_Obra!$C$55:$C$113,"MOD")</f>
        <v>0</v>
      </c>
      <c r="HZ30" s="11">
        <f>SUMIFS([1]HOC_Histograma_Obra!JE55:JE113,[1]HOC_Histograma_Obra!$C$55:$C$113,"MOD")</f>
        <v>0</v>
      </c>
      <c r="IA30" s="11">
        <f>SUMIFS([1]HOC_Histograma_Obra!JF55:JF113,[1]HOC_Histograma_Obra!$C$55:$C$113,"MOD")</f>
        <v>0</v>
      </c>
      <c r="IB30" s="11">
        <f>SUMIFS([1]HOC_Histograma_Obra!JG55:JG113,[1]HOC_Histograma_Obra!$C$55:$C$113,"MOD")</f>
        <v>0</v>
      </c>
      <c r="IC30" s="11">
        <f>SUMIFS([1]HOC_Histograma_Obra!JH55:JH113,[1]HOC_Histograma_Obra!$C$55:$C$113,"MOD")</f>
        <v>0</v>
      </c>
      <c r="ID30" s="11">
        <f>SUMIFS([1]HOC_Histograma_Obra!JI55:JI113,[1]HOC_Histograma_Obra!$C$55:$C$113,"MOD")</f>
        <v>0</v>
      </c>
      <c r="IE30" s="11">
        <f>SUMIFS([1]HOC_Histograma_Obra!JJ55:JJ113,[1]HOC_Histograma_Obra!$C$55:$C$113,"MOD")</f>
        <v>0</v>
      </c>
      <c r="IF30" s="11">
        <f>SUMIFS([1]HOC_Histograma_Obra!JK55:JK113,[1]HOC_Histograma_Obra!$C$55:$C$113,"MOD")</f>
        <v>0</v>
      </c>
      <c r="IG30" s="11">
        <f>SUMIFS([1]HOC_Histograma_Obra!JL55:JL113,[1]HOC_Histograma_Obra!$C$55:$C$113,"MOD")</f>
        <v>0</v>
      </c>
      <c r="IH30" s="11">
        <f>SUMIFS([1]HOC_Histograma_Obra!JM55:JM113,[1]HOC_Histograma_Obra!$C$55:$C$113,"MOD")</f>
        <v>0</v>
      </c>
      <c r="II30" s="11">
        <f>SUMIFS([1]HOC_Histograma_Obra!JN55:JN113,[1]HOC_Histograma_Obra!$C$55:$C$113,"MOD")</f>
        <v>0</v>
      </c>
      <c r="IJ30" s="11">
        <f>SUMIFS([1]HOC_Histograma_Obra!JO55:JO113,[1]HOC_Histograma_Obra!$C$55:$C$113,"MOD")</f>
        <v>0</v>
      </c>
      <c r="IK30" s="11">
        <f>SUMIFS([1]HOC_Histograma_Obra!JP55:JP113,[1]HOC_Histograma_Obra!$C$55:$C$113,"MOD")</f>
        <v>0</v>
      </c>
      <c r="IL30" s="11">
        <f>SUMIFS([1]HOC_Histograma_Obra!JQ55:JQ113,[1]HOC_Histograma_Obra!$C$55:$C$113,"MOD")</f>
        <v>0</v>
      </c>
      <c r="IM30" s="11">
        <f>SUMIFS([1]HOC_Histograma_Obra!JR55:JR113,[1]HOC_Histograma_Obra!$C$55:$C$113,"MOD")</f>
        <v>0</v>
      </c>
      <c r="IN30" s="11">
        <f>SUMIFS([1]HOC_Histograma_Obra!JS55:JS113,[1]HOC_Histograma_Obra!$C$55:$C$113,"MOD")</f>
        <v>0</v>
      </c>
      <c r="IO30" s="11">
        <f>SUMIFS([1]HOC_Histograma_Obra!JT55:JT113,[1]HOC_Histograma_Obra!$C$55:$C$113,"MOD")</f>
        <v>0</v>
      </c>
      <c r="IP30" s="11">
        <f>SUMIFS([1]HOC_Histograma_Obra!JU55:JU113,[1]HOC_Histograma_Obra!$C$55:$C$113,"MOD")</f>
        <v>0</v>
      </c>
      <c r="IQ30" s="11">
        <f>SUMIFS([1]HOC_Histograma_Obra!JV55:JV113,[1]HOC_Histograma_Obra!$C$55:$C$113,"MOD")</f>
        <v>0</v>
      </c>
      <c r="IR30" s="11">
        <f>SUMIFS([1]HOC_Histograma_Obra!JW55:JW113,[1]HOC_Histograma_Obra!$C$55:$C$113,"MOD")</f>
        <v>0</v>
      </c>
      <c r="IS30" s="11">
        <f>SUMIFS([1]HOC_Histograma_Obra!JX55:JX113,[1]HOC_Histograma_Obra!$C$55:$C$113,"MOD")</f>
        <v>0</v>
      </c>
      <c r="IT30" s="11">
        <f>SUMIFS([1]HOC_Histograma_Obra!JY55:JY113,[1]HOC_Histograma_Obra!$C$55:$C$113,"MOD")</f>
        <v>0</v>
      </c>
      <c r="IU30" s="11">
        <f>SUMIFS([1]HOC_Histograma_Obra!JZ55:JZ113,[1]HOC_Histograma_Obra!$C$55:$C$113,"MOD")</f>
        <v>0</v>
      </c>
      <c r="IV30" s="11">
        <f>SUMIFS([1]HOC_Histograma_Obra!KA55:KA113,[1]HOC_Histograma_Obra!$C$55:$C$113,"MOD")</f>
        <v>0</v>
      </c>
      <c r="IW30" s="11">
        <f>SUMIFS([1]HOC_Histograma_Obra!KB55:KB113,[1]HOC_Histograma_Obra!$C$55:$C$113,"MOD")</f>
        <v>0</v>
      </c>
      <c r="IX30" s="11">
        <f>SUMIFS([1]HOC_Histograma_Obra!KC55:KC113,[1]HOC_Histograma_Obra!$C$55:$C$113,"MOD")</f>
        <v>0</v>
      </c>
      <c r="IY30" s="11">
        <f>SUMIFS([1]HOC_Histograma_Obra!KD55:KD113,[1]HOC_Histograma_Obra!$C$55:$C$113,"MOD")</f>
        <v>0</v>
      </c>
      <c r="IZ30" s="11">
        <f>SUMIFS([1]HOC_Histograma_Obra!KE55:KE113,[1]HOC_Histograma_Obra!$C$55:$C$113,"MOD")</f>
        <v>0</v>
      </c>
      <c r="JA30" s="11">
        <f>SUMIFS([1]HOC_Histograma_Obra!KF55:KF113,[1]HOC_Histograma_Obra!$C$55:$C$113,"MOD")</f>
        <v>0</v>
      </c>
      <c r="JB30" s="11">
        <f>SUMIFS([1]HOC_Histograma_Obra!KG55:KG113,[1]HOC_Histograma_Obra!$C$55:$C$113,"MOD")</f>
        <v>0</v>
      </c>
      <c r="JC30" s="11">
        <f>SUMIFS([1]HOC_Histograma_Obra!KH55:KH113,[1]HOC_Histograma_Obra!$C$55:$C$113,"MOD")</f>
        <v>0</v>
      </c>
      <c r="JD30" s="11">
        <f>SUMIFS([1]HOC_Histograma_Obra!KI55:KI113,[1]HOC_Histograma_Obra!$C$55:$C$113,"MOD")</f>
        <v>0</v>
      </c>
      <c r="JE30" s="11">
        <f>SUMIFS([1]HOC_Histograma_Obra!KJ55:KJ113,[1]HOC_Histograma_Obra!$C$55:$C$113,"MOD")</f>
        <v>0</v>
      </c>
      <c r="JF30" s="11">
        <f>SUMIFS([1]HOC_Histograma_Obra!KK55:KK113,[1]HOC_Histograma_Obra!$C$55:$C$113,"MOD")</f>
        <v>0</v>
      </c>
      <c r="JG30" s="11">
        <f>SUMIFS([1]HOC_Histograma_Obra!KL55:KL113,[1]HOC_Histograma_Obra!$C$55:$C$113,"MOD")</f>
        <v>0</v>
      </c>
      <c r="JH30" s="11">
        <f>SUMIFS([1]HOC_Histograma_Obra!KM55:KM113,[1]HOC_Histograma_Obra!$C$55:$C$113,"MOD")</f>
        <v>0</v>
      </c>
      <c r="JI30" s="11">
        <f>SUMIFS([1]HOC_Histograma_Obra!KN55:KN113,[1]HOC_Histograma_Obra!$C$55:$C$113,"MOD")</f>
        <v>0</v>
      </c>
      <c r="JJ30" s="11">
        <f>SUMIFS([1]HOC_Histograma_Obra!KO55:KO113,[1]HOC_Histograma_Obra!$C$55:$C$113,"MOD")</f>
        <v>0</v>
      </c>
      <c r="JK30" s="11">
        <f>SUMIFS([1]HOC_Histograma_Obra!KP55:KP113,[1]HOC_Histograma_Obra!$C$55:$C$113,"MOD")</f>
        <v>0</v>
      </c>
      <c r="JL30" s="11">
        <f>SUMIFS([1]HOC_Histograma_Obra!KQ55:KQ113,[1]HOC_Histograma_Obra!$C$55:$C$113,"MOD")</f>
        <v>0</v>
      </c>
      <c r="JM30" s="11">
        <f>SUMIFS([1]HOC_Histograma_Obra!KR55:KR113,[1]HOC_Histograma_Obra!$C$55:$C$113,"MOD")</f>
        <v>0</v>
      </c>
      <c r="JN30" s="11">
        <f>SUMIFS([1]HOC_Histograma_Obra!KS55:KS113,[1]HOC_Histograma_Obra!$C$55:$C$113,"MOD")</f>
        <v>0</v>
      </c>
      <c r="JO30" s="11">
        <f>SUMIFS([1]HOC_Histograma_Obra!KT55:KT113,[1]HOC_Histograma_Obra!$C$55:$C$113,"MOD")</f>
        <v>0</v>
      </c>
      <c r="JP30" s="11">
        <f>SUMIFS([1]HOC_Histograma_Obra!KU55:KU113,[1]HOC_Histograma_Obra!$C$55:$C$113,"MOD")</f>
        <v>0</v>
      </c>
      <c r="JQ30" s="11">
        <f>SUMIFS([1]HOC_Histograma_Obra!KV55:KV113,[1]HOC_Histograma_Obra!$C$55:$C$113,"MOD")</f>
        <v>0</v>
      </c>
      <c r="JR30" s="11">
        <f>SUMIFS([1]HOC_Histograma_Obra!KW55:KW113,[1]HOC_Histograma_Obra!$C$55:$C$113,"MOD")</f>
        <v>0</v>
      </c>
      <c r="JS30" s="11">
        <f>SUMIFS([1]HOC_Histograma_Obra!KX55:KX113,[1]HOC_Histograma_Obra!$C$55:$C$113,"MOD")</f>
        <v>0</v>
      </c>
      <c r="JT30" s="11">
        <f>SUMIFS([1]HOC_Histograma_Obra!KY55:KY113,[1]HOC_Histograma_Obra!$C$55:$C$113,"MOD")</f>
        <v>0</v>
      </c>
      <c r="JU30" s="11">
        <f>SUMIFS([1]HOC_Histograma_Obra!KZ55:KZ113,[1]HOC_Histograma_Obra!$C$55:$C$113,"MOD")</f>
        <v>0</v>
      </c>
      <c r="JV30" s="11">
        <f>SUMIFS([1]HOC_Histograma_Obra!LA55:LA113,[1]HOC_Histograma_Obra!$C$55:$C$113,"MOD")</f>
        <v>0</v>
      </c>
      <c r="JW30" s="11">
        <f>SUMIFS([1]HOC_Histograma_Obra!LB55:LB113,[1]HOC_Histograma_Obra!$C$55:$C$113,"MOD")</f>
        <v>0</v>
      </c>
      <c r="JX30" s="11">
        <f>SUMIFS([1]HOC_Histograma_Obra!LC55:LC113,[1]HOC_Histograma_Obra!$C$55:$C$113,"MOD")</f>
        <v>0</v>
      </c>
      <c r="JY30" s="11">
        <f>SUMIFS([1]HOC_Histograma_Obra!LD55:LD113,[1]HOC_Histograma_Obra!$C$55:$C$113,"MOD")</f>
        <v>0</v>
      </c>
      <c r="JZ30" s="11">
        <f>SUMIFS([1]HOC_Histograma_Obra!LE55:LE113,[1]HOC_Histograma_Obra!$C$55:$C$113,"MOD")</f>
        <v>0</v>
      </c>
      <c r="KA30" s="11">
        <f>SUMIFS([1]HOC_Histograma_Obra!LF55:LF113,[1]HOC_Histograma_Obra!$C$55:$C$113,"MOD")</f>
        <v>0</v>
      </c>
      <c r="KB30" s="11">
        <f>SUMIFS([1]HOC_Histograma_Obra!LG55:LG113,[1]HOC_Histograma_Obra!$C$55:$C$113,"MOD")</f>
        <v>0</v>
      </c>
      <c r="KC30" s="11">
        <f>SUMIFS([1]HOC_Histograma_Obra!LH55:LH113,[1]HOC_Histograma_Obra!$C$55:$C$113,"MOD")</f>
        <v>0</v>
      </c>
      <c r="KD30" s="11">
        <f>SUMIFS([1]HOC_Histograma_Obra!LI55:LI113,[1]HOC_Histograma_Obra!$C$55:$C$113,"MOD")</f>
        <v>0</v>
      </c>
      <c r="KE30" s="11">
        <f>SUMIFS([1]HOC_Histograma_Obra!LJ55:LJ113,[1]HOC_Histograma_Obra!$C$55:$C$113,"MOD")</f>
        <v>0</v>
      </c>
      <c r="KF30" s="11">
        <f>SUMIFS([1]HOC_Histograma_Obra!LK55:LK113,[1]HOC_Histograma_Obra!$C$55:$C$113,"MOD")</f>
        <v>0</v>
      </c>
      <c r="KG30" s="11">
        <f>SUMIFS([1]HOC_Histograma_Obra!LL55:LL113,[1]HOC_Histograma_Obra!$C$55:$C$113,"MOD")</f>
        <v>0</v>
      </c>
      <c r="KH30" s="11">
        <f>SUMIFS([1]HOC_Histograma_Obra!LM55:LM113,[1]HOC_Histograma_Obra!$C$55:$C$113,"MOD")</f>
        <v>0</v>
      </c>
      <c r="KI30" s="11">
        <f>SUMIFS([1]HOC_Histograma_Obra!LN55:LN113,[1]HOC_Histograma_Obra!$C$55:$C$113,"MOD")</f>
        <v>0</v>
      </c>
      <c r="KJ30" s="11">
        <f>SUMIFS([1]HOC_Histograma_Obra!LO55:LO113,[1]HOC_Histograma_Obra!$C$55:$C$113,"MOD")</f>
        <v>0</v>
      </c>
      <c r="KK30" s="11">
        <f>SUMIFS([1]HOC_Histograma_Obra!LP55:LP113,[1]HOC_Histograma_Obra!$C$55:$C$113,"MOD")</f>
        <v>0</v>
      </c>
      <c r="KL30" s="11">
        <f>SUMIFS([1]HOC_Histograma_Obra!LQ55:LQ113,[1]HOC_Histograma_Obra!$C$55:$C$113,"MOD")</f>
        <v>0</v>
      </c>
      <c r="KM30" s="11">
        <f>SUMIFS([1]HOC_Histograma_Obra!LR55:LR113,[1]HOC_Histograma_Obra!$C$55:$C$113,"MOD")</f>
        <v>0</v>
      </c>
      <c r="KN30" s="11">
        <f>SUMIFS([1]HOC_Histograma_Obra!LS55:LS113,[1]HOC_Histograma_Obra!$C$55:$C$113,"MOD")</f>
        <v>0</v>
      </c>
      <c r="KO30" s="11">
        <f>SUMIFS([1]HOC_Histograma_Obra!LT55:LT113,[1]HOC_Histograma_Obra!$C$55:$C$113,"MOD")</f>
        <v>0</v>
      </c>
      <c r="KP30" s="11">
        <f>SUMIFS([1]HOC_Histograma_Obra!LU55:LU113,[1]HOC_Histograma_Obra!$C$55:$C$113,"MOD")</f>
        <v>0</v>
      </c>
      <c r="KQ30" s="11">
        <f>SUMIFS([1]HOC_Histograma_Obra!LV55:LV113,[1]HOC_Histograma_Obra!$C$55:$C$113,"MOD")</f>
        <v>0</v>
      </c>
      <c r="KR30" s="11">
        <f>SUMIFS([1]HOC_Histograma_Obra!LW55:LW113,[1]HOC_Histograma_Obra!$C$55:$C$113,"MOD")</f>
        <v>0</v>
      </c>
      <c r="KS30" s="11">
        <f>SUMIFS([1]HOC_Histograma_Obra!LX55:LX113,[1]HOC_Histograma_Obra!$C$55:$C$113,"MOD")</f>
        <v>0</v>
      </c>
      <c r="KT30" s="11">
        <f>SUMIFS([1]HOC_Histograma_Obra!LY55:LY113,[1]HOC_Histograma_Obra!$C$55:$C$113,"MOD")</f>
        <v>0</v>
      </c>
      <c r="KU30" s="11">
        <f>SUMIFS([1]HOC_Histograma_Obra!LZ55:LZ113,[1]HOC_Histograma_Obra!$C$55:$C$113,"MOD")</f>
        <v>0</v>
      </c>
      <c r="KV30" s="11">
        <f>SUMIFS([1]HOC_Histograma_Obra!MA55:MA113,[1]HOC_Histograma_Obra!$C$55:$C$113,"MOD")</f>
        <v>0</v>
      </c>
      <c r="KW30" s="11">
        <f>SUMIFS([1]HOC_Histograma_Obra!MB55:MB113,[1]HOC_Histograma_Obra!$C$55:$C$113,"MOD")</f>
        <v>0</v>
      </c>
      <c r="KX30" s="11">
        <f>SUMIFS([1]HOC_Histograma_Obra!MC55:MC113,[1]HOC_Histograma_Obra!$C$55:$C$113,"MOD")</f>
        <v>0</v>
      </c>
      <c r="KY30" s="11">
        <f>SUMIFS([1]HOC_Histograma_Obra!MD55:MD113,[1]HOC_Histograma_Obra!$C$55:$C$113,"MOD")</f>
        <v>0</v>
      </c>
      <c r="KZ30" s="11">
        <f>SUMIFS([1]HOC_Histograma_Obra!ME55:ME113,[1]HOC_Histograma_Obra!$C$55:$C$113,"MOD")</f>
        <v>0</v>
      </c>
      <c r="LA30" s="11">
        <f>SUMIFS([1]HOC_Histograma_Obra!MF55:MF113,[1]HOC_Histograma_Obra!$C$55:$C$113,"MOD")</f>
        <v>0</v>
      </c>
      <c r="LB30" s="11">
        <f>SUMIFS([1]HOC_Histograma_Obra!MG55:MG113,[1]HOC_Histograma_Obra!$C$55:$C$113,"MOD")</f>
        <v>0</v>
      </c>
      <c r="LC30" s="11">
        <f>SUMIFS([1]HOC_Histograma_Obra!MH55:MH113,[1]HOC_Histograma_Obra!$C$55:$C$113,"MOD")</f>
        <v>0</v>
      </c>
      <c r="LD30" s="11">
        <f>SUMIFS([1]HOC_Histograma_Obra!MI55:MI113,[1]HOC_Histograma_Obra!$C$55:$C$113,"MOD")</f>
        <v>0</v>
      </c>
      <c r="LE30" s="11">
        <f>SUMIFS([1]HOC_Histograma_Obra!MJ55:MJ113,[1]HOC_Histograma_Obra!$C$55:$C$113,"MOD")</f>
        <v>0</v>
      </c>
      <c r="LF30" s="11">
        <f>SUMIFS([1]HOC_Histograma_Obra!MK55:MK113,[1]HOC_Histograma_Obra!$C$55:$C$113,"MOD")</f>
        <v>0</v>
      </c>
      <c r="LG30" s="11">
        <f>SUMIFS([1]HOC_Histograma_Obra!ML55:ML113,[1]HOC_Histograma_Obra!$C$55:$C$113,"MOD")</f>
        <v>0</v>
      </c>
      <c r="LH30" s="11">
        <f>SUMIFS([1]HOC_Histograma_Obra!MM55:MM113,[1]HOC_Histograma_Obra!$C$55:$C$113,"MOD")</f>
        <v>0</v>
      </c>
      <c r="LI30" s="11">
        <f>SUMIFS([1]HOC_Histograma_Obra!MN55:MN113,[1]HOC_Histograma_Obra!$C$55:$C$113,"MOD")</f>
        <v>0</v>
      </c>
      <c r="LJ30" s="11">
        <f>SUMIFS([1]HOC_Histograma_Obra!MO55:MO113,[1]HOC_Histograma_Obra!$C$55:$C$113,"MOD")</f>
        <v>0</v>
      </c>
      <c r="LK30" s="11">
        <f>SUMIFS([1]HOC_Histograma_Obra!MP55:MP113,[1]HOC_Histograma_Obra!$C$55:$C$113,"MOD")</f>
        <v>0</v>
      </c>
      <c r="LL30" s="11">
        <f>SUMIFS([1]HOC_Histograma_Obra!MQ55:MQ113,[1]HOC_Histograma_Obra!$C$55:$C$113,"MOD")</f>
        <v>0</v>
      </c>
      <c r="LM30" s="11">
        <f>SUMIFS([1]HOC_Histograma_Obra!MR55:MR113,[1]HOC_Histograma_Obra!$C$55:$C$113,"MOD")</f>
        <v>0</v>
      </c>
      <c r="LN30" s="11">
        <f>SUMIFS([1]HOC_Histograma_Obra!MS55:MS113,[1]HOC_Histograma_Obra!$C$55:$C$113,"MOD")</f>
        <v>0</v>
      </c>
      <c r="LO30" s="11">
        <f>SUMIFS([1]HOC_Histograma_Obra!MT55:MT113,[1]HOC_Histograma_Obra!$C$55:$C$113,"MOD")</f>
        <v>0</v>
      </c>
      <c r="LP30" s="11">
        <f>SUMIFS([1]HOC_Histograma_Obra!MU55:MU113,[1]HOC_Histograma_Obra!$C$55:$C$113,"MOD")</f>
        <v>0</v>
      </c>
      <c r="LQ30" s="11">
        <f>SUMIFS([1]HOC_Histograma_Obra!MV55:MV113,[1]HOC_Histograma_Obra!$C$55:$C$113,"MOD")</f>
        <v>0</v>
      </c>
      <c r="LR30" s="11">
        <f>SUMIFS([1]HOC_Histograma_Obra!MW55:MW113,[1]HOC_Histograma_Obra!$C$55:$C$113,"MOD")</f>
        <v>0</v>
      </c>
      <c r="LS30" s="11">
        <f>SUMIFS([1]HOC_Histograma_Obra!MX55:MX113,[1]HOC_Histograma_Obra!$C$55:$C$113,"MOD")</f>
        <v>0</v>
      </c>
      <c r="LT30" s="11">
        <f>SUMIFS([1]HOC_Histograma_Obra!MY55:MY113,[1]HOC_Histograma_Obra!$C$55:$C$113,"MOD")</f>
        <v>0</v>
      </c>
      <c r="LU30" s="11">
        <f>SUMIFS([1]HOC_Histograma_Obra!MZ55:MZ113,[1]HOC_Histograma_Obra!$C$55:$C$113,"MOD")</f>
        <v>0</v>
      </c>
      <c r="LV30" s="11">
        <f>SUMIFS([1]HOC_Histograma_Obra!NA55:NA113,[1]HOC_Histograma_Obra!$C$55:$C$113,"MOD")</f>
        <v>0</v>
      </c>
      <c r="LW30" s="11">
        <f>SUMIFS([1]HOC_Histograma_Obra!NB55:NB113,[1]HOC_Histograma_Obra!$C$55:$C$113,"MOD")</f>
        <v>0</v>
      </c>
      <c r="LX30" s="11">
        <f>SUMIFS([1]HOC_Histograma_Obra!NC55:NC113,[1]HOC_Histograma_Obra!$C$55:$C$113,"MOD")</f>
        <v>0</v>
      </c>
      <c r="LY30" s="11">
        <f>SUMIFS([1]HOC_Histograma_Obra!ND55:ND113,[1]HOC_Histograma_Obra!$C$55:$C$113,"MOD")</f>
        <v>0</v>
      </c>
      <c r="LZ30" s="11">
        <f>SUMIFS([1]HOC_Histograma_Obra!NE55:NE113,[1]HOC_Histograma_Obra!$C$55:$C$113,"MOD")</f>
        <v>0</v>
      </c>
      <c r="MA30" s="11">
        <f>SUMIFS([1]HOC_Histograma_Obra!NF55:NF113,[1]HOC_Histograma_Obra!$C$55:$C$113,"MOD")</f>
        <v>0</v>
      </c>
      <c r="MB30" s="11">
        <f>SUMIFS([1]HOC_Histograma_Obra!NG55:NG113,[1]HOC_Histograma_Obra!$C$55:$C$113,"MOD")</f>
        <v>0</v>
      </c>
      <c r="MC30" s="11">
        <f>SUMIFS([1]HOC_Histograma_Obra!NH55:NH113,[1]HOC_Histograma_Obra!$C$55:$C$113,"MOD")</f>
        <v>0</v>
      </c>
      <c r="MD30" s="11">
        <f>SUMIFS([1]HOC_Histograma_Obra!NI55:NI113,[1]HOC_Histograma_Obra!$C$55:$C$113,"MOD")</f>
        <v>0</v>
      </c>
      <c r="ME30" s="11">
        <f>SUMIFS([1]HOC_Histograma_Obra!NJ55:NJ113,[1]HOC_Histograma_Obra!$C$55:$C$113,"MOD")</f>
        <v>0</v>
      </c>
      <c r="MF30" s="11">
        <f>SUMIFS([1]HOC_Histograma_Obra!NK55:NK113,[1]HOC_Histograma_Obra!$C$55:$C$113,"MOD")</f>
        <v>0</v>
      </c>
      <c r="MG30" s="11">
        <f>SUMIFS([1]HOC_Histograma_Obra!NL55:NL113,[1]HOC_Histograma_Obra!$C$55:$C$113,"MOD")</f>
        <v>0</v>
      </c>
      <c r="MH30" s="11">
        <f>SUMIFS([1]HOC_Histograma_Obra!NM55:NM113,[1]HOC_Histograma_Obra!$C$55:$C$113,"MOD")</f>
        <v>0</v>
      </c>
      <c r="MI30" s="11">
        <f>SUMIFS([1]HOC_Histograma_Obra!NN55:NN113,[1]HOC_Histograma_Obra!$C$55:$C$113,"MOD")</f>
        <v>0</v>
      </c>
      <c r="MJ30" s="11">
        <f>SUMIFS([1]HOC_Histograma_Obra!NO55:NO113,[1]HOC_Histograma_Obra!$C$55:$C$113,"MOD")</f>
        <v>0</v>
      </c>
      <c r="MK30" s="11">
        <f>SUMIFS([1]HOC_Histograma_Obra!NP55:NP113,[1]HOC_Histograma_Obra!$C$55:$C$113,"MOD")</f>
        <v>0</v>
      </c>
      <c r="ML30" s="11">
        <f>SUMIFS([1]HOC_Histograma_Obra!NQ55:NQ113,[1]HOC_Histograma_Obra!$C$55:$C$113,"MOD")</f>
        <v>0</v>
      </c>
      <c r="MM30" s="11">
        <f>SUMIFS([1]HOC_Histograma_Obra!NR55:NR113,[1]HOC_Histograma_Obra!$C$55:$C$113,"MOD")</f>
        <v>0</v>
      </c>
      <c r="MN30" s="11">
        <f>SUMIFS([1]HOC_Histograma_Obra!NS55:NS113,[1]HOC_Histograma_Obra!$C$55:$C$113,"MOD")</f>
        <v>0</v>
      </c>
      <c r="MO30" s="11">
        <f>SUMIFS([1]HOC_Histograma_Obra!NT55:NT113,[1]HOC_Histograma_Obra!$C$55:$C$113,"MOD")</f>
        <v>0</v>
      </c>
      <c r="MP30" s="11">
        <f>SUMIFS([1]HOC_Histograma_Obra!NU55:NU113,[1]HOC_Histograma_Obra!$C$55:$C$113,"MOD")</f>
        <v>0</v>
      </c>
      <c r="MQ30" s="11">
        <f>SUMIFS([1]HOC_Histograma_Obra!NV55:NV113,[1]HOC_Histograma_Obra!$C$55:$C$113,"MOD")</f>
        <v>0</v>
      </c>
      <c r="MR30" s="11">
        <f>SUMIFS([1]HOC_Histograma_Obra!NW55:NW113,[1]HOC_Histograma_Obra!$C$55:$C$113,"MOD")</f>
        <v>0</v>
      </c>
      <c r="MS30" s="11">
        <f>SUMIFS([1]HOC_Histograma_Obra!NX55:NX113,[1]HOC_Histograma_Obra!$C$55:$C$113,"MOD")</f>
        <v>0</v>
      </c>
      <c r="MT30" s="11">
        <f>SUMIFS([1]HOC_Histograma_Obra!NY55:NY113,[1]HOC_Histograma_Obra!$C$55:$C$113,"MOD")</f>
        <v>0</v>
      </c>
      <c r="MU30" s="11">
        <f>SUMIFS([1]HOC_Histograma_Obra!NZ55:NZ113,[1]HOC_Histograma_Obra!$C$55:$C$113,"MOD")</f>
        <v>0</v>
      </c>
      <c r="MV30" s="11">
        <f>SUMIFS([1]HOC_Histograma_Obra!OA55:OA113,[1]HOC_Histograma_Obra!$C$55:$C$113,"MOD")</f>
        <v>0</v>
      </c>
      <c r="MW30" s="11">
        <f>SUMIFS([1]HOC_Histograma_Obra!OB55:OB113,[1]HOC_Histograma_Obra!$C$55:$C$113,"MOD")</f>
        <v>0</v>
      </c>
      <c r="MX30" s="11">
        <f>SUMIFS([1]HOC_Histograma_Obra!OC55:OC113,[1]HOC_Histograma_Obra!$C$55:$C$113,"MOD")</f>
        <v>0</v>
      </c>
      <c r="MY30" s="11">
        <f>SUMIFS([1]HOC_Histograma_Obra!OD55:OD113,[1]HOC_Histograma_Obra!$C$55:$C$113,"MOD")</f>
        <v>0</v>
      </c>
      <c r="MZ30" s="11">
        <f>SUMIFS([1]HOC_Histograma_Obra!OE55:OE113,[1]HOC_Histograma_Obra!$C$55:$C$113,"MOD")</f>
        <v>0</v>
      </c>
      <c r="NA30" s="11">
        <f>SUMIFS([1]HOC_Histograma_Obra!OF55:OF113,[1]HOC_Histograma_Obra!$C$55:$C$113,"MOD")</f>
        <v>0</v>
      </c>
      <c r="NB30" s="11">
        <f>SUMIFS([1]HOC_Histograma_Obra!OG55:OG113,[1]HOC_Histograma_Obra!$C$55:$C$113,"MOD")</f>
        <v>0</v>
      </c>
      <c r="NC30" s="11">
        <f>SUMIFS([1]HOC_Histograma_Obra!OH55:OH113,[1]HOC_Histograma_Obra!$C$55:$C$113,"MOD")</f>
        <v>0</v>
      </c>
      <c r="ND30" s="11">
        <f>SUMIFS([1]HOC_Histograma_Obra!OI55:OI113,[1]HOC_Histograma_Obra!$C$55:$C$113,"MOD")</f>
        <v>0</v>
      </c>
      <c r="NE30" s="11">
        <f>SUMIFS([1]HOC_Histograma_Obra!OJ55:OJ113,[1]HOC_Histograma_Obra!$C$55:$C$113,"MOD")</f>
        <v>0</v>
      </c>
      <c r="NF30" s="11">
        <f>SUMIFS([1]HOC_Histograma_Obra!OK55:OK113,[1]HOC_Histograma_Obra!$C$55:$C$113,"MOD")</f>
        <v>0</v>
      </c>
      <c r="NG30" s="11">
        <f>SUMIFS([1]HOC_Histograma_Obra!OL55:OL113,[1]HOC_Histograma_Obra!$C$55:$C$113,"MOD")</f>
        <v>0</v>
      </c>
      <c r="NH30" s="11">
        <f>SUMIFS([1]HOC_Histograma_Obra!OM55:OM113,[1]HOC_Histograma_Obra!$C$55:$C$113,"MOD")</f>
        <v>0</v>
      </c>
      <c r="NI30" s="11">
        <f>SUMIFS([1]HOC_Histograma_Obra!ON55:ON113,[1]HOC_Histograma_Obra!$C$55:$C$113,"MOD")</f>
        <v>0</v>
      </c>
      <c r="NJ30" s="11">
        <f>SUMIFS([1]HOC_Histograma_Obra!OO55:OO113,[1]HOC_Histograma_Obra!$C$55:$C$113,"MOD")</f>
        <v>0</v>
      </c>
      <c r="NK30" s="11">
        <f>SUMIFS([1]HOC_Histograma_Obra!OP55:OP113,[1]HOC_Histograma_Obra!$C$55:$C$113,"MOD")</f>
        <v>0</v>
      </c>
      <c r="NL30" s="11">
        <f>SUMIFS([1]HOC_Histograma_Obra!OQ55:OQ113,[1]HOC_Histograma_Obra!$C$55:$C$113,"MOD")</f>
        <v>0</v>
      </c>
      <c r="NM30" s="11">
        <f>SUMIFS([1]HOC_Histograma_Obra!OR55:OR113,[1]HOC_Histograma_Obra!$C$55:$C$113,"MOD")</f>
        <v>0</v>
      </c>
      <c r="NN30" s="11">
        <f>SUMIFS([1]HOC_Histograma_Obra!OS55:OS113,[1]HOC_Histograma_Obra!$C$55:$C$113,"MOD")</f>
        <v>0</v>
      </c>
      <c r="NO30" s="11">
        <f>SUMIFS([1]HOC_Histograma_Obra!OT55:OT113,[1]HOC_Histograma_Obra!$C$55:$C$113,"MOD")</f>
        <v>0</v>
      </c>
      <c r="NP30" s="11">
        <f>SUMIFS([1]HOC_Histograma_Obra!OU55:OU113,[1]HOC_Histograma_Obra!$C$55:$C$113,"MOD")</f>
        <v>0</v>
      </c>
      <c r="NQ30" s="11">
        <f>SUMIFS([1]HOC_Histograma_Obra!OV55:OV113,[1]HOC_Histograma_Obra!$C$55:$C$113,"MOD")</f>
        <v>0</v>
      </c>
      <c r="NR30" s="11">
        <f>SUMIFS([1]HOC_Histograma_Obra!OW55:OW113,[1]HOC_Histograma_Obra!$C$55:$C$113,"MOD")</f>
        <v>0</v>
      </c>
      <c r="NS30" s="11">
        <f>SUMIFS([1]HOC_Histograma_Obra!OX55:OX113,[1]HOC_Histograma_Obra!$C$55:$C$113,"MOD")</f>
        <v>0</v>
      </c>
      <c r="NT30" s="11">
        <f>SUMIFS([1]HOC_Histograma_Obra!OY55:OY113,[1]HOC_Histograma_Obra!$C$55:$C$113,"MOD")</f>
        <v>0</v>
      </c>
      <c r="NU30" s="11">
        <f>SUMIFS([1]HOC_Histograma_Obra!OZ55:OZ113,[1]HOC_Histograma_Obra!$C$55:$C$113,"MOD")</f>
        <v>0</v>
      </c>
      <c r="NV30" s="11">
        <f>SUMIFS([1]HOC_Histograma_Obra!PA55:PA113,[1]HOC_Histograma_Obra!$C$55:$C$113,"MOD")</f>
        <v>0</v>
      </c>
      <c r="NW30" s="11">
        <f>SUMIFS([1]HOC_Histograma_Obra!PB55:PB113,[1]HOC_Histograma_Obra!$C$55:$C$113,"MOD")</f>
        <v>0</v>
      </c>
      <c r="NX30" s="11">
        <f>SUMIFS([1]HOC_Histograma_Obra!PC55:PC113,[1]HOC_Histograma_Obra!$C$55:$C$113,"MOD")</f>
        <v>0</v>
      </c>
      <c r="NY30" s="11">
        <f>SUMIFS([1]HOC_Histograma_Obra!PD55:PD113,[1]HOC_Histograma_Obra!$C$55:$C$113,"MOD")</f>
        <v>0</v>
      </c>
      <c r="NZ30" s="11">
        <f>SUMIFS([1]HOC_Histograma_Obra!PE55:PE113,[1]HOC_Histograma_Obra!$C$55:$C$113,"MOD")</f>
        <v>0</v>
      </c>
      <c r="OA30" s="11">
        <f>SUMIFS([1]HOC_Histograma_Obra!PF55:PF113,[1]HOC_Histograma_Obra!$C$55:$C$113,"MOD")</f>
        <v>0</v>
      </c>
      <c r="OB30" s="11">
        <f>SUMIFS([1]HOC_Histograma_Obra!PG55:PG113,[1]HOC_Histograma_Obra!$C$55:$C$113,"MOD")</f>
        <v>0</v>
      </c>
      <c r="OC30" s="11">
        <f>SUMIFS([1]HOC_Histograma_Obra!PH55:PH113,[1]HOC_Histograma_Obra!$C$55:$C$113,"MOD")</f>
        <v>0</v>
      </c>
      <c r="OD30" s="11">
        <f>SUMIFS([1]HOC_Histograma_Obra!PI55:PI113,[1]HOC_Histograma_Obra!$C$55:$C$113,"MOD")</f>
        <v>0</v>
      </c>
      <c r="OE30" s="11">
        <f>SUMIFS([1]HOC_Histograma_Obra!PJ55:PJ113,[1]HOC_Histograma_Obra!$C$55:$C$113,"MOD")</f>
        <v>0</v>
      </c>
      <c r="OF30" s="11">
        <f>SUMIFS([1]HOC_Histograma_Obra!PK55:PK113,[1]HOC_Histograma_Obra!$C$55:$C$113,"MOD")</f>
        <v>0</v>
      </c>
      <c r="OG30" s="11">
        <f>SUMIFS([1]HOC_Histograma_Obra!PL55:PL113,[1]HOC_Histograma_Obra!$C$55:$C$113,"MOD")</f>
        <v>0</v>
      </c>
      <c r="OH30" s="11">
        <f>SUMIFS([1]HOC_Histograma_Obra!PM55:PM113,[1]HOC_Histograma_Obra!$C$55:$C$113,"MOD")</f>
        <v>0</v>
      </c>
      <c r="OI30" s="11">
        <f>SUMIFS([1]HOC_Histograma_Obra!PN55:PN113,[1]HOC_Histograma_Obra!$C$55:$C$113,"MOD")</f>
        <v>0</v>
      </c>
      <c r="OJ30" s="11">
        <f>SUMIFS([1]HOC_Histograma_Obra!PO55:PO113,[1]HOC_Histograma_Obra!$C$55:$C$113,"MOD")</f>
        <v>0</v>
      </c>
      <c r="OK30" s="11">
        <f>SUMIFS([1]HOC_Histograma_Obra!PP55:PP113,[1]HOC_Histograma_Obra!$C$55:$C$113,"MOD")</f>
        <v>0</v>
      </c>
      <c r="OL30" s="11">
        <f>SUMIFS([1]HOC_Histograma_Obra!PQ55:PQ113,[1]HOC_Histograma_Obra!$C$55:$C$113,"MOD")</f>
        <v>0</v>
      </c>
      <c r="OM30" s="11">
        <f>SUMIFS([1]HOC_Histograma_Obra!PR55:PR113,[1]HOC_Histograma_Obra!$C$55:$C$113,"MOD")</f>
        <v>0</v>
      </c>
      <c r="ON30" s="11">
        <f>SUMIFS([1]HOC_Histograma_Obra!PS55:PS113,[1]HOC_Histograma_Obra!$C$55:$C$113,"MOD")</f>
        <v>0</v>
      </c>
      <c r="OO30" s="11">
        <f>SUMIFS([1]HOC_Histograma_Obra!PT55:PT113,[1]HOC_Histograma_Obra!$C$55:$C$113,"MOD")</f>
        <v>0</v>
      </c>
      <c r="OP30" s="11">
        <f>SUMIFS([1]HOC_Histograma_Obra!PU55:PU113,[1]HOC_Histograma_Obra!$C$55:$C$113,"MOD")</f>
        <v>0</v>
      </c>
      <c r="OQ30" s="11">
        <f>SUMIFS([1]HOC_Histograma_Obra!PV55:PV113,[1]HOC_Histograma_Obra!$C$55:$C$113,"MOD")</f>
        <v>0</v>
      </c>
      <c r="OR30" s="11">
        <f>SUMIFS([1]HOC_Histograma_Obra!PW55:PW113,[1]HOC_Histograma_Obra!$C$55:$C$113,"MOD")</f>
        <v>0</v>
      </c>
      <c r="OS30" s="11">
        <f>SUMIFS([1]HOC_Histograma_Obra!PX55:PX113,[1]HOC_Histograma_Obra!$C$55:$C$113,"MOD")</f>
        <v>0</v>
      </c>
      <c r="OT30" s="11">
        <f>SUMIFS([1]HOC_Histograma_Obra!PY55:PY113,[1]HOC_Histograma_Obra!$C$55:$C$113,"MOD")</f>
        <v>0</v>
      </c>
      <c r="OU30" s="11">
        <f>SUMIFS([1]HOC_Histograma_Obra!PZ55:PZ113,[1]HOC_Histograma_Obra!$C$55:$C$113,"MOD")</f>
        <v>0</v>
      </c>
      <c r="OV30" s="11">
        <f>SUMIFS([1]HOC_Histograma_Obra!QA55:QA113,[1]HOC_Histograma_Obra!$C$55:$C$113,"MOD")</f>
        <v>0</v>
      </c>
      <c r="OW30" s="11">
        <f>SUMIFS([1]HOC_Histograma_Obra!QB55:QB113,[1]HOC_Histograma_Obra!$C$55:$C$113,"MOD")</f>
        <v>0</v>
      </c>
      <c r="OX30" s="11">
        <f>SUMIFS([1]HOC_Histograma_Obra!QC55:QC113,[1]HOC_Histograma_Obra!$C$55:$C$113,"MOD")</f>
        <v>0</v>
      </c>
      <c r="OY30" s="11">
        <f>SUMIFS([1]HOC_Histograma_Obra!QD55:QD113,[1]HOC_Histograma_Obra!$C$55:$C$113,"MOD")</f>
        <v>0</v>
      </c>
      <c r="OZ30" s="11">
        <f>SUMIFS([1]HOC_Histograma_Obra!QE55:QE113,[1]HOC_Histograma_Obra!$C$55:$C$113,"MOD")</f>
        <v>0</v>
      </c>
      <c r="PA30" s="11">
        <f>SUMIFS([1]HOC_Histograma_Obra!QF55:QF113,[1]HOC_Histograma_Obra!$C$55:$C$113,"MOD")</f>
        <v>0</v>
      </c>
      <c r="PB30" s="11">
        <f>SUMIFS([1]HOC_Histograma_Obra!QG55:QG113,[1]HOC_Histograma_Obra!$C$55:$C$113,"MOD")</f>
        <v>0</v>
      </c>
      <c r="PC30" s="11">
        <f>SUMIFS([1]HOC_Histograma_Obra!QH55:QH113,[1]HOC_Histograma_Obra!$C$55:$C$113,"MOD")</f>
        <v>0</v>
      </c>
      <c r="PD30" s="11">
        <f>SUMIFS([1]HOC_Histograma_Obra!QI55:QI113,[1]HOC_Histograma_Obra!$C$55:$C$113,"MOD")</f>
        <v>0</v>
      </c>
      <c r="PE30" s="11">
        <f>SUMIFS([1]HOC_Histograma_Obra!QJ55:QJ113,[1]HOC_Histograma_Obra!$C$55:$C$113,"MOD")</f>
        <v>0</v>
      </c>
      <c r="PF30" s="11">
        <f>SUMIFS([1]HOC_Histograma_Obra!QK55:QK113,[1]HOC_Histograma_Obra!$C$55:$C$113,"MOD")</f>
        <v>0</v>
      </c>
      <c r="PG30" s="11">
        <f>SUMIFS([1]HOC_Histograma_Obra!QL55:QL113,[1]HOC_Histograma_Obra!$C$55:$C$113,"MOD")</f>
        <v>0</v>
      </c>
      <c r="PH30" s="11">
        <f>SUMIFS([1]HOC_Histograma_Obra!QM55:QM113,[1]HOC_Histograma_Obra!$C$55:$C$113,"MOD")</f>
        <v>0</v>
      </c>
      <c r="PI30" s="11">
        <f>SUMIFS([1]HOC_Histograma_Obra!QN55:QN113,[1]HOC_Histograma_Obra!$C$55:$C$113,"MOD")</f>
        <v>0</v>
      </c>
      <c r="PJ30" s="11">
        <f>SUMIFS([1]HOC_Histograma_Obra!QO55:QO113,[1]HOC_Histograma_Obra!$C$55:$C$113,"MOD")</f>
        <v>0</v>
      </c>
      <c r="PK30" s="11">
        <f>SUMIFS([1]HOC_Histograma_Obra!QP55:QP113,[1]HOC_Histograma_Obra!$C$55:$C$113,"MOD")</f>
        <v>0</v>
      </c>
      <c r="PL30" s="11">
        <f>SUMIFS([1]HOC_Histograma_Obra!QQ55:QQ113,[1]HOC_Histograma_Obra!$C$55:$C$113,"MOD")</f>
        <v>0</v>
      </c>
      <c r="PM30" s="11">
        <f>SUMIFS([1]HOC_Histograma_Obra!QR55:QR113,[1]HOC_Histograma_Obra!$C$55:$C$113,"MOD")</f>
        <v>0</v>
      </c>
      <c r="PN30" s="11">
        <f>SUMIFS([1]HOC_Histograma_Obra!QS55:QS113,[1]HOC_Histograma_Obra!$C$55:$C$113,"MOD")</f>
        <v>0</v>
      </c>
      <c r="PO30" s="11">
        <f>SUMIFS([1]HOC_Histograma_Obra!QT55:QT113,[1]HOC_Histograma_Obra!$C$55:$C$113,"MOD")</f>
        <v>0</v>
      </c>
      <c r="PP30" s="11">
        <f>SUMIFS([1]HOC_Histograma_Obra!QU55:QU113,[1]HOC_Histograma_Obra!$C$55:$C$113,"MOD")</f>
        <v>0</v>
      </c>
      <c r="PQ30" s="11">
        <f>SUMIFS([1]HOC_Histograma_Obra!QV55:QV113,[1]HOC_Histograma_Obra!$C$55:$C$113,"MOD")</f>
        <v>0</v>
      </c>
      <c r="PR30" s="11">
        <f>SUMIFS([1]HOC_Histograma_Obra!QW55:QW113,[1]HOC_Histograma_Obra!$C$55:$C$113,"MOD")</f>
        <v>0</v>
      </c>
      <c r="PS30" s="11">
        <f>SUMIFS([1]HOC_Histograma_Obra!QX55:QX113,[1]HOC_Histograma_Obra!$C$55:$C$113,"MOD")</f>
        <v>0</v>
      </c>
      <c r="PT30" s="11">
        <f>SUMIFS([1]HOC_Histograma_Obra!QY55:QY113,[1]HOC_Histograma_Obra!$C$55:$C$113,"MOD")</f>
        <v>0</v>
      </c>
      <c r="PU30" s="11">
        <f>SUMIFS([1]HOC_Histograma_Obra!QZ55:QZ113,[1]HOC_Histograma_Obra!$C$55:$C$113,"MOD")</f>
        <v>0</v>
      </c>
      <c r="PV30" s="11">
        <f>SUMIFS([1]HOC_Histograma_Obra!RA55:RA113,[1]HOC_Histograma_Obra!$C$55:$C$113,"MOD")</f>
        <v>0</v>
      </c>
      <c r="PW30" s="11">
        <f>SUMIFS([1]HOC_Histograma_Obra!RB55:RB113,[1]HOC_Histograma_Obra!$C$55:$C$113,"MOD")</f>
        <v>0</v>
      </c>
      <c r="PX30" s="11">
        <f>SUMIFS([1]HOC_Histograma_Obra!RC55:RC113,[1]HOC_Histograma_Obra!$C$55:$C$113,"MOD")</f>
        <v>0</v>
      </c>
      <c r="PY30" s="11">
        <f>SUMIFS([1]HOC_Histograma_Obra!RD55:RD113,[1]HOC_Histograma_Obra!$C$55:$C$113,"MOD")</f>
        <v>0</v>
      </c>
      <c r="PZ30" s="11">
        <f>SUMIFS([1]HOC_Histograma_Obra!RE55:RE113,[1]HOC_Histograma_Obra!$C$55:$C$113,"MOD")</f>
        <v>0</v>
      </c>
      <c r="QA30" s="11">
        <f>SUMIFS([1]HOC_Histograma_Obra!RF55:RF113,[1]HOC_Histograma_Obra!$C$55:$C$113,"MOD")</f>
        <v>0</v>
      </c>
      <c r="QB30" s="11">
        <f>SUMIFS([1]HOC_Histograma_Obra!RG55:RG113,[1]HOC_Histograma_Obra!$C$55:$C$113,"MOD")</f>
        <v>0</v>
      </c>
      <c r="QC30" s="11">
        <f>SUMIFS([1]HOC_Histograma_Obra!RH55:RH113,[1]HOC_Histograma_Obra!$C$55:$C$113,"MOD")</f>
        <v>0</v>
      </c>
      <c r="QD30" s="11">
        <f>SUMIFS([1]HOC_Histograma_Obra!RI55:RI113,[1]HOC_Histograma_Obra!$C$55:$C$113,"MOD")</f>
        <v>0</v>
      </c>
      <c r="QE30" s="11">
        <f>SUMIFS([1]HOC_Histograma_Obra!RJ55:RJ113,[1]HOC_Histograma_Obra!$C$55:$C$113,"MOD")</f>
        <v>0</v>
      </c>
      <c r="QF30" s="11">
        <f>SUMIFS([1]HOC_Histograma_Obra!RK55:RK113,[1]HOC_Histograma_Obra!$C$55:$C$113,"MOD")</f>
        <v>0</v>
      </c>
      <c r="QG30" s="11">
        <f>SUMIFS([1]HOC_Histograma_Obra!RL55:RL113,[1]HOC_Histograma_Obra!$C$55:$C$113,"MOD")</f>
        <v>0</v>
      </c>
      <c r="QH30" s="11">
        <f>SUMIFS([1]HOC_Histograma_Obra!RM55:RM113,[1]HOC_Histograma_Obra!$C$55:$C$113,"MOD")</f>
        <v>0</v>
      </c>
      <c r="QI30" s="11">
        <f>SUMIFS([1]HOC_Histograma_Obra!RN55:RN113,[1]HOC_Histograma_Obra!$C$55:$C$113,"MOD")</f>
        <v>0</v>
      </c>
      <c r="QJ30" s="11">
        <f>SUMIFS([1]HOC_Histograma_Obra!RO55:RO113,[1]HOC_Histograma_Obra!$C$55:$C$113,"MOD")</f>
        <v>0</v>
      </c>
      <c r="QK30" s="11">
        <f>SUMIFS([1]HOC_Histograma_Obra!RP55:RP113,[1]HOC_Histograma_Obra!$C$55:$C$113,"MOD")</f>
        <v>0</v>
      </c>
      <c r="QL30" s="11">
        <f>SUMIFS([1]HOC_Histograma_Obra!RQ55:RQ113,[1]HOC_Histograma_Obra!$C$55:$C$113,"MOD")</f>
        <v>0</v>
      </c>
      <c r="QM30" s="11">
        <f>SUMIFS([1]HOC_Histograma_Obra!RR55:RR113,[1]HOC_Histograma_Obra!$C$55:$C$113,"MOD")</f>
        <v>0</v>
      </c>
      <c r="QN30" s="11">
        <f>SUMIFS([1]HOC_Histograma_Obra!RS55:RS113,[1]HOC_Histograma_Obra!$C$55:$C$113,"MOD")</f>
        <v>0</v>
      </c>
      <c r="QO30" s="11">
        <f>SUMIFS([1]HOC_Histograma_Obra!RT55:RT113,[1]HOC_Histograma_Obra!$C$55:$C$113,"MOD")</f>
        <v>0</v>
      </c>
      <c r="QP30" s="11">
        <f>SUMIFS([1]HOC_Histograma_Obra!RU55:RU113,[1]HOC_Histograma_Obra!$C$55:$C$113,"MOD")</f>
        <v>0</v>
      </c>
      <c r="QQ30" s="11">
        <f>SUMIFS([1]HOC_Histograma_Obra!RV55:RV113,[1]HOC_Histograma_Obra!$C$55:$C$113,"MOD")</f>
        <v>0</v>
      </c>
      <c r="QR30" s="11">
        <f>SUMIFS([1]HOC_Histograma_Obra!RW55:RW113,[1]HOC_Histograma_Obra!$C$55:$C$113,"MOD")</f>
        <v>0</v>
      </c>
      <c r="QS30" s="11">
        <f>SUMIFS([1]HOC_Histograma_Obra!RX55:RX113,[1]HOC_Histograma_Obra!$C$55:$C$113,"MOD")</f>
        <v>0</v>
      </c>
      <c r="QT30" s="11">
        <f>SUMIFS([1]HOC_Histograma_Obra!RY55:RY113,[1]HOC_Histograma_Obra!$C$55:$C$113,"MOD")</f>
        <v>0</v>
      </c>
      <c r="QU30" s="11">
        <f>SUMIFS([1]HOC_Histograma_Obra!RZ55:RZ113,[1]HOC_Histograma_Obra!$C$55:$C$113,"MOD")</f>
        <v>0</v>
      </c>
      <c r="QV30" s="11">
        <f>SUMIFS([1]HOC_Histograma_Obra!SA55:SA113,[1]HOC_Histograma_Obra!$C$55:$C$113,"MOD")</f>
        <v>0</v>
      </c>
      <c r="QW30" s="11">
        <f>SUMIFS([1]HOC_Histograma_Obra!SB55:SB113,[1]HOC_Histograma_Obra!$C$55:$C$113,"MOD")</f>
        <v>0</v>
      </c>
      <c r="QX30" s="11">
        <f>SUMIFS([1]HOC_Histograma_Obra!SC55:SC113,[1]HOC_Histograma_Obra!$C$55:$C$113,"MOD")</f>
        <v>0</v>
      </c>
      <c r="QY30" s="11">
        <f>SUMIFS([1]HOC_Histograma_Obra!SD55:SD113,[1]HOC_Histograma_Obra!$C$55:$C$113,"MOD")</f>
        <v>0</v>
      </c>
      <c r="QZ30" s="11">
        <f>SUMIFS([1]HOC_Histograma_Obra!SE55:SE113,[1]HOC_Histograma_Obra!$C$55:$C$113,"MOD")</f>
        <v>0</v>
      </c>
      <c r="RA30" s="11">
        <f>SUMIFS([1]HOC_Histograma_Obra!SF55:SF113,[1]HOC_Histograma_Obra!$C$55:$C$113,"MOD")</f>
        <v>0</v>
      </c>
      <c r="RB30" s="11">
        <f>SUMIFS([1]HOC_Histograma_Obra!SG55:SG113,[1]HOC_Histograma_Obra!$C$55:$C$113,"MOD")</f>
        <v>0</v>
      </c>
      <c r="RC30" s="11">
        <f>SUMIFS([1]HOC_Histograma_Obra!SH55:SH113,[1]HOC_Histograma_Obra!$C$55:$C$113,"MOD")</f>
        <v>0</v>
      </c>
      <c r="RD30" s="11">
        <f>SUMIFS([1]HOC_Histograma_Obra!SI55:SI113,[1]HOC_Histograma_Obra!$C$55:$C$113,"MOD")</f>
        <v>0</v>
      </c>
      <c r="RE30" s="11">
        <f>SUMIFS([1]HOC_Histograma_Obra!SJ55:SJ113,[1]HOC_Histograma_Obra!$C$55:$C$113,"MOD")</f>
        <v>0</v>
      </c>
      <c r="RF30" s="11">
        <f>SUMIFS([1]HOC_Histograma_Obra!SK55:SK113,[1]HOC_Histograma_Obra!$C$55:$C$113,"MOD")</f>
        <v>0</v>
      </c>
      <c r="RG30" s="11">
        <f>SUMIFS([1]HOC_Histograma_Obra!SL55:SL113,[1]HOC_Histograma_Obra!$C$55:$C$113,"MOD")</f>
        <v>0</v>
      </c>
      <c r="RH30" s="11">
        <f>SUMIFS([1]HOC_Histograma_Obra!SM55:SM113,[1]HOC_Histograma_Obra!$C$55:$C$113,"MOD")</f>
        <v>0</v>
      </c>
      <c r="RI30" s="11">
        <f>SUMIFS([1]HOC_Histograma_Obra!SN55:SN113,[1]HOC_Histograma_Obra!$C$55:$C$113,"MOD")</f>
        <v>0</v>
      </c>
      <c r="RJ30" s="11">
        <f>SUMIFS([1]HOC_Histograma_Obra!SO55:SO113,[1]HOC_Histograma_Obra!$C$55:$C$113,"MOD")</f>
        <v>0</v>
      </c>
      <c r="RK30" s="11">
        <f>SUMIFS([1]HOC_Histograma_Obra!SP55:SP113,[1]HOC_Histograma_Obra!$C$55:$C$113,"MOD")</f>
        <v>0</v>
      </c>
      <c r="RL30" s="11">
        <f>SUMIFS([1]HOC_Histograma_Obra!SQ55:SQ113,[1]HOC_Histograma_Obra!$C$55:$C$113,"MOD")</f>
        <v>0</v>
      </c>
      <c r="RM30" s="11">
        <f>SUMIFS([1]HOC_Histograma_Obra!SR55:SR113,[1]HOC_Histograma_Obra!$C$55:$C$113,"MOD")</f>
        <v>0</v>
      </c>
      <c r="RN30" s="11">
        <f>SUMIFS([1]HOC_Histograma_Obra!SS55:SS113,[1]HOC_Histograma_Obra!$C$55:$C$113,"MOD")</f>
        <v>0</v>
      </c>
      <c r="RO30" s="11">
        <f>SUMIFS([1]HOC_Histograma_Obra!ST55:ST113,[1]HOC_Histograma_Obra!$C$55:$C$113,"MOD")</f>
        <v>0</v>
      </c>
      <c r="RP30" s="11">
        <f>SUMIFS([1]HOC_Histograma_Obra!SU55:SU113,[1]HOC_Histograma_Obra!$C$55:$C$113,"MOD")</f>
        <v>0</v>
      </c>
      <c r="RQ30" s="11">
        <f>SUMIFS([1]HOC_Histograma_Obra!SV55:SV113,[1]HOC_Histograma_Obra!$C$55:$C$113,"MOD")</f>
        <v>0</v>
      </c>
      <c r="RR30" s="11">
        <f>SUMIFS([1]HOC_Histograma_Obra!SW55:SW113,[1]HOC_Histograma_Obra!$C$55:$C$113,"MOD")</f>
        <v>0</v>
      </c>
      <c r="RS30" s="11">
        <f>SUMIFS([1]HOC_Histograma_Obra!SX55:SX113,[1]HOC_Histograma_Obra!$C$55:$C$113,"MOD")</f>
        <v>0</v>
      </c>
      <c r="RT30" s="11">
        <f>SUMIFS([1]HOC_Histograma_Obra!SY55:SY113,[1]HOC_Histograma_Obra!$C$55:$C$113,"MOD")</f>
        <v>0</v>
      </c>
      <c r="RU30" s="11">
        <f>SUMIFS([1]HOC_Histograma_Obra!SZ55:SZ113,[1]HOC_Histograma_Obra!$C$55:$C$113,"MOD")</f>
        <v>0</v>
      </c>
      <c r="RV30" s="11">
        <f>SUMIFS([1]HOC_Histograma_Obra!TA55:TA113,[1]HOC_Histograma_Obra!$C$55:$C$113,"MOD")</f>
        <v>0</v>
      </c>
      <c r="RW30" s="11">
        <f>SUMIFS([1]HOC_Histograma_Obra!TB55:TB113,[1]HOC_Histograma_Obra!$C$55:$C$113,"MOD")</f>
        <v>0</v>
      </c>
      <c r="RX30" s="11">
        <f>SUMIFS([1]HOC_Histograma_Obra!TC55:TC113,[1]HOC_Histograma_Obra!$C$55:$C$113,"MOD")</f>
        <v>0</v>
      </c>
      <c r="RY30" s="11">
        <f>SUMIFS([1]HOC_Histograma_Obra!TD55:TD113,[1]HOC_Histograma_Obra!$C$55:$C$113,"MOD")</f>
        <v>0</v>
      </c>
      <c r="RZ30" s="11">
        <f>SUMIFS([1]HOC_Histograma_Obra!TE55:TE113,[1]HOC_Histograma_Obra!$C$55:$C$113,"MOD")</f>
        <v>0</v>
      </c>
      <c r="SA30" s="11">
        <f>SUMIFS([1]HOC_Histograma_Obra!TF55:TF113,[1]HOC_Histograma_Obra!$C$55:$C$113,"MOD")</f>
        <v>0</v>
      </c>
      <c r="SB30" s="11">
        <f>SUMIFS([1]HOC_Histograma_Obra!TG55:TG113,[1]HOC_Histograma_Obra!$C$55:$C$113,"MOD")</f>
        <v>0</v>
      </c>
      <c r="SC30" s="11">
        <f>SUMIFS([1]HOC_Histograma_Obra!TH55:TH113,[1]HOC_Histograma_Obra!$C$55:$C$113,"MOD")</f>
        <v>0</v>
      </c>
      <c r="SD30" s="11">
        <f>SUMIFS([1]HOC_Histograma_Obra!TI55:TI113,[1]HOC_Histograma_Obra!$C$55:$C$113,"MOD")</f>
        <v>0</v>
      </c>
      <c r="SE30" s="11">
        <f>SUMIFS([1]HOC_Histograma_Obra!TJ55:TJ113,[1]HOC_Histograma_Obra!$C$55:$C$113,"MOD")</f>
        <v>0</v>
      </c>
      <c r="SF30" s="11">
        <f>SUMIFS([1]HOC_Histograma_Obra!TK55:TK113,[1]HOC_Histograma_Obra!$C$55:$C$113,"MOD")</f>
        <v>0</v>
      </c>
      <c r="SG30" s="11">
        <f>SUMIFS([1]HOC_Histograma_Obra!TL55:TL113,[1]HOC_Histograma_Obra!$C$55:$C$113,"MOD")</f>
        <v>0</v>
      </c>
      <c r="SH30" s="11">
        <f>SUMIFS([1]HOC_Histograma_Obra!TM55:TM113,[1]HOC_Histograma_Obra!$C$55:$C$113,"MOD")</f>
        <v>0</v>
      </c>
      <c r="SI30" s="11">
        <f>SUMIFS([1]HOC_Histograma_Obra!TN55:TN113,[1]HOC_Histograma_Obra!$C$55:$C$113,"MOD")</f>
        <v>0</v>
      </c>
      <c r="SJ30" s="11">
        <f>SUMIFS([1]HOC_Histograma_Obra!TO55:TO113,[1]HOC_Histograma_Obra!$C$55:$C$113,"MOD")</f>
        <v>0</v>
      </c>
      <c r="SK30" s="11">
        <f>SUMIFS([1]HOC_Histograma_Obra!TP55:TP113,[1]HOC_Histograma_Obra!$C$55:$C$113,"MOD")</f>
        <v>0</v>
      </c>
      <c r="SL30" s="11">
        <f>SUMIFS([1]HOC_Histograma_Obra!TQ55:TQ113,[1]HOC_Histograma_Obra!$C$55:$C$113,"MOD")</f>
        <v>0</v>
      </c>
      <c r="SM30" s="11">
        <f>SUMIFS([1]HOC_Histograma_Obra!TR55:TR113,[1]HOC_Histograma_Obra!$C$55:$C$113,"MOD")</f>
        <v>0</v>
      </c>
      <c r="SN30" s="11">
        <f>SUMIFS([1]HOC_Histograma_Obra!TS55:TS113,[1]HOC_Histograma_Obra!$C$55:$C$113,"MOD")</f>
        <v>0</v>
      </c>
      <c r="SO30" s="11">
        <f>SUMIFS([1]HOC_Histograma_Obra!TT55:TT113,[1]HOC_Histograma_Obra!$C$55:$C$113,"MOD")</f>
        <v>0</v>
      </c>
      <c r="SP30" s="11">
        <f>SUMIFS([1]HOC_Histograma_Obra!TU55:TU113,[1]HOC_Histograma_Obra!$C$55:$C$113,"MOD")</f>
        <v>0</v>
      </c>
      <c r="SQ30" s="11">
        <f>SUMIFS([1]HOC_Histograma_Obra!TV55:TV113,[1]HOC_Histograma_Obra!$C$55:$C$113,"MOD")</f>
        <v>0</v>
      </c>
      <c r="SR30" s="11">
        <f>SUMIFS([1]HOC_Histograma_Obra!TW55:TW113,[1]HOC_Histograma_Obra!$C$55:$C$113,"MOD")</f>
        <v>0</v>
      </c>
      <c r="SS30" s="11">
        <f>SUMIFS([1]HOC_Histograma_Obra!TX55:TX113,[1]HOC_Histograma_Obra!$C$55:$C$113,"MOD")</f>
        <v>0</v>
      </c>
      <c r="ST30" s="11">
        <f>SUMIFS([1]HOC_Histograma_Obra!TY55:TY113,[1]HOC_Histograma_Obra!$C$55:$C$113,"MOD")</f>
        <v>0</v>
      </c>
      <c r="SU30" s="11">
        <f>SUMIFS([1]HOC_Histograma_Obra!TZ55:TZ113,[1]HOC_Histograma_Obra!$C$55:$C$113,"MOD")</f>
        <v>0</v>
      </c>
      <c r="SV30" s="11">
        <f>SUMIFS([1]HOC_Histograma_Obra!UA55:UA113,[1]HOC_Histograma_Obra!$C$55:$C$113,"MOD")</f>
        <v>0</v>
      </c>
      <c r="SW30" s="11">
        <f>SUMIFS([1]HOC_Histograma_Obra!UB55:UB113,[1]HOC_Histograma_Obra!$C$55:$C$113,"MOD")</f>
        <v>0</v>
      </c>
      <c r="SX30" s="11">
        <f>SUMIFS([1]HOC_Histograma_Obra!UC55:UC113,[1]HOC_Histograma_Obra!$C$55:$C$113,"MOD")</f>
        <v>0</v>
      </c>
      <c r="SY30" s="11">
        <f>SUMIFS([1]HOC_Histograma_Obra!UD55:UD113,[1]HOC_Histograma_Obra!$C$55:$C$113,"MOD")</f>
        <v>0</v>
      </c>
      <c r="SZ30" s="11">
        <f>SUMIFS([1]HOC_Histograma_Obra!UE55:UE113,[1]HOC_Histograma_Obra!$C$55:$C$113,"MOD")</f>
        <v>0</v>
      </c>
      <c r="TA30" s="11">
        <f>SUMIFS([1]HOC_Histograma_Obra!UF55:UF113,[1]HOC_Histograma_Obra!$C$55:$C$113,"MOD")</f>
        <v>0</v>
      </c>
      <c r="TB30" s="11">
        <f>SUMIFS([1]HOC_Histograma_Obra!UG55:UG113,[1]HOC_Histograma_Obra!$C$55:$C$113,"MOD")</f>
        <v>0</v>
      </c>
      <c r="TC30" s="11">
        <f>SUMIFS([1]HOC_Histograma_Obra!UH55:UH113,[1]HOC_Histograma_Obra!$C$55:$C$113,"MOD")</f>
        <v>0</v>
      </c>
      <c r="TD30" s="11">
        <f>SUMIFS([1]HOC_Histograma_Obra!UI55:UI113,[1]HOC_Histograma_Obra!$C$55:$C$113,"MOD")</f>
        <v>0</v>
      </c>
      <c r="TE30" s="11">
        <f>SUMIFS([1]HOC_Histograma_Obra!UJ55:UJ113,[1]HOC_Histograma_Obra!$C$55:$C$113,"MOD")</f>
        <v>0</v>
      </c>
      <c r="TF30" s="11">
        <f>SUMIFS([1]HOC_Histograma_Obra!UK55:UK113,[1]HOC_Histograma_Obra!$C$55:$C$113,"MOD")</f>
        <v>0</v>
      </c>
      <c r="TG30" s="11">
        <f>SUMIFS([1]HOC_Histograma_Obra!UL55:UL113,[1]HOC_Histograma_Obra!$C$55:$C$113,"MOD")</f>
        <v>0</v>
      </c>
      <c r="TH30" s="11">
        <f>SUMIFS([1]HOC_Histograma_Obra!UM55:UM113,[1]HOC_Histograma_Obra!$C$55:$C$113,"MOD")</f>
        <v>0</v>
      </c>
      <c r="TI30" s="11">
        <f>SUMIFS([1]HOC_Histograma_Obra!UN55:UN113,[1]HOC_Histograma_Obra!$C$55:$C$113,"MOD")</f>
        <v>0</v>
      </c>
      <c r="TJ30" s="11">
        <f>SUMIFS([1]HOC_Histograma_Obra!UO55:UO113,[1]HOC_Histograma_Obra!$C$55:$C$113,"MOD")</f>
        <v>0</v>
      </c>
      <c r="TK30" s="11">
        <f>SUMIFS([1]HOC_Histograma_Obra!UP55:UP113,[1]HOC_Histograma_Obra!$C$55:$C$113,"MOD")</f>
        <v>0</v>
      </c>
      <c r="TL30" s="11">
        <f>SUMIFS([1]HOC_Histograma_Obra!UQ55:UQ113,[1]HOC_Histograma_Obra!$C$55:$C$113,"MOD")</f>
        <v>0</v>
      </c>
      <c r="TM30" s="11">
        <f>SUMIFS([1]HOC_Histograma_Obra!UR55:UR113,[1]HOC_Histograma_Obra!$C$55:$C$113,"MOD")</f>
        <v>0</v>
      </c>
      <c r="TN30" s="11">
        <f>SUMIFS([1]HOC_Histograma_Obra!US55:US113,[1]HOC_Histograma_Obra!$C$55:$C$113,"MOD")</f>
        <v>0</v>
      </c>
      <c r="TO30" s="11">
        <f>SUMIFS([1]HOC_Histograma_Obra!UT55:UT113,[1]HOC_Histograma_Obra!$C$55:$C$113,"MOD")</f>
        <v>0</v>
      </c>
      <c r="TP30" s="11">
        <f>SUMIFS([1]HOC_Histograma_Obra!UU55:UU113,[1]HOC_Histograma_Obra!$C$55:$C$113,"MOD")</f>
        <v>0</v>
      </c>
      <c r="TQ30" s="11">
        <f>SUMIFS([1]HOC_Histograma_Obra!UV55:UV113,[1]HOC_Histograma_Obra!$C$55:$C$113,"MOD")</f>
        <v>0</v>
      </c>
      <c r="TR30" s="11">
        <f>SUMIFS([1]HOC_Histograma_Obra!UW55:UW113,[1]HOC_Histograma_Obra!$C$55:$C$113,"MOD")</f>
        <v>0</v>
      </c>
      <c r="TS30" s="11">
        <f>SUMIFS([1]HOC_Histograma_Obra!UX55:UX113,[1]HOC_Histograma_Obra!$C$55:$C$113,"MOD")</f>
        <v>0</v>
      </c>
      <c r="TT30" s="11">
        <f>SUMIFS([1]HOC_Histograma_Obra!UY55:UY113,[1]HOC_Histograma_Obra!$C$55:$C$113,"MOD")</f>
        <v>0</v>
      </c>
      <c r="TU30" s="11">
        <f>SUMIFS([1]HOC_Histograma_Obra!UZ55:UZ113,[1]HOC_Histograma_Obra!$C$55:$C$113,"MOD")</f>
        <v>0</v>
      </c>
      <c r="TV30" s="11">
        <f>SUMIFS([1]HOC_Histograma_Obra!VA55:VA113,[1]HOC_Histograma_Obra!$C$55:$C$113,"MOD")</f>
        <v>0</v>
      </c>
      <c r="TW30" s="11">
        <f>SUMIFS([1]HOC_Histograma_Obra!VB55:VB113,[1]HOC_Histograma_Obra!$C$55:$C$113,"MOD")</f>
        <v>0</v>
      </c>
      <c r="TX30" s="11">
        <f>SUMIFS([1]HOC_Histograma_Obra!VC55:VC113,[1]HOC_Histograma_Obra!$C$55:$C$113,"MOD")</f>
        <v>0</v>
      </c>
      <c r="TY30" s="11">
        <f>SUMIFS([1]HOC_Histograma_Obra!VD55:VD113,[1]HOC_Histograma_Obra!$C$55:$C$113,"MOD")</f>
        <v>0</v>
      </c>
      <c r="TZ30" s="11">
        <f>SUMIFS([1]HOC_Histograma_Obra!VE55:VE113,[1]HOC_Histograma_Obra!$C$55:$C$113,"MOD")</f>
        <v>0</v>
      </c>
      <c r="UA30" s="11">
        <f>SUMIFS([1]HOC_Histograma_Obra!VF55:VF113,[1]HOC_Histograma_Obra!$C$55:$C$113,"MOD")</f>
        <v>0</v>
      </c>
      <c r="UB30" s="11">
        <f>SUMIFS([1]HOC_Histograma_Obra!VG55:VG113,[1]HOC_Histograma_Obra!$C$55:$C$113,"MOD")</f>
        <v>0</v>
      </c>
      <c r="UC30" s="11">
        <f>SUMIFS([1]HOC_Histograma_Obra!VH55:VH113,[1]HOC_Histograma_Obra!$C$55:$C$113,"MOD")</f>
        <v>0</v>
      </c>
      <c r="UD30" s="11">
        <f>SUMIFS([1]HOC_Histograma_Obra!VI55:VI113,[1]HOC_Histograma_Obra!$C$55:$C$113,"MOD")</f>
        <v>0</v>
      </c>
      <c r="UE30" s="11">
        <f>SUMIFS([1]HOC_Histograma_Obra!VJ55:VJ113,[1]HOC_Histograma_Obra!$C$55:$C$113,"MOD")</f>
        <v>0</v>
      </c>
      <c r="UF30" s="11">
        <f>SUMIFS([1]HOC_Histograma_Obra!VK55:VK113,[1]HOC_Histograma_Obra!$C$55:$C$113,"MOD")</f>
        <v>0</v>
      </c>
      <c r="UG30" s="11">
        <f>SUMIFS([1]HOC_Histograma_Obra!VL55:VL113,[1]HOC_Histograma_Obra!$C$55:$C$113,"MOD")</f>
        <v>0</v>
      </c>
      <c r="UH30" s="11">
        <f>SUMIFS([1]HOC_Histograma_Obra!VM55:VM113,[1]HOC_Histograma_Obra!$C$55:$C$113,"MOD")</f>
        <v>0</v>
      </c>
      <c r="UI30" s="11">
        <f>SUMIFS([1]HOC_Histograma_Obra!VN55:VN113,[1]HOC_Histograma_Obra!$C$55:$C$113,"MOD")</f>
        <v>0</v>
      </c>
      <c r="UJ30" s="11">
        <f>SUMIFS([1]HOC_Histograma_Obra!VO55:VO113,[1]HOC_Histograma_Obra!$C$55:$C$113,"MOD")</f>
        <v>0</v>
      </c>
      <c r="UK30" s="11">
        <f>SUMIFS([1]HOC_Histograma_Obra!VP55:VP113,[1]HOC_Histograma_Obra!$C$55:$C$113,"MOD")</f>
        <v>0</v>
      </c>
      <c r="UL30" s="11">
        <f>SUMIFS([1]HOC_Histograma_Obra!VQ55:VQ113,[1]HOC_Histograma_Obra!$C$55:$C$113,"MOD")</f>
        <v>0</v>
      </c>
      <c r="UM30" s="11">
        <f>SUMIFS([1]HOC_Histograma_Obra!VR55:VR113,[1]HOC_Histograma_Obra!$C$55:$C$113,"MOD")</f>
        <v>0</v>
      </c>
      <c r="UN30" s="11">
        <f>SUMIFS([1]HOC_Histograma_Obra!VS55:VS113,[1]HOC_Histograma_Obra!$C$55:$C$113,"MOD")</f>
        <v>0</v>
      </c>
      <c r="UO30" s="11">
        <f>SUMIFS([1]HOC_Histograma_Obra!VT55:VT113,[1]HOC_Histograma_Obra!$C$55:$C$113,"MOD")</f>
        <v>0</v>
      </c>
      <c r="UP30" s="11">
        <f>SUMIFS([1]HOC_Histograma_Obra!VU55:VU113,[1]HOC_Histograma_Obra!$C$55:$C$113,"MOD")</f>
        <v>0</v>
      </c>
      <c r="UQ30" s="11">
        <f>SUMIFS([1]HOC_Histograma_Obra!VV55:VV113,[1]HOC_Histograma_Obra!$C$55:$C$113,"MOD")</f>
        <v>0</v>
      </c>
      <c r="UR30" s="11">
        <f>SUMIFS([1]HOC_Histograma_Obra!VW55:VW113,[1]HOC_Histograma_Obra!$C$55:$C$113,"MOD")</f>
        <v>0</v>
      </c>
      <c r="US30" s="11">
        <f>SUMIFS([1]HOC_Histograma_Obra!VX55:VX113,[1]HOC_Histograma_Obra!$C$55:$C$113,"MOD")</f>
        <v>0</v>
      </c>
      <c r="UT30" s="11">
        <f>SUMIFS([1]HOC_Histograma_Obra!VY55:VY113,[1]HOC_Histograma_Obra!$C$55:$C$113,"MOD")</f>
        <v>0</v>
      </c>
      <c r="UU30" s="11">
        <f>SUMIFS([1]HOC_Histograma_Obra!VZ55:VZ113,[1]HOC_Histograma_Obra!$C$55:$C$113,"MOD")</f>
        <v>0</v>
      </c>
      <c r="UV30" s="11">
        <f>SUMIFS([1]HOC_Histograma_Obra!WA55:WA113,[1]HOC_Histograma_Obra!$C$55:$C$113,"MOD")</f>
        <v>0</v>
      </c>
      <c r="UW30" s="11">
        <f>SUMIFS([1]HOC_Histograma_Obra!WB55:WB113,[1]HOC_Histograma_Obra!$C$55:$C$113,"MOD")</f>
        <v>0</v>
      </c>
      <c r="UX30" s="11">
        <f>SUMIFS([1]HOC_Histograma_Obra!WC55:WC113,[1]HOC_Histograma_Obra!$C$55:$C$113,"MOD")</f>
        <v>0</v>
      </c>
      <c r="UY30" s="11">
        <f>SUMIFS([1]HOC_Histograma_Obra!WD55:WD113,[1]HOC_Histograma_Obra!$C$55:$C$113,"MOD")</f>
        <v>0</v>
      </c>
      <c r="UZ30" s="11">
        <f>SUMIFS([1]HOC_Histograma_Obra!WE55:WE113,[1]HOC_Histograma_Obra!$C$55:$C$113,"MOD")</f>
        <v>0</v>
      </c>
      <c r="VA30" s="11">
        <f>SUMIFS([1]HOC_Histograma_Obra!WF55:WF113,[1]HOC_Histograma_Obra!$C$55:$C$113,"MOD")</f>
        <v>0</v>
      </c>
      <c r="VB30" s="11">
        <f>SUMIFS([1]HOC_Histograma_Obra!WG55:WG113,[1]HOC_Histograma_Obra!$C$55:$C$113,"MOD")</f>
        <v>0</v>
      </c>
      <c r="VC30" s="11">
        <f>SUMIFS([1]HOC_Histograma_Obra!WH55:WH113,[1]HOC_Histograma_Obra!$C$55:$C$113,"MOD")</f>
        <v>0</v>
      </c>
      <c r="VD30" s="11">
        <f>SUMIFS([1]HOC_Histograma_Obra!WI55:WI113,[1]HOC_Histograma_Obra!$C$55:$C$113,"MOD")</f>
        <v>0</v>
      </c>
      <c r="VE30" s="11">
        <f>SUMIFS([1]HOC_Histograma_Obra!WJ55:WJ113,[1]HOC_Histograma_Obra!$C$55:$C$113,"MOD")</f>
        <v>0</v>
      </c>
      <c r="VF30" s="11">
        <f>SUMIFS([1]HOC_Histograma_Obra!WK55:WK113,[1]HOC_Histograma_Obra!$C$55:$C$113,"MOD")</f>
        <v>0</v>
      </c>
      <c r="VG30" s="11">
        <f>SUMIFS([1]HOC_Histograma_Obra!WL55:WL113,[1]HOC_Histograma_Obra!$C$55:$C$113,"MOD")</f>
        <v>0</v>
      </c>
      <c r="VH30" s="11">
        <f>SUMIFS([1]HOC_Histograma_Obra!WM55:WM113,[1]HOC_Histograma_Obra!$C$55:$C$113,"MOD")</f>
        <v>0</v>
      </c>
      <c r="VI30" s="11">
        <f>SUMIFS([1]HOC_Histograma_Obra!WN55:WN113,[1]HOC_Histograma_Obra!$C$55:$C$113,"MOD")</f>
        <v>0</v>
      </c>
      <c r="VJ30" s="11">
        <f>SUMIFS([1]HOC_Histograma_Obra!WO55:WO113,[1]HOC_Histograma_Obra!$C$55:$C$113,"MOD")</f>
        <v>0</v>
      </c>
      <c r="VK30" s="11">
        <f>SUMIFS([1]HOC_Histograma_Obra!WP55:WP113,[1]HOC_Histograma_Obra!$C$55:$C$113,"MOD")</f>
        <v>0</v>
      </c>
      <c r="VL30" s="11">
        <f>SUMIFS([1]HOC_Histograma_Obra!WQ55:WQ113,[1]HOC_Histograma_Obra!$C$55:$C$113,"MOD")</f>
        <v>0</v>
      </c>
      <c r="VM30" s="11">
        <f>SUMIFS([1]HOC_Histograma_Obra!WR55:WR113,[1]HOC_Histograma_Obra!$C$55:$C$113,"MOD")</f>
        <v>0</v>
      </c>
      <c r="VN30" s="11">
        <f>SUMIFS([1]HOC_Histograma_Obra!WS55:WS113,[1]HOC_Histograma_Obra!$C$55:$C$113,"MOD")</f>
        <v>0</v>
      </c>
      <c r="VO30" s="11">
        <f>SUMIFS([1]HOC_Histograma_Obra!WT55:WT113,[1]HOC_Histograma_Obra!$C$55:$C$113,"MOD")</f>
        <v>0</v>
      </c>
      <c r="VP30" s="11">
        <f>SUMIFS([1]HOC_Histograma_Obra!WU55:WU113,[1]HOC_Histograma_Obra!$C$55:$C$113,"MOD")</f>
        <v>0</v>
      </c>
      <c r="VQ30" s="11">
        <f>SUMIFS([1]HOC_Histograma_Obra!WV55:WV113,[1]HOC_Histograma_Obra!$C$55:$C$113,"MOD")</f>
        <v>0</v>
      </c>
      <c r="VR30" s="11">
        <f>SUMIFS([1]HOC_Histograma_Obra!WW55:WW113,[1]HOC_Histograma_Obra!$C$55:$C$113,"MOD")</f>
        <v>0</v>
      </c>
      <c r="VS30" s="11">
        <f>SUMIFS([1]HOC_Histograma_Obra!WX55:WX113,[1]HOC_Histograma_Obra!$C$55:$C$113,"MOD")</f>
        <v>0</v>
      </c>
      <c r="VT30" s="11">
        <f>SUMIFS([1]HOC_Histograma_Obra!WY55:WY113,[1]HOC_Histograma_Obra!$C$55:$C$113,"MOD")</f>
        <v>0</v>
      </c>
      <c r="VU30" s="11">
        <f>SUMIFS([1]HOC_Histograma_Obra!WZ55:WZ113,[1]HOC_Histograma_Obra!$C$55:$C$113,"MOD")</f>
        <v>0</v>
      </c>
      <c r="VV30" s="11">
        <f>SUMIFS([1]HOC_Histograma_Obra!XA55:XA113,[1]HOC_Histograma_Obra!$C$55:$C$113,"MOD")</f>
        <v>0</v>
      </c>
      <c r="VW30" s="11">
        <f>SUMIFS([1]HOC_Histograma_Obra!XB55:XB113,[1]HOC_Histograma_Obra!$C$55:$C$113,"MOD")</f>
        <v>0</v>
      </c>
      <c r="VX30" s="11">
        <f>SUMIFS([1]HOC_Histograma_Obra!XC55:XC113,[1]HOC_Histograma_Obra!$C$55:$C$113,"MOD")</f>
        <v>0</v>
      </c>
      <c r="VY30" s="11">
        <f>SUMIFS([1]HOC_Histograma_Obra!XD55:XD113,[1]HOC_Histograma_Obra!$C$55:$C$113,"MOD")</f>
        <v>0</v>
      </c>
      <c r="VZ30" s="11">
        <f>SUMIFS([1]HOC_Histograma_Obra!XE55:XE113,[1]HOC_Histograma_Obra!$C$55:$C$113,"MOD")</f>
        <v>0</v>
      </c>
      <c r="WA30" s="11">
        <f>SUMIFS([1]HOC_Histograma_Obra!XF55:XF113,[1]HOC_Histograma_Obra!$C$55:$C$113,"MOD")</f>
        <v>0</v>
      </c>
      <c r="WB30" s="11">
        <f>SUMIFS([1]HOC_Histograma_Obra!XG55:XG113,[1]HOC_Histograma_Obra!$C$55:$C$113,"MOD")</f>
        <v>0</v>
      </c>
      <c r="WC30" s="11">
        <f>SUMIFS([1]HOC_Histograma_Obra!XH55:XH113,[1]HOC_Histograma_Obra!$C$55:$C$113,"MOD")</f>
        <v>0</v>
      </c>
      <c r="WD30" s="11">
        <f>SUMIFS([1]HOC_Histograma_Obra!XI55:XI113,[1]HOC_Histograma_Obra!$C$55:$C$113,"MOD")</f>
        <v>0</v>
      </c>
      <c r="WE30" s="11">
        <f>SUMIFS([1]HOC_Histograma_Obra!XJ55:XJ113,[1]HOC_Histograma_Obra!$C$55:$C$113,"MOD")</f>
        <v>0</v>
      </c>
      <c r="WF30" s="11">
        <f>SUMIFS([1]HOC_Histograma_Obra!XK55:XK113,[1]HOC_Histograma_Obra!$C$55:$C$113,"MOD")</f>
        <v>0</v>
      </c>
      <c r="WG30" s="11">
        <f>SUMIFS([1]HOC_Histograma_Obra!XL55:XL113,[1]HOC_Histograma_Obra!$C$55:$C$113,"MOD")</f>
        <v>0</v>
      </c>
      <c r="WH30" s="11">
        <f>SUMIFS([1]HOC_Histograma_Obra!XM55:XM113,[1]HOC_Histograma_Obra!$C$55:$C$113,"MOD")</f>
        <v>0</v>
      </c>
      <c r="WI30" s="11">
        <f>SUMIFS([1]HOC_Histograma_Obra!XN55:XN113,[1]HOC_Histograma_Obra!$C$55:$C$113,"MOD")</f>
        <v>0</v>
      </c>
      <c r="WJ30" s="11">
        <f>SUMIFS([1]HOC_Histograma_Obra!XO55:XO113,[1]HOC_Histograma_Obra!$C$55:$C$113,"MOD")</f>
        <v>0</v>
      </c>
      <c r="WK30" s="11">
        <f>SUMIFS([1]HOC_Histograma_Obra!XP55:XP113,[1]HOC_Histograma_Obra!$C$55:$C$113,"MOD")</f>
        <v>0</v>
      </c>
      <c r="WL30" s="11">
        <f>SUMIFS([1]HOC_Histograma_Obra!XQ55:XQ113,[1]HOC_Histograma_Obra!$C$55:$C$113,"MOD")</f>
        <v>0</v>
      </c>
      <c r="WM30" s="11">
        <f>SUMIFS([1]HOC_Histograma_Obra!XR55:XR113,[1]HOC_Histograma_Obra!$C$55:$C$113,"MOD")</f>
        <v>0</v>
      </c>
      <c r="WN30" s="11">
        <f>SUMIFS([1]HOC_Histograma_Obra!XS55:XS113,[1]HOC_Histograma_Obra!$C$55:$C$113,"MOD")</f>
        <v>0</v>
      </c>
      <c r="WO30" s="11">
        <f>SUMIFS([1]HOC_Histograma_Obra!XT55:XT113,[1]HOC_Histograma_Obra!$C$55:$C$113,"MOD")</f>
        <v>0</v>
      </c>
      <c r="WP30" s="11">
        <f>SUMIFS([1]HOC_Histograma_Obra!XU55:XU113,[1]HOC_Histograma_Obra!$C$55:$C$113,"MOD")</f>
        <v>0</v>
      </c>
      <c r="WQ30" s="11">
        <f>SUMIFS([1]HOC_Histograma_Obra!XV55:XV113,[1]HOC_Histograma_Obra!$C$55:$C$113,"MOD")</f>
        <v>0</v>
      </c>
      <c r="WR30" s="11">
        <f>SUMIFS([1]HOC_Histograma_Obra!XW55:XW113,[1]HOC_Histograma_Obra!$C$55:$C$113,"MOD")</f>
        <v>0</v>
      </c>
      <c r="WS30" s="11">
        <f>SUMIFS([1]HOC_Histograma_Obra!XX55:XX113,[1]HOC_Histograma_Obra!$C$55:$C$113,"MOD")</f>
        <v>0</v>
      </c>
      <c r="WT30" s="11">
        <f>SUMIFS([1]HOC_Histograma_Obra!XY55:XY113,[1]HOC_Histograma_Obra!$C$55:$C$113,"MOD")</f>
        <v>0</v>
      </c>
      <c r="WU30" s="11">
        <f>SUMIFS([1]HOC_Histograma_Obra!XZ55:XZ113,[1]HOC_Histograma_Obra!$C$55:$C$113,"MOD")</f>
        <v>0</v>
      </c>
      <c r="WV30" s="11">
        <f>SUMIFS([1]HOC_Histograma_Obra!YA55:YA113,[1]HOC_Histograma_Obra!$C$55:$C$113,"MOD")</f>
        <v>0</v>
      </c>
      <c r="WW30" s="11">
        <f>SUMIFS([1]HOC_Histograma_Obra!YB55:YB113,[1]HOC_Histograma_Obra!$C$55:$C$113,"MOD")</f>
        <v>0</v>
      </c>
      <c r="WX30" s="11">
        <f>SUMIFS([1]HOC_Histograma_Obra!YC55:YC113,[1]HOC_Histograma_Obra!$C$55:$C$113,"MOD")</f>
        <v>0</v>
      </c>
      <c r="WY30" s="11">
        <f>SUMIFS([1]HOC_Histograma_Obra!YD55:YD113,[1]HOC_Histograma_Obra!$C$55:$C$113,"MOD")</f>
        <v>0</v>
      </c>
      <c r="WZ30" s="11">
        <f>SUMIFS([1]HOC_Histograma_Obra!YE55:YE113,[1]HOC_Histograma_Obra!$C$55:$C$113,"MOD")</f>
        <v>0</v>
      </c>
      <c r="XA30" s="11">
        <f>SUMIFS([1]HOC_Histograma_Obra!YF55:YF113,[1]HOC_Histograma_Obra!$C$55:$C$113,"MOD")</f>
        <v>0</v>
      </c>
      <c r="XB30" s="11">
        <f>SUMIFS([1]HOC_Histograma_Obra!YG55:YG113,[1]HOC_Histograma_Obra!$C$55:$C$113,"MOD")</f>
        <v>0</v>
      </c>
      <c r="XC30" s="11">
        <f>SUMIFS([1]HOC_Histograma_Obra!YH55:YH113,[1]HOC_Histograma_Obra!$C$55:$C$113,"MOD")</f>
        <v>0</v>
      </c>
      <c r="XD30" s="11">
        <f>SUMIFS([1]HOC_Histograma_Obra!YI55:YI113,[1]HOC_Histograma_Obra!$C$55:$C$113,"MOD")</f>
        <v>0</v>
      </c>
      <c r="XE30" s="11">
        <f>SUMIFS([1]HOC_Histograma_Obra!YJ55:YJ113,[1]HOC_Histograma_Obra!$C$55:$C$113,"MOD")</f>
        <v>0</v>
      </c>
      <c r="XF30" s="11">
        <f>SUMIFS([1]HOC_Histograma_Obra!YK55:YK113,[1]HOC_Histograma_Obra!$C$55:$C$113,"MOD")</f>
        <v>0</v>
      </c>
      <c r="XG30" s="11">
        <f>SUMIFS([1]HOC_Histograma_Obra!YL55:YL113,[1]HOC_Histograma_Obra!$C$55:$C$113,"MOD")</f>
        <v>0</v>
      </c>
      <c r="XH30" s="11">
        <f>SUMIFS([1]HOC_Histograma_Obra!YM55:YM113,[1]HOC_Histograma_Obra!$C$55:$C$113,"MOD")</f>
        <v>0</v>
      </c>
      <c r="XI30" s="11">
        <f>SUMIFS([1]HOC_Histograma_Obra!YN55:YN113,[1]HOC_Histograma_Obra!$C$55:$C$113,"MOD")</f>
        <v>0</v>
      </c>
      <c r="XJ30" s="11">
        <f>SUMIFS([1]HOC_Histograma_Obra!YO55:YO113,[1]HOC_Histograma_Obra!$C$55:$C$113,"MOD")</f>
        <v>0</v>
      </c>
      <c r="XK30" s="11">
        <f>SUMIFS([1]HOC_Histograma_Obra!YP55:YP113,[1]HOC_Histograma_Obra!$C$55:$C$113,"MOD")</f>
        <v>0</v>
      </c>
      <c r="XL30" s="11">
        <f>SUMIFS([1]HOC_Histograma_Obra!YQ55:YQ113,[1]HOC_Histograma_Obra!$C$55:$C$113,"MOD")</f>
        <v>0</v>
      </c>
      <c r="XM30" s="11">
        <f>SUMIFS([1]HOC_Histograma_Obra!YR55:YR113,[1]HOC_Histograma_Obra!$C$55:$C$113,"MOD")</f>
        <v>0</v>
      </c>
      <c r="XN30" s="11">
        <f>SUMIFS([1]HOC_Histograma_Obra!YS55:YS113,[1]HOC_Histograma_Obra!$C$55:$C$113,"MOD")</f>
        <v>0</v>
      </c>
      <c r="XO30" s="11">
        <f>SUMIFS([1]HOC_Histograma_Obra!YT55:YT113,[1]HOC_Histograma_Obra!$C$55:$C$113,"MOD")</f>
        <v>0</v>
      </c>
      <c r="XP30" s="11">
        <f>SUMIFS([1]HOC_Histograma_Obra!YU55:YU113,[1]HOC_Histograma_Obra!$C$55:$C$113,"MOD")</f>
        <v>0</v>
      </c>
      <c r="XQ30" s="11">
        <f>SUMIFS([1]HOC_Histograma_Obra!YV55:YV113,[1]HOC_Histograma_Obra!$C$55:$C$113,"MOD")</f>
        <v>0</v>
      </c>
      <c r="XR30" s="11">
        <f>SUMIFS([1]HOC_Histograma_Obra!YW55:YW113,[1]HOC_Histograma_Obra!$C$55:$C$113,"MOD")</f>
        <v>0</v>
      </c>
      <c r="XS30" s="11">
        <f>SUMIFS([1]HOC_Histograma_Obra!YX55:YX113,[1]HOC_Histograma_Obra!$C$55:$C$113,"MOD")</f>
        <v>0</v>
      </c>
      <c r="XT30" s="11">
        <f>SUMIFS([1]HOC_Histograma_Obra!YY55:YY113,[1]HOC_Histograma_Obra!$C$55:$C$113,"MOD")</f>
        <v>0</v>
      </c>
      <c r="XU30" s="11">
        <f>SUMIFS([1]HOC_Histograma_Obra!YZ55:YZ113,[1]HOC_Histograma_Obra!$C$55:$C$113,"MOD")</f>
        <v>0</v>
      </c>
      <c r="XV30" s="11">
        <f>SUMIFS([1]HOC_Histograma_Obra!ZA55:ZA113,[1]HOC_Histograma_Obra!$C$55:$C$113,"MOD")</f>
        <v>0</v>
      </c>
      <c r="XW30" s="11">
        <f>SUMIFS([1]HOC_Histograma_Obra!ZB55:ZB113,[1]HOC_Histograma_Obra!$C$55:$C$113,"MOD")</f>
        <v>0</v>
      </c>
      <c r="XX30" s="11">
        <f>SUMIFS([1]HOC_Histograma_Obra!ZC55:ZC113,[1]HOC_Histograma_Obra!$C$55:$C$113,"MOD")</f>
        <v>0</v>
      </c>
      <c r="XY30" s="11">
        <f>SUMIFS([1]HOC_Histograma_Obra!ZD55:ZD113,[1]HOC_Histograma_Obra!$C$55:$C$113,"MOD")</f>
        <v>0</v>
      </c>
      <c r="XZ30" s="11">
        <f>SUMIFS([1]HOC_Histograma_Obra!ZE55:ZE113,[1]HOC_Histograma_Obra!$C$55:$C$113,"MOD")</f>
        <v>0</v>
      </c>
      <c r="YA30" s="11">
        <f>SUMIFS([1]HOC_Histograma_Obra!ZF55:ZF113,[1]HOC_Histograma_Obra!$C$55:$C$113,"MOD")</f>
        <v>0</v>
      </c>
      <c r="YB30" s="11">
        <f>SUMIFS([1]HOC_Histograma_Obra!ZG55:ZG113,[1]HOC_Histograma_Obra!$C$55:$C$113,"MOD")</f>
        <v>0</v>
      </c>
      <c r="YC30" s="11">
        <f>SUMIFS([1]HOC_Histograma_Obra!ZH55:ZH113,[1]HOC_Histograma_Obra!$C$55:$C$113,"MOD")</f>
        <v>0</v>
      </c>
      <c r="YD30" s="11">
        <f>SUMIFS([1]HOC_Histograma_Obra!ZI55:ZI113,[1]HOC_Histograma_Obra!$C$55:$C$113,"MOD")</f>
        <v>0</v>
      </c>
      <c r="YE30" s="11">
        <f>SUMIFS([1]HOC_Histograma_Obra!ZJ55:ZJ113,[1]HOC_Histograma_Obra!$C$55:$C$113,"MOD")</f>
        <v>0</v>
      </c>
      <c r="YF30" s="11">
        <f>SUMIFS([1]HOC_Histograma_Obra!ZK55:ZK113,[1]HOC_Histograma_Obra!$C$55:$C$113,"MOD")</f>
        <v>0</v>
      </c>
      <c r="YG30" s="11">
        <f>SUMIFS([1]HOC_Histograma_Obra!ZL55:ZL113,[1]HOC_Histograma_Obra!$C$55:$C$113,"MOD")</f>
        <v>0</v>
      </c>
      <c r="YH30" s="11">
        <f>SUMIFS([1]HOC_Histograma_Obra!ZM55:ZM113,[1]HOC_Histograma_Obra!$C$55:$C$113,"MOD")</f>
        <v>0</v>
      </c>
      <c r="YI30" s="11">
        <f>SUMIFS([1]HOC_Histograma_Obra!ZN55:ZN113,[1]HOC_Histograma_Obra!$C$55:$C$113,"MOD")</f>
        <v>0</v>
      </c>
      <c r="YJ30" s="11">
        <f>SUMIFS([1]HOC_Histograma_Obra!ZO55:ZO113,[1]HOC_Histograma_Obra!$C$55:$C$113,"MOD")</f>
        <v>0</v>
      </c>
      <c r="YK30" s="11">
        <f>SUMIFS([1]HOC_Histograma_Obra!ZP55:ZP113,[1]HOC_Histograma_Obra!$C$55:$C$113,"MOD")</f>
        <v>0</v>
      </c>
      <c r="YL30" s="11">
        <f>SUMIFS([1]HOC_Histograma_Obra!ZQ55:ZQ113,[1]HOC_Histograma_Obra!$C$55:$C$113,"MOD")</f>
        <v>0</v>
      </c>
      <c r="YM30" s="11">
        <f>SUMIFS([1]HOC_Histograma_Obra!ZR55:ZR113,[1]HOC_Histograma_Obra!$C$55:$C$113,"MOD")</f>
        <v>0</v>
      </c>
      <c r="YN30" s="11">
        <f>SUMIFS([1]HOC_Histograma_Obra!ZS55:ZS113,[1]HOC_Histograma_Obra!$C$55:$C$113,"MOD")</f>
        <v>0</v>
      </c>
      <c r="YO30" s="11">
        <f>SUMIFS([1]HOC_Histograma_Obra!ZT55:ZT113,[1]HOC_Histograma_Obra!$C$55:$C$113,"MOD")</f>
        <v>0</v>
      </c>
      <c r="YP30" s="11">
        <f>SUMIFS([1]HOC_Histograma_Obra!ZU55:ZU113,[1]HOC_Histograma_Obra!$C$55:$C$113,"MOD")</f>
        <v>0</v>
      </c>
      <c r="YQ30" s="11">
        <f>SUMIFS([1]HOC_Histograma_Obra!ZV55:ZV113,[1]HOC_Histograma_Obra!$C$55:$C$113,"MOD")</f>
        <v>0</v>
      </c>
      <c r="YR30" s="11">
        <f>SUMIFS([1]HOC_Histograma_Obra!ZW55:ZW113,[1]HOC_Histograma_Obra!$C$55:$C$113,"MOD")</f>
        <v>0</v>
      </c>
      <c r="YS30" s="11">
        <f>SUMIFS([1]HOC_Histograma_Obra!ZX55:ZX113,[1]HOC_Histograma_Obra!$C$55:$C$113,"MOD")</f>
        <v>0</v>
      </c>
      <c r="YT30" s="11">
        <f>SUMIFS([1]HOC_Histograma_Obra!ZY55:ZY113,[1]HOC_Histograma_Obra!$C$55:$C$113,"MOD")</f>
        <v>0</v>
      </c>
      <c r="YU30" s="11">
        <f>SUMIFS([1]HOC_Histograma_Obra!ZZ55:ZZ113,[1]HOC_Histograma_Obra!$C$55:$C$113,"MOD")</f>
        <v>0</v>
      </c>
      <c r="YV30" s="11">
        <f>SUMIFS([1]HOC_Histograma_Obra!AAA55:AAA113,[1]HOC_Histograma_Obra!$C$55:$C$113,"MOD")</f>
        <v>0</v>
      </c>
      <c r="YW30" s="11">
        <f>SUMIFS([1]HOC_Histograma_Obra!AAB55:AAB113,[1]HOC_Histograma_Obra!$C$55:$C$113,"MOD")</f>
        <v>0</v>
      </c>
      <c r="YX30" s="11">
        <f>SUMIFS([1]HOC_Histograma_Obra!AAC55:AAC113,[1]HOC_Histograma_Obra!$C$55:$C$113,"MOD")</f>
        <v>0</v>
      </c>
      <c r="YY30" s="11">
        <f>SUMIFS([1]HOC_Histograma_Obra!AAD55:AAD113,[1]HOC_Histograma_Obra!$C$55:$C$113,"MOD")</f>
        <v>0</v>
      </c>
      <c r="YZ30" s="11">
        <f>SUMIFS([1]HOC_Histograma_Obra!AAE55:AAE113,[1]HOC_Histograma_Obra!$C$55:$C$113,"MOD")</f>
        <v>0</v>
      </c>
      <c r="ZA30" s="11">
        <f>SUMIFS([1]HOC_Histograma_Obra!AAF55:AAF113,[1]HOC_Histograma_Obra!$C$55:$C$113,"MOD")</f>
        <v>0</v>
      </c>
      <c r="ZB30" s="11">
        <f>SUMIFS([1]HOC_Histograma_Obra!AAG55:AAG113,[1]HOC_Histograma_Obra!$C$55:$C$113,"MOD")</f>
        <v>0</v>
      </c>
      <c r="ZC30" s="11">
        <f>SUMIFS([1]HOC_Histograma_Obra!AAH55:AAH113,[1]HOC_Histograma_Obra!$C$55:$C$113,"MOD")</f>
        <v>0</v>
      </c>
      <c r="ZD30" s="11">
        <f>SUMIFS([1]HOC_Histograma_Obra!AAI55:AAI113,[1]HOC_Histograma_Obra!$C$55:$C$113,"MOD")</f>
        <v>0</v>
      </c>
      <c r="ZE30" s="11">
        <f>SUMIFS([1]HOC_Histograma_Obra!AAJ55:AAJ113,[1]HOC_Histograma_Obra!$C$55:$C$113,"MOD")</f>
        <v>0</v>
      </c>
      <c r="ZF30" s="11">
        <f>SUMIFS([1]HOC_Histograma_Obra!AAK55:AAK113,[1]HOC_Histograma_Obra!$C$55:$C$113,"MOD")</f>
        <v>0</v>
      </c>
      <c r="ZG30" s="11">
        <f>SUMIFS([1]HOC_Histograma_Obra!AAL55:AAL113,[1]HOC_Histograma_Obra!$C$55:$C$113,"MOD")</f>
        <v>0</v>
      </c>
      <c r="ZH30" s="11">
        <f>SUMIFS([1]HOC_Histograma_Obra!AAM55:AAM113,[1]HOC_Histograma_Obra!$C$55:$C$113,"MOD")</f>
        <v>0</v>
      </c>
      <c r="ZI30" s="11">
        <f>SUMIFS([1]HOC_Histograma_Obra!AAN55:AAN113,[1]HOC_Histograma_Obra!$C$55:$C$113,"MOD")</f>
        <v>0</v>
      </c>
      <c r="ZJ30" s="11">
        <f>SUMIFS([1]HOC_Histograma_Obra!AAO55:AAO113,[1]HOC_Histograma_Obra!$C$55:$C$113,"MOD")</f>
        <v>0</v>
      </c>
      <c r="ZK30" s="11">
        <f>SUMIFS([1]HOC_Histograma_Obra!AAP55:AAP113,[1]HOC_Histograma_Obra!$C$55:$C$113,"MOD")</f>
        <v>0</v>
      </c>
      <c r="ZL30" s="11">
        <f>SUMIFS([1]HOC_Histograma_Obra!AAQ55:AAQ113,[1]HOC_Histograma_Obra!$C$55:$C$113,"MOD")</f>
        <v>0</v>
      </c>
      <c r="ZM30" s="11">
        <f>SUMIFS([1]HOC_Histograma_Obra!AAR55:AAR113,[1]HOC_Histograma_Obra!$C$55:$C$113,"MOD")</f>
        <v>0</v>
      </c>
      <c r="ZN30" s="11">
        <f>SUMIFS([1]HOC_Histograma_Obra!AAS55:AAS113,[1]HOC_Histograma_Obra!$C$55:$C$113,"MOD")</f>
        <v>0</v>
      </c>
      <c r="ZO30" s="11">
        <f>SUMIFS([1]HOC_Histograma_Obra!AAT55:AAT113,[1]HOC_Histograma_Obra!$C$55:$C$113,"MOD")</f>
        <v>0</v>
      </c>
      <c r="ZP30" s="11">
        <f>SUMIFS([1]HOC_Histograma_Obra!AAU55:AAU113,[1]HOC_Histograma_Obra!$C$55:$C$113,"MOD")</f>
        <v>0</v>
      </c>
      <c r="ZQ30" s="11">
        <f>SUMIFS([1]HOC_Histograma_Obra!AAV55:AAV113,[1]HOC_Histograma_Obra!$C$55:$C$113,"MOD")</f>
        <v>0</v>
      </c>
      <c r="ZR30" s="11">
        <f>SUMIFS([1]HOC_Histograma_Obra!AAW55:AAW113,[1]HOC_Histograma_Obra!$C$55:$C$113,"MOD")</f>
        <v>0</v>
      </c>
      <c r="ZS30" s="11">
        <f>SUMIFS([1]HOC_Histograma_Obra!AAX55:AAX113,[1]HOC_Histograma_Obra!$C$55:$C$113,"MOD")</f>
        <v>0</v>
      </c>
      <c r="ZT30" s="11">
        <f>SUMIFS([1]HOC_Histograma_Obra!AAY55:AAY113,[1]HOC_Histograma_Obra!$C$55:$C$113,"MOD")</f>
        <v>0</v>
      </c>
      <c r="ZU30" s="11">
        <f>SUMIFS([1]HOC_Histograma_Obra!AAZ55:AAZ113,[1]HOC_Histograma_Obra!$C$55:$C$113,"MOD")</f>
        <v>0</v>
      </c>
      <c r="ZV30" s="11">
        <f>SUMIFS([1]HOC_Histograma_Obra!ABA55:ABA113,[1]HOC_Histograma_Obra!$C$55:$C$113,"MOD")</f>
        <v>0</v>
      </c>
      <c r="ZW30" s="11">
        <f>SUMIFS([1]HOC_Histograma_Obra!ABB55:ABB113,[1]HOC_Histograma_Obra!$C$55:$C$113,"MOD")</f>
        <v>0</v>
      </c>
      <c r="ZX30" s="11">
        <f>SUMIFS([1]HOC_Histograma_Obra!ABC55:ABC113,[1]HOC_Histograma_Obra!$C$55:$C$113,"MOD")</f>
        <v>0</v>
      </c>
      <c r="ZY30" s="11">
        <f>SUMIFS([1]HOC_Histograma_Obra!ABD55:ABD113,[1]HOC_Histograma_Obra!$C$55:$C$113,"MOD")</f>
        <v>0</v>
      </c>
      <c r="ZZ30" s="11">
        <f>SUMIFS([1]HOC_Histograma_Obra!ABE55:ABE113,[1]HOC_Histograma_Obra!$C$55:$C$113,"MOD")</f>
        <v>0</v>
      </c>
      <c r="AAA30" s="11">
        <f>SUMIFS([1]HOC_Histograma_Obra!ABF55:ABF113,[1]HOC_Histograma_Obra!$C$55:$C$113,"MOD")</f>
        <v>0</v>
      </c>
      <c r="AAB30" s="11">
        <f>SUMIFS([1]HOC_Histograma_Obra!ABG55:ABG113,[1]HOC_Histograma_Obra!$C$55:$C$113,"MOD")</f>
        <v>0</v>
      </c>
      <c r="AAC30" s="11">
        <f>SUMIFS([1]HOC_Histograma_Obra!ABH55:ABH113,[1]HOC_Histograma_Obra!$C$55:$C$113,"MOD")</f>
        <v>0</v>
      </c>
      <c r="AAD30" s="11">
        <f>SUMIFS([1]HOC_Histograma_Obra!ABI55:ABI113,[1]HOC_Histograma_Obra!$C$55:$C$113,"MOD")</f>
        <v>0</v>
      </c>
      <c r="AAE30" s="11">
        <f>SUMIFS([1]HOC_Histograma_Obra!ABJ55:ABJ113,[1]HOC_Histograma_Obra!$C$55:$C$113,"MOD")</f>
        <v>0</v>
      </c>
      <c r="AAF30" s="11">
        <f>SUMIFS([1]HOC_Histograma_Obra!ABK55:ABK113,[1]HOC_Histograma_Obra!$C$55:$C$113,"MOD")</f>
        <v>0</v>
      </c>
      <c r="AAG30" s="11">
        <f>SUMIFS([1]HOC_Histograma_Obra!ABL55:ABL113,[1]HOC_Histograma_Obra!$C$55:$C$113,"MOD")</f>
        <v>0</v>
      </c>
      <c r="AAH30" s="11">
        <f>SUMIFS([1]HOC_Histograma_Obra!ABM55:ABM113,[1]HOC_Histograma_Obra!$C$55:$C$113,"MOD")</f>
        <v>0</v>
      </c>
      <c r="AAI30" s="11">
        <f>SUMIFS([1]HOC_Histograma_Obra!ABN55:ABN113,[1]HOC_Histograma_Obra!$C$55:$C$113,"MOD")</f>
        <v>0</v>
      </c>
      <c r="AAJ30" s="11">
        <f>SUMIFS([1]HOC_Histograma_Obra!ABO55:ABO113,[1]HOC_Histograma_Obra!$C$55:$C$113,"MOD")</f>
        <v>0</v>
      </c>
      <c r="AAK30" s="11">
        <f>SUMIFS([1]HOC_Histograma_Obra!ABP55:ABP113,[1]HOC_Histograma_Obra!$C$55:$C$113,"MOD")</f>
        <v>0</v>
      </c>
      <c r="AAL30" s="11">
        <f>SUMIFS([1]HOC_Histograma_Obra!ABQ55:ABQ113,[1]HOC_Histograma_Obra!$C$55:$C$113,"MOD")</f>
        <v>0</v>
      </c>
      <c r="AAM30" s="11">
        <f>SUMIFS([1]HOC_Histograma_Obra!ABR55:ABR113,[1]HOC_Histograma_Obra!$C$55:$C$113,"MOD")</f>
        <v>0</v>
      </c>
      <c r="AAN30" s="11">
        <f>SUMIFS([1]HOC_Histograma_Obra!ABS55:ABS113,[1]HOC_Histograma_Obra!$C$55:$C$113,"MOD")</f>
        <v>0</v>
      </c>
      <c r="AAO30" s="11">
        <f>SUMIFS([1]HOC_Histograma_Obra!ABT55:ABT113,[1]HOC_Histograma_Obra!$C$55:$C$113,"MOD")</f>
        <v>0</v>
      </c>
      <c r="AAP30" s="11">
        <f>SUMIFS([1]HOC_Histograma_Obra!ABU55:ABU113,[1]HOC_Histograma_Obra!$C$55:$C$113,"MOD")</f>
        <v>0</v>
      </c>
      <c r="AAQ30" s="11">
        <f>SUMIFS([1]HOC_Histograma_Obra!ABV55:ABV113,[1]HOC_Histograma_Obra!$C$55:$C$113,"MOD")</f>
        <v>0</v>
      </c>
      <c r="AAR30" s="11">
        <f>SUMIFS([1]HOC_Histograma_Obra!ABW55:ABW113,[1]HOC_Histograma_Obra!$C$55:$C$113,"MOD")</f>
        <v>0</v>
      </c>
      <c r="AAS30" s="11">
        <f>SUMIFS([1]HOC_Histograma_Obra!ABX55:ABX113,[1]HOC_Histograma_Obra!$C$55:$C$113,"MOD")</f>
        <v>0</v>
      </c>
      <c r="AAT30" s="11">
        <f>SUMIFS([1]HOC_Histograma_Obra!ABY55:ABY113,[1]HOC_Histograma_Obra!$C$55:$C$113,"MOD")</f>
        <v>0</v>
      </c>
      <c r="AAU30" s="11">
        <f>SUMIFS([1]HOC_Histograma_Obra!ABZ55:ABZ113,[1]HOC_Histograma_Obra!$C$55:$C$113,"MOD")</f>
        <v>0</v>
      </c>
      <c r="AAV30" s="11">
        <f>SUMIFS([1]HOC_Histograma_Obra!ACA55:ACA113,[1]HOC_Histograma_Obra!$C$55:$C$113,"MOD")</f>
        <v>0</v>
      </c>
      <c r="AAW30" s="11">
        <f>SUMIFS([1]HOC_Histograma_Obra!ACB55:ACB113,[1]HOC_Histograma_Obra!$C$55:$C$113,"MOD")</f>
        <v>0</v>
      </c>
      <c r="AAX30" s="11">
        <f>SUMIFS([1]HOC_Histograma_Obra!ACC55:ACC113,[1]HOC_Histograma_Obra!$C$55:$C$113,"MOD")</f>
        <v>0</v>
      </c>
      <c r="AAY30" s="11">
        <f>SUMIFS([1]HOC_Histograma_Obra!ACD55:ACD113,[1]HOC_Histograma_Obra!$C$55:$C$113,"MOD")</f>
        <v>0</v>
      </c>
      <c r="AAZ30" s="11">
        <f>SUMIFS([1]HOC_Histograma_Obra!ACE55:ACE113,[1]HOC_Histograma_Obra!$C$55:$C$113,"MOD")</f>
        <v>0</v>
      </c>
      <c r="ABA30" s="11">
        <f>SUMIFS([1]HOC_Histograma_Obra!ACF55:ACF113,[1]HOC_Histograma_Obra!$C$55:$C$113,"MOD")</f>
        <v>0</v>
      </c>
      <c r="ABB30" s="11">
        <f>SUMIFS([1]HOC_Histograma_Obra!ACG55:ACG113,[1]HOC_Histograma_Obra!$C$55:$C$113,"MOD")</f>
        <v>0</v>
      </c>
      <c r="ABC30" s="11">
        <f>SUMIFS([1]HOC_Histograma_Obra!ACH55:ACH113,[1]HOC_Histograma_Obra!$C$55:$C$113,"MOD")</f>
        <v>0</v>
      </c>
      <c r="ABD30" s="11">
        <f>SUMIFS([1]HOC_Histograma_Obra!ACI55:ACI113,[1]HOC_Histograma_Obra!$C$55:$C$113,"MOD")</f>
        <v>0</v>
      </c>
      <c r="ABE30" s="11">
        <f>SUMIFS([1]HOC_Histograma_Obra!ACJ55:ACJ113,[1]HOC_Histograma_Obra!$C$55:$C$113,"MOD")</f>
        <v>0</v>
      </c>
      <c r="ABF30" s="11">
        <f>SUMIFS([1]HOC_Histograma_Obra!ACK55:ACK113,[1]HOC_Histograma_Obra!$C$55:$C$113,"MOD")</f>
        <v>0</v>
      </c>
      <c r="ABG30" s="11">
        <f>SUMIFS([1]HOC_Histograma_Obra!ACL55:ACL113,[1]HOC_Histograma_Obra!$C$55:$C$113,"MOD")</f>
        <v>0</v>
      </c>
      <c r="ABH30" s="11">
        <f>SUMIFS([1]HOC_Histograma_Obra!ACM55:ACM113,[1]HOC_Histograma_Obra!$C$55:$C$113,"MOD")</f>
        <v>0</v>
      </c>
      <c r="ABI30" s="11">
        <f>SUMIFS([1]HOC_Histograma_Obra!ACN55:ACN113,[1]HOC_Histograma_Obra!$C$55:$C$113,"MOD")</f>
        <v>0</v>
      </c>
    </row>
    <row r="31" spans="4:737" ht="12.95" hidden="1" customHeight="1" x14ac:dyDescent="0.25">
      <c r="D31" s="14">
        <f t="shared" si="72"/>
        <v>7136</v>
      </c>
      <c r="E31" s="11" t="s">
        <v>12</v>
      </c>
      <c r="F31" s="11">
        <f t="shared" ref="F31:BQ31" si="73">SUM(F27:F30)</f>
        <v>22</v>
      </c>
      <c r="G31" s="11">
        <f t="shared" si="73"/>
        <v>22</v>
      </c>
      <c r="H31" s="11">
        <f t="shared" si="73"/>
        <v>22</v>
      </c>
      <c r="I31" s="11">
        <f t="shared" si="73"/>
        <v>22</v>
      </c>
      <c r="J31" s="11">
        <f t="shared" si="73"/>
        <v>22</v>
      </c>
      <c r="K31" s="11">
        <f t="shared" si="73"/>
        <v>22</v>
      </c>
      <c r="L31" s="11">
        <f t="shared" si="73"/>
        <v>0</v>
      </c>
      <c r="M31" s="11">
        <f t="shared" si="73"/>
        <v>22</v>
      </c>
      <c r="N31" s="11">
        <f t="shared" si="73"/>
        <v>22</v>
      </c>
      <c r="O31" s="11">
        <f t="shared" si="73"/>
        <v>22</v>
      </c>
      <c r="P31" s="11">
        <f t="shared" si="73"/>
        <v>22</v>
      </c>
      <c r="Q31" s="11">
        <f t="shared" si="73"/>
        <v>22</v>
      </c>
      <c r="R31" s="11">
        <f t="shared" si="73"/>
        <v>22</v>
      </c>
      <c r="S31" s="11">
        <f t="shared" si="73"/>
        <v>0</v>
      </c>
      <c r="T31" s="11">
        <f t="shared" si="73"/>
        <v>22</v>
      </c>
      <c r="U31" s="11">
        <f t="shared" si="73"/>
        <v>22</v>
      </c>
      <c r="V31" s="11">
        <f t="shared" si="73"/>
        <v>22</v>
      </c>
      <c r="W31" s="11">
        <f t="shared" si="73"/>
        <v>22</v>
      </c>
      <c r="X31" s="11">
        <f t="shared" si="73"/>
        <v>22</v>
      </c>
      <c r="Y31" s="11">
        <f t="shared" si="73"/>
        <v>22</v>
      </c>
      <c r="Z31" s="11">
        <f t="shared" si="73"/>
        <v>0</v>
      </c>
      <c r="AA31" s="11">
        <f t="shared" si="73"/>
        <v>22</v>
      </c>
      <c r="AB31" s="11">
        <f t="shared" si="73"/>
        <v>22</v>
      </c>
      <c r="AC31" s="11">
        <f t="shared" si="73"/>
        <v>22</v>
      </c>
      <c r="AD31" s="11">
        <f t="shared" si="73"/>
        <v>22</v>
      </c>
      <c r="AE31" s="11">
        <f t="shared" si="73"/>
        <v>22</v>
      </c>
      <c r="AF31" s="11">
        <f t="shared" si="73"/>
        <v>22</v>
      </c>
      <c r="AG31" s="11">
        <f t="shared" si="73"/>
        <v>0</v>
      </c>
      <c r="AH31" s="11">
        <f t="shared" si="73"/>
        <v>29</v>
      </c>
      <c r="AI31" s="11">
        <f t="shared" si="73"/>
        <v>29</v>
      </c>
      <c r="AJ31" s="11">
        <f t="shared" si="73"/>
        <v>29</v>
      </c>
      <c r="AK31" s="16">
        <f t="shared" si="73"/>
        <v>29</v>
      </c>
      <c r="AL31" s="11">
        <f t="shared" si="73"/>
        <v>29</v>
      </c>
      <c r="AM31" s="11">
        <f t="shared" si="73"/>
        <v>29</v>
      </c>
      <c r="AN31" s="11">
        <f t="shared" si="73"/>
        <v>0</v>
      </c>
      <c r="AO31" s="11">
        <f t="shared" si="73"/>
        <v>29</v>
      </c>
      <c r="AP31" s="11">
        <f t="shared" si="73"/>
        <v>29</v>
      </c>
      <c r="AQ31" s="11">
        <f t="shared" si="73"/>
        <v>29</v>
      </c>
      <c r="AR31" s="11">
        <f t="shared" si="73"/>
        <v>29</v>
      </c>
      <c r="AS31" s="11">
        <f t="shared" si="73"/>
        <v>29</v>
      </c>
      <c r="AT31" s="11">
        <f t="shared" si="73"/>
        <v>29</v>
      </c>
      <c r="AU31" s="11">
        <f t="shared" si="73"/>
        <v>0</v>
      </c>
      <c r="AV31" s="11">
        <f t="shared" si="73"/>
        <v>29</v>
      </c>
      <c r="AW31" s="11">
        <f t="shared" si="73"/>
        <v>29</v>
      </c>
      <c r="AX31" s="11">
        <f t="shared" si="73"/>
        <v>29</v>
      </c>
      <c r="AY31" s="11">
        <f t="shared" si="73"/>
        <v>29</v>
      </c>
      <c r="AZ31" s="11">
        <f t="shared" si="73"/>
        <v>29</v>
      </c>
      <c r="BA31" s="11">
        <f t="shared" si="73"/>
        <v>29</v>
      </c>
      <c r="BB31" s="11">
        <f t="shared" si="73"/>
        <v>0</v>
      </c>
      <c r="BC31" s="11">
        <f t="shared" si="73"/>
        <v>59</v>
      </c>
      <c r="BD31" s="11">
        <f t="shared" si="73"/>
        <v>59</v>
      </c>
      <c r="BE31" s="11">
        <f t="shared" si="73"/>
        <v>59</v>
      </c>
      <c r="BF31" s="11">
        <f t="shared" si="73"/>
        <v>59</v>
      </c>
      <c r="BG31" s="11">
        <f t="shared" si="73"/>
        <v>59</v>
      </c>
      <c r="BH31" s="11">
        <f t="shared" si="73"/>
        <v>59</v>
      </c>
      <c r="BI31" s="11">
        <f t="shared" si="73"/>
        <v>0</v>
      </c>
      <c r="BJ31" s="11">
        <f t="shared" si="73"/>
        <v>60</v>
      </c>
      <c r="BK31" s="11">
        <f t="shared" si="73"/>
        <v>60</v>
      </c>
      <c r="BL31" s="11">
        <f t="shared" si="73"/>
        <v>60</v>
      </c>
      <c r="BM31" s="11">
        <f t="shared" si="73"/>
        <v>60</v>
      </c>
      <c r="BN31" s="11">
        <f t="shared" si="73"/>
        <v>60</v>
      </c>
      <c r="BO31" s="11">
        <f t="shared" si="73"/>
        <v>60</v>
      </c>
      <c r="BP31" s="11">
        <f t="shared" si="73"/>
        <v>0</v>
      </c>
      <c r="BQ31" s="11">
        <f t="shared" si="73"/>
        <v>60</v>
      </c>
      <c r="BR31" s="11">
        <f t="shared" ref="BR31:EC31" si="74">SUM(BR27:BR30)</f>
        <v>60</v>
      </c>
      <c r="BS31" s="11">
        <f t="shared" si="74"/>
        <v>60</v>
      </c>
      <c r="BT31" s="11">
        <f t="shared" si="74"/>
        <v>60</v>
      </c>
      <c r="BU31" s="11">
        <f t="shared" si="74"/>
        <v>60</v>
      </c>
      <c r="BV31" s="11">
        <f t="shared" si="74"/>
        <v>60</v>
      </c>
      <c r="BW31" s="11">
        <f t="shared" si="74"/>
        <v>0</v>
      </c>
      <c r="BX31" s="11">
        <f t="shared" si="74"/>
        <v>60</v>
      </c>
      <c r="BY31" s="11">
        <f t="shared" si="74"/>
        <v>60</v>
      </c>
      <c r="BZ31" s="11">
        <f t="shared" si="74"/>
        <v>60</v>
      </c>
      <c r="CA31" s="11">
        <f t="shared" si="74"/>
        <v>60</v>
      </c>
      <c r="CB31" s="11">
        <f t="shared" si="74"/>
        <v>60</v>
      </c>
      <c r="CC31" s="11">
        <f t="shared" si="74"/>
        <v>60</v>
      </c>
      <c r="CD31" s="11">
        <f t="shared" si="74"/>
        <v>0</v>
      </c>
      <c r="CE31" s="11">
        <f t="shared" si="74"/>
        <v>60</v>
      </c>
      <c r="CF31" s="11">
        <f t="shared" si="74"/>
        <v>60</v>
      </c>
      <c r="CG31" s="11">
        <f t="shared" si="74"/>
        <v>60</v>
      </c>
      <c r="CH31" s="11">
        <f t="shared" si="74"/>
        <v>60</v>
      </c>
      <c r="CI31" s="11">
        <f t="shared" si="74"/>
        <v>60</v>
      </c>
      <c r="CJ31" s="11">
        <f t="shared" si="74"/>
        <v>60</v>
      </c>
      <c r="CK31" s="11">
        <f t="shared" si="74"/>
        <v>0</v>
      </c>
      <c r="CL31" s="11">
        <f t="shared" si="74"/>
        <v>60</v>
      </c>
      <c r="CM31" s="11">
        <f t="shared" si="74"/>
        <v>60</v>
      </c>
      <c r="CN31" s="11">
        <f t="shared" si="74"/>
        <v>60</v>
      </c>
      <c r="CO31" s="11">
        <f t="shared" si="74"/>
        <v>60</v>
      </c>
      <c r="CP31" s="11">
        <f t="shared" si="74"/>
        <v>60</v>
      </c>
      <c r="CQ31" s="11">
        <f t="shared" si="74"/>
        <v>60</v>
      </c>
      <c r="CR31" s="11">
        <f t="shared" si="74"/>
        <v>0</v>
      </c>
      <c r="CS31" s="11">
        <f t="shared" si="74"/>
        <v>67</v>
      </c>
      <c r="CT31" s="11">
        <f t="shared" si="74"/>
        <v>67</v>
      </c>
      <c r="CU31" s="11">
        <f t="shared" si="74"/>
        <v>67</v>
      </c>
      <c r="CV31" s="11">
        <f t="shared" si="74"/>
        <v>67</v>
      </c>
      <c r="CW31" s="11">
        <f t="shared" si="74"/>
        <v>67</v>
      </c>
      <c r="CX31" s="11">
        <f t="shared" si="74"/>
        <v>67</v>
      </c>
      <c r="CY31" s="11">
        <f t="shared" si="74"/>
        <v>0</v>
      </c>
      <c r="CZ31" s="11">
        <f t="shared" si="74"/>
        <v>67</v>
      </c>
      <c r="DA31" s="11">
        <f t="shared" si="74"/>
        <v>67</v>
      </c>
      <c r="DB31" s="11">
        <f t="shared" si="74"/>
        <v>67</v>
      </c>
      <c r="DC31" s="11">
        <f t="shared" si="74"/>
        <v>67</v>
      </c>
      <c r="DD31" s="11">
        <f t="shared" si="74"/>
        <v>67</v>
      </c>
      <c r="DE31" s="11">
        <f t="shared" si="74"/>
        <v>67</v>
      </c>
      <c r="DF31" s="11">
        <f t="shared" si="74"/>
        <v>0</v>
      </c>
      <c r="DG31" s="11">
        <f t="shared" si="74"/>
        <v>62</v>
      </c>
      <c r="DH31" s="11">
        <f t="shared" si="74"/>
        <v>62</v>
      </c>
      <c r="DI31" s="11">
        <f t="shared" si="74"/>
        <v>62</v>
      </c>
      <c r="DJ31" s="11">
        <f t="shared" si="74"/>
        <v>62</v>
      </c>
      <c r="DK31" s="11">
        <f t="shared" si="74"/>
        <v>62</v>
      </c>
      <c r="DL31" s="11">
        <f t="shared" si="74"/>
        <v>62</v>
      </c>
      <c r="DM31" s="11">
        <f t="shared" si="74"/>
        <v>0</v>
      </c>
      <c r="DN31" s="11">
        <f t="shared" si="74"/>
        <v>62</v>
      </c>
      <c r="DO31" s="11">
        <f t="shared" si="74"/>
        <v>62</v>
      </c>
      <c r="DP31" s="11">
        <f t="shared" si="74"/>
        <v>62</v>
      </c>
      <c r="DQ31" s="11">
        <f t="shared" si="74"/>
        <v>62</v>
      </c>
      <c r="DR31" s="11">
        <f t="shared" si="74"/>
        <v>62</v>
      </c>
      <c r="DS31" s="11">
        <f t="shared" si="74"/>
        <v>62</v>
      </c>
      <c r="DT31" s="11">
        <f t="shared" si="74"/>
        <v>0</v>
      </c>
      <c r="DU31" s="11">
        <f t="shared" si="74"/>
        <v>62</v>
      </c>
      <c r="DV31" s="11">
        <f t="shared" si="74"/>
        <v>62</v>
      </c>
      <c r="DW31" s="11">
        <f t="shared" si="74"/>
        <v>62</v>
      </c>
      <c r="DX31" s="11">
        <f t="shared" si="74"/>
        <v>62</v>
      </c>
      <c r="DY31" s="11">
        <f t="shared" si="74"/>
        <v>62</v>
      </c>
      <c r="DZ31" s="11">
        <f t="shared" si="74"/>
        <v>62</v>
      </c>
      <c r="EA31" s="11">
        <f t="shared" si="74"/>
        <v>0</v>
      </c>
      <c r="EB31" s="11">
        <f t="shared" si="74"/>
        <v>0</v>
      </c>
      <c r="EC31" s="11">
        <f t="shared" si="74"/>
        <v>62</v>
      </c>
      <c r="ED31" s="11">
        <f t="shared" ref="ED31:GO31" si="75">SUM(ED27:ED30)</f>
        <v>62</v>
      </c>
      <c r="EE31" s="11">
        <f t="shared" si="75"/>
        <v>62</v>
      </c>
      <c r="EF31" s="11">
        <f t="shared" si="75"/>
        <v>62</v>
      </c>
      <c r="EG31" s="11">
        <f t="shared" si="75"/>
        <v>62</v>
      </c>
      <c r="EH31" s="11">
        <f t="shared" si="75"/>
        <v>0</v>
      </c>
      <c r="EI31" s="11">
        <f t="shared" si="75"/>
        <v>62</v>
      </c>
      <c r="EJ31" s="11">
        <f t="shared" si="75"/>
        <v>62</v>
      </c>
      <c r="EK31" s="11">
        <f t="shared" si="75"/>
        <v>62</v>
      </c>
      <c r="EL31" s="11">
        <f t="shared" si="75"/>
        <v>62</v>
      </c>
      <c r="EM31" s="11">
        <f t="shared" si="75"/>
        <v>62</v>
      </c>
      <c r="EN31" s="11">
        <f t="shared" si="75"/>
        <v>62</v>
      </c>
      <c r="EO31" s="11">
        <f t="shared" si="75"/>
        <v>0</v>
      </c>
      <c r="EP31" s="11">
        <f t="shared" si="75"/>
        <v>62</v>
      </c>
      <c r="EQ31" s="11">
        <f t="shared" si="75"/>
        <v>62</v>
      </c>
      <c r="ER31" s="11">
        <f t="shared" si="75"/>
        <v>62</v>
      </c>
      <c r="ES31" s="11">
        <f t="shared" si="75"/>
        <v>62</v>
      </c>
      <c r="ET31" s="11">
        <f t="shared" si="75"/>
        <v>62</v>
      </c>
      <c r="EU31" s="11">
        <f t="shared" si="75"/>
        <v>62</v>
      </c>
      <c r="EV31" s="11">
        <f t="shared" si="75"/>
        <v>0</v>
      </c>
      <c r="EW31" s="11">
        <f t="shared" si="75"/>
        <v>36</v>
      </c>
      <c r="EX31" s="11">
        <f t="shared" si="75"/>
        <v>36</v>
      </c>
      <c r="EY31" s="11">
        <f t="shared" si="75"/>
        <v>36</v>
      </c>
      <c r="EZ31" s="11">
        <f t="shared" si="75"/>
        <v>36</v>
      </c>
      <c r="FA31" s="11">
        <f t="shared" si="75"/>
        <v>36</v>
      </c>
      <c r="FB31" s="11">
        <f t="shared" si="75"/>
        <v>36</v>
      </c>
      <c r="FC31" s="11">
        <f t="shared" si="75"/>
        <v>0</v>
      </c>
      <c r="FD31" s="11">
        <f t="shared" si="75"/>
        <v>33</v>
      </c>
      <c r="FE31" s="11">
        <f t="shared" si="75"/>
        <v>33</v>
      </c>
      <c r="FF31" s="11">
        <f t="shared" si="75"/>
        <v>33</v>
      </c>
      <c r="FG31" s="11">
        <f t="shared" si="75"/>
        <v>33</v>
      </c>
      <c r="FH31" s="11">
        <f t="shared" si="75"/>
        <v>33</v>
      </c>
      <c r="FI31" s="11">
        <f t="shared" si="75"/>
        <v>33</v>
      </c>
      <c r="FJ31" s="11">
        <f t="shared" si="75"/>
        <v>0</v>
      </c>
      <c r="FK31" s="11">
        <f t="shared" si="75"/>
        <v>0</v>
      </c>
      <c r="FL31" s="11">
        <f t="shared" si="75"/>
        <v>32</v>
      </c>
      <c r="FM31" s="11">
        <f t="shared" si="75"/>
        <v>32</v>
      </c>
      <c r="FN31" s="11">
        <f t="shared" si="75"/>
        <v>32</v>
      </c>
      <c r="FO31" s="11">
        <f t="shared" si="75"/>
        <v>32</v>
      </c>
      <c r="FP31" s="11">
        <f t="shared" si="75"/>
        <v>32</v>
      </c>
      <c r="FQ31" s="11">
        <f t="shared" si="75"/>
        <v>0</v>
      </c>
      <c r="FR31" s="11">
        <f t="shared" si="75"/>
        <v>32</v>
      </c>
      <c r="FS31" s="11">
        <f t="shared" si="75"/>
        <v>32</v>
      </c>
      <c r="FT31" s="11">
        <f t="shared" si="75"/>
        <v>32</v>
      </c>
      <c r="FU31" s="11">
        <f t="shared" si="75"/>
        <v>32</v>
      </c>
      <c r="FV31" s="11">
        <f t="shared" si="75"/>
        <v>32</v>
      </c>
      <c r="FW31" s="11">
        <f t="shared" si="75"/>
        <v>32</v>
      </c>
      <c r="FX31" s="11">
        <f t="shared" si="75"/>
        <v>0</v>
      </c>
      <c r="FY31" s="11">
        <f t="shared" si="75"/>
        <v>32</v>
      </c>
      <c r="FZ31" s="11">
        <f t="shared" si="75"/>
        <v>32</v>
      </c>
      <c r="GA31" s="11">
        <f t="shared" si="75"/>
        <v>32</v>
      </c>
      <c r="GB31" s="11">
        <f t="shared" si="75"/>
        <v>32</v>
      </c>
      <c r="GC31" s="11">
        <f t="shared" si="75"/>
        <v>32</v>
      </c>
      <c r="GD31" s="11">
        <f t="shared" si="75"/>
        <v>32</v>
      </c>
      <c r="GE31" s="11">
        <f t="shared" si="75"/>
        <v>0</v>
      </c>
      <c r="GF31" s="11">
        <f t="shared" si="75"/>
        <v>0</v>
      </c>
      <c r="GG31" s="11">
        <f t="shared" si="75"/>
        <v>0</v>
      </c>
      <c r="GH31" s="11">
        <f t="shared" si="75"/>
        <v>0</v>
      </c>
      <c r="GI31" s="11">
        <f t="shared" si="75"/>
        <v>0</v>
      </c>
      <c r="GJ31" s="11">
        <f t="shared" si="75"/>
        <v>0</v>
      </c>
      <c r="GK31" s="11">
        <f t="shared" si="75"/>
        <v>0</v>
      </c>
      <c r="GL31" s="11">
        <f t="shared" si="75"/>
        <v>0</v>
      </c>
      <c r="GM31" s="11">
        <f t="shared" si="75"/>
        <v>0</v>
      </c>
      <c r="GN31" s="11">
        <f t="shared" si="75"/>
        <v>0</v>
      </c>
      <c r="GO31" s="11">
        <f t="shared" si="75"/>
        <v>0</v>
      </c>
      <c r="GP31" s="11">
        <f t="shared" ref="GP31:JA31" si="76">SUM(GP27:GP30)</f>
        <v>0</v>
      </c>
      <c r="GQ31" s="11">
        <f t="shared" si="76"/>
        <v>0</v>
      </c>
      <c r="GR31" s="11">
        <f t="shared" si="76"/>
        <v>0</v>
      </c>
      <c r="GS31" s="11">
        <f t="shared" si="76"/>
        <v>0</v>
      </c>
      <c r="GT31" s="11">
        <f t="shared" si="76"/>
        <v>0</v>
      </c>
      <c r="GU31" s="11">
        <f t="shared" si="76"/>
        <v>0</v>
      </c>
      <c r="GV31" s="11">
        <f t="shared" si="76"/>
        <v>0</v>
      </c>
      <c r="GW31" s="11">
        <f t="shared" si="76"/>
        <v>0</v>
      </c>
      <c r="GX31" s="11">
        <f t="shared" si="76"/>
        <v>0</v>
      </c>
      <c r="GY31" s="11">
        <f t="shared" si="76"/>
        <v>0</v>
      </c>
      <c r="GZ31" s="11">
        <f t="shared" si="76"/>
        <v>0</v>
      </c>
      <c r="HA31" s="11">
        <f t="shared" si="76"/>
        <v>0</v>
      </c>
      <c r="HB31" s="11">
        <f t="shared" si="76"/>
        <v>0</v>
      </c>
      <c r="HC31" s="11">
        <f t="shared" si="76"/>
        <v>0</v>
      </c>
      <c r="HD31" s="11">
        <f t="shared" si="76"/>
        <v>0</v>
      </c>
      <c r="HE31" s="11">
        <f t="shared" si="76"/>
        <v>0</v>
      </c>
      <c r="HF31" s="11">
        <f t="shared" si="76"/>
        <v>0</v>
      </c>
      <c r="HG31" s="11">
        <f t="shared" si="76"/>
        <v>0</v>
      </c>
      <c r="HH31" s="11">
        <f t="shared" si="76"/>
        <v>0</v>
      </c>
      <c r="HI31" s="11">
        <f t="shared" si="76"/>
        <v>0</v>
      </c>
      <c r="HJ31" s="11">
        <f t="shared" si="76"/>
        <v>0</v>
      </c>
      <c r="HK31" s="11">
        <f t="shared" si="76"/>
        <v>0</v>
      </c>
      <c r="HL31" s="11">
        <f t="shared" si="76"/>
        <v>0</v>
      </c>
      <c r="HM31" s="11">
        <f t="shared" si="76"/>
        <v>0</v>
      </c>
      <c r="HN31" s="11">
        <f t="shared" si="76"/>
        <v>0</v>
      </c>
      <c r="HO31" s="11">
        <f t="shared" si="76"/>
        <v>0</v>
      </c>
      <c r="HP31" s="11">
        <f t="shared" si="76"/>
        <v>0</v>
      </c>
      <c r="HQ31" s="11">
        <f t="shared" si="76"/>
        <v>0</v>
      </c>
      <c r="HR31" s="11">
        <f t="shared" si="76"/>
        <v>0</v>
      </c>
      <c r="HS31" s="11">
        <f t="shared" si="76"/>
        <v>0</v>
      </c>
      <c r="HT31" s="11">
        <f t="shared" si="76"/>
        <v>0</v>
      </c>
      <c r="HU31" s="11">
        <f t="shared" si="76"/>
        <v>0</v>
      </c>
      <c r="HV31" s="11">
        <f t="shared" si="76"/>
        <v>0</v>
      </c>
      <c r="HW31" s="11">
        <f t="shared" si="76"/>
        <v>0</v>
      </c>
      <c r="HX31" s="11">
        <f t="shared" si="76"/>
        <v>0</v>
      </c>
      <c r="HY31" s="11">
        <f t="shared" si="76"/>
        <v>0</v>
      </c>
      <c r="HZ31" s="11">
        <f t="shared" si="76"/>
        <v>0</v>
      </c>
      <c r="IA31" s="11">
        <f t="shared" si="76"/>
        <v>0</v>
      </c>
      <c r="IB31" s="11">
        <f t="shared" si="76"/>
        <v>0</v>
      </c>
      <c r="IC31" s="11">
        <f t="shared" si="76"/>
        <v>0</v>
      </c>
      <c r="ID31" s="11">
        <f t="shared" si="76"/>
        <v>0</v>
      </c>
      <c r="IE31" s="11">
        <f t="shared" si="76"/>
        <v>0</v>
      </c>
      <c r="IF31" s="11">
        <f t="shared" si="76"/>
        <v>0</v>
      </c>
      <c r="IG31" s="11">
        <f t="shared" si="76"/>
        <v>0</v>
      </c>
      <c r="IH31" s="11">
        <f t="shared" si="76"/>
        <v>0</v>
      </c>
      <c r="II31" s="11">
        <f t="shared" si="76"/>
        <v>0</v>
      </c>
      <c r="IJ31" s="11">
        <f t="shared" si="76"/>
        <v>0</v>
      </c>
      <c r="IK31" s="11">
        <f t="shared" si="76"/>
        <v>0</v>
      </c>
      <c r="IL31" s="11">
        <f t="shared" si="76"/>
        <v>0</v>
      </c>
      <c r="IM31" s="11">
        <f t="shared" si="76"/>
        <v>0</v>
      </c>
      <c r="IN31" s="11">
        <f t="shared" si="76"/>
        <v>0</v>
      </c>
      <c r="IO31" s="11">
        <f t="shared" si="76"/>
        <v>0</v>
      </c>
      <c r="IP31" s="11">
        <f t="shared" si="76"/>
        <v>0</v>
      </c>
      <c r="IQ31" s="11">
        <f t="shared" si="76"/>
        <v>0</v>
      </c>
      <c r="IR31" s="11">
        <f t="shared" si="76"/>
        <v>0</v>
      </c>
      <c r="IS31" s="11">
        <f t="shared" si="76"/>
        <v>0</v>
      </c>
      <c r="IT31" s="11">
        <f t="shared" si="76"/>
        <v>0</v>
      </c>
      <c r="IU31" s="11">
        <f t="shared" si="76"/>
        <v>0</v>
      </c>
      <c r="IV31" s="11">
        <f t="shared" si="76"/>
        <v>0</v>
      </c>
      <c r="IW31" s="11">
        <f t="shared" si="76"/>
        <v>0</v>
      </c>
      <c r="IX31" s="11">
        <f t="shared" si="76"/>
        <v>0</v>
      </c>
      <c r="IY31" s="11">
        <f t="shared" si="76"/>
        <v>0</v>
      </c>
      <c r="IZ31" s="11">
        <f t="shared" si="76"/>
        <v>0</v>
      </c>
      <c r="JA31" s="11">
        <f t="shared" si="76"/>
        <v>0</v>
      </c>
      <c r="JB31" s="11">
        <f t="shared" ref="JB31:LM31" si="77">SUM(JB27:JB30)</f>
        <v>0</v>
      </c>
      <c r="JC31" s="11">
        <f t="shared" si="77"/>
        <v>0</v>
      </c>
      <c r="JD31" s="11">
        <f t="shared" si="77"/>
        <v>0</v>
      </c>
      <c r="JE31" s="11">
        <f t="shared" si="77"/>
        <v>0</v>
      </c>
      <c r="JF31" s="11">
        <f t="shared" si="77"/>
        <v>0</v>
      </c>
      <c r="JG31" s="11">
        <f t="shared" si="77"/>
        <v>0</v>
      </c>
      <c r="JH31" s="11">
        <f t="shared" si="77"/>
        <v>0</v>
      </c>
      <c r="JI31" s="11">
        <f t="shared" si="77"/>
        <v>0</v>
      </c>
      <c r="JJ31" s="11">
        <f t="shared" si="77"/>
        <v>0</v>
      </c>
      <c r="JK31" s="11">
        <f t="shared" si="77"/>
        <v>0</v>
      </c>
      <c r="JL31" s="11">
        <f t="shared" si="77"/>
        <v>0</v>
      </c>
      <c r="JM31" s="11">
        <f t="shared" si="77"/>
        <v>0</v>
      </c>
      <c r="JN31" s="11">
        <f t="shared" si="77"/>
        <v>0</v>
      </c>
      <c r="JO31" s="11">
        <f t="shared" si="77"/>
        <v>0</v>
      </c>
      <c r="JP31" s="11">
        <f t="shared" si="77"/>
        <v>0</v>
      </c>
      <c r="JQ31" s="11">
        <f t="shared" si="77"/>
        <v>0</v>
      </c>
      <c r="JR31" s="11">
        <f t="shared" si="77"/>
        <v>0</v>
      </c>
      <c r="JS31" s="11">
        <f t="shared" si="77"/>
        <v>0</v>
      </c>
      <c r="JT31" s="11">
        <f t="shared" si="77"/>
        <v>0</v>
      </c>
      <c r="JU31" s="11">
        <f t="shared" si="77"/>
        <v>0</v>
      </c>
      <c r="JV31" s="11">
        <f t="shared" si="77"/>
        <v>0</v>
      </c>
      <c r="JW31" s="11">
        <f t="shared" si="77"/>
        <v>0</v>
      </c>
      <c r="JX31" s="11">
        <f t="shared" si="77"/>
        <v>0</v>
      </c>
      <c r="JY31" s="11">
        <f t="shared" si="77"/>
        <v>0</v>
      </c>
      <c r="JZ31" s="11">
        <f t="shared" si="77"/>
        <v>0</v>
      </c>
      <c r="KA31" s="11">
        <f t="shared" si="77"/>
        <v>0</v>
      </c>
      <c r="KB31" s="11">
        <f t="shared" si="77"/>
        <v>0</v>
      </c>
      <c r="KC31" s="11">
        <f t="shared" si="77"/>
        <v>0</v>
      </c>
      <c r="KD31" s="11">
        <f t="shared" si="77"/>
        <v>0</v>
      </c>
      <c r="KE31" s="11">
        <f t="shared" si="77"/>
        <v>0</v>
      </c>
      <c r="KF31" s="11">
        <f t="shared" si="77"/>
        <v>0</v>
      </c>
      <c r="KG31" s="11">
        <f t="shared" si="77"/>
        <v>0</v>
      </c>
      <c r="KH31" s="11">
        <f t="shared" si="77"/>
        <v>0</v>
      </c>
      <c r="KI31" s="11">
        <f t="shared" si="77"/>
        <v>0</v>
      </c>
      <c r="KJ31" s="11">
        <f t="shared" si="77"/>
        <v>0</v>
      </c>
      <c r="KK31" s="11">
        <f t="shared" si="77"/>
        <v>0</v>
      </c>
      <c r="KL31" s="11">
        <f t="shared" si="77"/>
        <v>0</v>
      </c>
      <c r="KM31" s="11">
        <f t="shared" si="77"/>
        <v>0</v>
      </c>
      <c r="KN31" s="11">
        <f t="shared" si="77"/>
        <v>0</v>
      </c>
      <c r="KO31" s="11">
        <f t="shared" si="77"/>
        <v>0</v>
      </c>
      <c r="KP31" s="11">
        <f t="shared" si="77"/>
        <v>0</v>
      </c>
      <c r="KQ31" s="11">
        <f t="shared" si="77"/>
        <v>0</v>
      </c>
      <c r="KR31" s="11">
        <f t="shared" si="77"/>
        <v>0</v>
      </c>
      <c r="KS31" s="11">
        <f t="shared" si="77"/>
        <v>0</v>
      </c>
      <c r="KT31" s="11">
        <f t="shared" si="77"/>
        <v>0</v>
      </c>
      <c r="KU31" s="11">
        <f t="shared" si="77"/>
        <v>0</v>
      </c>
      <c r="KV31" s="11">
        <f t="shared" si="77"/>
        <v>0</v>
      </c>
      <c r="KW31" s="11">
        <f t="shared" si="77"/>
        <v>0</v>
      </c>
      <c r="KX31" s="11">
        <f t="shared" si="77"/>
        <v>0</v>
      </c>
      <c r="KY31" s="11">
        <f t="shared" si="77"/>
        <v>0</v>
      </c>
      <c r="KZ31" s="11">
        <f t="shared" si="77"/>
        <v>0</v>
      </c>
      <c r="LA31" s="11">
        <f t="shared" si="77"/>
        <v>0</v>
      </c>
      <c r="LB31" s="11">
        <f t="shared" si="77"/>
        <v>0</v>
      </c>
      <c r="LC31" s="11">
        <f t="shared" si="77"/>
        <v>0</v>
      </c>
      <c r="LD31" s="11">
        <f t="shared" si="77"/>
        <v>0</v>
      </c>
      <c r="LE31" s="11">
        <f t="shared" si="77"/>
        <v>0</v>
      </c>
      <c r="LF31" s="11">
        <f t="shared" si="77"/>
        <v>0</v>
      </c>
      <c r="LG31" s="11">
        <f t="shared" si="77"/>
        <v>0</v>
      </c>
      <c r="LH31" s="11">
        <f t="shared" si="77"/>
        <v>0</v>
      </c>
      <c r="LI31" s="11">
        <f t="shared" si="77"/>
        <v>0</v>
      </c>
      <c r="LJ31" s="11">
        <f t="shared" si="77"/>
        <v>0</v>
      </c>
      <c r="LK31" s="11">
        <f t="shared" si="77"/>
        <v>0</v>
      </c>
      <c r="LL31" s="11">
        <f t="shared" si="77"/>
        <v>0</v>
      </c>
      <c r="LM31" s="11">
        <f t="shared" si="77"/>
        <v>0</v>
      </c>
      <c r="LN31" s="11">
        <f t="shared" ref="LN31:NY31" si="78">SUM(LN27:LN30)</f>
        <v>0</v>
      </c>
      <c r="LO31" s="11">
        <f t="shared" si="78"/>
        <v>0</v>
      </c>
      <c r="LP31" s="11">
        <f t="shared" si="78"/>
        <v>0</v>
      </c>
      <c r="LQ31" s="11">
        <f t="shared" si="78"/>
        <v>0</v>
      </c>
      <c r="LR31" s="11">
        <f t="shared" si="78"/>
        <v>0</v>
      </c>
      <c r="LS31" s="11">
        <f t="shared" si="78"/>
        <v>0</v>
      </c>
      <c r="LT31" s="11">
        <f t="shared" si="78"/>
        <v>0</v>
      </c>
      <c r="LU31" s="11">
        <f t="shared" si="78"/>
        <v>0</v>
      </c>
      <c r="LV31" s="11">
        <f t="shared" si="78"/>
        <v>0</v>
      </c>
      <c r="LW31" s="11">
        <f t="shared" si="78"/>
        <v>0</v>
      </c>
      <c r="LX31" s="11">
        <f t="shared" si="78"/>
        <v>0</v>
      </c>
      <c r="LY31" s="11">
        <f t="shared" si="78"/>
        <v>0</v>
      </c>
      <c r="LZ31" s="11">
        <f t="shared" si="78"/>
        <v>0</v>
      </c>
      <c r="MA31" s="11">
        <f t="shared" si="78"/>
        <v>0</v>
      </c>
      <c r="MB31" s="11">
        <f t="shared" si="78"/>
        <v>0</v>
      </c>
      <c r="MC31" s="11">
        <f t="shared" si="78"/>
        <v>0</v>
      </c>
      <c r="MD31" s="11">
        <f t="shared" si="78"/>
        <v>0</v>
      </c>
      <c r="ME31" s="11">
        <f t="shared" si="78"/>
        <v>0</v>
      </c>
      <c r="MF31" s="11">
        <f t="shared" si="78"/>
        <v>0</v>
      </c>
      <c r="MG31" s="11">
        <f t="shared" si="78"/>
        <v>0</v>
      </c>
      <c r="MH31" s="11">
        <f t="shared" si="78"/>
        <v>0</v>
      </c>
      <c r="MI31" s="11">
        <f t="shared" si="78"/>
        <v>0</v>
      </c>
      <c r="MJ31" s="11">
        <f t="shared" si="78"/>
        <v>0</v>
      </c>
      <c r="MK31" s="11">
        <f t="shared" si="78"/>
        <v>0</v>
      </c>
      <c r="ML31" s="11">
        <f t="shared" si="78"/>
        <v>0</v>
      </c>
      <c r="MM31" s="11">
        <f t="shared" si="78"/>
        <v>0</v>
      </c>
      <c r="MN31" s="11">
        <f t="shared" si="78"/>
        <v>0</v>
      </c>
      <c r="MO31" s="11">
        <f t="shared" si="78"/>
        <v>0</v>
      </c>
      <c r="MP31" s="11">
        <f t="shared" si="78"/>
        <v>0</v>
      </c>
      <c r="MQ31" s="11">
        <f t="shared" si="78"/>
        <v>0</v>
      </c>
      <c r="MR31" s="11">
        <f t="shared" si="78"/>
        <v>0</v>
      </c>
      <c r="MS31" s="11">
        <f t="shared" si="78"/>
        <v>0</v>
      </c>
      <c r="MT31" s="11">
        <f t="shared" si="78"/>
        <v>0</v>
      </c>
      <c r="MU31" s="11">
        <f t="shared" si="78"/>
        <v>0</v>
      </c>
      <c r="MV31" s="11">
        <f t="shared" si="78"/>
        <v>0</v>
      </c>
      <c r="MW31" s="11">
        <f t="shared" si="78"/>
        <v>0</v>
      </c>
      <c r="MX31" s="11">
        <f t="shared" si="78"/>
        <v>0</v>
      </c>
      <c r="MY31" s="11">
        <f t="shared" si="78"/>
        <v>0</v>
      </c>
      <c r="MZ31" s="11">
        <f t="shared" si="78"/>
        <v>0</v>
      </c>
      <c r="NA31" s="11">
        <f t="shared" si="78"/>
        <v>0</v>
      </c>
      <c r="NB31" s="11">
        <f t="shared" si="78"/>
        <v>0</v>
      </c>
      <c r="NC31" s="11">
        <f t="shared" si="78"/>
        <v>0</v>
      </c>
      <c r="ND31" s="11">
        <f t="shared" si="78"/>
        <v>0</v>
      </c>
      <c r="NE31" s="11">
        <f t="shared" si="78"/>
        <v>0</v>
      </c>
      <c r="NF31" s="11">
        <f t="shared" si="78"/>
        <v>0</v>
      </c>
      <c r="NG31" s="11">
        <f t="shared" si="78"/>
        <v>0</v>
      </c>
      <c r="NH31" s="11">
        <f t="shared" si="78"/>
        <v>0</v>
      </c>
      <c r="NI31" s="11">
        <f t="shared" si="78"/>
        <v>0</v>
      </c>
      <c r="NJ31" s="11">
        <f t="shared" si="78"/>
        <v>0</v>
      </c>
      <c r="NK31" s="11">
        <f t="shared" si="78"/>
        <v>0</v>
      </c>
      <c r="NL31" s="11">
        <f t="shared" si="78"/>
        <v>0</v>
      </c>
      <c r="NM31" s="11">
        <f t="shared" si="78"/>
        <v>0</v>
      </c>
      <c r="NN31" s="11">
        <f t="shared" si="78"/>
        <v>0</v>
      </c>
      <c r="NO31" s="11">
        <f t="shared" si="78"/>
        <v>0</v>
      </c>
      <c r="NP31" s="11">
        <f t="shared" si="78"/>
        <v>0</v>
      </c>
      <c r="NQ31" s="11">
        <f t="shared" si="78"/>
        <v>0</v>
      </c>
      <c r="NR31" s="11">
        <f t="shared" si="78"/>
        <v>0</v>
      </c>
      <c r="NS31" s="11">
        <f t="shared" si="78"/>
        <v>0</v>
      </c>
      <c r="NT31" s="11">
        <f t="shared" si="78"/>
        <v>0</v>
      </c>
      <c r="NU31" s="11">
        <f t="shared" si="78"/>
        <v>0</v>
      </c>
      <c r="NV31" s="11">
        <f t="shared" si="78"/>
        <v>0</v>
      </c>
      <c r="NW31" s="11">
        <f t="shared" si="78"/>
        <v>0</v>
      </c>
      <c r="NX31" s="11">
        <f t="shared" si="78"/>
        <v>0</v>
      </c>
      <c r="NY31" s="11">
        <f t="shared" si="78"/>
        <v>0</v>
      </c>
      <c r="NZ31" s="11">
        <f t="shared" ref="NZ31:QK31" si="79">SUM(NZ27:NZ30)</f>
        <v>0</v>
      </c>
      <c r="OA31" s="11">
        <f t="shared" si="79"/>
        <v>0</v>
      </c>
      <c r="OB31" s="11">
        <f t="shared" si="79"/>
        <v>0</v>
      </c>
      <c r="OC31" s="11">
        <f t="shared" si="79"/>
        <v>0</v>
      </c>
      <c r="OD31" s="11">
        <f t="shared" si="79"/>
        <v>0</v>
      </c>
      <c r="OE31" s="11">
        <f t="shared" si="79"/>
        <v>0</v>
      </c>
      <c r="OF31" s="11">
        <f t="shared" si="79"/>
        <v>0</v>
      </c>
      <c r="OG31" s="11">
        <f t="shared" si="79"/>
        <v>0</v>
      </c>
      <c r="OH31" s="11">
        <f t="shared" si="79"/>
        <v>0</v>
      </c>
      <c r="OI31" s="11">
        <f t="shared" si="79"/>
        <v>0</v>
      </c>
      <c r="OJ31" s="11">
        <f t="shared" si="79"/>
        <v>0</v>
      </c>
      <c r="OK31" s="11">
        <f t="shared" si="79"/>
        <v>0</v>
      </c>
      <c r="OL31" s="11">
        <f t="shared" si="79"/>
        <v>0</v>
      </c>
      <c r="OM31" s="11">
        <f t="shared" si="79"/>
        <v>0</v>
      </c>
      <c r="ON31" s="11">
        <f t="shared" si="79"/>
        <v>0</v>
      </c>
      <c r="OO31" s="11">
        <f t="shared" si="79"/>
        <v>0</v>
      </c>
      <c r="OP31" s="11">
        <f t="shared" si="79"/>
        <v>0</v>
      </c>
      <c r="OQ31" s="11">
        <f t="shared" si="79"/>
        <v>0</v>
      </c>
      <c r="OR31" s="11">
        <f t="shared" si="79"/>
        <v>0</v>
      </c>
      <c r="OS31" s="11">
        <f t="shared" si="79"/>
        <v>0</v>
      </c>
      <c r="OT31" s="11">
        <f t="shared" si="79"/>
        <v>0</v>
      </c>
      <c r="OU31" s="11">
        <f t="shared" si="79"/>
        <v>0</v>
      </c>
      <c r="OV31" s="11">
        <f t="shared" si="79"/>
        <v>0</v>
      </c>
      <c r="OW31" s="11">
        <f t="shared" si="79"/>
        <v>0</v>
      </c>
      <c r="OX31" s="11">
        <f t="shared" si="79"/>
        <v>0</v>
      </c>
      <c r="OY31" s="11">
        <f t="shared" si="79"/>
        <v>0</v>
      </c>
      <c r="OZ31" s="11">
        <f t="shared" si="79"/>
        <v>0</v>
      </c>
      <c r="PA31" s="11">
        <f t="shared" si="79"/>
        <v>0</v>
      </c>
      <c r="PB31" s="11">
        <f t="shared" si="79"/>
        <v>0</v>
      </c>
      <c r="PC31" s="11">
        <f t="shared" si="79"/>
        <v>0</v>
      </c>
      <c r="PD31" s="11">
        <f t="shared" si="79"/>
        <v>0</v>
      </c>
      <c r="PE31" s="11">
        <f t="shared" si="79"/>
        <v>0</v>
      </c>
      <c r="PF31" s="11">
        <f t="shared" si="79"/>
        <v>0</v>
      </c>
      <c r="PG31" s="11">
        <f t="shared" si="79"/>
        <v>0</v>
      </c>
      <c r="PH31" s="11">
        <f t="shared" si="79"/>
        <v>0</v>
      </c>
      <c r="PI31" s="11">
        <f t="shared" si="79"/>
        <v>0</v>
      </c>
      <c r="PJ31" s="11">
        <f t="shared" si="79"/>
        <v>0</v>
      </c>
      <c r="PK31" s="11">
        <f t="shared" si="79"/>
        <v>0</v>
      </c>
      <c r="PL31" s="11">
        <f t="shared" si="79"/>
        <v>0</v>
      </c>
      <c r="PM31" s="11">
        <f t="shared" si="79"/>
        <v>0</v>
      </c>
      <c r="PN31" s="11">
        <f t="shared" si="79"/>
        <v>0</v>
      </c>
      <c r="PO31" s="11">
        <f t="shared" si="79"/>
        <v>0</v>
      </c>
      <c r="PP31" s="11">
        <f t="shared" si="79"/>
        <v>0</v>
      </c>
      <c r="PQ31" s="11">
        <f t="shared" si="79"/>
        <v>0</v>
      </c>
      <c r="PR31" s="11">
        <f t="shared" si="79"/>
        <v>0</v>
      </c>
      <c r="PS31" s="11">
        <f t="shared" si="79"/>
        <v>0</v>
      </c>
      <c r="PT31" s="11">
        <f t="shared" si="79"/>
        <v>0</v>
      </c>
      <c r="PU31" s="11">
        <f t="shared" si="79"/>
        <v>0</v>
      </c>
      <c r="PV31" s="11">
        <f t="shared" si="79"/>
        <v>0</v>
      </c>
      <c r="PW31" s="11">
        <f t="shared" si="79"/>
        <v>0</v>
      </c>
      <c r="PX31" s="11">
        <f t="shared" si="79"/>
        <v>0</v>
      </c>
      <c r="PY31" s="11">
        <f t="shared" si="79"/>
        <v>0</v>
      </c>
      <c r="PZ31" s="11">
        <f t="shared" si="79"/>
        <v>0</v>
      </c>
      <c r="QA31" s="11">
        <f t="shared" si="79"/>
        <v>0</v>
      </c>
      <c r="QB31" s="11">
        <f t="shared" si="79"/>
        <v>0</v>
      </c>
      <c r="QC31" s="11">
        <f t="shared" si="79"/>
        <v>0</v>
      </c>
      <c r="QD31" s="11">
        <f t="shared" si="79"/>
        <v>0</v>
      </c>
      <c r="QE31" s="11">
        <f t="shared" si="79"/>
        <v>0</v>
      </c>
      <c r="QF31" s="11">
        <f t="shared" si="79"/>
        <v>0</v>
      </c>
      <c r="QG31" s="11">
        <f t="shared" si="79"/>
        <v>0</v>
      </c>
      <c r="QH31" s="11">
        <f t="shared" si="79"/>
        <v>0</v>
      </c>
      <c r="QI31" s="11">
        <f t="shared" si="79"/>
        <v>0</v>
      </c>
      <c r="QJ31" s="11">
        <f t="shared" si="79"/>
        <v>0</v>
      </c>
      <c r="QK31" s="11">
        <f t="shared" si="79"/>
        <v>0</v>
      </c>
      <c r="QL31" s="11">
        <f t="shared" ref="QL31:SW31" si="80">SUM(QL27:QL30)</f>
        <v>0</v>
      </c>
      <c r="QM31" s="11">
        <f t="shared" si="80"/>
        <v>0</v>
      </c>
      <c r="QN31" s="11">
        <f t="shared" si="80"/>
        <v>0</v>
      </c>
      <c r="QO31" s="11">
        <f t="shared" si="80"/>
        <v>0</v>
      </c>
      <c r="QP31" s="11">
        <f t="shared" si="80"/>
        <v>0</v>
      </c>
      <c r="QQ31" s="11">
        <f t="shared" si="80"/>
        <v>0</v>
      </c>
      <c r="QR31" s="11">
        <f t="shared" si="80"/>
        <v>0</v>
      </c>
      <c r="QS31" s="11">
        <f t="shared" si="80"/>
        <v>0</v>
      </c>
      <c r="QT31" s="11">
        <f t="shared" si="80"/>
        <v>0</v>
      </c>
      <c r="QU31" s="11">
        <f t="shared" si="80"/>
        <v>0</v>
      </c>
      <c r="QV31" s="11">
        <f t="shared" si="80"/>
        <v>0</v>
      </c>
      <c r="QW31" s="11">
        <f t="shared" si="80"/>
        <v>0</v>
      </c>
      <c r="QX31" s="11">
        <f t="shared" si="80"/>
        <v>0</v>
      </c>
      <c r="QY31" s="11">
        <f t="shared" si="80"/>
        <v>0</v>
      </c>
      <c r="QZ31" s="11">
        <f t="shared" si="80"/>
        <v>0</v>
      </c>
      <c r="RA31" s="11">
        <f t="shared" si="80"/>
        <v>0</v>
      </c>
      <c r="RB31" s="11">
        <f t="shared" si="80"/>
        <v>0</v>
      </c>
      <c r="RC31" s="11">
        <f t="shared" si="80"/>
        <v>0</v>
      </c>
      <c r="RD31" s="11">
        <f t="shared" si="80"/>
        <v>0</v>
      </c>
      <c r="RE31" s="11">
        <f t="shared" si="80"/>
        <v>0</v>
      </c>
      <c r="RF31" s="11">
        <f t="shared" si="80"/>
        <v>0</v>
      </c>
      <c r="RG31" s="11">
        <f t="shared" si="80"/>
        <v>0</v>
      </c>
      <c r="RH31" s="11">
        <f t="shared" si="80"/>
        <v>0</v>
      </c>
      <c r="RI31" s="11">
        <f t="shared" si="80"/>
        <v>0</v>
      </c>
      <c r="RJ31" s="11">
        <f t="shared" si="80"/>
        <v>0</v>
      </c>
      <c r="RK31" s="11">
        <f t="shared" si="80"/>
        <v>0</v>
      </c>
      <c r="RL31" s="11">
        <f t="shared" si="80"/>
        <v>0</v>
      </c>
      <c r="RM31" s="11">
        <f t="shared" si="80"/>
        <v>0</v>
      </c>
      <c r="RN31" s="11">
        <f t="shared" si="80"/>
        <v>0</v>
      </c>
      <c r="RO31" s="11">
        <f t="shared" si="80"/>
        <v>0</v>
      </c>
      <c r="RP31" s="11">
        <f t="shared" si="80"/>
        <v>0</v>
      </c>
      <c r="RQ31" s="11">
        <f t="shared" si="80"/>
        <v>0</v>
      </c>
      <c r="RR31" s="11">
        <f t="shared" si="80"/>
        <v>0</v>
      </c>
      <c r="RS31" s="11">
        <f t="shared" si="80"/>
        <v>0</v>
      </c>
      <c r="RT31" s="11">
        <f t="shared" si="80"/>
        <v>0</v>
      </c>
      <c r="RU31" s="11">
        <f t="shared" si="80"/>
        <v>0</v>
      </c>
      <c r="RV31" s="11">
        <f t="shared" si="80"/>
        <v>0</v>
      </c>
      <c r="RW31" s="11">
        <f t="shared" si="80"/>
        <v>0</v>
      </c>
      <c r="RX31" s="11">
        <f t="shared" si="80"/>
        <v>0</v>
      </c>
      <c r="RY31" s="11">
        <f t="shared" si="80"/>
        <v>0</v>
      </c>
      <c r="RZ31" s="11">
        <f t="shared" si="80"/>
        <v>0</v>
      </c>
      <c r="SA31" s="11">
        <f t="shared" si="80"/>
        <v>0</v>
      </c>
      <c r="SB31" s="11">
        <f t="shared" si="80"/>
        <v>0</v>
      </c>
      <c r="SC31" s="11">
        <f t="shared" si="80"/>
        <v>0</v>
      </c>
      <c r="SD31" s="11">
        <f t="shared" si="80"/>
        <v>0</v>
      </c>
      <c r="SE31" s="11">
        <f t="shared" si="80"/>
        <v>0</v>
      </c>
      <c r="SF31" s="11">
        <f t="shared" si="80"/>
        <v>0</v>
      </c>
      <c r="SG31" s="11">
        <f t="shared" si="80"/>
        <v>0</v>
      </c>
      <c r="SH31" s="11">
        <f t="shared" si="80"/>
        <v>0</v>
      </c>
      <c r="SI31" s="11">
        <f t="shared" si="80"/>
        <v>0</v>
      </c>
      <c r="SJ31" s="11">
        <f t="shared" si="80"/>
        <v>0</v>
      </c>
      <c r="SK31" s="11">
        <f t="shared" si="80"/>
        <v>0</v>
      </c>
      <c r="SL31" s="11">
        <f t="shared" si="80"/>
        <v>0</v>
      </c>
      <c r="SM31" s="11">
        <f t="shared" si="80"/>
        <v>0</v>
      </c>
      <c r="SN31" s="11">
        <f t="shared" si="80"/>
        <v>0</v>
      </c>
      <c r="SO31" s="11">
        <f t="shared" si="80"/>
        <v>0</v>
      </c>
      <c r="SP31" s="11">
        <f t="shared" si="80"/>
        <v>0</v>
      </c>
      <c r="SQ31" s="11">
        <f t="shared" si="80"/>
        <v>0</v>
      </c>
      <c r="SR31" s="11">
        <f t="shared" si="80"/>
        <v>0</v>
      </c>
      <c r="SS31" s="11">
        <f t="shared" si="80"/>
        <v>0</v>
      </c>
      <c r="ST31" s="11">
        <f t="shared" si="80"/>
        <v>0</v>
      </c>
      <c r="SU31" s="11">
        <f t="shared" si="80"/>
        <v>0</v>
      </c>
      <c r="SV31" s="11">
        <f t="shared" si="80"/>
        <v>0</v>
      </c>
      <c r="SW31" s="11">
        <f t="shared" si="80"/>
        <v>0</v>
      </c>
      <c r="SX31" s="11">
        <f t="shared" ref="SX31:VI31" si="81">SUM(SX27:SX30)</f>
        <v>0</v>
      </c>
      <c r="SY31" s="11">
        <f t="shared" si="81"/>
        <v>0</v>
      </c>
      <c r="SZ31" s="11">
        <f t="shared" si="81"/>
        <v>0</v>
      </c>
      <c r="TA31" s="11">
        <f t="shared" si="81"/>
        <v>0</v>
      </c>
      <c r="TB31" s="11">
        <f t="shared" si="81"/>
        <v>0</v>
      </c>
      <c r="TC31" s="11">
        <f t="shared" si="81"/>
        <v>0</v>
      </c>
      <c r="TD31" s="11">
        <f t="shared" si="81"/>
        <v>0</v>
      </c>
      <c r="TE31" s="11">
        <f t="shared" si="81"/>
        <v>0</v>
      </c>
      <c r="TF31" s="11">
        <f t="shared" si="81"/>
        <v>0</v>
      </c>
      <c r="TG31" s="11">
        <f t="shared" si="81"/>
        <v>0</v>
      </c>
      <c r="TH31" s="11">
        <f t="shared" si="81"/>
        <v>0</v>
      </c>
      <c r="TI31" s="11">
        <f t="shared" si="81"/>
        <v>0</v>
      </c>
      <c r="TJ31" s="11">
        <f t="shared" si="81"/>
        <v>0</v>
      </c>
      <c r="TK31" s="11">
        <f t="shared" si="81"/>
        <v>0</v>
      </c>
      <c r="TL31" s="11">
        <f t="shared" si="81"/>
        <v>0</v>
      </c>
      <c r="TM31" s="11">
        <f t="shared" si="81"/>
        <v>0</v>
      </c>
      <c r="TN31" s="11">
        <f t="shared" si="81"/>
        <v>0</v>
      </c>
      <c r="TO31" s="11">
        <f t="shared" si="81"/>
        <v>0</v>
      </c>
      <c r="TP31" s="11">
        <f t="shared" si="81"/>
        <v>0</v>
      </c>
      <c r="TQ31" s="11">
        <f t="shared" si="81"/>
        <v>0</v>
      </c>
      <c r="TR31" s="11">
        <f t="shared" si="81"/>
        <v>0</v>
      </c>
      <c r="TS31" s="11">
        <f t="shared" si="81"/>
        <v>0</v>
      </c>
      <c r="TT31" s="11">
        <f t="shared" si="81"/>
        <v>0</v>
      </c>
      <c r="TU31" s="11">
        <f t="shared" si="81"/>
        <v>0</v>
      </c>
      <c r="TV31" s="11">
        <f t="shared" si="81"/>
        <v>0</v>
      </c>
      <c r="TW31" s="11">
        <f t="shared" si="81"/>
        <v>0</v>
      </c>
      <c r="TX31" s="11">
        <f t="shared" si="81"/>
        <v>0</v>
      </c>
      <c r="TY31" s="11">
        <f t="shared" si="81"/>
        <v>0</v>
      </c>
      <c r="TZ31" s="11">
        <f t="shared" si="81"/>
        <v>0</v>
      </c>
      <c r="UA31" s="11">
        <f t="shared" si="81"/>
        <v>0</v>
      </c>
      <c r="UB31" s="11">
        <f t="shared" si="81"/>
        <v>0</v>
      </c>
      <c r="UC31" s="11">
        <f t="shared" si="81"/>
        <v>0</v>
      </c>
      <c r="UD31" s="11">
        <f t="shared" si="81"/>
        <v>0</v>
      </c>
      <c r="UE31" s="11">
        <f t="shared" si="81"/>
        <v>0</v>
      </c>
      <c r="UF31" s="11">
        <f t="shared" si="81"/>
        <v>0</v>
      </c>
      <c r="UG31" s="11">
        <f t="shared" si="81"/>
        <v>0</v>
      </c>
      <c r="UH31" s="11">
        <f t="shared" si="81"/>
        <v>0</v>
      </c>
      <c r="UI31" s="11">
        <f t="shared" si="81"/>
        <v>0</v>
      </c>
      <c r="UJ31" s="11">
        <f t="shared" si="81"/>
        <v>0</v>
      </c>
      <c r="UK31" s="11">
        <f t="shared" si="81"/>
        <v>0</v>
      </c>
      <c r="UL31" s="11">
        <f t="shared" si="81"/>
        <v>0</v>
      </c>
      <c r="UM31" s="11">
        <f t="shared" si="81"/>
        <v>0</v>
      </c>
      <c r="UN31" s="11">
        <f t="shared" si="81"/>
        <v>0</v>
      </c>
      <c r="UO31" s="11">
        <f t="shared" si="81"/>
        <v>0</v>
      </c>
      <c r="UP31" s="11">
        <f t="shared" si="81"/>
        <v>0</v>
      </c>
      <c r="UQ31" s="11">
        <f t="shared" si="81"/>
        <v>0</v>
      </c>
      <c r="UR31" s="11">
        <f t="shared" si="81"/>
        <v>0</v>
      </c>
      <c r="US31" s="11">
        <f t="shared" si="81"/>
        <v>0</v>
      </c>
      <c r="UT31" s="11">
        <f t="shared" si="81"/>
        <v>0</v>
      </c>
      <c r="UU31" s="11">
        <f t="shared" si="81"/>
        <v>0</v>
      </c>
      <c r="UV31" s="11">
        <f t="shared" si="81"/>
        <v>0</v>
      </c>
      <c r="UW31" s="11">
        <f t="shared" si="81"/>
        <v>0</v>
      </c>
      <c r="UX31" s="11">
        <f t="shared" si="81"/>
        <v>0</v>
      </c>
      <c r="UY31" s="11">
        <f t="shared" si="81"/>
        <v>0</v>
      </c>
      <c r="UZ31" s="11">
        <f t="shared" si="81"/>
        <v>0</v>
      </c>
      <c r="VA31" s="11">
        <f t="shared" si="81"/>
        <v>0</v>
      </c>
      <c r="VB31" s="11">
        <f t="shared" si="81"/>
        <v>0</v>
      </c>
      <c r="VC31" s="11">
        <f t="shared" si="81"/>
        <v>0</v>
      </c>
      <c r="VD31" s="11">
        <f t="shared" si="81"/>
        <v>0</v>
      </c>
      <c r="VE31" s="11">
        <f t="shared" si="81"/>
        <v>0</v>
      </c>
      <c r="VF31" s="11">
        <f t="shared" si="81"/>
        <v>0</v>
      </c>
      <c r="VG31" s="11">
        <f t="shared" si="81"/>
        <v>0</v>
      </c>
      <c r="VH31" s="11">
        <f t="shared" si="81"/>
        <v>0</v>
      </c>
      <c r="VI31" s="11">
        <f t="shared" si="81"/>
        <v>0</v>
      </c>
      <c r="VJ31" s="11">
        <f t="shared" ref="VJ31:XU31" si="82">SUM(VJ27:VJ30)</f>
        <v>0</v>
      </c>
      <c r="VK31" s="11">
        <f t="shared" si="82"/>
        <v>0</v>
      </c>
      <c r="VL31" s="11">
        <f t="shared" si="82"/>
        <v>0</v>
      </c>
      <c r="VM31" s="11">
        <f t="shared" si="82"/>
        <v>0</v>
      </c>
      <c r="VN31" s="11">
        <f t="shared" si="82"/>
        <v>0</v>
      </c>
      <c r="VO31" s="11">
        <f t="shared" si="82"/>
        <v>0</v>
      </c>
      <c r="VP31" s="11">
        <f t="shared" si="82"/>
        <v>0</v>
      </c>
      <c r="VQ31" s="11">
        <f t="shared" si="82"/>
        <v>0</v>
      </c>
      <c r="VR31" s="11">
        <f t="shared" si="82"/>
        <v>0</v>
      </c>
      <c r="VS31" s="11">
        <f t="shared" si="82"/>
        <v>0</v>
      </c>
      <c r="VT31" s="11">
        <f t="shared" si="82"/>
        <v>0</v>
      </c>
      <c r="VU31" s="11">
        <f t="shared" si="82"/>
        <v>0</v>
      </c>
      <c r="VV31" s="11">
        <f t="shared" si="82"/>
        <v>0</v>
      </c>
      <c r="VW31" s="11">
        <f t="shared" si="82"/>
        <v>0</v>
      </c>
      <c r="VX31" s="11">
        <f t="shared" si="82"/>
        <v>0</v>
      </c>
      <c r="VY31" s="11">
        <f t="shared" si="82"/>
        <v>0</v>
      </c>
      <c r="VZ31" s="11">
        <f t="shared" si="82"/>
        <v>0</v>
      </c>
      <c r="WA31" s="11">
        <f t="shared" si="82"/>
        <v>0</v>
      </c>
      <c r="WB31" s="11">
        <f t="shared" si="82"/>
        <v>0</v>
      </c>
      <c r="WC31" s="11">
        <f t="shared" si="82"/>
        <v>0</v>
      </c>
      <c r="WD31" s="11">
        <f t="shared" si="82"/>
        <v>0</v>
      </c>
      <c r="WE31" s="11">
        <f t="shared" si="82"/>
        <v>0</v>
      </c>
      <c r="WF31" s="11">
        <f t="shared" si="82"/>
        <v>0</v>
      </c>
      <c r="WG31" s="11">
        <f t="shared" si="82"/>
        <v>0</v>
      </c>
      <c r="WH31" s="11">
        <f t="shared" si="82"/>
        <v>0</v>
      </c>
      <c r="WI31" s="11">
        <f t="shared" si="82"/>
        <v>0</v>
      </c>
      <c r="WJ31" s="11">
        <f t="shared" si="82"/>
        <v>0</v>
      </c>
      <c r="WK31" s="11">
        <f t="shared" si="82"/>
        <v>0</v>
      </c>
      <c r="WL31" s="11">
        <f t="shared" si="82"/>
        <v>0</v>
      </c>
      <c r="WM31" s="11">
        <f t="shared" si="82"/>
        <v>0</v>
      </c>
      <c r="WN31" s="11">
        <f t="shared" si="82"/>
        <v>0</v>
      </c>
      <c r="WO31" s="11">
        <f t="shared" si="82"/>
        <v>0</v>
      </c>
      <c r="WP31" s="11">
        <f t="shared" si="82"/>
        <v>0</v>
      </c>
      <c r="WQ31" s="11">
        <f t="shared" si="82"/>
        <v>0</v>
      </c>
      <c r="WR31" s="11">
        <f t="shared" si="82"/>
        <v>0</v>
      </c>
      <c r="WS31" s="11">
        <f t="shared" si="82"/>
        <v>0</v>
      </c>
      <c r="WT31" s="11">
        <f t="shared" si="82"/>
        <v>0</v>
      </c>
      <c r="WU31" s="11">
        <f t="shared" si="82"/>
        <v>0</v>
      </c>
      <c r="WV31" s="11">
        <f t="shared" si="82"/>
        <v>0</v>
      </c>
      <c r="WW31" s="11">
        <f t="shared" si="82"/>
        <v>0</v>
      </c>
      <c r="WX31" s="11">
        <f t="shared" si="82"/>
        <v>0</v>
      </c>
      <c r="WY31" s="11">
        <f t="shared" si="82"/>
        <v>0</v>
      </c>
      <c r="WZ31" s="11">
        <f t="shared" si="82"/>
        <v>0</v>
      </c>
      <c r="XA31" s="11">
        <f t="shared" si="82"/>
        <v>0</v>
      </c>
      <c r="XB31" s="11">
        <f t="shared" si="82"/>
        <v>0</v>
      </c>
      <c r="XC31" s="11">
        <f t="shared" si="82"/>
        <v>0</v>
      </c>
      <c r="XD31" s="11">
        <f t="shared" si="82"/>
        <v>0</v>
      </c>
      <c r="XE31" s="11">
        <f t="shared" si="82"/>
        <v>0</v>
      </c>
      <c r="XF31" s="11">
        <f t="shared" si="82"/>
        <v>0</v>
      </c>
      <c r="XG31" s="11">
        <f t="shared" si="82"/>
        <v>0</v>
      </c>
      <c r="XH31" s="11">
        <f t="shared" si="82"/>
        <v>0</v>
      </c>
      <c r="XI31" s="11">
        <f t="shared" si="82"/>
        <v>0</v>
      </c>
      <c r="XJ31" s="11">
        <f t="shared" si="82"/>
        <v>0</v>
      </c>
      <c r="XK31" s="11">
        <f t="shared" si="82"/>
        <v>0</v>
      </c>
      <c r="XL31" s="11">
        <f t="shared" si="82"/>
        <v>0</v>
      </c>
      <c r="XM31" s="11">
        <f t="shared" si="82"/>
        <v>0</v>
      </c>
      <c r="XN31" s="11">
        <f t="shared" si="82"/>
        <v>0</v>
      </c>
      <c r="XO31" s="11">
        <f t="shared" si="82"/>
        <v>0</v>
      </c>
      <c r="XP31" s="11">
        <f t="shared" si="82"/>
        <v>0</v>
      </c>
      <c r="XQ31" s="11">
        <f t="shared" si="82"/>
        <v>0</v>
      </c>
      <c r="XR31" s="11">
        <f t="shared" si="82"/>
        <v>0</v>
      </c>
      <c r="XS31" s="11">
        <f t="shared" si="82"/>
        <v>0</v>
      </c>
      <c r="XT31" s="11">
        <f t="shared" si="82"/>
        <v>0</v>
      </c>
      <c r="XU31" s="11">
        <f t="shared" si="82"/>
        <v>0</v>
      </c>
      <c r="XV31" s="11">
        <f t="shared" ref="XV31:AAG31" si="83">SUM(XV27:XV30)</f>
        <v>0</v>
      </c>
      <c r="XW31" s="11">
        <f t="shared" si="83"/>
        <v>0</v>
      </c>
      <c r="XX31" s="11">
        <f t="shared" si="83"/>
        <v>0</v>
      </c>
      <c r="XY31" s="11">
        <f t="shared" si="83"/>
        <v>0</v>
      </c>
      <c r="XZ31" s="11">
        <f t="shared" si="83"/>
        <v>0</v>
      </c>
      <c r="YA31" s="11">
        <f t="shared" si="83"/>
        <v>0</v>
      </c>
      <c r="YB31" s="11">
        <f t="shared" si="83"/>
        <v>0</v>
      </c>
      <c r="YC31" s="11">
        <f t="shared" si="83"/>
        <v>0</v>
      </c>
      <c r="YD31" s="11">
        <f t="shared" si="83"/>
        <v>0</v>
      </c>
      <c r="YE31" s="11">
        <f t="shared" si="83"/>
        <v>0</v>
      </c>
      <c r="YF31" s="11">
        <f t="shared" si="83"/>
        <v>0</v>
      </c>
      <c r="YG31" s="11">
        <f t="shared" si="83"/>
        <v>0</v>
      </c>
      <c r="YH31" s="11">
        <f t="shared" si="83"/>
        <v>0</v>
      </c>
      <c r="YI31" s="11">
        <f t="shared" si="83"/>
        <v>0</v>
      </c>
      <c r="YJ31" s="11">
        <f t="shared" si="83"/>
        <v>0</v>
      </c>
      <c r="YK31" s="11">
        <f t="shared" si="83"/>
        <v>0</v>
      </c>
      <c r="YL31" s="11">
        <f t="shared" si="83"/>
        <v>0</v>
      </c>
      <c r="YM31" s="11">
        <f t="shared" si="83"/>
        <v>0</v>
      </c>
      <c r="YN31" s="11">
        <f t="shared" si="83"/>
        <v>0</v>
      </c>
      <c r="YO31" s="11">
        <f t="shared" si="83"/>
        <v>0</v>
      </c>
      <c r="YP31" s="11">
        <f t="shared" si="83"/>
        <v>0</v>
      </c>
      <c r="YQ31" s="11">
        <f t="shared" si="83"/>
        <v>0</v>
      </c>
      <c r="YR31" s="11">
        <f t="shared" si="83"/>
        <v>0</v>
      </c>
      <c r="YS31" s="11">
        <f t="shared" si="83"/>
        <v>0</v>
      </c>
      <c r="YT31" s="11">
        <f t="shared" si="83"/>
        <v>0</v>
      </c>
      <c r="YU31" s="11">
        <f t="shared" si="83"/>
        <v>0</v>
      </c>
      <c r="YV31" s="11">
        <f t="shared" si="83"/>
        <v>0</v>
      </c>
      <c r="YW31" s="11">
        <f t="shared" si="83"/>
        <v>0</v>
      </c>
      <c r="YX31" s="11">
        <f t="shared" si="83"/>
        <v>0</v>
      </c>
      <c r="YY31" s="11">
        <f t="shared" si="83"/>
        <v>0</v>
      </c>
      <c r="YZ31" s="11">
        <f t="shared" si="83"/>
        <v>0</v>
      </c>
      <c r="ZA31" s="11">
        <f t="shared" si="83"/>
        <v>0</v>
      </c>
      <c r="ZB31" s="11">
        <f t="shared" si="83"/>
        <v>0</v>
      </c>
      <c r="ZC31" s="11">
        <f t="shared" si="83"/>
        <v>0</v>
      </c>
      <c r="ZD31" s="11">
        <f t="shared" si="83"/>
        <v>0</v>
      </c>
      <c r="ZE31" s="11">
        <f t="shared" si="83"/>
        <v>0</v>
      </c>
      <c r="ZF31" s="11">
        <f t="shared" si="83"/>
        <v>0</v>
      </c>
      <c r="ZG31" s="11">
        <f t="shared" si="83"/>
        <v>0</v>
      </c>
      <c r="ZH31" s="11">
        <f t="shared" si="83"/>
        <v>0</v>
      </c>
      <c r="ZI31" s="11">
        <f t="shared" si="83"/>
        <v>0</v>
      </c>
      <c r="ZJ31" s="11">
        <f t="shared" si="83"/>
        <v>0</v>
      </c>
      <c r="ZK31" s="11">
        <f t="shared" si="83"/>
        <v>0</v>
      </c>
      <c r="ZL31" s="11">
        <f t="shared" si="83"/>
        <v>0</v>
      </c>
      <c r="ZM31" s="11">
        <f t="shared" si="83"/>
        <v>0</v>
      </c>
      <c r="ZN31" s="11">
        <f t="shared" si="83"/>
        <v>0</v>
      </c>
      <c r="ZO31" s="11">
        <f t="shared" si="83"/>
        <v>0</v>
      </c>
      <c r="ZP31" s="11">
        <f t="shared" si="83"/>
        <v>0</v>
      </c>
      <c r="ZQ31" s="11">
        <f t="shared" si="83"/>
        <v>0</v>
      </c>
      <c r="ZR31" s="11">
        <f t="shared" si="83"/>
        <v>0</v>
      </c>
      <c r="ZS31" s="11">
        <f t="shared" si="83"/>
        <v>0</v>
      </c>
      <c r="ZT31" s="11">
        <f t="shared" si="83"/>
        <v>0</v>
      </c>
      <c r="ZU31" s="11">
        <f t="shared" si="83"/>
        <v>0</v>
      </c>
      <c r="ZV31" s="11">
        <f t="shared" si="83"/>
        <v>0</v>
      </c>
      <c r="ZW31" s="11">
        <f t="shared" si="83"/>
        <v>0</v>
      </c>
      <c r="ZX31" s="11">
        <f t="shared" si="83"/>
        <v>0</v>
      </c>
      <c r="ZY31" s="11">
        <f t="shared" si="83"/>
        <v>0</v>
      </c>
      <c r="ZZ31" s="11">
        <f t="shared" si="83"/>
        <v>0</v>
      </c>
      <c r="AAA31" s="11">
        <f t="shared" si="83"/>
        <v>0</v>
      </c>
      <c r="AAB31" s="11">
        <f t="shared" si="83"/>
        <v>0</v>
      </c>
      <c r="AAC31" s="11">
        <f t="shared" si="83"/>
        <v>0</v>
      </c>
      <c r="AAD31" s="11">
        <f t="shared" si="83"/>
        <v>0</v>
      </c>
      <c r="AAE31" s="11">
        <f t="shared" si="83"/>
        <v>0</v>
      </c>
      <c r="AAF31" s="11">
        <f t="shared" si="83"/>
        <v>0</v>
      </c>
      <c r="AAG31" s="11">
        <f t="shared" si="83"/>
        <v>0</v>
      </c>
      <c r="AAH31" s="11">
        <f t="shared" ref="AAH31:ABI31" si="84">SUM(AAH27:AAH30)</f>
        <v>0</v>
      </c>
      <c r="AAI31" s="11">
        <f t="shared" si="84"/>
        <v>0</v>
      </c>
      <c r="AAJ31" s="11">
        <f t="shared" si="84"/>
        <v>0</v>
      </c>
      <c r="AAK31" s="11">
        <f t="shared" si="84"/>
        <v>0</v>
      </c>
      <c r="AAL31" s="11">
        <f t="shared" si="84"/>
        <v>0</v>
      </c>
      <c r="AAM31" s="11">
        <f t="shared" si="84"/>
        <v>0</v>
      </c>
      <c r="AAN31" s="11">
        <f t="shared" si="84"/>
        <v>0</v>
      </c>
      <c r="AAO31" s="11">
        <f t="shared" si="84"/>
        <v>0</v>
      </c>
      <c r="AAP31" s="11">
        <f t="shared" si="84"/>
        <v>0</v>
      </c>
      <c r="AAQ31" s="11">
        <f t="shared" si="84"/>
        <v>0</v>
      </c>
      <c r="AAR31" s="11">
        <f t="shared" si="84"/>
        <v>0</v>
      </c>
      <c r="AAS31" s="11">
        <f t="shared" si="84"/>
        <v>0</v>
      </c>
      <c r="AAT31" s="11">
        <f t="shared" si="84"/>
        <v>0</v>
      </c>
      <c r="AAU31" s="11">
        <f t="shared" si="84"/>
        <v>0</v>
      </c>
      <c r="AAV31" s="11">
        <f t="shared" si="84"/>
        <v>0</v>
      </c>
      <c r="AAW31" s="11">
        <f t="shared" si="84"/>
        <v>0</v>
      </c>
      <c r="AAX31" s="11">
        <f t="shared" si="84"/>
        <v>0</v>
      </c>
      <c r="AAY31" s="11">
        <f t="shared" si="84"/>
        <v>0</v>
      </c>
      <c r="AAZ31" s="11">
        <f t="shared" si="84"/>
        <v>0</v>
      </c>
      <c r="ABA31" s="11">
        <f t="shared" si="84"/>
        <v>0</v>
      </c>
      <c r="ABB31" s="11">
        <f t="shared" si="84"/>
        <v>0</v>
      </c>
      <c r="ABC31" s="11">
        <f t="shared" si="84"/>
        <v>0</v>
      </c>
      <c r="ABD31" s="11">
        <f t="shared" si="84"/>
        <v>0</v>
      </c>
      <c r="ABE31" s="11">
        <f t="shared" si="84"/>
        <v>0</v>
      </c>
      <c r="ABF31" s="11">
        <f t="shared" si="84"/>
        <v>0</v>
      </c>
      <c r="ABG31" s="11">
        <f t="shared" si="84"/>
        <v>0</v>
      </c>
      <c r="ABH31" s="11">
        <f t="shared" si="84"/>
        <v>0</v>
      </c>
      <c r="ABI31" s="11">
        <f t="shared" si="84"/>
        <v>0</v>
      </c>
    </row>
    <row r="32" spans="4:737" ht="12.95" customHeight="1" x14ac:dyDescent="0.25">
      <c r="D32" s="14">
        <f t="shared" si="72"/>
        <v>181</v>
      </c>
      <c r="E32" s="15" t="s">
        <v>8</v>
      </c>
      <c r="F32" s="11">
        <f>F27</f>
        <v>1</v>
      </c>
      <c r="G32" s="11">
        <f>IF(G24="Sáb",F32,IF(G24="Dom",F32,IF(G24="Fer",F32,G27)))</f>
        <v>1</v>
      </c>
      <c r="H32" s="11">
        <f t="shared" ref="H32:BS32" si="85">IF(H24="Sáb",G32,IF(H24="Dom",G32,IF(H24="Fer",G32,H27)))</f>
        <v>1</v>
      </c>
      <c r="I32" s="11">
        <f t="shared" si="85"/>
        <v>1</v>
      </c>
      <c r="J32" s="11">
        <f t="shared" si="85"/>
        <v>1</v>
      </c>
      <c r="K32" s="11">
        <f t="shared" si="85"/>
        <v>1</v>
      </c>
      <c r="L32" s="11">
        <f t="shared" si="85"/>
        <v>1</v>
      </c>
      <c r="M32" s="11">
        <f t="shared" si="85"/>
        <v>1</v>
      </c>
      <c r="N32" s="11">
        <f t="shared" si="85"/>
        <v>1</v>
      </c>
      <c r="O32" s="11">
        <f t="shared" si="85"/>
        <v>1</v>
      </c>
      <c r="P32" s="11">
        <f t="shared" si="85"/>
        <v>1</v>
      </c>
      <c r="Q32" s="11">
        <f t="shared" si="85"/>
        <v>1</v>
      </c>
      <c r="R32" s="11">
        <f t="shared" si="85"/>
        <v>1</v>
      </c>
      <c r="S32" s="11">
        <f t="shared" si="85"/>
        <v>1</v>
      </c>
      <c r="T32" s="11">
        <f t="shared" si="85"/>
        <v>1</v>
      </c>
      <c r="U32" s="11">
        <f t="shared" si="85"/>
        <v>1</v>
      </c>
      <c r="V32" s="11">
        <f t="shared" si="85"/>
        <v>1</v>
      </c>
      <c r="W32" s="11">
        <f t="shared" si="85"/>
        <v>1</v>
      </c>
      <c r="X32" s="11">
        <f t="shared" si="85"/>
        <v>1</v>
      </c>
      <c r="Y32" s="11">
        <f t="shared" si="85"/>
        <v>1</v>
      </c>
      <c r="Z32" s="11">
        <f t="shared" si="85"/>
        <v>1</v>
      </c>
      <c r="AA32" s="11">
        <f t="shared" si="85"/>
        <v>1</v>
      </c>
      <c r="AB32" s="11">
        <f t="shared" si="85"/>
        <v>1</v>
      </c>
      <c r="AC32" s="11">
        <f t="shared" si="85"/>
        <v>1</v>
      </c>
      <c r="AD32" s="11">
        <f t="shared" si="85"/>
        <v>1</v>
      </c>
      <c r="AE32" s="11">
        <f t="shared" si="85"/>
        <v>1</v>
      </c>
      <c r="AF32" s="11">
        <f t="shared" si="85"/>
        <v>1</v>
      </c>
      <c r="AG32" s="11">
        <f t="shared" si="85"/>
        <v>1</v>
      </c>
      <c r="AH32" s="11">
        <f t="shared" si="85"/>
        <v>1</v>
      </c>
      <c r="AI32" s="11">
        <f t="shared" si="85"/>
        <v>1</v>
      </c>
      <c r="AJ32" s="11">
        <f t="shared" si="85"/>
        <v>1</v>
      </c>
      <c r="AK32" s="16">
        <f t="shared" si="85"/>
        <v>1</v>
      </c>
      <c r="AL32" s="11">
        <f t="shared" si="85"/>
        <v>1</v>
      </c>
      <c r="AM32" s="11">
        <f t="shared" si="85"/>
        <v>1</v>
      </c>
      <c r="AN32" s="11">
        <f t="shared" si="85"/>
        <v>1</v>
      </c>
      <c r="AO32" s="11">
        <f t="shared" si="85"/>
        <v>1</v>
      </c>
      <c r="AP32" s="11">
        <f t="shared" si="85"/>
        <v>1</v>
      </c>
      <c r="AQ32" s="11">
        <f t="shared" si="85"/>
        <v>1</v>
      </c>
      <c r="AR32" s="11">
        <f t="shared" si="85"/>
        <v>1</v>
      </c>
      <c r="AS32" s="11">
        <f t="shared" si="85"/>
        <v>1</v>
      </c>
      <c r="AT32" s="11">
        <f t="shared" si="85"/>
        <v>1</v>
      </c>
      <c r="AU32" s="11">
        <f t="shared" si="85"/>
        <v>1</v>
      </c>
      <c r="AV32" s="11">
        <f t="shared" si="85"/>
        <v>1</v>
      </c>
      <c r="AW32" s="11">
        <f t="shared" si="85"/>
        <v>1</v>
      </c>
      <c r="AX32" s="11">
        <f t="shared" si="85"/>
        <v>1</v>
      </c>
      <c r="AY32" s="11">
        <f t="shared" si="85"/>
        <v>1</v>
      </c>
      <c r="AZ32" s="11">
        <f t="shared" si="85"/>
        <v>1</v>
      </c>
      <c r="BA32" s="11">
        <f t="shared" si="85"/>
        <v>1</v>
      </c>
      <c r="BB32" s="11">
        <f t="shared" si="85"/>
        <v>1</v>
      </c>
      <c r="BC32" s="11">
        <f t="shared" si="85"/>
        <v>1</v>
      </c>
      <c r="BD32" s="11">
        <f t="shared" si="85"/>
        <v>1</v>
      </c>
      <c r="BE32" s="11">
        <f t="shared" si="85"/>
        <v>1</v>
      </c>
      <c r="BF32" s="11">
        <f t="shared" si="85"/>
        <v>1</v>
      </c>
      <c r="BG32" s="11">
        <f t="shared" si="85"/>
        <v>1</v>
      </c>
      <c r="BH32" s="11">
        <f t="shared" si="85"/>
        <v>1</v>
      </c>
      <c r="BI32" s="11">
        <f t="shared" si="85"/>
        <v>1</v>
      </c>
      <c r="BJ32" s="11">
        <f t="shared" si="85"/>
        <v>1</v>
      </c>
      <c r="BK32" s="11">
        <f t="shared" si="85"/>
        <v>1</v>
      </c>
      <c r="BL32" s="11">
        <f t="shared" si="85"/>
        <v>1</v>
      </c>
      <c r="BM32" s="11">
        <f t="shared" si="85"/>
        <v>1</v>
      </c>
      <c r="BN32" s="11">
        <f t="shared" si="85"/>
        <v>1</v>
      </c>
      <c r="BO32" s="11">
        <f t="shared" si="85"/>
        <v>1</v>
      </c>
      <c r="BP32" s="11">
        <f t="shared" si="85"/>
        <v>1</v>
      </c>
      <c r="BQ32" s="11">
        <f t="shared" si="85"/>
        <v>1</v>
      </c>
      <c r="BR32" s="11">
        <f t="shared" si="85"/>
        <v>1</v>
      </c>
      <c r="BS32" s="11">
        <f t="shared" si="85"/>
        <v>1</v>
      </c>
      <c r="BT32" s="11">
        <f t="shared" ref="BT32:EE32" si="86">IF(BT24="Sáb",BS32,IF(BT24="Dom",BS32,IF(BT24="Fer",BS32,BT27)))</f>
        <v>1</v>
      </c>
      <c r="BU32" s="11">
        <f t="shared" si="86"/>
        <v>1</v>
      </c>
      <c r="BV32" s="11">
        <f t="shared" si="86"/>
        <v>1</v>
      </c>
      <c r="BW32" s="11">
        <f t="shared" si="86"/>
        <v>1</v>
      </c>
      <c r="BX32" s="11">
        <f t="shared" si="86"/>
        <v>1</v>
      </c>
      <c r="BY32" s="11">
        <f t="shared" si="86"/>
        <v>1</v>
      </c>
      <c r="BZ32" s="11">
        <f t="shared" si="86"/>
        <v>1</v>
      </c>
      <c r="CA32" s="11">
        <f t="shared" si="86"/>
        <v>1</v>
      </c>
      <c r="CB32" s="11">
        <f t="shared" si="86"/>
        <v>1</v>
      </c>
      <c r="CC32" s="11">
        <f t="shared" si="86"/>
        <v>1</v>
      </c>
      <c r="CD32" s="11">
        <f t="shared" si="86"/>
        <v>1</v>
      </c>
      <c r="CE32" s="11">
        <f t="shared" si="86"/>
        <v>1</v>
      </c>
      <c r="CF32" s="11">
        <f t="shared" si="86"/>
        <v>1</v>
      </c>
      <c r="CG32" s="11">
        <f t="shared" si="86"/>
        <v>1</v>
      </c>
      <c r="CH32" s="11">
        <f t="shared" si="86"/>
        <v>1</v>
      </c>
      <c r="CI32" s="11">
        <f t="shared" si="86"/>
        <v>1</v>
      </c>
      <c r="CJ32" s="11">
        <f t="shared" si="86"/>
        <v>1</v>
      </c>
      <c r="CK32" s="11">
        <f t="shared" si="86"/>
        <v>1</v>
      </c>
      <c r="CL32" s="11">
        <f t="shared" si="86"/>
        <v>1</v>
      </c>
      <c r="CM32" s="11">
        <f t="shared" si="86"/>
        <v>1</v>
      </c>
      <c r="CN32" s="11">
        <f t="shared" si="86"/>
        <v>1</v>
      </c>
      <c r="CO32" s="11">
        <f t="shared" si="86"/>
        <v>1</v>
      </c>
      <c r="CP32" s="11">
        <f t="shared" si="86"/>
        <v>1</v>
      </c>
      <c r="CQ32" s="11">
        <f t="shared" si="86"/>
        <v>1</v>
      </c>
      <c r="CR32" s="11">
        <f t="shared" si="86"/>
        <v>1</v>
      </c>
      <c r="CS32" s="11">
        <f t="shared" si="86"/>
        <v>1</v>
      </c>
      <c r="CT32" s="11">
        <f t="shared" si="86"/>
        <v>1</v>
      </c>
      <c r="CU32" s="11">
        <f t="shared" si="86"/>
        <v>1</v>
      </c>
      <c r="CV32" s="11">
        <f t="shared" si="86"/>
        <v>1</v>
      </c>
      <c r="CW32" s="11">
        <f t="shared" si="86"/>
        <v>1</v>
      </c>
      <c r="CX32" s="11">
        <f t="shared" si="86"/>
        <v>1</v>
      </c>
      <c r="CY32" s="11">
        <f t="shared" si="86"/>
        <v>1</v>
      </c>
      <c r="CZ32" s="11">
        <f t="shared" si="86"/>
        <v>1</v>
      </c>
      <c r="DA32" s="11">
        <f t="shared" si="86"/>
        <v>1</v>
      </c>
      <c r="DB32" s="11">
        <f t="shared" si="86"/>
        <v>1</v>
      </c>
      <c r="DC32" s="11">
        <f t="shared" si="86"/>
        <v>1</v>
      </c>
      <c r="DD32" s="11">
        <f t="shared" si="86"/>
        <v>1</v>
      </c>
      <c r="DE32" s="11">
        <f t="shared" si="86"/>
        <v>1</v>
      </c>
      <c r="DF32" s="11">
        <f t="shared" si="86"/>
        <v>1</v>
      </c>
      <c r="DG32" s="11">
        <f t="shared" si="86"/>
        <v>1</v>
      </c>
      <c r="DH32" s="11">
        <f t="shared" si="86"/>
        <v>1</v>
      </c>
      <c r="DI32" s="11">
        <f t="shared" si="86"/>
        <v>1</v>
      </c>
      <c r="DJ32" s="11">
        <f t="shared" si="86"/>
        <v>1</v>
      </c>
      <c r="DK32" s="11">
        <f t="shared" si="86"/>
        <v>1</v>
      </c>
      <c r="DL32" s="11">
        <f t="shared" si="86"/>
        <v>1</v>
      </c>
      <c r="DM32" s="11">
        <f t="shared" si="86"/>
        <v>1</v>
      </c>
      <c r="DN32" s="11">
        <f t="shared" si="86"/>
        <v>1</v>
      </c>
      <c r="DO32" s="11">
        <f t="shared" si="86"/>
        <v>1</v>
      </c>
      <c r="DP32" s="11">
        <f t="shared" si="86"/>
        <v>1</v>
      </c>
      <c r="DQ32" s="11">
        <f t="shared" si="86"/>
        <v>1</v>
      </c>
      <c r="DR32" s="11">
        <f t="shared" si="86"/>
        <v>1</v>
      </c>
      <c r="DS32" s="11">
        <f t="shared" si="86"/>
        <v>1</v>
      </c>
      <c r="DT32" s="11">
        <f t="shared" si="86"/>
        <v>1</v>
      </c>
      <c r="DU32" s="11">
        <f t="shared" si="86"/>
        <v>1</v>
      </c>
      <c r="DV32" s="11">
        <f t="shared" si="86"/>
        <v>1</v>
      </c>
      <c r="DW32" s="11">
        <f t="shared" si="86"/>
        <v>1</v>
      </c>
      <c r="DX32" s="11">
        <f t="shared" si="86"/>
        <v>1</v>
      </c>
      <c r="DY32" s="11">
        <f t="shared" si="86"/>
        <v>1</v>
      </c>
      <c r="DZ32" s="11">
        <f t="shared" si="86"/>
        <v>1</v>
      </c>
      <c r="EA32" s="11">
        <f t="shared" si="86"/>
        <v>1</v>
      </c>
      <c r="EB32" s="11">
        <f t="shared" si="86"/>
        <v>1</v>
      </c>
      <c r="EC32" s="11">
        <f t="shared" si="86"/>
        <v>1</v>
      </c>
      <c r="ED32" s="11">
        <f t="shared" si="86"/>
        <v>1</v>
      </c>
      <c r="EE32" s="11">
        <f t="shared" si="86"/>
        <v>1</v>
      </c>
      <c r="EF32" s="11">
        <f t="shared" ref="EF32:GQ32" si="87">IF(EF24="Sáb",EE32,IF(EF24="Dom",EE32,IF(EF24="Fer",EE32,EF27)))</f>
        <v>1</v>
      </c>
      <c r="EG32" s="11">
        <f t="shared" si="87"/>
        <v>1</v>
      </c>
      <c r="EH32" s="11">
        <f t="shared" si="87"/>
        <v>1</v>
      </c>
      <c r="EI32" s="11">
        <f t="shared" si="87"/>
        <v>1</v>
      </c>
      <c r="EJ32" s="11">
        <f t="shared" si="87"/>
        <v>1</v>
      </c>
      <c r="EK32" s="11">
        <f t="shared" si="87"/>
        <v>1</v>
      </c>
      <c r="EL32" s="11">
        <f t="shared" si="87"/>
        <v>1</v>
      </c>
      <c r="EM32" s="11">
        <f t="shared" si="87"/>
        <v>1</v>
      </c>
      <c r="EN32" s="11">
        <f t="shared" si="87"/>
        <v>1</v>
      </c>
      <c r="EO32" s="11">
        <f t="shared" si="87"/>
        <v>1</v>
      </c>
      <c r="EP32" s="11">
        <f t="shared" si="87"/>
        <v>1</v>
      </c>
      <c r="EQ32" s="11">
        <f t="shared" si="87"/>
        <v>1</v>
      </c>
      <c r="ER32" s="11">
        <f t="shared" si="87"/>
        <v>1</v>
      </c>
      <c r="ES32" s="11">
        <f t="shared" si="87"/>
        <v>1</v>
      </c>
      <c r="ET32" s="11">
        <f t="shared" si="87"/>
        <v>1</v>
      </c>
      <c r="EU32" s="11">
        <f t="shared" si="87"/>
        <v>1</v>
      </c>
      <c r="EV32" s="11">
        <f t="shared" si="87"/>
        <v>1</v>
      </c>
      <c r="EW32" s="11">
        <f t="shared" si="87"/>
        <v>1</v>
      </c>
      <c r="EX32" s="11">
        <f t="shared" si="87"/>
        <v>1</v>
      </c>
      <c r="EY32" s="11">
        <f t="shared" si="87"/>
        <v>1</v>
      </c>
      <c r="EZ32" s="11">
        <f t="shared" si="87"/>
        <v>1</v>
      </c>
      <c r="FA32" s="11">
        <f t="shared" si="87"/>
        <v>1</v>
      </c>
      <c r="FB32" s="11">
        <f t="shared" si="87"/>
        <v>1</v>
      </c>
      <c r="FC32" s="11">
        <f t="shared" si="87"/>
        <v>1</v>
      </c>
      <c r="FD32" s="11">
        <f t="shared" si="87"/>
        <v>1</v>
      </c>
      <c r="FE32" s="11">
        <f t="shared" si="87"/>
        <v>1</v>
      </c>
      <c r="FF32" s="11">
        <f t="shared" si="87"/>
        <v>1</v>
      </c>
      <c r="FG32" s="11">
        <f t="shared" si="87"/>
        <v>1</v>
      </c>
      <c r="FH32" s="11">
        <f t="shared" si="87"/>
        <v>1</v>
      </c>
      <c r="FI32" s="11">
        <f t="shared" si="87"/>
        <v>1</v>
      </c>
      <c r="FJ32" s="11">
        <f t="shared" si="87"/>
        <v>1</v>
      </c>
      <c r="FK32" s="11">
        <f t="shared" si="87"/>
        <v>1</v>
      </c>
      <c r="FL32" s="11">
        <f t="shared" si="87"/>
        <v>1</v>
      </c>
      <c r="FM32" s="11">
        <f t="shared" si="87"/>
        <v>1</v>
      </c>
      <c r="FN32" s="11">
        <f t="shared" si="87"/>
        <v>1</v>
      </c>
      <c r="FO32" s="11">
        <f t="shared" si="87"/>
        <v>1</v>
      </c>
      <c r="FP32" s="11">
        <f t="shared" si="87"/>
        <v>1</v>
      </c>
      <c r="FQ32" s="11">
        <f t="shared" si="87"/>
        <v>1</v>
      </c>
      <c r="FR32" s="11">
        <f t="shared" si="87"/>
        <v>1</v>
      </c>
      <c r="FS32" s="11">
        <f t="shared" si="87"/>
        <v>1</v>
      </c>
      <c r="FT32" s="11">
        <f t="shared" si="87"/>
        <v>1</v>
      </c>
      <c r="FU32" s="11">
        <f t="shared" si="87"/>
        <v>1</v>
      </c>
      <c r="FV32" s="11">
        <f t="shared" si="87"/>
        <v>1</v>
      </c>
      <c r="FW32" s="11">
        <f t="shared" si="87"/>
        <v>1</v>
      </c>
      <c r="FX32" s="11">
        <f t="shared" si="87"/>
        <v>1</v>
      </c>
      <c r="FY32" s="11">
        <f t="shared" si="87"/>
        <v>1</v>
      </c>
      <c r="FZ32" s="11">
        <f t="shared" si="87"/>
        <v>1</v>
      </c>
      <c r="GA32" s="11">
        <f t="shared" si="87"/>
        <v>1</v>
      </c>
      <c r="GB32" s="11">
        <f t="shared" si="87"/>
        <v>1</v>
      </c>
      <c r="GC32" s="11">
        <f t="shared" si="87"/>
        <v>1</v>
      </c>
      <c r="GD32" s="11">
        <f t="shared" si="87"/>
        <v>1</v>
      </c>
      <c r="GE32" s="11">
        <f t="shared" si="87"/>
        <v>0</v>
      </c>
      <c r="GF32" s="11">
        <f t="shared" si="87"/>
        <v>0</v>
      </c>
      <c r="GG32" s="11">
        <f t="shared" si="87"/>
        <v>0</v>
      </c>
      <c r="GH32" s="11">
        <f t="shared" si="87"/>
        <v>0</v>
      </c>
      <c r="GI32" s="11">
        <f t="shared" si="87"/>
        <v>0</v>
      </c>
      <c r="GJ32" s="11">
        <f t="shared" si="87"/>
        <v>0</v>
      </c>
      <c r="GK32" s="11">
        <f t="shared" si="87"/>
        <v>0</v>
      </c>
      <c r="GL32" s="11">
        <f t="shared" si="87"/>
        <v>0</v>
      </c>
      <c r="GM32" s="11">
        <f t="shared" si="87"/>
        <v>0</v>
      </c>
      <c r="GN32" s="11">
        <f t="shared" si="87"/>
        <v>0</v>
      </c>
      <c r="GO32" s="11">
        <f t="shared" si="87"/>
        <v>0</v>
      </c>
      <c r="GP32" s="11">
        <f t="shared" si="87"/>
        <v>0</v>
      </c>
      <c r="GQ32" s="11">
        <f t="shared" si="87"/>
        <v>0</v>
      </c>
      <c r="GR32" s="11">
        <f t="shared" ref="GR32:JC32" si="88">IF(GR24="Sáb",GQ32,IF(GR24="Dom",GQ32,IF(GR24="Fer",GQ32,GR27)))</f>
        <v>0</v>
      </c>
      <c r="GS32" s="11">
        <f t="shared" si="88"/>
        <v>0</v>
      </c>
      <c r="GT32" s="11">
        <f t="shared" si="88"/>
        <v>0</v>
      </c>
      <c r="GU32" s="11">
        <f t="shared" si="88"/>
        <v>0</v>
      </c>
      <c r="GV32" s="11">
        <f t="shared" si="88"/>
        <v>0</v>
      </c>
      <c r="GW32" s="11">
        <f t="shared" si="88"/>
        <v>0</v>
      </c>
      <c r="GX32" s="11">
        <f t="shared" si="88"/>
        <v>0</v>
      </c>
      <c r="GY32" s="11">
        <f t="shared" si="88"/>
        <v>0</v>
      </c>
      <c r="GZ32" s="11">
        <f t="shared" si="88"/>
        <v>0</v>
      </c>
      <c r="HA32" s="11">
        <f t="shared" si="88"/>
        <v>0</v>
      </c>
      <c r="HB32" s="11">
        <f t="shared" si="88"/>
        <v>0</v>
      </c>
      <c r="HC32" s="11">
        <f t="shared" si="88"/>
        <v>0</v>
      </c>
      <c r="HD32" s="11">
        <f t="shared" si="88"/>
        <v>0</v>
      </c>
      <c r="HE32" s="11">
        <f t="shared" si="88"/>
        <v>0</v>
      </c>
      <c r="HF32" s="11">
        <f t="shared" si="88"/>
        <v>0</v>
      </c>
      <c r="HG32" s="11">
        <f t="shared" si="88"/>
        <v>0</v>
      </c>
      <c r="HH32" s="11">
        <f t="shared" si="88"/>
        <v>0</v>
      </c>
      <c r="HI32" s="11">
        <f t="shared" si="88"/>
        <v>0</v>
      </c>
      <c r="HJ32" s="11">
        <f t="shared" si="88"/>
        <v>0</v>
      </c>
      <c r="HK32" s="11">
        <f t="shared" si="88"/>
        <v>0</v>
      </c>
      <c r="HL32" s="11">
        <f t="shared" si="88"/>
        <v>0</v>
      </c>
      <c r="HM32" s="11">
        <f t="shared" si="88"/>
        <v>0</v>
      </c>
      <c r="HN32" s="11">
        <f t="shared" si="88"/>
        <v>0</v>
      </c>
      <c r="HO32" s="11">
        <f t="shared" si="88"/>
        <v>0</v>
      </c>
      <c r="HP32" s="11">
        <f t="shared" si="88"/>
        <v>0</v>
      </c>
      <c r="HQ32" s="11">
        <f t="shared" si="88"/>
        <v>0</v>
      </c>
      <c r="HR32" s="11">
        <f t="shared" si="88"/>
        <v>0</v>
      </c>
      <c r="HS32" s="11">
        <f t="shared" si="88"/>
        <v>0</v>
      </c>
      <c r="HT32" s="11">
        <f t="shared" si="88"/>
        <v>0</v>
      </c>
      <c r="HU32" s="11">
        <f t="shared" si="88"/>
        <v>0</v>
      </c>
      <c r="HV32" s="11">
        <f t="shared" si="88"/>
        <v>0</v>
      </c>
      <c r="HW32" s="11">
        <f t="shared" si="88"/>
        <v>0</v>
      </c>
      <c r="HX32" s="11">
        <f t="shared" si="88"/>
        <v>0</v>
      </c>
      <c r="HY32" s="11">
        <f t="shared" si="88"/>
        <v>0</v>
      </c>
      <c r="HZ32" s="11">
        <f t="shared" si="88"/>
        <v>0</v>
      </c>
      <c r="IA32" s="11">
        <f t="shared" si="88"/>
        <v>0</v>
      </c>
      <c r="IB32" s="11">
        <f t="shared" si="88"/>
        <v>0</v>
      </c>
      <c r="IC32" s="11">
        <f t="shared" si="88"/>
        <v>0</v>
      </c>
      <c r="ID32" s="11">
        <f t="shared" si="88"/>
        <v>0</v>
      </c>
      <c r="IE32" s="11">
        <f t="shared" si="88"/>
        <v>0</v>
      </c>
      <c r="IF32" s="11">
        <f t="shared" si="88"/>
        <v>0</v>
      </c>
      <c r="IG32" s="11">
        <f t="shared" si="88"/>
        <v>0</v>
      </c>
      <c r="IH32" s="11">
        <f t="shared" si="88"/>
        <v>0</v>
      </c>
      <c r="II32" s="11">
        <f t="shared" si="88"/>
        <v>0</v>
      </c>
      <c r="IJ32" s="11">
        <f t="shared" si="88"/>
        <v>0</v>
      </c>
      <c r="IK32" s="11">
        <f t="shared" si="88"/>
        <v>0</v>
      </c>
      <c r="IL32" s="11">
        <f t="shared" si="88"/>
        <v>0</v>
      </c>
      <c r="IM32" s="11">
        <f t="shared" si="88"/>
        <v>0</v>
      </c>
      <c r="IN32" s="11">
        <f t="shared" si="88"/>
        <v>0</v>
      </c>
      <c r="IO32" s="11">
        <f t="shared" si="88"/>
        <v>0</v>
      </c>
      <c r="IP32" s="11">
        <f t="shared" si="88"/>
        <v>0</v>
      </c>
      <c r="IQ32" s="11">
        <f t="shared" si="88"/>
        <v>0</v>
      </c>
      <c r="IR32" s="11">
        <f t="shared" si="88"/>
        <v>0</v>
      </c>
      <c r="IS32" s="11">
        <f t="shared" si="88"/>
        <v>0</v>
      </c>
      <c r="IT32" s="11">
        <f t="shared" si="88"/>
        <v>0</v>
      </c>
      <c r="IU32" s="11">
        <f t="shared" si="88"/>
        <v>0</v>
      </c>
      <c r="IV32" s="11">
        <f t="shared" si="88"/>
        <v>0</v>
      </c>
      <c r="IW32" s="11">
        <f t="shared" si="88"/>
        <v>0</v>
      </c>
      <c r="IX32" s="11">
        <f t="shared" si="88"/>
        <v>0</v>
      </c>
      <c r="IY32" s="11">
        <f t="shared" si="88"/>
        <v>0</v>
      </c>
      <c r="IZ32" s="11">
        <f t="shared" si="88"/>
        <v>0</v>
      </c>
      <c r="JA32" s="11">
        <f t="shared" si="88"/>
        <v>0</v>
      </c>
      <c r="JB32" s="11">
        <f t="shared" si="88"/>
        <v>0</v>
      </c>
      <c r="JC32" s="11">
        <f t="shared" si="88"/>
        <v>0</v>
      </c>
      <c r="JD32" s="11">
        <f t="shared" ref="JD32:LO32" si="89">IF(JD24="Sáb",JC32,IF(JD24="Dom",JC32,IF(JD24="Fer",JC32,JD27)))</f>
        <v>0</v>
      </c>
      <c r="JE32" s="11">
        <f t="shared" si="89"/>
        <v>0</v>
      </c>
      <c r="JF32" s="11">
        <f t="shared" si="89"/>
        <v>0</v>
      </c>
      <c r="JG32" s="11">
        <f t="shared" si="89"/>
        <v>0</v>
      </c>
      <c r="JH32" s="11">
        <f t="shared" si="89"/>
        <v>0</v>
      </c>
      <c r="JI32" s="11">
        <f t="shared" si="89"/>
        <v>0</v>
      </c>
      <c r="JJ32" s="11">
        <f t="shared" si="89"/>
        <v>0</v>
      </c>
      <c r="JK32" s="11">
        <f t="shared" si="89"/>
        <v>0</v>
      </c>
      <c r="JL32" s="11">
        <f t="shared" si="89"/>
        <v>0</v>
      </c>
      <c r="JM32" s="11">
        <f t="shared" si="89"/>
        <v>0</v>
      </c>
      <c r="JN32" s="11">
        <f t="shared" si="89"/>
        <v>0</v>
      </c>
      <c r="JO32" s="11">
        <f t="shared" si="89"/>
        <v>0</v>
      </c>
      <c r="JP32" s="11">
        <f t="shared" si="89"/>
        <v>0</v>
      </c>
      <c r="JQ32" s="11">
        <f t="shared" si="89"/>
        <v>0</v>
      </c>
      <c r="JR32" s="11">
        <f t="shared" si="89"/>
        <v>0</v>
      </c>
      <c r="JS32" s="11">
        <f t="shared" si="89"/>
        <v>0</v>
      </c>
      <c r="JT32" s="11">
        <f t="shared" si="89"/>
        <v>0</v>
      </c>
      <c r="JU32" s="11">
        <f t="shared" si="89"/>
        <v>0</v>
      </c>
      <c r="JV32" s="11">
        <f t="shared" si="89"/>
        <v>0</v>
      </c>
      <c r="JW32" s="11">
        <f t="shared" si="89"/>
        <v>0</v>
      </c>
      <c r="JX32" s="11">
        <f t="shared" si="89"/>
        <v>0</v>
      </c>
      <c r="JY32" s="11">
        <f t="shared" si="89"/>
        <v>0</v>
      </c>
      <c r="JZ32" s="11">
        <f t="shared" si="89"/>
        <v>0</v>
      </c>
      <c r="KA32" s="11">
        <f t="shared" si="89"/>
        <v>0</v>
      </c>
      <c r="KB32" s="11">
        <f t="shared" si="89"/>
        <v>0</v>
      </c>
      <c r="KC32" s="11">
        <f t="shared" si="89"/>
        <v>0</v>
      </c>
      <c r="KD32" s="11">
        <f t="shared" si="89"/>
        <v>0</v>
      </c>
      <c r="KE32" s="11">
        <f t="shared" si="89"/>
        <v>0</v>
      </c>
      <c r="KF32" s="11">
        <f t="shared" si="89"/>
        <v>0</v>
      </c>
      <c r="KG32" s="11">
        <f t="shared" si="89"/>
        <v>0</v>
      </c>
      <c r="KH32" s="11">
        <f t="shared" si="89"/>
        <v>0</v>
      </c>
      <c r="KI32" s="11">
        <f t="shared" si="89"/>
        <v>0</v>
      </c>
      <c r="KJ32" s="11">
        <f t="shared" si="89"/>
        <v>0</v>
      </c>
      <c r="KK32" s="11">
        <f t="shared" si="89"/>
        <v>0</v>
      </c>
      <c r="KL32" s="11">
        <f t="shared" si="89"/>
        <v>0</v>
      </c>
      <c r="KM32" s="11">
        <f t="shared" si="89"/>
        <v>0</v>
      </c>
      <c r="KN32" s="11">
        <f t="shared" si="89"/>
        <v>0</v>
      </c>
      <c r="KO32" s="11">
        <f t="shared" si="89"/>
        <v>0</v>
      </c>
      <c r="KP32" s="11">
        <f t="shared" si="89"/>
        <v>0</v>
      </c>
      <c r="KQ32" s="11">
        <f t="shared" si="89"/>
        <v>0</v>
      </c>
      <c r="KR32" s="11">
        <f t="shared" si="89"/>
        <v>0</v>
      </c>
      <c r="KS32" s="11">
        <f t="shared" si="89"/>
        <v>0</v>
      </c>
      <c r="KT32" s="11">
        <f t="shared" si="89"/>
        <v>0</v>
      </c>
      <c r="KU32" s="11">
        <f t="shared" si="89"/>
        <v>0</v>
      </c>
      <c r="KV32" s="11">
        <f t="shared" si="89"/>
        <v>0</v>
      </c>
      <c r="KW32" s="11">
        <f t="shared" si="89"/>
        <v>0</v>
      </c>
      <c r="KX32" s="11">
        <f t="shared" si="89"/>
        <v>0</v>
      </c>
      <c r="KY32" s="11">
        <f t="shared" si="89"/>
        <v>0</v>
      </c>
      <c r="KZ32" s="11">
        <f t="shared" si="89"/>
        <v>0</v>
      </c>
      <c r="LA32" s="11">
        <f t="shared" si="89"/>
        <v>0</v>
      </c>
      <c r="LB32" s="11">
        <f t="shared" si="89"/>
        <v>0</v>
      </c>
      <c r="LC32" s="11">
        <f t="shared" si="89"/>
        <v>0</v>
      </c>
      <c r="LD32" s="11">
        <f t="shared" si="89"/>
        <v>0</v>
      </c>
      <c r="LE32" s="11">
        <f t="shared" si="89"/>
        <v>0</v>
      </c>
      <c r="LF32" s="11">
        <f t="shared" si="89"/>
        <v>0</v>
      </c>
      <c r="LG32" s="11">
        <f t="shared" si="89"/>
        <v>0</v>
      </c>
      <c r="LH32" s="11">
        <f t="shared" si="89"/>
        <v>0</v>
      </c>
      <c r="LI32" s="11">
        <f t="shared" si="89"/>
        <v>0</v>
      </c>
      <c r="LJ32" s="11">
        <f t="shared" si="89"/>
        <v>0</v>
      </c>
      <c r="LK32" s="11">
        <f t="shared" si="89"/>
        <v>0</v>
      </c>
      <c r="LL32" s="11">
        <f t="shared" si="89"/>
        <v>0</v>
      </c>
      <c r="LM32" s="11">
        <f t="shared" si="89"/>
        <v>0</v>
      </c>
      <c r="LN32" s="11">
        <f t="shared" si="89"/>
        <v>0</v>
      </c>
      <c r="LO32" s="11">
        <f t="shared" si="89"/>
        <v>0</v>
      </c>
      <c r="LP32" s="11">
        <f t="shared" ref="LP32:OA32" si="90">IF(LP24="Sáb",LO32,IF(LP24="Dom",LO32,IF(LP24="Fer",LO32,LP27)))</f>
        <v>0</v>
      </c>
      <c r="LQ32" s="11">
        <f t="shared" si="90"/>
        <v>0</v>
      </c>
      <c r="LR32" s="11">
        <f t="shared" si="90"/>
        <v>0</v>
      </c>
      <c r="LS32" s="11">
        <f t="shared" si="90"/>
        <v>0</v>
      </c>
      <c r="LT32" s="11">
        <f t="shared" si="90"/>
        <v>0</v>
      </c>
      <c r="LU32" s="11">
        <f t="shared" si="90"/>
        <v>0</v>
      </c>
      <c r="LV32" s="11">
        <f t="shared" si="90"/>
        <v>0</v>
      </c>
      <c r="LW32" s="11">
        <f t="shared" si="90"/>
        <v>0</v>
      </c>
      <c r="LX32" s="11">
        <f t="shared" si="90"/>
        <v>0</v>
      </c>
      <c r="LY32" s="11">
        <f t="shared" si="90"/>
        <v>0</v>
      </c>
      <c r="LZ32" s="11">
        <f t="shared" si="90"/>
        <v>0</v>
      </c>
      <c r="MA32" s="11">
        <f t="shared" si="90"/>
        <v>0</v>
      </c>
      <c r="MB32" s="11">
        <f t="shared" si="90"/>
        <v>0</v>
      </c>
      <c r="MC32" s="11">
        <f t="shared" si="90"/>
        <v>0</v>
      </c>
      <c r="MD32" s="11">
        <f t="shared" si="90"/>
        <v>0</v>
      </c>
      <c r="ME32" s="11">
        <f t="shared" si="90"/>
        <v>0</v>
      </c>
      <c r="MF32" s="11">
        <f t="shared" si="90"/>
        <v>0</v>
      </c>
      <c r="MG32" s="11">
        <f t="shared" si="90"/>
        <v>0</v>
      </c>
      <c r="MH32" s="11">
        <f t="shared" si="90"/>
        <v>0</v>
      </c>
      <c r="MI32" s="11">
        <f t="shared" si="90"/>
        <v>0</v>
      </c>
      <c r="MJ32" s="11">
        <f t="shared" si="90"/>
        <v>0</v>
      </c>
      <c r="MK32" s="11">
        <f t="shared" si="90"/>
        <v>0</v>
      </c>
      <c r="ML32" s="11">
        <f t="shared" si="90"/>
        <v>0</v>
      </c>
      <c r="MM32" s="11">
        <f t="shared" si="90"/>
        <v>0</v>
      </c>
      <c r="MN32" s="11">
        <f t="shared" si="90"/>
        <v>0</v>
      </c>
      <c r="MO32" s="11">
        <f t="shared" si="90"/>
        <v>0</v>
      </c>
      <c r="MP32" s="11">
        <f t="shared" si="90"/>
        <v>0</v>
      </c>
      <c r="MQ32" s="11">
        <f t="shared" si="90"/>
        <v>0</v>
      </c>
      <c r="MR32" s="11">
        <f t="shared" si="90"/>
        <v>0</v>
      </c>
      <c r="MS32" s="11">
        <f t="shared" si="90"/>
        <v>0</v>
      </c>
      <c r="MT32" s="11">
        <f t="shared" si="90"/>
        <v>0</v>
      </c>
      <c r="MU32" s="11">
        <f t="shared" si="90"/>
        <v>0</v>
      </c>
      <c r="MV32" s="11">
        <f t="shared" si="90"/>
        <v>0</v>
      </c>
      <c r="MW32" s="11">
        <f t="shared" si="90"/>
        <v>0</v>
      </c>
      <c r="MX32" s="11">
        <f t="shared" si="90"/>
        <v>0</v>
      </c>
      <c r="MY32" s="11">
        <f t="shared" si="90"/>
        <v>0</v>
      </c>
      <c r="MZ32" s="11">
        <f t="shared" si="90"/>
        <v>0</v>
      </c>
      <c r="NA32" s="11">
        <f t="shared" si="90"/>
        <v>0</v>
      </c>
      <c r="NB32" s="11">
        <f t="shared" si="90"/>
        <v>0</v>
      </c>
      <c r="NC32" s="11">
        <f t="shared" si="90"/>
        <v>0</v>
      </c>
      <c r="ND32" s="11">
        <f t="shared" si="90"/>
        <v>0</v>
      </c>
      <c r="NE32" s="11">
        <f t="shared" si="90"/>
        <v>0</v>
      </c>
      <c r="NF32" s="11">
        <f t="shared" si="90"/>
        <v>0</v>
      </c>
      <c r="NG32" s="11">
        <f t="shared" si="90"/>
        <v>0</v>
      </c>
      <c r="NH32" s="11">
        <f t="shared" si="90"/>
        <v>0</v>
      </c>
      <c r="NI32" s="11">
        <f t="shared" si="90"/>
        <v>0</v>
      </c>
      <c r="NJ32" s="11">
        <f t="shared" si="90"/>
        <v>0</v>
      </c>
      <c r="NK32" s="11">
        <f t="shared" si="90"/>
        <v>0</v>
      </c>
      <c r="NL32" s="11">
        <f t="shared" si="90"/>
        <v>0</v>
      </c>
      <c r="NM32" s="11">
        <f t="shared" si="90"/>
        <v>0</v>
      </c>
      <c r="NN32" s="11">
        <f t="shared" si="90"/>
        <v>0</v>
      </c>
      <c r="NO32" s="11">
        <f t="shared" si="90"/>
        <v>0</v>
      </c>
      <c r="NP32" s="11">
        <f t="shared" si="90"/>
        <v>0</v>
      </c>
      <c r="NQ32" s="11">
        <f t="shared" si="90"/>
        <v>0</v>
      </c>
      <c r="NR32" s="11">
        <f t="shared" si="90"/>
        <v>0</v>
      </c>
      <c r="NS32" s="11">
        <f t="shared" si="90"/>
        <v>0</v>
      </c>
      <c r="NT32" s="11">
        <f t="shared" si="90"/>
        <v>0</v>
      </c>
      <c r="NU32" s="11">
        <f t="shared" si="90"/>
        <v>0</v>
      </c>
      <c r="NV32" s="11">
        <f t="shared" si="90"/>
        <v>0</v>
      </c>
      <c r="NW32" s="11">
        <f t="shared" si="90"/>
        <v>0</v>
      </c>
      <c r="NX32" s="11">
        <f t="shared" si="90"/>
        <v>0</v>
      </c>
      <c r="NY32" s="11">
        <f t="shared" si="90"/>
        <v>0</v>
      </c>
      <c r="NZ32" s="11">
        <f t="shared" si="90"/>
        <v>0</v>
      </c>
      <c r="OA32" s="11">
        <f t="shared" si="90"/>
        <v>0</v>
      </c>
      <c r="OB32" s="11">
        <f t="shared" ref="OB32:QM32" si="91">IF(OB24="Sáb",OA32,IF(OB24="Dom",OA32,IF(OB24="Fer",OA32,OB27)))</f>
        <v>0</v>
      </c>
      <c r="OC32" s="11">
        <f t="shared" si="91"/>
        <v>0</v>
      </c>
      <c r="OD32" s="11">
        <f t="shared" si="91"/>
        <v>0</v>
      </c>
      <c r="OE32" s="11">
        <f t="shared" si="91"/>
        <v>0</v>
      </c>
      <c r="OF32" s="11">
        <f t="shared" si="91"/>
        <v>0</v>
      </c>
      <c r="OG32" s="11">
        <f t="shared" si="91"/>
        <v>0</v>
      </c>
      <c r="OH32" s="11">
        <f t="shared" si="91"/>
        <v>0</v>
      </c>
      <c r="OI32" s="11">
        <f t="shared" si="91"/>
        <v>0</v>
      </c>
      <c r="OJ32" s="11">
        <f t="shared" si="91"/>
        <v>0</v>
      </c>
      <c r="OK32" s="11">
        <f t="shared" si="91"/>
        <v>0</v>
      </c>
      <c r="OL32" s="11">
        <f t="shared" si="91"/>
        <v>0</v>
      </c>
      <c r="OM32" s="11">
        <f t="shared" si="91"/>
        <v>0</v>
      </c>
      <c r="ON32" s="11">
        <f t="shared" si="91"/>
        <v>0</v>
      </c>
      <c r="OO32" s="11">
        <f t="shared" si="91"/>
        <v>0</v>
      </c>
      <c r="OP32" s="11">
        <f t="shared" si="91"/>
        <v>0</v>
      </c>
      <c r="OQ32" s="11">
        <f t="shared" si="91"/>
        <v>0</v>
      </c>
      <c r="OR32" s="11">
        <f t="shared" si="91"/>
        <v>0</v>
      </c>
      <c r="OS32" s="11">
        <f t="shared" si="91"/>
        <v>0</v>
      </c>
      <c r="OT32" s="11">
        <f t="shared" si="91"/>
        <v>0</v>
      </c>
      <c r="OU32" s="11">
        <f t="shared" si="91"/>
        <v>0</v>
      </c>
      <c r="OV32" s="11">
        <f t="shared" si="91"/>
        <v>0</v>
      </c>
      <c r="OW32" s="11">
        <f t="shared" si="91"/>
        <v>0</v>
      </c>
      <c r="OX32" s="11">
        <f t="shared" si="91"/>
        <v>0</v>
      </c>
      <c r="OY32" s="11">
        <f t="shared" si="91"/>
        <v>0</v>
      </c>
      <c r="OZ32" s="11">
        <f t="shared" si="91"/>
        <v>0</v>
      </c>
      <c r="PA32" s="11">
        <f t="shared" si="91"/>
        <v>0</v>
      </c>
      <c r="PB32" s="11">
        <f t="shared" si="91"/>
        <v>0</v>
      </c>
      <c r="PC32" s="11">
        <f t="shared" si="91"/>
        <v>0</v>
      </c>
      <c r="PD32" s="11">
        <f t="shared" si="91"/>
        <v>0</v>
      </c>
      <c r="PE32" s="11">
        <f t="shared" si="91"/>
        <v>0</v>
      </c>
      <c r="PF32" s="11">
        <f t="shared" si="91"/>
        <v>0</v>
      </c>
      <c r="PG32" s="11">
        <f t="shared" si="91"/>
        <v>0</v>
      </c>
      <c r="PH32" s="11">
        <f t="shared" si="91"/>
        <v>0</v>
      </c>
      <c r="PI32" s="11">
        <f t="shared" si="91"/>
        <v>0</v>
      </c>
      <c r="PJ32" s="11">
        <f t="shared" si="91"/>
        <v>0</v>
      </c>
      <c r="PK32" s="11">
        <f t="shared" si="91"/>
        <v>0</v>
      </c>
      <c r="PL32" s="11">
        <f t="shared" si="91"/>
        <v>0</v>
      </c>
      <c r="PM32" s="11">
        <f t="shared" si="91"/>
        <v>0</v>
      </c>
      <c r="PN32" s="11">
        <f t="shared" si="91"/>
        <v>0</v>
      </c>
      <c r="PO32" s="11">
        <f t="shared" si="91"/>
        <v>0</v>
      </c>
      <c r="PP32" s="11">
        <f t="shared" si="91"/>
        <v>0</v>
      </c>
      <c r="PQ32" s="11">
        <f t="shared" si="91"/>
        <v>0</v>
      </c>
      <c r="PR32" s="11">
        <f t="shared" si="91"/>
        <v>0</v>
      </c>
      <c r="PS32" s="11">
        <f t="shared" si="91"/>
        <v>0</v>
      </c>
      <c r="PT32" s="11">
        <f t="shared" si="91"/>
        <v>0</v>
      </c>
      <c r="PU32" s="11">
        <f t="shared" si="91"/>
        <v>0</v>
      </c>
      <c r="PV32" s="11">
        <f t="shared" si="91"/>
        <v>0</v>
      </c>
      <c r="PW32" s="11">
        <f t="shared" si="91"/>
        <v>0</v>
      </c>
      <c r="PX32" s="11">
        <f t="shared" si="91"/>
        <v>0</v>
      </c>
      <c r="PY32" s="11">
        <f t="shared" si="91"/>
        <v>0</v>
      </c>
      <c r="PZ32" s="11">
        <f t="shared" si="91"/>
        <v>0</v>
      </c>
      <c r="QA32" s="11">
        <f t="shared" si="91"/>
        <v>0</v>
      </c>
      <c r="QB32" s="11">
        <f t="shared" si="91"/>
        <v>0</v>
      </c>
      <c r="QC32" s="11">
        <f t="shared" si="91"/>
        <v>0</v>
      </c>
      <c r="QD32" s="11">
        <f t="shared" si="91"/>
        <v>0</v>
      </c>
      <c r="QE32" s="11">
        <f t="shared" si="91"/>
        <v>0</v>
      </c>
      <c r="QF32" s="11">
        <f t="shared" si="91"/>
        <v>0</v>
      </c>
      <c r="QG32" s="11">
        <f t="shared" si="91"/>
        <v>0</v>
      </c>
      <c r="QH32" s="11">
        <f t="shared" si="91"/>
        <v>0</v>
      </c>
      <c r="QI32" s="11">
        <f t="shared" si="91"/>
        <v>0</v>
      </c>
      <c r="QJ32" s="11">
        <f t="shared" si="91"/>
        <v>0</v>
      </c>
      <c r="QK32" s="11">
        <f t="shared" si="91"/>
        <v>0</v>
      </c>
      <c r="QL32" s="11">
        <f t="shared" si="91"/>
        <v>0</v>
      </c>
      <c r="QM32" s="11">
        <f t="shared" si="91"/>
        <v>0</v>
      </c>
      <c r="QN32" s="11">
        <f t="shared" ref="QN32:SY32" si="92">IF(QN24="Sáb",QM32,IF(QN24="Dom",QM32,IF(QN24="Fer",QM32,QN27)))</f>
        <v>0</v>
      </c>
      <c r="QO32" s="11">
        <f t="shared" si="92"/>
        <v>0</v>
      </c>
      <c r="QP32" s="11">
        <f t="shared" si="92"/>
        <v>0</v>
      </c>
      <c r="QQ32" s="11">
        <f t="shared" si="92"/>
        <v>0</v>
      </c>
      <c r="QR32" s="11">
        <f t="shared" si="92"/>
        <v>0</v>
      </c>
      <c r="QS32" s="11">
        <f t="shared" si="92"/>
        <v>0</v>
      </c>
      <c r="QT32" s="11">
        <f t="shared" si="92"/>
        <v>0</v>
      </c>
      <c r="QU32" s="11">
        <f t="shared" si="92"/>
        <v>0</v>
      </c>
      <c r="QV32" s="11">
        <f t="shared" si="92"/>
        <v>0</v>
      </c>
      <c r="QW32" s="11">
        <f t="shared" si="92"/>
        <v>0</v>
      </c>
      <c r="QX32" s="11">
        <f t="shared" si="92"/>
        <v>0</v>
      </c>
      <c r="QY32" s="11">
        <f t="shared" si="92"/>
        <v>0</v>
      </c>
      <c r="QZ32" s="11">
        <f t="shared" si="92"/>
        <v>0</v>
      </c>
      <c r="RA32" s="11">
        <f t="shared" si="92"/>
        <v>0</v>
      </c>
      <c r="RB32" s="11">
        <f t="shared" si="92"/>
        <v>0</v>
      </c>
      <c r="RC32" s="11">
        <f t="shared" si="92"/>
        <v>0</v>
      </c>
      <c r="RD32" s="11">
        <f t="shared" si="92"/>
        <v>0</v>
      </c>
      <c r="RE32" s="11">
        <f t="shared" si="92"/>
        <v>0</v>
      </c>
      <c r="RF32" s="11">
        <f t="shared" si="92"/>
        <v>0</v>
      </c>
      <c r="RG32" s="11">
        <f t="shared" si="92"/>
        <v>0</v>
      </c>
      <c r="RH32" s="11">
        <f t="shared" si="92"/>
        <v>0</v>
      </c>
      <c r="RI32" s="11">
        <f t="shared" si="92"/>
        <v>0</v>
      </c>
      <c r="RJ32" s="11">
        <f t="shared" si="92"/>
        <v>0</v>
      </c>
      <c r="RK32" s="11">
        <f t="shared" si="92"/>
        <v>0</v>
      </c>
      <c r="RL32" s="11">
        <f t="shared" si="92"/>
        <v>0</v>
      </c>
      <c r="RM32" s="11">
        <f t="shared" si="92"/>
        <v>0</v>
      </c>
      <c r="RN32" s="11">
        <f t="shared" si="92"/>
        <v>0</v>
      </c>
      <c r="RO32" s="11">
        <f t="shared" si="92"/>
        <v>0</v>
      </c>
      <c r="RP32" s="11">
        <f t="shared" si="92"/>
        <v>0</v>
      </c>
      <c r="RQ32" s="11">
        <f t="shared" si="92"/>
        <v>0</v>
      </c>
      <c r="RR32" s="11">
        <f t="shared" si="92"/>
        <v>0</v>
      </c>
      <c r="RS32" s="11">
        <f t="shared" si="92"/>
        <v>0</v>
      </c>
      <c r="RT32" s="11">
        <f t="shared" si="92"/>
        <v>0</v>
      </c>
      <c r="RU32" s="11">
        <f t="shared" si="92"/>
        <v>0</v>
      </c>
      <c r="RV32" s="11">
        <f t="shared" si="92"/>
        <v>0</v>
      </c>
      <c r="RW32" s="11">
        <f t="shared" si="92"/>
        <v>0</v>
      </c>
      <c r="RX32" s="11">
        <f t="shared" si="92"/>
        <v>0</v>
      </c>
      <c r="RY32" s="11">
        <f t="shared" si="92"/>
        <v>0</v>
      </c>
      <c r="RZ32" s="11">
        <f t="shared" si="92"/>
        <v>0</v>
      </c>
      <c r="SA32" s="11">
        <f t="shared" si="92"/>
        <v>0</v>
      </c>
      <c r="SB32" s="11">
        <f t="shared" si="92"/>
        <v>0</v>
      </c>
      <c r="SC32" s="11">
        <f t="shared" si="92"/>
        <v>0</v>
      </c>
      <c r="SD32" s="11">
        <f t="shared" si="92"/>
        <v>0</v>
      </c>
      <c r="SE32" s="11">
        <f t="shared" si="92"/>
        <v>0</v>
      </c>
      <c r="SF32" s="11">
        <f t="shared" si="92"/>
        <v>0</v>
      </c>
      <c r="SG32" s="11">
        <f t="shared" si="92"/>
        <v>0</v>
      </c>
      <c r="SH32" s="11">
        <f t="shared" si="92"/>
        <v>0</v>
      </c>
      <c r="SI32" s="11">
        <f t="shared" si="92"/>
        <v>0</v>
      </c>
      <c r="SJ32" s="11">
        <f t="shared" si="92"/>
        <v>0</v>
      </c>
      <c r="SK32" s="11">
        <f t="shared" si="92"/>
        <v>0</v>
      </c>
      <c r="SL32" s="11">
        <f t="shared" si="92"/>
        <v>0</v>
      </c>
      <c r="SM32" s="11">
        <f t="shared" si="92"/>
        <v>0</v>
      </c>
      <c r="SN32" s="11">
        <f t="shared" si="92"/>
        <v>0</v>
      </c>
      <c r="SO32" s="11">
        <f t="shared" si="92"/>
        <v>0</v>
      </c>
      <c r="SP32" s="11">
        <f t="shared" si="92"/>
        <v>0</v>
      </c>
      <c r="SQ32" s="11">
        <f t="shared" si="92"/>
        <v>0</v>
      </c>
      <c r="SR32" s="11">
        <f t="shared" si="92"/>
        <v>0</v>
      </c>
      <c r="SS32" s="11">
        <f t="shared" si="92"/>
        <v>0</v>
      </c>
      <c r="ST32" s="11">
        <f t="shared" si="92"/>
        <v>0</v>
      </c>
      <c r="SU32" s="11">
        <f t="shared" si="92"/>
        <v>0</v>
      </c>
      <c r="SV32" s="11">
        <f t="shared" si="92"/>
        <v>0</v>
      </c>
      <c r="SW32" s="11">
        <f t="shared" si="92"/>
        <v>0</v>
      </c>
      <c r="SX32" s="11">
        <f t="shared" si="92"/>
        <v>0</v>
      </c>
      <c r="SY32" s="11">
        <f t="shared" si="92"/>
        <v>0</v>
      </c>
      <c r="SZ32" s="11">
        <f t="shared" ref="SZ32:VK32" si="93">IF(SZ24="Sáb",SY32,IF(SZ24="Dom",SY32,IF(SZ24="Fer",SY32,SZ27)))</f>
        <v>0</v>
      </c>
      <c r="TA32" s="11">
        <f t="shared" si="93"/>
        <v>0</v>
      </c>
      <c r="TB32" s="11">
        <f t="shared" si="93"/>
        <v>0</v>
      </c>
      <c r="TC32" s="11">
        <f t="shared" si="93"/>
        <v>0</v>
      </c>
      <c r="TD32" s="11">
        <f t="shared" si="93"/>
        <v>0</v>
      </c>
      <c r="TE32" s="11">
        <f t="shared" si="93"/>
        <v>0</v>
      </c>
      <c r="TF32" s="11">
        <f t="shared" si="93"/>
        <v>0</v>
      </c>
      <c r="TG32" s="11">
        <f t="shared" si="93"/>
        <v>0</v>
      </c>
      <c r="TH32" s="11">
        <f t="shared" si="93"/>
        <v>0</v>
      </c>
      <c r="TI32" s="11">
        <f t="shared" si="93"/>
        <v>0</v>
      </c>
      <c r="TJ32" s="11">
        <f t="shared" si="93"/>
        <v>0</v>
      </c>
      <c r="TK32" s="11">
        <f t="shared" si="93"/>
        <v>0</v>
      </c>
      <c r="TL32" s="11">
        <f t="shared" si="93"/>
        <v>0</v>
      </c>
      <c r="TM32" s="11">
        <f t="shared" si="93"/>
        <v>0</v>
      </c>
      <c r="TN32" s="11">
        <f t="shared" si="93"/>
        <v>0</v>
      </c>
      <c r="TO32" s="11">
        <f t="shared" si="93"/>
        <v>0</v>
      </c>
      <c r="TP32" s="11">
        <f t="shared" si="93"/>
        <v>0</v>
      </c>
      <c r="TQ32" s="11">
        <f t="shared" si="93"/>
        <v>0</v>
      </c>
      <c r="TR32" s="11">
        <f t="shared" si="93"/>
        <v>0</v>
      </c>
      <c r="TS32" s="11">
        <f t="shared" si="93"/>
        <v>0</v>
      </c>
      <c r="TT32" s="11">
        <f t="shared" si="93"/>
        <v>0</v>
      </c>
      <c r="TU32" s="11">
        <f t="shared" si="93"/>
        <v>0</v>
      </c>
      <c r="TV32" s="11">
        <f t="shared" si="93"/>
        <v>0</v>
      </c>
      <c r="TW32" s="11">
        <f t="shared" si="93"/>
        <v>0</v>
      </c>
      <c r="TX32" s="11">
        <f t="shared" si="93"/>
        <v>0</v>
      </c>
      <c r="TY32" s="11">
        <f t="shared" si="93"/>
        <v>0</v>
      </c>
      <c r="TZ32" s="11">
        <f t="shared" si="93"/>
        <v>0</v>
      </c>
      <c r="UA32" s="11">
        <f t="shared" si="93"/>
        <v>0</v>
      </c>
      <c r="UB32" s="11">
        <f t="shared" si="93"/>
        <v>0</v>
      </c>
      <c r="UC32" s="11">
        <f t="shared" si="93"/>
        <v>0</v>
      </c>
      <c r="UD32" s="11">
        <f t="shared" si="93"/>
        <v>0</v>
      </c>
      <c r="UE32" s="11">
        <f t="shared" si="93"/>
        <v>0</v>
      </c>
      <c r="UF32" s="11">
        <f t="shared" si="93"/>
        <v>0</v>
      </c>
      <c r="UG32" s="11">
        <f t="shared" si="93"/>
        <v>0</v>
      </c>
      <c r="UH32" s="11">
        <f t="shared" si="93"/>
        <v>0</v>
      </c>
      <c r="UI32" s="11">
        <f t="shared" si="93"/>
        <v>0</v>
      </c>
      <c r="UJ32" s="11">
        <f t="shared" si="93"/>
        <v>0</v>
      </c>
      <c r="UK32" s="11">
        <f t="shared" si="93"/>
        <v>0</v>
      </c>
      <c r="UL32" s="11">
        <f t="shared" si="93"/>
        <v>0</v>
      </c>
      <c r="UM32" s="11">
        <f t="shared" si="93"/>
        <v>0</v>
      </c>
      <c r="UN32" s="11">
        <f t="shared" si="93"/>
        <v>0</v>
      </c>
      <c r="UO32" s="11">
        <f t="shared" si="93"/>
        <v>0</v>
      </c>
      <c r="UP32" s="11">
        <f t="shared" si="93"/>
        <v>0</v>
      </c>
      <c r="UQ32" s="11">
        <f t="shared" si="93"/>
        <v>0</v>
      </c>
      <c r="UR32" s="11">
        <f t="shared" si="93"/>
        <v>0</v>
      </c>
      <c r="US32" s="11">
        <f t="shared" si="93"/>
        <v>0</v>
      </c>
      <c r="UT32" s="11">
        <f t="shared" si="93"/>
        <v>0</v>
      </c>
      <c r="UU32" s="11">
        <f t="shared" si="93"/>
        <v>0</v>
      </c>
      <c r="UV32" s="11">
        <f t="shared" si="93"/>
        <v>0</v>
      </c>
      <c r="UW32" s="11">
        <f t="shared" si="93"/>
        <v>0</v>
      </c>
      <c r="UX32" s="11">
        <f t="shared" si="93"/>
        <v>0</v>
      </c>
      <c r="UY32" s="11">
        <f t="shared" si="93"/>
        <v>0</v>
      </c>
      <c r="UZ32" s="11">
        <f t="shared" si="93"/>
        <v>0</v>
      </c>
      <c r="VA32" s="11">
        <f t="shared" si="93"/>
        <v>0</v>
      </c>
      <c r="VB32" s="11">
        <f t="shared" si="93"/>
        <v>0</v>
      </c>
      <c r="VC32" s="11">
        <f t="shared" si="93"/>
        <v>0</v>
      </c>
      <c r="VD32" s="11">
        <f t="shared" si="93"/>
        <v>0</v>
      </c>
      <c r="VE32" s="11">
        <f t="shared" si="93"/>
        <v>0</v>
      </c>
      <c r="VF32" s="11">
        <f t="shared" si="93"/>
        <v>0</v>
      </c>
      <c r="VG32" s="11">
        <f t="shared" si="93"/>
        <v>0</v>
      </c>
      <c r="VH32" s="11">
        <f t="shared" si="93"/>
        <v>0</v>
      </c>
      <c r="VI32" s="11">
        <f t="shared" si="93"/>
        <v>0</v>
      </c>
      <c r="VJ32" s="11">
        <f t="shared" si="93"/>
        <v>0</v>
      </c>
      <c r="VK32" s="11">
        <f t="shared" si="93"/>
        <v>0</v>
      </c>
      <c r="VL32" s="11">
        <f t="shared" ref="VL32:XW32" si="94">IF(VL24="Sáb",VK32,IF(VL24="Dom",VK32,IF(VL24="Fer",VK32,VL27)))</f>
        <v>0</v>
      </c>
      <c r="VM32" s="11">
        <f t="shared" si="94"/>
        <v>0</v>
      </c>
      <c r="VN32" s="11">
        <f t="shared" si="94"/>
        <v>0</v>
      </c>
      <c r="VO32" s="11">
        <f t="shared" si="94"/>
        <v>0</v>
      </c>
      <c r="VP32" s="11">
        <f t="shared" si="94"/>
        <v>0</v>
      </c>
      <c r="VQ32" s="11">
        <f t="shared" si="94"/>
        <v>0</v>
      </c>
      <c r="VR32" s="11">
        <f t="shared" si="94"/>
        <v>0</v>
      </c>
      <c r="VS32" s="11">
        <f t="shared" si="94"/>
        <v>0</v>
      </c>
      <c r="VT32" s="11">
        <f t="shared" si="94"/>
        <v>0</v>
      </c>
      <c r="VU32" s="11">
        <f t="shared" si="94"/>
        <v>0</v>
      </c>
      <c r="VV32" s="11">
        <f t="shared" si="94"/>
        <v>0</v>
      </c>
      <c r="VW32" s="11">
        <f t="shared" si="94"/>
        <v>0</v>
      </c>
      <c r="VX32" s="11">
        <f t="shared" si="94"/>
        <v>0</v>
      </c>
      <c r="VY32" s="11">
        <f t="shared" si="94"/>
        <v>0</v>
      </c>
      <c r="VZ32" s="11">
        <f t="shared" si="94"/>
        <v>0</v>
      </c>
      <c r="WA32" s="11">
        <f t="shared" si="94"/>
        <v>0</v>
      </c>
      <c r="WB32" s="11">
        <f t="shared" si="94"/>
        <v>0</v>
      </c>
      <c r="WC32" s="11">
        <f t="shared" si="94"/>
        <v>0</v>
      </c>
      <c r="WD32" s="11">
        <f t="shared" si="94"/>
        <v>0</v>
      </c>
      <c r="WE32" s="11">
        <f t="shared" si="94"/>
        <v>0</v>
      </c>
      <c r="WF32" s="11">
        <f t="shared" si="94"/>
        <v>0</v>
      </c>
      <c r="WG32" s="11">
        <f t="shared" si="94"/>
        <v>0</v>
      </c>
      <c r="WH32" s="11">
        <f t="shared" si="94"/>
        <v>0</v>
      </c>
      <c r="WI32" s="11">
        <f t="shared" si="94"/>
        <v>0</v>
      </c>
      <c r="WJ32" s="11">
        <f t="shared" si="94"/>
        <v>0</v>
      </c>
      <c r="WK32" s="11">
        <f t="shared" si="94"/>
        <v>0</v>
      </c>
      <c r="WL32" s="11">
        <f t="shared" si="94"/>
        <v>0</v>
      </c>
      <c r="WM32" s="11">
        <f t="shared" si="94"/>
        <v>0</v>
      </c>
      <c r="WN32" s="11">
        <f t="shared" si="94"/>
        <v>0</v>
      </c>
      <c r="WO32" s="11">
        <f t="shared" si="94"/>
        <v>0</v>
      </c>
      <c r="WP32" s="11">
        <f t="shared" si="94"/>
        <v>0</v>
      </c>
      <c r="WQ32" s="11">
        <f t="shared" si="94"/>
        <v>0</v>
      </c>
      <c r="WR32" s="11">
        <f t="shared" si="94"/>
        <v>0</v>
      </c>
      <c r="WS32" s="11">
        <f t="shared" si="94"/>
        <v>0</v>
      </c>
      <c r="WT32" s="11">
        <f t="shared" si="94"/>
        <v>0</v>
      </c>
      <c r="WU32" s="11">
        <f t="shared" si="94"/>
        <v>0</v>
      </c>
      <c r="WV32" s="11">
        <f t="shared" si="94"/>
        <v>0</v>
      </c>
      <c r="WW32" s="11">
        <f t="shared" si="94"/>
        <v>0</v>
      </c>
      <c r="WX32" s="11">
        <f t="shared" si="94"/>
        <v>0</v>
      </c>
      <c r="WY32" s="11">
        <f t="shared" si="94"/>
        <v>0</v>
      </c>
      <c r="WZ32" s="11">
        <f t="shared" si="94"/>
        <v>0</v>
      </c>
      <c r="XA32" s="11">
        <f t="shared" si="94"/>
        <v>0</v>
      </c>
      <c r="XB32" s="11">
        <f t="shared" si="94"/>
        <v>0</v>
      </c>
      <c r="XC32" s="11">
        <f t="shared" si="94"/>
        <v>0</v>
      </c>
      <c r="XD32" s="11">
        <f t="shared" si="94"/>
        <v>0</v>
      </c>
      <c r="XE32" s="11">
        <f t="shared" si="94"/>
        <v>0</v>
      </c>
      <c r="XF32" s="11">
        <f t="shared" si="94"/>
        <v>0</v>
      </c>
      <c r="XG32" s="11">
        <f t="shared" si="94"/>
        <v>0</v>
      </c>
      <c r="XH32" s="11">
        <f t="shared" si="94"/>
        <v>0</v>
      </c>
      <c r="XI32" s="11">
        <f t="shared" si="94"/>
        <v>0</v>
      </c>
      <c r="XJ32" s="11">
        <f t="shared" si="94"/>
        <v>0</v>
      </c>
      <c r="XK32" s="11">
        <f t="shared" si="94"/>
        <v>0</v>
      </c>
      <c r="XL32" s="11">
        <f t="shared" si="94"/>
        <v>0</v>
      </c>
      <c r="XM32" s="11">
        <f t="shared" si="94"/>
        <v>0</v>
      </c>
      <c r="XN32" s="11">
        <f t="shared" si="94"/>
        <v>0</v>
      </c>
      <c r="XO32" s="11">
        <f t="shared" si="94"/>
        <v>0</v>
      </c>
      <c r="XP32" s="11">
        <f t="shared" si="94"/>
        <v>0</v>
      </c>
      <c r="XQ32" s="11">
        <f t="shared" si="94"/>
        <v>0</v>
      </c>
      <c r="XR32" s="11">
        <f t="shared" si="94"/>
        <v>0</v>
      </c>
      <c r="XS32" s="11">
        <f t="shared" si="94"/>
        <v>0</v>
      </c>
      <c r="XT32" s="11">
        <f t="shared" si="94"/>
        <v>0</v>
      </c>
      <c r="XU32" s="11">
        <f t="shared" si="94"/>
        <v>0</v>
      </c>
      <c r="XV32" s="11">
        <f t="shared" si="94"/>
        <v>0</v>
      </c>
      <c r="XW32" s="11">
        <f t="shared" si="94"/>
        <v>0</v>
      </c>
      <c r="XX32" s="11">
        <f t="shared" ref="XX32:AAI32" si="95">IF(XX24="Sáb",XW32,IF(XX24="Dom",XW32,IF(XX24="Fer",XW32,XX27)))</f>
        <v>0</v>
      </c>
      <c r="XY32" s="11">
        <f t="shared" si="95"/>
        <v>0</v>
      </c>
      <c r="XZ32" s="11">
        <f t="shared" si="95"/>
        <v>0</v>
      </c>
      <c r="YA32" s="11">
        <f t="shared" si="95"/>
        <v>0</v>
      </c>
      <c r="YB32" s="11">
        <f t="shared" si="95"/>
        <v>0</v>
      </c>
      <c r="YC32" s="11">
        <f t="shared" si="95"/>
        <v>0</v>
      </c>
      <c r="YD32" s="11">
        <f t="shared" si="95"/>
        <v>0</v>
      </c>
      <c r="YE32" s="11">
        <f t="shared" si="95"/>
        <v>0</v>
      </c>
      <c r="YF32" s="11">
        <f t="shared" si="95"/>
        <v>0</v>
      </c>
      <c r="YG32" s="11">
        <f t="shared" si="95"/>
        <v>0</v>
      </c>
      <c r="YH32" s="11">
        <f t="shared" si="95"/>
        <v>0</v>
      </c>
      <c r="YI32" s="11">
        <f t="shared" si="95"/>
        <v>0</v>
      </c>
      <c r="YJ32" s="11">
        <f t="shared" si="95"/>
        <v>0</v>
      </c>
      <c r="YK32" s="11">
        <f t="shared" si="95"/>
        <v>0</v>
      </c>
      <c r="YL32" s="11">
        <f t="shared" si="95"/>
        <v>0</v>
      </c>
      <c r="YM32" s="11">
        <f t="shared" si="95"/>
        <v>0</v>
      </c>
      <c r="YN32" s="11">
        <f t="shared" si="95"/>
        <v>0</v>
      </c>
      <c r="YO32" s="11">
        <f t="shared" si="95"/>
        <v>0</v>
      </c>
      <c r="YP32" s="11">
        <f t="shared" si="95"/>
        <v>0</v>
      </c>
      <c r="YQ32" s="11">
        <f t="shared" si="95"/>
        <v>0</v>
      </c>
      <c r="YR32" s="11">
        <f t="shared" si="95"/>
        <v>0</v>
      </c>
      <c r="YS32" s="11">
        <f t="shared" si="95"/>
        <v>0</v>
      </c>
      <c r="YT32" s="11">
        <f t="shared" si="95"/>
        <v>0</v>
      </c>
      <c r="YU32" s="11">
        <f t="shared" si="95"/>
        <v>0</v>
      </c>
      <c r="YV32" s="11">
        <f t="shared" si="95"/>
        <v>0</v>
      </c>
      <c r="YW32" s="11">
        <f t="shared" si="95"/>
        <v>0</v>
      </c>
      <c r="YX32" s="11">
        <f t="shared" si="95"/>
        <v>0</v>
      </c>
      <c r="YY32" s="11">
        <f t="shared" si="95"/>
        <v>0</v>
      </c>
      <c r="YZ32" s="11">
        <f t="shared" si="95"/>
        <v>0</v>
      </c>
      <c r="ZA32" s="11">
        <f t="shared" si="95"/>
        <v>0</v>
      </c>
      <c r="ZB32" s="11">
        <f t="shared" si="95"/>
        <v>0</v>
      </c>
      <c r="ZC32" s="11">
        <f t="shared" si="95"/>
        <v>0</v>
      </c>
      <c r="ZD32" s="11">
        <f t="shared" si="95"/>
        <v>0</v>
      </c>
      <c r="ZE32" s="11">
        <f t="shared" si="95"/>
        <v>0</v>
      </c>
      <c r="ZF32" s="11">
        <f t="shared" si="95"/>
        <v>0</v>
      </c>
      <c r="ZG32" s="11">
        <f t="shared" si="95"/>
        <v>0</v>
      </c>
      <c r="ZH32" s="11">
        <f t="shared" si="95"/>
        <v>0</v>
      </c>
      <c r="ZI32" s="11">
        <f t="shared" si="95"/>
        <v>0</v>
      </c>
      <c r="ZJ32" s="11">
        <f t="shared" si="95"/>
        <v>0</v>
      </c>
      <c r="ZK32" s="11">
        <f t="shared" si="95"/>
        <v>0</v>
      </c>
      <c r="ZL32" s="11">
        <f t="shared" si="95"/>
        <v>0</v>
      </c>
      <c r="ZM32" s="11">
        <f t="shared" si="95"/>
        <v>0</v>
      </c>
      <c r="ZN32" s="11">
        <f t="shared" si="95"/>
        <v>0</v>
      </c>
      <c r="ZO32" s="11">
        <f t="shared" si="95"/>
        <v>0</v>
      </c>
      <c r="ZP32" s="11">
        <f t="shared" si="95"/>
        <v>0</v>
      </c>
      <c r="ZQ32" s="11">
        <f t="shared" si="95"/>
        <v>0</v>
      </c>
      <c r="ZR32" s="11">
        <f t="shared" si="95"/>
        <v>0</v>
      </c>
      <c r="ZS32" s="11">
        <f t="shared" si="95"/>
        <v>0</v>
      </c>
      <c r="ZT32" s="11">
        <f t="shared" si="95"/>
        <v>0</v>
      </c>
      <c r="ZU32" s="11">
        <f t="shared" si="95"/>
        <v>0</v>
      </c>
      <c r="ZV32" s="11">
        <f t="shared" si="95"/>
        <v>0</v>
      </c>
      <c r="ZW32" s="11">
        <f t="shared" si="95"/>
        <v>0</v>
      </c>
      <c r="ZX32" s="11">
        <f t="shared" si="95"/>
        <v>0</v>
      </c>
      <c r="ZY32" s="11">
        <f t="shared" si="95"/>
        <v>0</v>
      </c>
      <c r="ZZ32" s="11">
        <f t="shared" si="95"/>
        <v>0</v>
      </c>
      <c r="AAA32" s="11">
        <f t="shared" si="95"/>
        <v>0</v>
      </c>
      <c r="AAB32" s="11">
        <f t="shared" si="95"/>
        <v>0</v>
      </c>
      <c r="AAC32" s="11">
        <f t="shared" si="95"/>
        <v>0</v>
      </c>
      <c r="AAD32" s="11">
        <f t="shared" si="95"/>
        <v>0</v>
      </c>
      <c r="AAE32" s="11">
        <f t="shared" si="95"/>
        <v>0</v>
      </c>
      <c r="AAF32" s="11">
        <f t="shared" si="95"/>
        <v>0</v>
      </c>
      <c r="AAG32" s="11">
        <f t="shared" si="95"/>
        <v>0</v>
      </c>
      <c r="AAH32" s="11">
        <f t="shared" si="95"/>
        <v>0</v>
      </c>
      <c r="AAI32" s="11">
        <f t="shared" si="95"/>
        <v>0</v>
      </c>
      <c r="AAJ32" s="11">
        <f t="shared" ref="AAJ32:ABI32" si="96">IF(AAJ24="Sáb",AAI32,IF(AAJ24="Dom",AAI32,IF(AAJ24="Fer",AAI32,AAJ27)))</f>
        <v>0</v>
      </c>
      <c r="AAK32" s="11">
        <f t="shared" si="96"/>
        <v>0</v>
      </c>
      <c r="AAL32" s="11">
        <f t="shared" si="96"/>
        <v>0</v>
      </c>
      <c r="AAM32" s="11">
        <f t="shared" si="96"/>
        <v>0</v>
      </c>
      <c r="AAN32" s="11">
        <f t="shared" si="96"/>
        <v>0</v>
      </c>
      <c r="AAO32" s="11">
        <f t="shared" si="96"/>
        <v>0</v>
      </c>
      <c r="AAP32" s="11">
        <f t="shared" si="96"/>
        <v>0</v>
      </c>
      <c r="AAQ32" s="11">
        <f t="shared" si="96"/>
        <v>0</v>
      </c>
      <c r="AAR32" s="11">
        <f t="shared" si="96"/>
        <v>0</v>
      </c>
      <c r="AAS32" s="11">
        <f t="shared" si="96"/>
        <v>0</v>
      </c>
      <c r="AAT32" s="11">
        <f t="shared" si="96"/>
        <v>0</v>
      </c>
      <c r="AAU32" s="11">
        <f t="shared" si="96"/>
        <v>0</v>
      </c>
      <c r="AAV32" s="11">
        <f t="shared" si="96"/>
        <v>0</v>
      </c>
      <c r="AAW32" s="11">
        <f t="shared" si="96"/>
        <v>0</v>
      </c>
      <c r="AAX32" s="11">
        <f t="shared" si="96"/>
        <v>0</v>
      </c>
      <c r="AAY32" s="11">
        <f t="shared" si="96"/>
        <v>0</v>
      </c>
      <c r="AAZ32" s="11">
        <f t="shared" si="96"/>
        <v>0</v>
      </c>
      <c r="ABA32" s="11">
        <f t="shared" si="96"/>
        <v>0</v>
      </c>
      <c r="ABB32" s="11">
        <f t="shared" si="96"/>
        <v>0</v>
      </c>
      <c r="ABC32" s="11">
        <f t="shared" si="96"/>
        <v>0</v>
      </c>
      <c r="ABD32" s="11">
        <f t="shared" si="96"/>
        <v>0</v>
      </c>
      <c r="ABE32" s="11">
        <f t="shared" si="96"/>
        <v>0</v>
      </c>
      <c r="ABF32" s="11">
        <f t="shared" si="96"/>
        <v>0</v>
      </c>
      <c r="ABG32" s="11">
        <f t="shared" si="96"/>
        <v>0</v>
      </c>
      <c r="ABH32" s="11">
        <f t="shared" si="96"/>
        <v>0</v>
      </c>
      <c r="ABI32" s="11">
        <f t="shared" si="96"/>
        <v>0</v>
      </c>
    </row>
    <row r="33" spans="2:737" ht="12.95" customHeight="1" x14ac:dyDescent="0.25">
      <c r="C33" s="17"/>
      <c r="D33" s="14">
        <f t="shared" si="72"/>
        <v>907</v>
      </c>
      <c r="E33" s="15" t="s">
        <v>9</v>
      </c>
      <c r="F33" s="11">
        <f>F28</f>
        <v>4</v>
      </c>
      <c r="G33" s="11">
        <f>IF(G24="Sáb",F33,IF(G24="Dom",F33,IF(G24="Fer",F33,G28)))</f>
        <v>4</v>
      </c>
      <c r="H33" s="11">
        <f t="shared" ref="H33:BS33" si="97">IF(H24="Sáb",G33,IF(H24="Dom",G33,IF(H24="Fer",G33,H28)))</f>
        <v>4</v>
      </c>
      <c r="I33" s="11">
        <f t="shared" si="97"/>
        <v>4</v>
      </c>
      <c r="J33" s="11">
        <f t="shared" si="97"/>
        <v>4</v>
      </c>
      <c r="K33" s="11">
        <f t="shared" si="97"/>
        <v>4</v>
      </c>
      <c r="L33" s="11">
        <f t="shared" si="97"/>
        <v>4</v>
      </c>
      <c r="M33" s="11">
        <f t="shared" si="97"/>
        <v>4</v>
      </c>
      <c r="N33" s="11">
        <f t="shared" si="97"/>
        <v>4</v>
      </c>
      <c r="O33" s="11">
        <f t="shared" si="97"/>
        <v>4</v>
      </c>
      <c r="P33" s="11">
        <f t="shared" si="97"/>
        <v>4</v>
      </c>
      <c r="Q33" s="11">
        <f t="shared" si="97"/>
        <v>4</v>
      </c>
      <c r="R33" s="11">
        <f t="shared" si="97"/>
        <v>4</v>
      </c>
      <c r="S33" s="11">
        <f t="shared" si="97"/>
        <v>4</v>
      </c>
      <c r="T33" s="11">
        <f t="shared" si="97"/>
        <v>4</v>
      </c>
      <c r="U33" s="11">
        <f t="shared" si="97"/>
        <v>4</v>
      </c>
      <c r="V33" s="11">
        <f t="shared" si="97"/>
        <v>4</v>
      </c>
      <c r="W33" s="11">
        <f t="shared" si="97"/>
        <v>4</v>
      </c>
      <c r="X33" s="11">
        <f t="shared" si="97"/>
        <v>4</v>
      </c>
      <c r="Y33" s="11">
        <f t="shared" si="97"/>
        <v>4</v>
      </c>
      <c r="Z33" s="11">
        <f t="shared" si="97"/>
        <v>4</v>
      </c>
      <c r="AA33" s="11">
        <f t="shared" si="97"/>
        <v>4</v>
      </c>
      <c r="AB33" s="11">
        <f t="shared" si="97"/>
        <v>4</v>
      </c>
      <c r="AC33" s="11">
        <f t="shared" si="97"/>
        <v>4</v>
      </c>
      <c r="AD33" s="11">
        <f t="shared" si="97"/>
        <v>4</v>
      </c>
      <c r="AE33" s="11">
        <f t="shared" si="97"/>
        <v>4</v>
      </c>
      <c r="AF33" s="11">
        <f t="shared" si="97"/>
        <v>4</v>
      </c>
      <c r="AG33" s="11">
        <f t="shared" si="97"/>
        <v>4</v>
      </c>
      <c r="AH33" s="11">
        <f t="shared" si="97"/>
        <v>5</v>
      </c>
      <c r="AI33" s="11">
        <f t="shared" si="97"/>
        <v>5</v>
      </c>
      <c r="AJ33" s="11">
        <f t="shared" si="97"/>
        <v>5</v>
      </c>
      <c r="AK33" s="16">
        <f t="shared" si="97"/>
        <v>5</v>
      </c>
      <c r="AL33" s="11">
        <f t="shared" si="97"/>
        <v>5</v>
      </c>
      <c r="AM33" s="11">
        <f t="shared" si="97"/>
        <v>5</v>
      </c>
      <c r="AN33" s="11">
        <f t="shared" si="97"/>
        <v>5</v>
      </c>
      <c r="AO33" s="11">
        <f t="shared" si="97"/>
        <v>5</v>
      </c>
      <c r="AP33" s="11">
        <f t="shared" si="97"/>
        <v>5</v>
      </c>
      <c r="AQ33" s="11">
        <f t="shared" si="97"/>
        <v>5</v>
      </c>
      <c r="AR33" s="11">
        <f t="shared" si="97"/>
        <v>5</v>
      </c>
      <c r="AS33" s="11">
        <f t="shared" si="97"/>
        <v>5</v>
      </c>
      <c r="AT33" s="11">
        <f t="shared" si="97"/>
        <v>5</v>
      </c>
      <c r="AU33" s="11">
        <f t="shared" si="97"/>
        <v>5</v>
      </c>
      <c r="AV33" s="11">
        <f t="shared" si="97"/>
        <v>5</v>
      </c>
      <c r="AW33" s="11">
        <f t="shared" si="97"/>
        <v>5</v>
      </c>
      <c r="AX33" s="11">
        <f t="shared" si="97"/>
        <v>5</v>
      </c>
      <c r="AY33" s="11">
        <f t="shared" si="97"/>
        <v>5</v>
      </c>
      <c r="AZ33" s="11">
        <f t="shared" si="97"/>
        <v>5</v>
      </c>
      <c r="BA33" s="11">
        <f t="shared" si="97"/>
        <v>5</v>
      </c>
      <c r="BB33" s="11">
        <f t="shared" si="97"/>
        <v>5</v>
      </c>
      <c r="BC33" s="11">
        <f t="shared" si="97"/>
        <v>5</v>
      </c>
      <c r="BD33" s="11">
        <f t="shared" si="97"/>
        <v>5</v>
      </c>
      <c r="BE33" s="11">
        <f t="shared" si="97"/>
        <v>5</v>
      </c>
      <c r="BF33" s="11">
        <f t="shared" si="97"/>
        <v>5</v>
      </c>
      <c r="BG33" s="11">
        <f t="shared" si="97"/>
        <v>5</v>
      </c>
      <c r="BH33" s="11">
        <f t="shared" si="97"/>
        <v>5</v>
      </c>
      <c r="BI33" s="11">
        <f t="shared" si="97"/>
        <v>5</v>
      </c>
      <c r="BJ33" s="11">
        <f t="shared" si="97"/>
        <v>6</v>
      </c>
      <c r="BK33" s="11">
        <f t="shared" si="97"/>
        <v>6</v>
      </c>
      <c r="BL33" s="11">
        <f t="shared" si="97"/>
        <v>6</v>
      </c>
      <c r="BM33" s="11">
        <f t="shared" si="97"/>
        <v>6</v>
      </c>
      <c r="BN33" s="11">
        <f t="shared" si="97"/>
        <v>6</v>
      </c>
      <c r="BO33" s="11">
        <f t="shared" si="97"/>
        <v>6</v>
      </c>
      <c r="BP33" s="11">
        <f t="shared" si="97"/>
        <v>6</v>
      </c>
      <c r="BQ33" s="11">
        <f t="shared" si="97"/>
        <v>6</v>
      </c>
      <c r="BR33" s="11">
        <f t="shared" si="97"/>
        <v>6</v>
      </c>
      <c r="BS33" s="11">
        <f t="shared" si="97"/>
        <v>6</v>
      </c>
      <c r="BT33" s="11">
        <f t="shared" ref="BT33:EE33" si="98">IF(BT24="Sáb",BS33,IF(BT24="Dom",BS33,IF(BT24="Fer",BS33,BT28)))</f>
        <v>6</v>
      </c>
      <c r="BU33" s="11">
        <f t="shared" si="98"/>
        <v>6</v>
      </c>
      <c r="BV33" s="11">
        <f t="shared" si="98"/>
        <v>6</v>
      </c>
      <c r="BW33" s="11">
        <f t="shared" si="98"/>
        <v>6</v>
      </c>
      <c r="BX33" s="11">
        <f t="shared" si="98"/>
        <v>6</v>
      </c>
      <c r="BY33" s="11">
        <f t="shared" si="98"/>
        <v>6</v>
      </c>
      <c r="BZ33" s="11">
        <f t="shared" si="98"/>
        <v>6</v>
      </c>
      <c r="CA33" s="11">
        <f t="shared" si="98"/>
        <v>6</v>
      </c>
      <c r="CB33" s="11">
        <f t="shared" si="98"/>
        <v>6</v>
      </c>
      <c r="CC33" s="11">
        <f t="shared" si="98"/>
        <v>6</v>
      </c>
      <c r="CD33" s="11">
        <f t="shared" si="98"/>
        <v>6</v>
      </c>
      <c r="CE33" s="11">
        <f t="shared" si="98"/>
        <v>6</v>
      </c>
      <c r="CF33" s="11">
        <f t="shared" si="98"/>
        <v>6</v>
      </c>
      <c r="CG33" s="11">
        <f t="shared" si="98"/>
        <v>6</v>
      </c>
      <c r="CH33" s="11">
        <f t="shared" si="98"/>
        <v>6</v>
      </c>
      <c r="CI33" s="11">
        <f t="shared" si="98"/>
        <v>6</v>
      </c>
      <c r="CJ33" s="11">
        <f t="shared" si="98"/>
        <v>6</v>
      </c>
      <c r="CK33" s="11">
        <f t="shared" si="98"/>
        <v>6</v>
      </c>
      <c r="CL33" s="11">
        <f t="shared" si="98"/>
        <v>6</v>
      </c>
      <c r="CM33" s="11">
        <f t="shared" si="98"/>
        <v>6</v>
      </c>
      <c r="CN33" s="11">
        <f t="shared" si="98"/>
        <v>6</v>
      </c>
      <c r="CO33" s="11">
        <f t="shared" si="98"/>
        <v>6</v>
      </c>
      <c r="CP33" s="11">
        <f t="shared" si="98"/>
        <v>6</v>
      </c>
      <c r="CQ33" s="11">
        <f t="shared" si="98"/>
        <v>6</v>
      </c>
      <c r="CR33" s="11">
        <f t="shared" si="98"/>
        <v>6</v>
      </c>
      <c r="CS33" s="11">
        <f t="shared" si="98"/>
        <v>6</v>
      </c>
      <c r="CT33" s="11">
        <f t="shared" si="98"/>
        <v>6</v>
      </c>
      <c r="CU33" s="11">
        <f t="shared" si="98"/>
        <v>6</v>
      </c>
      <c r="CV33" s="11">
        <f t="shared" si="98"/>
        <v>6</v>
      </c>
      <c r="CW33" s="11">
        <f t="shared" si="98"/>
        <v>6</v>
      </c>
      <c r="CX33" s="11">
        <f t="shared" si="98"/>
        <v>6</v>
      </c>
      <c r="CY33" s="11">
        <f t="shared" si="98"/>
        <v>6</v>
      </c>
      <c r="CZ33" s="11">
        <f t="shared" si="98"/>
        <v>6</v>
      </c>
      <c r="DA33" s="11">
        <f t="shared" si="98"/>
        <v>6</v>
      </c>
      <c r="DB33" s="11">
        <f t="shared" si="98"/>
        <v>6</v>
      </c>
      <c r="DC33" s="11">
        <f t="shared" si="98"/>
        <v>6</v>
      </c>
      <c r="DD33" s="11">
        <f t="shared" si="98"/>
        <v>6</v>
      </c>
      <c r="DE33" s="11">
        <f t="shared" si="98"/>
        <v>6</v>
      </c>
      <c r="DF33" s="11">
        <f t="shared" si="98"/>
        <v>6</v>
      </c>
      <c r="DG33" s="11">
        <f t="shared" si="98"/>
        <v>6</v>
      </c>
      <c r="DH33" s="11">
        <f t="shared" si="98"/>
        <v>6</v>
      </c>
      <c r="DI33" s="11">
        <f t="shared" si="98"/>
        <v>6</v>
      </c>
      <c r="DJ33" s="11">
        <f t="shared" si="98"/>
        <v>6</v>
      </c>
      <c r="DK33" s="11">
        <f t="shared" si="98"/>
        <v>6</v>
      </c>
      <c r="DL33" s="11">
        <f t="shared" si="98"/>
        <v>6</v>
      </c>
      <c r="DM33" s="11">
        <f t="shared" si="98"/>
        <v>6</v>
      </c>
      <c r="DN33" s="11">
        <f t="shared" si="98"/>
        <v>6</v>
      </c>
      <c r="DO33" s="11">
        <f t="shared" si="98"/>
        <v>6</v>
      </c>
      <c r="DP33" s="11">
        <f t="shared" si="98"/>
        <v>6</v>
      </c>
      <c r="DQ33" s="11">
        <f t="shared" si="98"/>
        <v>6</v>
      </c>
      <c r="DR33" s="11">
        <f t="shared" si="98"/>
        <v>6</v>
      </c>
      <c r="DS33" s="11">
        <f t="shared" si="98"/>
        <v>6</v>
      </c>
      <c r="DT33" s="11">
        <f t="shared" si="98"/>
        <v>6</v>
      </c>
      <c r="DU33" s="11">
        <f t="shared" si="98"/>
        <v>6</v>
      </c>
      <c r="DV33" s="11">
        <f t="shared" si="98"/>
        <v>6</v>
      </c>
      <c r="DW33" s="11">
        <f t="shared" si="98"/>
        <v>6</v>
      </c>
      <c r="DX33" s="11">
        <f t="shared" si="98"/>
        <v>6</v>
      </c>
      <c r="DY33" s="11">
        <f t="shared" si="98"/>
        <v>6</v>
      </c>
      <c r="DZ33" s="11">
        <f t="shared" si="98"/>
        <v>6</v>
      </c>
      <c r="EA33" s="11">
        <f t="shared" si="98"/>
        <v>6</v>
      </c>
      <c r="EB33" s="11">
        <f t="shared" si="98"/>
        <v>6</v>
      </c>
      <c r="EC33" s="11">
        <f t="shared" si="98"/>
        <v>6</v>
      </c>
      <c r="ED33" s="11">
        <f t="shared" si="98"/>
        <v>6</v>
      </c>
      <c r="EE33" s="11">
        <f t="shared" si="98"/>
        <v>6</v>
      </c>
      <c r="EF33" s="11">
        <f t="shared" ref="EF33:GQ33" si="99">IF(EF24="Sáb",EE33,IF(EF24="Dom",EE33,IF(EF24="Fer",EE33,EF28)))</f>
        <v>6</v>
      </c>
      <c r="EG33" s="11">
        <f t="shared" si="99"/>
        <v>6</v>
      </c>
      <c r="EH33" s="11">
        <f t="shared" si="99"/>
        <v>6</v>
      </c>
      <c r="EI33" s="11">
        <f t="shared" si="99"/>
        <v>6</v>
      </c>
      <c r="EJ33" s="11">
        <f t="shared" si="99"/>
        <v>6</v>
      </c>
      <c r="EK33" s="11">
        <f t="shared" si="99"/>
        <v>6</v>
      </c>
      <c r="EL33" s="11">
        <f t="shared" si="99"/>
        <v>6</v>
      </c>
      <c r="EM33" s="11">
        <f t="shared" si="99"/>
        <v>6</v>
      </c>
      <c r="EN33" s="11">
        <f t="shared" si="99"/>
        <v>6</v>
      </c>
      <c r="EO33" s="11">
        <f t="shared" si="99"/>
        <v>6</v>
      </c>
      <c r="EP33" s="11">
        <f t="shared" si="99"/>
        <v>6</v>
      </c>
      <c r="EQ33" s="11">
        <f t="shared" si="99"/>
        <v>6</v>
      </c>
      <c r="ER33" s="11">
        <f t="shared" si="99"/>
        <v>6</v>
      </c>
      <c r="ES33" s="11">
        <f t="shared" si="99"/>
        <v>6</v>
      </c>
      <c r="ET33" s="11">
        <f t="shared" si="99"/>
        <v>6</v>
      </c>
      <c r="EU33" s="11">
        <f t="shared" si="99"/>
        <v>6</v>
      </c>
      <c r="EV33" s="11">
        <f t="shared" si="99"/>
        <v>6</v>
      </c>
      <c r="EW33" s="11">
        <f t="shared" si="99"/>
        <v>4</v>
      </c>
      <c r="EX33" s="11">
        <f t="shared" si="99"/>
        <v>4</v>
      </c>
      <c r="EY33" s="11">
        <f t="shared" si="99"/>
        <v>4</v>
      </c>
      <c r="EZ33" s="11">
        <f t="shared" si="99"/>
        <v>4</v>
      </c>
      <c r="FA33" s="11">
        <f t="shared" si="99"/>
        <v>4</v>
      </c>
      <c r="FB33" s="11">
        <f t="shared" si="99"/>
        <v>4</v>
      </c>
      <c r="FC33" s="11">
        <f t="shared" si="99"/>
        <v>4</v>
      </c>
      <c r="FD33" s="11">
        <f t="shared" si="99"/>
        <v>3</v>
      </c>
      <c r="FE33" s="11">
        <f t="shared" si="99"/>
        <v>3</v>
      </c>
      <c r="FF33" s="11">
        <f t="shared" si="99"/>
        <v>3</v>
      </c>
      <c r="FG33" s="11">
        <f t="shared" si="99"/>
        <v>3</v>
      </c>
      <c r="FH33" s="11">
        <f t="shared" si="99"/>
        <v>3</v>
      </c>
      <c r="FI33" s="11">
        <f t="shared" si="99"/>
        <v>3</v>
      </c>
      <c r="FJ33" s="11">
        <f t="shared" si="99"/>
        <v>3</v>
      </c>
      <c r="FK33" s="11">
        <f t="shared" si="99"/>
        <v>3</v>
      </c>
      <c r="FL33" s="11">
        <f t="shared" si="99"/>
        <v>3</v>
      </c>
      <c r="FM33" s="11">
        <f t="shared" si="99"/>
        <v>3</v>
      </c>
      <c r="FN33" s="11">
        <f t="shared" si="99"/>
        <v>3</v>
      </c>
      <c r="FO33" s="11">
        <f t="shared" si="99"/>
        <v>3</v>
      </c>
      <c r="FP33" s="11">
        <f t="shared" si="99"/>
        <v>3</v>
      </c>
      <c r="FQ33" s="11">
        <f t="shared" si="99"/>
        <v>3</v>
      </c>
      <c r="FR33" s="11">
        <f t="shared" si="99"/>
        <v>3</v>
      </c>
      <c r="FS33" s="11">
        <f t="shared" si="99"/>
        <v>3</v>
      </c>
      <c r="FT33" s="11">
        <f t="shared" si="99"/>
        <v>3</v>
      </c>
      <c r="FU33" s="11">
        <f t="shared" si="99"/>
        <v>3</v>
      </c>
      <c r="FV33" s="11">
        <f t="shared" si="99"/>
        <v>3</v>
      </c>
      <c r="FW33" s="11">
        <f t="shared" si="99"/>
        <v>3</v>
      </c>
      <c r="FX33" s="11">
        <f t="shared" si="99"/>
        <v>3</v>
      </c>
      <c r="FY33" s="11">
        <f t="shared" si="99"/>
        <v>3</v>
      </c>
      <c r="FZ33" s="11">
        <f t="shared" si="99"/>
        <v>3</v>
      </c>
      <c r="GA33" s="11">
        <f t="shared" si="99"/>
        <v>3</v>
      </c>
      <c r="GB33" s="11">
        <f t="shared" si="99"/>
        <v>3</v>
      </c>
      <c r="GC33" s="11">
        <f t="shared" si="99"/>
        <v>3</v>
      </c>
      <c r="GD33" s="11">
        <f t="shared" si="99"/>
        <v>3</v>
      </c>
      <c r="GE33" s="11">
        <f t="shared" si="99"/>
        <v>0</v>
      </c>
      <c r="GF33" s="11">
        <f t="shared" si="99"/>
        <v>0</v>
      </c>
      <c r="GG33" s="11">
        <f t="shared" si="99"/>
        <v>0</v>
      </c>
      <c r="GH33" s="11">
        <f t="shared" si="99"/>
        <v>0</v>
      </c>
      <c r="GI33" s="11">
        <f t="shared" si="99"/>
        <v>0</v>
      </c>
      <c r="GJ33" s="11">
        <f t="shared" si="99"/>
        <v>0</v>
      </c>
      <c r="GK33" s="11">
        <f t="shared" si="99"/>
        <v>0</v>
      </c>
      <c r="GL33" s="11">
        <f t="shared" si="99"/>
        <v>0</v>
      </c>
      <c r="GM33" s="11">
        <f t="shared" si="99"/>
        <v>0</v>
      </c>
      <c r="GN33" s="11">
        <f t="shared" si="99"/>
        <v>0</v>
      </c>
      <c r="GO33" s="11">
        <f t="shared" si="99"/>
        <v>0</v>
      </c>
      <c r="GP33" s="11">
        <f t="shared" si="99"/>
        <v>0</v>
      </c>
      <c r="GQ33" s="11">
        <f t="shared" si="99"/>
        <v>0</v>
      </c>
      <c r="GR33" s="11">
        <f t="shared" ref="GR33:JC33" si="100">IF(GR24="Sáb",GQ33,IF(GR24="Dom",GQ33,IF(GR24="Fer",GQ33,GR28)))</f>
        <v>0</v>
      </c>
      <c r="GS33" s="11">
        <f t="shared" si="100"/>
        <v>0</v>
      </c>
      <c r="GT33" s="11">
        <f t="shared" si="100"/>
        <v>0</v>
      </c>
      <c r="GU33" s="11">
        <f t="shared" si="100"/>
        <v>0</v>
      </c>
      <c r="GV33" s="11">
        <f t="shared" si="100"/>
        <v>0</v>
      </c>
      <c r="GW33" s="11">
        <f t="shared" si="100"/>
        <v>0</v>
      </c>
      <c r="GX33" s="11">
        <f t="shared" si="100"/>
        <v>0</v>
      </c>
      <c r="GY33" s="11">
        <f t="shared" si="100"/>
        <v>0</v>
      </c>
      <c r="GZ33" s="11">
        <f t="shared" si="100"/>
        <v>0</v>
      </c>
      <c r="HA33" s="11">
        <f t="shared" si="100"/>
        <v>0</v>
      </c>
      <c r="HB33" s="11">
        <f t="shared" si="100"/>
        <v>0</v>
      </c>
      <c r="HC33" s="11">
        <f t="shared" si="100"/>
        <v>0</v>
      </c>
      <c r="HD33" s="11">
        <f t="shared" si="100"/>
        <v>0</v>
      </c>
      <c r="HE33" s="11">
        <f t="shared" si="100"/>
        <v>0</v>
      </c>
      <c r="HF33" s="11">
        <f t="shared" si="100"/>
        <v>0</v>
      </c>
      <c r="HG33" s="11">
        <f t="shared" si="100"/>
        <v>0</v>
      </c>
      <c r="HH33" s="11">
        <f t="shared" si="100"/>
        <v>0</v>
      </c>
      <c r="HI33" s="11">
        <f t="shared" si="100"/>
        <v>0</v>
      </c>
      <c r="HJ33" s="11">
        <f t="shared" si="100"/>
        <v>0</v>
      </c>
      <c r="HK33" s="11">
        <f t="shared" si="100"/>
        <v>0</v>
      </c>
      <c r="HL33" s="11">
        <f t="shared" si="100"/>
        <v>0</v>
      </c>
      <c r="HM33" s="11">
        <f t="shared" si="100"/>
        <v>0</v>
      </c>
      <c r="HN33" s="11">
        <f t="shared" si="100"/>
        <v>0</v>
      </c>
      <c r="HO33" s="11">
        <f t="shared" si="100"/>
        <v>0</v>
      </c>
      <c r="HP33" s="11">
        <f t="shared" si="100"/>
        <v>0</v>
      </c>
      <c r="HQ33" s="11">
        <f t="shared" si="100"/>
        <v>0</v>
      </c>
      <c r="HR33" s="11">
        <f t="shared" si="100"/>
        <v>0</v>
      </c>
      <c r="HS33" s="11">
        <f t="shared" si="100"/>
        <v>0</v>
      </c>
      <c r="HT33" s="11">
        <f t="shared" si="100"/>
        <v>0</v>
      </c>
      <c r="HU33" s="11">
        <f t="shared" si="100"/>
        <v>0</v>
      </c>
      <c r="HV33" s="11">
        <f t="shared" si="100"/>
        <v>0</v>
      </c>
      <c r="HW33" s="11">
        <f t="shared" si="100"/>
        <v>0</v>
      </c>
      <c r="HX33" s="11">
        <f t="shared" si="100"/>
        <v>0</v>
      </c>
      <c r="HY33" s="11">
        <f t="shared" si="100"/>
        <v>0</v>
      </c>
      <c r="HZ33" s="11">
        <f t="shared" si="100"/>
        <v>0</v>
      </c>
      <c r="IA33" s="11">
        <f t="shared" si="100"/>
        <v>0</v>
      </c>
      <c r="IB33" s="11">
        <f t="shared" si="100"/>
        <v>0</v>
      </c>
      <c r="IC33" s="11">
        <f t="shared" si="100"/>
        <v>0</v>
      </c>
      <c r="ID33" s="11">
        <f t="shared" si="100"/>
        <v>0</v>
      </c>
      <c r="IE33" s="11">
        <f t="shared" si="100"/>
        <v>0</v>
      </c>
      <c r="IF33" s="11">
        <f t="shared" si="100"/>
        <v>0</v>
      </c>
      <c r="IG33" s="11">
        <f t="shared" si="100"/>
        <v>0</v>
      </c>
      <c r="IH33" s="11">
        <f t="shared" si="100"/>
        <v>0</v>
      </c>
      <c r="II33" s="11">
        <f t="shared" si="100"/>
        <v>0</v>
      </c>
      <c r="IJ33" s="11">
        <f t="shared" si="100"/>
        <v>0</v>
      </c>
      <c r="IK33" s="11">
        <f t="shared" si="100"/>
        <v>0</v>
      </c>
      <c r="IL33" s="11">
        <f t="shared" si="100"/>
        <v>0</v>
      </c>
      <c r="IM33" s="11">
        <f t="shared" si="100"/>
        <v>0</v>
      </c>
      <c r="IN33" s="11">
        <f t="shared" si="100"/>
        <v>0</v>
      </c>
      <c r="IO33" s="11">
        <f t="shared" si="100"/>
        <v>0</v>
      </c>
      <c r="IP33" s="11">
        <f t="shared" si="100"/>
        <v>0</v>
      </c>
      <c r="IQ33" s="11">
        <f t="shared" si="100"/>
        <v>0</v>
      </c>
      <c r="IR33" s="11">
        <f t="shared" si="100"/>
        <v>0</v>
      </c>
      <c r="IS33" s="11">
        <f t="shared" si="100"/>
        <v>0</v>
      </c>
      <c r="IT33" s="11">
        <f t="shared" si="100"/>
        <v>0</v>
      </c>
      <c r="IU33" s="11">
        <f t="shared" si="100"/>
        <v>0</v>
      </c>
      <c r="IV33" s="11">
        <f t="shared" si="100"/>
        <v>0</v>
      </c>
      <c r="IW33" s="11">
        <f t="shared" si="100"/>
        <v>0</v>
      </c>
      <c r="IX33" s="11">
        <f t="shared" si="100"/>
        <v>0</v>
      </c>
      <c r="IY33" s="11">
        <f t="shared" si="100"/>
        <v>0</v>
      </c>
      <c r="IZ33" s="11">
        <f t="shared" si="100"/>
        <v>0</v>
      </c>
      <c r="JA33" s="11">
        <f t="shared" si="100"/>
        <v>0</v>
      </c>
      <c r="JB33" s="11">
        <f t="shared" si="100"/>
        <v>0</v>
      </c>
      <c r="JC33" s="11">
        <f t="shared" si="100"/>
        <v>0</v>
      </c>
      <c r="JD33" s="11">
        <f t="shared" ref="JD33:LO33" si="101">IF(JD24="Sáb",JC33,IF(JD24="Dom",JC33,IF(JD24="Fer",JC33,JD28)))</f>
        <v>0</v>
      </c>
      <c r="JE33" s="11">
        <f t="shared" si="101"/>
        <v>0</v>
      </c>
      <c r="JF33" s="11">
        <f t="shared" si="101"/>
        <v>0</v>
      </c>
      <c r="JG33" s="11">
        <f t="shared" si="101"/>
        <v>0</v>
      </c>
      <c r="JH33" s="11">
        <f t="shared" si="101"/>
        <v>0</v>
      </c>
      <c r="JI33" s="11">
        <f t="shared" si="101"/>
        <v>0</v>
      </c>
      <c r="JJ33" s="11">
        <f t="shared" si="101"/>
        <v>0</v>
      </c>
      <c r="JK33" s="11">
        <f t="shared" si="101"/>
        <v>0</v>
      </c>
      <c r="JL33" s="11">
        <f t="shared" si="101"/>
        <v>0</v>
      </c>
      <c r="JM33" s="11">
        <f t="shared" si="101"/>
        <v>0</v>
      </c>
      <c r="JN33" s="11">
        <f t="shared" si="101"/>
        <v>0</v>
      </c>
      <c r="JO33" s="11">
        <f t="shared" si="101"/>
        <v>0</v>
      </c>
      <c r="JP33" s="11">
        <f t="shared" si="101"/>
        <v>0</v>
      </c>
      <c r="JQ33" s="11">
        <f t="shared" si="101"/>
        <v>0</v>
      </c>
      <c r="JR33" s="11">
        <f t="shared" si="101"/>
        <v>0</v>
      </c>
      <c r="JS33" s="11">
        <f t="shared" si="101"/>
        <v>0</v>
      </c>
      <c r="JT33" s="11">
        <f t="shared" si="101"/>
        <v>0</v>
      </c>
      <c r="JU33" s="11">
        <f t="shared" si="101"/>
        <v>0</v>
      </c>
      <c r="JV33" s="11">
        <f t="shared" si="101"/>
        <v>0</v>
      </c>
      <c r="JW33" s="11">
        <f t="shared" si="101"/>
        <v>0</v>
      </c>
      <c r="JX33" s="11">
        <f t="shared" si="101"/>
        <v>0</v>
      </c>
      <c r="JY33" s="11">
        <f t="shared" si="101"/>
        <v>0</v>
      </c>
      <c r="JZ33" s="11">
        <f t="shared" si="101"/>
        <v>0</v>
      </c>
      <c r="KA33" s="11">
        <f t="shared" si="101"/>
        <v>0</v>
      </c>
      <c r="KB33" s="11">
        <f t="shared" si="101"/>
        <v>0</v>
      </c>
      <c r="KC33" s="11">
        <f t="shared" si="101"/>
        <v>0</v>
      </c>
      <c r="KD33" s="11">
        <f t="shared" si="101"/>
        <v>0</v>
      </c>
      <c r="KE33" s="11">
        <f t="shared" si="101"/>
        <v>0</v>
      </c>
      <c r="KF33" s="11">
        <f t="shared" si="101"/>
        <v>0</v>
      </c>
      <c r="KG33" s="11">
        <f t="shared" si="101"/>
        <v>0</v>
      </c>
      <c r="KH33" s="11">
        <f t="shared" si="101"/>
        <v>0</v>
      </c>
      <c r="KI33" s="11">
        <f t="shared" si="101"/>
        <v>0</v>
      </c>
      <c r="KJ33" s="11">
        <f t="shared" si="101"/>
        <v>0</v>
      </c>
      <c r="KK33" s="11">
        <f t="shared" si="101"/>
        <v>0</v>
      </c>
      <c r="KL33" s="11">
        <f t="shared" si="101"/>
        <v>0</v>
      </c>
      <c r="KM33" s="11">
        <f t="shared" si="101"/>
        <v>0</v>
      </c>
      <c r="KN33" s="11">
        <f t="shared" si="101"/>
        <v>0</v>
      </c>
      <c r="KO33" s="11">
        <f t="shared" si="101"/>
        <v>0</v>
      </c>
      <c r="KP33" s="11">
        <f t="shared" si="101"/>
        <v>0</v>
      </c>
      <c r="KQ33" s="11">
        <f t="shared" si="101"/>
        <v>0</v>
      </c>
      <c r="KR33" s="11">
        <f t="shared" si="101"/>
        <v>0</v>
      </c>
      <c r="KS33" s="11">
        <f t="shared" si="101"/>
        <v>0</v>
      </c>
      <c r="KT33" s="11">
        <f t="shared" si="101"/>
        <v>0</v>
      </c>
      <c r="KU33" s="11">
        <f t="shared" si="101"/>
        <v>0</v>
      </c>
      <c r="KV33" s="11">
        <f t="shared" si="101"/>
        <v>0</v>
      </c>
      <c r="KW33" s="11">
        <f t="shared" si="101"/>
        <v>0</v>
      </c>
      <c r="KX33" s="11">
        <f t="shared" si="101"/>
        <v>0</v>
      </c>
      <c r="KY33" s="11">
        <f t="shared" si="101"/>
        <v>0</v>
      </c>
      <c r="KZ33" s="11">
        <f t="shared" si="101"/>
        <v>0</v>
      </c>
      <c r="LA33" s="11">
        <f t="shared" si="101"/>
        <v>0</v>
      </c>
      <c r="LB33" s="11">
        <f t="shared" si="101"/>
        <v>0</v>
      </c>
      <c r="LC33" s="11">
        <f t="shared" si="101"/>
        <v>0</v>
      </c>
      <c r="LD33" s="11">
        <f t="shared" si="101"/>
        <v>0</v>
      </c>
      <c r="LE33" s="11">
        <f t="shared" si="101"/>
        <v>0</v>
      </c>
      <c r="LF33" s="11">
        <f t="shared" si="101"/>
        <v>0</v>
      </c>
      <c r="LG33" s="11">
        <f t="shared" si="101"/>
        <v>0</v>
      </c>
      <c r="LH33" s="11">
        <f t="shared" si="101"/>
        <v>0</v>
      </c>
      <c r="LI33" s="11">
        <f t="shared" si="101"/>
        <v>0</v>
      </c>
      <c r="LJ33" s="11">
        <f t="shared" si="101"/>
        <v>0</v>
      </c>
      <c r="LK33" s="11">
        <f t="shared" si="101"/>
        <v>0</v>
      </c>
      <c r="LL33" s="11">
        <f t="shared" si="101"/>
        <v>0</v>
      </c>
      <c r="LM33" s="11">
        <f t="shared" si="101"/>
        <v>0</v>
      </c>
      <c r="LN33" s="11">
        <f t="shared" si="101"/>
        <v>0</v>
      </c>
      <c r="LO33" s="11">
        <f t="shared" si="101"/>
        <v>0</v>
      </c>
      <c r="LP33" s="11">
        <f t="shared" ref="LP33:OA33" si="102">IF(LP24="Sáb",LO33,IF(LP24="Dom",LO33,IF(LP24="Fer",LO33,LP28)))</f>
        <v>0</v>
      </c>
      <c r="LQ33" s="11">
        <f t="shared" si="102"/>
        <v>0</v>
      </c>
      <c r="LR33" s="11">
        <f t="shared" si="102"/>
        <v>0</v>
      </c>
      <c r="LS33" s="11">
        <f t="shared" si="102"/>
        <v>0</v>
      </c>
      <c r="LT33" s="11">
        <f t="shared" si="102"/>
        <v>0</v>
      </c>
      <c r="LU33" s="11">
        <f t="shared" si="102"/>
        <v>0</v>
      </c>
      <c r="LV33" s="11">
        <f t="shared" si="102"/>
        <v>0</v>
      </c>
      <c r="LW33" s="11">
        <f t="shared" si="102"/>
        <v>0</v>
      </c>
      <c r="LX33" s="11">
        <f t="shared" si="102"/>
        <v>0</v>
      </c>
      <c r="LY33" s="11">
        <f t="shared" si="102"/>
        <v>0</v>
      </c>
      <c r="LZ33" s="11">
        <f t="shared" si="102"/>
        <v>0</v>
      </c>
      <c r="MA33" s="11">
        <f t="shared" si="102"/>
        <v>0</v>
      </c>
      <c r="MB33" s="11">
        <f t="shared" si="102"/>
        <v>0</v>
      </c>
      <c r="MC33" s="11">
        <f t="shared" si="102"/>
        <v>0</v>
      </c>
      <c r="MD33" s="11">
        <f t="shared" si="102"/>
        <v>0</v>
      </c>
      <c r="ME33" s="11">
        <f t="shared" si="102"/>
        <v>0</v>
      </c>
      <c r="MF33" s="11">
        <f t="shared" si="102"/>
        <v>0</v>
      </c>
      <c r="MG33" s="11">
        <f t="shared" si="102"/>
        <v>0</v>
      </c>
      <c r="MH33" s="11">
        <f t="shared" si="102"/>
        <v>0</v>
      </c>
      <c r="MI33" s="11">
        <f t="shared" si="102"/>
        <v>0</v>
      </c>
      <c r="MJ33" s="11">
        <f t="shared" si="102"/>
        <v>0</v>
      </c>
      <c r="MK33" s="11">
        <f t="shared" si="102"/>
        <v>0</v>
      </c>
      <c r="ML33" s="11">
        <f t="shared" si="102"/>
        <v>0</v>
      </c>
      <c r="MM33" s="11">
        <f t="shared" si="102"/>
        <v>0</v>
      </c>
      <c r="MN33" s="11">
        <f t="shared" si="102"/>
        <v>0</v>
      </c>
      <c r="MO33" s="11">
        <f t="shared" si="102"/>
        <v>0</v>
      </c>
      <c r="MP33" s="11">
        <f t="shared" si="102"/>
        <v>0</v>
      </c>
      <c r="MQ33" s="11">
        <f t="shared" si="102"/>
        <v>0</v>
      </c>
      <c r="MR33" s="11">
        <f t="shared" si="102"/>
        <v>0</v>
      </c>
      <c r="MS33" s="11">
        <f t="shared" si="102"/>
        <v>0</v>
      </c>
      <c r="MT33" s="11">
        <f t="shared" si="102"/>
        <v>0</v>
      </c>
      <c r="MU33" s="11">
        <f t="shared" si="102"/>
        <v>0</v>
      </c>
      <c r="MV33" s="11">
        <f t="shared" si="102"/>
        <v>0</v>
      </c>
      <c r="MW33" s="11">
        <f t="shared" si="102"/>
        <v>0</v>
      </c>
      <c r="MX33" s="11">
        <f t="shared" si="102"/>
        <v>0</v>
      </c>
      <c r="MY33" s="11">
        <f t="shared" si="102"/>
        <v>0</v>
      </c>
      <c r="MZ33" s="11">
        <f t="shared" si="102"/>
        <v>0</v>
      </c>
      <c r="NA33" s="11">
        <f t="shared" si="102"/>
        <v>0</v>
      </c>
      <c r="NB33" s="11">
        <f t="shared" si="102"/>
        <v>0</v>
      </c>
      <c r="NC33" s="11">
        <f t="shared" si="102"/>
        <v>0</v>
      </c>
      <c r="ND33" s="11">
        <f t="shared" si="102"/>
        <v>0</v>
      </c>
      <c r="NE33" s="11">
        <f t="shared" si="102"/>
        <v>0</v>
      </c>
      <c r="NF33" s="11">
        <f t="shared" si="102"/>
        <v>0</v>
      </c>
      <c r="NG33" s="11">
        <f t="shared" si="102"/>
        <v>0</v>
      </c>
      <c r="NH33" s="11">
        <f t="shared" si="102"/>
        <v>0</v>
      </c>
      <c r="NI33" s="11">
        <f t="shared" si="102"/>
        <v>0</v>
      </c>
      <c r="NJ33" s="11">
        <f t="shared" si="102"/>
        <v>0</v>
      </c>
      <c r="NK33" s="11">
        <f t="shared" si="102"/>
        <v>0</v>
      </c>
      <c r="NL33" s="11">
        <f t="shared" si="102"/>
        <v>0</v>
      </c>
      <c r="NM33" s="11">
        <f t="shared" si="102"/>
        <v>0</v>
      </c>
      <c r="NN33" s="11">
        <f t="shared" si="102"/>
        <v>0</v>
      </c>
      <c r="NO33" s="11">
        <f t="shared" si="102"/>
        <v>0</v>
      </c>
      <c r="NP33" s="11">
        <f t="shared" si="102"/>
        <v>0</v>
      </c>
      <c r="NQ33" s="11">
        <f t="shared" si="102"/>
        <v>0</v>
      </c>
      <c r="NR33" s="11">
        <f t="shared" si="102"/>
        <v>0</v>
      </c>
      <c r="NS33" s="11">
        <f t="shared" si="102"/>
        <v>0</v>
      </c>
      <c r="NT33" s="11">
        <f t="shared" si="102"/>
        <v>0</v>
      </c>
      <c r="NU33" s="11">
        <f t="shared" si="102"/>
        <v>0</v>
      </c>
      <c r="NV33" s="11">
        <f t="shared" si="102"/>
        <v>0</v>
      </c>
      <c r="NW33" s="11">
        <f t="shared" si="102"/>
        <v>0</v>
      </c>
      <c r="NX33" s="11">
        <f t="shared" si="102"/>
        <v>0</v>
      </c>
      <c r="NY33" s="11">
        <f t="shared" si="102"/>
        <v>0</v>
      </c>
      <c r="NZ33" s="11">
        <f t="shared" si="102"/>
        <v>0</v>
      </c>
      <c r="OA33" s="11">
        <f t="shared" si="102"/>
        <v>0</v>
      </c>
      <c r="OB33" s="11">
        <f t="shared" ref="OB33:QM33" si="103">IF(OB24="Sáb",OA33,IF(OB24="Dom",OA33,IF(OB24="Fer",OA33,OB28)))</f>
        <v>0</v>
      </c>
      <c r="OC33" s="11">
        <f t="shared" si="103"/>
        <v>0</v>
      </c>
      <c r="OD33" s="11">
        <f t="shared" si="103"/>
        <v>0</v>
      </c>
      <c r="OE33" s="11">
        <f t="shared" si="103"/>
        <v>0</v>
      </c>
      <c r="OF33" s="11">
        <f t="shared" si="103"/>
        <v>0</v>
      </c>
      <c r="OG33" s="11">
        <f t="shared" si="103"/>
        <v>0</v>
      </c>
      <c r="OH33" s="11">
        <f t="shared" si="103"/>
        <v>0</v>
      </c>
      <c r="OI33" s="11">
        <f t="shared" si="103"/>
        <v>0</v>
      </c>
      <c r="OJ33" s="11">
        <f t="shared" si="103"/>
        <v>0</v>
      </c>
      <c r="OK33" s="11">
        <f t="shared" si="103"/>
        <v>0</v>
      </c>
      <c r="OL33" s="11">
        <f t="shared" si="103"/>
        <v>0</v>
      </c>
      <c r="OM33" s="11">
        <f t="shared" si="103"/>
        <v>0</v>
      </c>
      <c r="ON33" s="11">
        <f t="shared" si="103"/>
        <v>0</v>
      </c>
      <c r="OO33" s="11">
        <f t="shared" si="103"/>
        <v>0</v>
      </c>
      <c r="OP33" s="11">
        <f t="shared" si="103"/>
        <v>0</v>
      </c>
      <c r="OQ33" s="11">
        <f t="shared" si="103"/>
        <v>0</v>
      </c>
      <c r="OR33" s="11">
        <f t="shared" si="103"/>
        <v>0</v>
      </c>
      <c r="OS33" s="11">
        <f t="shared" si="103"/>
        <v>0</v>
      </c>
      <c r="OT33" s="11">
        <f t="shared" si="103"/>
        <v>0</v>
      </c>
      <c r="OU33" s="11">
        <f t="shared" si="103"/>
        <v>0</v>
      </c>
      <c r="OV33" s="11">
        <f t="shared" si="103"/>
        <v>0</v>
      </c>
      <c r="OW33" s="11">
        <f t="shared" si="103"/>
        <v>0</v>
      </c>
      <c r="OX33" s="11">
        <f t="shared" si="103"/>
        <v>0</v>
      </c>
      <c r="OY33" s="11">
        <f t="shared" si="103"/>
        <v>0</v>
      </c>
      <c r="OZ33" s="11">
        <f t="shared" si="103"/>
        <v>0</v>
      </c>
      <c r="PA33" s="11">
        <f t="shared" si="103"/>
        <v>0</v>
      </c>
      <c r="PB33" s="11">
        <f t="shared" si="103"/>
        <v>0</v>
      </c>
      <c r="PC33" s="11">
        <f t="shared" si="103"/>
        <v>0</v>
      </c>
      <c r="PD33" s="11">
        <f t="shared" si="103"/>
        <v>0</v>
      </c>
      <c r="PE33" s="11">
        <f t="shared" si="103"/>
        <v>0</v>
      </c>
      <c r="PF33" s="11">
        <f t="shared" si="103"/>
        <v>0</v>
      </c>
      <c r="PG33" s="11">
        <f t="shared" si="103"/>
        <v>0</v>
      </c>
      <c r="PH33" s="11">
        <f t="shared" si="103"/>
        <v>0</v>
      </c>
      <c r="PI33" s="11">
        <f t="shared" si="103"/>
        <v>0</v>
      </c>
      <c r="PJ33" s="11">
        <f t="shared" si="103"/>
        <v>0</v>
      </c>
      <c r="PK33" s="11">
        <f t="shared" si="103"/>
        <v>0</v>
      </c>
      <c r="PL33" s="11">
        <f t="shared" si="103"/>
        <v>0</v>
      </c>
      <c r="PM33" s="11">
        <f t="shared" si="103"/>
        <v>0</v>
      </c>
      <c r="PN33" s="11">
        <f t="shared" si="103"/>
        <v>0</v>
      </c>
      <c r="PO33" s="11">
        <f t="shared" si="103"/>
        <v>0</v>
      </c>
      <c r="PP33" s="11">
        <f t="shared" si="103"/>
        <v>0</v>
      </c>
      <c r="PQ33" s="11">
        <f t="shared" si="103"/>
        <v>0</v>
      </c>
      <c r="PR33" s="11">
        <f t="shared" si="103"/>
        <v>0</v>
      </c>
      <c r="PS33" s="11">
        <f t="shared" si="103"/>
        <v>0</v>
      </c>
      <c r="PT33" s="11">
        <f t="shared" si="103"/>
        <v>0</v>
      </c>
      <c r="PU33" s="11">
        <f t="shared" si="103"/>
        <v>0</v>
      </c>
      <c r="PV33" s="11">
        <f t="shared" si="103"/>
        <v>0</v>
      </c>
      <c r="PW33" s="11">
        <f t="shared" si="103"/>
        <v>0</v>
      </c>
      <c r="PX33" s="11">
        <f t="shared" si="103"/>
        <v>0</v>
      </c>
      <c r="PY33" s="11">
        <f t="shared" si="103"/>
        <v>0</v>
      </c>
      <c r="PZ33" s="11">
        <f t="shared" si="103"/>
        <v>0</v>
      </c>
      <c r="QA33" s="11">
        <f t="shared" si="103"/>
        <v>0</v>
      </c>
      <c r="QB33" s="11">
        <f t="shared" si="103"/>
        <v>0</v>
      </c>
      <c r="QC33" s="11">
        <f t="shared" si="103"/>
        <v>0</v>
      </c>
      <c r="QD33" s="11">
        <f t="shared" si="103"/>
        <v>0</v>
      </c>
      <c r="QE33" s="11">
        <f t="shared" si="103"/>
        <v>0</v>
      </c>
      <c r="QF33" s="11">
        <f t="shared" si="103"/>
        <v>0</v>
      </c>
      <c r="QG33" s="11">
        <f t="shared" si="103"/>
        <v>0</v>
      </c>
      <c r="QH33" s="11">
        <f t="shared" si="103"/>
        <v>0</v>
      </c>
      <c r="QI33" s="11">
        <f t="shared" si="103"/>
        <v>0</v>
      </c>
      <c r="QJ33" s="11">
        <f t="shared" si="103"/>
        <v>0</v>
      </c>
      <c r="QK33" s="11">
        <f t="shared" si="103"/>
        <v>0</v>
      </c>
      <c r="QL33" s="11">
        <f t="shared" si="103"/>
        <v>0</v>
      </c>
      <c r="QM33" s="11">
        <f t="shared" si="103"/>
        <v>0</v>
      </c>
      <c r="QN33" s="11">
        <f t="shared" ref="QN33:SY33" si="104">IF(QN24="Sáb",QM33,IF(QN24="Dom",QM33,IF(QN24="Fer",QM33,QN28)))</f>
        <v>0</v>
      </c>
      <c r="QO33" s="11">
        <f t="shared" si="104"/>
        <v>0</v>
      </c>
      <c r="QP33" s="11">
        <f t="shared" si="104"/>
        <v>0</v>
      </c>
      <c r="QQ33" s="11">
        <f t="shared" si="104"/>
        <v>0</v>
      </c>
      <c r="QR33" s="11">
        <f t="shared" si="104"/>
        <v>0</v>
      </c>
      <c r="QS33" s="11">
        <f t="shared" si="104"/>
        <v>0</v>
      </c>
      <c r="QT33" s="11">
        <f t="shared" si="104"/>
        <v>0</v>
      </c>
      <c r="QU33" s="11">
        <f t="shared" si="104"/>
        <v>0</v>
      </c>
      <c r="QV33" s="11">
        <f t="shared" si="104"/>
        <v>0</v>
      </c>
      <c r="QW33" s="11">
        <f t="shared" si="104"/>
        <v>0</v>
      </c>
      <c r="QX33" s="11">
        <f t="shared" si="104"/>
        <v>0</v>
      </c>
      <c r="QY33" s="11">
        <f t="shared" si="104"/>
        <v>0</v>
      </c>
      <c r="QZ33" s="11">
        <f t="shared" si="104"/>
        <v>0</v>
      </c>
      <c r="RA33" s="11">
        <f t="shared" si="104"/>
        <v>0</v>
      </c>
      <c r="RB33" s="11">
        <f t="shared" si="104"/>
        <v>0</v>
      </c>
      <c r="RC33" s="11">
        <f t="shared" si="104"/>
        <v>0</v>
      </c>
      <c r="RD33" s="11">
        <f t="shared" si="104"/>
        <v>0</v>
      </c>
      <c r="RE33" s="11">
        <f t="shared" si="104"/>
        <v>0</v>
      </c>
      <c r="RF33" s="11">
        <f t="shared" si="104"/>
        <v>0</v>
      </c>
      <c r="RG33" s="11">
        <f t="shared" si="104"/>
        <v>0</v>
      </c>
      <c r="RH33" s="11">
        <f t="shared" si="104"/>
        <v>0</v>
      </c>
      <c r="RI33" s="11">
        <f t="shared" si="104"/>
        <v>0</v>
      </c>
      <c r="RJ33" s="11">
        <f t="shared" si="104"/>
        <v>0</v>
      </c>
      <c r="RK33" s="11">
        <f t="shared" si="104"/>
        <v>0</v>
      </c>
      <c r="RL33" s="11">
        <f t="shared" si="104"/>
        <v>0</v>
      </c>
      <c r="RM33" s="11">
        <f t="shared" si="104"/>
        <v>0</v>
      </c>
      <c r="RN33" s="11">
        <f t="shared" si="104"/>
        <v>0</v>
      </c>
      <c r="RO33" s="11">
        <f t="shared" si="104"/>
        <v>0</v>
      </c>
      <c r="RP33" s="11">
        <f t="shared" si="104"/>
        <v>0</v>
      </c>
      <c r="RQ33" s="11">
        <f t="shared" si="104"/>
        <v>0</v>
      </c>
      <c r="RR33" s="11">
        <f t="shared" si="104"/>
        <v>0</v>
      </c>
      <c r="RS33" s="11">
        <f t="shared" si="104"/>
        <v>0</v>
      </c>
      <c r="RT33" s="11">
        <f t="shared" si="104"/>
        <v>0</v>
      </c>
      <c r="RU33" s="11">
        <f t="shared" si="104"/>
        <v>0</v>
      </c>
      <c r="RV33" s="11">
        <f t="shared" si="104"/>
        <v>0</v>
      </c>
      <c r="RW33" s="11">
        <f t="shared" si="104"/>
        <v>0</v>
      </c>
      <c r="RX33" s="11">
        <f t="shared" si="104"/>
        <v>0</v>
      </c>
      <c r="RY33" s="11">
        <f t="shared" si="104"/>
        <v>0</v>
      </c>
      <c r="RZ33" s="11">
        <f t="shared" si="104"/>
        <v>0</v>
      </c>
      <c r="SA33" s="11">
        <f t="shared" si="104"/>
        <v>0</v>
      </c>
      <c r="SB33" s="11">
        <f t="shared" si="104"/>
        <v>0</v>
      </c>
      <c r="SC33" s="11">
        <f t="shared" si="104"/>
        <v>0</v>
      </c>
      <c r="SD33" s="11">
        <f t="shared" si="104"/>
        <v>0</v>
      </c>
      <c r="SE33" s="11">
        <f t="shared" si="104"/>
        <v>0</v>
      </c>
      <c r="SF33" s="11">
        <f t="shared" si="104"/>
        <v>0</v>
      </c>
      <c r="SG33" s="11">
        <f t="shared" si="104"/>
        <v>0</v>
      </c>
      <c r="SH33" s="11">
        <f t="shared" si="104"/>
        <v>0</v>
      </c>
      <c r="SI33" s="11">
        <f t="shared" si="104"/>
        <v>0</v>
      </c>
      <c r="SJ33" s="11">
        <f t="shared" si="104"/>
        <v>0</v>
      </c>
      <c r="SK33" s="11">
        <f t="shared" si="104"/>
        <v>0</v>
      </c>
      <c r="SL33" s="11">
        <f t="shared" si="104"/>
        <v>0</v>
      </c>
      <c r="SM33" s="11">
        <f t="shared" si="104"/>
        <v>0</v>
      </c>
      <c r="SN33" s="11">
        <f t="shared" si="104"/>
        <v>0</v>
      </c>
      <c r="SO33" s="11">
        <f t="shared" si="104"/>
        <v>0</v>
      </c>
      <c r="SP33" s="11">
        <f t="shared" si="104"/>
        <v>0</v>
      </c>
      <c r="SQ33" s="11">
        <f t="shared" si="104"/>
        <v>0</v>
      </c>
      <c r="SR33" s="11">
        <f t="shared" si="104"/>
        <v>0</v>
      </c>
      <c r="SS33" s="11">
        <f t="shared" si="104"/>
        <v>0</v>
      </c>
      <c r="ST33" s="11">
        <f t="shared" si="104"/>
        <v>0</v>
      </c>
      <c r="SU33" s="11">
        <f t="shared" si="104"/>
        <v>0</v>
      </c>
      <c r="SV33" s="11">
        <f t="shared" si="104"/>
        <v>0</v>
      </c>
      <c r="SW33" s="11">
        <f t="shared" si="104"/>
        <v>0</v>
      </c>
      <c r="SX33" s="11">
        <f t="shared" si="104"/>
        <v>0</v>
      </c>
      <c r="SY33" s="11">
        <f t="shared" si="104"/>
        <v>0</v>
      </c>
      <c r="SZ33" s="11">
        <f t="shared" ref="SZ33:VK33" si="105">IF(SZ24="Sáb",SY33,IF(SZ24="Dom",SY33,IF(SZ24="Fer",SY33,SZ28)))</f>
        <v>0</v>
      </c>
      <c r="TA33" s="11">
        <f t="shared" si="105"/>
        <v>0</v>
      </c>
      <c r="TB33" s="11">
        <f t="shared" si="105"/>
        <v>0</v>
      </c>
      <c r="TC33" s="11">
        <f t="shared" si="105"/>
        <v>0</v>
      </c>
      <c r="TD33" s="11">
        <f t="shared" si="105"/>
        <v>0</v>
      </c>
      <c r="TE33" s="11">
        <f t="shared" si="105"/>
        <v>0</v>
      </c>
      <c r="TF33" s="11">
        <f t="shared" si="105"/>
        <v>0</v>
      </c>
      <c r="TG33" s="11">
        <f t="shared" si="105"/>
        <v>0</v>
      </c>
      <c r="TH33" s="11">
        <f t="shared" si="105"/>
        <v>0</v>
      </c>
      <c r="TI33" s="11">
        <f t="shared" si="105"/>
        <v>0</v>
      </c>
      <c r="TJ33" s="11">
        <f t="shared" si="105"/>
        <v>0</v>
      </c>
      <c r="TK33" s="11">
        <f t="shared" si="105"/>
        <v>0</v>
      </c>
      <c r="TL33" s="11">
        <f t="shared" si="105"/>
        <v>0</v>
      </c>
      <c r="TM33" s="11">
        <f t="shared" si="105"/>
        <v>0</v>
      </c>
      <c r="TN33" s="11">
        <f t="shared" si="105"/>
        <v>0</v>
      </c>
      <c r="TO33" s="11">
        <f t="shared" si="105"/>
        <v>0</v>
      </c>
      <c r="TP33" s="11">
        <f t="shared" si="105"/>
        <v>0</v>
      </c>
      <c r="TQ33" s="11">
        <f t="shared" si="105"/>
        <v>0</v>
      </c>
      <c r="TR33" s="11">
        <f t="shared" si="105"/>
        <v>0</v>
      </c>
      <c r="TS33" s="11">
        <f t="shared" si="105"/>
        <v>0</v>
      </c>
      <c r="TT33" s="11">
        <f t="shared" si="105"/>
        <v>0</v>
      </c>
      <c r="TU33" s="11">
        <f t="shared" si="105"/>
        <v>0</v>
      </c>
      <c r="TV33" s="11">
        <f t="shared" si="105"/>
        <v>0</v>
      </c>
      <c r="TW33" s="11">
        <f t="shared" si="105"/>
        <v>0</v>
      </c>
      <c r="TX33" s="11">
        <f t="shared" si="105"/>
        <v>0</v>
      </c>
      <c r="TY33" s="11">
        <f t="shared" si="105"/>
        <v>0</v>
      </c>
      <c r="TZ33" s="11">
        <f t="shared" si="105"/>
        <v>0</v>
      </c>
      <c r="UA33" s="11">
        <f t="shared" si="105"/>
        <v>0</v>
      </c>
      <c r="UB33" s="11">
        <f t="shared" si="105"/>
        <v>0</v>
      </c>
      <c r="UC33" s="11">
        <f t="shared" si="105"/>
        <v>0</v>
      </c>
      <c r="UD33" s="11">
        <f t="shared" si="105"/>
        <v>0</v>
      </c>
      <c r="UE33" s="11">
        <f t="shared" si="105"/>
        <v>0</v>
      </c>
      <c r="UF33" s="11">
        <f t="shared" si="105"/>
        <v>0</v>
      </c>
      <c r="UG33" s="11">
        <f t="shared" si="105"/>
        <v>0</v>
      </c>
      <c r="UH33" s="11">
        <f t="shared" si="105"/>
        <v>0</v>
      </c>
      <c r="UI33" s="11">
        <f t="shared" si="105"/>
        <v>0</v>
      </c>
      <c r="UJ33" s="11">
        <f t="shared" si="105"/>
        <v>0</v>
      </c>
      <c r="UK33" s="11">
        <f t="shared" si="105"/>
        <v>0</v>
      </c>
      <c r="UL33" s="11">
        <f t="shared" si="105"/>
        <v>0</v>
      </c>
      <c r="UM33" s="11">
        <f t="shared" si="105"/>
        <v>0</v>
      </c>
      <c r="UN33" s="11">
        <f t="shared" si="105"/>
        <v>0</v>
      </c>
      <c r="UO33" s="11">
        <f t="shared" si="105"/>
        <v>0</v>
      </c>
      <c r="UP33" s="11">
        <f t="shared" si="105"/>
        <v>0</v>
      </c>
      <c r="UQ33" s="11">
        <f t="shared" si="105"/>
        <v>0</v>
      </c>
      <c r="UR33" s="11">
        <f t="shared" si="105"/>
        <v>0</v>
      </c>
      <c r="US33" s="11">
        <f t="shared" si="105"/>
        <v>0</v>
      </c>
      <c r="UT33" s="11">
        <f t="shared" si="105"/>
        <v>0</v>
      </c>
      <c r="UU33" s="11">
        <f t="shared" si="105"/>
        <v>0</v>
      </c>
      <c r="UV33" s="11">
        <f t="shared" si="105"/>
        <v>0</v>
      </c>
      <c r="UW33" s="11">
        <f t="shared" si="105"/>
        <v>0</v>
      </c>
      <c r="UX33" s="11">
        <f t="shared" si="105"/>
        <v>0</v>
      </c>
      <c r="UY33" s="11">
        <f t="shared" si="105"/>
        <v>0</v>
      </c>
      <c r="UZ33" s="11">
        <f t="shared" si="105"/>
        <v>0</v>
      </c>
      <c r="VA33" s="11">
        <f t="shared" si="105"/>
        <v>0</v>
      </c>
      <c r="VB33" s="11">
        <f t="shared" si="105"/>
        <v>0</v>
      </c>
      <c r="VC33" s="11">
        <f t="shared" si="105"/>
        <v>0</v>
      </c>
      <c r="VD33" s="11">
        <f t="shared" si="105"/>
        <v>0</v>
      </c>
      <c r="VE33" s="11">
        <f t="shared" si="105"/>
        <v>0</v>
      </c>
      <c r="VF33" s="11">
        <f t="shared" si="105"/>
        <v>0</v>
      </c>
      <c r="VG33" s="11">
        <f t="shared" si="105"/>
        <v>0</v>
      </c>
      <c r="VH33" s="11">
        <f t="shared" si="105"/>
        <v>0</v>
      </c>
      <c r="VI33" s="11">
        <f t="shared" si="105"/>
        <v>0</v>
      </c>
      <c r="VJ33" s="11">
        <f t="shared" si="105"/>
        <v>0</v>
      </c>
      <c r="VK33" s="11">
        <f t="shared" si="105"/>
        <v>0</v>
      </c>
      <c r="VL33" s="11">
        <f t="shared" ref="VL33:XW33" si="106">IF(VL24="Sáb",VK33,IF(VL24="Dom",VK33,IF(VL24="Fer",VK33,VL28)))</f>
        <v>0</v>
      </c>
      <c r="VM33" s="11">
        <f t="shared" si="106"/>
        <v>0</v>
      </c>
      <c r="VN33" s="11">
        <f t="shared" si="106"/>
        <v>0</v>
      </c>
      <c r="VO33" s="11">
        <f t="shared" si="106"/>
        <v>0</v>
      </c>
      <c r="VP33" s="11">
        <f t="shared" si="106"/>
        <v>0</v>
      </c>
      <c r="VQ33" s="11">
        <f t="shared" si="106"/>
        <v>0</v>
      </c>
      <c r="VR33" s="11">
        <f t="shared" si="106"/>
        <v>0</v>
      </c>
      <c r="VS33" s="11">
        <f t="shared" si="106"/>
        <v>0</v>
      </c>
      <c r="VT33" s="11">
        <f t="shared" si="106"/>
        <v>0</v>
      </c>
      <c r="VU33" s="11">
        <f t="shared" si="106"/>
        <v>0</v>
      </c>
      <c r="VV33" s="11">
        <f t="shared" si="106"/>
        <v>0</v>
      </c>
      <c r="VW33" s="11">
        <f t="shared" si="106"/>
        <v>0</v>
      </c>
      <c r="VX33" s="11">
        <f t="shared" si="106"/>
        <v>0</v>
      </c>
      <c r="VY33" s="11">
        <f t="shared" si="106"/>
        <v>0</v>
      </c>
      <c r="VZ33" s="11">
        <f t="shared" si="106"/>
        <v>0</v>
      </c>
      <c r="WA33" s="11">
        <f t="shared" si="106"/>
        <v>0</v>
      </c>
      <c r="WB33" s="11">
        <f t="shared" si="106"/>
        <v>0</v>
      </c>
      <c r="WC33" s="11">
        <f t="shared" si="106"/>
        <v>0</v>
      </c>
      <c r="WD33" s="11">
        <f t="shared" si="106"/>
        <v>0</v>
      </c>
      <c r="WE33" s="11">
        <f t="shared" si="106"/>
        <v>0</v>
      </c>
      <c r="WF33" s="11">
        <f t="shared" si="106"/>
        <v>0</v>
      </c>
      <c r="WG33" s="11">
        <f t="shared" si="106"/>
        <v>0</v>
      </c>
      <c r="WH33" s="11">
        <f t="shared" si="106"/>
        <v>0</v>
      </c>
      <c r="WI33" s="11">
        <f t="shared" si="106"/>
        <v>0</v>
      </c>
      <c r="WJ33" s="11">
        <f t="shared" si="106"/>
        <v>0</v>
      </c>
      <c r="WK33" s="11">
        <f t="shared" si="106"/>
        <v>0</v>
      </c>
      <c r="WL33" s="11">
        <f t="shared" si="106"/>
        <v>0</v>
      </c>
      <c r="WM33" s="11">
        <f t="shared" si="106"/>
        <v>0</v>
      </c>
      <c r="WN33" s="11">
        <f t="shared" si="106"/>
        <v>0</v>
      </c>
      <c r="WO33" s="11">
        <f t="shared" si="106"/>
        <v>0</v>
      </c>
      <c r="WP33" s="11">
        <f t="shared" si="106"/>
        <v>0</v>
      </c>
      <c r="WQ33" s="11">
        <f t="shared" si="106"/>
        <v>0</v>
      </c>
      <c r="WR33" s="11">
        <f t="shared" si="106"/>
        <v>0</v>
      </c>
      <c r="WS33" s="11">
        <f t="shared" si="106"/>
        <v>0</v>
      </c>
      <c r="WT33" s="11">
        <f t="shared" si="106"/>
        <v>0</v>
      </c>
      <c r="WU33" s="11">
        <f t="shared" si="106"/>
        <v>0</v>
      </c>
      <c r="WV33" s="11">
        <f t="shared" si="106"/>
        <v>0</v>
      </c>
      <c r="WW33" s="11">
        <f t="shared" si="106"/>
        <v>0</v>
      </c>
      <c r="WX33" s="11">
        <f t="shared" si="106"/>
        <v>0</v>
      </c>
      <c r="WY33" s="11">
        <f t="shared" si="106"/>
        <v>0</v>
      </c>
      <c r="WZ33" s="11">
        <f t="shared" si="106"/>
        <v>0</v>
      </c>
      <c r="XA33" s="11">
        <f t="shared" si="106"/>
        <v>0</v>
      </c>
      <c r="XB33" s="11">
        <f t="shared" si="106"/>
        <v>0</v>
      </c>
      <c r="XC33" s="11">
        <f t="shared" si="106"/>
        <v>0</v>
      </c>
      <c r="XD33" s="11">
        <f t="shared" si="106"/>
        <v>0</v>
      </c>
      <c r="XE33" s="11">
        <f t="shared" si="106"/>
        <v>0</v>
      </c>
      <c r="XF33" s="11">
        <f t="shared" si="106"/>
        <v>0</v>
      </c>
      <c r="XG33" s="11">
        <f t="shared" si="106"/>
        <v>0</v>
      </c>
      <c r="XH33" s="11">
        <f t="shared" si="106"/>
        <v>0</v>
      </c>
      <c r="XI33" s="11">
        <f t="shared" si="106"/>
        <v>0</v>
      </c>
      <c r="XJ33" s="11">
        <f t="shared" si="106"/>
        <v>0</v>
      </c>
      <c r="XK33" s="11">
        <f t="shared" si="106"/>
        <v>0</v>
      </c>
      <c r="XL33" s="11">
        <f t="shared" si="106"/>
        <v>0</v>
      </c>
      <c r="XM33" s="11">
        <f t="shared" si="106"/>
        <v>0</v>
      </c>
      <c r="XN33" s="11">
        <f t="shared" si="106"/>
        <v>0</v>
      </c>
      <c r="XO33" s="11">
        <f t="shared" si="106"/>
        <v>0</v>
      </c>
      <c r="XP33" s="11">
        <f t="shared" si="106"/>
        <v>0</v>
      </c>
      <c r="XQ33" s="11">
        <f t="shared" si="106"/>
        <v>0</v>
      </c>
      <c r="XR33" s="11">
        <f t="shared" si="106"/>
        <v>0</v>
      </c>
      <c r="XS33" s="11">
        <f t="shared" si="106"/>
        <v>0</v>
      </c>
      <c r="XT33" s="11">
        <f t="shared" si="106"/>
        <v>0</v>
      </c>
      <c r="XU33" s="11">
        <f t="shared" si="106"/>
        <v>0</v>
      </c>
      <c r="XV33" s="11">
        <f t="shared" si="106"/>
        <v>0</v>
      </c>
      <c r="XW33" s="11">
        <f t="shared" si="106"/>
        <v>0</v>
      </c>
      <c r="XX33" s="11">
        <f t="shared" ref="XX33:AAI33" si="107">IF(XX24="Sáb",XW33,IF(XX24="Dom",XW33,IF(XX24="Fer",XW33,XX28)))</f>
        <v>0</v>
      </c>
      <c r="XY33" s="11">
        <f t="shared" si="107"/>
        <v>0</v>
      </c>
      <c r="XZ33" s="11">
        <f t="shared" si="107"/>
        <v>0</v>
      </c>
      <c r="YA33" s="11">
        <f t="shared" si="107"/>
        <v>0</v>
      </c>
      <c r="YB33" s="11">
        <f t="shared" si="107"/>
        <v>0</v>
      </c>
      <c r="YC33" s="11">
        <f t="shared" si="107"/>
        <v>0</v>
      </c>
      <c r="YD33" s="11">
        <f t="shared" si="107"/>
        <v>0</v>
      </c>
      <c r="YE33" s="11">
        <f t="shared" si="107"/>
        <v>0</v>
      </c>
      <c r="YF33" s="11">
        <f t="shared" si="107"/>
        <v>0</v>
      </c>
      <c r="YG33" s="11">
        <f t="shared" si="107"/>
        <v>0</v>
      </c>
      <c r="YH33" s="11">
        <f t="shared" si="107"/>
        <v>0</v>
      </c>
      <c r="YI33" s="11">
        <f t="shared" si="107"/>
        <v>0</v>
      </c>
      <c r="YJ33" s="11">
        <f t="shared" si="107"/>
        <v>0</v>
      </c>
      <c r="YK33" s="11">
        <f t="shared" si="107"/>
        <v>0</v>
      </c>
      <c r="YL33" s="11">
        <f t="shared" si="107"/>
        <v>0</v>
      </c>
      <c r="YM33" s="11">
        <f t="shared" si="107"/>
        <v>0</v>
      </c>
      <c r="YN33" s="11">
        <f t="shared" si="107"/>
        <v>0</v>
      </c>
      <c r="YO33" s="11">
        <f t="shared" si="107"/>
        <v>0</v>
      </c>
      <c r="YP33" s="11">
        <f t="shared" si="107"/>
        <v>0</v>
      </c>
      <c r="YQ33" s="11">
        <f t="shared" si="107"/>
        <v>0</v>
      </c>
      <c r="YR33" s="11">
        <f t="shared" si="107"/>
        <v>0</v>
      </c>
      <c r="YS33" s="11">
        <f t="shared" si="107"/>
        <v>0</v>
      </c>
      <c r="YT33" s="11">
        <f t="shared" si="107"/>
        <v>0</v>
      </c>
      <c r="YU33" s="11">
        <f t="shared" si="107"/>
        <v>0</v>
      </c>
      <c r="YV33" s="11">
        <f t="shared" si="107"/>
        <v>0</v>
      </c>
      <c r="YW33" s="11">
        <f t="shared" si="107"/>
        <v>0</v>
      </c>
      <c r="YX33" s="11">
        <f t="shared" si="107"/>
        <v>0</v>
      </c>
      <c r="YY33" s="11">
        <f t="shared" si="107"/>
        <v>0</v>
      </c>
      <c r="YZ33" s="11">
        <f t="shared" si="107"/>
        <v>0</v>
      </c>
      <c r="ZA33" s="11">
        <f t="shared" si="107"/>
        <v>0</v>
      </c>
      <c r="ZB33" s="11">
        <f t="shared" si="107"/>
        <v>0</v>
      </c>
      <c r="ZC33" s="11">
        <f t="shared" si="107"/>
        <v>0</v>
      </c>
      <c r="ZD33" s="11">
        <f t="shared" si="107"/>
        <v>0</v>
      </c>
      <c r="ZE33" s="11">
        <f t="shared" si="107"/>
        <v>0</v>
      </c>
      <c r="ZF33" s="11">
        <f t="shared" si="107"/>
        <v>0</v>
      </c>
      <c r="ZG33" s="11">
        <f t="shared" si="107"/>
        <v>0</v>
      </c>
      <c r="ZH33" s="11">
        <f t="shared" si="107"/>
        <v>0</v>
      </c>
      <c r="ZI33" s="11">
        <f t="shared" si="107"/>
        <v>0</v>
      </c>
      <c r="ZJ33" s="11">
        <f t="shared" si="107"/>
        <v>0</v>
      </c>
      <c r="ZK33" s="11">
        <f t="shared" si="107"/>
        <v>0</v>
      </c>
      <c r="ZL33" s="11">
        <f t="shared" si="107"/>
        <v>0</v>
      </c>
      <c r="ZM33" s="11">
        <f t="shared" si="107"/>
        <v>0</v>
      </c>
      <c r="ZN33" s="11">
        <f t="shared" si="107"/>
        <v>0</v>
      </c>
      <c r="ZO33" s="11">
        <f t="shared" si="107"/>
        <v>0</v>
      </c>
      <c r="ZP33" s="11">
        <f t="shared" si="107"/>
        <v>0</v>
      </c>
      <c r="ZQ33" s="11">
        <f t="shared" si="107"/>
        <v>0</v>
      </c>
      <c r="ZR33" s="11">
        <f t="shared" si="107"/>
        <v>0</v>
      </c>
      <c r="ZS33" s="11">
        <f t="shared" si="107"/>
        <v>0</v>
      </c>
      <c r="ZT33" s="11">
        <f t="shared" si="107"/>
        <v>0</v>
      </c>
      <c r="ZU33" s="11">
        <f t="shared" si="107"/>
        <v>0</v>
      </c>
      <c r="ZV33" s="11">
        <f t="shared" si="107"/>
        <v>0</v>
      </c>
      <c r="ZW33" s="11">
        <f t="shared" si="107"/>
        <v>0</v>
      </c>
      <c r="ZX33" s="11">
        <f t="shared" si="107"/>
        <v>0</v>
      </c>
      <c r="ZY33" s="11">
        <f t="shared" si="107"/>
        <v>0</v>
      </c>
      <c r="ZZ33" s="11">
        <f t="shared" si="107"/>
        <v>0</v>
      </c>
      <c r="AAA33" s="11">
        <f t="shared" si="107"/>
        <v>0</v>
      </c>
      <c r="AAB33" s="11">
        <f t="shared" si="107"/>
        <v>0</v>
      </c>
      <c r="AAC33" s="11">
        <f t="shared" si="107"/>
        <v>0</v>
      </c>
      <c r="AAD33" s="11">
        <f t="shared" si="107"/>
        <v>0</v>
      </c>
      <c r="AAE33" s="11">
        <f t="shared" si="107"/>
        <v>0</v>
      </c>
      <c r="AAF33" s="11">
        <f t="shared" si="107"/>
        <v>0</v>
      </c>
      <c r="AAG33" s="11">
        <f t="shared" si="107"/>
        <v>0</v>
      </c>
      <c r="AAH33" s="11">
        <f t="shared" si="107"/>
        <v>0</v>
      </c>
      <c r="AAI33" s="11">
        <f t="shared" si="107"/>
        <v>0</v>
      </c>
      <c r="AAJ33" s="11">
        <f t="shared" ref="AAJ33:ABI33" si="108">IF(AAJ24="Sáb",AAI33,IF(AAJ24="Dom",AAI33,IF(AAJ24="Fer",AAI33,AAJ28)))</f>
        <v>0</v>
      </c>
      <c r="AAK33" s="11">
        <f t="shared" si="108"/>
        <v>0</v>
      </c>
      <c r="AAL33" s="11">
        <f t="shared" si="108"/>
        <v>0</v>
      </c>
      <c r="AAM33" s="11">
        <f t="shared" si="108"/>
        <v>0</v>
      </c>
      <c r="AAN33" s="11">
        <f t="shared" si="108"/>
        <v>0</v>
      </c>
      <c r="AAO33" s="11">
        <f t="shared" si="108"/>
        <v>0</v>
      </c>
      <c r="AAP33" s="11">
        <f t="shared" si="108"/>
        <v>0</v>
      </c>
      <c r="AAQ33" s="11">
        <f t="shared" si="108"/>
        <v>0</v>
      </c>
      <c r="AAR33" s="11">
        <f t="shared" si="108"/>
        <v>0</v>
      </c>
      <c r="AAS33" s="11">
        <f t="shared" si="108"/>
        <v>0</v>
      </c>
      <c r="AAT33" s="11">
        <f t="shared" si="108"/>
        <v>0</v>
      </c>
      <c r="AAU33" s="11">
        <f t="shared" si="108"/>
        <v>0</v>
      </c>
      <c r="AAV33" s="11">
        <f t="shared" si="108"/>
        <v>0</v>
      </c>
      <c r="AAW33" s="11">
        <f t="shared" si="108"/>
        <v>0</v>
      </c>
      <c r="AAX33" s="11">
        <f t="shared" si="108"/>
        <v>0</v>
      </c>
      <c r="AAY33" s="11">
        <f t="shared" si="108"/>
        <v>0</v>
      </c>
      <c r="AAZ33" s="11">
        <f t="shared" si="108"/>
        <v>0</v>
      </c>
      <c r="ABA33" s="11">
        <f t="shared" si="108"/>
        <v>0</v>
      </c>
      <c r="ABB33" s="11">
        <f t="shared" si="108"/>
        <v>0</v>
      </c>
      <c r="ABC33" s="11">
        <f t="shared" si="108"/>
        <v>0</v>
      </c>
      <c r="ABD33" s="11">
        <f t="shared" si="108"/>
        <v>0</v>
      </c>
      <c r="ABE33" s="11">
        <f t="shared" si="108"/>
        <v>0</v>
      </c>
      <c r="ABF33" s="11">
        <f t="shared" si="108"/>
        <v>0</v>
      </c>
      <c r="ABG33" s="11">
        <f t="shared" si="108"/>
        <v>0</v>
      </c>
      <c r="ABH33" s="11">
        <f t="shared" si="108"/>
        <v>0</v>
      </c>
      <c r="ABI33" s="11">
        <f t="shared" si="108"/>
        <v>0</v>
      </c>
    </row>
    <row r="34" spans="2:737" ht="12.95" customHeight="1" x14ac:dyDescent="0.25">
      <c r="C34" s="17"/>
      <c r="D34" s="14">
        <f t="shared" si="72"/>
        <v>181</v>
      </c>
      <c r="E34" s="15" t="s">
        <v>10</v>
      </c>
      <c r="F34" s="11">
        <f>F29</f>
        <v>1</v>
      </c>
      <c r="G34" s="11">
        <f>IF(G24="Sáb",F34,IF(G24="Dom",F34,IF(G24="Fer",F34,G29)))</f>
        <v>1</v>
      </c>
      <c r="H34" s="11">
        <f t="shared" ref="H34:BS34" si="109">IF(H24="Sáb",G34,IF(H24="Dom",G34,IF(H24="Fer",G34,H29)))</f>
        <v>1</v>
      </c>
      <c r="I34" s="11">
        <f t="shared" si="109"/>
        <v>1</v>
      </c>
      <c r="J34" s="11">
        <f t="shared" si="109"/>
        <v>1</v>
      </c>
      <c r="K34" s="11">
        <f t="shared" si="109"/>
        <v>1</v>
      </c>
      <c r="L34" s="11">
        <f t="shared" si="109"/>
        <v>1</v>
      </c>
      <c r="M34" s="11">
        <f t="shared" si="109"/>
        <v>1</v>
      </c>
      <c r="N34" s="11">
        <f t="shared" si="109"/>
        <v>1</v>
      </c>
      <c r="O34" s="11">
        <f t="shared" si="109"/>
        <v>1</v>
      </c>
      <c r="P34" s="11">
        <f t="shared" si="109"/>
        <v>1</v>
      </c>
      <c r="Q34" s="11">
        <f t="shared" si="109"/>
        <v>1</v>
      </c>
      <c r="R34" s="11">
        <f t="shared" si="109"/>
        <v>1</v>
      </c>
      <c r="S34" s="11">
        <f t="shared" si="109"/>
        <v>1</v>
      </c>
      <c r="T34" s="11">
        <f t="shared" si="109"/>
        <v>1</v>
      </c>
      <c r="U34" s="11">
        <f t="shared" si="109"/>
        <v>1</v>
      </c>
      <c r="V34" s="11">
        <f t="shared" si="109"/>
        <v>1</v>
      </c>
      <c r="W34" s="11">
        <f t="shared" si="109"/>
        <v>1</v>
      </c>
      <c r="X34" s="11">
        <f t="shared" si="109"/>
        <v>1</v>
      </c>
      <c r="Y34" s="11">
        <f t="shared" si="109"/>
        <v>1</v>
      </c>
      <c r="Z34" s="11">
        <f t="shared" si="109"/>
        <v>1</v>
      </c>
      <c r="AA34" s="11">
        <f t="shared" si="109"/>
        <v>1</v>
      </c>
      <c r="AB34" s="11">
        <f t="shared" si="109"/>
        <v>1</v>
      </c>
      <c r="AC34" s="11">
        <f t="shared" si="109"/>
        <v>1</v>
      </c>
      <c r="AD34" s="11">
        <f t="shared" si="109"/>
        <v>1</v>
      </c>
      <c r="AE34" s="11">
        <f t="shared" si="109"/>
        <v>1</v>
      </c>
      <c r="AF34" s="11">
        <f t="shared" si="109"/>
        <v>1</v>
      </c>
      <c r="AG34" s="11">
        <f t="shared" si="109"/>
        <v>1</v>
      </c>
      <c r="AH34" s="11">
        <f t="shared" si="109"/>
        <v>1</v>
      </c>
      <c r="AI34" s="11">
        <f t="shared" si="109"/>
        <v>1</v>
      </c>
      <c r="AJ34" s="11">
        <f t="shared" si="109"/>
        <v>1</v>
      </c>
      <c r="AK34" s="16">
        <f t="shared" si="109"/>
        <v>1</v>
      </c>
      <c r="AL34" s="11">
        <f t="shared" si="109"/>
        <v>1</v>
      </c>
      <c r="AM34" s="11">
        <f t="shared" si="109"/>
        <v>1</v>
      </c>
      <c r="AN34" s="11">
        <f t="shared" si="109"/>
        <v>1</v>
      </c>
      <c r="AO34" s="11">
        <f t="shared" si="109"/>
        <v>1</v>
      </c>
      <c r="AP34" s="11">
        <f t="shared" si="109"/>
        <v>1</v>
      </c>
      <c r="AQ34" s="11">
        <f t="shared" si="109"/>
        <v>1</v>
      </c>
      <c r="AR34" s="11">
        <f t="shared" si="109"/>
        <v>1</v>
      </c>
      <c r="AS34" s="11">
        <f t="shared" si="109"/>
        <v>1</v>
      </c>
      <c r="AT34" s="11">
        <f t="shared" si="109"/>
        <v>1</v>
      </c>
      <c r="AU34" s="11">
        <f t="shared" si="109"/>
        <v>1</v>
      </c>
      <c r="AV34" s="11">
        <f t="shared" si="109"/>
        <v>1</v>
      </c>
      <c r="AW34" s="11">
        <f t="shared" si="109"/>
        <v>1</v>
      </c>
      <c r="AX34" s="11">
        <f t="shared" si="109"/>
        <v>1</v>
      </c>
      <c r="AY34" s="11">
        <f t="shared" si="109"/>
        <v>1</v>
      </c>
      <c r="AZ34" s="11">
        <f t="shared" si="109"/>
        <v>1</v>
      </c>
      <c r="BA34" s="11">
        <f t="shared" si="109"/>
        <v>1</v>
      </c>
      <c r="BB34" s="11">
        <f t="shared" si="109"/>
        <v>1</v>
      </c>
      <c r="BC34" s="11">
        <f t="shared" si="109"/>
        <v>1</v>
      </c>
      <c r="BD34" s="11">
        <f t="shared" si="109"/>
        <v>1</v>
      </c>
      <c r="BE34" s="11">
        <f t="shared" si="109"/>
        <v>1</v>
      </c>
      <c r="BF34" s="11">
        <f t="shared" si="109"/>
        <v>1</v>
      </c>
      <c r="BG34" s="11">
        <f t="shared" si="109"/>
        <v>1</v>
      </c>
      <c r="BH34" s="11">
        <f t="shared" si="109"/>
        <v>1</v>
      </c>
      <c r="BI34" s="11">
        <f t="shared" si="109"/>
        <v>1</v>
      </c>
      <c r="BJ34" s="11">
        <f t="shared" si="109"/>
        <v>1</v>
      </c>
      <c r="BK34" s="11">
        <f t="shared" si="109"/>
        <v>1</v>
      </c>
      <c r="BL34" s="11">
        <f t="shared" si="109"/>
        <v>1</v>
      </c>
      <c r="BM34" s="11">
        <f t="shared" si="109"/>
        <v>1</v>
      </c>
      <c r="BN34" s="11">
        <f t="shared" si="109"/>
        <v>1</v>
      </c>
      <c r="BO34" s="11">
        <f t="shared" si="109"/>
        <v>1</v>
      </c>
      <c r="BP34" s="11">
        <f t="shared" si="109"/>
        <v>1</v>
      </c>
      <c r="BQ34" s="11">
        <f t="shared" si="109"/>
        <v>1</v>
      </c>
      <c r="BR34" s="11">
        <f t="shared" si="109"/>
        <v>1</v>
      </c>
      <c r="BS34" s="11">
        <f t="shared" si="109"/>
        <v>1</v>
      </c>
      <c r="BT34" s="11">
        <f t="shared" ref="BT34:EE34" si="110">IF(BT24="Sáb",BS34,IF(BT24="Dom",BS34,IF(BT24="Fer",BS34,BT29)))</f>
        <v>1</v>
      </c>
      <c r="BU34" s="11">
        <f t="shared" si="110"/>
        <v>1</v>
      </c>
      <c r="BV34" s="11">
        <f t="shared" si="110"/>
        <v>1</v>
      </c>
      <c r="BW34" s="11">
        <f t="shared" si="110"/>
        <v>1</v>
      </c>
      <c r="BX34" s="11">
        <f t="shared" si="110"/>
        <v>1</v>
      </c>
      <c r="BY34" s="11">
        <f t="shared" si="110"/>
        <v>1</v>
      </c>
      <c r="BZ34" s="11">
        <f t="shared" si="110"/>
        <v>1</v>
      </c>
      <c r="CA34" s="11">
        <f t="shared" si="110"/>
        <v>1</v>
      </c>
      <c r="CB34" s="11">
        <f t="shared" si="110"/>
        <v>1</v>
      </c>
      <c r="CC34" s="11">
        <f t="shared" si="110"/>
        <v>1</v>
      </c>
      <c r="CD34" s="11">
        <f t="shared" si="110"/>
        <v>1</v>
      </c>
      <c r="CE34" s="11">
        <f t="shared" si="110"/>
        <v>1</v>
      </c>
      <c r="CF34" s="11">
        <f t="shared" si="110"/>
        <v>1</v>
      </c>
      <c r="CG34" s="11">
        <f t="shared" si="110"/>
        <v>1</v>
      </c>
      <c r="CH34" s="11">
        <f t="shared" si="110"/>
        <v>1</v>
      </c>
      <c r="CI34" s="11">
        <f t="shared" si="110"/>
        <v>1</v>
      </c>
      <c r="CJ34" s="11">
        <f t="shared" si="110"/>
        <v>1</v>
      </c>
      <c r="CK34" s="11">
        <f t="shared" si="110"/>
        <v>1</v>
      </c>
      <c r="CL34" s="11">
        <f t="shared" si="110"/>
        <v>1</v>
      </c>
      <c r="CM34" s="11">
        <f t="shared" si="110"/>
        <v>1</v>
      </c>
      <c r="CN34" s="11">
        <f t="shared" si="110"/>
        <v>1</v>
      </c>
      <c r="CO34" s="11">
        <f t="shared" si="110"/>
        <v>1</v>
      </c>
      <c r="CP34" s="11">
        <f t="shared" si="110"/>
        <v>1</v>
      </c>
      <c r="CQ34" s="11">
        <f t="shared" si="110"/>
        <v>1</v>
      </c>
      <c r="CR34" s="11">
        <f t="shared" si="110"/>
        <v>1</v>
      </c>
      <c r="CS34" s="11">
        <f t="shared" si="110"/>
        <v>1</v>
      </c>
      <c r="CT34" s="11">
        <f t="shared" si="110"/>
        <v>1</v>
      </c>
      <c r="CU34" s="11">
        <f t="shared" si="110"/>
        <v>1</v>
      </c>
      <c r="CV34" s="11">
        <f t="shared" si="110"/>
        <v>1</v>
      </c>
      <c r="CW34" s="11">
        <f t="shared" si="110"/>
        <v>1</v>
      </c>
      <c r="CX34" s="11">
        <f t="shared" si="110"/>
        <v>1</v>
      </c>
      <c r="CY34" s="11">
        <f t="shared" si="110"/>
        <v>1</v>
      </c>
      <c r="CZ34" s="11">
        <f t="shared" si="110"/>
        <v>1</v>
      </c>
      <c r="DA34" s="11">
        <f t="shared" si="110"/>
        <v>1</v>
      </c>
      <c r="DB34" s="11">
        <f t="shared" si="110"/>
        <v>1</v>
      </c>
      <c r="DC34" s="11">
        <f t="shared" si="110"/>
        <v>1</v>
      </c>
      <c r="DD34" s="11">
        <f t="shared" si="110"/>
        <v>1</v>
      </c>
      <c r="DE34" s="11">
        <f t="shared" si="110"/>
        <v>1</v>
      </c>
      <c r="DF34" s="11">
        <f t="shared" si="110"/>
        <v>1</v>
      </c>
      <c r="DG34" s="11">
        <f t="shared" si="110"/>
        <v>1</v>
      </c>
      <c r="DH34" s="11">
        <f t="shared" si="110"/>
        <v>1</v>
      </c>
      <c r="DI34" s="11">
        <f t="shared" si="110"/>
        <v>1</v>
      </c>
      <c r="DJ34" s="11">
        <f t="shared" si="110"/>
        <v>1</v>
      </c>
      <c r="DK34" s="11">
        <f t="shared" si="110"/>
        <v>1</v>
      </c>
      <c r="DL34" s="11">
        <f t="shared" si="110"/>
        <v>1</v>
      </c>
      <c r="DM34" s="11">
        <f t="shared" si="110"/>
        <v>1</v>
      </c>
      <c r="DN34" s="11">
        <f t="shared" si="110"/>
        <v>1</v>
      </c>
      <c r="DO34" s="11">
        <f t="shared" si="110"/>
        <v>1</v>
      </c>
      <c r="DP34" s="11">
        <f t="shared" si="110"/>
        <v>1</v>
      </c>
      <c r="DQ34" s="11">
        <f t="shared" si="110"/>
        <v>1</v>
      </c>
      <c r="DR34" s="11">
        <f t="shared" si="110"/>
        <v>1</v>
      </c>
      <c r="DS34" s="11">
        <f t="shared" si="110"/>
        <v>1</v>
      </c>
      <c r="DT34" s="11">
        <f t="shared" si="110"/>
        <v>1</v>
      </c>
      <c r="DU34" s="11">
        <f t="shared" si="110"/>
        <v>1</v>
      </c>
      <c r="DV34" s="11">
        <f t="shared" si="110"/>
        <v>1</v>
      </c>
      <c r="DW34" s="11">
        <f t="shared" si="110"/>
        <v>1</v>
      </c>
      <c r="DX34" s="11">
        <f t="shared" si="110"/>
        <v>1</v>
      </c>
      <c r="DY34" s="11">
        <f t="shared" si="110"/>
        <v>1</v>
      </c>
      <c r="DZ34" s="11">
        <f t="shared" si="110"/>
        <v>1</v>
      </c>
      <c r="EA34" s="11">
        <f t="shared" si="110"/>
        <v>1</v>
      </c>
      <c r="EB34" s="11">
        <f t="shared" si="110"/>
        <v>1</v>
      </c>
      <c r="EC34" s="11">
        <f t="shared" si="110"/>
        <v>1</v>
      </c>
      <c r="ED34" s="11">
        <f t="shared" si="110"/>
        <v>1</v>
      </c>
      <c r="EE34" s="11">
        <f t="shared" si="110"/>
        <v>1</v>
      </c>
      <c r="EF34" s="11">
        <f t="shared" ref="EF34:GQ34" si="111">IF(EF24="Sáb",EE34,IF(EF24="Dom",EE34,IF(EF24="Fer",EE34,EF29)))</f>
        <v>1</v>
      </c>
      <c r="EG34" s="11">
        <f t="shared" si="111"/>
        <v>1</v>
      </c>
      <c r="EH34" s="11">
        <f t="shared" si="111"/>
        <v>1</v>
      </c>
      <c r="EI34" s="11">
        <f t="shared" si="111"/>
        <v>1</v>
      </c>
      <c r="EJ34" s="11">
        <f t="shared" si="111"/>
        <v>1</v>
      </c>
      <c r="EK34" s="11">
        <f t="shared" si="111"/>
        <v>1</v>
      </c>
      <c r="EL34" s="11">
        <f t="shared" si="111"/>
        <v>1</v>
      </c>
      <c r="EM34" s="11">
        <f t="shared" si="111"/>
        <v>1</v>
      </c>
      <c r="EN34" s="11">
        <f t="shared" si="111"/>
        <v>1</v>
      </c>
      <c r="EO34" s="11">
        <f t="shared" si="111"/>
        <v>1</v>
      </c>
      <c r="EP34" s="11">
        <f t="shared" si="111"/>
        <v>1</v>
      </c>
      <c r="EQ34" s="11">
        <f t="shared" si="111"/>
        <v>1</v>
      </c>
      <c r="ER34" s="11">
        <f t="shared" si="111"/>
        <v>1</v>
      </c>
      <c r="ES34" s="11">
        <f t="shared" si="111"/>
        <v>1</v>
      </c>
      <c r="ET34" s="11">
        <f t="shared" si="111"/>
        <v>1</v>
      </c>
      <c r="EU34" s="11">
        <f t="shared" si="111"/>
        <v>1</v>
      </c>
      <c r="EV34" s="11">
        <f t="shared" si="111"/>
        <v>1</v>
      </c>
      <c r="EW34" s="11">
        <f t="shared" si="111"/>
        <v>1</v>
      </c>
      <c r="EX34" s="11">
        <f t="shared" si="111"/>
        <v>1</v>
      </c>
      <c r="EY34" s="11">
        <f t="shared" si="111"/>
        <v>1</v>
      </c>
      <c r="EZ34" s="11">
        <f t="shared" si="111"/>
        <v>1</v>
      </c>
      <c r="FA34" s="11">
        <f t="shared" si="111"/>
        <v>1</v>
      </c>
      <c r="FB34" s="11">
        <f t="shared" si="111"/>
        <v>1</v>
      </c>
      <c r="FC34" s="11">
        <f t="shared" si="111"/>
        <v>1</v>
      </c>
      <c r="FD34" s="11">
        <f t="shared" si="111"/>
        <v>1</v>
      </c>
      <c r="FE34" s="11">
        <f t="shared" si="111"/>
        <v>1</v>
      </c>
      <c r="FF34" s="11">
        <f t="shared" si="111"/>
        <v>1</v>
      </c>
      <c r="FG34" s="11">
        <f t="shared" si="111"/>
        <v>1</v>
      </c>
      <c r="FH34" s="11">
        <f t="shared" si="111"/>
        <v>1</v>
      </c>
      <c r="FI34" s="11">
        <f t="shared" si="111"/>
        <v>1</v>
      </c>
      <c r="FJ34" s="11">
        <f t="shared" si="111"/>
        <v>1</v>
      </c>
      <c r="FK34" s="11">
        <f t="shared" si="111"/>
        <v>1</v>
      </c>
      <c r="FL34" s="11">
        <f t="shared" si="111"/>
        <v>1</v>
      </c>
      <c r="FM34" s="11">
        <f t="shared" si="111"/>
        <v>1</v>
      </c>
      <c r="FN34" s="11">
        <f t="shared" si="111"/>
        <v>1</v>
      </c>
      <c r="FO34" s="11">
        <f t="shared" si="111"/>
        <v>1</v>
      </c>
      <c r="FP34" s="11">
        <f t="shared" si="111"/>
        <v>1</v>
      </c>
      <c r="FQ34" s="11">
        <f t="shared" si="111"/>
        <v>1</v>
      </c>
      <c r="FR34" s="11">
        <f t="shared" si="111"/>
        <v>1</v>
      </c>
      <c r="FS34" s="11">
        <f t="shared" si="111"/>
        <v>1</v>
      </c>
      <c r="FT34" s="11">
        <f t="shared" si="111"/>
        <v>1</v>
      </c>
      <c r="FU34" s="11">
        <f t="shared" si="111"/>
        <v>1</v>
      </c>
      <c r="FV34" s="11">
        <f t="shared" si="111"/>
        <v>1</v>
      </c>
      <c r="FW34" s="11">
        <f t="shared" si="111"/>
        <v>1</v>
      </c>
      <c r="FX34" s="11">
        <f t="shared" si="111"/>
        <v>1</v>
      </c>
      <c r="FY34" s="11">
        <f t="shared" si="111"/>
        <v>1</v>
      </c>
      <c r="FZ34" s="11">
        <f t="shared" si="111"/>
        <v>1</v>
      </c>
      <c r="GA34" s="11">
        <f t="shared" si="111"/>
        <v>1</v>
      </c>
      <c r="GB34" s="11">
        <f t="shared" si="111"/>
        <v>1</v>
      </c>
      <c r="GC34" s="11">
        <f t="shared" si="111"/>
        <v>1</v>
      </c>
      <c r="GD34" s="11">
        <f t="shared" si="111"/>
        <v>1</v>
      </c>
      <c r="GE34" s="11">
        <f t="shared" si="111"/>
        <v>0</v>
      </c>
      <c r="GF34" s="11">
        <f t="shared" si="111"/>
        <v>0</v>
      </c>
      <c r="GG34" s="11">
        <f t="shared" si="111"/>
        <v>0</v>
      </c>
      <c r="GH34" s="11">
        <f t="shared" si="111"/>
        <v>0</v>
      </c>
      <c r="GI34" s="11">
        <f t="shared" si="111"/>
        <v>0</v>
      </c>
      <c r="GJ34" s="11">
        <f t="shared" si="111"/>
        <v>0</v>
      </c>
      <c r="GK34" s="11">
        <f t="shared" si="111"/>
        <v>0</v>
      </c>
      <c r="GL34" s="11">
        <f t="shared" si="111"/>
        <v>0</v>
      </c>
      <c r="GM34" s="11">
        <f t="shared" si="111"/>
        <v>0</v>
      </c>
      <c r="GN34" s="11">
        <f t="shared" si="111"/>
        <v>0</v>
      </c>
      <c r="GO34" s="11">
        <f t="shared" si="111"/>
        <v>0</v>
      </c>
      <c r="GP34" s="11">
        <f t="shared" si="111"/>
        <v>0</v>
      </c>
      <c r="GQ34" s="11">
        <f t="shared" si="111"/>
        <v>0</v>
      </c>
      <c r="GR34" s="11">
        <f t="shared" ref="GR34:JC34" si="112">IF(GR24="Sáb",GQ34,IF(GR24="Dom",GQ34,IF(GR24="Fer",GQ34,GR29)))</f>
        <v>0</v>
      </c>
      <c r="GS34" s="11">
        <f t="shared" si="112"/>
        <v>0</v>
      </c>
      <c r="GT34" s="11">
        <f t="shared" si="112"/>
        <v>0</v>
      </c>
      <c r="GU34" s="11">
        <f t="shared" si="112"/>
        <v>0</v>
      </c>
      <c r="GV34" s="11">
        <f t="shared" si="112"/>
        <v>0</v>
      </c>
      <c r="GW34" s="11">
        <f t="shared" si="112"/>
        <v>0</v>
      </c>
      <c r="GX34" s="11">
        <f t="shared" si="112"/>
        <v>0</v>
      </c>
      <c r="GY34" s="11">
        <f t="shared" si="112"/>
        <v>0</v>
      </c>
      <c r="GZ34" s="11">
        <f t="shared" si="112"/>
        <v>0</v>
      </c>
      <c r="HA34" s="11">
        <f t="shared" si="112"/>
        <v>0</v>
      </c>
      <c r="HB34" s="11">
        <f t="shared" si="112"/>
        <v>0</v>
      </c>
      <c r="HC34" s="11">
        <f t="shared" si="112"/>
        <v>0</v>
      </c>
      <c r="HD34" s="11">
        <f t="shared" si="112"/>
        <v>0</v>
      </c>
      <c r="HE34" s="11">
        <f t="shared" si="112"/>
        <v>0</v>
      </c>
      <c r="HF34" s="11">
        <f t="shared" si="112"/>
        <v>0</v>
      </c>
      <c r="HG34" s="11">
        <f t="shared" si="112"/>
        <v>0</v>
      </c>
      <c r="HH34" s="11">
        <f t="shared" si="112"/>
        <v>0</v>
      </c>
      <c r="HI34" s="11">
        <f t="shared" si="112"/>
        <v>0</v>
      </c>
      <c r="HJ34" s="11">
        <f t="shared" si="112"/>
        <v>0</v>
      </c>
      <c r="HK34" s="11">
        <f t="shared" si="112"/>
        <v>0</v>
      </c>
      <c r="HL34" s="11">
        <f t="shared" si="112"/>
        <v>0</v>
      </c>
      <c r="HM34" s="11">
        <f t="shared" si="112"/>
        <v>0</v>
      </c>
      <c r="HN34" s="11">
        <f t="shared" si="112"/>
        <v>0</v>
      </c>
      <c r="HO34" s="11">
        <f t="shared" si="112"/>
        <v>0</v>
      </c>
      <c r="HP34" s="11">
        <f t="shared" si="112"/>
        <v>0</v>
      </c>
      <c r="HQ34" s="11">
        <f t="shared" si="112"/>
        <v>0</v>
      </c>
      <c r="HR34" s="11">
        <f t="shared" si="112"/>
        <v>0</v>
      </c>
      <c r="HS34" s="11">
        <f t="shared" si="112"/>
        <v>0</v>
      </c>
      <c r="HT34" s="11">
        <f t="shared" si="112"/>
        <v>0</v>
      </c>
      <c r="HU34" s="11">
        <f t="shared" si="112"/>
        <v>0</v>
      </c>
      <c r="HV34" s="11">
        <f t="shared" si="112"/>
        <v>0</v>
      </c>
      <c r="HW34" s="11">
        <f t="shared" si="112"/>
        <v>0</v>
      </c>
      <c r="HX34" s="11">
        <f t="shared" si="112"/>
        <v>0</v>
      </c>
      <c r="HY34" s="11">
        <f t="shared" si="112"/>
        <v>0</v>
      </c>
      <c r="HZ34" s="11">
        <f t="shared" si="112"/>
        <v>0</v>
      </c>
      <c r="IA34" s="11">
        <f t="shared" si="112"/>
        <v>0</v>
      </c>
      <c r="IB34" s="11">
        <f t="shared" si="112"/>
        <v>0</v>
      </c>
      <c r="IC34" s="11">
        <f t="shared" si="112"/>
        <v>0</v>
      </c>
      <c r="ID34" s="11">
        <f t="shared" si="112"/>
        <v>0</v>
      </c>
      <c r="IE34" s="11">
        <f t="shared" si="112"/>
        <v>0</v>
      </c>
      <c r="IF34" s="11">
        <f t="shared" si="112"/>
        <v>0</v>
      </c>
      <c r="IG34" s="11">
        <f t="shared" si="112"/>
        <v>0</v>
      </c>
      <c r="IH34" s="11">
        <f t="shared" si="112"/>
        <v>0</v>
      </c>
      <c r="II34" s="11">
        <f t="shared" si="112"/>
        <v>0</v>
      </c>
      <c r="IJ34" s="11">
        <f t="shared" si="112"/>
        <v>0</v>
      </c>
      <c r="IK34" s="11">
        <f t="shared" si="112"/>
        <v>0</v>
      </c>
      <c r="IL34" s="11">
        <f t="shared" si="112"/>
        <v>0</v>
      </c>
      <c r="IM34" s="11">
        <f t="shared" si="112"/>
        <v>0</v>
      </c>
      <c r="IN34" s="11">
        <f t="shared" si="112"/>
        <v>0</v>
      </c>
      <c r="IO34" s="11">
        <f t="shared" si="112"/>
        <v>0</v>
      </c>
      <c r="IP34" s="11">
        <f t="shared" si="112"/>
        <v>0</v>
      </c>
      <c r="IQ34" s="11">
        <f t="shared" si="112"/>
        <v>0</v>
      </c>
      <c r="IR34" s="11">
        <f t="shared" si="112"/>
        <v>0</v>
      </c>
      <c r="IS34" s="11">
        <f t="shared" si="112"/>
        <v>0</v>
      </c>
      <c r="IT34" s="11">
        <f t="shared" si="112"/>
        <v>0</v>
      </c>
      <c r="IU34" s="11">
        <f t="shared" si="112"/>
        <v>0</v>
      </c>
      <c r="IV34" s="11">
        <f t="shared" si="112"/>
        <v>0</v>
      </c>
      <c r="IW34" s="11">
        <f t="shared" si="112"/>
        <v>0</v>
      </c>
      <c r="IX34" s="11">
        <f t="shared" si="112"/>
        <v>0</v>
      </c>
      <c r="IY34" s="11">
        <f t="shared" si="112"/>
        <v>0</v>
      </c>
      <c r="IZ34" s="11">
        <f t="shared" si="112"/>
        <v>0</v>
      </c>
      <c r="JA34" s="11">
        <f t="shared" si="112"/>
        <v>0</v>
      </c>
      <c r="JB34" s="11">
        <f t="shared" si="112"/>
        <v>0</v>
      </c>
      <c r="JC34" s="11">
        <f t="shared" si="112"/>
        <v>0</v>
      </c>
      <c r="JD34" s="11">
        <f t="shared" ref="JD34:LO34" si="113">IF(JD24="Sáb",JC34,IF(JD24="Dom",JC34,IF(JD24="Fer",JC34,JD29)))</f>
        <v>0</v>
      </c>
      <c r="JE34" s="11">
        <f t="shared" si="113"/>
        <v>0</v>
      </c>
      <c r="JF34" s="11">
        <f t="shared" si="113"/>
        <v>0</v>
      </c>
      <c r="JG34" s="11">
        <f t="shared" si="113"/>
        <v>0</v>
      </c>
      <c r="JH34" s="11">
        <f t="shared" si="113"/>
        <v>0</v>
      </c>
      <c r="JI34" s="11">
        <f t="shared" si="113"/>
        <v>0</v>
      </c>
      <c r="JJ34" s="11">
        <f t="shared" si="113"/>
        <v>0</v>
      </c>
      <c r="JK34" s="11">
        <f t="shared" si="113"/>
        <v>0</v>
      </c>
      <c r="JL34" s="11">
        <f t="shared" si="113"/>
        <v>0</v>
      </c>
      <c r="JM34" s="11">
        <f t="shared" si="113"/>
        <v>0</v>
      </c>
      <c r="JN34" s="11">
        <f t="shared" si="113"/>
        <v>0</v>
      </c>
      <c r="JO34" s="11">
        <f t="shared" si="113"/>
        <v>0</v>
      </c>
      <c r="JP34" s="11">
        <f t="shared" si="113"/>
        <v>0</v>
      </c>
      <c r="JQ34" s="11">
        <f t="shared" si="113"/>
        <v>0</v>
      </c>
      <c r="JR34" s="11">
        <f t="shared" si="113"/>
        <v>0</v>
      </c>
      <c r="JS34" s="11">
        <f t="shared" si="113"/>
        <v>0</v>
      </c>
      <c r="JT34" s="11">
        <f t="shared" si="113"/>
        <v>0</v>
      </c>
      <c r="JU34" s="11">
        <f t="shared" si="113"/>
        <v>0</v>
      </c>
      <c r="JV34" s="11">
        <f t="shared" si="113"/>
        <v>0</v>
      </c>
      <c r="JW34" s="11">
        <f t="shared" si="113"/>
        <v>0</v>
      </c>
      <c r="JX34" s="11">
        <f t="shared" si="113"/>
        <v>0</v>
      </c>
      <c r="JY34" s="11">
        <f t="shared" si="113"/>
        <v>0</v>
      </c>
      <c r="JZ34" s="11">
        <f t="shared" si="113"/>
        <v>0</v>
      </c>
      <c r="KA34" s="11">
        <f t="shared" si="113"/>
        <v>0</v>
      </c>
      <c r="KB34" s="11">
        <f t="shared" si="113"/>
        <v>0</v>
      </c>
      <c r="KC34" s="11">
        <f t="shared" si="113"/>
        <v>0</v>
      </c>
      <c r="KD34" s="11">
        <f t="shared" si="113"/>
        <v>0</v>
      </c>
      <c r="KE34" s="11">
        <f t="shared" si="113"/>
        <v>0</v>
      </c>
      <c r="KF34" s="11">
        <f t="shared" si="113"/>
        <v>0</v>
      </c>
      <c r="KG34" s="11">
        <f t="shared" si="113"/>
        <v>0</v>
      </c>
      <c r="KH34" s="11">
        <f t="shared" si="113"/>
        <v>0</v>
      </c>
      <c r="KI34" s="11">
        <f t="shared" si="113"/>
        <v>0</v>
      </c>
      <c r="KJ34" s="11">
        <f t="shared" si="113"/>
        <v>0</v>
      </c>
      <c r="KK34" s="11">
        <f t="shared" si="113"/>
        <v>0</v>
      </c>
      <c r="KL34" s="11">
        <f t="shared" si="113"/>
        <v>0</v>
      </c>
      <c r="KM34" s="11">
        <f t="shared" si="113"/>
        <v>0</v>
      </c>
      <c r="KN34" s="11">
        <f t="shared" si="113"/>
        <v>0</v>
      </c>
      <c r="KO34" s="11">
        <f t="shared" si="113"/>
        <v>0</v>
      </c>
      <c r="KP34" s="11">
        <f t="shared" si="113"/>
        <v>0</v>
      </c>
      <c r="KQ34" s="11">
        <f t="shared" si="113"/>
        <v>0</v>
      </c>
      <c r="KR34" s="11">
        <f t="shared" si="113"/>
        <v>0</v>
      </c>
      <c r="KS34" s="11">
        <f t="shared" si="113"/>
        <v>0</v>
      </c>
      <c r="KT34" s="11">
        <f t="shared" si="113"/>
        <v>0</v>
      </c>
      <c r="KU34" s="11">
        <f t="shared" si="113"/>
        <v>0</v>
      </c>
      <c r="KV34" s="11">
        <f t="shared" si="113"/>
        <v>0</v>
      </c>
      <c r="KW34" s="11">
        <f t="shared" si="113"/>
        <v>0</v>
      </c>
      <c r="KX34" s="11">
        <f t="shared" si="113"/>
        <v>0</v>
      </c>
      <c r="KY34" s="11">
        <f t="shared" si="113"/>
        <v>0</v>
      </c>
      <c r="KZ34" s="11">
        <f t="shared" si="113"/>
        <v>0</v>
      </c>
      <c r="LA34" s="11">
        <f t="shared" si="113"/>
        <v>0</v>
      </c>
      <c r="LB34" s="11">
        <f t="shared" si="113"/>
        <v>0</v>
      </c>
      <c r="LC34" s="11">
        <f t="shared" si="113"/>
        <v>0</v>
      </c>
      <c r="LD34" s="11">
        <f t="shared" si="113"/>
        <v>0</v>
      </c>
      <c r="LE34" s="11">
        <f t="shared" si="113"/>
        <v>0</v>
      </c>
      <c r="LF34" s="11">
        <f t="shared" si="113"/>
        <v>0</v>
      </c>
      <c r="LG34" s="11">
        <f t="shared" si="113"/>
        <v>0</v>
      </c>
      <c r="LH34" s="11">
        <f t="shared" si="113"/>
        <v>0</v>
      </c>
      <c r="LI34" s="11">
        <f t="shared" si="113"/>
        <v>0</v>
      </c>
      <c r="LJ34" s="11">
        <f t="shared" si="113"/>
        <v>0</v>
      </c>
      <c r="LK34" s="11">
        <f t="shared" si="113"/>
        <v>0</v>
      </c>
      <c r="LL34" s="11">
        <f t="shared" si="113"/>
        <v>0</v>
      </c>
      <c r="LM34" s="11">
        <f t="shared" si="113"/>
        <v>0</v>
      </c>
      <c r="LN34" s="11">
        <f t="shared" si="113"/>
        <v>0</v>
      </c>
      <c r="LO34" s="11">
        <f t="shared" si="113"/>
        <v>0</v>
      </c>
      <c r="LP34" s="11">
        <f t="shared" ref="LP34:OA34" si="114">IF(LP24="Sáb",LO34,IF(LP24="Dom",LO34,IF(LP24="Fer",LO34,LP29)))</f>
        <v>0</v>
      </c>
      <c r="LQ34" s="11">
        <f t="shared" si="114"/>
        <v>0</v>
      </c>
      <c r="LR34" s="11">
        <f t="shared" si="114"/>
        <v>0</v>
      </c>
      <c r="LS34" s="11">
        <f t="shared" si="114"/>
        <v>0</v>
      </c>
      <c r="LT34" s="11">
        <f t="shared" si="114"/>
        <v>0</v>
      </c>
      <c r="LU34" s="11">
        <f t="shared" si="114"/>
        <v>0</v>
      </c>
      <c r="LV34" s="11">
        <f t="shared" si="114"/>
        <v>0</v>
      </c>
      <c r="LW34" s="11">
        <f t="shared" si="114"/>
        <v>0</v>
      </c>
      <c r="LX34" s="11">
        <f t="shared" si="114"/>
        <v>0</v>
      </c>
      <c r="LY34" s="11">
        <f t="shared" si="114"/>
        <v>0</v>
      </c>
      <c r="LZ34" s="11">
        <f t="shared" si="114"/>
        <v>0</v>
      </c>
      <c r="MA34" s="11">
        <f t="shared" si="114"/>
        <v>0</v>
      </c>
      <c r="MB34" s="11">
        <f t="shared" si="114"/>
        <v>0</v>
      </c>
      <c r="MC34" s="11">
        <f t="shared" si="114"/>
        <v>0</v>
      </c>
      <c r="MD34" s="11">
        <f t="shared" si="114"/>
        <v>0</v>
      </c>
      <c r="ME34" s="11">
        <f t="shared" si="114"/>
        <v>0</v>
      </c>
      <c r="MF34" s="11">
        <f t="shared" si="114"/>
        <v>0</v>
      </c>
      <c r="MG34" s="11">
        <f t="shared" si="114"/>
        <v>0</v>
      </c>
      <c r="MH34" s="11">
        <f t="shared" si="114"/>
        <v>0</v>
      </c>
      <c r="MI34" s="11">
        <f t="shared" si="114"/>
        <v>0</v>
      </c>
      <c r="MJ34" s="11">
        <f t="shared" si="114"/>
        <v>0</v>
      </c>
      <c r="MK34" s="11">
        <f t="shared" si="114"/>
        <v>0</v>
      </c>
      <c r="ML34" s="11">
        <f t="shared" si="114"/>
        <v>0</v>
      </c>
      <c r="MM34" s="11">
        <f t="shared" si="114"/>
        <v>0</v>
      </c>
      <c r="MN34" s="11">
        <f t="shared" si="114"/>
        <v>0</v>
      </c>
      <c r="MO34" s="11">
        <f t="shared" si="114"/>
        <v>0</v>
      </c>
      <c r="MP34" s="11">
        <f t="shared" si="114"/>
        <v>0</v>
      </c>
      <c r="MQ34" s="11">
        <f t="shared" si="114"/>
        <v>0</v>
      </c>
      <c r="MR34" s="11">
        <f t="shared" si="114"/>
        <v>0</v>
      </c>
      <c r="MS34" s="11">
        <f t="shared" si="114"/>
        <v>0</v>
      </c>
      <c r="MT34" s="11">
        <f t="shared" si="114"/>
        <v>0</v>
      </c>
      <c r="MU34" s="11">
        <f t="shared" si="114"/>
        <v>0</v>
      </c>
      <c r="MV34" s="11">
        <f t="shared" si="114"/>
        <v>0</v>
      </c>
      <c r="MW34" s="11">
        <f t="shared" si="114"/>
        <v>0</v>
      </c>
      <c r="MX34" s="11">
        <f t="shared" si="114"/>
        <v>0</v>
      </c>
      <c r="MY34" s="11">
        <f t="shared" si="114"/>
        <v>0</v>
      </c>
      <c r="MZ34" s="11">
        <f t="shared" si="114"/>
        <v>0</v>
      </c>
      <c r="NA34" s="11">
        <f t="shared" si="114"/>
        <v>0</v>
      </c>
      <c r="NB34" s="11">
        <f t="shared" si="114"/>
        <v>0</v>
      </c>
      <c r="NC34" s="11">
        <f t="shared" si="114"/>
        <v>0</v>
      </c>
      <c r="ND34" s="11">
        <f t="shared" si="114"/>
        <v>0</v>
      </c>
      <c r="NE34" s="11">
        <f t="shared" si="114"/>
        <v>0</v>
      </c>
      <c r="NF34" s="11">
        <f t="shared" si="114"/>
        <v>0</v>
      </c>
      <c r="NG34" s="11">
        <f t="shared" si="114"/>
        <v>0</v>
      </c>
      <c r="NH34" s="11">
        <f t="shared" si="114"/>
        <v>0</v>
      </c>
      <c r="NI34" s="11">
        <f t="shared" si="114"/>
        <v>0</v>
      </c>
      <c r="NJ34" s="11">
        <f t="shared" si="114"/>
        <v>0</v>
      </c>
      <c r="NK34" s="11">
        <f t="shared" si="114"/>
        <v>0</v>
      </c>
      <c r="NL34" s="11">
        <f t="shared" si="114"/>
        <v>0</v>
      </c>
      <c r="NM34" s="11">
        <f t="shared" si="114"/>
        <v>0</v>
      </c>
      <c r="NN34" s="11">
        <f t="shared" si="114"/>
        <v>0</v>
      </c>
      <c r="NO34" s="11">
        <f t="shared" si="114"/>
        <v>0</v>
      </c>
      <c r="NP34" s="11">
        <f t="shared" si="114"/>
        <v>0</v>
      </c>
      <c r="NQ34" s="11">
        <f t="shared" si="114"/>
        <v>0</v>
      </c>
      <c r="NR34" s="11">
        <f t="shared" si="114"/>
        <v>0</v>
      </c>
      <c r="NS34" s="11">
        <f t="shared" si="114"/>
        <v>0</v>
      </c>
      <c r="NT34" s="11">
        <f t="shared" si="114"/>
        <v>0</v>
      </c>
      <c r="NU34" s="11">
        <f t="shared" si="114"/>
        <v>0</v>
      </c>
      <c r="NV34" s="11">
        <f t="shared" si="114"/>
        <v>0</v>
      </c>
      <c r="NW34" s="11">
        <f t="shared" si="114"/>
        <v>0</v>
      </c>
      <c r="NX34" s="11">
        <f t="shared" si="114"/>
        <v>0</v>
      </c>
      <c r="NY34" s="11">
        <f t="shared" si="114"/>
        <v>0</v>
      </c>
      <c r="NZ34" s="11">
        <f t="shared" si="114"/>
        <v>0</v>
      </c>
      <c r="OA34" s="11">
        <f t="shared" si="114"/>
        <v>0</v>
      </c>
      <c r="OB34" s="11">
        <f t="shared" ref="OB34:QM34" si="115">IF(OB24="Sáb",OA34,IF(OB24="Dom",OA34,IF(OB24="Fer",OA34,OB29)))</f>
        <v>0</v>
      </c>
      <c r="OC34" s="11">
        <f t="shared" si="115"/>
        <v>0</v>
      </c>
      <c r="OD34" s="11">
        <f t="shared" si="115"/>
        <v>0</v>
      </c>
      <c r="OE34" s="11">
        <f t="shared" si="115"/>
        <v>0</v>
      </c>
      <c r="OF34" s="11">
        <f t="shared" si="115"/>
        <v>0</v>
      </c>
      <c r="OG34" s="11">
        <f t="shared" si="115"/>
        <v>0</v>
      </c>
      <c r="OH34" s="11">
        <f t="shared" si="115"/>
        <v>0</v>
      </c>
      <c r="OI34" s="11">
        <f t="shared" si="115"/>
        <v>0</v>
      </c>
      <c r="OJ34" s="11">
        <f t="shared" si="115"/>
        <v>0</v>
      </c>
      <c r="OK34" s="11">
        <f t="shared" si="115"/>
        <v>0</v>
      </c>
      <c r="OL34" s="11">
        <f t="shared" si="115"/>
        <v>0</v>
      </c>
      <c r="OM34" s="11">
        <f t="shared" si="115"/>
        <v>0</v>
      </c>
      <c r="ON34" s="11">
        <f t="shared" si="115"/>
        <v>0</v>
      </c>
      <c r="OO34" s="11">
        <f t="shared" si="115"/>
        <v>0</v>
      </c>
      <c r="OP34" s="11">
        <f t="shared" si="115"/>
        <v>0</v>
      </c>
      <c r="OQ34" s="11">
        <f t="shared" si="115"/>
        <v>0</v>
      </c>
      <c r="OR34" s="11">
        <f t="shared" si="115"/>
        <v>0</v>
      </c>
      <c r="OS34" s="11">
        <f t="shared" si="115"/>
        <v>0</v>
      </c>
      <c r="OT34" s="11">
        <f t="shared" si="115"/>
        <v>0</v>
      </c>
      <c r="OU34" s="11">
        <f t="shared" si="115"/>
        <v>0</v>
      </c>
      <c r="OV34" s="11">
        <f t="shared" si="115"/>
        <v>0</v>
      </c>
      <c r="OW34" s="11">
        <f t="shared" si="115"/>
        <v>0</v>
      </c>
      <c r="OX34" s="11">
        <f t="shared" si="115"/>
        <v>0</v>
      </c>
      <c r="OY34" s="11">
        <f t="shared" si="115"/>
        <v>0</v>
      </c>
      <c r="OZ34" s="11">
        <f t="shared" si="115"/>
        <v>0</v>
      </c>
      <c r="PA34" s="11">
        <f t="shared" si="115"/>
        <v>0</v>
      </c>
      <c r="PB34" s="11">
        <f t="shared" si="115"/>
        <v>0</v>
      </c>
      <c r="PC34" s="11">
        <f t="shared" si="115"/>
        <v>0</v>
      </c>
      <c r="PD34" s="11">
        <f t="shared" si="115"/>
        <v>0</v>
      </c>
      <c r="PE34" s="11">
        <f t="shared" si="115"/>
        <v>0</v>
      </c>
      <c r="PF34" s="11">
        <f t="shared" si="115"/>
        <v>0</v>
      </c>
      <c r="PG34" s="11">
        <f t="shared" si="115"/>
        <v>0</v>
      </c>
      <c r="PH34" s="11">
        <f t="shared" si="115"/>
        <v>0</v>
      </c>
      <c r="PI34" s="11">
        <f t="shared" si="115"/>
        <v>0</v>
      </c>
      <c r="PJ34" s="11">
        <f t="shared" si="115"/>
        <v>0</v>
      </c>
      <c r="PK34" s="11">
        <f t="shared" si="115"/>
        <v>0</v>
      </c>
      <c r="PL34" s="11">
        <f t="shared" si="115"/>
        <v>0</v>
      </c>
      <c r="PM34" s="11">
        <f t="shared" si="115"/>
        <v>0</v>
      </c>
      <c r="PN34" s="11">
        <f t="shared" si="115"/>
        <v>0</v>
      </c>
      <c r="PO34" s="11">
        <f t="shared" si="115"/>
        <v>0</v>
      </c>
      <c r="PP34" s="11">
        <f t="shared" si="115"/>
        <v>0</v>
      </c>
      <c r="PQ34" s="11">
        <f t="shared" si="115"/>
        <v>0</v>
      </c>
      <c r="PR34" s="11">
        <f t="shared" si="115"/>
        <v>0</v>
      </c>
      <c r="PS34" s="11">
        <f t="shared" si="115"/>
        <v>0</v>
      </c>
      <c r="PT34" s="11">
        <f t="shared" si="115"/>
        <v>0</v>
      </c>
      <c r="PU34" s="11">
        <f t="shared" si="115"/>
        <v>0</v>
      </c>
      <c r="PV34" s="11">
        <f t="shared" si="115"/>
        <v>0</v>
      </c>
      <c r="PW34" s="11">
        <f t="shared" si="115"/>
        <v>0</v>
      </c>
      <c r="PX34" s="11">
        <f t="shared" si="115"/>
        <v>0</v>
      </c>
      <c r="PY34" s="11">
        <f t="shared" si="115"/>
        <v>0</v>
      </c>
      <c r="PZ34" s="11">
        <f t="shared" si="115"/>
        <v>0</v>
      </c>
      <c r="QA34" s="11">
        <f t="shared" si="115"/>
        <v>0</v>
      </c>
      <c r="QB34" s="11">
        <f t="shared" si="115"/>
        <v>0</v>
      </c>
      <c r="QC34" s="11">
        <f t="shared" si="115"/>
        <v>0</v>
      </c>
      <c r="QD34" s="11">
        <f t="shared" si="115"/>
        <v>0</v>
      </c>
      <c r="QE34" s="11">
        <f t="shared" si="115"/>
        <v>0</v>
      </c>
      <c r="QF34" s="11">
        <f t="shared" si="115"/>
        <v>0</v>
      </c>
      <c r="QG34" s="11">
        <f t="shared" si="115"/>
        <v>0</v>
      </c>
      <c r="QH34" s="11">
        <f t="shared" si="115"/>
        <v>0</v>
      </c>
      <c r="QI34" s="11">
        <f t="shared" si="115"/>
        <v>0</v>
      </c>
      <c r="QJ34" s="11">
        <f t="shared" si="115"/>
        <v>0</v>
      </c>
      <c r="QK34" s="11">
        <f t="shared" si="115"/>
        <v>0</v>
      </c>
      <c r="QL34" s="11">
        <f t="shared" si="115"/>
        <v>0</v>
      </c>
      <c r="QM34" s="11">
        <f t="shared" si="115"/>
        <v>0</v>
      </c>
      <c r="QN34" s="11">
        <f t="shared" ref="QN34:SY34" si="116">IF(QN24="Sáb",QM34,IF(QN24="Dom",QM34,IF(QN24="Fer",QM34,QN29)))</f>
        <v>0</v>
      </c>
      <c r="QO34" s="11">
        <f t="shared" si="116"/>
        <v>0</v>
      </c>
      <c r="QP34" s="11">
        <f t="shared" si="116"/>
        <v>0</v>
      </c>
      <c r="QQ34" s="11">
        <f t="shared" si="116"/>
        <v>0</v>
      </c>
      <c r="QR34" s="11">
        <f t="shared" si="116"/>
        <v>0</v>
      </c>
      <c r="QS34" s="11">
        <f t="shared" si="116"/>
        <v>0</v>
      </c>
      <c r="QT34" s="11">
        <f t="shared" si="116"/>
        <v>0</v>
      </c>
      <c r="QU34" s="11">
        <f t="shared" si="116"/>
        <v>0</v>
      </c>
      <c r="QV34" s="11">
        <f t="shared" si="116"/>
        <v>0</v>
      </c>
      <c r="QW34" s="11">
        <f t="shared" si="116"/>
        <v>0</v>
      </c>
      <c r="QX34" s="11">
        <f t="shared" si="116"/>
        <v>0</v>
      </c>
      <c r="QY34" s="11">
        <f t="shared" si="116"/>
        <v>0</v>
      </c>
      <c r="QZ34" s="11">
        <f t="shared" si="116"/>
        <v>0</v>
      </c>
      <c r="RA34" s="11">
        <f t="shared" si="116"/>
        <v>0</v>
      </c>
      <c r="RB34" s="11">
        <f t="shared" si="116"/>
        <v>0</v>
      </c>
      <c r="RC34" s="11">
        <f t="shared" si="116"/>
        <v>0</v>
      </c>
      <c r="RD34" s="11">
        <f t="shared" si="116"/>
        <v>0</v>
      </c>
      <c r="RE34" s="11">
        <f t="shared" si="116"/>
        <v>0</v>
      </c>
      <c r="RF34" s="11">
        <f t="shared" si="116"/>
        <v>0</v>
      </c>
      <c r="RG34" s="11">
        <f t="shared" si="116"/>
        <v>0</v>
      </c>
      <c r="RH34" s="11">
        <f t="shared" si="116"/>
        <v>0</v>
      </c>
      <c r="RI34" s="11">
        <f t="shared" si="116"/>
        <v>0</v>
      </c>
      <c r="RJ34" s="11">
        <f t="shared" si="116"/>
        <v>0</v>
      </c>
      <c r="RK34" s="11">
        <f t="shared" si="116"/>
        <v>0</v>
      </c>
      <c r="RL34" s="11">
        <f t="shared" si="116"/>
        <v>0</v>
      </c>
      <c r="RM34" s="11">
        <f t="shared" si="116"/>
        <v>0</v>
      </c>
      <c r="RN34" s="11">
        <f t="shared" si="116"/>
        <v>0</v>
      </c>
      <c r="RO34" s="11">
        <f t="shared" si="116"/>
        <v>0</v>
      </c>
      <c r="RP34" s="11">
        <f t="shared" si="116"/>
        <v>0</v>
      </c>
      <c r="RQ34" s="11">
        <f t="shared" si="116"/>
        <v>0</v>
      </c>
      <c r="RR34" s="11">
        <f t="shared" si="116"/>
        <v>0</v>
      </c>
      <c r="RS34" s="11">
        <f t="shared" si="116"/>
        <v>0</v>
      </c>
      <c r="RT34" s="11">
        <f t="shared" si="116"/>
        <v>0</v>
      </c>
      <c r="RU34" s="11">
        <f t="shared" si="116"/>
        <v>0</v>
      </c>
      <c r="RV34" s="11">
        <f t="shared" si="116"/>
        <v>0</v>
      </c>
      <c r="RW34" s="11">
        <f t="shared" si="116"/>
        <v>0</v>
      </c>
      <c r="RX34" s="11">
        <f t="shared" si="116"/>
        <v>0</v>
      </c>
      <c r="RY34" s="11">
        <f t="shared" si="116"/>
        <v>0</v>
      </c>
      <c r="RZ34" s="11">
        <f t="shared" si="116"/>
        <v>0</v>
      </c>
      <c r="SA34" s="11">
        <f t="shared" si="116"/>
        <v>0</v>
      </c>
      <c r="SB34" s="11">
        <f t="shared" si="116"/>
        <v>0</v>
      </c>
      <c r="SC34" s="11">
        <f t="shared" si="116"/>
        <v>0</v>
      </c>
      <c r="SD34" s="11">
        <f t="shared" si="116"/>
        <v>0</v>
      </c>
      <c r="SE34" s="11">
        <f t="shared" si="116"/>
        <v>0</v>
      </c>
      <c r="SF34" s="11">
        <f t="shared" si="116"/>
        <v>0</v>
      </c>
      <c r="SG34" s="11">
        <f t="shared" si="116"/>
        <v>0</v>
      </c>
      <c r="SH34" s="11">
        <f t="shared" si="116"/>
        <v>0</v>
      </c>
      <c r="SI34" s="11">
        <f t="shared" si="116"/>
        <v>0</v>
      </c>
      <c r="SJ34" s="11">
        <f t="shared" si="116"/>
        <v>0</v>
      </c>
      <c r="SK34" s="11">
        <f t="shared" si="116"/>
        <v>0</v>
      </c>
      <c r="SL34" s="11">
        <f t="shared" si="116"/>
        <v>0</v>
      </c>
      <c r="SM34" s="11">
        <f t="shared" si="116"/>
        <v>0</v>
      </c>
      <c r="SN34" s="11">
        <f t="shared" si="116"/>
        <v>0</v>
      </c>
      <c r="SO34" s="11">
        <f t="shared" si="116"/>
        <v>0</v>
      </c>
      <c r="SP34" s="11">
        <f t="shared" si="116"/>
        <v>0</v>
      </c>
      <c r="SQ34" s="11">
        <f t="shared" si="116"/>
        <v>0</v>
      </c>
      <c r="SR34" s="11">
        <f t="shared" si="116"/>
        <v>0</v>
      </c>
      <c r="SS34" s="11">
        <f t="shared" si="116"/>
        <v>0</v>
      </c>
      <c r="ST34" s="11">
        <f t="shared" si="116"/>
        <v>0</v>
      </c>
      <c r="SU34" s="11">
        <f t="shared" si="116"/>
        <v>0</v>
      </c>
      <c r="SV34" s="11">
        <f t="shared" si="116"/>
        <v>0</v>
      </c>
      <c r="SW34" s="11">
        <f t="shared" si="116"/>
        <v>0</v>
      </c>
      <c r="SX34" s="11">
        <f t="shared" si="116"/>
        <v>0</v>
      </c>
      <c r="SY34" s="11">
        <f t="shared" si="116"/>
        <v>0</v>
      </c>
      <c r="SZ34" s="11">
        <f t="shared" ref="SZ34:VK34" si="117">IF(SZ24="Sáb",SY34,IF(SZ24="Dom",SY34,IF(SZ24="Fer",SY34,SZ29)))</f>
        <v>0</v>
      </c>
      <c r="TA34" s="11">
        <f t="shared" si="117"/>
        <v>0</v>
      </c>
      <c r="TB34" s="11">
        <f t="shared" si="117"/>
        <v>0</v>
      </c>
      <c r="TC34" s="11">
        <f t="shared" si="117"/>
        <v>0</v>
      </c>
      <c r="TD34" s="11">
        <f t="shared" si="117"/>
        <v>0</v>
      </c>
      <c r="TE34" s="11">
        <f t="shared" si="117"/>
        <v>0</v>
      </c>
      <c r="TF34" s="11">
        <f t="shared" si="117"/>
        <v>0</v>
      </c>
      <c r="TG34" s="11">
        <f t="shared" si="117"/>
        <v>0</v>
      </c>
      <c r="TH34" s="11">
        <f t="shared" si="117"/>
        <v>0</v>
      </c>
      <c r="TI34" s="11">
        <f t="shared" si="117"/>
        <v>0</v>
      </c>
      <c r="TJ34" s="11">
        <f t="shared" si="117"/>
        <v>0</v>
      </c>
      <c r="TK34" s="11">
        <f t="shared" si="117"/>
        <v>0</v>
      </c>
      <c r="TL34" s="11">
        <f t="shared" si="117"/>
        <v>0</v>
      </c>
      <c r="TM34" s="11">
        <f t="shared" si="117"/>
        <v>0</v>
      </c>
      <c r="TN34" s="11">
        <f t="shared" si="117"/>
        <v>0</v>
      </c>
      <c r="TO34" s="11">
        <f t="shared" si="117"/>
        <v>0</v>
      </c>
      <c r="TP34" s="11">
        <f t="shared" si="117"/>
        <v>0</v>
      </c>
      <c r="TQ34" s="11">
        <f t="shared" si="117"/>
        <v>0</v>
      </c>
      <c r="TR34" s="11">
        <f t="shared" si="117"/>
        <v>0</v>
      </c>
      <c r="TS34" s="11">
        <f t="shared" si="117"/>
        <v>0</v>
      </c>
      <c r="TT34" s="11">
        <f t="shared" si="117"/>
        <v>0</v>
      </c>
      <c r="TU34" s="11">
        <f t="shared" si="117"/>
        <v>0</v>
      </c>
      <c r="TV34" s="11">
        <f t="shared" si="117"/>
        <v>0</v>
      </c>
      <c r="TW34" s="11">
        <f t="shared" si="117"/>
        <v>0</v>
      </c>
      <c r="TX34" s="11">
        <f t="shared" si="117"/>
        <v>0</v>
      </c>
      <c r="TY34" s="11">
        <f t="shared" si="117"/>
        <v>0</v>
      </c>
      <c r="TZ34" s="11">
        <f t="shared" si="117"/>
        <v>0</v>
      </c>
      <c r="UA34" s="11">
        <f t="shared" si="117"/>
        <v>0</v>
      </c>
      <c r="UB34" s="11">
        <f t="shared" si="117"/>
        <v>0</v>
      </c>
      <c r="UC34" s="11">
        <f t="shared" si="117"/>
        <v>0</v>
      </c>
      <c r="UD34" s="11">
        <f t="shared" si="117"/>
        <v>0</v>
      </c>
      <c r="UE34" s="11">
        <f t="shared" si="117"/>
        <v>0</v>
      </c>
      <c r="UF34" s="11">
        <f t="shared" si="117"/>
        <v>0</v>
      </c>
      <c r="UG34" s="11">
        <f t="shared" si="117"/>
        <v>0</v>
      </c>
      <c r="UH34" s="11">
        <f t="shared" si="117"/>
        <v>0</v>
      </c>
      <c r="UI34" s="11">
        <f t="shared" si="117"/>
        <v>0</v>
      </c>
      <c r="UJ34" s="11">
        <f t="shared" si="117"/>
        <v>0</v>
      </c>
      <c r="UK34" s="11">
        <f t="shared" si="117"/>
        <v>0</v>
      </c>
      <c r="UL34" s="11">
        <f t="shared" si="117"/>
        <v>0</v>
      </c>
      <c r="UM34" s="11">
        <f t="shared" si="117"/>
        <v>0</v>
      </c>
      <c r="UN34" s="11">
        <f t="shared" si="117"/>
        <v>0</v>
      </c>
      <c r="UO34" s="11">
        <f t="shared" si="117"/>
        <v>0</v>
      </c>
      <c r="UP34" s="11">
        <f t="shared" si="117"/>
        <v>0</v>
      </c>
      <c r="UQ34" s="11">
        <f t="shared" si="117"/>
        <v>0</v>
      </c>
      <c r="UR34" s="11">
        <f t="shared" si="117"/>
        <v>0</v>
      </c>
      <c r="US34" s="11">
        <f t="shared" si="117"/>
        <v>0</v>
      </c>
      <c r="UT34" s="11">
        <f t="shared" si="117"/>
        <v>0</v>
      </c>
      <c r="UU34" s="11">
        <f t="shared" si="117"/>
        <v>0</v>
      </c>
      <c r="UV34" s="11">
        <f t="shared" si="117"/>
        <v>0</v>
      </c>
      <c r="UW34" s="11">
        <f t="shared" si="117"/>
        <v>0</v>
      </c>
      <c r="UX34" s="11">
        <f t="shared" si="117"/>
        <v>0</v>
      </c>
      <c r="UY34" s="11">
        <f t="shared" si="117"/>
        <v>0</v>
      </c>
      <c r="UZ34" s="11">
        <f t="shared" si="117"/>
        <v>0</v>
      </c>
      <c r="VA34" s="11">
        <f t="shared" si="117"/>
        <v>0</v>
      </c>
      <c r="VB34" s="11">
        <f t="shared" si="117"/>
        <v>0</v>
      </c>
      <c r="VC34" s="11">
        <f t="shared" si="117"/>
        <v>0</v>
      </c>
      <c r="VD34" s="11">
        <f t="shared" si="117"/>
        <v>0</v>
      </c>
      <c r="VE34" s="11">
        <f t="shared" si="117"/>
        <v>0</v>
      </c>
      <c r="VF34" s="11">
        <f t="shared" si="117"/>
        <v>0</v>
      </c>
      <c r="VG34" s="11">
        <f t="shared" si="117"/>
        <v>0</v>
      </c>
      <c r="VH34" s="11">
        <f t="shared" si="117"/>
        <v>0</v>
      </c>
      <c r="VI34" s="11">
        <f t="shared" si="117"/>
        <v>0</v>
      </c>
      <c r="VJ34" s="11">
        <f t="shared" si="117"/>
        <v>0</v>
      </c>
      <c r="VK34" s="11">
        <f t="shared" si="117"/>
        <v>0</v>
      </c>
      <c r="VL34" s="11">
        <f t="shared" ref="VL34:XW34" si="118">IF(VL24="Sáb",VK34,IF(VL24="Dom",VK34,IF(VL24="Fer",VK34,VL29)))</f>
        <v>0</v>
      </c>
      <c r="VM34" s="11">
        <f t="shared" si="118"/>
        <v>0</v>
      </c>
      <c r="VN34" s="11">
        <f t="shared" si="118"/>
        <v>0</v>
      </c>
      <c r="VO34" s="11">
        <f t="shared" si="118"/>
        <v>0</v>
      </c>
      <c r="VP34" s="11">
        <f t="shared" si="118"/>
        <v>0</v>
      </c>
      <c r="VQ34" s="11">
        <f t="shared" si="118"/>
        <v>0</v>
      </c>
      <c r="VR34" s="11">
        <f t="shared" si="118"/>
        <v>0</v>
      </c>
      <c r="VS34" s="11">
        <f t="shared" si="118"/>
        <v>0</v>
      </c>
      <c r="VT34" s="11">
        <f t="shared" si="118"/>
        <v>0</v>
      </c>
      <c r="VU34" s="11">
        <f t="shared" si="118"/>
        <v>0</v>
      </c>
      <c r="VV34" s="11">
        <f t="shared" si="118"/>
        <v>0</v>
      </c>
      <c r="VW34" s="11">
        <f t="shared" si="118"/>
        <v>0</v>
      </c>
      <c r="VX34" s="11">
        <f t="shared" si="118"/>
        <v>0</v>
      </c>
      <c r="VY34" s="11">
        <f t="shared" si="118"/>
        <v>0</v>
      </c>
      <c r="VZ34" s="11">
        <f t="shared" si="118"/>
        <v>0</v>
      </c>
      <c r="WA34" s="11">
        <f t="shared" si="118"/>
        <v>0</v>
      </c>
      <c r="WB34" s="11">
        <f t="shared" si="118"/>
        <v>0</v>
      </c>
      <c r="WC34" s="11">
        <f t="shared" si="118"/>
        <v>0</v>
      </c>
      <c r="WD34" s="11">
        <f t="shared" si="118"/>
        <v>0</v>
      </c>
      <c r="WE34" s="11">
        <f t="shared" si="118"/>
        <v>0</v>
      </c>
      <c r="WF34" s="11">
        <f t="shared" si="118"/>
        <v>0</v>
      </c>
      <c r="WG34" s="11">
        <f t="shared" si="118"/>
        <v>0</v>
      </c>
      <c r="WH34" s="11">
        <f t="shared" si="118"/>
        <v>0</v>
      </c>
      <c r="WI34" s="11">
        <f t="shared" si="118"/>
        <v>0</v>
      </c>
      <c r="WJ34" s="11">
        <f t="shared" si="118"/>
        <v>0</v>
      </c>
      <c r="WK34" s="11">
        <f t="shared" si="118"/>
        <v>0</v>
      </c>
      <c r="WL34" s="11">
        <f t="shared" si="118"/>
        <v>0</v>
      </c>
      <c r="WM34" s="11">
        <f t="shared" si="118"/>
        <v>0</v>
      </c>
      <c r="WN34" s="11">
        <f t="shared" si="118"/>
        <v>0</v>
      </c>
      <c r="WO34" s="11">
        <f t="shared" si="118"/>
        <v>0</v>
      </c>
      <c r="WP34" s="11">
        <f t="shared" si="118"/>
        <v>0</v>
      </c>
      <c r="WQ34" s="11">
        <f t="shared" si="118"/>
        <v>0</v>
      </c>
      <c r="WR34" s="11">
        <f t="shared" si="118"/>
        <v>0</v>
      </c>
      <c r="WS34" s="11">
        <f t="shared" si="118"/>
        <v>0</v>
      </c>
      <c r="WT34" s="11">
        <f t="shared" si="118"/>
        <v>0</v>
      </c>
      <c r="WU34" s="11">
        <f t="shared" si="118"/>
        <v>0</v>
      </c>
      <c r="WV34" s="11">
        <f t="shared" si="118"/>
        <v>0</v>
      </c>
      <c r="WW34" s="11">
        <f t="shared" si="118"/>
        <v>0</v>
      </c>
      <c r="WX34" s="11">
        <f t="shared" si="118"/>
        <v>0</v>
      </c>
      <c r="WY34" s="11">
        <f t="shared" si="118"/>
        <v>0</v>
      </c>
      <c r="WZ34" s="11">
        <f t="shared" si="118"/>
        <v>0</v>
      </c>
      <c r="XA34" s="11">
        <f t="shared" si="118"/>
        <v>0</v>
      </c>
      <c r="XB34" s="11">
        <f t="shared" si="118"/>
        <v>0</v>
      </c>
      <c r="XC34" s="11">
        <f t="shared" si="118"/>
        <v>0</v>
      </c>
      <c r="XD34" s="11">
        <f t="shared" si="118"/>
        <v>0</v>
      </c>
      <c r="XE34" s="11">
        <f t="shared" si="118"/>
        <v>0</v>
      </c>
      <c r="XF34" s="11">
        <f t="shared" si="118"/>
        <v>0</v>
      </c>
      <c r="XG34" s="11">
        <f t="shared" si="118"/>
        <v>0</v>
      </c>
      <c r="XH34" s="11">
        <f t="shared" si="118"/>
        <v>0</v>
      </c>
      <c r="XI34" s="11">
        <f t="shared" si="118"/>
        <v>0</v>
      </c>
      <c r="XJ34" s="11">
        <f t="shared" si="118"/>
        <v>0</v>
      </c>
      <c r="XK34" s="11">
        <f t="shared" si="118"/>
        <v>0</v>
      </c>
      <c r="XL34" s="11">
        <f t="shared" si="118"/>
        <v>0</v>
      </c>
      <c r="XM34" s="11">
        <f t="shared" si="118"/>
        <v>0</v>
      </c>
      <c r="XN34" s="11">
        <f t="shared" si="118"/>
        <v>0</v>
      </c>
      <c r="XO34" s="11">
        <f t="shared" si="118"/>
        <v>0</v>
      </c>
      <c r="XP34" s="11">
        <f t="shared" si="118"/>
        <v>0</v>
      </c>
      <c r="XQ34" s="11">
        <f t="shared" si="118"/>
        <v>0</v>
      </c>
      <c r="XR34" s="11">
        <f t="shared" si="118"/>
        <v>0</v>
      </c>
      <c r="XS34" s="11">
        <f t="shared" si="118"/>
        <v>0</v>
      </c>
      <c r="XT34" s="11">
        <f t="shared" si="118"/>
        <v>0</v>
      </c>
      <c r="XU34" s="11">
        <f t="shared" si="118"/>
        <v>0</v>
      </c>
      <c r="XV34" s="11">
        <f t="shared" si="118"/>
        <v>0</v>
      </c>
      <c r="XW34" s="11">
        <f t="shared" si="118"/>
        <v>0</v>
      </c>
      <c r="XX34" s="11">
        <f t="shared" ref="XX34:AAI34" si="119">IF(XX24="Sáb",XW34,IF(XX24="Dom",XW34,IF(XX24="Fer",XW34,XX29)))</f>
        <v>0</v>
      </c>
      <c r="XY34" s="11">
        <f t="shared" si="119"/>
        <v>0</v>
      </c>
      <c r="XZ34" s="11">
        <f t="shared" si="119"/>
        <v>0</v>
      </c>
      <c r="YA34" s="11">
        <f t="shared" si="119"/>
        <v>0</v>
      </c>
      <c r="YB34" s="11">
        <f t="shared" si="119"/>
        <v>0</v>
      </c>
      <c r="YC34" s="11">
        <f t="shared" si="119"/>
        <v>0</v>
      </c>
      <c r="YD34" s="11">
        <f t="shared" si="119"/>
        <v>0</v>
      </c>
      <c r="YE34" s="11">
        <f t="shared" si="119"/>
        <v>0</v>
      </c>
      <c r="YF34" s="11">
        <f t="shared" si="119"/>
        <v>0</v>
      </c>
      <c r="YG34" s="11">
        <f t="shared" si="119"/>
        <v>0</v>
      </c>
      <c r="YH34" s="11">
        <f t="shared" si="119"/>
        <v>0</v>
      </c>
      <c r="YI34" s="11">
        <f t="shared" si="119"/>
        <v>0</v>
      </c>
      <c r="YJ34" s="11">
        <f t="shared" si="119"/>
        <v>0</v>
      </c>
      <c r="YK34" s="11">
        <f t="shared" si="119"/>
        <v>0</v>
      </c>
      <c r="YL34" s="11">
        <f t="shared" si="119"/>
        <v>0</v>
      </c>
      <c r="YM34" s="11">
        <f t="shared" si="119"/>
        <v>0</v>
      </c>
      <c r="YN34" s="11">
        <f t="shared" si="119"/>
        <v>0</v>
      </c>
      <c r="YO34" s="11">
        <f t="shared" si="119"/>
        <v>0</v>
      </c>
      <c r="YP34" s="11">
        <f t="shared" si="119"/>
        <v>0</v>
      </c>
      <c r="YQ34" s="11">
        <f t="shared" si="119"/>
        <v>0</v>
      </c>
      <c r="YR34" s="11">
        <f t="shared" si="119"/>
        <v>0</v>
      </c>
      <c r="YS34" s="11">
        <f t="shared" si="119"/>
        <v>0</v>
      </c>
      <c r="YT34" s="11">
        <f t="shared" si="119"/>
        <v>0</v>
      </c>
      <c r="YU34" s="11">
        <f t="shared" si="119"/>
        <v>0</v>
      </c>
      <c r="YV34" s="11">
        <f t="shared" si="119"/>
        <v>0</v>
      </c>
      <c r="YW34" s="11">
        <f t="shared" si="119"/>
        <v>0</v>
      </c>
      <c r="YX34" s="11">
        <f t="shared" si="119"/>
        <v>0</v>
      </c>
      <c r="YY34" s="11">
        <f t="shared" si="119"/>
        <v>0</v>
      </c>
      <c r="YZ34" s="11">
        <f t="shared" si="119"/>
        <v>0</v>
      </c>
      <c r="ZA34" s="11">
        <f t="shared" si="119"/>
        <v>0</v>
      </c>
      <c r="ZB34" s="11">
        <f t="shared" si="119"/>
        <v>0</v>
      </c>
      <c r="ZC34" s="11">
        <f t="shared" si="119"/>
        <v>0</v>
      </c>
      <c r="ZD34" s="11">
        <f t="shared" si="119"/>
        <v>0</v>
      </c>
      <c r="ZE34" s="11">
        <f t="shared" si="119"/>
        <v>0</v>
      </c>
      <c r="ZF34" s="11">
        <f t="shared" si="119"/>
        <v>0</v>
      </c>
      <c r="ZG34" s="11">
        <f t="shared" si="119"/>
        <v>0</v>
      </c>
      <c r="ZH34" s="11">
        <f t="shared" si="119"/>
        <v>0</v>
      </c>
      <c r="ZI34" s="11">
        <f t="shared" si="119"/>
        <v>0</v>
      </c>
      <c r="ZJ34" s="11">
        <f t="shared" si="119"/>
        <v>0</v>
      </c>
      <c r="ZK34" s="11">
        <f t="shared" si="119"/>
        <v>0</v>
      </c>
      <c r="ZL34" s="11">
        <f t="shared" si="119"/>
        <v>0</v>
      </c>
      <c r="ZM34" s="11">
        <f t="shared" si="119"/>
        <v>0</v>
      </c>
      <c r="ZN34" s="11">
        <f t="shared" si="119"/>
        <v>0</v>
      </c>
      <c r="ZO34" s="11">
        <f t="shared" si="119"/>
        <v>0</v>
      </c>
      <c r="ZP34" s="11">
        <f t="shared" si="119"/>
        <v>0</v>
      </c>
      <c r="ZQ34" s="11">
        <f t="shared" si="119"/>
        <v>0</v>
      </c>
      <c r="ZR34" s="11">
        <f t="shared" si="119"/>
        <v>0</v>
      </c>
      <c r="ZS34" s="11">
        <f t="shared" si="119"/>
        <v>0</v>
      </c>
      <c r="ZT34" s="11">
        <f t="shared" si="119"/>
        <v>0</v>
      </c>
      <c r="ZU34" s="11">
        <f t="shared" si="119"/>
        <v>0</v>
      </c>
      <c r="ZV34" s="11">
        <f t="shared" si="119"/>
        <v>0</v>
      </c>
      <c r="ZW34" s="11">
        <f t="shared" si="119"/>
        <v>0</v>
      </c>
      <c r="ZX34" s="11">
        <f t="shared" si="119"/>
        <v>0</v>
      </c>
      <c r="ZY34" s="11">
        <f t="shared" si="119"/>
        <v>0</v>
      </c>
      <c r="ZZ34" s="11">
        <f t="shared" si="119"/>
        <v>0</v>
      </c>
      <c r="AAA34" s="11">
        <f t="shared" si="119"/>
        <v>0</v>
      </c>
      <c r="AAB34" s="11">
        <f t="shared" si="119"/>
        <v>0</v>
      </c>
      <c r="AAC34" s="11">
        <f t="shared" si="119"/>
        <v>0</v>
      </c>
      <c r="AAD34" s="11">
        <f t="shared" si="119"/>
        <v>0</v>
      </c>
      <c r="AAE34" s="11">
        <f t="shared" si="119"/>
        <v>0</v>
      </c>
      <c r="AAF34" s="11">
        <f t="shared" si="119"/>
        <v>0</v>
      </c>
      <c r="AAG34" s="11">
        <f t="shared" si="119"/>
        <v>0</v>
      </c>
      <c r="AAH34" s="11">
        <f t="shared" si="119"/>
        <v>0</v>
      </c>
      <c r="AAI34" s="11">
        <f t="shared" si="119"/>
        <v>0</v>
      </c>
      <c r="AAJ34" s="11">
        <f t="shared" ref="AAJ34:ABI34" si="120">IF(AAJ24="Sáb",AAI34,IF(AAJ24="Dom",AAI34,IF(AAJ24="Fer",AAI34,AAJ29)))</f>
        <v>0</v>
      </c>
      <c r="AAK34" s="11">
        <f t="shared" si="120"/>
        <v>0</v>
      </c>
      <c r="AAL34" s="11">
        <f t="shared" si="120"/>
        <v>0</v>
      </c>
      <c r="AAM34" s="11">
        <f t="shared" si="120"/>
        <v>0</v>
      </c>
      <c r="AAN34" s="11">
        <f t="shared" si="120"/>
        <v>0</v>
      </c>
      <c r="AAO34" s="11">
        <f t="shared" si="120"/>
        <v>0</v>
      </c>
      <c r="AAP34" s="11">
        <f t="shared" si="120"/>
        <v>0</v>
      </c>
      <c r="AAQ34" s="11">
        <f t="shared" si="120"/>
        <v>0</v>
      </c>
      <c r="AAR34" s="11">
        <f t="shared" si="120"/>
        <v>0</v>
      </c>
      <c r="AAS34" s="11">
        <f t="shared" si="120"/>
        <v>0</v>
      </c>
      <c r="AAT34" s="11">
        <f t="shared" si="120"/>
        <v>0</v>
      </c>
      <c r="AAU34" s="11">
        <f t="shared" si="120"/>
        <v>0</v>
      </c>
      <c r="AAV34" s="11">
        <f t="shared" si="120"/>
        <v>0</v>
      </c>
      <c r="AAW34" s="11">
        <f t="shared" si="120"/>
        <v>0</v>
      </c>
      <c r="AAX34" s="11">
        <f t="shared" si="120"/>
        <v>0</v>
      </c>
      <c r="AAY34" s="11">
        <f t="shared" si="120"/>
        <v>0</v>
      </c>
      <c r="AAZ34" s="11">
        <f t="shared" si="120"/>
        <v>0</v>
      </c>
      <c r="ABA34" s="11">
        <f t="shared" si="120"/>
        <v>0</v>
      </c>
      <c r="ABB34" s="11">
        <f t="shared" si="120"/>
        <v>0</v>
      </c>
      <c r="ABC34" s="11">
        <f t="shared" si="120"/>
        <v>0</v>
      </c>
      <c r="ABD34" s="11">
        <f t="shared" si="120"/>
        <v>0</v>
      </c>
      <c r="ABE34" s="11">
        <f t="shared" si="120"/>
        <v>0</v>
      </c>
      <c r="ABF34" s="11">
        <f t="shared" si="120"/>
        <v>0</v>
      </c>
      <c r="ABG34" s="11">
        <f t="shared" si="120"/>
        <v>0</v>
      </c>
      <c r="ABH34" s="11">
        <f t="shared" si="120"/>
        <v>0</v>
      </c>
      <c r="ABI34" s="11">
        <f t="shared" si="120"/>
        <v>0</v>
      </c>
    </row>
    <row r="35" spans="2:737" ht="12.95" customHeight="1" x14ac:dyDescent="0.25">
      <c r="C35" s="17"/>
      <c r="D35" s="14">
        <f t="shared" si="72"/>
        <v>6149</v>
      </c>
      <c r="E35" s="11" t="s">
        <v>11</v>
      </c>
      <c r="F35" s="11">
        <f>F30</f>
        <v>16</v>
      </c>
      <c r="G35" s="11">
        <f>IF(G24="Sáb",F35,IF(G24="Dom",F35,IF(G24="Fer",F35,G30)))</f>
        <v>16</v>
      </c>
      <c r="H35" s="11">
        <f t="shared" ref="H35:BS35" si="121">IF(H24="Sáb",G35,IF(H24="Dom",G35,IF(H24="Fer",G35,H30)))</f>
        <v>16</v>
      </c>
      <c r="I35" s="11">
        <f t="shared" si="121"/>
        <v>16</v>
      </c>
      <c r="J35" s="11">
        <f t="shared" si="121"/>
        <v>16</v>
      </c>
      <c r="K35" s="11">
        <f t="shared" si="121"/>
        <v>16</v>
      </c>
      <c r="L35" s="11">
        <f t="shared" si="121"/>
        <v>16</v>
      </c>
      <c r="M35" s="11">
        <f t="shared" si="121"/>
        <v>16</v>
      </c>
      <c r="N35" s="11">
        <f t="shared" si="121"/>
        <v>16</v>
      </c>
      <c r="O35" s="11">
        <f t="shared" si="121"/>
        <v>16</v>
      </c>
      <c r="P35" s="11">
        <f t="shared" si="121"/>
        <v>16</v>
      </c>
      <c r="Q35" s="11">
        <f t="shared" si="121"/>
        <v>16</v>
      </c>
      <c r="R35" s="11">
        <f t="shared" si="121"/>
        <v>16</v>
      </c>
      <c r="S35" s="11">
        <f t="shared" si="121"/>
        <v>16</v>
      </c>
      <c r="T35" s="11">
        <f t="shared" si="121"/>
        <v>16</v>
      </c>
      <c r="U35" s="11">
        <f t="shared" si="121"/>
        <v>16</v>
      </c>
      <c r="V35" s="11">
        <f t="shared" si="121"/>
        <v>16</v>
      </c>
      <c r="W35" s="11">
        <f t="shared" si="121"/>
        <v>16</v>
      </c>
      <c r="X35" s="11">
        <f t="shared" si="121"/>
        <v>16</v>
      </c>
      <c r="Y35" s="11">
        <f t="shared" si="121"/>
        <v>16</v>
      </c>
      <c r="Z35" s="11">
        <f t="shared" si="121"/>
        <v>16</v>
      </c>
      <c r="AA35" s="11">
        <f t="shared" si="121"/>
        <v>16</v>
      </c>
      <c r="AB35" s="11">
        <f t="shared" si="121"/>
        <v>16</v>
      </c>
      <c r="AC35" s="11">
        <f t="shared" si="121"/>
        <v>16</v>
      </c>
      <c r="AD35" s="11">
        <f t="shared" si="121"/>
        <v>16</v>
      </c>
      <c r="AE35" s="11">
        <f t="shared" si="121"/>
        <v>16</v>
      </c>
      <c r="AF35" s="11">
        <f t="shared" si="121"/>
        <v>16</v>
      </c>
      <c r="AG35" s="11">
        <f t="shared" si="121"/>
        <v>16</v>
      </c>
      <c r="AH35" s="11">
        <f t="shared" si="121"/>
        <v>22</v>
      </c>
      <c r="AI35" s="11">
        <f t="shared" si="121"/>
        <v>22</v>
      </c>
      <c r="AJ35" s="11">
        <f t="shared" si="121"/>
        <v>22</v>
      </c>
      <c r="AK35" s="11">
        <f t="shared" si="121"/>
        <v>22</v>
      </c>
      <c r="AL35" s="11">
        <f t="shared" si="121"/>
        <v>22</v>
      </c>
      <c r="AM35" s="11">
        <f t="shared" si="121"/>
        <v>22</v>
      </c>
      <c r="AN35" s="11">
        <f t="shared" si="121"/>
        <v>22</v>
      </c>
      <c r="AO35" s="11">
        <f t="shared" si="121"/>
        <v>22</v>
      </c>
      <c r="AP35" s="11">
        <f t="shared" si="121"/>
        <v>22</v>
      </c>
      <c r="AQ35" s="11">
        <f t="shared" si="121"/>
        <v>22</v>
      </c>
      <c r="AR35" s="11">
        <f t="shared" si="121"/>
        <v>22</v>
      </c>
      <c r="AS35" s="11">
        <f t="shared" si="121"/>
        <v>22</v>
      </c>
      <c r="AT35" s="11">
        <f t="shared" si="121"/>
        <v>22</v>
      </c>
      <c r="AU35" s="11">
        <f t="shared" si="121"/>
        <v>22</v>
      </c>
      <c r="AV35" s="11">
        <f t="shared" si="121"/>
        <v>22</v>
      </c>
      <c r="AW35" s="11">
        <f t="shared" si="121"/>
        <v>22</v>
      </c>
      <c r="AX35" s="11">
        <f t="shared" si="121"/>
        <v>22</v>
      </c>
      <c r="AY35" s="11">
        <f t="shared" si="121"/>
        <v>22</v>
      </c>
      <c r="AZ35" s="11">
        <f t="shared" si="121"/>
        <v>22</v>
      </c>
      <c r="BA35" s="11">
        <f t="shared" si="121"/>
        <v>22</v>
      </c>
      <c r="BB35" s="11">
        <f t="shared" si="121"/>
        <v>22</v>
      </c>
      <c r="BC35" s="11">
        <f t="shared" si="121"/>
        <v>52</v>
      </c>
      <c r="BD35" s="11">
        <f t="shared" si="121"/>
        <v>52</v>
      </c>
      <c r="BE35" s="11">
        <f t="shared" si="121"/>
        <v>52</v>
      </c>
      <c r="BF35" s="11">
        <f t="shared" si="121"/>
        <v>52</v>
      </c>
      <c r="BG35" s="11">
        <f t="shared" si="121"/>
        <v>52</v>
      </c>
      <c r="BH35" s="11">
        <f t="shared" si="121"/>
        <v>52</v>
      </c>
      <c r="BI35" s="11">
        <f t="shared" si="121"/>
        <v>52</v>
      </c>
      <c r="BJ35" s="11">
        <f t="shared" si="121"/>
        <v>52</v>
      </c>
      <c r="BK35" s="11">
        <f t="shared" si="121"/>
        <v>52</v>
      </c>
      <c r="BL35" s="11">
        <f t="shared" si="121"/>
        <v>52</v>
      </c>
      <c r="BM35" s="11">
        <f t="shared" si="121"/>
        <v>52</v>
      </c>
      <c r="BN35" s="11">
        <f t="shared" si="121"/>
        <v>52</v>
      </c>
      <c r="BO35" s="11">
        <f t="shared" si="121"/>
        <v>52</v>
      </c>
      <c r="BP35" s="11">
        <f t="shared" si="121"/>
        <v>52</v>
      </c>
      <c r="BQ35" s="11">
        <f t="shared" si="121"/>
        <v>52</v>
      </c>
      <c r="BR35" s="11">
        <f t="shared" si="121"/>
        <v>52</v>
      </c>
      <c r="BS35" s="11">
        <f t="shared" si="121"/>
        <v>52</v>
      </c>
      <c r="BT35" s="11">
        <f t="shared" ref="BT35:EE35" si="122">IF(BT24="Sáb",BS35,IF(BT24="Dom",BS35,IF(BT24="Fer",BS35,BT30)))</f>
        <v>52</v>
      </c>
      <c r="BU35" s="11">
        <f t="shared" si="122"/>
        <v>52</v>
      </c>
      <c r="BV35" s="11">
        <f t="shared" si="122"/>
        <v>52</v>
      </c>
      <c r="BW35" s="11">
        <f t="shared" si="122"/>
        <v>52</v>
      </c>
      <c r="BX35" s="11">
        <f t="shared" si="122"/>
        <v>52</v>
      </c>
      <c r="BY35" s="11">
        <f t="shared" si="122"/>
        <v>52</v>
      </c>
      <c r="BZ35" s="11">
        <f t="shared" si="122"/>
        <v>52</v>
      </c>
      <c r="CA35" s="11">
        <f t="shared" si="122"/>
        <v>52</v>
      </c>
      <c r="CB35" s="11">
        <f t="shared" si="122"/>
        <v>52</v>
      </c>
      <c r="CC35" s="11">
        <f t="shared" si="122"/>
        <v>52</v>
      </c>
      <c r="CD35" s="11">
        <f t="shared" si="122"/>
        <v>52</v>
      </c>
      <c r="CE35" s="11">
        <f t="shared" si="122"/>
        <v>52</v>
      </c>
      <c r="CF35" s="11">
        <f t="shared" si="122"/>
        <v>52</v>
      </c>
      <c r="CG35" s="11">
        <f t="shared" si="122"/>
        <v>52</v>
      </c>
      <c r="CH35" s="11">
        <f t="shared" si="122"/>
        <v>52</v>
      </c>
      <c r="CI35" s="11">
        <f t="shared" si="122"/>
        <v>52</v>
      </c>
      <c r="CJ35" s="11">
        <f t="shared" si="122"/>
        <v>52</v>
      </c>
      <c r="CK35" s="11">
        <f t="shared" si="122"/>
        <v>52</v>
      </c>
      <c r="CL35" s="11">
        <f t="shared" si="122"/>
        <v>52</v>
      </c>
      <c r="CM35" s="11">
        <f t="shared" si="122"/>
        <v>52</v>
      </c>
      <c r="CN35" s="11">
        <f t="shared" si="122"/>
        <v>52</v>
      </c>
      <c r="CO35" s="11">
        <f t="shared" si="122"/>
        <v>52</v>
      </c>
      <c r="CP35" s="11">
        <f t="shared" si="122"/>
        <v>52</v>
      </c>
      <c r="CQ35" s="11">
        <f t="shared" si="122"/>
        <v>52</v>
      </c>
      <c r="CR35" s="11">
        <f t="shared" si="122"/>
        <v>52</v>
      </c>
      <c r="CS35" s="11">
        <f t="shared" si="122"/>
        <v>59</v>
      </c>
      <c r="CT35" s="11">
        <f t="shared" si="122"/>
        <v>59</v>
      </c>
      <c r="CU35" s="11">
        <f t="shared" si="122"/>
        <v>59</v>
      </c>
      <c r="CV35" s="11">
        <f t="shared" si="122"/>
        <v>59</v>
      </c>
      <c r="CW35" s="11">
        <f t="shared" si="122"/>
        <v>59</v>
      </c>
      <c r="CX35" s="11">
        <f t="shared" si="122"/>
        <v>59</v>
      </c>
      <c r="CY35" s="11">
        <f t="shared" si="122"/>
        <v>59</v>
      </c>
      <c r="CZ35" s="11">
        <f t="shared" si="122"/>
        <v>59</v>
      </c>
      <c r="DA35" s="11">
        <f t="shared" si="122"/>
        <v>59</v>
      </c>
      <c r="DB35" s="11">
        <f t="shared" si="122"/>
        <v>59</v>
      </c>
      <c r="DC35" s="11">
        <f t="shared" si="122"/>
        <v>59</v>
      </c>
      <c r="DD35" s="11">
        <f t="shared" si="122"/>
        <v>59</v>
      </c>
      <c r="DE35" s="11">
        <f t="shared" si="122"/>
        <v>59</v>
      </c>
      <c r="DF35" s="11">
        <f t="shared" si="122"/>
        <v>59</v>
      </c>
      <c r="DG35" s="11">
        <f t="shared" si="122"/>
        <v>54</v>
      </c>
      <c r="DH35" s="11">
        <f t="shared" si="122"/>
        <v>54</v>
      </c>
      <c r="DI35" s="11">
        <f t="shared" si="122"/>
        <v>54</v>
      </c>
      <c r="DJ35" s="11">
        <f t="shared" si="122"/>
        <v>54</v>
      </c>
      <c r="DK35" s="11">
        <f t="shared" si="122"/>
        <v>54</v>
      </c>
      <c r="DL35" s="11">
        <f t="shared" si="122"/>
        <v>54</v>
      </c>
      <c r="DM35" s="11">
        <f t="shared" si="122"/>
        <v>54</v>
      </c>
      <c r="DN35" s="11">
        <f t="shared" si="122"/>
        <v>54</v>
      </c>
      <c r="DO35" s="11">
        <f t="shared" si="122"/>
        <v>54</v>
      </c>
      <c r="DP35" s="11">
        <f t="shared" si="122"/>
        <v>54</v>
      </c>
      <c r="DQ35" s="11">
        <f t="shared" si="122"/>
        <v>54</v>
      </c>
      <c r="DR35" s="11">
        <f t="shared" si="122"/>
        <v>54</v>
      </c>
      <c r="DS35" s="11">
        <f t="shared" si="122"/>
        <v>54</v>
      </c>
      <c r="DT35" s="11">
        <f t="shared" si="122"/>
        <v>54</v>
      </c>
      <c r="DU35" s="11">
        <f t="shared" si="122"/>
        <v>54</v>
      </c>
      <c r="DV35" s="11">
        <f t="shared" si="122"/>
        <v>54</v>
      </c>
      <c r="DW35" s="11">
        <f t="shared" si="122"/>
        <v>54</v>
      </c>
      <c r="DX35" s="11">
        <f t="shared" si="122"/>
        <v>54</v>
      </c>
      <c r="DY35" s="11">
        <f t="shared" si="122"/>
        <v>54</v>
      </c>
      <c r="DZ35" s="11">
        <f t="shared" si="122"/>
        <v>54</v>
      </c>
      <c r="EA35" s="11">
        <f t="shared" si="122"/>
        <v>54</v>
      </c>
      <c r="EB35" s="11">
        <f t="shared" si="122"/>
        <v>54</v>
      </c>
      <c r="EC35" s="11">
        <f t="shared" si="122"/>
        <v>54</v>
      </c>
      <c r="ED35" s="11">
        <f t="shared" si="122"/>
        <v>54</v>
      </c>
      <c r="EE35" s="11">
        <f t="shared" si="122"/>
        <v>54</v>
      </c>
      <c r="EF35" s="11">
        <f t="shared" ref="EF35:EQ35" si="123">IF(EF24="Sáb",EE35,IF(EF24="Dom",EE35,IF(EF24="Fer",EE35,EF30)))</f>
        <v>54</v>
      </c>
      <c r="EG35" s="11">
        <f t="shared" si="123"/>
        <v>54</v>
      </c>
      <c r="EH35" s="11">
        <f t="shared" si="123"/>
        <v>54</v>
      </c>
      <c r="EI35" s="11">
        <f t="shared" si="123"/>
        <v>54</v>
      </c>
      <c r="EJ35" s="11">
        <f t="shared" si="123"/>
        <v>54</v>
      </c>
      <c r="EK35" s="11">
        <f t="shared" si="123"/>
        <v>54</v>
      </c>
      <c r="EL35" s="11">
        <f t="shared" si="123"/>
        <v>54</v>
      </c>
      <c r="EM35" s="11">
        <f t="shared" si="123"/>
        <v>54</v>
      </c>
      <c r="EN35" s="11">
        <f t="shared" si="123"/>
        <v>54</v>
      </c>
      <c r="EO35" s="11">
        <f t="shared" si="123"/>
        <v>54</v>
      </c>
      <c r="EP35" s="11">
        <f t="shared" si="123"/>
        <v>54</v>
      </c>
      <c r="EQ35" s="11">
        <f t="shared" si="123"/>
        <v>54</v>
      </c>
      <c r="ER35" s="11">
        <f t="shared" ref="ER35:HC35" si="124">IF(ER24="Sáb",EQ35,IF(ER24="Dom",EQ35,IF(ER24="Fer",EQ35,ER30)))-ER37</f>
        <v>37</v>
      </c>
      <c r="ES35" s="11">
        <f t="shared" si="124"/>
        <v>37</v>
      </c>
      <c r="ET35" s="11">
        <f t="shared" si="124"/>
        <v>37</v>
      </c>
      <c r="EU35" s="11">
        <f t="shared" si="124"/>
        <v>20</v>
      </c>
      <c r="EV35" s="11">
        <f t="shared" si="124"/>
        <v>3</v>
      </c>
      <c r="EW35" s="11">
        <f t="shared" si="124"/>
        <v>13</v>
      </c>
      <c r="EX35" s="11">
        <f t="shared" si="124"/>
        <v>13</v>
      </c>
      <c r="EY35" s="11">
        <f t="shared" si="124"/>
        <v>13</v>
      </c>
      <c r="EZ35" s="11">
        <f t="shared" si="124"/>
        <v>13</v>
      </c>
      <c r="FA35" s="11">
        <f t="shared" si="124"/>
        <v>13</v>
      </c>
      <c r="FB35" s="11">
        <f t="shared" si="124"/>
        <v>-4</v>
      </c>
      <c r="FC35" s="11">
        <f t="shared" si="124"/>
        <v>-21</v>
      </c>
      <c r="FD35" s="11">
        <f t="shared" si="124"/>
        <v>11</v>
      </c>
      <c r="FE35" s="11">
        <f t="shared" si="124"/>
        <v>11</v>
      </c>
      <c r="FF35" s="11">
        <f t="shared" si="124"/>
        <v>11</v>
      </c>
      <c r="FG35" s="11">
        <f t="shared" si="124"/>
        <v>11</v>
      </c>
      <c r="FH35" s="11">
        <f t="shared" si="124"/>
        <v>11</v>
      </c>
      <c r="FI35" s="11">
        <f t="shared" si="124"/>
        <v>-6</v>
      </c>
      <c r="FJ35" s="11">
        <f t="shared" si="124"/>
        <v>-23</v>
      </c>
      <c r="FK35" s="11">
        <f t="shared" si="124"/>
        <v>-40</v>
      </c>
      <c r="FL35" s="11">
        <f t="shared" si="124"/>
        <v>10</v>
      </c>
      <c r="FM35" s="11">
        <f t="shared" si="124"/>
        <v>10</v>
      </c>
      <c r="FN35" s="11">
        <f t="shared" si="124"/>
        <v>10</v>
      </c>
      <c r="FO35" s="11">
        <f t="shared" si="124"/>
        <v>10</v>
      </c>
      <c r="FP35" s="11">
        <f t="shared" si="124"/>
        <v>-7</v>
      </c>
      <c r="FQ35" s="11">
        <f t="shared" si="124"/>
        <v>-24</v>
      </c>
      <c r="FR35" s="11">
        <f t="shared" si="124"/>
        <v>10</v>
      </c>
      <c r="FS35" s="11">
        <f t="shared" si="124"/>
        <v>10</v>
      </c>
      <c r="FT35" s="11">
        <f t="shared" si="124"/>
        <v>10</v>
      </c>
      <c r="FU35" s="11">
        <f t="shared" si="124"/>
        <v>10</v>
      </c>
      <c r="FV35" s="11">
        <f t="shared" si="124"/>
        <v>10</v>
      </c>
      <c r="FW35" s="11">
        <f t="shared" si="124"/>
        <v>-7</v>
      </c>
      <c r="FX35" s="11">
        <f t="shared" si="124"/>
        <v>-24</v>
      </c>
      <c r="FY35" s="11">
        <f t="shared" si="124"/>
        <v>10</v>
      </c>
      <c r="FZ35" s="11">
        <f t="shared" si="124"/>
        <v>10</v>
      </c>
      <c r="GA35" s="11">
        <f t="shared" si="124"/>
        <v>10</v>
      </c>
      <c r="GB35" s="11">
        <f t="shared" si="124"/>
        <v>10</v>
      </c>
      <c r="GC35" s="11">
        <f t="shared" si="124"/>
        <v>10</v>
      </c>
      <c r="GD35" s="11">
        <f t="shared" si="124"/>
        <v>-7</v>
      </c>
      <c r="GE35" s="11">
        <f t="shared" si="124"/>
        <v>0</v>
      </c>
      <c r="GF35" s="11">
        <f t="shared" si="124"/>
        <v>0</v>
      </c>
      <c r="GG35" s="11">
        <f t="shared" si="124"/>
        <v>0</v>
      </c>
      <c r="GH35" s="11">
        <f t="shared" si="124"/>
        <v>0</v>
      </c>
      <c r="GI35" s="11">
        <f t="shared" si="124"/>
        <v>0</v>
      </c>
      <c r="GJ35" s="11">
        <f t="shared" si="124"/>
        <v>0</v>
      </c>
      <c r="GK35" s="11">
        <f t="shared" si="124"/>
        <v>0</v>
      </c>
      <c r="GL35" s="11">
        <f t="shared" si="124"/>
        <v>0</v>
      </c>
      <c r="GM35" s="11">
        <f t="shared" si="124"/>
        <v>0</v>
      </c>
      <c r="GN35" s="11">
        <f t="shared" si="124"/>
        <v>0</v>
      </c>
      <c r="GO35" s="11">
        <f t="shared" si="124"/>
        <v>0</v>
      </c>
      <c r="GP35" s="11">
        <f t="shared" si="124"/>
        <v>0</v>
      </c>
      <c r="GQ35" s="11">
        <f t="shared" si="124"/>
        <v>0</v>
      </c>
      <c r="GR35" s="11">
        <f t="shared" si="124"/>
        <v>0</v>
      </c>
      <c r="GS35" s="11">
        <f t="shared" si="124"/>
        <v>0</v>
      </c>
      <c r="GT35" s="11">
        <f t="shared" si="124"/>
        <v>0</v>
      </c>
      <c r="GU35" s="11">
        <f t="shared" si="124"/>
        <v>0</v>
      </c>
      <c r="GV35" s="11">
        <f t="shared" si="124"/>
        <v>0</v>
      </c>
      <c r="GW35" s="11">
        <f t="shared" si="124"/>
        <v>0</v>
      </c>
      <c r="GX35" s="11">
        <f t="shared" si="124"/>
        <v>0</v>
      </c>
      <c r="GY35" s="11">
        <f t="shared" si="124"/>
        <v>0</v>
      </c>
      <c r="GZ35" s="11">
        <f t="shared" si="124"/>
        <v>0</v>
      </c>
      <c r="HA35" s="11">
        <f t="shared" si="124"/>
        <v>0</v>
      </c>
      <c r="HB35" s="11">
        <f t="shared" si="124"/>
        <v>0</v>
      </c>
      <c r="HC35" s="11">
        <f t="shared" si="124"/>
        <v>0</v>
      </c>
      <c r="HD35" s="11">
        <f t="shared" ref="HD35:JO35" si="125">IF(HD24="Sáb",HC35,IF(HD24="Dom",HC35,IF(HD24="Fer",HC35,HD30)))-HD37</f>
        <v>0</v>
      </c>
      <c r="HE35" s="11">
        <f t="shared" si="125"/>
        <v>0</v>
      </c>
      <c r="HF35" s="11">
        <f t="shared" si="125"/>
        <v>0</v>
      </c>
      <c r="HG35" s="11">
        <f t="shared" si="125"/>
        <v>0</v>
      </c>
      <c r="HH35" s="11">
        <f t="shared" si="125"/>
        <v>0</v>
      </c>
      <c r="HI35" s="11">
        <f t="shared" si="125"/>
        <v>0</v>
      </c>
      <c r="HJ35" s="11">
        <f t="shared" si="125"/>
        <v>0</v>
      </c>
      <c r="HK35" s="11">
        <f t="shared" si="125"/>
        <v>0</v>
      </c>
      <c r="HL35" s="11">
        <f t="shared" si="125"/>
        <v>0</v>
      </c>
      <c r="HM35" s="11">
        <f t="shared" si="125"/>
        <v>0</v>
      </c>
      <c r="HN35" s="11">
        <f t="shared" si="125"/>
        <v>0</v>
      </c>
      <c r="HO35" s="11">
        <f t="shared" si="125"/>
        <v>0</v>
      </c>
      <c r="HP35" s="11">
        <f t="shared" si="125"/>
        <v>0</v>
      </c>
      <c r="HQ35" s="11">
        <f t="shared" si="125"/>
        <v>0</v>
      </c>
      <c r="HR35" s="11">
        <f t="shared" si="125"/>
        <v>0</v>
      </c>
      <c r="HS35" s="11">
        <f t="shared" si="125"/>
        <v>0</v>
      </c>
      <c r="HT35" s="11">
        <f t="shared" si="125"/>
        <v>0</v>
      </c>
      <c r="HU35" s="11">
        <f t="shared" si="125"/>
        <v>0</v>
      </c>
      <c r="HV35" s="11">
        <f t="shared" si="125"/>
        <v>0</v>
      </c>
      <c r="HW35" s="11">
        <f t="shared" si="125"/>
        <v>0</v>
      </c>
      <c r="HX35" s="11">
        <f t="shared" si="125"/>
        <v>0</v>
      </c>
      <c r="HY35" s="11">
        <f t="shared" si="125"/>
        <v>0</v>
      </c>
      <c r="HZ35" s="11">
        <f t="shared" si="125"/>
        <v>0</v>
      </c>
      <c r="IA35" s="11">
        <f t="shared" si="125"/>
        <v>0</v>
      </c>
      <c r="IB35" s="11">
        <f t="shared" si="125"/>
        <v>0</v>
      </c>
      <c r="IC35" s="11">
        <f t="shared" si="125"/>
        <v>0</v>
      </c>
      <c r="ID35" s="11">
        <f t="shared" si="125"/>
        <v>0</v>
      </c>
      <c r="IE35" s="11">
        <f t="shared" si="125"/>
        <v>0</v>
      </c>
      <c r="IF35" s="11">
        <f t="shared" si="125"/>
        <v>0</v>
      </c>
      <c r="IG35" s="11">
        <f t="shared" si="125"/>
        <v>0</v>
      </c>
      <c r="IH35" s="11">
        <f t="shared" si="125"/>
        <v>0</v>
      </c>
      <c r="II35" s="11">
        <f t="shared" si="125"/>
        <v>0</v>
      </c>
      <c r="IJ35" s="11">
        <f t="shared" si="125"/>
        <v>0</v>
      </c>
      <c r="IK35" s="11">
        <f t="shared" si="125"/>
        <v>0</v>
      </c>
      <c r="IL35" s="11">
        <f t="shared" si="125"/>
        <v>0</v>
      </c>
      <c r="IM35" s="11">
        <f t="shared" si="125"/>
        <v>0</v>
      </c>
      <c r="IN35" s="11">
        <f t="shared" si="125"/>
        <v>0</v>
      </c>
      <c r="IO35" s="11">
        <f t="shared" si="125"/>
        <v>0</v>
      </c>
      <c r="IP35" s="11">
        <f t="shared" si="125"/>
        <v>0</v>
      </c>
      <c r="IQ35" s="11">
        <f t="shared" si="125"/>
        <v>0</v>
      </c>
      <c r="IR35" s="11">
        <f t="shared" si="125"/>
        <v>0</v>
      </c>
      <c r="IS35" s="11">
        <f t="shared" si="125"/>
        <v>0</v>
      </c>
      <c r="IT35" s="11">
        <f t="shared" si="125"/>
        <v>0</v>
      </c>
      <c r="IU35" s="11">
        <f t="shared" si="125"/>
        <v>0</v>
      </c>
      <c r="IV35" s="11">
        <f t="shared" si="125"/>
        <v>0</v>
      </c>
      <c r="IW35" s="11">
        <f t="shared" si="125"/>
        <v>0</v>
      </c>
      <c r="IX35" s="11">
        <f t="shared" si="125"/>
        <v>0</v>
      </c>
      <c r="IY35" s="11">
        <f t="shared" si="125"/>
        <v>0</v>
      </c>
      <c r="IZ35" s="11">
        <f t="shared" si="125"/>
        <v>0</v>
      </c>
      <c r="JA35" s="11">
        <f t="shared" si="125"/>
        <v>0</v>
      </c>
      <c r="JB35" s="11">
        <f t="shared" si="125"/>
        <v>0</v>
      </c>
      <c r="JC35" s="11">
        <f t="shared" si="125"/>
        <v>0</v>
      </c>
      <c r="JD35" s="11">
        <f t="shared" si="125"/>
        <v>0</v>
      </c>
      <c r="JE35" s="11">
        <f t="shared" si="125"/>
        <v>0</v>
      </c>
      <c r="JF35" s="11">
        <f t="shared" si="125"/>
        <v>0</v>
      </c>
      <c r="JG35" s="11">
        <f t="shared" si="125"/>
        <v>0</v>
      </c>
      <c r="JH35" s="11">
        <f t="shared" si="125"/>
        <v>0</v>
      </c>
      <c r="JI35" s="11">
        <f t="shared" si="125"/>
        <v>0</v>
      </c>
      <c r="JJ35" s="11">
        <f t="shared" si="125"/>
        <v>0</v>
      </c>
      <c r="JK35" s="11">
        <f t="shared" si="125"/>
        <v>0</v>
      </c>
      <c r="JL35" s="11">
        <f t="shared" si="125"/>
        <v>0</v>
      </c>
      <c r="JM35" s="11">
        <f t="shared" si="125"/>
        <v>0</v>
      </c>
      <c r="JN35" s="11">
        <f t="shared" si="125"/>
        <v>0</v>
      </c>
      <c r="JO35" s="11">
        <f t="shared" si="125"/>
        <v>0</v>
      </c>
      <c r="JP35" s="11">
        <f t="shared" ref="JP35:MA35" si="126">IF(JP24="Sáb",JO35,IF(JP24="Dom",JO35,IF(JP24="Fer",JO35,JP30)))-JP37</f>
        <v>0</v>
      </c>
      <c r="JQ35" s="11">
        <f t="shared" si="126"/>
        <v>0</v>
      </c>
      <c r="JR35" s="11">
        <f t="shared" si="126"/>
        <v>0</v>
      </c>
      <c r="JS35" s="11">
        <f t="shared" si="126"/>
        <v>0</v>
      </c>
      <c r="JT35" s="11">
        <f t="shared" si="126"/>
        <v>0</v>
      </c>
      <c r="JU35" s="11">
        <f t="shared" si="126"/>
        <v>0</v>
      </c>
      <c r="JV35" s="11">
        <f t="shared" si="126"/>
        <v>0</v>
      </c>
      <c r="JW35" s="11">
        <f t="shared" si="126"/>
        <v>0</v>
      </c>
      <c r="JX35" s="11">
        <f t="shared" si="126"/>
        <v>0</v>
      </c>
      <c r="JY35" s="11">
        <f t="shared" si="126"/>
        <v>0</v>
      </c>
      <c r="JZ35" s="11">
        <f t="shared" si="126"/>
        <v>0</v>
      </c>
      <c r="KA35" s="11">
        <f t="shared" si="126"/>
        <v>0</v>
      </c>
      <c r="KB35" s="11">
        <f t="shared" si="126"/>
        <v>0</v>
      </c>
      <c r="KC35" s="11">
        <f t="shared" si="126"/>
        <v>0</v>
      </c>
      <c r="KD35" s="11">
        <f t="shared" si="126"/>
        <v>0</v>
      </c>
      <c r="KE35" s="11">
        <f t="shared" si="126"/>
        <v>0</v>
      </c>
      <c r="KF35" s="11">
        <f t="shared" si="126"/>
        <v>0</v>
      </c>
      <c r="KG35" s="11">
        <f t="shared" si="126"/>
        <v>0</v>
      </c>
      <c r="KH35" s="11">
        <f t="shared" si="126"/>
        <v>0</v>
      </c>
      <c r="KI35" s="11">
        <f t="shared" si="126"/>
        <v>0</v>
      </c>
      <c r="KJ35" s="11">
        <f t="shared" si="126"/>
        <v>0</v>
      </c>
      <c r="KK35" s="11">
        <f t="shared" si="126"/>
        <v>0</v>
      </c>
      <c r="KL35" s="11">
        <f t="shared" si="126"/>
        <v>0</v>
      </c>
      <c r="KM35" s="11">
        <f t="shared" si="126"/>
        <v>0</v>
      </c>
      <c r="KN35" s="11">
        <f t="shared" si="126"/>
        <v>0</v>
      </c>
      <c r="KO35" s="11">
        <f t="shared" si="126"/>
        <v>0</v>
      </c>
      <c r="KP35" s="11">
        <f t="shared" si="126"/>
        <v>0</v>
      </c>
      <c r="KQ35" s="11">
        <f t="shared" si="126"/>
        <v>0</v>
      </c>
      <c r="KR35" s="11">
        <f t="shared" si="126"/>
        <v>0</v>
      </c>
      <c r="KS35" s="11">
        <f t="shared" si="126"/>
        <v>0</v>
      </c>
      <c r="KT35" s="11">
        <f t="shared" si="126"/>
        <v>0</v>
      </c>
      <c r="KU35" s="11">
        <f t="shared" si="126"/>
        <v>0</v>
      </c>
      <c r="KV35" s="11">
        <f t="shared" si="126"/>
        <v>0</v>
      </c>
      <c r="KW35" s="11">
        <f t="shared" si="126"/>
        <v>0</v>
      </c>
      <c r="KX35" s="11">
        <f t="shared" si="126"/>
        <v>0</v>
      </c>
      <c r="KY35" s="11">
        <f t="shared" si="126"/>
        <v>0</v>
      </c>
      <c r="KZ35" s="11">
        <f t="shared" si="126"/>
        <v>0</v>
      </c>
      <c r="LA35" s="11">
        <f t="shared" si="126"/>
        <v>0</v>
      </c>
      <c r="LB35" s="11">
        <f t="shared" si="126"/>
        <v>0</v>
      </c>
      <c r="LC35" s="11">
        <f t="shared" si="126"/>
        <v>0</v>
      </c>
      <c r="LD35" s="11">
        <f t="shared" si="126"/>
        <v>0</v>
      </c>
      <c r="LE35" s="11">
        <f t="shared" si="126"/>
        <v>0</v>
      </c>
      <c r="LF35" s="11">
        <f t="shared" si="126"/>
        <v>0</v>
      </c>
      <c r="LG35" s="11">
        <f t="shared" si="126"/>
        <v>0</v>
      </c>
      <c r="LH35" s="11">
        <f t="shared" si="126"/>
        <v>0</v>
      </c>
      <c r="LI35" s="11">
        <f t="shared" si="126"/>
        <v>0</v>
      </c>
      <c r="LJ35" s="11">
        <f t="shared" si="126"/>
        <v>0</v>
      </c>
      <c r="LK35" s="11">
        <f t="shared" si="126"/>
        <v>0</v>
      </c>
      <c r="LL35" s="11">
        <f t="shared" si="126"/>
        <v>0</v>
      </c>
      <c r="LM35" s="11">
        <f t="shared" si="126"/>
        <v>0</v>
      </c>
      <c r="LN35" s="11">
        <f t="shared" si="126"/>
        <v>0</v>
      </c>
      <c r="LO35" s="11">
        <f t="shared" si="126"/>
        <v>0</v>
      </c>
      <c r="LP35" s="11">
        <f t="shared" si="126"/>
        <v>0</v>
      </c>
      <c r="LQ35" s="11">
        <f t="shared" si="126"/>
        <v>0</v>
      </c>
      <c r="LR35" s="11">
        <f t="shared" si="126"/>
        <v>0</v>
      </c>
      <c r="LS35" s="11">
        <f t="shared" si="126"/>
        <v>0</v>
      </c>
      <c r="LT35" s="11">
        <f t="shared" si="126"/>
        <v>0</v>
      </c>
      <c r="LU35" s="11">
        <f t="shared" si="126"/>
        <v>0</v>
      </c>
      <c r="LV35" s="11">
        <f t="shared" si="126"/>
        <v>0</v>
      </c>
      <c r="LW35" s="11">
        <f t="shared" si="126"/>
        <v>0</v>
      </c>
      <c r="LX35" s="11">
        <f t="shared" si="126"/>
        <v>0</v>
      </c>
      <c r="LY35" s="11">
        <f t="shared" si="126"/>
        <v>0</v>
      </c>
      <c r="LZ35" s="11">
        <f t="shared" si="126"/>
        <v>0</v>
      </c>
      <c r="MA35" s="11">
        <f t="shared" si="126"/>
        <v>0</v>
      </c>
      <c r="MB35" s="11">
        <f t="shared" ref="MB35:OM35" si="127">IF(MB24="Sáb",MA35,IF(MB24="Dom",MA35,IF(MB24="Fer",MA35,MB30)))-MB37</f>
        <v>0</v>
      </c>
      <c r="MC35" s="11">
        <f t="shared" si="127"/>
        <v>0</v>
      </c>
      <c r="MD35" s="11">
        <f t="shared" si="127"/>
        <v>0</v>
      </c>
      <c r="ME35" s="11">
        <f t="shared" si="127"/>
        <v>0</v>
      </c>
      <c r="MF35" s="11">
        <f t="shared" si="127"/>
        <v>0</v>
      </c>
      <c r="MG35" s="11">
        <f t="shared" si="127"/>
        <v>0</v>
      </c>
      <c r="MH35" s="11">
        <f t="shared" si="127"/>
        <v>0</v>
      </c>
      <c r="MI35" s="11">
        <f t="shared" si="127"/>
        <v>0</v>
      </c>
      <c r="MJ35" s="11">
        <f t="shared" si="127"/>
        <v>0</v>
      </c>
      <c r="MK35" s="11">
        <f t="shared" si="127"/>
        <v>0</v>
      </c>
      <c r="ML35" s="11">
        <f t="shared" si="127"/>
        <v>0</v>
      </c>
      <c r="MM35" s="11">
        <f t="shared" si="127"/>
        <v>0</v>
      </c>
      <c r="MN35" s="11">
        <f t="shared" si="127"/>
        <v>0</v>
      </c>
      <c r="MO35" s="11">
        <f t="shared" si="127"/>
        <v>0</v>
      </c>
      <c r="MP35" s="11">
        <f t="shared" si="127"/>
        <v>0</v>
      </c>
      <c r="MQ35" s="11">
        <f t="shared" si="127"/>
        <v>0</v>
      </c>
      <c r="MR35" s="11">
        <f t="shared" si="127"/>
        <v>0</v>
      </c>
      <c r="MS35" s="11">
        <f t="shared" si="127"/>
        <v>0</v>
      </c>
      <c r="MT35" s="11">
        <f t="shared" si="127"/>
        <v>0</v>
      </c>
      <c r="MU35" s="11">
        <f t="shared" si="127"/>
        <v>0</v>
      </c>
      <c r="MV35" s="11">
        <f t="shared" si="127"/>
        <v>0</v>
      </c>
      <c r="MW35" s="11">
        <f t="shared" si="127"/>
        <v>0</v>
      </c>
      <c r="MX35" s="11">
        <f t="shared" si="127"/>
        <v>0</v>
      </c>
      <c r="MY35" s="11">
        <f t="shared" si="127"/>
        <v>0</v>
      </c>
      <c r="MZ35" s="11">
        <f t="shared" si="127"/>
        <v>0</v>
      </c>
      <c r="NA35" s="11">
        <f t="shared" si="127"/>
        <v>0</v>
      </c>
      <c r="NB35" s="11">
        <f t="shared" si="127"/>
        <v>0</v>
      </c>
      <c r="NC35" s="11">
        <f t="shared" si="127"/>
        <v>0</v>
      </c>
      <c r="ND35" s="11">
        <f t="shared" si="127"/>
        <v>0</v>
      </c>
      <c r="NE35" s="11">
        <f t="shared" si="127"/>
        <v>0</v>
      </c>
      <c r="NF35" s="11">
        <f t="shared" si="127"/>
        <v>0</v>
      </c>
      <c r="NG35" s="11">
        <f t="shared" si="127"/>
        <v>0</v>
      </c>
      <c r="NH35" s="11">
        <f t="shared" si="127"/>
        <v>0</v>
      </c>
      <c r="NI35" s="11">
        <f t="shared" si="127"/>
        <v>0</v>
      </c>
      <c r="NJ35" s="11">
        <f t="shared" si="127"/>
        <v>0</v>
      </c>
      <c r="NK35" s="11">
        <f t="shared" si="127"/>
        <v>0</v>
      </c>
      <c r="NL35" s="11">
        <f t="shared" si="127"/>
        <v>0</v>
      </c>
      <c r="NM35" s="11">
        <f t="shared" si="127"/>
        <v>0</v>
      </c>
      <c r="NN35" s="11">
        <f t="shared" si="127"/>
        <v>0</v>
      </c>
      <c r="NO35" s="11">
        <f t="shared" si="127"/>
        <v>0</v>
      </c>
      <c r="NP35" s="11">
        <f t="shared" si="127"/>
        <v>0</v>
      </c>
      <c r="NQ35" s="11">
        <f t="shared" si="127"/>
        <v>0</v>
      </c>
      <c r="NR35" s="11">
        <f t="shared" si="127"/>
        <v>0</v>
      </c>
      <c r="NS35" s="11">
        <f t="shared" si="127"/>
        <v>0</v>
      </c>
      <c r="NT35" s="11">
        <f t="shared" si="127"/>
        <v>0</v>
      </c>
      <c r="NU35" s="11">
        <f t="shared" si="127"/>
        <v>0</v>
      </c>
      <c r="NV35" s="11">
        <f t="shared" si="127"/>
        <v>0</v>
      </c>
      <c r="NW35" s="11">
        <f t="shared" si="127"/>
        <v>0</v>
      </c>
      <c r="NX35" s="11">
        <f t="shared" si="127"/>
        <v>0</v>
      </c>
      <c r="NY35" s="11">
        <f t="shared" si="127"/>
        <v>0</v>
      </c>
      <c r="NZ35" s="11">
        <f t="shared" si="127"/>
        <v>0</v>
      </c>
      <c r="OA35" s="11">
        <f t="shared" si="127"/>
        <v>0</v>
      </c>
      <c r="OB35" s="11">
        <f t="shared" si="127"/>
        <v>0</v>
      </c>
      <c r="OC35" s="11">
        <f t="shared" si="127"/>
        <v>0</v>
      </c>
      <c r="OD35" s="11">
        <f t="shared" si="127"/>
        <v>0</v>
      </c>
      <c r="OE35" s="11">
        <f t="shared" si="127"/>
        <v>0</v>
      </c>
      <c r="OF35" s="11">
        <f t="shared" si="127"/>
        <v>0</v>
      </c>
      <c r="OG35" s="11">
        <f t="shared" si="127"/>
        <v>0</v>
      </c>
      <c r="OH35" s="11">
        <f t="shared" si="127"/>
        <v>0</v>
      </c>
      <c r="OI35" s="11">
        <f t="shared" si="127"/>
        <v>0</v>
      </c>
      <c r="OJ35" s="11">
        <f t="shared" si="127"/>
        <v>0</v>
      </c>
      <c r="OK35" s="11">
        <f t="shared" si="127"/>
        <v>0</v>
      </c>
      <c r="OL35" s="11">
        <f t="shared" si="127"/>
        <v>0</v>
      </c>
      <c r="OM35" s="11">
        <f t="shared" si="127"/>
        <v>0</v>
      </c>
      <c r="ON35" s="11">
        <f t="shared" ref="ON35:QY35" si="128">IF(ON24="Sáb",OM35,IF(ON24="Dom",OM35,IF(ON24="Fer",OM35,ON30)))-ON37</f>
        <v>0</v>
      </c>
      <c r="OO35" s="11">
        <f t="shared" si="128"/>
        <v>0</v>
      </c>
      <c r="OP35" s="11">
        <f t="shared" si="128"/>
        <v>0</v>
      </c>
      <c r="OQ35" s="11">
        <f t="shared" si="128"/>
        <v>0</v>
      </c>
      <c r="OR35" s="11">
        <f t="shared" si="128"/>
        <v>0</v>
      </c>
      <c r="OS35" s="11">
        <f t="shared" si="128"/>
        <v>0</v>
      </c>
      <c r="OT35" s="11">
        <f t="shared" si="128"/>
        <v>0</v>
      </c>
      <c r="OU35" s="11">
        <f t="shared" si="128"/>
        <v>0</v>
      </c>
      <c r="OV35" s="11">
        <f t="shared" si="128"/>
        <v>0</v>
      </c>
      <c r="OW35" s="11">
        <f t="shared" si="128"/>
        <v>0</v>
      </c>
      <c r="OX35" s="11">
        <f t="shared" si="128"/>
        <v>0</v>
      </c>
      <c r="OY35" s="11">
        <f t="shared" si="128"/>
        <v>0</v>
      </c>
      <c r="OZ35" s="11">
        <f t="shared" si="128"/>
        <v>0</v>
      </c>
      <c r="PA35" s="11">
        <f t="shared" si="128"/>
        <v>0</v>
      </c>
      <c r="PB35" s="11">
        <f t="shared" si="128"/>
        <v>0</v>
      </c>
      <c r="PC35" s="11">
        <f t="shared" si="128"/>
        <v>0</v>
      </c>
      <c r="PD35" s="11">
        <f t="shared" si="128"/>
        <v>0</v>
      </c>
      <c r="PE35" s="11">
        <f t="shared" si="128"/>
        <v>0</v>
      </c>
      <c r="PF35" s="11">
        <f t="shared" si="128"/>
        <v>0</v>
      </c>
      <c r="PG35" s="11">
        <f t="shared" si="128"/>
        <v>0</v>
      </c>
      <c r="PH35" s="11">
        <f t="shared" si="128"/>
        <v>0</v>
      </c>
      <c r="PI35" s="11">
        <f t="shared" si="128"/>
        <v>0</v>
      </c>
      <c r="PJ35" s="11">
        <f t="shared" si="128"/>
        <v>0</v>
      </c>
      <c r="PK35" s="11">
        <f t="shared" si="128"/>
        <v>0</v>
      </c>
      <c r="PL35" s="11">
        <f t="shared" si="128"/>
        <v>0</v>
      </c>
      <c r="PM35" s="11">
        <f t="shared" si="128"/>
        <v>0</v>
      </c>
      <c r="PN35" s="11">
        <f t="shared" si="128"/>
        <v>0</v>
      </c>
      <c r="PO35" s="11">
        <f t="shared" si="128"/>
        <v>0</v>
      </c>
      <c r="PP35" s="11">
        <f t="shared" si="128"/>
        <v>0</v>
      </c>
      <c r="PQ35" s="11">
        <f t="shared" si="128"/>
        <v>0</v>
      </c>
      <c r="PR35" s="11">
        <f t="shared" si="128"/>
        <v>0</v>
      </c>
      <c r="PS35" s="11">
        <f t="shared" si="128"/>
        <v>0</v>
      </c>
      <c r="PT35" s="11">
        <f t="shared" si="128"/>
        <v>0</v>
      </c>
      <c r="PU35" s="11">
        <f t="shared" si="128"/>
        <v>0</v>
      </c>
      <c r="PV35" s="11">
        <f t="shared" si="128"/>
        <v>0</v>
      </c>
      <c r="PW35" s="11">
        <f t="shared" si="128"/>
        <v>0</v>
      </c>
      <c r="PX35" s="11">
        <f t="shared" si="128"/>
        <v>0</v>
      </c>
      <c r="PY35" s="11">
        <f t="shared" si="128"/>
        <v>0</v>
      </c>
      <c r="PZ35" s="11">
        <f t="shared" si="128"/>
        <v>0</v>
      </c>
      <c r="QA35" s="11">
        <f t="shared" si="128"/>
        <v>0</v>
      </c>
      <c r="QB35" s="11">
        <f t="shared" si="128"/>
        <v>0</v>
      </c>
      <c r="QC35" s="11">
        <f t="shared" si="128"/>
        <v>0</v>
      </c>
      <c r="QD35" s="11">
        <f t="shared" si="128"/>
        <v>0</v>
      </c>
      <c r="QE35" s="11">
        <f t="shared" si="128"/>
        <v>0</v>
      </c>
      <c r="QF35" s="11">
        <f t="shared" si="128"/>
        <v>0</v>
      </c>
      <c r="QG35" s="11">
        <f t="shared" si="128"/>
        <v>0</v>
      </c>
      <c r="QH35" s="11">
        <f t="shared" si="128"/>
        <v>0</v>
      </c>
      <c r="QI35" s="11">
        <f t="shared" si="128"/>
        <v>0</v>
      </c>
      <c r="QJ35" s="11">
        <f t="shared" si="128"/>
        <v>0</v>
      </c>
      <c r="QK35" s="11">
        <f t="shared" si="128"/>
        <v>0</v>
      </c>
      <c r="QL35" s="11">
        <f t="shared" si="128"/>
        <v>0</v>
      </c>
      <c r="QM35" s="11">
        <f t="shared" si="128"/>
        <v>0</v>
      </c>
      <c r="QN35" s="11">
        <f t="shared" si="128"/>
        <v>0</v>
      </c>
      <c r="QO35" s="11">
        <f t="shared" si="128"/>
        <v>0</v>
      </c>
      <c r="QP35" s="11">
        <f t="shared" si="128"/>
        <v>0</v>
      </c>
      <c r="QQ35" s="11">
        <f t="shared" si="128"/>
        <v>0</v>
      </c>
      <c r="QR35" s="11">
        <f t="shared" si="128"/>
        <v>0</v>
      </c>
      <c r="QS35" s="11">
        <f t="shared" si="128"/>
        <v>0</v>
      </c>
      <c r="QT35" s="11">
        <f t="shared" si="128"/>
        <v>0</v>
      </c>
      <c r="QU35" s="11">
        <f t="shared" si="128"/>
        <v>0</v>
      </c>
      <c r="QV35" s="11">
        <f t="shared" si="128"/>
        <v>0</v>
      </c>
      <c r="QW35" s="11">
        <f t="shared" si="128"/>
        <v>0</v>
      </c>
      <c r="QX35" s="11">
        <f t="shared" si="128"/>
        <v>0</v>
      </c>
      <c r="QY35" s="11">
        <f t="shared" si="128"/>
        <v>0</v>
      </c>
      <c r="QZ35" s="11">
        <f t="shared" ref="QZ35:TK35" si="129">IF(QZ24="Sáb",QY35,IF(QZ24="Dom",QY35,IF(QZ24="Fer",QY35,QZ30)))-QZ37</f>
        <v>0</v>
      </c>
      <c r="RA35" s="11">
        <f t="shared" si="129"/>
        <v>0</v>
      </c>
      <c r="RB35" s="11">
        <f t="shared" si="129"/>
        <v>0</v>
      </c>
      <c r="RC35" s="11">
        <f t="shared" si="129"/>
        <v>0</v>
      </c>
      <c r="RD35" s="11">
        <f t="shared" si="129"/>
        <v>0</v>
      </c>
      <c r="RE35" s="11">
        <f t="shared" si="129"/>
        <v>0</v>
      </c>
      <c r="RF35" s="11">
        <f t="shared" si="129"/>
        <v>0</v>
      </c>
      <c r="RG35" s="11">
        <f t="shared" si="129"/>
        <v>0</v>
      </c>
      <c r="RH35" s="11">
        <f t="shared" si="129"/>
        <v>0</v>
      </c>
      <c r="RI35" s="11">
        <f t="shared" si="129"/>
        <v>0</v>
      </c>
      <c r="RJ35" s="11">
        <f t="shared" si="129"/>
        <v>0</v>
      </c>
      <c r="RK35" s="11">
        <f t="shared" si="129"/>
        <v>0</v>
      </c>
      <c r="RL35" s="11">
        <f t="shared" si="129"/>
        <v>0</v>
      </c>
      <c r="RM35" s="11">
        <f t="shared" si="129"/>
        <v>0</v>
      </c>
      <c r="RN35" s="11">
        <f t="shared" si="129"/>
        <v>0</v>
      </c>
      <c r="RO35" s="11">
        <f t="shared" si="129"/>
        <v>0</v>
      </c>
      <c r="RP35" s="11">
        <f t="shared" si="129"/>
        <v>0</v>
      </c>
      <c r="RQ35" s="11">
        <f t="shared" si="129"/>
        <v>0</v>
      </c>
      <c r="RR35" s="11">
        <f t="shared" si="129"/>
        <v>0</v>
      </c>
      <c r="RS35" s="11">
        <f t="shared" si="129"/>
        <v>0</v>
      </c>
      <c r="RT35" s="11">
        <f t="shared" si="129"/>
        <v>0</v>
      </c>
      <c r="RU35" s="11">
        <f t="shared" si="129"/>
        <v>0</v>
      </c>
      <c r="RV35" s="11">
        <f t="shared" si="129"/>
        <v>0</v>
      </c>
      <c r="RW35" s="11">
        <f t="shared" si="129"/>
        <v>0</v>
      </c>
      <c r="RX35" s="11">
        <f t="shared" si="129"/>
        <v>0</v>
      </c>
      <c r="RY35" s="11">
        <f t="shared" si="129"/>
        <v>0</v>
      </c>
      <c r="RZ35" s="11">
        <f t="shared" si="129"/>
        <v>0</v>
      </c>
      <c r="SA35" s="11">
        <f t="shared" si="129"/>
        <v>0</v>
      </c>
      <c r="SB35" s="11">
        <f t="shared" si="129"/>
        <v>0</v>
      </c>
      <c r="SC35" s="11">
        <f t="shared" si="129"/>
        <v>0</v>
      </c>
      <c r="SD35" s="11">
        <f t="shared" si="129"/>
        <v>0</v>
      </c>
      <c r="SE35" s="11">
        <f t="shared" si="129"/>
        <v>0</v>
      </c>
      <c r="SF35" s="11">
        <f t="shared" si="129"/>
        <v>0</v>
      </c>
      <c r="SG35" s="11">
        <f t="shared" si="129"/>
        <v>0</v>
      </c>
      <c r="SH35" s="11">
        <f t="shared" si="129"/>
        <v>0</v>
      </c>
      <c r="SI35" s="11">
        <f t="shared" si="129"/>
        <v>0</v>
      </c>
      <c r="SJ35" s="11">
        <f t="shared" si="129"/>
        <v>0</v>
      </c>
      <c r="SK35" s="11">
        <f t="shared" si="129"/>
        <v>0</v>
      </c>
      <c r="SL35" s="11">
        <f t="shared" si="129"/>
        <v>0</v>
      </c>
      <c r="SM35" s="11">
        <f t="shared" si="129"/>
        <v>0</v>
      </c>
      <c r="SN35" s="11">
        <f t="shared" si="129"/>
        <v>0</v>
      </c>
      <c r="SO35" s="11">
        <f t="shared" si="129"/>
        <v>0</v>
      </c>
      <c r="SP35" s="11">
        <f t="shared" si="129"/>
        <v>0</v>
      </c>
      <c r="SQ35" s="11">
        <f t="shared" si="129"/>
        <v>0</v>
      </c>
      <c r="SR35" s="11">
        <f t="shared" si="129"/>
        <v>0</v>
      </c>
      <c r="SS35" s="11">
        <f t="shared" si="129"/>
        <v>0</v>
      </c>
      <c r="ST35" s="11">
        <f t="shared" si="129"/>
        <v>0</v>
      </c>
      <c r="SU35" s="11">
        <f t="shared" si="129"/>
        <v>0</v>
      </c>
      <c r="SV35" s="11">
        <f t="shared" si="129"/>
        <v>0</v>
      </c>
      <c r="SW35" s="11">
        <f t="shared" si="129"/>
        <v>0</v>
      </c>
      <c r="SX35" s="11">
        <f t="shared" si="129"/>
        <v>0</v>
      </c>
      <c r="SY35" s="11">
        <f t="shared" si="129"/>
        <v>0</v>
      </c>
      <c r="SZ35" s="11">
        <f t="shared" si="129"/>
        <v>0</v>
      </c>
      <c r="TA35" s="11">
        <f t="shared" si="129"/>
        <v>0</v>
      </c>
      <c r="TB35" s="11">
        <f t="shared" si="129"/>
        <v>0</v>
      </c>
      <c r="TC35" s="11">
        <f t="shared" si="129"/>
        <v>0</v>
      </c>
      <c r="TD35" s="11">
        <f t="shared" si="129"/>
        <v>0</v>
      </c>
      <c r="TE35" s="11">
        <f t="shared" si="129"/>
        <v>0</v>
      </c>
      <c r="TF35" s="11">
        <f t="shared" si="129"/>
        <v>0</v>
      </c>
      <c r="TG35" s="11">
        <f t="shared" si="129"/>
        <v>0</v>
      </c>
      <c r="TH35" s="11">
        <f t="shared" si="129"/>
        <v>0</v>
      </c>
      <c r="TI35" s="11">
        <f t="shared" si="129"/>
        <v>0</v>
      </c>
      <c r="TJ35" s="11">
        <f t="shared" si="129"/>
        <v>0</v>
      </c>
      <c r="TK35" s="11">
        <f t="shared" si="129"/>
        <v>0</v>
      </c>
      <c r="TL35" s="11">
        <f t="shared" ref="TL35:VW35" si="130">IF(TL24="Sáb",TK35,IF(TL24="Dom",TK35,IF(TL24="Fer",TK35,TL30)))-TL37</f>
        <v>0</v>
      </c>
      <c r="TM35" s="11">
        <f t="shared" si="130"/>
        <v>0</v>
      </c>
      <c r="TN35" s="11">
        <f t="shared" si="130"/>
        <v>0</v>
      </c>
      <c r="TO35" s="11">
        <f t="shared" si="130"/>
        <v>0</v>
      </c>
      <c r="TP35" s="11">
        <f t="shared" si="130"/>
        <v>0</v>
      </c>
      <c r="TQ35" s="11">
        <f t="shared" si="130"/>
        <v>0</v>
      </c>
      <c r="TR35" s="11">
        <f t="shared" si="130"/>
        <v>0</v>
      </c>
      <c r="TS35" s="11">
        <f t="shared" si="130"/>
        <v>0</v>
      </c>
      <c r="TT35" s="11">
        <f t="shared" si="130"/>
        <v>0</v>
      </c>
      <c r="TU35" s="11">
        <f t="shared" si="130"/>
        <v>0</v>
      </c>
      <c r="TV35" s="11">
        <f t="shared" si="130"/>
        <v>0</v>
      </c>
      <c r="TW35" s="11">
        <f t="shared" si="130"/>
        <v>0</v>
      </c>
      <c r="TX35" s="11">
        <f t="shared" si="130"/>
        <v>0</v>
      </c>
      <c r="TY35" s="11">
        <f t="shared" si="130"/>
        <v>0</v>
      </c>
      <c r="TZ35" s="11">
        <f t="shared" si="130"/>
        <v>0</v>
      </c>
      <c r="UA35" s="11">
        <f t="shared" si="130"/>
        <v>0</v>
      </c>
      <c r="UB35" s="11">
        <f t="shared" si="130"/>
        <v>0</v>
      </c>
      <c r="UC35" s="11">
        <f t="shared" si="130"/>
        <v>0</v>
      </c>
      <c r="UD35" s="11">
        <f t="shared" si="130"/>
        <v>0</v>
      </c>
      <c r="UE35" s="11">
        <f t="shared" si="130"/>
        <v>0</v>
      </c>
      <c r="UF35" s="11">
        <f t="shared" si="130"/>
        <v>0</v>
      </c>
      <c r="UG35" s="11">
        <f t="shared" si="130"/>
        <v>0</v>
      </c>
      <c r="UH35" s="11">
        <f t="shared" si="130"/>
        <v>0</v>
      </c>
      <c r="UI35" s="11">
        <f t="shared" si="130"/>
        <v>0</v>
      </c>
      <c r="UJ35" s="11">
        <f t="shared" si="130"/>
        <v>0</v>
      </c>
      <c r="UK35" s="11">
        <f t="shared" si="130"/>
        <v>0</v>
      </c>
      <c r="UL35" s="11">
        <f t="shared" si="130"/>
        <v>0</v>
      </c>
      <c r="UM35" s="11">
        <f t="shared" si="130"/>
        <v>0</v>
      </c>
      <c r="UN35" s="11">
        <f t="shared" si="130"/>
        <v>0</v>
      </c>
      <c r="UO35" s="11">
        <f t="shared" si="130"/>
        <v>0</v>
      </c>
      <c r="UP35" s="11">
        <f t="shared" si="130"/>
        <v>0</v>
      </c>
      <c r="UQ35" s="11">
        <f t="shared" si="130"/>
        <v>0</v>
      </c>
      <c r="UR35" s="11">
        <f t="shared" si="130"/>
        <v>0</v>
      </c>
      <c r="US35" s="11">
        <f t="shared" si="130"/>
        <v>0</v>
      </c>
      <c r="UT35" s="11">
        <f t="shared" si="130"/>
        <v>0</v>
      </c>
      <c r="UU35" s="11">
        <f t="shared" si="130"/>
        <v>0</v>
      </c>
      <c r="UV35" s="11">
        <f t="shared" si="130"/>
        <v>0</v>
      </c>
      <c r="UW35" s="11">
        <f t="shared" si="130"/>
        <v>0</v>
      </c>
      <c r="UX35" s="11">
        <f t="shared" si="130"/>
        <v>0</v>
      </c>
      <c r="UY35" s="11">
        <f t="shared" si="130"/>
        <v>0</v>
      </c>
      <c r="UZ35" s="11">
        <f t="shared" si="130"/>
        <v>0</v>
      </c>
      <c r="VA35" s="11">
        <f t="shared" si="130"/>
        <v>0</v>
      </c>
      <c r="VB35" s="11">
        <f t="shared" si="130"/>
        <v>0</v>
      </c>
      <c r="VC35" s="11">
        <f t="shared" si="130"/>
        <v>0</v>
      </c>
      <c r="VD35" s="11">
        <f t="shared" si="130"/>
        <v>0</v>
      </c>
      <c r="VE35" s="11">
        <f t="shared" si="130"/>
        <v>0</v>
      </c>
      <c r="VF35" s="11">
        <f t="shared" si="130"/>
        <v>0</v>
      </c>
      <c r="VG35" s="11">
        <f t="shared" si="130"/>
        <v>0</v>
      </c>
      <c r="VH35" s="11">
        <f t="shared" si="130"/>
        <v>0</v>
      </c>
      <c r="VI35" s="11">
        <f t="shared" si="130"/>
        <v>0</v>
      </c>
      <c r="VJ35" s="11">
        <f t="shared" si="130"/>
        <v>0</v>
      </c>
      <c r="VK35" s="11">
        <f t="shared" si="130"/>
        <v>0</v>
      </c>
      <c r="VL35" s="11">
        <f t="shared" si="130"/>
        <v>0</v>
      </c>
      <c r="VM35" s="11">
        <f t="shared" si="130"/>
        <v>0</v>
      </c>
      <c r="VN35" s="11">
        <f t="shared" si="130"/>
        <v>0</v>
      </c>
      <c r="VO35" s="11">
        <f t="shared" si="130"/>
        <v>0</v>
      </c>
      <c r="VP35" s="11">
        <f t="shared" si="130"/>
        <v>0</v>
      </c>
      <c r="VQ35" s="11">
        <f t="shared" si="130"/>
        <v>0</v>
      </c>
      <c r="VR35" s="11">
        <f t="shared" si="130"/>
        <v>0</v>
      </c>
      <c r="VS35" s="11">
        <f t="shared" si="130"/>
        <v>0</v>
      </c>
      <c r="VT35" s="11">
        <f t="shared" si="130"/>
        <v>0</v>
      </c>
      <c r="VU35" s="11">
        <f t="shared" si="130"/>
        <v>0</v>
      </c>
      <c r="VV35" s="11">
        <f t="shared" si="130"/>
        <v>0</v>
      </c>
      <c r="VW35" s="11">
        <f t="shared" si="130"/>
        <v>0</v>
      </c>
      <c r="VX35" s="11">
        <f t="shared" ref="VX35:YI35" si="131">IF(VX24="Sáb",VW35,IF(VX24="Dom",VW35,IF(VX24="Fer",VW35,VX30)))-VX37</f>
        <v>0</v>
      </c>
      <c r="VY35" s="11">
        <f t="shared" si="131"/>
        <v>0</v>
      </c>
      <c r="VZ35" s="11">
        <f t="shared" si="131"/>
        <v>0</v>
      </c>
      <c r="WA35" s="11">
        <f t="shared" si="131"/>
        <v>0</v>
      </c>
      <c r="WB35" s="11">
        <f t="shared" si="131"/>
        <v>0</v>
      </c>
      <c r="WC35" s="11">
        <f t="shared" si="131"/>
        <v>0</v>
      </c>
      <c r="WD35" s="11">
        <f t="shared" si="131"/>
        <v>0</v>
      </c>
      <c r="WE35" s="11">
        <f t="shared" si="131"/>
        <v>0</v>
      </c>
      <c r="WF35" s="11">
        <f t="shared" si="131"/>
        <v>0</v>
      </c>
      <c r="WG35" s="11">
        <f t="shared" si="131"/>
        <v>0</v>
      </c>
      <c r="WH35" s="11">
        <f t="shared" si="131"/>
        <v>0</v>
      </c>
      <c r="WI35" s="11">
        <f t="shared" si="131"/>
        <v>0</v>
      </c>
      <c r="WJ35" s="11">
        <f t="shared" si="131"/>
        <v>0</v>
      </c>
      <c r="WK35" s="11">
        <f t="shared" si="131"/>
        <v>0</v>
      </c>
      <c r="WL35" s="11">
        <f t="shared" si="131"/>
        <v>0</v>
      </c>
      <c r="WM35" s="11">
        <f t="shared" si="131"/>
        <v>0</v>
      </c>
      <c r="WN35" s="11">
        <f t="shared" si="131"/>
        <v>0</v>
      </c>
      <c r="WO35" s="11">
        <f t="shared" si="131"/>
        <v>0</v>
      </c>
      <c r="WP35" s="11">
        <f t="shared" si="131"/>
        <v>0</v>
      </c>
      <c r="WQ35" s="11">
        <f t="shared" si="131"/>
        <v>0</v>
      </c>
      <c r="WR35" s="11">
        <f t="shared" si="131"/>
        <v>0</v>
      </c>
      <c r="WS35" s="11">
        <f t="shared" si="131"/>
        <v>0</v>
      </c>
      <c r="WT35" s="11">
        <f t="shared" si="131"/>
        <v>0</v>
      </c>
      <c r="WU35" s="11">
        <f t="shared" si="131"/>
        <v>0</v>
      </c>
      <c r="WV35" s="11">
        <f t="shared" si="131"/>
        <v>0</v>
      </c>
      <c r="WW35" s="11">
        <f t="shared" si="131"/>
        <v>0</v>
      </c>
      <c r="WX35" s="11">
        <f t="shared" si="131"/>
        <v>0</v>
      </c>
      <c r="WY35" s="11">
        <f t="shared" si="131"/>
        <v>0</v>
      </c>
      <c r="WZ35" s="11">
        <f t="shared" si="131"/>
        <v>0</v>
      </c>
      <c r="XA35" s="11">
        <f t="shared" si="131"/>
        <v>0</v>
      </c>
      <c r="XB35" s="11">
        <f t="shared" si="131"/>
        <v>0</v>
      </c>
      <c r="XC35" s="11">
        <f t="shared" si="131"/>
        <v>0</v>
      </c>
      <c r="XD35" s="11">
        <f t="shared" si="131"/>
        <v>0</v>
      </c>
      <c r="XE35" s="11">
        <f t="shared" si="131"/>
        <v>0</v>
      </c>
      <c r="XF35" s="11">
        <f t="shared" si="131"/>
        <v>0</v>
      </c>
      <c r="XG35" s="11">
        <f t="shared" si="131"/>
        <v>0</v>
      </c>
      <c r="XH35" s="11">
        <f t="shared" si="131"/>
        <v>0</v>
      </c>
      <c r="XI35" s="11">
        <f t="shared" si="131"/>
        <v>0</v>
      </c>
      <c r="XJ35" s="11">
        <f t="shared" si="131"/>
        <v>0</v>
      </c>
      <c r="XK35" s="11">
        <f t="shared" si="131"/>
        <v>0</v>
      </c>
      <c r="XL35" s="11">
        <f t="shared" si="131"/>
        <v>0</v>
      </c>
      <c r="XM35" s="11">
        <f t="shared" si="131"/>
        <v>0</v>
      </c>
      <c r="XN35" s="11">
        <f t="shared" si="131"/>
        <v>0</v>
      </c>
      <c r="XO35" s="11">
        <f t="shared" si="131"/>
        <v>0</v>
      </c>
      <c r="XP35" s="11">
        <f t="shared" si="131"/>
        <v>0</v>
      </c>
      <c r="XQ35" s="11">
        <f t="shared" si="131"/>
        <v>0</v>
      </c>
      <c r="XR35" s="11">
        <f t="shared" si="131"/>
        <v>0</v>
      </c>
      <c r="XS35" s="11">
        <f t="shared" si="131"/>
        <v>0</v>
      </c>
      <c r="XT35" s="11">
        <f t="shared" si="131"/>
        <v>0</v>
      </c>
      <c r="XU35" s="11">
        <f t="shared" si="131"/>
        <v>0</v>
      </c>
      <c r="XV35" s="11">
        <f t="shared" si="131"/>
        <v>0</v>
      </c>
      <c r="XW35" s="11">
        <f t="shared" si="131"/>
        <v>0</v>
      </c>
      <c r="XX35" s="11">
        <f t="shared" si="131"/>
        <v>0</v>
      </c>
      <c r="XY35" s="11">
        <f t="shared" si="131"/>
        <v>0</v>
      </c>
      <c r="XZ35" s="11">
        <f t="shared" si="131"/>
        <v>0</v>
      </c>
      <c r="YA35" s="11">
        <f t="shared" si="131"/>
        <v>0</v>
      </c>
      <c r="YB35" s="11">
        <f t="shared" si="131"/>
        <v>0</v>
      </c>
      <c r="YC35" s="11">
        <f t="shared" si="131"/>
        <v>0</v>
      </c>
      <c r="YD35" s="11">
        <f t="shared" si="131"/>
        <v>0</v>
      </c>
      <c r="YE35" s="11">
        <f t="shared" si="131"/>
        <v>0</v>
      </c>
      <c r="YF35" s="11">
        <f t="shared" si="131"/>
        <v>0</v>
      </c>
      <c r="YG35" s="11">
        <f t="shared" si="131"/>
        <v>0</v>
      </c>
      <c r="YH35" s="11">
        <f t="shared" si="131"/>
        <v>0</v>
      </c>
      <c r="YI35" s="11">
        <f t="shared" si="131"/>
        <v>0</v>
      </c>
      <c r="YJ35" s="11">
        <f t="shared" ref="YJ35:AAU35" si="132">IF(YJ24="Sáb",YI35,IF(YJ24="Dom",YI35,IF(YJ24="Fer",YI35,YJ30)))-YJ37</f>
        <v>0</v>
      </c>
      <c r="YK35" s="11">
        <f t="shared" si="132"/>
        <v>0</v>
      </c>
      <c r="YL35" s="11">
        <f t="shared" si="132"/>
        <v>0</v>
      </c>
      <c r="YM35" s="11">
        <f t="shared" si="132"/>
        <v>0</v>
      </c>
      <c r="YN35" s="11">
        <f t="shared" si="132"/>
        <v>0</v>
      </c>
      <c r="YO35" s="11">
        <f t="shared" si="132"/>
        <v>0</v>
      </c>
      <c r="YP35" s="11">
        <f t="shared" si="132"/>
        <v>0</v>
      </c>
      <c r="YQ35" s="11">
        <f t="shared" si="132"/>
        <v>0</v>
      </c>
      <c r="YR35" s="11">
        <f t="shared" si="132"/>
        <v>0</v>
      </c>
      <c r="YS35" s="11">
        <f t="shared" si="132"/>
        <v>0</v>
      </c>
      <c r="YT35" s="11">
        <f t="shared" si="132"/>
        <v>0</v>
      </c>
      <c r="YU35" s="11">
        <f t="shared" si="132"/>
        <v>0</v>
      </c>
      <c r="YV35" s="11">
        <f t="shared" si="132"/>
        <v>0</v>
      </c>
      <c r="YW35" s="11">
        <f t="shared" si="132"/>
        <v>0</v>
      </c>
      <c r="YX35" s="11">
        <f t="shared" si="132"/>
        <v>0</v>
      </c>
      <c r="YY35" s="11">
        <f t="shared" si="132"/>
        <v>0</v>
      </c>
      <c r="YZ35" s="11">
        <f t="shared" si="132"/>
        <v>0</v>
      </c>
      <c r="ZA35" s="11">
        <f t="shared" si="132"/>
        <v>0</v>
      </c>
      <c r="ZB35" s="11">
        <f t="shared" si="132"/>
        <v>0</v>
      </c>
      <c r="ZC35" s="11">
        <f t="shared" si="132"/>
        <v>0</v>
      </c>
      <c r="ZD35" s="11">
        <f t="shared" si="132"/>
        <v>0</v>
      </c>
      <c r="ZE35" s="11">
        <f t="shared" si="132"/>
        <v>0</v>
      </c>
      <c r="ZF35" s="11">
        <f t="shared" si="132"/>
        <v>0</v>
      </c>
      <c r="ZG35" s="11">
        <f t="shared" si="132"/>
        <v>0</v>
      </c>
      <c r="ZH35" s="11">
        <f t="shared" si="132"/>
        <v>0</v>
      </c>
      <c r="ZI35" s="11">
        <f t="shared" si="132"/>
        <v>0</v>
      </c>
      <c r="ZJ35" s="11">
        <f t="shared" si="132"/>
        <v>0</v>
      </c>
      <c r="ZK35" s="11">
        <f t="shared" si="132"/>
        <v>0</v>
      </c>
      <c r="ZL35" s="11">
        <f t="shared" si="132"/>
        <v>0</v>
      </c>
      <c r="ZM35" s="11">
        <f t="shared" si="132"/>
        <v>0</v>
      </c>
      <c r="ZN35" s="11">
        <f t="shared" si="132"/>
        <v>0</v>
      </c>
      <c r="ZO35" s="11">
        <f t="shared" si="132"/>
        <v>0</v>
      </c>
      <c r="ZP35" s="11">
        <f t="shared" si="132"/>
        <v>0</v>
      </c>
      <c r="ZQ35" s="11">
        <f t="shared" si="132"/>
        <v>0</v>
      </c>
      <c r="ZR35" s="11">
        <f t="shared" si="132"/>
        <v>0</v>
      </c>
      <c r="ZS35" s="11">
        <f t="shared" si="132"/>
        <v>0</v>
      </c>
      <c r="ZT35" s="11">
        <f t="shared" si="132"/>
        <v>0</v>
      </c>
      <c r="ZU35" s="11">
        <f t="shared" si="132"/>
        <v>0</v>
      </c>
      <c r="ZV35" s="11">
        <f t="shared" si="132"/>
        <v>0</v>
      </c>
      <c r="ZW35" s="11">
        <f t="shared" si="132"/>
        <v>0</v>
      </c>
      <c r="ZX35" s="11">
        <f t="shared" si="132"/>
        <v>0</v>
      </c>
      <c r="ZY35" s="11">
        <f t="shared" si="132"/>
        <v>0</v>
      </c>
      <c r="ZZ35" s="11">
        <f t="shared" si="132"/>
        <v>0</v>
      </c>
      <c r="AAA35" s="11">
        <f t="shared" si="132"/>
        <v>0</v>
      </c>
      <c r="AAB35" s="11">
        <f t="shared" si="132"/>
        <v>0</v>
      </c>
      <c r="AAC35" s="11">
        <f t="shared" si="132"/>
        <v>0</v>
      </c>
      <c r="AAD35" s="11">
        <f t="shared" si="132"/>
        <v>0</v>
      </c>
      <c r="AAE35" s="11">
        <f t="shared" si="132"/>
        <v>0</v>
      </c>
      <c r="AAF35" s="11">
        <f t="shared" si="132"/>
        <v>0</v>
      </c>
      <c r="AAG35" s="11">
        <f t="shared" si="132"/>
        <v>0</v>
      </c>
      <c r="AAH35" s="11">
        <f t="shared" si="132"/>
        <v>0</v>
      </c>
      <c r="AAI35" s="11">
        <f t="shared" si="132"/>
        <v>0</v>
      </c>
      <c r="AAJ35" s="11">
        <f t="shared" si="132"/>
        <v>0</v>
      </c>
      <c r="AAK35" s="11">
        <f t="shared" si="132"/>
        <v>0</v>
      </c>
      <c r="AAL35" s="11">
        <f t="shared" si="132"/>
        <v>0</v>
      </c>
      <c r="AAM35" s="11">
        <f t="shared" si="132"/>
        <v>0</v>
      </c>
      <c r="AAN35" s="11">
        <f t="shared" si="132"/>
        <v>0</v>
      </c>
      <c r="AAO35" s="11">
        <f t="shared" si="132"/>
        <v>0</v>
      </c>
      <c r="AAP35" s="11">
        <f t="shared" si="132"/>
        <v>0</v>
      </c>
      <c r="AAQ35" s="11">
        <f t="shared" si="132"/>
        <v>0</v>
      </c>
      <c r="AAR35" s="11">
        <f t="shared" si="132"/>
        <v>0</v>
      </c>
      <c r="AAS35" s="11">
        <f t="shared" si="132"/>
        <v>0</v>
      </c>
      <c r="AAT35" s="11">
        <f t="shared" si="132"/>
        <v>0</v>
      </c>
      <c r="AAU35" s="11">
        <f t="shared" si="132"/>
        <v>0</v>
      </c>
      <c r="AAV35" s="11">
        <f t="shared" ref="AAV35:ABI35" si="133">IF(AAV24="Sáb",AAU35,IF(AAV24="Dom",AAU35,IF(AAV24="Fer",AAU35,AAV30)))-AAV37</f>
        <v>0</v>
      </c>
      <c r="AAW35" s="11">
        <f t="shared" si="133"/>
        <v>0</v>
      </c>
      <c r="AAX35" s="11">
        <f t="shared" si="133"/>
        <v>0</v>
      </c>
      <c r="AAY35" s="11">
        <f t="shared" si="133"/>
        <v>0</v>
      </c>
      <c r="AAZ35" s="11">
        <f t="shared" si="133"/>
        <v>0</v>
      </c>
      <c r="ABA35" s="11">
        <f t="shared" si="133"/>
        <v>0</v>
      </c>
      <c r="ABB35" s="11">
        <f t="shared" si="133"/>
        <v>0</v>
      </c>
      <c r="ABC35" s="11">
        <f t="shared" si="133"/>
        <v>0</v>
      </c>
      <c r="ABD35" s="11">
        <f t="shared" si="133"/>
        <v>0</v>
      </c>
      <c r="ABE35" s="11">
        <f t="shared" si="133"/>
        <v>0</v>
      </c>
      <c r="ABF35" s="11">
        <f t="shared" si="133"/>
        <v>0</v>
      </c>
      <c r="ABG35" s="11">
        <f t="shared" si="133"/>
        <v>0</v>
      </c>
      <c r="ABH35" s="11">
        <f t="shared" si="133"/>
        <v>0</v>
      </c>
      <c r="ABI35" s="11">
        <f t="shared" si="133"/>
        <v>0</v>
      </c>
    </row>
    <row r="36" spans="2:737" ht="12.95" customHeight="1" x14ac:dyDescent="0.25">
      <c r="D36" s="14">
        <f>SUM(D32:D35)</f>
        <v>7418</v>
      </c>
      <c r="E36" s="11" t="s">
        <v>12</v>
      </c>
      <c r="F36" s="11">
        <f>SUM(F32:F35)</f>
        <v>22</v>
      </c>
      <c r="G36" s="11">
        <f t="shared" ref="G36:BR36" si="134">SUM(G32:G35)</f>
        <v>22</v>
      </c>
      <c r="H36" s="11">
        <f t="shared" si="134"/>
        <v>22</v>
      </c>
      <c r="I36" s="11">
        <f t="shared" si="134"/>
        <v>22</v>
      </c>
      <c r="J36" s="11">
        <f t="shared" si="134"/>
        <v>22</v>
      </c>
      <c r="K36" s="11">
        <f t="shared" si="134"/>
        <v>22</v>
      </c>
      <c r="L36" s="11">
        <f t="shared" si="134"/>
        <v>22</v>
      </c>
      <c r="M36" s="11">
        <f t="shared" si="134"/>
        <v>22</v>
      </c>
      <c r="N36" s="11">
        <f t="shared" si="134"/>
        <v>22</v>
      </c>
      <c r="O36" s="11">
        <f t="shared" si="134"/>
        <v>22</v>
      </c>
      <c r="P36" s="11">
        <f t="shared" si="134"/>
        <v>22</v>
      </c>
      <c r="Q36" s="11">
        <f t="shared" si="134"/>
        <v>22</v>
      </c>
      <c r="R36" s="11">
        <f t="shared" si="134"/>
        <v>22</v>
      </c>
      <c r="S36" s="11">
        <f t="shared" si="134"/>
        <v>22</v>
      </c>
      <c r="T36" s="11">
        <f t="shared" si="134"/>
        <v>22</v>
      </c>
      <c r="U36" s="11">
        <f t="shared" si="134"/>
        <v>22</v>
      </c>
      <c r="V36" s="11">
        <f t="shared" si="134"/>
        <v>22</v>
      </c>
      <c r="W36" s="11">
        <f t="shared" si="134"/>
        <v>22</v>
      </c>
      <c r="X36" s="11">
        <f t="shared" si="134"/>
        <v>22</v>
      </c>
      <c r="Y36" s="11">
        <f t="shared" si="134"/>
        <v>22</v>
      </c>
      <c r="Z36" s="11">
        <f t="shared" si="134"/>
        <v>22</v>
      </c>
      <c r="AA36" s="11">
        <f t="shared" si="134"/>
        <v>22</v>
      </c>
      <c r="AB36" s="11">
        <f t="shared" si="134"/>
        <v>22</v>
      </c>
      <c r="AC36" s="11">
        <f t="shared" si="134"/>
        <v>22</v>
      </c>
      <c r="AD36" s="11">
        <f t="shared" si="134"/>
        <v>22</v>
      </c>
      <c r="AE36" s="11">
        <f t="shared" si="134"/>
        <v>22</v>
      </c>
      <c r="AF36" s="11">
        <f t="shared" si="134"/>
        <v>22</v>
      </c>
      <c r="AG36" s="11">
        <f t="shared" si="134"/>
        <v>22</v>
      </c>
      <c r="AH36" s="11">
        <f t="shared" si="134"/>
        <v>29</v>
      </c>
      <c r="AI36" s="11">
        <f t="shared" si="134"/>
        <v>29</v>
      </c>
      <c r="AJ36" s="11">
        <f t="shared" si="134"/>
        <v>29</v>
      </c>
      <c r="AK36" s="16">
        <f t="shared" si="134"/>
        <v>29</v>
      </c>
      <c r="AL36" s="11">
        <f t="shared" si="134"/>
        <v>29</v>
      </c>
      <c r="AM36" s="11">
        <f t="shared" si="134"/>
        <v>29</v>
      </c>
      <c r="AN36" s="11">
        <f t="shared" si="134"/>
        <v>29</v>
      </c>
      <c r="AO36" s="11">
        <f t="shared" si="134"/>
        <v>29</v>
      </c>
      <c r="AP36" s="11">
        <f t="shared" si="134"/>
        <v>29</v>
      </c>
      <c r="AQ36" s="11">
        <f t="shared" si="134"/>
        <v>29</v>
      </c>
      <c r="AR36" s="11">
        <f t="shared" si="134"/>
        <v>29</v>
      </c>
      <c r="AS36" s="11">
        <f t="shared" si="134"/>
        <v>29</v>
      </c>
      <c r="AT36" s="11">
        <f t="shared" si="134"/>
        <v>29</v>
      </c>
      <c r="AU36" s="11">
        <f t="shared" si="134"/>
        <v>29</v>
      </c>
      <c r="AV36" s="11">
        <f t="shared" si="134"/>
        <v>29</v>
      </c>
      <c r="AW36" s="11">
        <f t="shared" si="134"/>
        <v>29</v>
      </c>
      <c r="AX36" s="11">
        <f t="shared" si="134"/>
        <v>29</v>
      </c>
      <c r="AY36" s="11">
        <f t="shared" si="134"/>
        <v>29</v>
      </c>
      <c r="AZ36" s="11">
        <f t="shared" si="134"/>
        <v>29</v>
      </c>
      <c r="BA36" s="11">
        <f t="shared" si="134"/>
        <v>29</v>
      </c>
      <c r="BB36" s="11">
        <f t="shared" si="134"/>
        <v>29</v>
      </c>
      <c r="BC36" s="11">
        <f t="shared" si="134"/>
        <v>59</v>
      </c>
      <c r="BD36" s="11">
        <f t="shared" si="134"/>
        <v>59</v>
      </c>
      <c r="BE36" s="11">
        <f t="shared" si="134"/>
        <v>59</v>
      </c>
      <c r="BF36" s="11">
        <f t="shared" si="134"/>
        <v>59</v>
      </c>
      <c r="BG36" s="11">
        <f t="shared" si="134"/>
        <v>59</v>
      </c>
      <c r="BH36" s="11">
        <f t="shared" si="134"/>
        <v>59</v>
      </c>
      <c r="BI36" s="11">
        <f t="shared" si="134"/>
        <v>59</v>
      </c>
      <c r="BJ36" s="11">
        <f t="shared" si="134"/>
        <v>60</v>
      </c>
      <c r="BK36" s="11">
        <f t="shared" si="134"/>
        <v>60</v>
      </c>
      <c r="BL36" s="11">
        <f t="shared" si="134"/>
        <v>60</v>
      </c>
      <c r="BM36" s="11">
        <f t="shared" si="134"/>
        <v>60</v>
      </c>
      <c r="BN36" s="11">
        <f t="shared" si="134"/>
        <v>60</v>
      </c>
      <c r="BO36" s="11">
        <f t="shared" si="134"/>
        <v>60</v>
      </c>
      <c r="BP36" s="11">
        <f t="shared" si="134"/>
        <v>60</v>
      </c>
      <c r="BQ36" s="11">
        <f t="shared" si="134"/>
        <v>60</v>
      </c>
      <c r="BR36" s="11">
        <f t="shared" si="134"/>
        <v>60</v>
      </c>
      <c r="BS36" s="11">
        <f t="shared" ref="BS36:ED36" si="135">SUM(BS32:BS35)</f>
        <v>60</v>
      </c>
      <c r="BT36" s="11">
        <f t="shared" si="135"/>
        <v>60</v>
      </c>
      <c r="BU36" s="11">
        <f t="shared" si="135"/>
        <v>60</v>
      </c>
      <c r="BV36" s="11">
        <f t="shared" si="135"/>
        <v>60</v>
      </c>
      <c r="BW36" s="11">
        <f t="shared" si="135"/>
        <v>60</v>
      </c>
      <c r="BX36" s="11">
        <f t="shared" si="135"/>
        <v>60</v>
      </c>
      <c r="BY36" s="11">
        <f t="shared" si="135"/>
        <v>60</v>
      </c>
      <c r="BZ36" s="11">
        <f t="shared" si="135"/>
        <v>60</v>
      </c>
      <c r="CA36" s="11">
        <f t="shared" si="135"/>
        <v>60</v>
      </c>
      <c r="CB36" s="11">
        <f t="shared" si="135"/>
        <v>60</v>
      </c>
      <c r="CC36" s="11">
        <f t="shared" si="135"/>
        <v>60</v>
      </c>
      <c r="CD36" s="11">
        <f t="shared" si="135"/>
        <v>60</v>
      </c>
      <c r="CE36" s="11">
        <f t="shared" si="135"/>
        <v>60</v>
      </c>
      <c r="CF36" s="11">
        <f t="shared" si="135"/>
        <v>60</v>
      </c>
      <c r="CG36" s="11">
        <f t="shared" si="135"/>
        <v>60</v>
      </c>
      <c r="CH36" s="11">
        <f t="shared" si="135"/>
        <v>60</v>
      </c>
      <c r="CI36" s="11">
        <f t="shared" si="135"/>
        <v>60</v>
      </c>
      <c r="CJ36" s="11">
        <f t="shared" si="135"/>
        <v>60</v>
      </c>
      <c r="CK36" s="11">
        <f t="shared" si="135"/>
        <v>60</v>
      </c>
      <c r="CL36" s="11">
        <f t="shared" si="135"/>
        <v>60</v>
      </c>
      <c r="CM36" s="11">
        <f t="shared" si="135"/>
        <v>60</v>
      </c>
      <c r="CN36" s="11">
        <f t="shared" si="135"/>
        <v>60</v>
      </c>
      <c r="CO36" s="11">
        <f t="shared" si="135"/>
        <v>60</v>
      </c>
      <c r="CP36" s="11">
        <f t="shared" si="135"/>
        <v>60</v>
      </c>
      <c r="CQ36" s="11">
        <f t="shared" si="135"/>
        <v>60</v>
      </c>
      <c r="CR36" s="11">
        <f t="shared" si="135"/>
        <v>60</v>
      </c>
      <c r="CS36" s="11">
        <f t="shared" si="135"/>
        <v>67</v>
      </c>
      <c r="CT36" s="11">
        <f t="shared" si="135"/>
        <v>67</v>
      </c>
      <c r="CU36" s="11">
        <f t="shared" si="135"/>
        <v>67</v>
      </c>
      <c r="CV36" s="11">
        <f t="shared" si="135"/>
        <v>67</v>
      </c>
      <c r="CW36" s="11">
        <f t="shared" si="135"/>
        <v>67</v>
      </c>
      <c r="CX36" s="11">
        <f t="shared" si="135"/>
        <v>67</v>
      </c>
      <c r="CY36" s="11">
        <f t="shared" si="135"/>
        <v>67</v>
      </c>
      <c r="CZ36" s="11">
        <f t="shared" si="135"/>
        <v>67</v>
      </c>
      <c r="DA36" s="11">
        <f t="shared" si="135"/>
        <v>67</v>
      </c>
      <c r="DB36" s="11">
        <f t="shared" si="135"/>
        <v>67</v>
      </c>
      <c r="DC36" s="11">
        <f t="shared" si="135"/>
        <v>67</v>
      </c>
      <c r="DD36" s="11">
        <f t="shared" si="135"/>
        <v>67</v>
      </c>
      <c r="DE36" s="11">
        <f t="shared" si="135"/>
        <v>67</v>
      </c>
      <c r="DF36" s="11">
        <f t="shared" si="135"/>
        <v>67</v>
      </c>
      <c r="DG36" s="11">
        <f t="shared" si="135"/>
        <v>62</v>
      </c>
      <c r="DH36" s="11">
        <f t="shared" si="135"/>
        <v>62</v>
      </c>
      <c r="DI36" s="11">
        <f t="shared" si="135"/>
        <v>62</v>
      </c>
      <c r="DJ36" s="11">
        <f t="shared" si="135"/>
        <v>62</v>
      </c>
      <c r="DK36" s="11">
        <f t="shared" si="135"/>
        <v>62</v>
      </c>
      <c r="DL36" s="11">
        <f t="shared" si="135"/>
        <v>62</v>
      </c>
      <c r="DM36" s="11">
        <f t="shared" si="135"/>
        <v>62</v>
      </c>
      <c r="DN36" s="11">
        <f t="shared" si="135"/>
        <v>62</v>
      </c>
      <c r="DO36" s="11">
        <f t="shared" si="135"/>
        <v>62</v>
      </c>
      <c r="DP36" s="11">
        <f t="shared" si="135"/>
        <v>62</v>
      </c>
      <c r="DQ36" s="11">
        <f t="shared" si="135"/>
        <v>62</v>
      </c>
      <c r="DR36" s="11">
        <f t="shared" si="135"/>
        <v>62</v>
      </c>
      <c r="DS36" s="11">
        <f t="shared" si="135"/>
        <v>62</v>
      </c>
      <c r="DT36" s="11">
        <f t="shared" si="135"/>
        <v>62</v>
      </c>
      <c r="DU36" s="11">
        <f t="shared" si="135"/>
        <v>62</v>
      </c>
      <c r="DV36" s="11">
        <f t="shared" si="135"/>
        <v>62</v>
      </c>
      <c r="DW36" s="11">
        <f t="shared" si="135"/>
        <v>62</v>
      </c>
      <c r="DX36" s="11">
        <f t="shared" si="135"/>
        <v>62</v>
      </c>
      <c r="DY36" s="11">
        <f t="shared" si="135"/>
        <v>62</v>
      </c>
      <c r="DZ36" s="11">
        <f t="shared" si="135"/>
        <v>62</v>
      </c>
      <c r="EA36" s="11">
        <f t="shared" si="135"/>
        <v>62</v>
      </c>
      <c r="EB36" s="11">
        <f t="shared" si="135"/>
        <v>62</v>
      </c>
      <c r="EC36" s="11">
        <f t="shared" si="135"/>
        <v>62</v>
      </c>
      <c r="ED36" s="11">
        <f t="shared" si="135"/>
        <v>62</v>
      </c>
      <c r="EE36" s="11">
        <f t="shared" ref="EE36:GP36" si="136">SUM(EE32:EE35)</f>
        <v>62</v>
      </c>
      <c r="EF36" s="11">
        <f t="shared" si="136"/>
        <v>62</v>
      </c>
      <c r="EG36" s="11">
        <f t="shared" si="136"/>
        <v>62</v>
      </c>
      <c r="EH36" s="11">
        <f t="shared" si="136"/>
        <v>62</v>
      </c>
      <c r="EI36" s="11">
        <f t="shared" si="136"/>
        <v>62</v>
      </c>
      <c r="EJ36" s="11">
        <f t="shared" si="136"/>
        <v>62</v>
      </c>
      <c r="EK36" s="11">
        <f t="shared" si="136"/>
        <v>62</v>
      </c>
      <c r="EL36" s="11">
        <f t="shared" si="136"/>
        <v>62</v>
      </c>
      <c r="EM36" s="11">
        <f t="shared" si="136"/>
        <v>62</v>
      </c>
      <c r="EN36" s="11">
        <f t="shared" si="136"/>
        <v>62</v>
      </c>
      <c r="EO36" s="11">
        <f t="shared" si="136"/>
        <v>62</v>
      </c>
      <c r="EP36" s="11">
        <f t="shared" si="136"/>
        <v>62</v>
      </c>
      <c r="EQ36" s="11">
        <f t="shared" si="136"/>
        <v>62</v>
      </c>
      <c r="ER36" s="11">
        <f t="shared" si="136"/>
        <v>45</v>
      </c>
      <c r="ES36" s="11">
        <f t="shared" si="136"/>
        <v>45</v>
      </c>
      <c r="ET36" s="11">
        <f t="shared" si="136"/>
        <v>45</v>
      </c>
      <c r="EU36" s="11">
        <f t="shared" si="136"/>
        <v>28</v>
      </c>
      <c r="EV36" s="11">
        <f t="shared" si="136"/>
        <v>11</v>
      </c>
      <c r="EW36" s="11">
        <f t="shared" si="136"/>
        <v>19</v>
      </c>
      <c r="EX36" s="11">
        <f t="shared" si="136"/>
        <v>19</v>
      </c>
      <c r="EY36" s="11">
        <f t="shared" si="136"/>
        <v>19</v>
      </c>
      <c r="EZ36" s="11">
        <f t="shared" si="136"/>
        <v>19</v>
      </c>
      <c r="FA36" s="11">
        <f t="shared" si="136"/>
        <v>19</v>
      </c>
      <c r="FB36" s="11">
        <f t="shared" si="136"/>
        <v>2</v>
      </c>
      <c r="FC36" s="11">
        <f t="shared" si="136"/>
        <v>-15</v>
      </c>
      <c r="FD36" s="11">
        <f t="shared" si="136"/>
        <v>16</v>
      </c>
      <c r="FE36" s="11">
        <f t="shared" si="136"/>
        <v>16</v>
      </c>
      <c r="FF36" s="11">
        <f t="shared" si="136"/>
        <v>16</v>
      </c>
      <c r="FG36" s="11">
        <f t="shared" si="136"/>
        <v>16</v>
      </c>
      <c r="FH36" s="11">
        <f t="shared" si="136"/>
        <v>16</v>
      </c>
      <c r="FI36" s="11">
        <f t="shared" si="136"/>
        <v>-1</v>
      </c>
      <c r="FJ36" s="11">
        <f t="shared" si="136"/>
        <v>-18</v>
      </c>
      <c r="FK36" s="11">
        <f t="shared" si="136"/>
        <v>-35</v>
      </c>
      <c r="FL36" s="11">
        <f t="shared" si="136"/>
        <v>15</v>
      </c>
      <c r="FM36" s="11">
        <f t="shared" si="136"/>
        <v>15</v>
      </c>
      <c r="FN36" s="11">
        <f t="shared" si="136"/>
        <v>15</v>
      </c>
      <c r="FO36" s="11">
        <f t="shared" si="136"/>
        <v>15</v>
      </c>
      <c r="FP36" s="11">
        <f t="shared" si="136"/>
        <v>-2</v>
      </c>
      <c r="FQ36" s="11">
        <f t="shared" si="136"/>
        <v>-19</v>
      </c>
      <c r="FR36" s="11">
        <f t="shared" si="136"/>
        <v>15</v>
      </c>
      <c r="FS36" s="11">
        <f t="shared" si="136"/>
        <v>15</v>
      </c>
      <c r="FT36" s="11">
        <f t="shared" si="136"/>
        <v>15</v>
      </c>
      <c r="FU36" s="11">
        <f t="shared" si="136"/>
        <v>15</v>
      </c>
      <c r="FV36" s="11">
        <f t="shared" si="136"/>
        <v>15</v>
      </c>
      <c r="FW36" s="11">
        <f t="shared" si="136"/>
        <v>-2</v>
      </c>
      <c r="FX36" s="11">
        <f t="shared" si="136"/>
        <v>-19</v>
      </c>
      <c r="FY36" s="11">
        <f t="shared" si="136"/>
        <v>15</v>
      </c>
      <c r="FZ36" s="11">
        <f t="shared" si="136"/>
        <v>15</v>
      </c>
      <c r="GA36" s="11">
        <f t="shared" si="136"/>
        <v>15</v>
      </c>
      <c r="GB36" s="11">
        <f t="shared" si="136"/>
        <v>15</v>
      </c>
      <c r="GC36" s="11">
        <f t="shared" si="136"/>
        <v>15</v>
      </c>
      <c r="GD36" s="11">
        <f t="shared" si="136"/>
        <v>-2</v>
      </c>
      <c r="GE36" s="11">
        <f t="shared" si="136"/>
        <v>0</v>
      </c>
      <c r="GF36" s="11">
        <f t="shared" si="136"/>
        <v>0</v>
      </c>
      <c r="GG36" s="11">
        <f t="shared" si="136"/>
        <v>0</v>
      </c>
      <c r="GH36" s="11">
        <f t="shared" si="136"/>
        <v>0</v>
      </c>
      <c r="GI36" s="11">
        <f t="shared" si="136"/>
        <v>0</v>
      </c>
      <c r="GJ36" s="11">
        <f t="shared" si="136"/>
        <v>0</v>
      </c>
      <c r="GK36" s="11">
        <f t="shared" si="136"/>
        <v>0</v>
      </c>
      <c r="GL36" s="11">
        <f t="shared" si="136"/>
        <v>0</v>
      </c>
      <c r="GM36" s="11">
        <f t="shared" si="136"/>
        <v>0</v>
      </c>
      <c r="GN36" s="11">
        <f t="shared" si="136"/>
        <v>0</v>
      </c>
      <c r="GO36" s="11">
        <f t="shared" si="136"/>
        <v>0</v>
      </c>
      <c r="GP36" s="11">
        <f t="shared" si="136"/>
        <v>0</v>
      </c>
      <c r="GQ36" s="11">
        <f t="shared" ref="GQ36:JB36" si="137">SUM(GQ32:GQ35)</f>
        <v>0</v>
      </c>
      <c r="GR36" s="11">
        <f t="shared" si="137"/>
        <v>0</v>
      </c>
      <c r="GS36" s="11">
        <f t="shared" si="137"/>
        <v>0</v>
      </c>
      <c r="GT36" s="11">
        <f t="shared" si="137"/>
        <v>0</v>
      </c>
      <c r="GU36" s="11">
        <f t="shared" si="137"/>
        <v>0</v>
      </c>
      <c r="GV36" s="11">
        <f t="shared" si="137"/>
        <v>0</v>
      </c>
      <c r="GW36" s="11">
        <f t="shared" si="137"/>
        <v>0</v>
      </c>
      <c r="GX36" s="11">
        <f t="shared" si="137"/>
        <v>0</v>
      </c>
      <c r="GY36" s="11">
        <f t="shared" si="137"/>
        <v>0</v>
      </c>
      <c r="GZ36" s="11">
        <f t="shared" si="137"/>
        <v>0</v>
      </c>
      <c r="HA36" s="11">
        <f t="shared" si="137"/>
        <v>0</v>
      </c>
      <c r="HB36" s="11">
        <f t="shared" si="137"/>
        <v>0</v>
      </c>
      <c r="HC36" s="11">
        <f t="shared" si="137"/>
        <v>0</v>
      </c>
      <c r="HD36" s="11">
        <f t="shared" si="137"/>
        <v>0</v>
      </c>
      <c r="HE36" s="11">
        <f t="shared" si="137"/>
        <v>0</v>
      </c>
      <c r="HF36" s="11">
        <f t="shared" si="137"/>
        <v>0</v>
      </c>
      <c r="HG36" s="11">
        <f t="shared" si="137"/>
        <v>0</v>
      </c>
      <c r="HH36" s="11">
        <f t="shared" si="137"/>
        <v>0</v>
      </c>
      <c r="HI36" s="11">
        <f t="shared" si="137"/>
        <v>0</v>
      </c>
      <c r="HJ36" s="11">
        <f t="shared" si="137"/>
        <v>0</v>
      </c>
      <c r="HK36" s="11">
        <f t="shared" si="137"/>
        <v>0</v>
      </c>
      <c r="HL36" s="11">
        <f t="shared" si="137"/>
        <v>0</v>
      </c>
      <c r="HM36" s="11">
        <f t="shared" si="137"/>
        <v>0</v>
      </c>
      <c r="HN36" s="11">
        <f t="shared" si="137"/>
        <v>0</v>
      </c>
      <c r="HO36" s="11">
        <f t="shared" si="137"/>
        <v>0</v>
      </c>
      <c r="HP36" s="11">
        <f t="shared" si="137"/>
        <v>0</v>
      </c>
      <c r="HQ36" s="11">
        <f t="shared" si="137"/>
        <v>0</v>
      </c>
      <c r="HR36" s="11">
        <f t="shared" si="137"/>
        <v>0</v>
      </c>
      <c r="HS36" s="11">
        <f t="shared" si="137"/>
        <v>0</v>
      </c>
      <c r="HT36" s="11">
        <f t="shared" si="137"/>
        <v>0</v>
      </c>
      <c r="HU36" s="11">
        <f t="shared" si="137"/>
        <v>0</v>
      </c>
      <c r="HV36" s="11">
        <f t="shared" si="137"/>
        <v>0</v>
      </c>
      <c r="HW36" s="11">
        <f t="shared" si="137"/>
        <v>0</v>
      </c>
      <c r="HX36" s="11">
        <f t="shared" si="137"/>
        <v>0</v>
      </c>
      <c r="HY36" s="11">
        <f t="shared" si="137"/>
        <v>0</v>
      </c>
      <c r="HZ36" s="11">
        <f t="shared" si="137"/>
        <v>0</v>
      </c>
      <c r="IA36" s="11">
        <f t="shared" si="137"/>
        <v>0</v>
      </c>
      <c r="IB36" s="11">
        <f t="shared" si="137"/>
        <v>0</v>
      </c>
      <c r="IC36" s="11">
        <f t="shared" si="137"/>
        <v>0</v>
      </c>
      <c r="ID36" s="11">
        <f t="shared" si="137"/>
        <v>0</v>
      </c>
      <c r="IE36" s="11">
        <f t="shared" si="137"/>
        <v>0</v>
      </c>
      <c r="IF36" s="11">
        <f t="shared" si="137"/>
        <v>0</v>
      </c>
      <c r="IG36" s="11">
        <f t="shared" si="137"/>
        <v>0</v>
      </c>
      <c r="IH36" s="11">
        <f t="shared" si="137"/>
        <v>0</v>
      </c>
      <c r="II36" s="11">
        <f t="shared" si="137"/>
        <v>0</v>
      </c>
      <c r="IJ36" s="11">
        <f t="shared" si="137"/>
        <v>0</v>
      </c>
      <c r="IK36" s="11">
        <f t="shared" si="137"/>
        <v>0</v>
      </c>
      <c r="IL36" s="11">
        <f t="shared" si="137"/>
        <v>0</v>
      </c>
      <c r="IM36" s="11">
        <f t="shared" si="137"/>
        <v>0</v>
      </c>
      <c r="IN36" s="11">
        <f t="shared" si="137"/>
        <v>0</v>
      </c>
      <c r="IO36" s="11">
        <f t="shared" si="137"/>
        <v>0</v>
      </c>
      <c r="IP36" s="11">
        <f t="shared" si="137"/>
        <v>0</v>
      </c>
      <c r="IQ36" s="11">
        <f t="shared" si="137"/>
        <v>0</v>
      </c>
      <c r="IR36" s="11">
        <f t="shared" si="137"/>
        <v>0</v>
      </c>
      <c r="IS36" s="11">
        <f t="shared" si="137"/>
        <v>0</v>
      </c>
      <c r="IT36" s="11">
        <f t="shared" si="137"/>
        <v>0</v>
      </c>
      <c r="IU36" s="11">
        <f t="shared" si="137"/>
        <v>0</v>
      </c>
      <c r="IV36" s="11">
        <f t="shared" si="137"/>
        <v>0</v>
      </c>
      <c r="IW36" s="11">
        <f t="shared" si="137"/>
        <v>0</v>
      </c>
      <c r="IX36" s="11">
        <f t="shared" si="137"/>
        <v>0</v>
      </c>
      <c r="IY36" s="11">
        <f t="shared" si="137"/>
        <v>0</v>
      </c>
      <c r="IZ36" s="11">
        <f t="shared" si="137"/>
        <v>0</v>
      </c>
      <c r="JA36" s="11">
        <f t="shared" si="137"/>
        <v>0</v>
      </c>
      <c r="JB36" s="11">
        <f t="shared" si="137"/>
        <v>0</v>
      </c>
      <c r="JC36" s="11">
        <f t="shared" ref="JC36:LN36" si="138">SUM(JC32:JC35)</f>
        <v>0</v>
      </c>
      <c r="JD36" s="11">
        <f t="shared" si="138"/>
        <v>0</v>
      </c>
      <c r="JE36" s="11">
        <f t="shared" si="138"/>
        <v>0</v>
      </c>
      <c r="JF36" s="11">
        <f t="shared" si="138"/>
        <v>0</v>
      </c>
      <c r="JG36" s="11">
        <f t="shared" si="138"/>
        <v>0</v>
      </c>
      <c r="JH36" s="11">
        <f t="shared" si="138"/>
        <v>0</v>
      </c>
      <c r="JI36" s="11">
        <f t="shared" si="138"/>
        <v>0</v>
      </c>
      <c r="JJ36" s="11">
        <f t="shared" si="138"/>
        <v>0</v>
      </c>
      <c r="JK36" s="11">
        <f t="shared" si="138"/>
        <v>0</v>
      </c>
      <c r="JL36" s="11">
        <f t="shared" si="138"/>
        <v>0</v>
      </c>
      <c r="JM36" s="11">
        <f t="shared" si="138"/>
        <v>0</v>
      </c>
      <c r="JN36" s="11">
        <f t="shared" si="138"/>
        <v>0</v>
      </c>
      <c r="JO36" s="11">
        <f t="shared" si="138"/>
        <v>0</v>
      </c>
      <c r="JP36" s="11">
        <f t="shared" si="138"/>
        <v>0</v>
      </c>
      <c r="JQ36" s="11">
        <f t="shared" si="138"/>
        <v>0</v>
      </c>
      <c r="JR36" s="11">
        <f t="shared" si="138"/>
        <v>0</v>
      </c>
      <c r="JS36" s="11">
        <f t="shared" si="138"/>
        <v>0</v>
      </c>
      <c r="JT36" s="11">
        <f t="shared" si="138"/>
        <v>0</v>
      </c>
      <c r="JU36" s="11">
        <f t="shared" si="138"/>
        <v>0</v>
      </c>
      <c r="JV36" s="11">
        <f t="shared" si="138"/>
        <v>0</v>
      </c>
      <c r="JW36" s="11">
        <f t="shared" si="138"/>
        <v>0</v>
      </c>
      <c r="JX36" s="11">
        <f t="shared" si="138"/>
        <v>0</v>
      </c>
      <c r="JY36" s="11">
        <f t="shared" si="138"/>
        <v>0</v>
      </c>
      <c r="JZ36" s="11">
        <f t="shared" si="138"/>
        <v>0</v>
      </c>
      <c r="KA36" s="11">
        <f t="shared" si="138"/>
        <v>0</v>
      </c>
      <c r="KB36" s="11">
        <f t="shared" si="138"/>
        <v>0</v>
      </c>
      <c r="KC36" s="11">
        <f t="shared" si="138"/>
        <v>0</v>
      </c>
      <c r="KD36" s="11">
        <f t="shared" si="138"/>
        <v>0</v>
      </c>
      <c r="KE36" s="11">
        <f t="shared" si="138"/>
        <v>0</v>
      </c>
      <c r="KF36" s="11">
        <f t="shared" si="138"/>
        <v>0</v>
      </c>
      <c r="KG36" s="11">
        <f t="shared" si="138"/>
        <v>0</v>
      </c>
      <c r="KH36" s="11">
        <f t="shared" si="138"/>
        <v>0</v>
      </c>
      <c r="KI36" s="11">
        <f t="shared" si="138"/>
        <v>0</v>
      </c>
      <c r="KJ36" s="11">
        <f t="shared" si="138"/>
        <v>0</v>
      </c>
      <c r="KK36" s="11">
        <f t="shared" si="138"/>
        <v>0</v>
      </c>
      <c r="KL36" s="11">
        <f t="shared" si="138"/>
        <v>0</v>
      </c>
      <c r="KM36" s="11">
        <f t="shared" si="138"/>
        <v>0</v>
      </c>
      <c r="KN36" s="11">
        <f t="shared" si="138"/>
        <v>0</v>
      </c>
      <c r="KO36" s="11">
        <f t="shared" si="138"/>
        <v>0</v>
      </c>
      <c r="KP36" s="11">
        <f t="shared" si="138"/>
        <v>0</v>
      </c>
      <c r="KQ36" s="11">
        <f t="shared" si="138"/>
        <v>0</v>
      </c>
      <c r="KR36" s="11">
        <f t="shared" si="138"/>
        <v>0</v>
      </c>
      <c r="KS36" s="11">
        <f t="shared" si="138"/>
        <v>0</v>
      </c>
      <c r="KT36" s="11">
        <f t="shared" si="138"/>
        <v>0</v>
      </c>
      <c r="KU36" s="11">
        <f t="shared" si="138"/>
        <v>0</v>
      </c>
      <c r="KV36" s="11">
        <f t="shared" si="138"/>
        <v>0</v>
      </c>
      <c r="KW36" s="11">
        <f t="shared" si="138"/>
        <v>0</v>
      </c>
      <c r="KX36" s="11">
        <f t="shared" si="138"/>
        <v>0</v>
      </c>
      <c r="KY36" s="11">
        <f t="shared" si="138"/>
        <v>0</v>
      </c>
      <c r="KZ36" s="11">
        <f t="shared" si="138"/>
        <v>0</v>
      </c>
      <c r="LA36" s="11">
        <f t="shared" si="138"/>
        <v>0</v>
      </c>
      <c r="LB36" s="11">
        <f t="shared" si="138"/>
        <v>0</v>
      </c>
      <c r="LC36" s="11">
        <f t="shared" si="138"/>
        <v>0</v>
      </c>
      <c r="LD36" s="11">
        <f t="shared" si="138"/>
        <v>0</v>
      </c>
      <c r="LE36" s="11">
        <f t="shared" si="138"/>
        <v>0</v>
      </c>
      <c r="LF36" s="11">
        <f t="shared" si="138"/>
        <v>0</v>
      </c>
      <c r="LG36" s="11">
        <f t="shared" si="138"/>
        <v>0</v>
      </c>
      <c r="LH36" s="11">
        <f t="shared" si="138"/>
        <v>0</v>
      </c>
      <c r="LI36" s="11">
        <f t="shared" si="138"/>
        <v>0</v>
      </c>
      <c r="LJ36" s="11">
        <f t="shared" si="138"/>
        <v>0</v>
      </c>
      <c r="LK36" s="11">
        <f t="shared" si="138"/>
        <v>0</v>
      </c>
      <c r="LL36" s="11">
        <f t="shared" si="138"/>
        <v>0</v>
      </c>
      <c r="LM36" s="11">
        <f t="shared" si="138"/>
        <v>0</v>
      </c>
      <c r="LN36" s="11">
        <f t="shared" si="138"/>
        <v>0</v>
      </c>
      <c r="LO36" s="11">
        <f t="shared" ref="LO36:NZ36" si="139">SUM(LO32:LO35)</f>
        <v>0</v>
      </c>
      <c r="LP36" s="11">
        <f t="shared" si="139"/>
        <v>0</v>
      </c>
      <c r="LQ36" s="11">
        <f t="shared" si="139"/>
        <v>0</v>
      </c>
      <c r="LR36" s="11">
        <f t="shared" si="139"/>
        <v>0</v>
      </c>
      <c r="LS36" s="11">
        <f t="shared" si="139"/>
        <v>0</v>
      </c>
      <c r="LT36" s="11">
        <f t="shared" si="139"/>
        <v>0</v>
      </c>
      <c r="LU36" s="11">
        <f t="shared" si="139"/>
        <v>0</v>
      </c>
      <c r="LV36" s="11">
        <f t="shared" si="139"/>
        <v>0</v>
      </c>
      <c r="LW36" s="11">
        <f t="shared" si="139"/>
        <v>0</v>
      </c>
      <c r="LX36" s="11">
        <f t="shared" si="139"/>
        <v>0</v>
      </c>
      <c r="LY36" s="11">
        <f t="shared" si="139"/>
        <v>0</v>
      </c>
      <c r="LZ36" s="11">
        <f t="shared" si="139"/>
        <v>0</v>
      </c>
      <c r="MA36" s="11">
        <f t="shared" si="139"/>
        <v>0</v>
      </c>
      <c r="MB36" s="11">
        <f t="shared" si="139"/>
        <v>0</v>
      </c>
      <c r="MC36" s="11">
        <f t="shared" si="139"/>
        <v>0</v>
      </c>
      <c r="MD36" s="11">
        <f t="shared" si="139"/>
        <v>0</v>
      </c>
      <c r="ME36" s="11">
        <f t="shared" si="139"/>
        <v>0</v>
      </c>
      <c r="MF36" s="11">
        <f t="shared" si="139"/>
        <v>0</v>
      </c>
      <c r="MG36" s="11">
        <f t="shared" si="139"/>
        <v>0</v>
      </c>
      <c r="MH36" s="11">
        <f t="shared" si="139"/>
        <v>0</v>
      </c>
      <c r="MI36" s="11">
        <f t="shared" si="139"/>
        <v>0</v>
      </c>
      <c r="MJ36" s="11">
        <f t="shared" si="139"/>
        <v>0</v>
      </c>
      <c r="MK36" s="11">
        <f t="shared" si="139"/>
        <v>0</v>
      </c>
      <c r="ML36" s="11">
        <f t="shared" si="139"/>
        <v>0</v>
      </c>
      <c r="MM36" s="11">
        <f t="shared" si="139"/>
        <v>0</v>
      </c>
      <c r="MN36" s="11">
        <f t="shared" si="139"/>
        <v>0</v>
      </c>
      <c r="MO36" s="11">
        <f t="shared" si="139"/>
        <v>0</v>
      </c>
      <c r="MP36" s="11">
        <f t="shared" si="139"/>
        <v>0</v>
      </c>
      <c r="MQ36" s="11">
        <f t="shared" si="139"/>
        <v>0</v>
      </c>
      <c r="MR36" s="11">
        <f t="shared" si="139"/>
        <v>0</v>
      </c>
      <c r="MS36" s="11">
        <f t="shared" si="139"/>
        <v>0</v>
      </c>
      <c r="MT36" s="11">
        <f t="shared" si="139"/>
        <v>0</v>
      </c>
      <c r="MU36" s="11">
        <f t="shared" si="139"/>
        <v>0</v>
      </c>
      <c r="MV36" s="11">
        <f t="shared" si="139"/>
        <v>0</v>
      </c>
      <c r="MW36" s="11">
        <f t="shared" si="139"/>
        <v>0</v>
      </c>
      <c r="MX36" s="11">
        <f t="shared" si="139"/>
        <v>0</v>
      </c>
      <c r="MY36" s="11">
        <f t="shared" si="139"/>
        <v>0</v>
      </c>
      <c r="MZ36" s="11">
        <f t="shared" si="139"/>
        <v>0</v>
      </c>
      <c r="NA36" s="11">
        <f t="shared" si="139"/>
        <v>0</v>
      </c>
      <c r="NB36" s="11">
        <f t="shared" si="139"/>
        <v>0</v>
      </c>
      <c r="NC36" s="11">
        <f t="shared" si="139"/>
        <v>0</v>
      </c>
      <c r="ND36" s="11">
        <f t="shared" si="139"/>
        <v>0</v>
      </c>
      <c r="NE36" s="11">
        <f t="shared" si="139"/>
        <v>0</v>
      </c>
      <c r="NF36" s="11">
        <f t="shared" si="139"/>
        <v>0</v>
      </c>
      <c r="NG36" s="11">
        <f t="shared" si="139"/>
        <v>0</v>
      </c>
      <c r="NH36" s="11">
        <f t="shared" si="139"/>
        <v>0</v>
      </c>
      <c r="NI36" s="11">
        <f t="shared" si="139"/>
        <v>0</v>
      </c>
      <c r="NJ36" s="11">
        <f t="shared" si="139"/>
        <v>0</v>
      </c>
      <c r="NK36" s="11">
        <f t="shared" si="139"/>
        <v>0</v>
      </c>
      <c r="NL36" s="11">
        <f t="shared" si="139"/>
        <v>0</v>
      </c>
      <c r="NM36" s="11">
        <f t="shared" si="139"/>
        <v>0</v>
      </c>
      <c r="NN36" s="11">
        <f t="shared" si="139"/>
        <v>0</v>
      </c>
      <c r="NO36" s="11">
        <f t="shared" si="139"/>
        <v>0</v>
      </c>
      <c r="NP36" s="11">
        <f t="shared" si="139"/>
        <v>0</v>
      </c>
      <c r="NQ36" s="11">
        <f t="shared" si="139"/>
        <v>0</v>
      </c>
      <c r="NR36" s="11">
        <f t="shared" si="139"/>
        <v>0</v>
      </c>
      <c r="NS36" s="11">
        <f t="shared" si="139"/>
        <v>0</v>
      </c>
      <c r="NT36" s="11">
        <f t="shared" si="139"/>
        <v>0</v>
      </c>
      <c r="NU36" s="11">
        <f t="shared" si="139"/>
        <v>0</v>
      </c>
      <c r="NV36" s="11">
        <f t="shared" si="139"/>
        <v>0</v>
      </c>
      <c r="NW36" s="11">
        <f t="shared" si="139"/>
        <v>0</v>
      </c>
      <c r="NX36" s="11">
        <f t="shared" si="139"/>
        <v>0</v>
      </c>
      <c r="NY36" s="11">
        <f t="shared" si="139"/>
        <v>0</v>
      </c>
      <c r="NZ36" s="11">
        <f t="shared" si="139"/>
        <v>0</v>
      </c>
      <c r="OA36" s="11">
        <f t="shared" ref="OA36:QL36" si="140">SUM(OA32:OA35)</f>
        <v>0</v>
      </c>
      <c r="OB36" s="11">
        <f t="shared" si="140"/>
        <v>0</v>
      </c>
      <c r="OC36" s="11">
        <f t="shared" si="140"/>
        <v>0</v>
      </c>
      <c r="OD36" s="11">
        <f t="shared" si="140"/>
        <v>0</v>
      </c>
      <c r="OE36" s="11">
        <f t="shared" si="140"/>
        <v>0</v>
      </c>
      <c r="OF36" s="11">
        <f t="shared" si="140"/>
        <v>0</v>
      </c>
      <c r="OG36" s="11">
        <f t="shared" si="140"/>
        <v>0</v>
      </c>
      <c r="OH36" s="11">
        <f t="shared" si="140"/>
        <v>0</v>
      </c>
      <c r="OI36" s="11">
        <f t="shared" si="140"/>
        <v>0</v>
      </c>
      <c r="OJ36" s="11">
        <f t="shared" si="140"/>
        <v>0</v>
      </c>
      <c r="OK36" s="11">
        <f t="shared" si="140"/>
        <v>0</v>
      </c>
      <c r="OL36" s="11">
        <f t="shared" si="140"/>
        <v>0</v>
      </c>
      <c r="OM36" s="11">
        <f t="shared" si="140"/>
        <v>0</v>
      </c>
      <c r="ON36" s="11">
        <f t="shared" si="140"/>
        <v>0</v>
      </c>
      <c r="OO36" s="11">
        <f t="shared" si="140"/>
        <v>0</v>
      </c>
      <c r="OP36" s="11">
        <f t="shared" si="140"/>
        <v>0</v>
      </c>
      <c r="OQ36" s="11">
        <f t="shared" si="140"/>
        <v>0</v>
      </c>
      <c r="OR36" s="11">
        <f t="shared" si="140"/>
        <v>0</v>
      </c>
      <c r="OS36" s="11">
        <f t="shared" si="140"/>
        <v>0</v>
      </c>
      <c r="OT36" s="11">
        <f t="shared" si="140"/>
        <v>0</v>
      </c>
      <c r="OU36" s="11">
        <f t="shared" si="140"/>
        <v>0</v>
      </c>
      <c r="OV36" s="11">
        <f t="shared" si="140"/>
        <v>0</v>
      </c>
      <c r="OW36" s="11">
        <f t="shared" si="140"/>
        <v>0</v>
      </c>
      <c r="OX36" s="11">
        <f t="shared" si="140"/>
        <v>0</v>
      </c>
      <c r="OY36" s="11">
        <f t="shared" si="140"/>
        <v>0</v>
      </c>
      <c r="OZ36" s="11">
        <f t="shared" si="140"/>
        <v>0</v>
      </c>
      <c r="PA36" s="11">
        <f t="shared" si="140"/>
        <v>0</v>
      </c>
      <c r="PB36" s="11">
        <f t="shared" si="140"/>
        <v>0</v>
      </c>
      <c r="PC36" s="11">
        <f t="shared" si="140"/>
        <v>0</v>
      </c>
      <c r="PD36" s="11">
        <f t="shared" si="140"/>
        <v>0</v>
      </c>
      <c r="PE36" s="11">
        <f t="shared" si="140"/>
        <v>0</v>
      </c>
      <c r="PF36" s="11">
        <f t="shared" si="140"/>
        <v>0</v>
      </c>
      <c r="PG36" s="11">
        <f t="shared" si="140"/>
        <v>0</v>
      </c>
      <c r="PH36" s="11">
        <f t="shared" si="140"/>
        <v>0</v>
      </c>
      <c r="PI36" s="11">
        <f t="shared" si="140"/>
        <v>0</v>
      </c>
      <c r="PJ36" s="11">
        <f t="shared" si="140"/>
        <v>0</v>
      </c>
      <c r="PK36" s="11">
        <f t="shared" si="140"/>
        <v>0</v>
      </c>
      <c r="PL36" s="11">
        <f t="shared" si="140"/>
        <v>0</v>
      </c>
      <c r="PM36" s="11">
        <f t="shared" si="140"/>
        <v>0</v>
      </c>
      <c r="PN36" s="11">
        <f t="shared" si="140"/>
        <v>0</v>
      </c>
      <c r="PO36" s="11">
        <f t="shared" si="140"/>
        <v>0</v>
      </c>
      <c r="PP36" s="11">
        <f t="shared" si="140"/>
        <v>0</v>
      </c>
      <c r="PQ36" s="11">
        <f t="shared" si="140"/>
        <v>0</v>
      </c>
      <c r="PR36" s="11">
        <f t="shared" si="140"/>
        <v>0</v>
      </c>
      <c r="PS36" s="11">
        <f t="shared" si="140"/>
        <v>0</v>
      </c>
      <c r="PT36" s="11">
        <f t="shared" si="140"/>
        <v>0</v>
      </c>
      <c r="PU36" s="11">
        <f t="shared" si="140"/>
        <v>0</v>
      </c>
      <c r="PV36" s="11">
        <f t="shared" si="140"/>
        <v>0</v>
      </c>
      <c r="PW36" s="11">
        <f t="shared" si="140"/>
        <v>0</v>
      </c>
      <c r="PX36" s="11">
        <f t="shared" si="140"/>
        <v>0</v>
      </c>
      <c r="PY36" s="11">
        <f t="shared" si="140"/>
        <v>0</v>
      </c>
      <c r="PZ36" s="11">
        <f t="shared" si="140"/>
        <v>0</v>
      </c>
      <c r="QA36" s="11">
        <f t="shared" si="140"/>
        <v>0</v>
      </c>
      <c r="QB36" s="11">
        <f t="shared" si="140"/>
        <v>0</v>
      </c>
      <c r="QC36" s="11">
        <f t="shared" si="140"/>
        <v>0</v>
      </c>
      <c r="QD36" s="11">
        <f t="shared" si="140"/>
        <v>0</v>
      </c>
      <c r="QE36" s="11">
        <f t="shared" si="140"/>
        <v>0</v>
      </c>
      <c r="QF36" s="11">
        <f t="shared" si="140"/>
        <v>0</v>
      </c>
      <c r="QG36" s="11">
        <f t="shared" si="140"/>
        <v>0</v>
      </c>
      <c r="QH36" s="11">
        <f t="shared" si="140"/>
        <v>0</v>
      </c>
      <c r="QI36" s="11">
        <f t="shared" si="140"/>
        <v>0</v>
      </c>
      <c r="QJ36" s="11">
        <f t="shared" si="140"/>
        <v>0</v>
      </c>
      <c r="QK36" s="11">
        <f t="shared" si="140"/>
        <v>0</v>
      </c>
      <c r="QL36" s="11">
        <f t="shared" si="140"/>
        <v>0</v>
      </c>
      <c r="QM36" s="11">
        <f t="shared" ref="QM36:SX36" si="141">SUM(QM32:QM35)</f>
        <v>0</v>
      </c>
      <c r="QN36" s="11">
        <f t="shared" si="141"/>
        <v>0</v>
      </c>
      <c r="QO36" s="11">
        <f t="shared" si="141"/>
        <v>0</v>
      </c>
      <c r="QP36" s="11">
        <f t="shared" si="141"/>
        <v>0</v>
      </c>
      <c r="QQ36" s="11">
        <f t="shared" si="141"/>
        <v>0</v>
      </c>
      <c r="QR36" s="11">
        <f t="shared" si="141"/>
        <v>0</v>
      </c>
      <c r="QS36" s="11">
        <f t="shared" si="141"/>
        <v>0</v>
      </c>
      <c r="QT36" s="11">
        <f t="shared" si="141"/>
        <v>0</v>
      </c>
      <c r="QU36" s="11">
        <f t="shared" si="141"/>
        <v>0</v>
      </c>
      <c r="QV36" s="11">
        <f t="shared" si="141"/>
        <v>0</v>
      </c>
      <c r="QW36" s="11">
        <f t="shared" si="141"/>
        <v>0</v>
      </c>
      <c r="QX36" s="11">
        <f t="shared" si="141"/>
        <v>0</v>
      </c>
      <c r="QY36" s="11">
        <f t="shared" si="141"/>
        <v>0</v>
      </c>
      <c r="QZ36" s="11">
        <f t="shared" si="141"/>
        <v>0</v>
      </c>
      <c r="RA36" s="11">
        <f t="shared" si="141"/>
        <v>0</v>
      </c>
      <c r="RB36" s="11">
        <f t="shared" si="141"/>
        <v>0</v>
      </c>
      <c r="RC36" s="11">
        <f t="shared" si="141"/>
        <v>0</v>
      </c>
      <c r="RD36" s="11">
        <f t="shared" si="141"/>
        <v>0</v>
      </c>
      <c r="RE36" s="11">
        <f t="shared" si="141"/>
        <v>0</v>
      </c>
      <c r="RF36" s="11">
        <f t="shared" si="141"/>
        <v>0</v>
      </c>
      <c r="RG36" s="11">
        <f t="shared" si="141"/>
        <v>0</v>
      </c>
      <c r="RH36" s="11">
        <f t="shared" si="141"/>
        <v>0</v>
      </c>
      <c r="RI36" s="11">
        <f t="shared" si="141"/>
        <v>0</v>
      </c>
      <c r="RJ36" s="11">
        <f t="shared" si="141"/>
        <v>0</v>
      </c>
      <c r="RK36" s="11">
        <f t="shared" si="141"/>
        <v>0</v>
      </c>
      <c r="RL36" s="11">
        <f t="shared" si="141"/>
        <v>0</v>
      </c>
      <c r="RM36" s="11">
        <f t="shared" si="141"/>
        <v>0</v>
      </c>
      <c r="RN36" s="11">
        <f t="shared" si="141"/>
        <v>0</v>
      </c>
      <c r="RO36" s="11">
        <f t="shared" si="141"/>
        <v>0</v>
      </c>
      <c r="RP36" s="11">
        <f t="shared" si="141"/>
        <v>0</v>
      </c>
      <c r="RQ36" s="11">
        <f t="shared" si="141"/>
        <v>0</v>
      </c>
      <c r="RR36" s="11">
        <f t="shared" si="141"/>
        <v>0</v>
      </c>
      <c r="RS36" s="11">
        <f t="shared" si="141"/>
        <v>0</v>
      </c>
      <c r="RT36" s="11">
        <f t="shared" si="141"/>
        <v>0</v>
      </c>
      <c r="RU36" s="11">
        <f t="shared" si="141"/>
        <v>0</v>
      </c>
      <c r="RV36" s="11">
        <f t="shared" si="141"/>
        <v>0</v>
      </c>
      <c r="RW36" s="11">
        <f t="shared" si="141"/>
        <v>0</v>
      </c>
      <c r="RX36" s="11">
        <f t="shared" si="141"/>
        <v>0</v>
      </c>
      <c r="RY36" s="11">
        <f t="shared" si="141"/>
        <v>0</v>
      </c>
      <c r="RZ36" s="11">
        <f t="shared" si="141"/>
        <v>0</v>
      </c>
      <c r="SA36" s="11">
        <f t="shared" si="141"/>
        <v>0</v>
      </c>
      <c r="SB36" s="11">
        <f t="shared" si="141"/>
        <v>0</v>
      </c>
      <c r="SC36" s="11">
        <f t="shared" si="141"/>
        <v>0</v>
      </c>
      <c r="SD36" s="11">
        <f t="shared" si="141"/>
        <v>0</v>
      </c>
      <c r="SE36" s="11">
        <f t="shared" si="141"/>
        <v>0</v>
      </c>
      <c r="SF36" s="11">
        <f t="shared" si="141"/>
        <v>0</v>
      </c>
      <c r="SG36" s="11">
        <f t="shared" si="141"/>
        <v>0</v>
      </c>
      <c r="SH36" s="11">
        <f t="shared" si="141"/>
        <v>0</v>
      </c>
      <c r="SI36" s="11">
        <f t="shared" si="141"/>
        <v>0</v>
      </c>
      <c r="SJ36" s="11">
        <f t="shared" si="141"/>
        <v>0</v>
      </c>
      <c r="SK36" s="11">
        <f t="shared" si="141"/>
        <v>0</v>
      </c>
      <c r="SL36" s="11">
        <f t="shared" si="141"/>
        <v>0</v>
      </c>
      <c r="SM36" s="11">
        <f t="shared" si="141"/>
        <v>0</v>
      </c>
      <c r="SN36" s="11">
        <f t="shared" si="141"/>
        <v>0</v>
      </c>
      <c r="SO36" s="11">
        <f t="shared" si="141"/>
        <v>0</v>
      </c>
      <c r="SP36" s="11">
        <f t="shared" si="141"/>
        <v>0</v>
      </c>
      <c r="SQ36" s="11">
        <f t="shared" si="141"/>
        <v>0</v>
      </c>
      <c r="SR36" s="11">
        <f t="shared" si="141"/>
        <v>0</v>
      </c>
      <c r="SS36" s="11">
        <f t="shared" si="141"/>
        <v>0</v>
      </c>
      <c r="ST36" s="11">
        <f t="shared" si="141"/>
        <v>0</v>
      </c>
      <c r="SU36" s="11">
        <f t="shared" si="141"/>
        <v>0</v>
      </c>
      <c r="SV36" s="11">
        <f t="shared" si="141"/>
        <v>0</v>
      </c>
      <c r="SW36" s="11">
        <f t="shared" si="141"/>
        <v>0</v>
      </c>
      <c r="SX36" s="11">
        <f t="shared" si="141"/>
        <v>0</v>
      </c>
      <c r="SY36" s="11">
        <f t="shared" ref="SY36:VJ36" si="142">SUM(SY32:SY35)</f>
        <v>0</v>
      </c>
      <c r="SZ36" s="11">
        <f t="shared" si="142"/>
        <v>0</v>
      </c>
      <c r="TA36" s="11">
        <f t="shared" si="142"/>
        <v>0</v>
      </c>
      <c r="TB36" s="11">
        <f t="shared" si="142"/>
        <v>0</v>
      </c>
      <c r="TC36" s="11">
        <f t="shared" si="142"/>
        <v>0</v>
      </c>
      <c r="TD36" s="11">
        <f t="shared" si="142"/>
        <v>0</v>
      </c>
      <c r="TE36" s="11">
        <f t="shared" si="142"/>
        <v>0</v>
      </c>
      <c r="TF36" s="11">
        <f t="shared" si="142"/>
        <v>0</v>
      </c>
      <c r="TG36" s="11">
        <f t="shared" si="142"/>
        <v>0</v>
      </c>
      <c r="TH36" s="11">
        <f t="shared" si="142"/>
        <v>0</v>
      </c>
      <c r="TI36" s="11">
        <f t="shared" si="142"/>
        <v>0</v>
      </c>
      <c r="TJ36" s="11">
        <f t="shared" si="142"/>
        <v>0</v>
      </c>
      <c r="TK36" s="11">
        <f t="shared" si="142"/>
        <v>0</v>
      </c>
      <c r="TL36" s="11">
        <f t="shared" si="142"/>
        <v>0</v>
      </c>
      <c r="TM36" s="11">
        <f t="shared" si="142"/>
        <v>0</v>
      </c>
      <c r="TN36" s="11">
        <f t="shared" si="142"/>
        <v>0</v>
      </c>
      <c r="TO36" s="11">
        <f t="shared" si="142"/>
        <v>0</v>
      </c>
      <c r="TP36" s="11">
        <f t="shared" si="142"/>
        <v>0</v>
      </c>
      <c r="TQ36" s="11">
        <f t="shared" si="142"/>
        <v>0</v>
      </c>
      <c r="TR36" s="11">
        <f t="shared" si="142"/>
        <v>0</v>
      </c>
      <c r="TS36" s="11">
        <f t="shared" si="142"/>
        <v>0</v>
      </c>
      <c r="TT36" s="11">
        <f t="shared" si="142"/>
        <v>0</v>
      </c>
      <c r="TU36" s="11">
        <f t="shared" si="142"/>
        <v>0</v>
      </c>
      <c r="TV36" s="11">
        <f t="shared" si="142"/>
        <v>0</v>
      </c>
      <c r="TW36" s="11">
        <f t="shared" si="142"/>
        <v>0</v>
      </c>
      <c r="TX36" s="11">
        <f t="shared" si="142"/>
        <v>0</v>
      </c>
      <c r="TY36" s="11">
        <f t="shared" si="142"/>
        <v>0</v>
      </c>
      <c r="TZ36" s="11">
        <f t="shared" si="142"/>
        <v>0</v>
      </c>
      <c r="UA36" s="11">
        <f t="shared" si="142"/>
        <v>0</v>
      </c>
      <c r="UB36" s="11">
        <f t="shared" si="142"/>
        <v>0</v>
      </c>
      <c r="UC36" s="11">
        <f t="shared" si="142"/>
        <v>0</v>
      </c>
      <c r="UD36" s="11">
        <f t="shared" si="142"/>
        <v>0</v>
      </c>
      <c r="UE36" s="11">
        <f t="shared" si="142"/>
        <v>0</v>
      </c>
      <c r="UF36" s="11">
        <f t="shared" si="142"/>
        <v>0</v>
      </c>
      <c r="UG36" s="11">
        <f t="shared" si="142"/>
        <v>0</v>
      </c>
      <c r="UH36" s="11">
        <f t="shared" si="142"/>
        <v>0</v>
      </c>
      <c r="UI36" s="11">
        <f t="shared" si="142"/>
        <v>0</v>
      </c>
      <c r="UJ36" s="11">
        <f t="shared" si="142"/>
        <v>0</v>
      </c>
      <c r="UK36" s="11">
        <f t="shared" si="142"/>
        <v>0</v>
      </c>
      <c r="UL36" s="11">
        <f t="shared" si="142"/>
        <v>0</v>
      </c>
      <c r="UM36" s="11">
        <f t="shared" si="142"/>
        <v>0</v>
      </c>
      <c r="UN36" s="11">
        <f t="shared" si="142"/>
        <v>0</v>
      </c>
      <c r="UO36" s="11">
        <f t="shared" si="142"/>
        <v>0</v>
      </c>
      <c r="UP36" s="11">
        <f t="shared" si="142"/>
        <v>0</v>
      </c>
      <c r="UQ36" s="11">
        <f t="shared" si="142"/>
        <v>0</v>
      </c>
      <c r="UR36" s="11">
        <f t="shared" si="142"/>
        <v>0</v>
      </c>
      <c r="US36" s="11">
        <f t="shared" si="142"/>
        <v>0</v>
      </c>
      <c r="UT36" s="11">
        <f t="shared" si="142"/>
        <v>0</v>
      </c>
      <c r="UU36" s="11">
        <f t="shared" si="142"/>
        <v>0</v>
      </c>
      <c r="UV36" s="11">
        <f t="shared" si="142"/>
        <v>0</v>
      </c>
      <c r="UW36" s="11">
        <f t="shared" si="142"/>
        <v>0</v>
      </c>
      <c r="UX36" s="11">
        <f t="shared" si="142"/>
        <v>0</v>
      </c>
      <c r="UY36" s="11">
        <f t="shared" si="142"/>
        <v>0</v>
      </c>
      <c r="UZ36" s="11">
        <f t="shared" si="142"/>
        <v>0</v>
      </c>
      <c r="VA36" s="11">
        <f t="shared" si="142"/>
        <v>0</v>
      </c>
      <c r="VB36" s="11">
        <f t="shared" si="142"/>
        <v>0</v>
      </c>
      <c r="VC36" s="11">
        <f t="shared" si="142"/>
        <v>0</v>
      </c>
      <c r="VD36" s="11">
        <f t="shared" si="142"/>
        <v>0</v>
      </c>
      <c r="VE36" s="11">
        <f t="shared" si="142"/>
        <v>0</v>
      </c>
      <c r="VF36" s="11">
        <f t="shared" si="142"/>
        <v>0</v>
      </c>
      <c r="VG36" s="11">
        <f t="shared" si="142"/>
        <v>0</v>
      </c>
      <c r="VH36" s="11">
        <f t="shared" si="142"/>
        <v>0</v>
      </c>
      <c r="VI36" s="11">
        <f t="shared" si="142"/>
        <v>0</v>
      </c>
      <c r="VJ36" s="11">
        <f t="shared" si="142"/>
        <v>0</v>
      </c>
      <c r="VK36" s="11">
        <f t="shared" ref="VK36:XV36" si="143">SUM(VK32:VK35)</f>
        <v>0</v>
      </c>
      <c r="VL36" s="11">
        <f t="shared" si="143"/>
        <v>0</v>
      </c>
      <c r="VM36" s="11">
        <f t="shared" si="143"/>
        <v>0</v>
      </c>
      <c r="VN36" s="11">
        <f t="shared" si="143"/>
        <v>0</v>
      </c>
      <c r="VO36" s="11">
        <f t="shared" si="143"/>
        <v>0</v>
      </c>
      <c r="VP36" s="11">
        <f t="shared" si="143"/>
        <v>0</v>
      </c>
      <c r="VQ36" s="11">
        <f t="shared" si="143"/>
        <v>0</v>
      </c>
      <c r="VR36" s="11">
        <f t="shared" si="143"/>
        <v>0</v>
      </c>
      <c r="VS36" s="11">
        <f t="shared" si="143"/>
        <v>0</v>
      </c>
      <c r="VT36" s="11">
        <f t="shared" si="143"/>
        <v>0</v>
      </c>
      <c r="VU36" s="11">
        <f t="shared" si="143"/>
        <v>0</v>
      </c>
      <c r="VV36" s="11">
        <f t="shared" si="143"/>
        <v>0</v>
      </c>
      <c r="VW36" s="11">
        <f t="shared" si="143"/>
        <v>0</v>
      </c>
      <c r="VX36" s="11">
        <f t="shared" si="143"/>
        <v>0</v>
      </c>
      <c r="VY36" s="11">
        <f t="shared" si="143"/>
        <v>0</v>
      </c>
      <c r="VZ36" s="11">
        <f t="shared" si="143"/>
        <v>0</v>
      </c>
      <c r="WA36" s="11">
        <f t="shared" si="143"/>
        <v>0</v>
      </c>
      <c r="WB36" s="11">
        <f t="shared" si="143"/>
        <v>0</v>
      </c>
      <c r="WC36" s="11">
        <f t="shared" si="143"/>
        <v>0</v>
      </c>
      <c r="WD36" s="11">
        <f t="shared" si="143"/>
        <v>0</v>
      </c>
      <c r="WE36" s="11">
        <f t="shared" si="143"/>
        <v>0</v>
      </c>
      <c r="WF36" s="11">
        <f t="shared" si="143"/>
        <v>0</v>
      </c>
      <c r="WG36" s="11">
        <f t="shared" si="143"/>
        <v>0</v>
      </c>
      <c r="WH36" s="11">
        <f t="shared" si="143"/>
        <v>0</v>
      </c>
      <c r="WI36" s="11">
        <f t="shared" si="143"/>
        <v>0</v>
      </c>
      <c r="WJ36" s="11">
        <f t="shared" si="143"/>
        <v>0</v>
      </c>
      <c r="WK36" s="11">
        <f t="shared" si="143"/>
        <v>0</v>
      </c>
      <c r="WL36" s="11">
        <f t="shared" si="143"/>
        <v>0</v>
      </c>
      <c r="WM36" s="11">
        <f t="shared" si="143"/>
        <v>0</v>
      </c>
      <c r="WN36" s="11">
        <f t="shared" si="143"/>
        <v>0</v>
      </c>
      <c r="WO36" s="11">
        <f t="shared" si="143"/>
        <v>0</v>
      </c>
      <c r="WP36" s="11">
        <f t="shared" si="143"/>
        <v>0</v>
      </c>
      <c r="WQ36" s="11">
        <f t="shared" si="143"/>
        <v>0</v>
      </c>
      <c r="WR36" s="11">
        <f t="shared" si="143"/>
        <v>0</v>
      </c>
      <c r="WS36" s="11">
        <f t="shared" si="143"/>
        <v>0</v>
      </c>
      <c r="WT36" s="11">
        <f t="shared" si="143"/>
        <v>0</v>
      </c>
      <c r="WU36" s="11">
        <f t="shared" si="143"/>
        <v>0</v>
      </c>
      <c r="WV36" s="11">
        <f t="shared" si="143"/>
        <v>0</v>
      </c>
      <c r="WW36" s="11">
        <f t="shared" si="143"/>
        <v>0</v>
      </c>
      <c r="WX36" s="11">
        <f t="shared" si="143"/>
        <v>0</v>
      </c>
      <c r="WY36" s="11">
        <f t="shared" si="143"/>
        <v>0</v>
      </c>
      <c r="WZ36" s="11">
        <f t="shared" si="143"/>
        <v>0</v>
      </c>
      <c r="XA36" s="11">
        <f t="shared" si="143"/>
        <v>0</v>
      </c>
      <c r="XB36" s="11">
        <f t="shared" si="143"/>
        <v>0</v>
      </c>
      <c r="XC36" s="11">
        <f t="shared" si="143"/>
        <v>0</v>
      </c>
      <c r="XD36" s="11">
        <f t="shared" si="143"/>
        <v>0</v>
      </c>
      <c r="XE36" s="11">
        <f t="shared" si="143"/>
        <v>0</v>
      </c>
      <c r="XF36" s="11">
        <f t="shared" si="143"/>
        <v>0</v>
      </c>
      <c r="XG36" s="11">
        <f t="shared" si="143"/>
        <v>0</v>
      </c>
      <c r="XH36" s="11">
        <f t="shared" si="143"/>
        <v>0</v>
      </c>
      <c r="XI36" s="11">
        <f t="shared" si="143"/>
        <v>0</v>
      </c>
      <c r="XJ36" s="11">
        <f t="shared" si="143"/>
        <v>0</v>
      </c>
      <c r="XK36" s="11">
        <f t="shared" si="143"/>
        <v>0</v>
      </c>
      <c r="XL36" s="11">
        <f t="shared" si="143"/>
        <v>0</v>
      </c>
      <c r="XM36" s="11">
        <f t="shared" si="143"/>
        <v>0</v>
      </c>
      <c r="XN36" s="11">
        <f t="shared" si="143"/>
        <v>0</v>
      </c>
      <c r="XO36" s="11">
        <f t="shared" si="143"/>
        <v>0</v>
      </c>
      <c r="XP36" s="11">
        <f t="shared" si="143"/>
        <v>0</v>
      </c>
      <c r="XQ36" s="11">
        <f t="shared" si="143"/>
        <v>0</v>
      </c>
      <c r="XR36" s="11">
        <f t="shared" si="143"/>
        <v>0</v>
      </c>
      <c r="XS36" s="11">
        <f t="shared" si="143"/>
        <v>0</v>
      </c>
      <c r="XT36" s="11">
        <f t="shared" si="143"/>
        <v>0</v>
      </c>
      <c r="XU36" s="11">
        <f t="shared" si="143"/>
        <v>0</v>
      </c>
      <c r="XV36" s="11">
        <f t="shared" si="143"/>
        <v>0</v>
      </c>
      <c r="XW36" s="11">
        <f t="shared" ref="XW36:AAH36" si="144">SUM(XW32:XW35)</f>
        <v>0</v>
      </c>
      <c r="XX36" s="11">
        <f t="shared" si="144"/>
        <v>0</v>
      </c>
      <c r="XY36" s="11">
        <f t="shared" si="144"/>
        <v>0</v>
      </c>
      <c r="XZ36" s="11">
        <f t="shared" si="144"/>
        <v>0</v>
      </c>
      <c r="YA36" s="11">
        <f t="shared" si="144"/>
        <v>0</v>
      </c>
      <c r="YB36" s="11">
        <f t="shared" si="144"/>
        <v>0</v>
      </c>
      <c r="YC36" s="11">
        <f t="shared" si="144"/>
        <v>0</v>
      </c>
      <c r="YD36" s="11">
        <f t="shared" si="144"/>
        <v>0</v>
      </c>
      <c r="YE36" s="11">
        <f t="shared" si="144"/>
        <v>0</v>
      </c>
      <c r="YF36" s="11">
        <f t="shared" si="144"/>
        <v>0</v>
      </c>
      <c r="YG36" s="11">
        <f t="shared" si="144"/>
        <v>0</v>
      </c>
      <c r="YH36" s="11">
        <f t="shared" si="144"/>
        <v>0</v>
      </c>
      <c r="YI36" s="11">
        <f t="shared" si="144"/>
        <v>0</v>
      </c>
      <c r="YJ36" s="11">
        <f t="shared" si="144"/>
        <v>0</v>
      </c>
      <c r="YK36" s="11">
        <f t="shared" si="144"/>
        <v>0</v>
      </c>
      <c r="YL36" s="11">
        <f t="shared" si="144"/>
        <v>0</v>
      </c>
      <c r="YM36" s="11">
        <f t="shared" si="144"/>
        <v>0</v>
      </c>
      <c r="YN36" s="11">
        <f t="shared" si="144"/>
        <v>0</v>
      </c>
      <c r="YO36" s="11">
        <f t="shared" si="144"/>
        <v>0</v>
      </c>
      <c r="YP36" s="11">
        <f t="shared" si="144"/>
        <v>0</v>
      </c>
      <c r="YQ36" s="11">
        <f t="shared" si="144"/>
        <v>0</v>
      </c>
      <c r="YR36" s="11">
        <f t="shared" si="144"/>
        <v>0</v>
      </c>
      <c r="YS36" s="11">
        <f t="shared" si="144"/>
        <v>0</v>
      </c>
      <c r="YT36" s="11">
        <f t="shared" si="144"/>
        <v>0</v>
      </c>
      <c r="YU36" s="11">
        <f t="shared" si="144"/>
        <v>0</v>
      </c>
      <c r="YV36" s="11">
        <f t="shared" si="144"/>
        <v>0</v>
      </c>
      <c r="YW36" s="11">
        <f t="shared" si="144"/>
        <v>0</v>
      </c>
      <c r="YX36" s="11">
        <f t="shared" si="144"/>
        <v>0</v>
      </c>
      <c r="YY36" s="11">
        <f t="shared" si="144"/>
        <v>0</v>
      </c>
      <c r="YZ36" s="11">
        <f t="shared" si="144"/>
        <v>0</v>
      </c>
      <c r="ZA36" s="11">
        <f t="shared" si="144"/>
        <v>0</v>
      </c>
      <c r="ZB36" s="11">
        <f t="shared" si="144"/>
        <v>0</v>
      </c>
      <c r="ZC36" s="11">
        <f t="shared" si="144"/>
        <v>0</v>
      </c>
      <c r="ZD36" s="11">
        <f t="shared" si="144"/>
        <v>0</v>
      </c>
      <c r="ZE36" s="11">
        <f t="shared" si="144"/>
        <v>0</v>
      </c>
      <c r="ZF36" s="11">
        <f t="shared" si="144"/>
        <v>0</v>
      </c>
      <c r="ZG36" s="11">
        <f t="shared" si="144"/>
        <v>0</v>
      </c>
      <c r="ZH36" s="11">
        <f t="shared" si="144"/>
        <v>0</v>
      </c>
      <c r="ZI36" s="11">
        <f t="shared" si="144"/>
        <v>0</v>
      </c>
      <c r="ZJ36" s="11">
        <f t="shared" si="144"/>
        <v>0</v>
      </c>
      <c r="ZK36" s="11">
        <f t="shared" si="144"/>
        <v>0</v>
      </c>
      <c r="ZL36" s="11">
        <f t="shared" si="144"/>
        <v>0</v>
      </c>
      <c r="ZM36" s="11">
        <f t="shared" si="144"/>
        <v>0</v>
      </c>
      <c r="ZN36" s="11">
        <f t="shared" si="144"/>
        <v>0</v>
      </c>
      <c r="ZO36" s="11">
        <f t="shared" si="144"/>
        <v>0</v>
      </c>
      <c r="ZP36" s="11">
        <f t="shared" si="144"/>
        <v>0</v>
      </c>
      <c r="ZQ36" s="11">
        <f t="shared" si="144"/>
        <v>0</v>
      </c>
      <c r="ZR36" s="11">
        <f t="shared" si="144"/>
        <v>0</v>
      </c>
      <c r="ZS36" s="11">
        <f t="shared" si="144"/>
        <v>0</v>
      </c>
      <c r="ZT36" s="11">
        <f t="shared" si="144"/>
        <v>0</v>
      </c>
      <c r="ZU36" s="11">
        <f t="shared" si="144"/>
        <v>0</v>
      </c>
      <c r="ZV36" s="11">
        <f t="shared" si="144"/>
        <v>0</v>
      </c>
      <c r="ZW36" s="11">
        <f t="shared" si="144"/>
        <v>0</v>
      </c>
      <c r="ZX36" s="11">
        <f t="shared" si="144"/>
        <v>0</v>
      </c>
      <c r="ZY36" s="11">
        <f t="shared" si="144"/>
        <v>0</v>
      </c>
      <c r="ZZ36" s="11">
        <f t="shared" si="144"/>
        <v>0</v>
      </c>
      <c r="AAA36" s="11">
        <f t="shared" si="144"/>
        <v>0</v>
      </c>
      <c r="AAB36" s="11">
        <f t="shared" si="144"/>
        <v>0</v>
      </c>
      <c r="AAC36" s="11">
        <f t="shared" si="144"/>
        <v>0</v>
      </c>
      <c r="AAD36" s="11">
        <f t="shared" si="144"/>
        <v>0</v>
      </c>
      <c r="AAE36" s="11">
        <f t="shared" si="144"/>
        <v>0</v>
      </c>
      <c r="AAF36" s="11">
        <f t="shared" si="144"/>
        <v>0</v>
      </c>
      <c r="AAG36" s="11">
        <f t="shared" si="144"/>
        <v>0</v>
      </c>
      <c r="AAH36" s="11">
        <f t="shared" si="144"/>
        <v>0</v>
      </c>
      <c r="AAI36" s="11">
        <f t="shared" ref="AAI36:ABI36" si="145">SUM(AAI32:AAI35)</f>
        <v>0</v>
      </c>
      <c r="AAJ36" s="11">
        <f t="shared" si="145"/>
        <v>0</v>
      </c>
      <c r="AAK36" s="11">
        <f t="shared" si="145"/>
        <v>0</v>
      </c>
      <c r="AAL36" s="11">
        <f t="shared" si="145"/>
        <v>0</v>
      </c>
      <c r="AAM36" s="11">
        <f t="shared" si="145"/>
        <v>0</v>
      </c>
      <c r="AAN36" s="11">
        <f t="shared" si="145"/>
        <v>0</v>
      </c>
      <c r="AAO36" s="11">
        <f t="shared" si="145"/>
        <v>0</v>
      </c>
      <c r="AAP36" s="11">
        <f t="shared" si="145"/>
        <v>0</v>
      </c>
      <c r="AAQ36" s="11">
        <f t="shared" si="145"/>
        <v>0</v>
      </c>
      <c r="AAR36" s="11">
        <f t="shared" si="145"/>
        <v>0</v>
      </c>
      <c r="AAS36" s="11">
        <f t="shared" si="145"/>
        <v>0</v>
      </c>
      <c r="AAT36" s="11">
        <f t="shared" si="145"/>
        <v>0</v>
      </c>
      <c r="AAU36" s="11">
        <f t="shared" si="145"/>
        <v>0</v>
      </c>
      <c r="AAV36" s="11">
        <f t="shared" si="145"/>
        <v>0</v>
      </c>
      <c r="AAW36" s="11">
        <f t="shared" si="145"/>
        <v>0</v>
      </c>
      <c r="AAX36" s="11">
        <f t="shared" si="145"/>
        <v>0</v>
      </c>
      <c r="AAY36" s="11">
        <f t="shared" si="145"/>
        <v>0</v>
      </c>
      <c r="AAZ36" s="11">
        <f t="shared" si="145"/>
        <v>0</v>
      </c>
      <c r="ABA36" s="11">
        <f t="shared" si="145"/>
        <v>0</v>
      </c>
      <c r="ABB36" s="11">
        <f t="shared" si="145"/>
        <v>0</v>
      </c>
      <c r="ABC36" s="11">
        <f t="shared" si="145"/>
        <v>0</v>
      </c>
      <c r="ABD36" s="11">
        <f t="shared" si="145"/>
        <v>0</v>
      </c>
      <c r="ABE36" s="11">
        <f t="shared" si="145"/>
        <v>0</v>
      </c>
      <c r="ABF36" s="11">
        <f t="shared" si="145"/>
        <v>0</v>
      </c>
      <c r="ABG36" s="11">
        <f t="shared" si="145"/>
        <v>0</v>
      </c>
      <c r="ABH36" s="11">
        <f t="shared" si="145"/>
        <v>0</v>
      </c>
      <c r="ABI36" s="11">
        <f t="shared" si="145"/>
        <v>0</v>
      </c>
    </row>
    <row r="37" spans="2:737" ht="12.95" hidden="1" customHeight="1" x14ac:dyDescent="0.25">
      <c r="D37" s="1" t="s">
        <v>13</v>
      </c>
      <c r="F37" s="2">
        <f>IF(F21=1,[1]TESTE_LOG_OBRA!$D$11,0)</f>
        <v>17</v>
      </c>
      <c r="G37" s="2">
        <f>IF(G21=1,[1]TESTE_LOG_OBRA!$D$11,0)</f>
        <v>17</v>
      </c>
      <c r="H37" s="2">
        <f>IF(H21=1,[1]TESTE_LOG_OBRA!$D$11,0)</f>
        <v>17</v>
      </c>
      <c r="I37" s="2">
        <f>IF(I21=1,[1]TESTE_LOG_OBRA!$D$11,0)</f>
        <v>17</v>
      </c>
      <c r="J37" s="2">
        <f>IF(J21=1,[1]TESTE_LOG_OBRA!$D$11,0)</f>
        <v>17</v>
      </c>
      <c r="K37" s="2">
        <f>IF(K21=1,[1]TESTE_LOG_OBRA!$D$11,0)</f>
        <v>17</v>
      </c>
      <c r="L37" s="2">
        <f>IF(L21=1,[1]TESTE_LOG_OBRA!$D$11,0)</f>
        <v>17</v>
      </c>
      <c r="M37" s="2">
        <f>IF(M21=1,[1]TESTE_LOG_OBRA!$D$11,0)</f>
        <v>17</v>
      </c>
      <c r="N37" s="2">
        <f>IF(N21=1,[1]TESTE_LOG_OBRA!$D$11,0)</f>
        <v>17</v>
      </c>
      <c r="O37" s="2">
        <f>IF(O21=1,[1]TESTE_LOG_OBRA!$D$11,0)</f>
        <v>17</v>
      </c>
      <c r="P37" s="2">
        <f>IF(P21=1,[1]TESTE_LOG_OBRA!$D$11,0)</f>
        <v>17</v>
      </c>
      <c r="Q37" s="2">
        <f>IF(Q21=1,[1]TESTE_LOG_OBRA!$D$11,0)</f>
        <v>17</v>
      </c>
      <c r="R37" s="2">
        <f>IF(R21=1,[1]TESTE_LOG_OBRA!$D$11,0)</f>
        <v>17</v>
      </c>
      <c r="S37" s="2">
        <f>IF(S21=1,[1]TESTE_LOG_OBRA!$D$11,0)</f>
        <v>17</v>
      </c>
      <c r="T37" s="2">
        <f>IF(T21=1,[1]TESTE_LOG_OBRA!$D$11,0)</f>
        <v>17</v>
      </c>
      <c r="U37" s="2">
        <f>IF(U21=1,[1]TESTE_LOG_OBRA!$D$11,0)</f>
        <v>17</v>
      </c>
      <c r="V37" s="2">
        <f>IF(V21=1,[1]TESTE_LOG_OBRA!$D$11,0)</f>
        <v>17</v>
      </c>
      <c r="W37" s="2">
        <f>IF(W21=1,[1]TESTE_LOG_OBRA!$D$11,0)</f>
        <v>17</v>
      </c>
      <c r="X37" s="2">
        <f>IF(X21=1,[1]TESTE_LOG_OBRA!$D$11,0)</f>
        <v>17</v>
      </c>
      <c r="Y37" s="2">
        <f>IF(Y21=1,[1]TESTE_LOG_OBRA!$D$11,0)</f>
        <v>17</v>
      </c>
      <c r="Z37" s="2">
        <f>IF(Z21=1,[1]TESTE_LOG_OBRA!$D$11,0)</f>
        <v>17</v>
      </c>
      <c r="AA37" s="2">
        <f>IF(AA21=1,[1]TESTE_LOG_OBRA!$D$11,0)</f>
        <v>17</v>
      </c>
      <c r="AB37" s="2">
        <f>IF(AB21=1,[1]TESTE_LOG_OBRA!$D$11,0)</f>
        <v>17</v>
      </c>
      <c r="AC37" s="2">
        <f>IF(AC21=1,[1]TESTE_LOG_OBRA!$D$11,0)</f>
        <v>17</v>
      </c>
      <c r="AD37" s="2">
        <f>IF(AD21=1,[1]TESTE_LOG_OBRA!$D$11,0)</f>
        <v>17</v>
      </c>
      <c r="AE37" s="2">
        <f>IF(AE21=1,[1]TESTE_LOG_OBRA!$D$11,0)</f>
        <v>17</v>
      </c>
      <c r="AF37" s="2">
        <f>IF(AF21=1,[1]TESTE_LOG_OBRA!$D$11,0)</f>
        <v>17</v>
      </c>
      <c r="AG37" s="2">
        <f>IF(AG21=1,[1]TESTE_LOG_OBRA!$D$11,0)</f>
        <v>17</v>
      </c>
      <c r="AH37" s="2">
        <f>IF(AH21=1,[1]TESTE_LOG_OBRA!$D$11,0)</f>
        <v>17</v>
      </c>
      <c r="AI37" s="2">
        <f>IF(AI21=1,[1]TESTE_LOG_OBRA!$D$11,0)</f>
        <v>17</v>
      </c>
      <c r="AJ37" s="2">
        <f>IF(AJ21=1,[1]TESTE_LOG_OBRA!$D$11,0)</f>
        <v>17</v>
      </c>
      <c r="AK37" s="2">
        <f>IF(AK21=1,[1]TESTE_LOG_OBRA!$D$11,0)</f>
        <v>17</v>
      </c>
      <c r="AL37" s="2">
        <f>IF(AL21=1,[1]TESTE_LOG_OBRA!$D$11,0)</f>
        <v>17</v>
      </c>
      <c r="AM37" s="2">
        <f>IF(AM21=1,[1]TESTE_LOG_OBRA!$D$11,0)</f>
        <v>17</v>
      </c>
      <c r="AN37" s="2">
        <f>IF(AN21=1,[1]TESTE_LOG_OBRA!$D$11,0)</f>
        <v>17</v>
      </c>
      <c r="AO37" s="2">
        <f>IF(AO21=1,[1]TESTE_LOG_OBRA!$D$11,0)</f>
        <v>17</v>
      </c>
      <c r="AP37" s="2">
        <f>IF(AP21=1,[1]TESTE_LOG_OBRA!$D$11,0)</f>
        <v>17</v>
      </c>
      <c r="AQ37" s="2">
        <f>IF(AQ21=1,[1]TESTE_LOG_OBRA!$D$11,0)</f>
        <v>17</v>
      </c>
      <c r="AR37" s="2">
        <f>IF(AR21=1,[1]TESTE_LOG_OBRA!$D$11,0)</f>
        <v>17</v>
      </c>
      <c r="AS37" s="2">
        <f>IF(AS21=1,[1]TESTE_LOG_OBRA!$D$11,0)</f>
        <v>17</v>
      </c>
      <c r="AT37" s="2">
        <f>IF(AT21=1,[1]TESTE_LOG_OBRA!$D$11,0)</f>
        <v>17</v>
      </c>
      <c r="AU37" s="2">
        <f>IF(AU21=1,[1]TESTE_LOG_OBRA!$D$11,0)</f>
        <v>17</v>
      </c>
      <c r="AV37" s="2">
        <f>IF(AV21=1,[1]TESTE_LOG_OBRA!$D$11,0)</f>
        <v>17</v>
      </c>
      <c r="AW37" s="2">
        <f>IF(AW21=1,[1]TESTE_LOG_OBRA!$D$11,0)</f>
        <v>17</v>
      </c>
      <c r="AX37" s="2">
        <f>IF(AX21=1,[1]TESTE_LOG_OBRA!$D$11,0)</f>
        <v>17</v>
      </c>
      <c r="AY37" s="2">
        <f>IF(AY21=1,[1]TESTE_LOG_OBRA!$D$11,0)</f>
        <v>17</v>
      </c>
      <c r="AZ37" s="2">
        <f>IF(AZ21=1,[1]TESTE_LOG_OBRA!$D$11,0)</f>
        <v>17</v>
      </c>
      <c r="BA37" s="2">
        <f>IF(BA21=1,[1]TESTE_LOG_OBRA!$D$11,0)</f>
        <v>17</v>
      </c>
      <c r="BB37" s="2">
        <f>IF(BB21=1,[1]TESTE_LOG_OBRA!$D$11,0)</f>
        <v>17</v>
      </c>
      <c r="BC37" s="2">
        <f>IF(BC21=1,[1]TESTE_LOG_OBRA!$D$11,0)</f>
        <v>17</v>
      </c>
      <c r="BD37" s="2">
        <f>IF(BD21=1,[1]TESTE_LOG_OBRA!$D$11,0)</f>
        <v>17</v>
      </c>
      <c r="BE37" s="2">
        <f>IF(BE21=1,[1]TESTE_LOG_OBRA!$D$11,0)</f>
        <v>17</v>
      </c>
      <c r="BF37" s="2">
        <f>IF(BF21=1,[1]TESTE_LOG_OBRA!$D$11,0)</f>
        <v>17</v>
      </c>
      <c r="BG37" s="2">
        <f>IF(BG21=1,[1]TESTE_LOG_OBRA!$D$11,0)</f>
        <v>17</v>
      </c>
      <c r="BH37" s="2">
        <f>IF(BH21=1,[1]TESTE_LOG_OBRA!$D$11,0)</f>
        <v>17</v>
      </c>
      <c r="BI37" s="2">
        <f>IF(BI21=1,[1]TESTE_LOG_OBRA!$D$11,0)</f>
        <v>17</v>
      </c>
      <c r="BJ37" s="2">
        <f>IF(BJ21=1,[1]TESTE_LOG_OBRA!$D$11,0)</f>
        <v>17</v>
      </c>
      <c r="BK37" s="2">
        <f>IF(BK21=1,[1]TESTE_LOG_OBRA!$D$11,0)</f>
        <v>17</v>
      </c>
      <c r="BL37" s="2">
        <f>IF(BL21=1,[1]TESTE_LOG_OBRA!$D$11,0)</f>
        <v>17</v>
      </c>
      <c r="BM37" s="2">
        <f>IF(BM21=1,[1]TESTE_LOG_OBRA!$D$11,0)</f>
        <v>17</v>
      </c>
      <c r="BN37" s="2">
        <f>IF(BN21=1,[1]TESTE_LOG_OBRA!$D$11,0)</f>
        <v>17</v>
      </c>
      <c r="BO37" s="2">
        <f>IF(BO21=1,[1]TESTE_LOG_OBRA!$D$11,0)</f>
        <v>17</v>
      </c>
      <c r="BP37" s="2">
        <f>IF(BP21=1,[1]TESTE_LOG_OBRA!$D$11,0)</f>
        <v>17</v>
      </c>
      <c r="BQ37" s="2">
        <f>IF(BQ21=1,[1]TESTE_LOG_OBRA!$D$11,0)</f>
        <v>17</v>
      </c>
      <c r="BR37" s="2">
        <f>IF(BR21=1,[1]TESTE_LOG_OBRA!$D$11,0)</f>
        <v>17</v>
      </c>
      <c r="BS37" s="2">
        <f>IF(BS21=1,[1]TESTE_LOG_OBRA!$D$11,0)</f>
        <v>17</v>
      </c>
      <c r="BT37" s="2">
        <f>IF(BT21=1,[1]TESTE_LOG_OBRA!$D$11,0)</f>
        <v>17</v>
      </c>
      <c r="BU37" s="2">
        <f>IF(BU21=1,[1]TESTE_LOG_OBRA!$D$11,0)</f>
        <v>17</v>
      </c>
      <c r="BV37" s="2">
        <f>IF(BV21=1,[1]TESTE_LOG_OBRA!$D$11,0)</f>
        <v>17</v>
      </c>
      <c r="BW37" s="2">
        <f>IF(BW21=1,[1]TESTE_LOG_OBRA!$D$11,0)</f>
        <v>17</v>
      </c>
      <c r="BX37" s="2">
        <f>IF(BX21=1,[1]TESTE_LOG_OBRA!$D$11,0)</f>
        <v>17</v>
      </c>
      <c r="BY37" s="2">
        <f>IF(BY21=1,[1]TESTE_LOG_OBRA!$D$11,0)</f>
        <v>17</v>
      </c>
      <c r="BZ37" s="2">
        <f>IF(BZ21=1,[1]TESTE_LOG_OBRA!$D$11,0)</f>
        <v>17</v>
      </c>
      <c r="CA37" s="2">
        <f>IF(CA21=1,[1]TESTE_LOG_OBRA!$D$11,0)</f>
        <v>17</v>
      </c>
      <c r="CB37" s="2">
        <f>IF(CB21=1,[1]TESTE_LOG_OBRA!$D$11,0)</f>
        <v>17</v>
      </c>
      <c r="CC37" s="2">
        <f>IF(CC21=1,[1]TESTE_LOG_OBRA!$D$11,0)</f>
        <v>17</v>
      </c>
      <c r="CD37" s="2">
        <f>IF(CD21=1,[1]TESTE_LOG_OBRA!$D$11,0)</f>
        <v>17</v>
      </c>
      <c r="CE37" s="2">
        <f>IF(CE21=1,[1]TESTE_LOG_OBRA!$D$11,0)</f>
        <v>17</v>
      </c>
      <c r="CF37" s="2">
        <f>IF(CF21=1,[1]TESTE_LOG_OBRA!$D$11,0)</f>
        <v>17</v>
      </c>
      <c r="CG37" s="2">
        <f>IF(CG21=1,[1]TESTE_LOG_OBRA!$D$11,0)</f>
        <v>17</v>
      </c>
      <c r="CH37" s="2">
        <f>IF(CH21=1,[1]TESTE_LOG_OBRA!$D$11,0)</f>
        <v>17</v>
      </c>
      <c r="CI37" s="2">
        <f>IF(CI21=1,[1]TESTE_LOG_OBRA!$D$11,0)</f>
        <v>17</v>
      </c>
      <c r="CJ37" s="2">
        <f>IF(CJ21=1,[1]TESTE_LOG_OBRA!$D$11,0)</f>
        <v>17</v>
      </c>
      <c r="CK37" s="2">
        <f>IF(CK21=1,[1]TESTE_LOG_OBRA!$D$11,0)</f>
        <v>17</v>
      </c>
      <c r="CL37" s="2">
        <f>IF(CL21=1,[1]TESTE_LOG_OBRA!$D$11,0)</f>
        <v>17</v>
      </c>
      <c r="CM37" s="2">
        <f>IF(CM21=1,[1]TESTE_LOG_OBRA!$D$11,0)</f>
        <v>17</v>
      </c>
      <c r="CN37" s="2">
        <f>IF(CN21=1,[1]TESTE_LOG_OBRA!$D$11,0)</f>
        <v>17</v>
      </c>
      <c r="CO37" s="2">
        <f>IF(CO21=1,[1]TESTE_LOG_OBRA!$D$11,0)</f>
        <v>17</v>
      </c>
      <c r="CP37" s="2">
        <f>IF(CP21=1,[1]TESTE_LOG_OBRA!$D$11,0)</f>
        <v>17</v>
      </c>
      <c r="CQ37" s="2">
        <f>IF(CQ21=1,[1]TESTE_LOG_OBRA!$D$11,0)</f>
        <v>17</v>
      </c>
      <c r="CR37" s="2">
        <f>IF(CR21=1,[1]TESTE_LOG_OBRA!$D$11,0)</f>
        <v>17</v>
      </c>
      <c r="CS37" s="2">
        <f>IF(CS21=1,[1]TESTE_LOG_OBRA!$D$11,0)</f>
        <v>17</v>
      </c>
      <c r="CT37" s="2">
        <f>IF(CT21=1,[1]TESTE_LOG_OBRA!$D$11,0)</f>
        <v>17</v>
      </c>
      <c r="CU37" s="2">
        <f>IF(CU21=1,[1]TESTE_LOG_OBRA!$D$11,0)</f>
        <v>17</v>
      </c>
      <c r="CV37" s="2">
        <f>IF(CV21=1,[1]TESTE_LOG_OBRA!$D$11,0)</f>
        <v>17</v>
      </c>
      <c r="CW37" s="2">
        <f>IF(CW21=1,[1]TESTE_LOG_OBRA!$D$11,0)</f>
        <v>17</v>
      </c>
      <c r="CX37" s="2">
        <f>IF(CX21=1,[1]TESTE_LOG_OBRA!$D$11,0)</f>
        <v>17</v>
      </c>
      <c r="CY37" s="2">
        <f>IF(CY21=1,[1]TESTE_LOG_OBRA!$D$11,0)</f>
        <v>17</v>
      </c>
      <c r="CZ37" s="2">
        <f>IF(CZ21=1,[1]TESTE_LOG_OBRA!$D$11,0)</f>
        <v>17</v>
      </c>
      <c r="DA37" s="2">
        <f>IF(DA21=1,[1]TESTE_LOG_OBRA!$D$11,0)</f>
        <v>17</v>
      </c>
      <c r="DB37" s="2">
        <f>IF(DB21=1,[1]TESTE_LOG_OBRA!$D$11,0)</f>
        <v>17</v>
      </c>
      <c r="DC37" s="2">
        <f>IF(DC21=1,[1]TESTE_LOG_OBRA!$D$11,0)</f>
        <v>17</v>
      </c>
      <c r="DD37" s="2">
        <f>IF(DD21=1,[1]TESTE_LOG_OBRA!$D$11,0)</f>
        <v>17</v>
      </c>
      <c r="DE37" s="2">
        <f>IF(DE21=1,[1]TESTE_LOG_OBRA!$D$11,0)</f>
        <v>17</v>
      </c>
      <c r="DF37" s="2">
        <f>IF(DF21=1,[1]TESTE_LOG_OBRA!$D$11,0)</f>
        <v>17</v>
      </c>
      <c r="DG37" s="2">
        <f>IF(DG21=1,[1]TESTE_LOG_OBRA!$D$11,0)</f>
        <v>17</v>
      </c>
      <c r="DH37" s="2">
        <f>IF(DH21=1,[1]TESTE_LOG_OBRA!$D$11,0)</f>
        <v>17</v>
      </c>
      <c r="DI37" s="2">
        <f>IF(DI21=1,[1]TESTE_LOG_OBRA!$D$11,0)</f>
        <v>17</v>
      </c>
      <c r="DJ37" s="2">
        <f>IF(DJ21=1,[1]TESTE_LOG_OBRA!$D$11,0)</f>
        <v>17</v>
      </c>
      <c r="DK37" s="2">
        <f>IF(DK21=1,[1]TESTE_LOG_OBRA!$D$11,0)</f>
        <v>17</v>
      </c>
      <c r="DL37" s="2">
        <f>IF(DL21=1,[1]TESTE_LOG_OBRA!$D$11,0)</f>
        <v>17</v>
      </c>
      <c r="DM37" s="2">
        <f>IF(DM21=1,[1]TESTE_LOG_OBRA!$D$11,0)</f>
        <v>17</v>
      </c>
      <c r="DN37" s="2">
        <f>IF(DN21=1,[1]TESTE_LOG_OBRA!$D$11,0)</f>
        <v>17</v>
      </c>
      <c r="DO37" s="2">
        <f>IF(DO21=1,[1]TESTE_LOG_OBRA!$D$11,0)</f>
        <v>17</v>
      </c>
      <c r="DP37" s="2">
        <f>IF(DP21=1,[1]TESTE_LOG_OBRA!$D$11,0)</f>
        <v>17</v>
      </c>
      <c r="DQ37" s="2">
        <f>IF(DQ21=1,[1]TESTE_LOG_OBRA!$D$11,0)</f>
        <v>17</v>
      </c>
      <c r="DR37" s="2">
        <f>IF(DR21=1,[1]TESTE_LOG_OBRA!$D$11,0)</f>
        <v>17</v>
      </c>
      <c r="DS37" s="2">
        <f>IF(DS21=1,[1]TESTE_LOG_OBRA!$D$11,0)</f>
        <v>17</v>
      </c>
      <c r="DT37" s="2">
        <f>IF(DT21=1,[1]TESTE_LOG_OBRA!$D$11,0)</f>
        <v>17</v>
      </c>
      <c r="DU37" s="2">
        <f>IF(DU21=1,[1]TESTE_LOG_OBRA!$D$11,0)</f>
        <v>17</v>
      </c>
      <c r="DV37" s="2">
        <f>IF(DV21=1,[1]TESTE_LOG_OBRA!$D$11,0)</f>
        <v>17</v>
      </c>
      <c r="DW37" s="2">
        <f>IF(DW21=1,[1]TESTE_LOG_OBRA!$D$11,0)</f>
        <v>17</v>
      </c>
      <c r="DX37" s="2">
        <f>IF(DX21=1,[1]TESTE_LOG_OBRA!$D$11,0)</f>
        <v>17</v>
      </c>
      <c r="DY37" s="2">
        <f>IF(DY21=1,[1]TESTE_LOG_OBRA!$D$11,0)</f>
        <v>17</v>
      </c>
      <c r="DZ37" s="2">
        <f>IF(DZ21=1,[1]TESTE_LOG_OBRA!$D$11,0)</f>
        <v>17</v>
      </c>
      <c r="EA37" s="2">
        <f>IF(EA21=1,[1]TESTE_LOG_OBRA!$D$11,0)</f>
        <v>17</v>
      </c>
      <c r="EB37" s="2">
        <f>IF(EB21=1,[1]TESTE_LOG_OBRA!$D$11,0)</f>
        <v>17</v>
      </c>
      <c r="EC37" s="2">
        <f>IF(EC21=1,[1]TESTE_LOG_OBRA!$D$11,0)</f>
        <v>17</v>
      </c>
      <c r="ED37" s="2">
        <f>IF(ED21=1,[1]TESTE_LOG_OBRA!$D$11,0)</f>
        <v>17</v>
      </c>
      <c r="EE37" s="2">
        <f>IF(EE21=1,[1]TESTE_LOG_OBRA!$D$11,0)</f>
        <v>17</v>
      </c>
      <c r="EF37" s="2">
        <f>IF(EF21=1,[1]TESTE_LOG_OBRA!$D$11,0)</f>
        <v>17</v>
      </c>
      <c r="EG37" s="2">
        <f>IF(EG21=1,[1]TESTE_LOG_OBRA!$D$11,0)</f>
        <v>17</v>
      </c>
      <c r="EH37" s="2">
        <f>IF(EH21=1,[1]TESTE_LOG_OBRA!$D$11,0)</f>
        <v>17</v>
      </c>
      <c r="EI37" s="2">
        <f>IF(EI21=1,[1]TESTE_LOG_OBRA!$D$11,0)</f>
        <v>17</v>
      </c>
      <c r="EJ37" s="2">
        <f>IF(EJ21=1,[1]TESTE_LOG_OBRA!$D$11,0)</f>
        <v>17</v>
      </c>
      <c r="EK37" s="2">
        <f>IF(EK21=1,[1]TESTE_LOG_OBRA!$D$11,0)</f>
        <v>17</v>
      </c>
      <c r="EL37" s="2">
        <f>IF(EL21=1,[1]TESTE_LOG_OBRA!$D$11,0)</f>
        <v>17</v>
      </c>
      <c r="EM37" s="2">
        <f>IF(EM21=1,[1]TESTE_LOG_OBRA!$D$11,0)</f>
        <v>17</v>
      </c>
      <c r="EN37" s="2">
        <f>IF(EN21=1,[1]TESTE_LOG_OBRA!$D$11,0)</f>
        <v>17</v>
      </c>
      <c r="EO37" s="2">
        <f>IF(EO21=1,[1]TESTE_LOG_OBRA!$D$11,0)</f>
        <v>17</v>
      </c>
      <c r="EP37" s="2">
        <f>IF(EP21=1,[1]TESTE_LOG_OBRA!$D$11,0)</f>
        <v>17</v>
      </c>
      <c r="EQ37" s="2">
        <f>IF(EQ21=1,[1]TESTE_LOG_OBRA!$D$11,0)</f>
        <v>17</v>
      </c>
      <c r="ER37" s="2">
        <f>IF(ER21=1,[1]TESTE_LOG_OBRA!$D$11,0)</f>
        <v>17</v>
      </c>
      <c r="ES37" s="2">
        <f>IF(ES21=1,[1]TESTE_LOG_OBRA!$D$11,0)</f>
        <v>17</v>
      </c>
      <c r="ET37" s="2">
        <f>IF(ET21=1,[1]TESTE_LOG_OBRA!$D$11,0)</f>
        <v>17</v>
      </c>
      <c r="EU37" s="2">
        <f>IF(EU21=1,[1]TESTE_LOG_OBRA!$D$11,0)</f>
        <v>17</v>
      </c>
      <c r="EV37" s="2">
        <f>IF(EV21=1,[1]TESTE_LOG_OBRA!$D$11,0)</f>
        <v>17</v>
      </c>
      <c r="EW37" s="2">
        <f>IF(EW21=1,[1]TESTE_LOG_OBRA!$D$11,0)</f>
        <v>17</v>
      </c>
      <c r="EX37" s="2">
        <f>IF(EX21=1,[1]TESTE_LOG_OBRA!$D$11,0)</f>
        <v>17</v>
      </c>
      <c r="EY37" s="2">
        <f>IF(EY21=1,[1]TESTE_LOG_OBRA!$D$11,0)</f>
        <v>17</v>
      </c>
      <c r="EZ37" s="2">
        <f>IF(EZ21=1,[1]TESTE_LOG_OBRA!$D$11,0)</f>
        <v>17</v>
      </c>
      <c r="FA37" s="2">
        <f>IF(FA21=1,[1]TESTE_LOG_OBRA!$D$11,0)</f>
        <v>17</v>
      </c>
      <c r="FB37" s="2">
        <f>IF(FB21=1,[1]TESTE_LOG_OBRA!$D$11,0)</f>
        <v>17</v>
      </c>
      <c r="FC37" s="2">
        <f>IF(FC21=1,[1]TESTE_LOG_OBRA!$D$11,0)</f>
        <v>17</v>
      </c>
      <c r="FD37" s="2">
        <f>IF(FD21=1,[1]TESTE_LOG_OBRA!$D$11,0)</f>
        <v>17</v>
      </c>
      <c r="FE37" s="2">
        <f>IF(FE21=1,[1]TESTE_LOG_OBRA!$D$11,0)</f>
        <v>17</v>
      </c>
      <c r="FF37" s="2">
        <f>IF(FF21=1,[1]TESTE_LOG_OBRA!$D$11,0)</f>
        <v>17</v>
      </c>
      <c r="FG37" s="2">
        <f>IF(FG21=1,[1]TESTE_LOG_OBRA!$D$11,0)</f>
        <v>17</v>
      </c>
      <c r="FH37" s="2">
        <f>IF(FH21=1,[1]TESTE_LOG_OBRA!$D$11,0)</f>
        <v>17</v>
      </c>
      <c r="FI37" s="2">
        <f>IF(FI21=1,[1]TESTE_LOG_OBRA!$D$11,0)</f>
        <v>17</v>
      </c>
      <c r="FJ37" s="2">
        <f>IF(FJ21=1,[1]TESTE_LOG_OBRA!$D$11,0)</f>
        <v>17</v>
      </c>
      <c r="FK37" s="2">
        <f>IF(FK21=1,[1]TESTE_LOG_OBRA!$D$11,0)</f>
        <v>17</v>
      </c>
      <c r="FL37" s="2">
        <f>IF(FL21=1,[1]TESTE_LOG_OBRA!$D$11,0)</f>
        <v>17</v>
      </c>
      <c r="FM37" s="2">
        <f>IF(FM21=1,[1]TESTE_LOG_OBRA!$D$11,0)</f>
        <v>17</v>
      </c>
      <c r="FN37" s="2">
        <f>IF(FN21=1,[1]TESTE_LOG_OBRA!$D$11,0)</f>
        <v>17</v>
      </c>
      <c r="FO37" s="2">
        <f>IF(FO21=1,[1]TESTE_LOG_OBRA!$D$11,0)</f>
        <v>17</v>
      </c>
      <c r="FP37" s="2">
        <f>IF(FP21=1,[1]TESTE_LOG_OBRA!$D$11,0)</f>
        <v>17</v>
      </c>
      <c r="FQ37" s="2">
        <f>IF(FQ21=1,[1]TESTE_LOG_OBRA!$D$11,0)</f>
        <v>17</v>
      </c>
      <c r="FR37" s="2">
        <f>IF(FR21=1,[1]TESTE_LOG_OBRA!$D$11,0)</f>
        <v>17</v>
      </c>
      <c r="FS37" s="2">
        <f>IF(FS21=1,[1]TESTE_LOG_OBRA!$D$11,0)</f>
        <v>17</v>
      </c>
      <c r="FT37" s="2">
        <f>IF(FT21=1,[1]TESTE_LOG_OBRA!$D$11,0)</f>
        <v>17</v>
      </c>
      <c r="FU37" s="2">
        <f>IF(FU21=1,[1]TESTE_LOG_OBRA!$D$11,0)</f>
        <v>17</v>
      </c>
      <c r="FV37" s="2">
        <f>IF(FV21=1,[1]TESTE_LOG_OBRA!$D$11,0)</f>
        <v>17</v>
      </c>
      <c r="FW37" s="2">
        <f>IF(FW21=1,[1]TESTE_LOG_OBRA!$D$11,0)</f>
        <v>17</v>
      </c>
      <c r="FX37" s="2">
        <f>IF(FX21=1,[1]TESTE_LOG_OBRA!$D$11,0)</f>
        <v>17</v>
      </c>
      <c r="FY37" s="2">
        <f>IF(FY21=1,[1]TESTE_LOG_OBRA!$D$11,0)</f>
        <v>17</v>
      </c>
      <c r="FZ37" s="2">
        <f>IF(FZ21=1,[1]TESTE_LOG_OBRA!$D$11,0)</f>
        <v>17</v>
      </c>
      <c r="GA37" s="2">
        <f>IF(GA21=1,[1]TESTE_LOG_OBRA!$D$11,0)</f>
        <v>17</v>
      </c>
      <c r="GB37" s="2">
        <f>IF(GB21=1,[1]TESTE_LOG_OBRA!$D$11,0)</f>
        <v>17</v>
      </c>
      <c r="GC37" s="2">
        <f>IF(GC21=1,[1]TESTE_LOG_OBRA!$D$11,0)</f>
        <v>17</v>
      </c>
      <c r="GD37" s="2">
        <f>IF(GD21=1,[1]TESTE_LOG_OBRA!$D$11,0)</f>
        <v>17</v>
      </c>
      <c r="GE37" s="2">
        <f>IF(GE21=1,[1]TESTE_LOG_OBRA!$D$11,0)</f>
        <v>0</v>
      </c>
      <c r="GF37" s="2">
        <f>IF(GF21=1,[1]TESTE_LOG_OBRA!$D$11,0)</f>
        <v>0</v>
      </c>
      <c r="GG37" s="2">
        <f>IF(GG21=1,[1]TESTE_LOG_OBRA!$D$11,0)</f>
        <v>0</v>
      </c>
      <c r="GH37" s="2">
        <f>IF(GH21=1,[1]TESTE_LOG_OBRA!$D$11,0)</f>
        <v>0</v>
      </c>
      <c r="GI37" s="2">
        <f>IF(GI21=1,[1]TESTE_LOG_OBRA!$D$11,0)</f>
        <v>0</v>
      </c>
      <c r="GJ37" s="2">
        <f>IF(GJ21=1,[1]TESTE_LOG_OBRA!$D$11,0)</f>
        <v>0</v>
      </c>
      <c r="GK37" s="2">
        <f>IF(GK21=1,[1]TESTE_LOG_OBRA!$D$11,0)</f>
        <v>0</v>
      </c>
      <c r="GL37" s="2">
        <f>IF(GL21=1,[1]TESTE_LOG_OBRA!$D$11,0)</f>
        <v>0</v>
      </c>
      <c r="GM37" s="2">
        <f>IF(GM21=1,[1]TESTE_LOG_OBRA!$D$11,0)</f>
        <v>0</v>
      </c>
      <c r="GN37" s="2">
        <f>IF(GN21=1,[1]TESTE_LOG_OBRA!$D$11,0)</f>
        <v>0</v>
      </c>
      <c r="GO37" s="2">
        <f>IF(GO21=1,[1]TESTE_LOG_OBRA!$D$11,0)</f>
        <v>0</v>
      </c>
      <c r="GP37" s="2">
        <f>IF(GP21=1,[1]TESTE_LOG_OBRA!$D$11,0)</f>
        <v>0</v>
      </c>
      <c r="GQ37" s="2">
        <f>IF(GQ21=1,[1]TESTE_LOG_OBRA!$D$11,0)</f>
        <v>0</v>
      </c>
      <c r="GR37" s="2">
        <f>IF(GR21=1,[1]TESTE_LOG_OBRA!$D$11,0)</f>
        <v>0</v>
      </c>
      <c r="GS37" s="2">
        <f>IF(GS21=1,[1]TESTE_LOG_OBRA!$D$11,0)</f>
        <v>0</v>
      </c>
      <c r="GT37" s="2">
        <f>IF(GT21=1,[1]TESTE_LOG_OBRA!$D$11,0)</f>
        <v>0</v>
      </c>
      <c r="GU37" s="2">
        <f>IF(GU21=1,[1]TESTE_LOG_OBRA!$D$11,0)</f>
        <v>0</v>
      </c>
      <c r="GV37" s="2">
        <f>IF(GV21=1,[1]TESTE_LOG_OBRA!$D$11,0)</f>
        <v>0</v>
      </c>
      <c r="GW37" s="2">
        <f>IF(GW21=1,[1]TESTE_LOG_OBRA!$D$11,0)</f>
        <v>0</v>
      </c>
      <c r="GX37" s="2">
        <f>IF(GX21=1,[1]TESTE_LOG_OBRA!$D$11,0)</f>
        <v>0</v>
      </c>
      <c r="GY37" s="2">
        <f>IF(GY21=1,[1]TESTE_LOG_OBRA!$D$11,0)</f>
        <v>0</v>
      </c>
      <c r="GZ37" s="2">
        <f>IF(GZ21=1,[1]TESTE_LOG_OBRA!$D$11,0)</f>
        <v>0</v>
      </c>
      <c r="HA37" s="2">
        <f>IF(HA21=1,[1]TESTE_LOG_OBRA!$D$11,0)</f>
        <v>0</v>
      </c>
      <c r="HB37" s="2">
        <f>IF(HB21=1,[1]TESTE_LOG_OBRA!$D$11,0)</f>
        <v>0</v>
      </c>
      <c r="HC37" s="2">
        <f>IF(HC21=1,[1]TESTE_LOG_OBRA!$D$11,0)</f>
        <v>0</v>
      </c>
      <c r="HD37" s="2">
        <f>IF(HD21=1,[1]TESTE_LOG_OBRA!$D$11,0)</f>
        <v>0</v>
      </c>
      <c r="HE37" s="2">
        <f>IF(HE21=1,[1]TESTE_LOG_OBRA!$D$11,0)</f>
        <v>0</v>
      </c>
      <c r="HF37" s="2">
        <f>IF(HF21=1,[1]TESTE_LOG_OBRA!$D$11,0)</f>
        <v>0</v>
      </c>
      <c r="HG37" s="2">
        <f>IF(HG21=1,[1]TESTE_LOG_OBRA!$D$11,0)</f>
        <v>0</v>
      </c>
      <c r="HH37" s="2">
        <f>IF(HH21=1,[1]TESTE_LOG_OBRA!$D$11,0)</f>
        <v>0</v>
      </c>
      <c r="HI37" s="2">
        <f>IF(HI21=1,[1]TESTE_LOG_OBRA!$D$11,0)</f>
        <v>0</v>
      </c>
      <c r="HJ37" s="2">
        <f>IF(HJ21=1,[1]TESTE_LOG_OBRA!$D$11,0)</f>
        <v>0</v>
      </c>
      <c r="HK37" s="2">
        <f>IF(HK21=1,[1]TESTE_LOG_OBRA!$D$11,0)</f>
        <v>0</v>
      </c>
      <c r="HL37" s="2">
        <f>IF(HL21=1,[1]TESTE_LOG_OBRA!$D$11,0)</f>
        <v>0</v>
      </c>
      <c r="HM37" s="2">
        <f>IF(HM21=1,[1]TESTE_LOG_OBRA!$D$11,0)</f>
        <v>0</v>
      </c>
      <c r="HN37" s="2">
        <f>IF(HN21=1,[1]TESTE_LOG_OBRA!$D$11,0)</f>
        <v>0</v>
      </c>
      <c r="HO37" s="2">
        <f>IF(HO21=1,[1]TESTE_LOG_OBRA!$D$11,0)</f>
        <v>0</v>
      </c>
      <c r="HP37" s="2">
        <f>IF(HP21=1,[1]TESTE_LOG_OBRA!$D$11,0)</f>
        <v>0</v>
      </c>
      <c r="HQ37" s="2">
        <f>IF(HQ21=1,[1]TESTE_LOG_OBRA!$D$11,0)</f>
        <v>0</v>
      </c>
      <c r="HR37" s="2">
        <f>IF(HR21=1,[1]TESTE_LOG_OBRA!$D$11,0)</f>
        <v>0</v>
      </c>
      <c r="HS37" s="2">
        <f>IF(HS21=1,[1]TESTE_LOG_OBRA!$D$11,0)</f>
        <v>0</v>
      </c>
      <c r="HT37" s="2">
        <f>IF(HT21=1,[1]TESTE_LOG_OBRA!$D$11,0)</f>
        <v>0</v>
      </c>
      <c r="HU37" s="2">
        <f>IF(HU21=1,[1]TESTE_LOG_OBRA!$D$11,0)</f>
        <v>0</v>
      </c>
      <c r="HV37" s="2">
        <f>IF(HV21=1,[1]TESTE_LOG_OBRA!$D$11,0)</f>
        <v>0</v>
      </c>
      <c r="HW37" s="2">
        <f>IF(HW21=1,[1]TESTE_LOG_OBRA!$D$11,0)</f>
        <v>0</v>
      </c>
      <c r="HX37" s="2">
        <f>IF(HX21=1,[1]TESTE_LOG_OBRA!$D$11,0)</f>
        <v>0</v>
      </c>
      <c r="HY37" s="2">
        <f>IF(HY21=1,[1]TESTE_LOG_OBRA!$D$11,0)</f>
        <v>0</v>
      </c>
      <c r="HZ37" s="2">
        <f>IF(HZ21=1,[1]TESTE_LOG_OBRA!$D$11,0)</f>
        <v>0</v>
      </c>
      <c r="IA37" s="2">
        <f>IF(IA21=1,[1]TESTE_LOG_OBRA!$D$11,0)</f>
        <v>0</v>
      </c>
      <c r="IB37" s="2">
        <f>IF(IB21=1,[1]TESTE_LOG_OBRA!$D$11,0)</f>
        <v>0</v>
      </c>
      <c r="IC37" s="2">
        <f>IF(IC21=1,[1]TESTE_LOG_OBRA!$D$11,0)</f>
        <v>0</v>
      </c>
      <c r="ID37" s="2">
        <f>IF(ID21=1,[1]TESTE_LOG_OBRA!$D$11,0)</f>
        <v>0</v>
      </c>
      <c r="IE37" s="2">
        <f>IF(IE21=1,[1]TESTE_LOG_OBRA!$D$11,0)</f>
        <v>0</v>
      </c>
      <c r="IF37" s="2">
        <f>IF(IF21=1,[1]TESTE_LOG_OBRA!$D$11,0)</f>
        <v>0</v>
      </c>
      <c r="IG37" s="2">
        <f>IF(IG21=1,[1]TESTE_LOG_OBRA!$D$11,0)</f>
        <v>0</v>
      </c>
      <c r="IH37" s="2">
        <f>IF(IH21=1,[1]TESTE_LOG_OBRA!$D$11,0)</f>
        <v>0</v>
      </c>
      <c r="II37" s="2">
        <f>IF(II21=1,[1]TESTE_LOG_OBRA!$D$11,0)</f>
        <v>0</v>
      </c>
      <c r="IJ37" s="2">
        <f>IF(IJ21=1,[1]TESTE_LOG_OBRA!$D$11,0)</f>
        <v>0</v>
      </c>
      <c r="IK37" s="2">
        <f>IF(IK21=1,[1]TESTE_LOG_OBRA!$D$11,0)</f>
        <v>0</v>
      </c>
      <c r="IL37" s="2">
        <f>IF(IL21=1,[1]TESTE_LOG_OBRA!$D$11,0)</f>
        <v>0</v>
      </c>
      <c r="IM37" s="2">
        <f>IF(IM21=1,[1]TESTE_LOG_OBRA!$D$11,0)</f>
        <v>0</v>
      </c>
      <c r="IN37" s="2">
        <f>IF(IN21=1,[1]TESTE_LOG_OBRA!$D$11,0)</f>
        <v>0</v>
      </c>
      <c r="IO37" s="2">
        <f>IF(IO21=1,[1]TESTE_LOG_OBRA!$D$11,0)</f>
        <v>0</v>
      </c>
      <c r="IP37" s="2">
        <f>IF(IP21=1,[1]TESTE_LOG_OBRA!$D$11,0)</f>
        <v>0</v>
      </c>
      <c r="IQ37" s="2">
        <f>IF(IQ21=1,[1]TESTE_LOG_OBRA!$D$11,0)</f>
        <v>0</v>
      </c>
      <c r="IR37" s="2">
        <f>IF(IR21=1,[1]TESTE_LOG_OBRA!$D$11,0)</f>
        <v>0</v>
      </c>
      <c r="IS37" s="2">
        <f>IF(IS21=1,[1]TESTE_LOG_OBRA!$D$11,0)</f>
        <v>0</v>
      </c>
      <c r="IT37" s="2">
        <f>IF(IT21=1,[1]TESTE_LOG_OBRA!$D$11,0)</f>
        <v>0</v>
      </c>
      <c r="IU37" s="2">
        <f>IF(IU21=1,[1]TESTE_LOG_OBRA!$D$11,0)</f>
        <v>0</v>
      </c>
      <c r="IV37" s="2">
        <f>IF(IV21=1,[1]TESTE_LOG_OBRA!$D$11,0)</f>
        <v>0</v>
      </c>
      <c r="IW37" s="2">
        <f>IF(IW21=1,[1]TESTE_LOG_OBRA!$D$11,0)</f>
        <v>0</v>
      </c>
      <c r="IX37" s="2">
        <f>IF(IX21=1,[1]TESTE_LOG_OBRA!$D$11,0)</f>
        <v>0</v>
      </c>
      <c r="IY37" s="2">
        <f>IF(IY21=1,[1]TESTE_LOG_OBRA!$D$11,0)</f>
        <v>0</v>
      </c>
      <c r="IZ37" s="2">
        <f>IF(IZ21=1,[1]TESTE_LOG_OBRA!$D$11,0)</f>
        <v>0</v>
      </c>
      <c r="JA37" s="2">
        <f>IF(JA21=1,[1]TESTE_LOG_OBRA!$D$11,0)</f>
        <v>0</v>
      </c>
      <c r="JB37" s="2">
        <f>IF(JB21=1,[1]TESTE_LOG_OBRA!$D$11,0)</f>
        <v>0</v>
      </c>
      <c r="JC37" s="2">
        <f>IF(JC21=1,[1]TESTE_LOG_OBRA!$D$11,0)</f>
        <v>0</v>
      </c>
      <c r="JD37" s="2">
        <f>IF(JD21=1,[1]TESTE_LOG_OBRA!$D$11,0)</f>
        <v>0</v>
      </c>
      <c r="JE37" s="2">
        <f>IF(JE21=1,[1]TESTE_LOG_OBRA!$D$11,0)</f>
        <v>0</v>
      </c>
      <c r="JF37" s="2">
        <f>IF(JF21=1,[1]TESTE_LOG_OBRA!$D$11,0)</f>
        <v>0</v>
      </c>
      <c r="JG37" s="2">
        <f>IF(JG21=1,[1]TESTE_LOG_OBRA!$D$11,0)</f>
        <v>0</v>
      </c>
      <c r="JH37" s="2">
        <f>IF(JH21=1,[1]TESTE_LOG_OBRA!$D$11,0)</f>
        <v>0</v>
      </c>
      <c r="JI37" s="2">
        <f>IF(JI21=1,[1]TESTE_LOG_OBRA!$D$11,0)</f>
        <v>0</v>
      </c>
      <c r="JJ37" s="2">
        <f>IF(JJ21=1,[1]TESTE_LOG_OBRA!$D$11,0)</f>
        <v>0</v>
      </c>
      <c r="JK37" s="2">
        <f>IF(JK21=1,[1]TESTE_LOG_OBRA!$D$11,0)</f>
        <v>0</v>
      </c>
      <c r="JL37" s="2">
        <f>IF(JL21=1,[1]TESTE_LOG_OBRA!$D$11,0)</f>
        <v>0</v>
      </c>
      <c r="JM37" s="2">
        <f>IF(JM21=1,[1]TESTE_LOG_OBRA!$D$11,0)</f>
        <v>0</v>
      </c>
      <c r="JN37" s="2">
        <f>IF(JN21=1,[1]TESTE_LOG_OBRA!$D$11,0)</f>
        <v>0</v>
      </c>
      <c r="JO37" s="2">
        <f>IF(JO21=1,[1]TESTE_LOG_OBRA!$D$11,0)</f>
        <v>0</v>
      </c>
      <c r="JP37" s="2">
        <f>IF(JP21=1,[1]TESTE_LOG_OBRA!$D$11,0)</f>
        <v>0</v>
      </c>
      <c r="JQ37" s="2">
        <f>IF(JQ21=1,[1]TESTE_LOG_OBRA!$D$11,0)</f>
        <v>0</v>
      </c>
      <c r="JR37" s="2">
        <f>IF(JR21=1,[1]TESTE_LOG_OBRA!$D$11,0)</f>
        <v>0</v>
      </c>
      <c r="JS37" s="2">
        <f>IF(JS21=1,[1]TESTE_LOG_OBRA!$D$11,0)</f>
        <v>0</v>
      </c>
      <c r="JT37" s="2">
        <f>IF(JT21=1,[1]TESTE_LOG_OBRA!$D$11,0)</f>
        <v>0</v>
      </c>
      <c r="JU37" s="2">
        <f>IF(JU21=1,[1]TESTE_LOG_OBRA!$D$11,0)</f>
        <v>0</v>
      </c>
      <c r="JV37" s="2">
        <f>IF(JV21=1,[1]TESTE_LOG_OBRA!$D$11,0)</f>
        <v>0</v>
      </c>
      <c r="JW37" s="2">
        <f>IF(JW21=1,[1]TESTE_LOG_OBRA!$D$11,0)</f>
        <v>0</v>
      </c>
      <c r="JX37" s="2">
        <f>IF(JX21=1,[1]TESTE_LOG_OBRA!$D$11,0)</f>
        <v>0</v>
      </c>
      <c r="JY37" s="2">
        <f>IF(JY21=1,[1]TESTE_LOG_OBRA!$D$11,0)</f>
        <v>0</v>
      </c>
      <c r="JZ37" s="2">
        <f>IF(JZ21=1,[1]TESTE_LOG_OBRA!$D$11,0)</f>
        <v>0</v>
      </c>
      <c r="KA37" s="2">
        <f>IF(KA21=1,[1]TESTE_LOG_OBRA!$D$11,0)</f>
        <v>0</v>
      </c>
      <c r="KB37" s="2">
        <f>IF(KB21=1,[1]TESTE_LOG_OBRA!$D$11,0)</f>
        <v>0</v>
      </c>
      <c r="KC37" s="2">
        <f>IF(KC21=1,[1]TESTE_LOG_OBRA!$D$11,0)</f>
        <v>0</v>
      </c>
      <c r="KD37" s="2">
        <f>IF(KD21=1,[1]TESTE_LOG_OBRA!$D$11,0)</f>
        <v>0</v>
      </c>
      <c r="KE37" s="2">
        <f>IF(KE21=1,[1]TESTE_LOG_OBRA!$D$11,0)</f>
        <v>0</v>
      </c>
      <c r="KF37" s="2">
        <f>IF(KF21=1,[1]TESTE_LOG_OBRA!$D$11,0)</f>
        <v>0</v>
      </c>
      <c r="KG37" s="2">
        <f>IF(KG21=1,[1]TESTE_LOG_OBRA!$D$11,0)</f>
        <v>0</v>
      </c>
      <c r="KH37" s="2">
        <f>IF(KH21=1,[1]TESTE_LOG_OBRA!$D$11,0)</f>
        <v>0</v>
      </c>
      <c r="KI37" s="2">
        <f>IF(KI21=1,[1]TESTE_LOG_OBRA!$D$11,0)</f>
        <v>0</v>
      </c>
      <c r="KJ37" s="2">
        <f>IF(KJ21=1,[1]TESTE_LOG_OBRA!$D$11,0)</f>
        <v>0</v>
      </c>
      <c r="KK37" s="2">
        <f>IF(KK21=1,[1]TESTE_LOG_OBRA!$D$11,0)</f>
        <v>0</v>
      </c>
      <c r="KL37" s="2">
        <f>IF(KL21=1,[1]TESTE_LOG_OBRA!$D$11,0)</f>
        <v>0</v>
      </c>
      <c r="KM37" s="2">
        <f>IF(KM21=1,[1]TESTE_LOG_OBRA!$D$11,0)</f>
        <v>0</v>
      </c>
      <c r="KN37" s="2">
        <f>IF(KN21=1,[1]TESTE_LOG_OBRA!$D$11,0)</f>
        <v>0</v>
      </c>
      <c r="KO37" s="2">
        <f>IF(KO21=1,[1]TESTE_LOG_OBRA!$D$11,0)</f>
        <v>0</v>
      </c>
      <c r="KP37" s="2">
        <f>IF(KP21=1,[1]TESTE_LOG_OBRA!$D$11,0)</f>
        <v>0</v>
      </c>
      <c r="KQ37" s="2">
        <f>IF(KQ21=1,[1]TESTE_LOG_OBRA!$D$11,0)</f>
        <v>0</v>
      </c>
      <c r="KR37" s="2">
        <f>IF(KR21=1,[1]TESTE_LOG_OBRA!$D$11,0)</f>
        <v>0</v>
      </c>
      <c r="KS37" s="2">
        <f>IF(KS21=1,[1]TESTE_LOG_OBRA!$D$11,0)</f>
        <v>0</v>
      </c>
      <c r="KT37" s="2">
        <f>IF(KT21=1,[1]TESTE_LOG_OBRA!$D$11,0)</f>
        <v>0</v>
      </c>
      <c r="KU37" s="2">
        <f>IF(KU21=1,[1]TESTE_LOG_OBRA!$D$11,0)</f>
        <v>0</v>
      </c>
      <c r="KV37" s="2">
        <f>IF(KV21=1,[1]TESTE_LOG_OBRA!$D$11,0)</f>
        <v>0</v>
      </c>
      <c r="KW37" s="2">
        <f>IF(KW21=1,[1]TESTE_LOG_OBRA!$D$11,0)</f>
        <v>0</v>
      </c>
      <c r="KX37" s="2">
        <f>IF(KX21=1,[1]TESTE_LOG_OBRA!$D$11,0)</f>
        <v>0</v>
      </c>
      <c r="KY37" s="2">
        <f>IF(KY21=1,[1]TESTE_LOG_OBRA!$D$11,0)</f>
        <v>0</v>
      </c>
      <c r="KZ37" s="2">
        <f>IF(KZ21=1,[1]TESTE_LOG_OBRA!$D$11,0)</f>
        <v>0</v>
      </c>
      <c r="LA37" s="2">
        <f>IF(LA21=1,[1]TESTE_LOG_OBRA!$D$11,0)</f>
        <v>0</v>
      </c>
      <c r="LB37" s="2">
        <f>IF(LB21=1,[1]TESTE_LOG_OBRA!$D$11,0)</f>
        <v>0</v>
      </c>
      <c r="LC37" s="2">
        <f>IF(LC21=1,[1]TESTE_LOG_OBRA!$D$11,0)</f>
        <v>0</v>
      </c>
      <c r="LD37" s="2">
        <f>IF(LD21=1,[1]TESTE_LOG_OBRA!$D$11,0)</f>
        <v>0</v>
      </c>
      <c r="LE37" s="2">
        <f>IF(LE21=1,[1]TESTE_LOG_OBRA!$D$11,0)</f>
        <v>0</v>
      </c>
      <c r="LF37" s="2">
        <f>IF(LF21=1,[1]TESTE_LOG_OBRA!$D$11,0)</f>
        <v>0</v>
      </c>
      <c r="LG37" s="2">
        <f>IF(LG21=1,[1]TESTE_LOG_OBRA!$D$11,0)</f>
        <v>0</v>
      </c>
      <c r="LH37" s="2">
        <f>IF(LH21=1,[1]TESTE_LOG_OBRA!$D$11,0)</f>
        <v>0</v>
      </c>
      <c r="LI37" s="2">
        <f>IF(LI21=1,[1]TESTE_LOG_OBRA!$D$11,0)</f>
        <v>0</v>
      </c>
      <c r="LJ37" s="2">
        <f>IF(LJ21=1,[1]TESTE_LOG_OBRA!$D$11,0)</f>
        <v>0</v>
      </c>
      <c r="LK37" s="2">
        <f>IF(LK21=1,[1]TESTE_LOG_OBRA!$D$11,0)</f>
        <v>0</v>
      </c>
      <c r="LL37" s="2">
        <f>IF(LL21=1,[1]TESTE_LOG_OBRA!$D$11,0)</f>
        <v>0</v>
      </c>
      <c r="LM37" s="2">
        <f>IF(LM21=1,[1]TESTE_LOG_OBRA!$D$11,0)</f>
        <v>0</v>
      </c>
      <c r="LN37" s="2">
        <f>IF(LN21=1,[1]TESTE_LOG_OBRA!$D$11,0)</f>
        <v>0</v>
      </c>
      <c r="LO37" s="2">
        <f>IF(LO21=1,[1]TESTE_LOG_OBRA!$D$11,0)</f>
        <v>0</v>
      </c>
      <c r="LP37" s="2">
        <f>IF(LP21=1,[1]TESTE_LOG_OBRA!$D$11,0)</f>
        <v>0</v>
      </c>
      <c r="LQ37" s="2">
        <f>IF(LQ21=1,[1]TESTE_LOG_OBRA!$D$11,0)</f>
        <v>0</v>
      </c>
      <c r="LR37" s="2">
        <f>IF(LR21=1,[1]TESTE_LOG_OBRA!$D$11,0)</f>
        <v>0</v>
      </c>
      <c r="LS37" s="2">
        <f>IF(LS21=1,[1]TESTE_LOG_OBRA!$D$11,0)</f>
        <v>0</v>
      </c>
      <c r="LT37" s="2">
        <f>IF(LT21=1,[1]TESTE_LOG_OBRA!$D$11,0)</f>
        <v>0</v>
      </c>
      <c r="LU37" s="2">
        <f>IF(LU21=1,[1]TESTE_LOG_OBRA!$D$11,0)</f>
        <v>0</v>
      </c>
      <c r="LV37" s="2">
        <f>IF(LV21=1,[1]TESTE_LOG_OBRA!$D$11,0)</f>
        <v>0</v>
      </c>
      <c r="LW37" s="2">
        <f>IF(LW21=1,[1]TESTE_LOG_OBRA!$D$11,0)</f>
        <v>0</v>
      </c>
      <c r="LX37" s="2">
        <f>IF(LX21=1,[1]TESTE_LOG_OBRA!$D$11,0)</f>
        <v>0</v>
      </c>
      <c r="LY37" s="2">
        <f>IF(LY21=1,[1]TESTE_LOG_OBRA!$D$11,0)</f>
        <v>0</v>
      </c>
      <c r="LZ37" s="2">
        <f>IF(LZ21=1,[1]TESTE_LOG_OBRA!$D$11,0)</f>
        <v>0</v>
      </c>
      <c r="MA37" s="2">
        <f>IF(MA21=1,[1]TESTE_LOG_OBRA!$D$11,0)</f>
        <v>0</v>
      </c>
      <c r="MB37" s="2">
        <f>IF(MB21=1,[1]TESTE_LOG_OBRA!$D$11,0)</f>
        <v>0</v>
      </c>
      <c r="MC37" s="2">
        <f>IF(MC21=1,[1]TESTE_LOG_OBRA!$D$11,0)</f>
        <v>0</v>
      </c>
      <c r="MD37" s="2">
        <f>IF(MD21=1,[1]TESTE_LOG_OBRA!$D$11,0)</f>
        <v>0</v>
      </c>
      <c r="ME37" s="2">
        <f>IF(ME21=1,[1]TESTE_LOG_OBRA!$D$11,0)</f>
        <v>0</v>
      </c>
      <c r="MF37" s="2">
        <f>IF(MF21=1,[1]TESTE_LOG_OBRA!$D$11,0)</f>
        <v>0</v>
      </c>
      <c r="MG37" s="2">
        <f>IF(MG21=1,[1]TESTE_LOG_OBRA!$D$11,0)</f>
        <v>0</v>
      </c>
      <c r="MH37" s="2">
        <f>IF(MH21=1,[1]TESTE_LOG_OBRA!$D$11,0)</f>
        <v>0</v>
      </c>
      <c r="MI37" s="2">
        <f>IF(MI21=1,[1]TESTE_LOG_OBRA!$D$11,0)</f>
        <v>0</v>
      </c>
      <c r="MJ37" s="2">
        <f>IF(MJ21=1,[1]TESTE_LOG_OBRA!$D$11,0)</f>
        <v>0</v>
      </c>
      <c r="MK37" s="2">
        <f>IF(MK21=1,[1]TESTE_LOG_OBRA!$D$11,0)</f>
        <v>0</v>
      </c>
      <c r="ML37" s="2">
        <f>IF(ML21=1,[1]TESTE_LOG_OBRA!$D$11,0)</f>
        <v>0</v>
      </c>
      <c r="MM37" s="2">
        <f>IF(MM21=1,[1]TESTE_LOG_OBRA!$D$11,0)</f>
        <v>0</v>
      </c>
      <c r="MN37" s="2">
        <f>IF(MN21=1,[1]TESTE_LOG_OBRA!$D$11,0)</f>
        <v>0</v>
      </c>
      <c r="MO37" s="2">
        <f>IF(MO21=1,[1]TESTE_LOG_OBRA!$D$11,0)</f>
        <v>0</v>
      </c>
      <c r="MP37" s="2">
        <f>IF(MP21=1,[1]TESTE_LOG_OBRA!$D$11,0)</f>
        <v>0</v>
      </c>
      <c r="MQ37" s="2">
        <f>IF(MQ21=1,[1]TESTE_LOG_OBRA!$D$11,0)</f>
        <v>0</v>
      </c>
      <c r="MR37" s="2">
        <f>IF(MR21=1,[1]TESTE_LOG_OBRA!$D$11,0)</f>
        <v>0</v>
      </c>
      <c r="MS37" s="2">
        <f>IF(MS21=1,[1]TESTE_LOG_OBRA!$D$11,0)</f>
        <v>0</v>
      </c>
      <c r="MT37" s="2">
        <f>IF(MT21=1,[1]TESTE_LOG_OBRA!$D$11,0)</f>
        <v>0</v>
      </c>
      <c r="MU37" s="2">
        <f>IF(MU21=1,[1]TESTE_LOG_OBRA!$D$11,0)</f>
        <v>0</v>
      </c>
      <c r="MV37" s="2">
        <f>IF(MV21=1,[1]TESTE_LOG_OBRA!$D$11,0)</f>
        <v>0</v>
      </c>
      <c r="MW37" s="2">
        <f>IF(MW21=1,[1]TESTE_LOG_OBRA!$D$11,0)</f>
        <v>0</v>
      </c>
      <c r="MX37" s="2">
        <f>IF(MX21=1,[1]TESTE_LOG_OBRA!$D$11,0)</f>
        <v>0</v>
      </c>
      <c r="MY37" s="2">
        <f>IF(MY21=1,[1]TESTE_LOG_OBRA!$D$11,0)</f>
        <v>0</v>
      </c>
      <c r="MZ37" s="2">
        <f>IF(MZ21=1,[1]TESTE_LOG_OBRA!$D$11,0)</f>
        <v>0</v>
      </c>
      <c r="NA37" s="2">
        <f>IF(NA21=1,[1]TESTE_LOG_OBRA!$D$11,0)</f>
        <v>0</v>
      </c>
      <c r="NB37" s="2">
        <f>IF(NB21=1,[1]TESTE_LOG_OBRA!$D$11,0)</f>
        <v>0</v>
      </c>
      <c r="NC37" s="2">
        <f>IF(NC21=1,[1]TESTE_LOG_OBRA!$D$11,0)</f>
        <v>0</v>
      </c>
      <c r="ND37" s="2">
        <f>IF(ND21=1,[1]TESTE_LOG_OBRA!$D$11,0)</f>
        <v>0</v>
      </c>
      <c r="NE37" s="2">
        <f>IF(NE21=1,[1]TESTE_LOG_OBRA!$D$11,0)</f>
        <v>0</v>
      </c>
      <c r="NF37" s="2">
        <f>IF(NF21=1,[1]TESTE_LOG_OBRA!$D$11,0)</f>
        <v>0</v>
      </c>
      <c r="NG37" s="2">
        <f>IF(NG21=1,[1]TESTE_LOG_OBRA!$D$11,0)</f>
        <v>0</v>
      </c>
      <c r="NH37" s="2">
        <f>IF(NH21=1,[1]TESTE_LOG_OBRA!$D$11,0)</f>
        <v>0</v>
      </c>
      <c r="NI37" s="2">
        <f>IF(NI21=1,[1]TESTE_LOG_OBRA!$D$11,0)</f>
        <v>0</v>
      </c>
      <c r="NJ37" s="2">
        <f>IF(NJ21=1,[1]TESTE_LOG_OBRA!$D$11,0)</f>
        <v>0</v>
      </c>
      <c r="NK37" s="2">
        <f>IF(NK21=1,[1]TESTE_LOG_OBRA!$D$11,0)</f>
        <v>0</v>
      </c>
      <c r="NL37" s="2">
        <f>IF(NL21=1,[1]TESTE_LOG_OBRA!$D$11,0)</f>
        <v>0</v>
      </c>
      <c r="NM37" s="2">
        <f>IF(NM21=1,[1]TESTE_LOG_OBRA!$D$11,0)</f>
        <v>0</v>
      </c>
      <c r="NN37" s="2">
        <f>IF(NN21=1,[1]TESTE_LOG_OBRA!$D$11,0)</f>
        <v>0</v>
      </c>
      <c r="NO37" s="2">
        <f>IF(NO21=1,[1]TESTE_LOG_OBRA!$D$11,0)</f>
        <v>0</v>
      </c>
      <c r="NP37" s="2">
        <f>IF(NP21=1,[1]TESTE_LOG_OBRA!$D$11,0)</f>
        <v>0</v>
      </c>
      <c r="NQ37" s="2">
        <f>IF(NQ21=1,[1]TESTE_LOG_OBRA!$D$11,0)</f>
        <v>0</v>
      </c>
      <c r="NR37" s="2">
        <f>IF(NR21=1,[1]TESTE_LOG_OBRA!$D$11,0)</f>
        <v>0</v>
      </c>
      <c r="NS37" s="2">
        <f>IF(NS21=1,[1]TESTE_LOG_OBRA!$D$11,0)</f>
        <v>0</v>
      </c>
      <c r="NT37" s="2">
        <f>IF(NT21=1,[1]TESTE_LOG_OBRA!$D$11,0)</f>
        <v>0</v>
      </c>
      <c r="NU37" s="2">
        <f>IF(NU21=1,[1]TESTE_LOG_OBRA!$D$11,0)</f>
        <v>0</v>
      </c>
      <c r="NV37" s="2">
        <f>IF(NV21=1,[1]TESTE_LOG_OBRA!$D$11,0)</f>
        <v>0</v>
      </c>
      <c r="NW37" s="2">
        <f>IF(NW21=1,[1]TESTE_LOG_OBRA!$D$11,0)</f>
        <v>0</v>
      </c>
      <c r="NX37" s="2">
        <f>IF(NX21=1,[1]TESTE_LOG_OBRA!$D$11,0)</f>
        <v>0</v>
      </c>
      <c r="NY37" s="2">
        <f>IF(NY21=1,[1]TESTE_LOG_OBRA!$D$11,0)</f>
        <v>0</v>
      </c>
      <c r="NZ37" s="2">
        <f>IF(NZ21=1,[1]TESTE_LOG_OBRA!$D$11,0)</f>
        <v>0</v>
      </c>
      <c r="OA37" s="2">
        <f>IF(OA21=1,[1]TESTE_LOG_OBRA!$D$11,0)</f>
        <v>0</v>
      </c>
      <c r="OB37" s="2">
        <f>IF(OB21=1,[1]TESTE_LOG_OBRA!$D$11,0)</f>
        <v>0</v>
      </c>
      <c r="OC37" s="2">
        <f>IF(OC21=1,[1]TESTE_LOG_OBRA!$D$11,0)</f>
        <v>0</v>
      </c>
      <c r="OD37" s="2">
        <f>IF(OD21=1,[1]TESTE_LOG_OBRA!$D$11,0)</f>
        <v>0</v>
      </c>
      <c r="OE37" s="2">
        <f>IF(OE21=1,[1]TESTE_LOG_OBRA!$D$11,0)</f>
        <v>0</v>
      </c>
      <c r="OF37" s="2">
        <f>IF(OF21=1,[1]TESTE_LOG_OBRA!$D$11,0)</f>
        <v>0</v>
      </c>
      <c r="OG37" s="2">
        <f>IF(OG21=1,[1]TESTE_LOG_OBRA!$D$11,0)</f>
        <v>0</v>
      </c>
      <c r="OH37" s="2">
        <f>IF(OH21=1,[1]TESTE_LOG_OBRA!$D$11,0)</f>
        <v>0</v>
      </c>
      <c r="OI37" s="2">
        <f>IF(OI21=1,[1]TESTE_LOG_OBRA!$D$11,0)</f>
        <v>0</v>
      </c>
      <c r="OJ37" s="2">
        <f>IF(OJ21=1,[1]TESTE_LOG_OBRA!$D$11,0)</f>
        <v>0</v>
      </c>
      <c r="OK37" s="2">
        <f>IF(OK21=1,[1]TESTE_LOG_OBRA!$D$11,0)</f>
        <v>0</v>
      </c>
      <c r="OL37" s="2">
        <f>IF(OL21=1,[1]TESTE_LOG_OBRA!$D$11,0)</f>
        <v>0</v>
      </c>
      <c r="OM37" s="2">
        <f>IF(OM21=1,[1]TESTE_LOG_OBRA!$D$11,0)</f>
        <v>0</v>
      </c>
      <c r="ON37" s="2">
        <f>IF(ON21=1,[1]TESTE_LOG_OBRA!$D$11,0)</f>
        <v>0</v>
      </c>
      <c r="OO37" s="2">
        <f>IF(OO21=1,[1]TESTE_LOG_OBRA!$D$11,0)</f>
        <v>0</v>
      </c>
      <c r="OP37" s="2">
        <f>IF(OP21=1,[1]TESTE_LOG_OBRA!$D$11,0)</f>
        <v>0</v>
      </c>
      <c r="OQ37" s="2">
        <f>IF(OQ21=1,[1]TESTE_LOG_OBRA!$D$11,0)</f>
        <v>0</v>
      </c>
      <c r="OR37" s="2">
        <f>IF(OR21=1,[1]TESTE_LOG_OBRA!$D$11,0)</f>
        <v>0</v>
      </c>
      <c r="OS37" s="2">
        <f>IF(OS21=1,[1]TESTE_LOG_OBRA!$D$11,0)</f>
        <v>0</v>
      </c>
      <c r="OT37" s="2">
        <f>IF(OT21=1,[1]TESTE_LOG_OBRA!$D$11,0)</f>
        <v>0</v>
      </c>
      <c r="OU37" s="2">
        <f>IF(OU21=1,[1]TESTE_LOG_OBRA!$D$11,0)</f>
        <v>0</v>
      </c>
      <c r="OV37" s="2">
        <f>IF(OV21=1,[1]TESTE_LOG_OBRA!$D$11,0)</f>
        <v>0</v>
      </c>
      <c r="OW37" s="2">
        <f>IF(OW21=1,[1]TESTE_LOG_OBRA!$D$11,0)</f>
        <v>0</v>
      </c>
      <c r="OX37" s="2">
        <f>IF(OX21=1,[1]TESTE_LOG_OBRA!$D$11,0)</f>
        <v>0</v>
      </c>
      <c r="OY37" s="2">
        <f>IF(OY21=1,[1]TESTE_LOG_OBRA!$D$11,0)</f>
        <v>0</v>
      </c>
      <c r="OZ37" s="2">
        <f>IF(OZ21=1,[1]TESTE_LOG_OBRA!$D$11,0)</f>
        <v>0</v>
      </c>
      <c r="PA37" s="2">
        <f>IF(PA21=1,[1]TESTE_LOG_OBRA!$D$11,0)</f>
        <v>0</v>
      </c>
      <c r="PB37" s="2">
        <f>IF(PB21=1,[1]TESTE_LOG_OBRA!$D$11,0)</f>
        <v>0</v>
      </c>
      <c r="PC37" s="2">
        <f>IF(PC21=1,[1]TESTE_LOG_OBRA!$D$11,0)</f>
        <v>0</v>
      </c>
      <c r="PD37" s="2">
        <f>IF(PD21=1,[1]TESTE_LOG_OBRA!$D$11,0)</f>
        <v>0</v>
      </c>
      <c r="PE37" s="2">
        <f>IF(PE21=1,[1]TESTE_LOG_OBRA!$D$11,0)</f>
        <v>0</v>
      </c>
      <c r="PF37" s="2">
        <f>IF(PF21=1,[1]TESTE_LOG_OBRA!$D$11,0)</f>
        <v>0</v>
      </c>
      <c r="PG37" s="2">
        <f>IF(PG21=1,[1]TESTE_LOG_OBRA!$D$11,0)</f>
        <v>0</v>
      </c>
      <c r="PH37" s="2">
        <f>IF(PH21=1,[1]TESTE_LOG_OBRA!$D$11,0)</f>
        <v>0</v>
      </c>
      <c r="PI37" s="2">
        <f>IF(PI21=1,[1]TESTE_LOG_OBRA!$D$11,0)</f>
        <v>0</v>
      </c>
      <c r="PJ37" s="2">
        <f>IF(PJ21=1,[1]TESTE_LOG_OBRA!$D$11,0)</f>
        <v>0</v>
      </c>
      <c r="PK37" s="2">
        <f>IF(PK21=1,[1]TESTE_LOG_OBRA!$D$11,0)</f>
        <v>0</v>
      </c>
      <c r="PL37" s="2">
        <f>IF(PL21=1,[1]TESTE_LOG_OBRA!$D$11,0)</f>
        <v>0</v>
      </c>
      <c r="PM37" s="2">
        <f>IF(PM21=1,[1]TESTE_LOG_OBRA!$D$11,0)</f>
        <v>0</v>
      </c>
      <c r="PN37" s="2">
        <f>IF(PN21=1,[1]TESTE_LOG_OBRA!$D$11,0)</f>
        <v>0</v>
      </c>
      <c r="PO37" s="2">
        <f>IF(PO21=1,[1]TESTE_LOG_OBRA!$D$11,0)</f>
        <v>0</v>
      </c>
      <c r="PP37" s="2">
        <f>IF(PP21=1,[1]TESTE_LOG_OBRA!$D$11,0)</f>
        <v>0</v>
      </c>
      <c r="PQ37" s="2">
        <f>IF(PQ21=1,[1]TESTE_LOG_OBRA!$D$11,0)</f>
        <v>0</v>
      </c>
      <c r="PR37" s="2">
        <f>IF(PR21=1,[1]TESTE_LOG_OBRA!$D$11,0)</f>
        <v>0</v>
      </c>
      <c r="PS37" s="2">
        <f>IF(PS21=1,[1]TESTE_LOG_OBRA!$D$11,0)</f>
        <v>0</v>
      </c>
      <c r="PT37" s="2">
        <f>IF(PT21=1,[1]TESTE_LOG_OBRA!$D$11,0)</f>
        <v>0</v>
      </c>
      <c r="PU37" s="2">
        <f>IF(PU21=1,[1]TESTE_LOG_OBRA!$D$11,0)</f>
        <v>0</v>
      </c>
      <c r="PV37" s="2">
        <f>IF(PV21=1,[1]TESTE_LOG_OBRA!$D$11,0)</f>
        <v>0</v>
      </c>
      <c r="PW37" s="2">
        <f>IF(PW21=1,[1]TESTE_LOG_OBRA!$D$11,0)</f>
        <v>0</v>
      </c>
      <c r="PX37" s="2">
        <f>IF(PX21=1,[1]TESTE_LOG_OBRA!$D$11,0)</f>
        <v>0</v>
      </c>
      <c r="PY37" s="2">
        <f>IF(PY21=1,[1]TESTE_LOG_OBRA!$D$11,0)</f>
        <v>0</v>
      </c>
      <c r="PZ37" s="2">
        <f>IF(PZ21=1,[1]TESTE_LOG_OBRA!$D$11,0)</f>
        <v>0</v>
      </c>
      <c r="QA37" s="2">
        <f>IF(QA21=1,[1]TESTE_LOG_OBRA!$D$11,0)</f>
        <v>0</v>
      </c>
      <c r="QB37" s="2">
        <f>IF(QB21=1,[1]TESTE_LOG_OBRA!$D$11,0)</f>
        <v>0</v>
      </c>
      <c r="QC37" s="2">
        <f>IF(QC21=1,[1]TESTE_LOG_OBRA!$D$11,0)</f>
        <v>0</v>
      </c>
      <c r="QD37" s="2">
        <f>IF(QD21=1,[1]TESTE_LOG_OBRA!$D$11,0)</f>
        <v>0</v>
      </c>
      <c r="QE37" s="2">
        <f>IF(QE21=1,[1]TESTE_LOG_OBRA!$D$11,0)</f>
        <v>0</v>
      </c>
      <c r="QF37" s="2">
        <f>IF(QF21=1,[1]TESTE_LOG_OBRA!$D$11,0)</f>
        <v>0</v>
      </c>
      <c r="QG37" s="2">
        <f>IF(QG21=1,[1]TESTE_LOG_OBRA!$D$11,0)</f>
        <v>0</v>
      </c>
      <c r="QH37" s="2">
        <f>IF(QH21=1,[1]TESTE_LOG_OBRA!$D$11,0)</f>
        <v>0</v>
      </c>
      <c r="QI37" s="2">
        <f>IF(QI21=1,[1]TESTE_LOG_OBRA!$D$11,0)</f>
        <v>0</v>
      </c>
      <c r="QJ37" s="2">
        <f>IF(QJ21=1,[1]TESTE_LOG_OBRA!$D$11,0)</f>
        <v>0</v>
      </c>
      <c r="QK37" s="2">
        <f>IF(QK21=1,[1]TESTE_LOG_OBRA!$D$11,0)</f>
        <v>0</v>
      </c>
      <c r="QL37" s="2">
        <f>IF(QL21=1,[1]TESTE_LOG_OBRA!$D$11,0)</f>
        <v>0</v>
      </c>
      <c r="QM37" s="2">
        <f>IF(QM21=1,[1]TESTE_LOG_OBRA!$D$11,0)</f>
        <v>0</v>
      </c>
      <c r="QN37" s="2">
        <f>IF(QN21=1,[1]TESTE_LOG_OBRA!$D$11,0)</f>
        <v>0</v>
      </c>
      <c r="QO37" s="2">
        <f>IF(QO21=1,[1]TESTE_LOG_OBRA!$D$11,0)</f>
        <v>0</v>
      </c>
      <c r="QP37" s="2">
        <f>IF(QP21=1,[1]TESTE_LOG_OBRA!$D$11,0)</f>
        <v>0</v>
      </c>
      <c r="QQ37" s="2">
        <f>IF(QQ21=1,[1]TESTE_LOG_OBRA!$D$11,0)</f>
        <v>0</v>
      </c>
      <c r="QR37" s="2">
        <f>IF(QR21=1,[1]TESTE_LOG_OBRA!$D$11,0)</f>
        <v>0</v>
      </c>
      <c r="QS37" s="2">
        <f>IF(QS21=1,[1]TESTE_LOG_OBRA!$D$11,0)</f>
        <v>0</v>
      </c>
      <c r="QT37" s="2">
        <f>IF(QT21=1,[1]TESTE_LOG_OBRA!$D$11,0)</f>
        <v>0</v>
      </c>
      <c r="QU37" s="2">
        <f>IF(QU21=1,[1]TESTE_LOG_OBRA!$D$11,0)</f>
        <v>0</v>
      </c>
      <c r="QV37" s="2">
        <f>IF(QV21=1,[1]TESTE_LOG_OBRA!$D$11,0)</f>
        <v>0</v>
      </c>
      <c r="QW37" s="2">
        <f>IF(QW21=1,[1]TESTE_LOG_OBRA!$D$11,0)</f>
        <v>0</v>
      </c>
      <c r="QX37" s="2">
        <f>IF(QX21=1,[1]TESTE_LOG_OBRA!$D$11,0)</f>
        <v>0</v>
      </c>
      <c r="QY37" s="2">
        <f>IF(QY21=1,[1]TESTE_LOG_OBRA!$D$11,0)</f>
        <v>0</v>
      </c>
      <c r="QZ37" s="2">
        <f>IF(QZ21=1,[1]TESTE_LOG_OBRA!$D$11,0)</f>
        <v>0</v>
      </c>
      <c r="RA37" s="2">
        <f>IF(RA21=1,[1]TESTE_LOG_OBRA!$D$11,0)</f>
        <v>0</v>
      </c>
      <c r="RB37" s="2">
        <f>IF(RB21=1,[1]TESTE_LOG_OBRA!$D$11,0)</f>
        <v>0</v>
      </c>
      <c r="RC37" s="2">
        <f>IF(RC21=1,[1]TESTE_LOG_OBRA!$D$11,0)</f>
        <v>0</v>
      </c>
      <c r="RD37" s="2">
        <f>IF(RD21=1,[1]TESTE_LOG_OBRA!$D$11,0)</f>
        <v>0</v>
      </c>
      <c r="RE37" s="2">
        <f>IF(RE21=1,[1]TESTE_LOG_OBRA!$D$11,0)</f>
        <v>0</v>
      </c>
      <c r="RF37" s="2">
        <f>IF(RF21=1,[1]TESTE_LOG_OBRA!$D$11,0)</f>
        <v>0</v>
      </c>
      <c r="RG37" s="2">
        <f>IF(RG21=1,[1]TESTE_LOG_OBRA!$D$11,0)</f>
        <v>0</v>
      </c>
      <c r="RH37" s="2">
        <f>IF(RH21=1,[1]TESTE_LOG_OBRA!$D$11,0)</f>
        <v>0</v>
      </c>
      <c r="RI37" s="2">
        <f>IF(RI21=1,[1]TESTE_LOG_OBRA!$D$11,0)</f>
        <v>0</v>
      </c>
      <c r="RJ37" s="2">
        <f>IF(RJ21=1,[1]TESTE_LOG_OBRA!$D$11,0)</f>
        <v>0</v>
      </c>
      <c r="RK37" s="2">
        <f>IF(RK21=1,[1]TESTE_LOG_OBRA!$D$11,0)</f>
        <v>0</v>
      </c>
      <c r="RL37" s="2">
        <f>IF(RL21=1,[1]TESTE_LOG_OBRA!$D$11,0)</f>
        <v>0</v>
      </c>
      <c r="RM37" s="2">
        <f>IF(RM21=1,[1]TESTE_LOG_OBRA!$D$11,0)</f>
        <v>0</v>
      </c>
      <c r="RN37" s="2">
        <f>IF(RN21=1,[1]TESTE_LOG_OBRA!$D$11,0)</f>
        <v>0</v>
      </c>
      <c r="RO37" s="2">
        <f>IF(RO21=1,[1]TESTE_LOG_OBRA!$D$11,0)</f>
        <v>0</v>
      </c>
      <c r="RP37" s="2">
        <f>IF(RP21=1,[1]TESTE_LOG_OBRA!$D$11,0)</f>
        <v>0</v>
      </c>
      <c r="RQ37" s="2">
        <f>IF(RQ21=1,[1]TESTE_LOG_OBRA!$D$11,0)</f>
        <v>0</v>
      </c>
      <c r="RR37" s="2">
        <f>IF(RR21=1,[1]TESTE_LOG_OBRA!$D$11,0)</f>
        <v>0</v>
      </c>
      <c r="RS37" s="2">
        <f>IF(RS21=1,[1]TESTE_LOG_OBRA!$D$11,0)</f>
        <v>0</v>
      </c>
      <c r="RT37" s="2">
        <f>IF(RT21=1,[1]TESTE_LOG_OBRA!$D$11,0)</f>
        <v>0</v>
      </c>
      <c r="RU37" s="2">
        <f>IF(RU21=1,[1]TESTE_LOG_OBRA!$D$11,0)</f>
        <v>0</v>
      </c>
      <c r="RV37" s="2">
        <f>IF(RV21=1,[1]TESTE_LOG_OBRA!$D$11,0)</f>
        <v>0</v>
      </c>
      <c r="RW37" s="2">
        <f>IF(RW21=1,[1]TESTE_LOG_OBRA!$D$11,0)</f>
        <v>0</v>
      </c>
      <c r="RX37" s="2">
        <f>IF(RX21=1,[1]TESTE_LOG_OBRA!$D$11,0)</f>
        <v>0</v>
      </c>
      <c r="RY37" s="2">
        <f>IF(RY21=1,[1]TESTE_LOG_OBRA!$D$11,0)</f>
        <v>0</v>
      </c>
      <c r="RZ37" s="2">
        <f>IF(RZ21=1,[1]TESTE_LOG_OBRA!$D$11,0)</f>
        <v>0</v>
      </c>
      <c r="SA37" s="2">
        <f>IF(SA21=1,[1]TESTE_LOG_OBRA!$D$11,0)</f>
        <v>0</v>
      </c>
      <c r="SB37" s="2">
        <f>IF(SB21=1,[1]TESTE_LOG_OBRA!$D$11,0)</f>
        <v>0</v>
      </c>
      <c r="SC37" s="2">
        <f>IF(SC21=1,[1]TESTE_LOG_OBRA!$D$11,0)</f>
        <v>0</v>
      </c>
      <c r="SD37" s="2">
        <f>IF(SD21=1,[1]TESTE_LOG_OBRA!$D$11,0)</f>
        <v>0</v>
      </c>
      <c r="SE37" s="2">
        <f>IF(SE21=1,[1]TESTE_LOG_OBRA!$D$11,0)</f>
        <v>0</v>
      </c>
      <c r="SF37" s="2">
        <f>IF(SF21=1,[1]TESTE_LOG_OBRA!$D$11,0)</f>
        <v>0</v>
      </c>
      <c r="SG37" s="2">
        <f>IF(SG21=1,[1]TESTE_LOG_OBRA!$D$11,0)</f>
        <v>0</v>
      </c>
      <c r="SH37" s="2">
        <f>IF(SH21=1,[1]TESTE_LOG_OBRA!$D$11,0)</f>
        <v>0</v>
      </c>
      <c r="SI37" s="2">
        <f>IF(SI21=1,[1]TESTE_LOG_OBRA!$D$11,0)</f>
        <v>0</v>
      </c>
      <c r="SJ37" s="2">
        <f>IF(SJ21=1,[1]TESTE_LOG_OBRA!$D$11,0)</f>
        <v>0</v>
      </c>
      <c r="SK37" s="2">
        <f>IF(SK21=1,[1]TESTE_LOG_OBRA!$D$11,0)</f>
        <v>0</v>
      </c>
      <c r="SL37" s="2">
        <f>IF(SL21=1,[1]TESTE_LOG_OBRA!$D$11,0)</f>
        <v>0</v>
      </c>
      <c r="SM37" s="2">
        <f>IF(SM21=1,[1]TESTE_LOG_OBRA!$D$11,0)</f>
        <v>0</v>
      </c>
      <c r="SN37" s="2">
        <f>IF(SN21=1,[1]TESTE_LOG_OBRA!$D$11,0)</f>
        <v>0</v>
      </c>
      <c r="SO37" s="2">
        <f>IF(SO21=1,[1]TESTE_LOG_OBRA!$D$11,0)</f>
        <v>0</v>
      </c>
      <c r="SP37" s="2">
        <f>IF(SP21=1,[1]TESTE_LOG_OBRA!$D$11,0)</f>
        <v>0</v>
      </c>
      <c r="SQ37" s="2">
        <f>IF(SQ21=1,[1]TESTE_LOG_OBRA!$D$11,0)</f>
        <v>0</v>
      </c>
      <c r="SR37" s="2">
        <f>IF(SR21=1,[1]TESTE_LOG_OBRA!$D$11,0)</f>
        <v>0</v>
      </c>
      <c r="SS37" s="2">
        <f>IF(SS21=1,[1]TESTE_LOG_OBRA!$D$11,0)</f>
        <v>0</v>
      </c>
      <c r="ST37" s="2">
        <f>IF(ST21=1,[1]TESTE_LOG_OBRA!$D$11,0)</f>
        <v>0</v>
      </c>
      <c r="SU37" s="2">
        <f>IF(SU21=1,[1]TESTE_LOG_OBRA!$D$11,0)</f>
        <v>0</v>
      </c>
      <c r="SV37" s="2">
        <f>IF(SV21=1,[1]TESTE_LOG_OBRA!$D$11,0)</f>
        <v>0</v>
      </c>
      <c r="SW37" s="2">
        <f>IF(SW21=1,[1]TESTE_LOG_OBRA!$D$11,0)</f>
        <v>0</v>
      </c>
      <c r="SX37" s="2">
        <f>IF(SX21=1,[1]TESTE_LOG_OBRA!$D$11,0)</f>
        <v>0</v>
      </c>
      <c r="SY37" s="2">
        <f>IF(SY21=1,[1]TESTE_LOG_OBRA!$D$11,0)</f>
        <v>0</v>
      </c>
      <c r="SZ37" s="2">
        <f>IF(SZ21=1,[1]TESTE_LOG_OBRA!$D$11,0)</f>
        <v>0</v>
      </c>
      <c r="TA37" s="2">
        <f>IF(TA21=1,[1]TESTE_LOG_OBRA!$D$11,0)</f>
        <v>0</v>
      </c>
      <c r="TB37" s="2">
        <f>IF(TB21=1,[1]TESTE_LOG_OBRA!$D$11,0)</f>
        <v>0</v>
      </c>
      <c r="TC37" s="2">
        <f>IF(TC21=1,[1]TESTE_LOG_OBRA!$D$11,0)</f>
        <v>0</v>
      </c>
      <c r="TD37" s="2">
        <f>IF(TD21=1,[1]TESTE_LOG_OBRA!$D$11,0)</f>
        <v>0</v>
      </c>
      <c r="TE37" s="2">
        <f>IF(TE21=1,[1]TESTE_LOG_OBRA!$D$11,0)</f>
        <v>0</v>
      </c>
      <c r="TF37" s="2">
        <f>IF(TF21=1,[1]TESTE_LOG_OBRA!$D$11,0)</f>
        <v>0</v>
      </c>
      <c r="TG37" s="2">
        <f>IF(TG21=1,[1]TESTE_LOG_OBRA!$D$11,0)</f>
        <v>0</v>
      </c>
      <c r="TH37" s="2">
        <f>IF(TH21=1,[1]TESTE_LOG_OBRA!$D$11,0)</f>
        <v>0</v>
      </c>
      <c r="TI37" s="2">
        <f>IF(TI21=1,[1]TESTE_LOG_OBRA!$D$11,0)</f>
        <v>0</v>
      </c>
      <c r="TJ37" s="2">
        <f>IF(TJ21=1,[1]TESTE_LOG_OBRA!$D$11,0)</f>
        <v>0</v>
      </c>
      <c r="TK37" s="2">
        <f>IF(TK21=1,[1]TESTE_LOG_OBRA!$D$11,0)</f>
        <v>0</v>
      </c>
      <c r="TL37" s="2">
        <f>IF(TL21=1,[1]TESTE_LOG_OBRA!$D$11,0)</f>
        <v>0</v>
      </c>
      <c r="TM37" s="2">
        <f>IF(TM21=1,[1]TESTE_LOG_OBRA!$D$11,0)</f>
        <v>0</v>
      </c>
      <c r="TN37" s="2">
        <f>IF(TN21=1,[1]TESTE_LOG_OBRA!$D$11,0)</f>
        <v>0</v>
      </c>
      <c r="TO37" s="2">
        <f>IF(TO21=1,[1]TESTE_LOG_OBRA!$D$11,0)</f>
        <v>0</v>
      </c>
      <c r="TP37" s="2">
        <f>IF(TP21=1,[1]TESTE_LOG_OBRA!$D$11,0)</f>
        <v>0</v>
      </c>
      <c r="TQ37" s="2">
        <f>IF(TQ21=1,[1]TESTE_LOG_OBRA!$D$11,0)</f>
        <v>0</v>
      </c>
      <c r="TR37" s="2">
        <f>IF(TR21=1,[1]TESTE_LOG_OBRA!$D$11,0)</f>
        <v>0</v>
      </c>
      <c r="TS37" s="2">
        <f>IF(TS21=1,[1]TESTE_LOG_OBRA!$D$11,0)</f>
        <v>0</v>
      </c>
      <c r="TT37" s="2">
        <f>IF(TT21=1,[1]TESTE_LOG_OBRA!$D$11,0)</f>
        <v>0</v>
      </c>
      <c r="TU37" s="2">
        <f>IF(TU21=1,[1]TESTE_LOG_OBRA!$D$11,0)</f>
        <v>0</v>
      </c>
      <c r="TV37" s="2">
        <f>IF(TV21=1,[1]TESTE_LOG_OBRA!$D$11,0)</f>
        <v>0</v>
      </c>
      <c r="TW37" s="2">
        <f>IF(TW21=1,[1]TESTE_LOG_OBRA!$D$11,0)</f>
        <v>0</v>
      </c>
      <c r="TX37" s="2">
        <f>IF(TX21=1,[1]TESTE_LOG_OBRA!$D$11,0)</f>
        <v>0</v>
      </c>
      <c r="TY37" s="2">
        <f>IF(TY21=1,[1]TESTE_LOG_OBRA!$D$11,0)</f>
        <v>0</v>
      </c>
      <c r="TZ37" s="2">
        <f>IF(TZ21=1,[1]TESTE_LOG_OBRA!$D$11,0)</f>
        <v>0</v>
      </c>
      <c r="UA37" s="2">
        <f>IF(UA21=1,[1]TESTE_LOG_OBRA!$D$11,0)</f>
        <v>0</v>
      </c>
      <c r="UB37" s="2">
        <f>IF(UB21=1,[1]TESTE_LOG_OBRA!$D$11,0)</f>
        <v>0</v>
      </c>
      <c r="UC37" s="2">
        <f>IF(UC21=1,[1]TESTE_LOG_OBRA!$D$11,0)</f>
        <v>0</v>
      </c>
      <c r="UD37" s="2">
        <f>IF(UD21=1,[1]TESTE_LOG_OBRA!$D$11,0)</f>
        <v>0</v>
      </c>
      <c r="UE37" s="2">
        <f>IF(UE21=1,[1]TESTE_LOG_OBRA!$D$11,0)</f>
        <v>0</v>
      </c>
      <c r="UF37" s="2">
        <f>IF(UF21=1,[1]TESTE_LOG_OBRA!$D$11,0)</f>
        <v>0</v>
      </c>
      <c r="UG37" s="2">
        <f>IF(UG21=1,[1]TESTE_LOG_OBRA!$D$11,0)</f>
        <v>0</v>
      </c>
      <c r="UH37" s="2">
        <f>IF(UH21=1,[1]TESTE_LOG_OBRA!$D$11,0)</f>
        <v>0</v>
      </c>
      <c r="UI37" s="2">
        <f>IF(UI21=1,[1]TESTE_LOG_OBRA!$D$11,0)</f>
        <v>0</v>
      </c>
      <c r="UJ37" s="2">
        <f>IF(UJ21=1,[1]TESTE_LOG_OBRA!$D$11,0)</f>
        <v>0</v>
      </c>
      <c r="UK37" s="2">
        <f>IF(UK21=1,[1]TESTE_LOG_OBRA!$D$11,0)</f>
        <v>0</v>
      </c>
      <c r="UL37" s="2">
        <f>IF(UL21=1,[1]TESTE_LOG_OBRA!$D$11,0)</f>
        <v>0</v>
      </c>
      <c r="UM37" s="2">
        <f>IF(UM21=1,[1]TESTE_LOG_OBRA!$D$11,0)</f>
        <v>0</v>
      </c>
      <c r="UN37" s="2">
        <f>IF(UN21=1,[1]TESTE_LOG_OBRA!$D$11,0)</f>
        <v>0</v>
      </c>
      <c r="UO37" s="2">
        <f>IF(UO21=1,[1]TESTE_LOG_OBRA!$D$11,0)</f>
        <v>0</v>
      </c>
      <c r="UP37" s="2">
        <f>IF(UP21=1,[1]TESTE_LOG_OBRA!$D$11,0)</f>
        <v>0</v>
      </c>
      <c r="UQ37" s="2">
        <f>IF(UQ21=1,[1]TESTE_LOG_OBRA!$D$11,0)</f>
        <v>0</v>
      </c>
      <c r="UR37" s="2">
        <f>IF(UR21=1,[1]TESTE_LOG_OBRA!$D$11,0)</f>
        <v>0</v>
      </c>
      <c r="US37" s="2">
        <f>IF(US21=1,[1]TESTE_LOG_OBRA!$D$11,0)</f>
        <v>0</v>
      </c>
      <c r="UT37" s="2">
        <f>IF(UT21=1,[1]TESTE_LOG_OBRA!$D$11,0)</f>
        <v>0</v>
      </c>
      <c r="UU37" s="2">
        <f>IF(UU21=1,[1]TESTE_LOG_OBRA!$D$11,0)</f>
        <v>0</v>
      </c>
      <c r="UV37" s="2">
        <f>IF(UV21=1,[1]TESTE_LOG_OBRA!$D$11,0)</f>
        <v>0</v>
      </c>
      <c r="UW37" s="2">
        <f>IF(UW21=1,[1]TESTE_LOG_OBRA!$D$11,0)</f>
        <v>0</v>
      </c>
      <c r="UX37" s="2">
        <f>IF(UX21=1,[1]TESTE_LOG_OBRA!$D$11,0)</f>
        <v>0</v>
      </c>
      <c r="UY37" s="2">
        <f>IF(UY21=1,[1]TESTE_LOG_OBRA!$D$11,0)</f>
        <v>0</v>
      </c>
      <c r="UZ37" s="2">
        <f>IF(UZ21=1,[1]TESTE_LOG_OBRA!$D$11,0)</f>
        <v>0</v>
      </c>
      <c r="VA37" s="2">
        <f>IF(VA21=1,[1]TESTE_LOG_OBRA!$D$11,0)</f>
        <v>0</v>
      </c>
      <c r="VB37" s="2">
        <f>IF(VB21=1,[1]TESTE_LOG_OBRA!$D$11,0)</f>
        <v>0</v>
      </c>
      <c r="VC37" s="2">
        <f>IF(VC21=1,[1]TESTE_LOG_OBRA!$D$11,0)</f>
        <v>0</v>
      </c>
      <c r="VD37" s="2">
        <f>IF(VD21=1,[1]TESTE_LOG_OBRA!$D$11,0)</f>
        <v>0</v>
      </c>
      <c r="VE37" s="2">
        <f>IF(VE21=1,[1]TESTE_LOG_OBRA!$D$11,0)</f>
        <v>0</v>
      </c>
      <c r="VF37" s="2">
        <f>IF(VF21=1,[1]TESTE_LOG_OBRA!$D$11,0)</f>
        <v>0</v>
      </c>
      <c r="VG37" s="2">
        <f>IF(VG21=1,[1]TESTE_LOG_OBRA!$D$11,0)</f>
        <v>0</v>
      </c>
      <c r="VH37" s="2">
        <f>IF(VH21=1,[1]TESTE_LOG_OBRA!$D$11,0)</f>
        <v>0</v>
      </c>
      <c r="VI37" s="2">
        <f>IF(VI21=1,[1]TESTE_LOG_OBRA!$D$11,0)</f>
        <v>0</v>
      </c>
      <c r="VJ37" s="2">
        <f>IF(VJ21=1,[1]TESTE_LOG_OBRA!$D$11,0)</f>
        <v>0</v>
      </c>
      <c r="VK37" s="2">
        <f>IF(VK21=1,[1]TESTE_LOG_OBRA!$D$11,0)</f>
        <v>0</v>
      </c>
      <c r="VL37" s="2">
        <f>IF(VL21=1,[1]TESTE_LOG_OBRA!$D$11,0)</f>
        <v>0</v>
      </c>
      <c r="VM37" s="2">
        <f>IF(VM21=1,[1]TESTE_LOG_OBRA!$D$11,0)</f>
        <v>0</v>
      </c>
      <c r="VN37" s="2">
        <f>IF(VN21=1,[1]TESTE_LOG_OBRA!$D$11,0)</f>
        <v>0</v>
      </c>
      <c r="VO37" s="2">
        <f>IF(VO21=1,[1]TESTE_LOG_OBRA!$D$11,0)</f>
        <v>0</v>
      </c>
      <c r="VP37" s="2">
        <f>IF(VP21=1,[1]TESTE_LOG_OBRA!$D$11,0)</f>
        <v>0</v>
      </c>
      <c r="VQ37" s="2">
        <f>IF(VQ21=1,[1]TESTE_LOG_OBRA!$D$11,0)</f>
        <v>0</v>
      </c>
      <c r="VR37" s="2">
        <f>IF(VR21=1,[1]TESTE_LOG_OBRA!$D$11,0)</f>
        <v>0</v>
      </c>
      <c r="VS37" s="2">
        <f>IF(VS21=1,[1]TESTE_LOG_OBRA!$D$11,0)</f>
        <v>0</v>
      </c>
      <c r="VT37" s="2">
        <f>IF(VT21=1,[1]TESTE_LOG_OBRA!$D$11,0)</f>
        <v>0</v>
      </c>
      <c r="VU37" s="2">
        <f>IF(VU21=1,[1]TESTE_LOG_OBRA!$D$11,0)</f>
        <v>0</v>
      </c>
      <c r="VV37" s="2">
        <f>IF(VV21=1,[1]TESTE_LOG_OBRA!$D$11,0)</f>
        <v>0</v>
      </c>
      <c r="VW37" s="2">
        <f>IF(VW21=1,[1]TESTE_LOG_OBRA!$D$11,0)</f>
        <v>0</v>
      </c>
      <c r="VX37" s="2">
        <f>IF(VX21=1,[1]TESTE_LOG_OBRA!$D$11,0)</f>
        <v>0</v>
      </c>
      <c r="VY37" s="2">
        <f>IF(VY21=1,[1]TESTE_LOG_OBRA!$D$11,0)</f>
        <v>0</v>
      </c>
      <c r="VZ37" s="2">
        <f>IF(VZ21=1,[1]TESTE_LOG_OBRA!$D$11,0)</f>
        <v>0</v>
      </c>
      <c r="WA37" s="2">
        <f>IF(WA21=1,[1]TESTE_LOG_OBRA!$D$11,0)</f>
        <v>0</v>
      </c>
      <c r="WB37" s="2">
        <f>IF(WB21=1,[1]TESTE_LOG_OBRA!$D$11,0)</f>
        <v>0</v>
      </c>
      <c r="WC37" s="2">
        <f>IF(WC21=1,[1]TESTE_LOG_OBRA!$D$11,0)</f>
        <v>0</v>
      </c>
      <c r="WD37" s="2">
        <f>IF(WD21=1,[1]TESTE_LOG_OBRA!$D$11,0)</f>
        <v>0</v>
      </c>
      <c r="WE37" s="2">
        <f>IF(WE21=1,[1]TESTE_LOG_OBRA!$D$11,0)</f>
        <v>0</v>
      </c>
      <c r="WF37" s="2">
        <f>IF(WF21=1,[1]TESTE_LOG_OBRA!$D$11,0)</f>
        <v>0</v>
      </c>
      <c r="WG37" s="2">
        <f>IF(WG21=1,[1]TESTE_LOG_OBRA!$D$11,0)</f>
        <v>0</v>
      </c>
      <c r="WH37" s="2">
        <f>IF(WH21=1,[1]TESTE_LOG_OBRA!$D$11,0)</f>
        <v>0</v>
      </c>
      <c r="WI37" s="2">
        <f>IF(WI21=1,[1]TESTE_LOG_OBRA!$D$11,0)</f>
        <v>0</v>
      </c>
      <c r="WJ37" s="2">
        <f>IF(WJ21=1,[1]TESTE_LOG_OBRA!$D$11,0)</f>
        <v>0</v>
      </c>
      <c r="WK37" s="2">
        <f>IF(WK21=1,[1]TESTE_LOG_OBRA!$D$11,0)</f>
        <v>0</v>
      </c>
      <c r="WL37" s="2">
        <f>IF(WL21=1,[1]TESTE_LOG_OBRA!$D$11,0)</f>
        <v>0</v>
      </c>
      <c r="WM37" s="2">
        <f>IF(WM21=1,[1]TESTE_LOG_OBRA!$D$11,0)</f>
        <v>0</v>
      </c>
      <c r="WN37" s="2">
        <f>IF(WN21=1,[1]TESTE_LOG_OBRA!$D$11,0)</f>
        <v>0</v>
      </c>
      <c r="WO37" s="2">
        <f>IF(WO21=1,[1]TESTE_LOG_OBRA!$D$11,0)</f>
        <v>0</v>
      </c>
      <c r="WP37" s="2">
        <f>IF(WP21=1,[1]TESTE_LOG_OBRA!$D$11,0)</f>
        <v>0</v>
      </c>
      <c r="WQ37" s="2">
        <f>IF(WQ21=1,[1]TESTE_LOG_OBRA!$D$11,0)</f>
        <v>0</v>
      </c>
      <c r="WR37" s="2">
        <f>IF(WR21=1,[1]TESTE_LOG_OBRA!$D$11,0)</f>
        <v>0</v>
      </c>
      <c r="WS37" s="2">
        <f>IF(WS21=1,[1]TESTE_LOG_OBRA!$D$11,0)</f>
        <v>0</v>
      </c>
      <c r="WT37" s="2">
        <f>IF(WT21=1,[1]TESTE_LOG_OBRA!$D$11,0)</f>
        <v>0</v>
      </c>
      <c r="WU37" s="2">
        <f>IF(WU21=1,[1]TESTE_LOG_OBRA!$D$11,0)</f>
        <v>0</v>
      </c>
      <c r="WV37" s="2">
        <f>IF(WV21=1,[1]TESTE_LOG_OBRA!$D$11,0)</f>
        <v>0</v>
      </c>
      <c r="WW37" s="2">
        <f>IF(WW21=1,[1]TESTE_LOG_OBRA!$D$11,0)</f>
        <v>0</v>
      </c>
      <c r="WX37" s="2">
        <f>IF(WX21=1,[1]TESTE_LOG_OBRA!$D$11,0)</f>
        <v>0</v>
      </c>
      <c r="WY37" s="2">
        <f>IF(WY21=1,[1]TESTE_LOG_OBRA!$D$11,0)</f>
        <v>0</v>
      </c>
      <c r="WZ37" s="2">
        <f>IF(WZ21=1,[1]TESTE_LOG_OBRA!$D$11,0)</f>
        <v>0</v>
      </c>
      <c r="XA37" s="2">
        <f>IF(XA21=1,[1]TESTE_LOG_OBRA!$D$11,0)</f>
        <v>0</v>
      </c>
      <c r="XB37" s="2">
        <f>IF(XB21=1,[1]TESTE_LOG_OBRA!$D$11,0)</f>
        <v>0</v>
      </c>
      <c r="XC37" s="2">
        <f>IF(XC21=1,[1]TESTE_LOG_OBRA!$D$11,0)</f>
        <v>0</v>
      </c>
      <c r="XD37" s="2">
        <f>IF(XD21=1,[1]TESTE_LOG_OBRA!$D$11,0)</f>
        <v>0</v>
      </c>
      <c r="XE37" s="2">
        <f>IF(XE21=1,[1]TESTE_LOG_OBRA!$D$11,0)</f>
        <v>0</v>
      </c>
      <c r="XF37" s="2">
        <f>IF(XF21=1,[1]TESTE_LOG_OBRA!$D$11,0)</f>
        <v>0</v>
      </c>
      <c r="XG37" s="2">
        <f>IF(XG21=1,[1]TESTE_LOG_OBRA!$D$11,0)</f>
        <v>0</v>
      </c>
      <c r="XH37" s="2">
        <f>IF(XH21=1,[1]TESTE_LOG_OBRA!$D$11,0)</f>
        <v>0</v>
      </c>
      <c r="XI37" s="2">
        <f>IF(XI21=1,[1]TESTE_LOG_OBRA!$D$11,0)</f>
        <v>0</v>
      </c>
      <c r="XJ37" s="2">
        <f>IF(XJ21=1,[1]TESTE_LOG_OBRA!$D$11,0)</f>
        <v>0</v>
      </c>
      <c r="XK37" s="2">
        <f>IF(XK21=1,[1]TESTE_LOG_OBRA!$D$11,0)</f>
        <v>0</v>
      </c>
      <c r="XL37" s="2">
        <f>IF(XL21=1,[1]TESTE_LOG_OBRA!$D$11,0)</f>
        <v>0</v>
      </c>
      <c r="XM37" s="2">
        <f>IF(XM21=1,[1]TESTE_LOG_OBRA!$D$11,0)</f>
        <v>0</v>
      </c>
      <c r="XN37" s="2">
        <f>IF(XN21=1,[1]TESTE_LOG_OBRA!$D$11,0)</f>
        <v>0</v>
      </c>
      <c r="XO37" s="2">
        <f>IF(XO21=1,[1]TESTE_LOG_OBRA!$D$11,0)</f>
        <v>0</v>
      </c>
      <c r="XP37" s="2">
        <f>IF(XP21=1,[1]TESTE_LOG_OBRA!$D$11,0)</f>
        <v>0</v>
      </c>
      <c r="XQ37" s="2">
        <f>IF(XQ21=1,[1]TESTE_LOG_OBRA!$D$11,0)</f>
        <v>0</v>
      </c>
      <c r="XR37" s="2">
        <f>IF(XR21=1,[1]TESTE_LOG_OBRA!$D$11,0)</f>
        <v>0</v>
      </c>
      <c r="XS37" s="2">
        <f>IF(XS21=1,[1]TESTE_LOG_OBRA!$D$11,0)</f>
        <v>0</v>
      </c>
      <c r="XT37" s="2">
        <f>IF(XT21=1,[1]TESTE_LOG_OBRA!$D$11,0)</f>
        <v>0</v>
      </c>
      <c r="XU37" s="2">
        <f>IF(XU21=1,[1]TESTE_LOG_OBRA!$D$11,0)</f>
        <v>0</v>
      </c>
      <c r="XV37" s="2">
        <f>IF(XV21=1,[1]TESTE_LOG_OBRA!$D$11,0)</f>
        <v>0</v>
      </c>
      <c r="XW37" s="2">
        <f>IF(XW21=1,[1]TESTE_LOG_OBRA!$D$11,0)</f>
        <v>0</v>
      </c>
      <c r="XX37" s="2">
        <f>IF(XX21=1,[1]TESTE_LOG_OBRA!$D$11,0)</f>
        <v>0</v>
      </c>
      <c r="XY37" s="2">
        <f>IF(XY21=1,[1]TESTE_LOG_OBRA!$D$11,0)</f>
        <v>0</v>
      </c>
      <c r="XZ37" s="2">
        <f>IF(XZ21=1,[1]TESTE_LOG_OBRA!$D$11,0)</f>
        <v>0</v>
      </c>
      <c r="YA37" s="2">
        <f>IF(YA21=1,[1]TESTE_LOG_OBRA!$D$11,0)</f>
        <v>0</v>
      </c>
      <c r="YB37" s="2">
        <f>IF(YB21=1,[1]TESTE_LOG_OBRA!$D$11,0)</f>
        <v>0</v>
      </c>
      <c r="YC37" s="2">
        <f>IF(YC21=1,[1]TESTE_LOG_OBRA!$D$11,0)</f>
        <v>0</v>
      </c>
      <c r="YD37" s="2">
        <f>IF(YD21=1,[1]TESTE_LOG_OBRA!$D$11,0)</f>
        <v>0</v>
      </c>
      <c r="YE37" s="2">
        <f>IF(YE21=1,[1]TESTE_LOG_OBRA!$D$11,0)</f>
        <v>0</v>
      </c>
      <c r="YF37" s="2">
        <f>IF(YF21=1,[1]TESTE_LOG_OBRA!$D$11,0)</f>
        <v>0</v>
      </c>
      <c r="YG37" s="2">
        <f>IF(YG21=1,[1]TESTE_LOG_OBRA!$D$11,0)</f>
        <v>0</v>
      </c>
      <c r="YH37" s="2">
        <f>IF(YH21=1,[1]TESTE_LOG_OBRA!$D$11,0)</f>
        <v>0</v>
      </c>
      <c r="YI37" s="2">
        <f>IF(YI21=1,[1]TESTE_LOG_OBRA!$D$11,0)</f>
        <v>0</v>
      </c>
      <c r="YJ37" s="2">
        <f>IF(YJ21=1,[1]TESTE_LOG_OBRA!$D$11,0)</f>
        <v>0</v>
      </c>
      <c r="YK37" s="2">
        <f>IF(YK21=1,[1]TESTE_LOG_OBRA!$D$11,0)</f>
        <v>0</v>
      </c>
      <c r="YL37" s="2">
        <f>IF(YL21=1,[1]TESTE_LOG_OBRA!$D$11,0)</f>
        <v>0</v>
      </c>
      <c r="YM37" s="2">
        <f>IF(YM21=1,[1]TESTE_LOG_OBRA!$D$11,0)</f>
        <v>0</v>
      </c>
      <c r="YN37" s="2">
        <f>IF(YN21=1,[1]TESTE_LOG_OBRA!$D$11,0)</f>
        <v>0</v>
      </c>
      <c r="YO37" s="2">
        <f>IF(YO21=1,[1]TESTE_LOG_OBRA!$D$11,0)</f>
        <v>0</v>
      </c>
      <c r="YP37" s="2">
        <f>IF(YP21=1,[1]TESTE_LOG_OBRA!$D$11,0)</f>
        <v>0</v>
      </c>
      <c r="YQ37" s="2">
        <f>IF(YQ21=1,[1]TESTE_LOG_OBRA!$D$11,0)</f>
        <v>0</v>
      </c>
      <c r="YR37" s="2">
        <f>IF(YR21=1,[1]TESTE_LOG_OBRA!$D$11,0)</f>
        <v>0</v>
      </c>
      <c r="YS37" s="2">
        <f>IF(YS21=1,[1]TESTE_LOG_OBRA!$D$11,0)</f>
        <v>0</v>
      </c>
      <c r="YT37" s="2">
        <f>IF(YT21=1,[1]TESTE_LOG_OBRA!$D$11,0)</f>
        <v>0</v>
      </c>
      <c r="YU37" s="2">
        <f>IF(YU21=1,[1]TESTE_LOG_OBRA!$D$11,0)</f>
        <v>0</v>
      </c>
      <c r="YV37" s="2">
        <f>IF(YV21=1,[1]TESTE_LOG_OBRA!$D$11,0)</f>
        <v>0</v>
      </c>
      <c r="YW37" s="2">
        <f>IF(YW21=1,[1]TESTE_LOG_OBRA!$D$11,0)</f>
        <v>0</v>
      </c>
      <c r="YX37" s="2">
        <f>IF(YX21=1,[1]TESTE_LOG_OBRA!$D$11,0)</f>
        <v>0</v>
      </c>
      <c r="YY37" s="2">
        <f>IF(YY21=1,[1]TESTE_LOG_OBRA!$D$11,0)</f>
        <v>0</v>
      </c>
      <c r="YZ37" s="2">
        <f>IF(YZ21=1,[1]TESTE_LOG_OBRA!$D$11,0)</f>
        <v>0</v>
      </c>
      <c r="ZA37" s="2">
        <f>IF(ZA21=1,[1]TESTE_LOG_OBRA!$D$11,0)</f>
        <v>0</v>
      </c>
      <c r="ZB37" s="2">
        <f>IF(ZB21=1,[1]TESTE_LOG_OBRA!$D$11,0)</f>
        <v>0</v>
      </c>
      <c r="ZC37" s="2">
        <f>IF(ZC21=1,[1]TESTE_LOG_OBRA!$D$11,0)</f>
        <v>0</v>
      </c>
      <c r="ZD37" s="2">
        <f>IF(ZD21=1,[1]TESTE_LOG_OBRA!$D$11,0)</f>
        <v>0</v>
      </c>
      <c r="ZE37" s="2">
        <f>IF(ZE21=1,[1]TESTE_LOG_OBRA!$D$11,0)</f>
        <v>0</v>
      </c>
      <c r="ZF37" s="2">
        <f>IF(ZF21=1,[1]TESTE_LOG_OBRA!$D$11,0)</f>
        <v>0</v>
      </c>
      <c r="ZG37" s="2">
        <f>IF(ZG21=1,[1]TESTE_LOG_OBRA!$D$11,0)</f>
        <v>0</v>
      </c>
      <c r="ZH37" s="2">
        <f>IF(ZH21=1,[1]TESTE_LOG_OBRA!$D$11,0)</f>
        <v>0</v>
      </c>
      <c r="ZI37" s="2">
        <f>IF(ZI21=1,[1]TESTE_LOG_OBRA!$D$11,0)</f>
        <v>0</v>
      </c>
      <c r="ZJ37" s="2">
        <f>IF(ZJ21=1,[1]TESTE_LOG_OBRA!$D$11,0)</f>
        <v>0</v>
      </c>
      <c r="ZK37" s="2">
        <f>IF(ZK21=1,[1]TESTE_LOG_OBRA!$D$11,0)</f>
        <v>0</v>
      </c>
      <c r="ZL37" s="2">
        <f>IF(ZL21=1,[1]TESTE_LOG_OBRA!$D$11,0)</f>
        <v>0</v>
      </c>
      <c r="ZM37" s="2">
        <f>IF(ZM21=1,[1]TESTE_LOG_OBRA!$D$11,0)</f>
        <v>0</v>
      </c>
      <c r="ZN37" s="2">
        <f>IF(ZN21=1,[1]TESTE_LOG_OBRA!$D$11,0)</f>
        <v>0</v>
      </c>
      <c r="ZO37" s="2">
        <f>IF(ZO21=1,[1]TESTE_LOG_OBRA!$D$11,0)</f>
        <v>0</v>
      </c>
      <c r="ZP37" s="2">
        <f>IF(ZP21=1,[1]TESTE_LOG_OBRA!$D$11,0)</f>
        <v>0</v>
      </c>
      <c r="ZQ37" s="2">
        <f>IF(ZQ21=1,[1]TESTE_LOG_OBRA!$D$11,0)</f>
        <v>0</v>
      </c>
      <c r="ZR37" s="2">
        <f>IF(ZR21=1,[1]TESTE_LOG_OBRA!$D$11,0)</f>
        <v>0</v>
      </c>
      <c r="ZS37" s="2">
        <f>IF(ZS21=1,[1]TESTE_LOG_OBRA!$D$11,0)</f>
        <v>0</v>
      </c>
      <c r="ZT37" s="2">
        <f>IF(ZT21=1,[1]TESTE_LOG_OBRA!$D$11,0)</f>
        <v>0</v>
      </c>
      <c r="ZU37" s="2">
        <f>IF(ZU21=1,[1]TESTE_LOG_OBRA!$D$11,0)</f>
        <v>0</v>
      </c>
      <c r="ZV37" s="2">
        <f>IF(ZV21=1,[1]TESTE_LOG_OBRA!$D$11,0)</f>
        <v>0</v>
      </c>
      <c r="ZW37" s="2">
        <f>IF(ZW21=1,[1]TESTE_LOG_OBRA!$D$11,0)</f>
        <v>0</v>
      </c>
      <c r="ZX37" s="2">
        <f>IF(ZX21=1,[1]TESTE_LOG_OBRA!$D$11,0)</f>
        <v>0</v>
      </c>
      <c r="ZY37" s="2">
        <f>IF(ZY21=1,[1]TESTE_LOG_OBRA!$D$11,0)</f>
        <v>0</v>
      </c>
      <c r="ZZ37" s="2">
        <f>IF(ZZ21=1,[1]TESTE_LOG_OBRA!$D$11,0)</f>
        <v>0</v>
      </c>
      <c r="AAA37" s="2">
        <f>IF(AAA21=1,[1]TESTE_LOG_OBRA!$D$11,0)</f>
        <v>0</v>
      </c>
      <c r="AAB37" s="2">
        <f>IF(AAB21=1,[1]TESTE_LOG_OBRA!$D$11,0)</f>
        <v>0</v>
      </c>
      <c r="AAC37" s="2">
        <f>IF(AAC21=1,[1]TESTE_LOG_OBRA!$D$11,0)</f>
        <v>0</v>
      </c>
      <c r="AAD37" s="2">
        <f>IF(AAD21=1,[1]TESTE_LOG_OBRA!$D$11,0)</f>
        <v>0</v>
      </c>
      <c r="AAE37" s="2">
        <f>IF(AAE21=1,[1]TESTE_LOG_OBRA!$D$11,0)</f>
        <v>0</v>
      </c>
      <c r="AAF37" s="2">
        <f>IF(AAF21=1,[1]TESTE_LOG_OBRA!$D$11,0)</f>
        <v>0</v>
      </c>
      <c r="AAG37" s="2">
        <f>IF(AAG21=1,[1]TESTE_LOG_OBRA!$D$11,0)</f>
        <v>0</v>
      </c>
      <c r="AAH37" s="2">
        <f>IF(AAH21=1,[1]TESTE_LOG_OBRA!$D$11,0)</f>
        <v>0</v>
      </c>
      <c r="AAI37" s="2">
        <f>IF(AAI21=1,[1]TESTE_LOG_OBRA!$D$11,0)</f>
        <v>0</v>
      </c>
      <c r="AAJ37" s="2">
        <f>IF(AAJ21=1,[1]TESTE_LOG_OBRA!$D$11,0)</f>
        <v>0</v>
      </c>
      <c r="AAK37" s="2">
        <f>IF(AAK21=1,[1]TESTE_LOG_OBRA!$D$11,0)</f>
        <v>0</v>
      </c>
      <c r="AAL37" s="2">
        <f>IF(AAL21=1,[1]TESTE_LOG_OBRA!$D$11,0)</f>
        <v>0</v>
      </c>
      <c r="AAM37" s="2">
        <f>IF(AAM21=1,[1]TESTE_LOG_OBRA!$D$11,0)</f>
        <v>0</v>
      </c>
      <c r="AAN37" s="2">
        <f>IF(AAN21=1,[1]TESTE_LOG_OBRA!$D$11,0)</f>
        <v>0</v>
      </c>
      <c r="AAO37" s="2">
        <f>IF(AAO21=1,[1]TESTE_LOG_OBRA!$D$11,0)</f>
        <v>0</v>
      </c>
      <c r="AAP37" s="2">
        <f>IF(AAP21=1,[1]TESTE_LOG_OBRA!$D$11,0)</f>
        <v>0</v>
      </c>
      <c r="AAQ37" s="2">
        <f>IF(AAQ21=1,[1]TESTE_LOG_OBRA!$D$11,0)</f>
        <v>0</v>
      </c>
      <c r="AAR37" s="2">
        <f>IF(AAR21=1,[1]TESTE_LOG_OBRA!$D$11,0)</f>
        <v>0</v>
      </c>
      <c r="AAS37" s="2">
        <f>IF(AAS21=1,[1]TESTE_LOG_OBRA!$D$11,0)</f>
        <v>0</v>
      </c>
      <c r="AAT37" s="2">
        <f>IF(AAT21=1,[1]TESTE_LOG_OBRA!$D$11,0)</f>
        <v>0</v>
      </c>
      <c r="AAU37" s="2">
        <f>IF(AAU21=1,[1]TESTE_LOG_OBRA!$D$11,0)</f>
        <v>0</v>
      </c>
      <c r="AAV37" s="2">
        <f>IF(AAV21=1,[1]TESTE_LOG_OBRA!$D$11,0)</f>
        <v>0</v>
      </c>
      <c r="AAW37" s="2">
        <f>IF(AAW21=1,[1]TESTE_LOG_OBRA!$D$11,0)</f>
        <v>0</v>
      </c>
      <c r="AAX37" s="2">
        <f>IF(AAX21=1,[1]TESTE_LOG_OBRA!$D$11,0)</f>
        <v>0</v>
      </c>
      <c r="AAY37" s="2">
        <f>IF(AAY21=1,[1]TESTE_LOG_OBRA!$D$11,0)</f>
        <v>0</v>
      </c>
      <c r="AAZ37" s="2">
        <f>IF(AAZ21=1,[1]TESTE_LOG_OBRA!$D$11,0)</f>
        <v>0</v>
      </c>
      <c r="ABA37" s="2">
        <f>IF(ABA21=1,[1]TESTE_LOG_OBRA!$D$11,0)</f>
        <v>0</v>
      </c>
      <c r="ABB37" s="2">
        <f>IF(ABB21=1,[1]TESTE_LOG_OBRA!$D$11,0)</f>
        <v>0</v>
      </c>
      <c r="ABC37" s="2">
        <f>IF(ABC21=1,[1]TESTE_LOG_OBRA!$D$11,0)</f>
        <v>0</v>
      </c>
      <c r="ABD37" s="2">
        <f>IF(ABD21=1,[1]TESTE_LOG_OBRA!$D$11,0)</f>
        <v>0</v>
      </c>
      <c r="ABE37" s="2">
        <f>IF(ABE21=1,[1]TESTE_LOG_OBRA!$D$11,0)</f>
        <v>0</v>
      </c>
      <c r="ABF37" s="2">
        <f>IF(ABF21=1,[1]TESTE_LOG_OBRA!$D$11,0)</f>
        <v>0</v>
      </c>
      <c r="ABG37" s="2">
        <f>IF(ABG21=1,[1]TESTE_LOG_OBRA!$D$11,0)</f>
        <v>0</v>
      </c>
      <c r="ABH37" s="2">
        <f>IF(ABH21=1,[1]TESTE_LOG_OBRA!$D$11,0)</f>
        <v>0</v>
      </c>
      <c r="ABI37" s="2">
        <f>IF(ABI21=1,[1]TESTE_LOG_OBRA!$D$11,0)</f>
        <v>0</v>
      </c>
    </row>
    <row r="38" spans="2:737" ht="12.95" hidden="1" customHeight="1" x14ac:dyDescent="0.25">
      <c r="D38" s="1" t="s">
        <v>14</v>
      </c>
      <c r="E38" s="1"/>
      <c r="F38" s="2">
        <f>IF(F24="SÁB",[1]TESTE_LOG_OBRA!$D$11,IF(F24="Dom",[1]TESTE_LOG_OBRA!$D$11,0))</f>
        <v>0</v>
      </c>
      <c r="G38" s="2">
        <f>IF(G24="SÁB",[1]TESTE_LOG_OBRA!$D$11,IF(G24="Dom",[1]TESTE_LOG_OBRA!$D$11,0))</f>
        <v>0</v>
      </c>
      <c r="H38" s="2">
        <f>IF(H24="SÁB",[1]TESTE_LOG_OBRA!$D$11,IF(H24="Dom",[1]TESTE_LOG_OBRA!$D$11,0))</f>
        <v>0</v>
      </c>
      <c r="I38" s="2">
        <f>IF(I24="SÁB",[1]TESTE_LOG_OBRA!$D$11,IF(I24="Dom",[1]TESTE_LOG_OBRA!$D$11,0))</f>
        <v>0</v>
      </c>
      <c r="J38" s="2">
        <f>IF(J24="SÁB",[1]TESTE_LOG_OBRA!$D$11,IF(J24="Dom",[1]TESTE_LOG_OBRA!$D$11,0))</f>
        <v>0</v>
      </c>
      <c r="K38" s="2">
        <f>IF(K24="SÁB",[1]TESTE_LOG_OBRA!$D$11,IF(K24="Dom",[1]TESTE_LOG_OBRA!$D$11,0))</f>
        <v>17</v>
      </c>
      <c r="L38" s="2">
        <f>IF(L24="SÁB",[1]TESTE_LOG_OBRA!$D$11,IF(L24="Dom",[1]TESTE_LOG_OBRA!$D$11,0))</f>
        <v>17</v>
      </c>
      <c r="M38" s="2">
        <f>IF(M24="SÁB",[1]TESTE_LOG_OBRA!$D$11,IF(M24="Dom",[1]TESTE_LOG_OBRA!$D$11,0))</f>
        <v>0</v>
      </c>
      <c r="N38" s="2">
        <f>IF(N24="SÁB",[1]TESTE_LOG_OBRA!$D$11,IF(N24="Dom",[1]TESTE_LOG_OBRA!$D$11,0))</f>
        <v>0</v>
      </c>
      <c r="O38" s="2">
        <f>IF(O24="SÁB",[1]TESTE_LOG_OBRA!$D$11,IF(O24="Dom",[1]TESTE_LOG_OBRA!$D$11,0))</f>
        <v>0</v>
      </c>
      <c r="P38" s="2">
        <f>IF(P24="SÁB",[1]TESTE_LOG_OBRA!$D$11,IF(P24="Dom",[1]TESTE_LOG_OBRA!$D$11,0))</f>
        <v>0</v>
      </c>
      <c r="Q38" s="2">
        <f>IF(Q24="SÁB",[1]TESTE_LOG_OBRA!$D$11,IF(Q24="Dom",[1]TESTE_LOG_OBRA!$D$11,0))</f>
        <v>0</v>
      </c>
      <c r="R38" s="2">
        <f>IF(R24="SÁB",[1]TESTE_LOG_OBRA!$D$11,IF(R24="Dom",[1]TESTE_LOG_OBRA!$D$11,0))</f>
        <v>17</v>
      </c>
      <c r="S38" s="2">
        <f>IF(S24="SÁB",[1]TESTE_LOG_OBRA!$D$11,IF(S24="Dom",[1]TESTE_LOG_OBRA!$D$11,0))</f>
        <v>17</v>
      </c>
      <c r="T38" s="2">
        <f>IF(T24="SÁB",[1]TESTE_LOG_OBRA!$D$11,IF(T24="Dom",[1]TESTE_LOG_OBRA!$D$11,0))</f>
        <v>0</v>
      </c>
      <c r="U38" s="2">
        <f>IF(U24="SÁB",[1]TESTE_LOG_OBRA!$D$11,IF(U24="Dom",[1]TESTE_LOG_OBRA!$D$11,0))</f>
        <v>0</v>
      </c>
      <c r="V38" s="2">
        <f>IF(V24="SÁB",[1]TESTE_LOG_OBRA!$D$11,IF(V24="Dom",[1]TESTE_LOG_OBRA!$D$11,0))</f>
        <v>0</v>
      </c>
      <c r="W38" s="2">
        <f>IF(W24="SÁB",[1]TESTE_LOG_OBRA!$D$11,IF(W24="Dom",[1]TESTE_LOG_OBRA!$D$11,0))</f>
        <v>0</v>
      </c>
      <c r="X38" s="2">
        <f>IF(X24="SÁB",[1]TESTE_LOG_OBRA!$D$11,IF(X24="Dom",[1]TESTE_LOG_OBRA!$D$11,0))</f>
        <v>0</v>
      </c>
      <c r="Y38" s="2">
        <f>IF(Y24="SÁB",[1]TESTE_LOG_OBRA!$D$11,IF(Y24="Dom",[1]TESTE_LOG_OBRA!$D$11,0))</f>
        <v>17</v>
      </c>
      <c r="Z38" s="2">
        <f>IF(Z24="SÁB",[1]TESTE_LOG_OBRA!$D$11,IF(Z24="Dom",[1]TESTE_LOG_OBRA!$D$11,0))</f>
        <v>17</v>
      </c>
      <c r="AA38" s="2">
        <f>IF(AA24="SÁB",[1]TESTE_LOG_OBRA!$D$11,IF(AA24="Dom",[1]TESTE_LOG_OBRA!$D$11,0))</f>
        <v>0</v>
      </c>
      <c r="AB38" s="2">
        <f>IF(AB24="SÁB",[1]TESTE_LOG_OBRA!$D$11,IF(AB24="Dom",[1]TESTE_LOG_OBRA!$D$11,0))</f>
        <v>0</v>
      </c>
      <c r="AC38" s="2">
        <f>IF(AC24="SÁB",[1]TESTE_LOG_OBRA!$D$11,IF(AC24="Dom",[1]TESTE_LOG_OBRA!$D$11,0))</f>
        <v>0</v>
      </c>
      <c r="AD38" s="2">
        <f>IF(AD24="SÁB",[1]TESTE_LOG_OBRA!$D$11,IF(AD24="Dom",[1]TESTE_LOG_OBRA!$D$11,0))</f>
        <v>0</v>
      </c>
      <c r="AE38" s="2">
        <f>IF(AE24="SÁB",[1]TESTE_LOG_OBRA!$D$11,IF(AE24="Dom",[1]TESTE_LOG_OBRA!$D$11,0))</f>
        <v>0</v>
      </c>
      <c r="AF38" s="2">
        <f>IF(AF24="SÁB",[1]TESTE_LOG_OBRA!$D$11,IF(AF24="Dom",[1]TESTE_LOG_OBRA!$D$11,0))</f>
        <v>17</v>
      </c>
      <c r="AG38" s="2">
        <f>IF(AG24="SÁB",[1]TESTE_LOG_OBRA!$D$11,IF(AG24="Dom",[1]TESTE_LOG_OBRA!$D$11,0))</f>
        <v>17</v>
      </c>
      <c r="AH38" s="2">
        <f>IF(AH24="SÁB",[1]TESTE_LOG_OBRA!$D$11,IF(AH24="Dom",[1]TESTE_LOG_OBRA!$D$11,0))</f>
        <v>0</v>
      </c>
      <c r="AI38" s="2">
        <f>IF(AI24="SÁB",[1]TESTE_LOG_OBRA!$D$11,IF(AI24="Dom",[1]TESTE_LOG_OBRA!$D$11,0))</f>
        <v>0</v>
      </c>
      <c r="AJ38" s="2">
        <f>IF(AJ24="SÁB",[1]TESTE_LOG_OBRA!$D$11,IF(AJ24="Dom",[1]TESTE_LOG_OBRA!$D$11,0))</f>
        <v>0</v>
      </c>
      <c r="AK38" s="2">
        <f>IF(AK24="SÁB",[1]TESTE_LOG_OBRA!$D$11,IF(AK24="Dom",[1]TESTE_LOG_OBRA!$D$11,0))</f>
        <v>0</v>
      </c>
      <c r="AL38" s="2">
        <f>IF(AL24="SÁB",[1]TESTE_LOG_OBRA!$D$11,IF(AL24="Dom",[1]TESTE_LOG_OBRA!$D$11,0))</f>
        <v>0</v>
      </c>
      <c r="AM38" s="2">
        <f>IF(AM24="SÁB",[1]TESTE_LOG_OBRA!$D$11,IF(AM24="Dom",[1]TESTE_LOG_OBRA!$D$11,0))</f>
        <v>17</v>
      </c>
      <c r="AN38" s="2">
        <f>IF(AN24="SÁB",[1]TESTE_LOG_OBRA!$D$11,IF(AN24="Dom",[1]TESTE_LOG_OBRA!$D$11,0))</f>
        <v>17</v>
      </c>
      <c r="AO38" s="2">
        <f>IF(AO24="SÁB",[1]TESTE_LOG_OBRA!$D$11,IF(AO24="Dom",[1]TESTE_LOG_OBRA!$D$11,0))</f>
        <v>0</v>
      </c>
      <c r="AP38" s="2">
        <f>IF(AP24="SÁB",[1]TESTE_LOG_OBRA!$D$11,IF(AP24="Dom",[1]TESTE_LOG_OBRA!$D$11,0))</f>
        <v>0</v>
      </c>
      <c r="AQ38" s="2">
        <f>IF(AQ24="SÁB",[1]TESTE_LOG_OBRA!$D$11,IF(AQ24="Dom",[1]TESTE_LOG_OBRA!$D$11,0))</f>
        <v>0</v>
      </c>
      <c r="AR38" s="2">
        <f>IF(AR24="SÁB",[1]TESTE_LOG_OBRA!$D$11,IF(AR24="Dom",[1]TESTE_LOG_OBRA!$D$11,0))</f>
        <v>0</v>
      </c>
      <c r="AS38" s="2">
        <f>IF(AS24="SÁB",[1]TESTE_LOG_OBRA!$D$11,IF(AS24="Dom",[1]TESTE_LOG_OBRA!$D$11,0))</f>
        <v>0</v>
      </c>
      <c r="AT38" s="2">
        <f>IF(AT24="SÁB",[1]TESTE_LOG_OBRA!$D$11,IF(AT24="Dom",[1]TESTE_LOG_OBRA!$D$11,0))</f>
        <v>17</v>
      </c>
      <c r="AU38" s="2">
        <f>IF(AU24="SÁB",[1]TESTE_LOG_OBRA!$D$11,IF(AU24="Dom",[1]TESTE_LOG_OBRA!$D$11,0))</f>
        <v>17</v>
      </c>
      <c r="AV38" s="2">
        <f>IF(AV24="SÁB",[1]TESTE_LOG_OBRA!$D$11,IF(AV24="Dom",[1]TESTE_LOG_OBRA!$D$11,0))</f>
        <v>0</v>
      </c>
      <c r="AW38" s="2">
        <f>IF(AW24="SÁB",[1]TESTE_LOG_OBRA!$D$11,IF(AW24="Dom",[1]TESTE_LOG_OBRA!$D$11,0))</f>
        <v>0</v>
      </c>
      <c r="AX38" s="2">
        <f>IF(AX24="SÁB",[1]TESTE_LOG_OBRA!$D$11,IF(AX24="Dom",[1]TESTE_LOG_OBRA!$D$11,0))</f>
        <v>0</v>
      </c>
      <c r="AY38" s="2">
        <f>IF(AY24="SÁB",[1]TESTE_LOG_OBRA!$D$11,IF(AY24="Dom",[1]TESTE_LOG_OBRA!$D$11,0))</f>
        <v>0</v>
      </c>
      <c r="AZ38" s="2">
        <f>IF(AZ24="SÁB",[1]TESTE_LOG_OBRA!$D$11,IF(AZ24="Dom",[1]TESTE_LOG_OBRA!$D$11,0))</f>
        <v>0</v>
      </c>
      <c r="BA38" s="2">
        <f>IF(BA24="SÁB",[1]TESTE_LOG_OBRA!$D$11,IF(BA24="Dom",[1]TESTE_LOG_OBRA!$D$11,0))</f>
        <v>17</v>
      </c>
      <c r="BB38" s="2">
        <f>IF(BB24="SÁB",[1]TESTE_LOG_OBRA!$D$11,IF(BB24="Dom",[1]TESTE_LOG_OBRA!$D$11,0))</f>
        <v>17</v>
      </c>
      <c r="BC38" s="2">
        <f>IF(BC24="SÁB",[1]TESTE_LOG_OBRA!$D$11,IF(BC24="Dom",[1]TESTE_LOG_OBRA!$D$11,0))</f>
        <v>0</v>
      </c>
      <c r="BD38" s="2">
        <f>IF(BD24="SÁB",[1]TESTE_LOG_OBRA!$D$11,IF(BD24="Dom",[1]TESTE_LOG_OBRA!$D$11,0))</f>
        <v>0</v>
      </c>
      <c r="BE38" s="2">
        <f>IF(BE24="SÁB",[1]TESTE_LOG_OBRA!$D$11,IF(BE24="Dom",[1]TESTE_LOG_OBRA!$D$11,0))</f>
        <v>0</v>
      </c>
      <c r="BF38" s="2">
        <f>IF(BF24="SÁB",[1]TESTE_LOG_OBRA!$D$11,IF(BF24="Dom",[1]TESTE_LOG_OBRA!$D$11,0))</f>
        <v>0</v>
      </c>
      <c r="BG38" s="2">
        <f>IF(BG24="SÁB",[1]TESTE_LOG_OBRA!$D$11,IF(BG24="Dom",[1]TESTE_LOG_OBRA!$D$11,0))</f>
        <v>0</v>
      </c>
      <c r="BH38" s="2">
        <f>IF(BH24="SÁB",[1]TESTE_LOG_OBRA!$D$11,IF(BH24="Dom",[1]TESTE_LOG_OBRA!$D$11,0))</f>
        <v>17</v>
      </c>
      <c r="BI38" s="2">
        <f>IF(BI24="SÁB",[1]TESTE_LOG_OBRA!$D$11,IF(BI24="Dom",[1]TESTE_LOG_OBRA!$D$11,0))</f>
        <v>17</v>
      </c>
      <c r="BJ38" s="2">
        <f>IF(BJ24="SÁB",[1]TESTE_LOG_OBRA!$D$11,IF(BJ24="Dom",[1]TESTE_LOG_OBRA!$D$11,0))</f>
        <v>0</v>
      </c>
      <c r="BK38" s="2">
        <f>IF(BK24="SÁB",[1]TESTE_LOG_OBRA!$D$11,IF(BK24="Dom",[1]TESTE_LOG_OBRA!$D$11,0))</f>
        <v>0</v>
      </c>
      <c r="BL38" s="2">
        <f>IF(BL24="SÁB",[1]TESTE_LOG_OBRA!$D$11,IF(BL24="Dom",[1]TESTE_LOG_OBRA!$D$11,0))</f>
        <v>0</v>
      </c>
      <c r="BM38" s="2">
        <f>IF(BM24="SÁB",[1]TESTE_LOG_OBRA!$D$11,IF(BM24="Dom",[1]TESTE_LOG_OBRA!$D$11,0))</f>
        <v>0</v>
      </c>
      <c r="BN38" s="2">
        <f>IF(BN24="SÁB",[1]TESTE_LOG_OBRA!$D$11,IF(BN24="Dom",[1]TESTE_LOG_OBRA!$D$11,0))</f>
        <v>0</v>
      </c>
      <c r="BO38" s="2">
        <f>IF(BO24="SÁB",[1]TESTE_LOG_OBRA!$D$11,IF(BO24="Dom",[1]TESTE_LOG_OBRA!$D$11,0))</f>
        <v>17</v>
      </c>
      <c r="BP38" s="2">
        <f>IF(BP24="SÁB",[1]TESTE_LOG_OBRA!$D$11,IF(BP24="Dom",[1]TESTE_LOG_OBRA!$D$11,0))</f>
        <v>17</v>
      </c>
      <c r="BQ38" s="2">
        <f>IF(BQ24="SÁB",[1]TESTE_LOG_OBRA!$D$11,IF(BQ24="Dom",[1]TESTE_LOG_OBRA!$D$11,0))</f>
        <v>0</v>
      </c>
      <c r="BR38" s="2">
        <f>IF(BR24="SÁB",[1]TESTE_LOG_OBRA!$D$11,IF(BR24="Dom",[1]TESTE_LOG_OBRA!$D$11,0))</f>
        <v>0</v>
      </c>
      <c r="BS38" s="2">
        <f>IF(BS24="SÁB",[1]TESTE_LOG_OBRA!$D$11,IF(BS24="Dom",[1]TESTE_LOG_OBRA!$D$11,0))</f>
        <v>0</v>
      </c>
      <c r="BT38" s="2">
        <f>IF(BT24="SÁB",[1]TESTE_LOG_OBRA!$D$11,IF(BT24="Dom",[1]TESTE_LOG_OBRA!$D$11,0))</f>
        <v>0</v>
      </c>
      <c r="BU38" s="2">
        <f>IF(BU24="SÁB",[1]TESTE_LOG_OBRA!$D$11,IF(BU24="Dom",[1]TESTE_LOG_OBRA!$D$11,0))</f>
        <v>0</v>
      </c>
      <c r="BV38" s="2">
        <f>IF(BV24="SÁB",[1]TESTE_LOG_OBRA!$D$11,IF(BV24="Dom",[1]TESTE_LOG_OBRA!$D$11,0))</f>
        <v>17</v>
      </c>
      <c r="BW38" s="2">
        <f>IF(BW24="SÁB",[1]TESTE_LOG_OBRA!$D$11,IF(BW24="Dom",[1]TESTE_LOG_OBRA!$D$11,0))</f>
        <v>17</v>
      </c>
      <c r="BX38" s="2">
        <f>IF(BX24="SÁB",[1]TESTE_LOG_OBRA!$D$11,IF(BX24="Dom",[1]TESTE_LOG_OBRA!$D$11,0))</f>
        <v>0</v>
      </c>
      <c r="BY38" s="2">
        <f>IF(BY24="SÁB",[1]TESTE_LOG_OBRA!$D$11,IF(BY24="Dom",[1]TESTE_LOG_OBRA!$D$11,0))</f>
        <v>0</v>
      </c>
      <c r="BZ38" s="2">
        <f>IF(BZ24="SÁB",[1]TESTE_LOG_OBRA!$D$11,IF(BZ24="Dom",[1]TESTE_LOG_OBRA!$D$11,0))</f>
        <v>0</v>
      </c>
      <c r="CA38" s="2">
        <f>IF(CA24="SÁB",[1]TESTE_LOG_OBRA!$D$11,IF(CA24="Dom",[1]TESTE_LOG_OBRA!$D$11,0))</f>
        <v>0</v>
      </c>
      <c r="CB38" s="2">
        <f>IF(CB24="SÁB",[1]TESTE_LOG_OBRA!$D$11,IF(CB24="Dom",[1]TESTE_LOG_OBRA!$D$11,0))</f>
        <v>0</v>
      </c>
      <c r="CC38" s="2">
        <f>IF(CC24="SÁB",[1]TESTE_LOG_OBRA!$D$11,IF(CC24="Dom",[1]TESTE_LOG_OBRA!$D$11,0))</f>
        <v>17</v>
      </c>
      <c r="CD38" s="2">
        <f>IF(CD24="SÁB",[1]TESTE_LOG_OBRA!$D$11,IF(CD24="Dom",[1]TESTE_LOG_OBRA!$D$11,0))</f>
        <v>17</v>
      </c>
      <c r="CE38" s="2">
        <f>IF(CE24="SÁB",[1]TESTE_LOG_OBRA!$D$11,IF(CE24="Dom",[1]TESTE_LOG_OBRA!$D$11,0))</f>
        <v>0</v>
      </c>
      <c r="CF38" s="2">
        <f>IF(CF24="SÁB",[1]TESTE_LOG_OBRA!$D$11,IF(CF24="Dom",[1]TESTE_LOG_OBRA!$D$11,0))</f>
        <v>0</v>
      </c>
      <c r="CG38" s="2">
        <f>IF(CG24="SÁB",[1]TESTE_LOG_OBRA!$D$11,IF(CG24="Dom",[1]TESTE_LOG_OBRA!$D$11,0))</f>
        <v>0</v>
      </c>
      <c r="CH38" s="2">
        <f>IF(CH24="SÁB",[1]TESTE_LOG_OBRA!$D$11,IF(CH24="Dom",[1]TESTE_LOG_OBRA!$D$11,0))</f>
        <v>0</v>
      </c>
      <c r="CI38" s="2">
        <f>IF(CI24="SÁB",[1]TESTE_LOG_OBRA!$D$11,IF(CI24="Dom",[1]TESTE_LOG_OBRA!$D$11,0))</f>
        <v>0</v>
      </c>
      <c r="CJ38" s="2">
        <f>IF(CJ24="SÁB",[1]TESTE_LOG_OBRA!$D$11,IF(CJ24="Dom",[1]TESTE_LOG_OBRA!$D$11,0))</f>
        <v>17</v>
      </c>
      <c r="CK38" s="2">
        <f>IF(CK24="SÁB",[1]TESTE_LOG_OBRA!$D$11,IF(CK24="Dom",[1]TESTE_LOG_OBRA!$D$11,0))</f>
        <v>17</v>
      </c>
      <c r="CL38" s="2">
        <f>IF(CL24="SÁB",[1]TESTE_LOG_OBRA!$D$11,IF(CL24="Dom",[1]TESTE_LOG_OBRA!$D$11,0))</f>
        <v>0</v>
      </c>
      <c r="CM38" s="2">
        <f>IF(CM24="SÁB",[1]TESTE_LOG_OBRA!$D$11,IF(CM24="Dom",[1]TESTE_LOG_OBRA!$D$11,0))</f>
        <v>0</v>
      </c>
      <c r="CN38" s="2">
        <f>IF(CN24="SÁB",[1]TESTE_LOG_OBRA!$D$11,IF(CN24="Dom",[1]TESTE_LOG_OBRA!$D$11,0))</f>
        <v>0</v>
      </c>
      <c r="CO38" s="2">
        <f>IF(CO24="SÁB",[1]TESTE_LOG_OBRA!$D$11,IF(CO24="Dom",[1]TESTE_LOG_OBRA!$D$11,0))</f>
        <v>0</v>
      </c>
      <c r="CP38" s="2">
        <f>IF(CP24="SÁB",[1]TESTE_LOG_OBRA!$D$11,IF(CP24="Dom",[1]TESTE_LOG_OBRA!$D$11,0))</f>
        <v>0</v>
      </c>
      <c r="CQ38" s="2">
        <f>IF(CQ24="SÁB",[1]TESTE_LOG_OBRA!$D$11,IF(CQ24="Dom",[1]TESTE_LOG_OBRA!$D$11,0))</f>
        <v>17</v>
      </c>
      <c r="CR38" s="2">
        <f>IF(CR24="SÁB",[1]TESTE_LOG_OBRA!$D$11,IF(CR24="Dom",[1]TESTE_LOG_OBRA!$D$11,0))</f>
        <v>17</v>
      </c>
      <c r="CS38" s="2">
        <f>IF(CS24="SÁB",[1]TESTE_LOG_OBRA!$D$11,IF(CS24="Dom",[1]TESTE_LOG_OBRA!$D$11,0))</f>
        <v>0</v>
      </c>
      <c r="CT38" s="2">
        <f>IF(CT24="SÁB",[1]TESTE_LOG_OBRA!$D$11,IF(CT24="Dom",[1]TESTE_LOG_OBRA!$D$11,0))</f>
        <v>0</v>
      </c>
      <c r="CU38" s="2">
        <f>IF(CU24="SÁB",[1]TESTE_LOG_OBRA!$D$11,IF(CU24="Dom",[1]TESTE_LOG_OBRA!$D$11,0))</f>
        <v>0</v>
      </c>
      <c r="CV38" s="2">
        <f>IF(CV24="SÁB",[1]TESTE_LOG_OBRA!$D$11,IF(CV24="Dom",[1]TESTE_LOG_OBRA!$D$11,0))</f>
        <v>0</v>
      </c>
      <c r="CW38" s="2">
        <f>IF(CW24="SÁB",[1]TESTE_LOG_OBRA!$D$11,IF(CW24="Dom",[1]TESTE_LOG_OBRA!$D$11,0))</f>
        <v>0</v>
      </c>
      <c r="CX38" s="2">
        <f>IF(CX24="SÁB",[1]TESTE_LOG_OBRA!$D$11,IF(CX24="Dom",[1]TESTE_LOG_OBRA!$D$11,0))</f>
        <v>17</v>
      </c>
      <c r="CY38" s="2">
        <f>IF(CY24="SÁB",[1]TESTE_LOG_OBRA!$D$11,IF(CY24="Dom",[1]TESTE_LOG_OBRA!$D$11,0))</f>
        <v>17</v>
      </c>
      <c r="CZ38" s="2">
        <f>IF(CZ24="SÁB",[1]TESTE_LOG_OBRA!$D$11,IF(CZ24="Dom",[1]TESTE_LOG_OBRA!$D$11,0))</f>
        <v>0</v>
      </c>
      <c r="DA38" s="2">
        <f>IF(DA24="SÁB",[1]TESTE_LOG_OBRA!$D$11,IF(DA24="Dom",[1]TESTE_LOG_OBRA!$D$11,0))</f>
        <v>0</v>
      </c>
      <c r="DB38" s="2">
        <f>IF(DB24="SÁB",[1]TESTE_LOG_OBRA!$D$11,IF(DB24="Dom",[1]TESTE_LOG_OBRA!$D$11,0))</f>
        <v>0</v>
      </c>
      <c r="DC38" s="2">
        <f>IF(DC24="SÁB",[1]TESTE_LOG_OBRA!$D$11,IF(DC24="Dom",[1]TESTE_LOG_OBRA!$D$11,0))</f>
        <v>0</v>
      </c>
      <c r="DD38" s="2">
        <f>IF(DD24="SÁB",[1]TESTE_LOG_OBRA!$D$11,IF(DD24="Dom",[1]TESTE_LOG_OBRA!$D$11,0))</f>
        <v>0</v>
      </c>
      <c r="DE38" s="2">
        <f>IF(DE24="SÁB",[1]TESTE_LOG_OBRA!$D$11,IF(DE24="Dom",[1]TESTE_LOG_OBRA!$D$11,0))</f>
        <v>17</v>
      </c>
      <c r="DF38" s="2">
        <f>IF(DF24="SÁB",[1]TESTE_LOG_OBRA!$D$11,IF(DF24="Dom",[1]TESTE_LOG_OBRA!$D$11,0))</f>
        <v>17</v>
      </c>
      <c r="DG38" s="2">
        <f>IF(DG24="SÁB",[1]TESTE_LOG_OBRA!$D$11,IF(DG24="Dom",[1]TESTE_LOG_OBRA!$D$11,0))</f>
        <v>0</v>
      </c>
      <c r="DH38" s="2">
        <f>IF(DH24="SÁB",[1]TESTE_LOG_OBRA!$D$11,IF(DH24="Dom",[1]TESTE_LOG_OBRA!$D$11,0))</f>
        <v>0</v>
      </c>
      <c r="DI38" s="2">
        <f>IF(DI24="SÁB",[1]TESTE_LOG_OBRA!$D$11,IF(DI24="Dom",[1]TESTE_LOG_OBRA!$D$11,0))</f>
        <v>0</v>
      </c>
      <c r="DJ38" s="2">
        <f>IF(DJ24="SÁB",[1]TESTE_LOG_OBRA!$D$11,IF(DJ24="Dom",[1]TESTE_LOG_OBRA!$D$11,0))</f>
        <v>0</v>
      </c>
      <c r="DK38" s="2">
        <f>IF(DK24="SÁB",[1]TESTE_LOG_OBRA!$D$11,IF(DK24="Dom",[1]TESTE_LOG_OBRA!$D$11,0))</f>
        <v>0</v>
      </c>
      <c r="DL38" s="2">
        <f>IF(DL24="SÁB",[1]TESTE_LOG_OBRA!$D$11,IF(DL24="Dom",[1]TESTE_LOG_OBRA!$D$11,0))</f>
        <v>17</v>
      </c>
      <c r="DM38" s="2">
        <f>IF(DM24="SÁB",[1]TESTE_LOG_OBRA!$D$11,IF(DM24="Dom",[1]TESTE_LOG_OBRA!$D$11,0))</f>
        <v>17</v>
      </c>
      <c r="DN38" s="2">
        <f>IF(DN24="SÁB",[1]TESTE_LOG_OBRA!$D$11,IF(DN24="Dom",[1]TESTE_LOG_OBRA!$D$11,0))</f>
        <v>0</v>
      </c>
      <c r="DO38" s="2">
        <f>IF(DO24="SÁB",[1]TESTE_LOG_OBRA!$D$11,IF(DO24="Dom",[1]TESTE_LOG_OBRA!$D$11,0))</f>
        <v>0</v>
      </c>
      <c r="DP38" s="2">
        <f>IF(DP24="SÁB",[1]TESTE_LOG_OBRA!$D$11,IF(DP24="Dom",[1]TESTE_LOG_OBRA!$D$11,0))</f>
        <v>0</v>
      </c>
      <c r="DQ38" s="2">
        <f>IF(DQ24="SÁB",[1]TESTE_LOG_OBRA!$D$11,IF(DQ24="Dom",[1]TESTE_LOG_OBRA!$D$11,0))</f>
        <v>0</v>
      </c>
      <c r="DR38" s="2">
        <f>IF(DR24="SÁB",[1]TESTE_LOG_OBRA!$D$11,IF(DR24="Dom",[1]TESTE_LOG_OBRA!$D$11,0))</f>
        <v>0</v>
      </c>
      <c r="DS38" s="2">
        <f>IF(DS24="SÁB",[1]TESTE_LOG_OBRA!$D$11,IF(DS24="Dom",[1]TESTE_LOG_OBRA!$D$11,0))</f>
        <v>17</v>
      </c>
      <c r="DT38" s="2">
        <f>IF(DT24="SÁB",[1]TESTE_LOG_OBRA!$D$11,IF(DT24="Dom",[1]TESTE_LOG_OBRA!$D$11,0))</f>
        <v>17</v>
      </c>
      <c r="DU38" s="2">
        <f>IF(DU24="SÁB",[1]TESTE_LOG_OBRA!$D$11,IF(DU24="Dom",[1]TESTE_LOG_OBRA!$D$11,0))</f>
        <v>0</v>
      </c>
      <c r="DV38" s="2">
        <f>IF(DV24="SÁB",[1]TESTE_LOG_OBRA!$D$11,IF(DV24="Dom",[1]TESTE_LOG_OBRA!$D$11,0))</f>
        <v>0</v>
      </c>
      <c r="DW38" s="2">
        <f>IF(DW24="SÁB",[1]TESTE_LOG_OBRA!$D$11,IF(DW24="Dom",[1]TESTE_LOG_OBRA!$D$11,0))</f>
        <v>0</v>
      </c>
      <c r="DX38" s="2">
        <f>IF(DX24="SÁB",[1]TESTE_LOG_OBRA!$D$11,IF(DX24="Dom",[1]TESTE_LOG_OBRA!$D$11,0))</f>
        <v>0</v>
      </c>
      <c r="DY38" s="2">
        <f>IF(DY24="SÁB",[1]TESTE_LOG_OBRA!$D$11,IF(DY24="Dom",[1]TESTE_LOG_OBRA!$D$11,0))</f>
        <v>0</v>
      </c>
      <c r="DZ38" s="2">
        <f>IF(DZ24="SÁB",[1]TESTE_LOG_OBRA!$D$11,IF(DZ24="Dom",[1]TESTE_LOG_OBRA!$D$11,0))</f>
        <v>17</v>
      </c>
      <c r="EA38" s="2">
        <f>IF(EA24="SÁB",[1]TESTE_LOG_OBRA!$D$11,IF(EA24="Dom",[1]TESTE_LOG_OBRA!$D$11,0))</f>
        <v>17</v>
      </c>
      <c r="EB38" s="2">
        <f>IF(EB24="SÁB",[1]TESTE_LOG_OBRA!$D$11,IF(EB24="Dom",[1]TESTE_LOG_OBRA!$D$11,0))</f>
        <v>0</v>
      </c>
      <c r="EC38" s="2">
        <f>IF(EC24="SÁB",[1]TESTE_LOG_OBRA!$D$11,IF(EC24="Dom",[1]TESTE_LOG_OBRA!$D$11,0))</f>
        <v>0</v>
      </c>
      <c r="ED38" s="2">
        <f>IF(ED24="SÁB",[1]TESTE_LOG_OBRA!$D$11,IF(ED24="Dom",[1]TESTE_LOG_OBRA!$D$11,0))</f>
        <v>0</v>
      </c>
      <c r="EE38" s="2">
        <f>IF(EE24="SÁB",[1]TESTE_LOG_OBRA!$D$11,IF(EE24="Dom",[1]TESTE_LOG_OBRA!$D$11,0))</f>
        <v>0</v>
      </c>
      <c r="EF38" s="2">
        <f>IF(EF24="SÁB",[1]TESTE_LOG_OBRA!$D$11,IF(EF24="Dom",[1]TESTE_LOG_OBRA!$D$11,0))</f>
        <v>0</v>
      </c>
      <c r="EG38" s="2">
        <f>IF(EG24="SÁB",[1]TESTE_LOG_OBRA!$D$11,IF(EG24="Dom",[1]TESTE_LOG_OBRA!$D$11,0))</f>
        <v>17</v>
      </c>
      <c r="EH38" s="2">
        <f>IF(EH24="SÁB",[1]TESTE_LOG_OBRA!$D$11,IF(EH24="Dom",[1]TESTE_LOG_OBRA!$D$11,0))</f>
        <v>17</v>
      </c>
      <c r="EI38" s="2">
        <f>IF(EI24="SÁB",[1]TESTE_LOG_OBRA!$D$11,IF(EI24="Dom",[1]TESTE_LOG_OBRA!$D$11,0))</f>
        <v>0</v>
      </c>
      <c r="EJ38" s="2">
        <f>IF(EJ24="SÁB",[1]TESTE_LOG_OBRA!$D$11,IF(EJ24="Dom",[1]TESTE_LOG_OBRA!$D$11,0))</f>
        <v>0</v>
      </c>
      <c r="EK38" s="2">
        <f>IF(EK24="SÁB",[1]TESTE_LOG_OBRA!$D$11,IF(EK24="Dom",[1]TESTE_LOG_OBRA!$D$11,0))</f>
        <v>0</v>
      </c>
      <c r="EL38" s="2">
        <f>IF(EL24="SÁB",[1]TESTE_LOG_OBRA!$D$11,IF(EL24="Dom",[1]TESTE_LOG_OBRA!$D$11,0))</f>
        <v>0</v>
      </c>
      <c r="EM38" s="2">
        <f>IF(EM24="SÁB",[1]TESTE_LOG_OBRA!$D$11,IF(EM24="Dom",[1]TESTE_LOG_OBRA!$D$11,0))</f>
        <v>0</v>
      </c>
      <c r="EN38" s="2">
        <f>IF(EN24="SÁB",[1]TESTE_LOG_OBRA!$D$11,IF(EN24="Dom",[1]TESTE_LOG_OBRA!$D$11,0))</f>
        <v>17</v>
      </c>
      <c r="EO38" s="2">
        <f>IF(EO24="SÁB",[1]TESTE_LOG_OBRA!$D$11,IF(EO24="Dom",[1]TESTE_LOG_OBRA!$D$11,0))</f>
        <v>17</v>
      </c>
      <c r="EP38" s="2">
        <f>IF(EP24="SÁB",[1]TESTE_LOG_OBRA!$D$11,IF(EP24="Dom",[1]TESTE_LOG_OBRA!$D$11,0))</f>
        <v>0</v>
      </c>
      <c r="EQ38" s="2">
        <f>IF(EQ24="SÁB",[1]TESTE_LOG_OBRA!$D$11,IF(EQ24="Dom",[1]TESTE_LOG_OBRA!$D$11,0))</f>
        <v>0</v>
      </c>
      <c r="ER38" s="2">
        <f>IF(ER24="SÁB",[1]TESTE_LOG_OBRA!$D$11,IF(ER24="Dom",[1]TESTE_LOG_OBRA!$D$11,0))</f>
        <v>0</v>
      </c>
      <c r="ES38" s="2">
        <f>IF(ES24="SÁB",[1]TESTE_LOG_OBRA!$D$11,IF(ES24="Dom",[1]TESTE_LOG_OBRA!$D$11,0))</f>
        <v>0</v>
      </c>
      <c r="ET38" s="2">
        <f>IF(ET24="SÁB",[1]TESTE_LOG_OBRA!$D$11,IF(ET24="Dom",[1]TESTE_LOG_OBRA!$D$11,0))</f>
        <v>0</v>
      </c>
      <c r="EU38" s="2">
        <f>IF(EU24="SÁB",[1]TESTE_LOG_OBRA!$D$11,IF(EU24="Dom",[1]TESTE_LOG_OBRA!$D$11,0))</f>
        <v>17</v>
      </c>
      <c r="EV38" s="2">
        <f>IF(EV24="SÁB",[1]TESTE_LOG_OBRA!$D$11,IF(EV24="Dom",[1]TESTE_LOG_OBRA!$D$11,0))</f>
        <v>17</v>
      </c>
      <c r="EW38" s="2">
        <f>IF(EW24="SÁB",[1]TESTE_LOG_OBRA!$D$11,IF(EW24="Dom",[1]TESTE_LOG_OBRA!$D$11,0))</f>
        <v>0</v>
      </c>
      <c r="EX38" s="2">
        <f>IF(EX24="SÁB",[1]TESTE_LOG_OBRA!$D$11,IF(EX24="Dom",[1]TESTE_LOG_OBRA!$D$11,0))</f>
        <v>0</v>
      </c>
      <c r="EY38" s="2">
        <f>IF(EY24="SÁB",[1]TESTE_LOG_OBRA!$D$11,IF(EY24="Dom",[1]TESTE_LOG_OBRA!$D$11,0))</f>
        <v>0</v>
      </c>
      <c r="EZ38" s="2">
        <f>IF(EZ24="SÁB",[1]TESTE_LOG_OBRA!$D$11,IF(EZ24="Dom",[1]TESTE_LOG_OBRA!$D$11,0))</f>
        <v>0</v>
      </c>
      <c r="FA38" s="2">
        <f>IF(FA24="SÁB",[1]TESTE_LOG_OBRA!$D$11,IF(FA24="Dom",[1]TESTE_LOG_OBRA!$D$11,0))</f>
        <v>0</v>
      </c>
      <c r="FB38" s="2">
        <f>IF(FB24="SÁB",[1]TESTE_LOG_OBRA!$D$11,IF(FB24="Dom",[1]TESTE_LOG_OBRA!$D$11,0))</f>
        <v>17</v>
      </c>
      <c r="FC38" s="2">
        <f>IF(FC24="SÁB",[1]TESTE_LOG_OBRA!$D$11,IF(FC24="Dom",[1]TESTE_LOG_OBRA!$D$11,0))</f>
        <v>17</v>
      </c>
      <c r="FD38" s="2">
        <f>IF(FD24="SÁB",[1]TESTE_LOG_OBRA!$D$11,IF(FD24="Dom",[1]TESTE_LOG_OBRA!$D$11,0))</f>
        <v>0</v>
      </c>
      <c r="FE38" s="2">
        <f>IF(FE24="SÁB",[1]TESTE_LOG_OBRA!$D$11,IF(FE24="Dom",[1]TESTE_LOG_OBRA!$D$11,0))</f>
        <v>0</v>
      </c>
      <c r="FF38" s="2">
        <f>IF(FF24="SÁB",[1]TESTE_LOG_OBRA!$D$11,IF(FF24="Dom",[1]TESTE_LOG_OBRA!$D$11,0))</f>
        <v>0</v>
      </c>
      <c r="FG38" s="2">
        <f>IF(FG24="SÁB",[1]TESTE_LOG_OBRA!$D$11,IF(FG24="Dom",[1]TESTE_LOG_OBRA!$D$11,0))</f>
        <v>0</v>
      </c>
      <c r="FH38" s="2">
        <f>IF(FH24="SÁB",[1]TESTE_LOG_OBRA!$D$11,IF(FH24="Dom",[1]TESTE_LOG_OBRA!$D$11,0))</f>
        <v>0</v>
      </c>
      <c r="FI38" s="2">
        <f>IF(FI24="SÁB",[1]TESTE_LOG_OBRA!$D$11,IF(FI24="Dom",[1]TESTE_LOG_OBRA!$D$11,0))</f>
        <v>17</v>
      </c>
      <c r="FJ38" s="2">
        <f>IF(FJ24="SÁB",[1]TESTE_LOG_OBRA!$D$11,IF(FJ24="Dom",[1]TESTE_LOG_OBRA!$D$11,0))</f>
        <v>17</v>
      </c>
      <c r="FK38" s="2">
        <f>IF(FK24="SÁB",[1]TESTE_LOG_OBRA!$D$11,IF(FK24="Dom",[1]TESTE_LOG_OBRA!$D$11,0))</f>
        <v>0</v>
      </c>
      <c r="FL38" s="2">
        <f>IF(FL24="SÁB",[1]TESTE_LOG_OBRA!$D$11,IF(FL24="Dom",[1]TESTE_LOG_OBRA!$D$11,0))</f>
        <v>0</v>
      </c>
      <c r="FM38" s="2">
        <f>IF(FM24="SÁB",[1]TESTE_LOG_OBRA!$D$11,IF(FM24="Dom",[1]TESTE_LOG_OBRA!$D$11,0))</f>
        <v>0</v>
      </c>
      <c r="FN38" s="2">
        <f>IF(FN24="SÁB",[1]TESTE_LOG_OBRA!$D$11,IF(FN24="Dom",[1]TESTE_LOG_OBRA!$D$11,0))</f>
        <v>0</v>
      </c>
      <c r="FO38" s="2">
        <f>IF(FO24="SÁB",[1]TESTE_LOG_OBRA!$D$11,IF(FO24="Dom",[1]TESTE_LOG_OBRA!$D$11,0))</f>
        <v>0</v>
      </c>
      <c r="FP38" s="2">
        <f>IF(FP24="SÁB",[1]TESTE_LOG_OBRA!$D$11,IF(FP24="Dom",[1]TESTE_LOG_OBRA!$D$11,0))</f>
        <v>17</v>
      </c>
      <c r="FQ38" s="2">
        <f>IF(FQ24="SÁB",[1]TESTE_LOG_OBRA!$D$11,IF(FQ24="Dom",[1]TESTE_LOG_OBRA!$D$11,0))</f>
        <v>17</v>
      </c>
      <c r="FR38" s="2">
        <f>IF(FR24="SÁB",[1]TESTE_LOG_OBRA!$D$11,IF(FR24="Dom",[1]TESTE_LOG_OBRA!$D$11,0))</f>
        <v>0</v>
      </c>
      <c r="FS38" s="2">
        <f>IF(FS24="SÁB",[1]TESTE_LOG_OBRA!$D$11,IF(FS24="Dom",[1]TESTE_LOG_OBRA!$D$11,0))</f>
        <v>0</v>
      </c>
      <c r="FT38" s="2">
        <f>IF(FT24="SÁB",[1]TESTE_LOG_OBRA!$D$11,IF(FT24="Dom",[1]TESTE_LOG_OBRA!$D$11,0))</f>
        <v>0</v>
      </c>
      <c r="FU38" s="2">
        <f>IF(FU24="SÁB",[1]TESTE_LOG_OBRA!$D$11,IF(FU24="Dom",[1]TESTE_LOG_OBRA!$D$11,0))</f>
        <v>0</v>
      </c>
      <c r="FV38" s="2">
        <f>IF(FV24="SÁB",[1]TESTE_LOG_OBRA!$D$11,IF(FV24="Dom",[1]TESTE_LOG_OBRA!$D$11,0))</f>
        <v>0</v>
      </c>
      <c r="FW38" s="2">
        <f>IF(FW24="SÁB",[1]TESTE_LOG_OBRA!$D$11,IF(FW24="Dom",[1]TESTE_LOG_OBRA!$D$11,0))</f>
        <v>17</v>
      </c>
      <c r="FX38" s="2">
        <f>IF(FX24="SÁB",[1]TESTE_LOG_OBRA!$D$11,IF(FX24="Dom",[1]TESTE_LOG_OBRA!$D$11,0))</f>
        <v>17</v>
      </c>
      <c r="FY38" s="2">
        <f>IF(FY24="SÁB",[1]TESTE_LOG_OBRA!$D$11,IF(FY24="Dom",[1]TESTE_LOG_OBRA!$D$11,0))</f>
        <v>0</v>
      </c>
      <c r="FZ38" s="2">
        <f>IF(FZ24="SÁB",[1]TESTE_LOG_OBRA!$D$11,IF(FZ24="Dom",[1]TESTE_LOG_OBRA!$D$11,0))</f>
        <v>0</v>
      </c>
      <c r="GA38" s="2">
        <f>IF(GA24="SÁB",[1]TESTE_LOG_OBRA!$D$11,IF(GA24="Dom",[1]TESTE_LOG_OBRA!$D$11,0))</f>
        <v>0</v>
      </c>
      <c r="GB38" s="2">
        <f>IF(GB24="SÁB",[1]TESTE_LOG_OBRA!$D$11,IF(GB24="Dom",[1]TESTE_LOG_OBRA!$D$11,0))</f>
        <v>0</v>
      </c>
      <c r="GC38" s="2">
        <f>IF(GC24="SÁB",[1]TESTE_LOG_OBRA!$D$11,IF(GC24="Dom",[1]TESTE_LOG_OBRA!$D$11,0))</f>
        <v>0</v>
      </c>
      <c r="GD38" s="2">
        <f>IF(GD24="SÁB",[1]TESTE_LOG_OBRA!$D$11,IF(GD24="Dom",[1]TESTE_LOG_OBRA!$D$11,0))</f>
        <v>17</v>
      </c>
      <c r="GE38" s="2">
        <f>IF(GE24="SÁB",[1]TESTE_LOG_OBRA!$D$11,IF(GE24="Dom",[1]TESTE_LOG_OBRA!$D$11,0))</f>
        <v>0</v>
      </c>
      <c r="GF38" s="2">
        <f>IF(GF24="SÁB",[1]TESTE_LOG_OBRA!$D$11,IF(GF24="Dom",[1]TESTE_LOG_OBRA!$D$11,0))</f>
        <v>0</v>
      </c>
      <c r="GG38" s="2">
        <f>IF(GG24="SÁB",[1]TESTE_LOG_OBRA!$D$11,IF(GG24="Dom",[1]TESTE_LOG_OBRA!$D$11,0))</f>
        <v>0</v>
      </c>
      <c r="GH38" s="2">
        <f>IF(GH24="SÁB",[1]TESTE_LOG_OBRA!$D$11,IF(GH24="Dom",[1]TESTE_LOG_OBRA!$D$11,0))</f>
        <v>0</v>
      </c>
      <c r="GI38" s="2">
        <f>IF(GI24="SÁB",[1]TESTE_LOG_OBRA!$D$11,IF(GI24="Dom",[1]TESTE_LOG_OBRA!$D$11,0))</f>
        <v>0</v>
      </c>
      <c r="GJ38" s="2">
        <f>IF(GJ24="SÁB",[1]TESTE_LOG_OBRA!$D$11,IF(GJ24="Dom",[1]TESTE_LOG_OBRA!$D$11,0))</f>
        <v>0</v>
      </c>
      <c r="GK38" s="2">
        <f>IF(GK24="SÁB",[1]TESTE_LOG_OBRA!$D$11,IF(GK24="Dom",[1]TESTE_LOG_OBRA!$D$11,0))</f>
        <v>0</v>
      </c>
      <c r="GL38" s="2">
        <f>IF(GL24="SÁB",[1]TESTE_LOG_OBRA!$D$11,IF(GL24="Dom",[1]TESTE_LOG_OBRA!$D$11,0))</f>
        <v>0</v>
      </c>
      <c r="GM38" s="2">
        <f>IF(GM24="SÁB",[1]TESTE_LOG_OBRA!$D$11,IF(GM24="Dom",[1]TESTE_LOG_OBRA!$D$11,0))</f>
        <v>0</v>
      </c>
      <c r="GN38" s="2">
        <f>IF(GN24="SÁB",[1]TESTE_LOG_OBRA!$D$11,IF(GN24="Dom",[1]TESTE_LOG_OBRA!$D$11,0))</f>
        <v>0</v>
      </c>
      <c r="GO38" s="2">
        <f>IF(GO24="SÁB",[1]TESTE_LOG_OBRA!$D$11,IF(GO24="Dom",[1]TESTE_LOG_OBRA!$D$11,0))</f>
        <v>0</v>
      </c>
      <c r="GP38" s="2">
        <f>IF(GP24="SÁB",[1]TESTE_LOG_OBRA!$D$11,IF(GP24="Dom",[1]TESTE_LOG_OBRA!$D$11,0))</f>
        <v>0</v>
      </c>
      <c r="GQ38" s="2">
        <f>IF(GQ24="SÁB",[1]TESTE_LOG_OBRA!$D$11,IF(GQ24="Dom",[1]TESTE_LOG_OBRA!$D$11,0))</f>
        <v>0</v>
      </c>
      <c r="GR38" s="2">
        <f>IF(GR24="SÁB",[1]TESTE_LOG_OBRA!$D$11,IF(GR24="Dom",[1]TESTE_LOG_OBRA!$D$11,0))</f>
        <v>0</v>
      </c>
      <c r="GS38" s="2">
        <f>IF(GS24="SÁB",[1]TESTE_LOG_OBRA!$D$11,IF(GS24="Dom",[1]TESTE_LOG_OBRA!$D$11,0))</f>
        <v>0</v>
      </c>
      <c r="GT38" s="2">
        <f>IF(GT24="SÁB",[1]TESTE_LOG_OBRA!$D$11,IF(GT24="Dom",[1]TESTE_LOG_OBRA!$D$11,0))</f>
        <v>0</v>
      </c>
      <c r="GU38" s="2">
        <f>IF(GU24="SÁB",[1]TESTE_LOG_OBRA!$D$11,IF(GU24="Dom",[1]TESTE_LOG_OBRA!$D$11,0))</f>
        <v>0</v>
      </c>
      <c r="GV38" s="2">
        <f>IF(GV24="SÁB",[1]TESTE_LOG_OBRA!$D$11,IF(GV24="Dom",[1]TESTE_LOG_OBRA!$D$11,0))</f>
        <v>0</v>
      </c>
      <c r="GW38" s="2">
        <f>IF(GW24="SÁB",[1]TESTE_LOG_OBRA!$D$11,IF(GW24="Dom",[1]TESTE_LOG_OBRA!$D$11,0))</f>
        <v>0</v>
      </c>
      <c r="GX38" s="2">
        <f>IF(GX24="SÁB",[1]TESTE_LOG_OBRA!$D$11,IF(GX24="Dom",[1]TESTE_LOG_OBRA!$D$11,0))</f>
        <v>0</v>
      </c>
      <c r="GY38" s="2">
        <f>IF(GY24="SÁB",[1]TESTE_LOG_OBRA!$D$11,IF(GY24="Dom",[1]TESTE_LOG_OBRA!$D$11,0))</f>
        <v>0</v>
      </c>
      <c r="GZ38" s="2">
        <f>IF(GZ24="SÁB",[1]TESTE_LOG_OBRA!$D$11,IF(GZ24="Dom",[1]TESTE_LOG_OBRA!$D$11,0))</f>
        <v>0</v>
      </c>
      <c r="HA38" s="2">
        <f>IF(HA24="SÁB",[1]TESTE_LOG_OBRA!$D$11,IF(HA24="Dom",[1]TESTE_LOG_OBRA!$D$11,0))</f>
        <v>0</v>
      </c>
      <c r="HB38" s="2">
        <f>IF(HB24="SÁB",[1]TESTE_LOG_OBRA!$D$11,IF(HB24="Dom",[1]TESTE_LOG_OBRA!$D$11,0))</f>
        <v>0</v>
      </c>
      <c r="HC38" s="2">
        <f>IF(HC24="SÁB",[1]TESTE_LOG_OBRA!$D$11,IF(HC24="Dom",[1]TESTE_LOG_OBRA!$D$11,0))</f>
        <v>0</v>
      </c>
      <c r="HD38" s="2">
        <f>IF(HD24="SÁB",[1]TESTE_LOG_OBRA!$D$11,IF(HD24="Dom",[1]TESTE_LOG_OBRA!$D$11,0))</f>
        <v>0</v>
      </c>
      <c r="HE38" s="2">
        <f>IF(HE24="SÁB",[1]TESTE_LOG_OBRA!$D$11,IF(HE24="Dom",[1]TESTE_LOG_OBRA!$D$11,0))</f>
        <v>0</v>
      </c>
      <c r="HF38" s="2">
        <f>IF(HF24="SÁB",[1]TESTE_LOG_OBRA!$D$11,IF(HF24="Dom",[1]TESTE_LOG_OBRA!$D$11,0))</f>
        <v>0</v>
      </c>
      <c r="HG38" s="2">
        <f>IF(HG24="SÁB",[1]TESTE_LOG_OBRA!$D$11,IF(HG24="Dom",[1]TESTE_LOG_OBRA!$D$11,0))</f>
        <v>0</v>
      </c>
      <c r="HH38" s="2">
        <f>IF(HH24="SÁB",[1]TESTE_LOG_OBRA!$D$11,IF(HH24="Dom",[1]TESTE_LOG_OBRA!$D$11,0))</f>
        <v>0</v>
      </c>
      <c r="HI38" s="2">
        <f>IF(HI24="SÁB",[1]TESTE_LOG_OBRA!$D$11,IF(HI24="Dom",[1]TESTE_LOG_OBRA!$D$11,0))</f>
        <v>0</v>
      </c>
      <c r="HJ38" s="2">
        <f>IF(HJ24="SÁB",[1]TESTE_LOG_OBRA!$D$11,IF(HJ24="Dom",[1]TESTE_LOG_OBRA!$D$11,0))</f>
        <v>0</v>
      </c>
      <c r="HK38" s="2">
        <f>IF(HK24="SÁB",[1]TESTE_LOG_OBRA!$D$11,IF(HK24="Dom",[1]TESTE_LOG_OBRA!$D$11,0))</f>
        <v>0</v>
      </c>
      <c r="HL38" s="2">
        <f>IF(HL24="SÁB",[1]TESTE_LOG_OBRA!$D$11,IF(HL24="Dom",[1]TESTE_LOG_OBRA!$D$11,0))</f>
        <v>0</v>
      </c>
      <c r="HM38" s="2">
        <f>IF(HM24="SÁB",[1]TESTE_LOG_OBRA!$D$11,IF(HM24="Dom",[1]TESTE_LOG_OBRA!$D$11,0))</f>
        <v>0</v>
      </c>
      <c r="HN38" s="2">
        <f>IF(HN24="SÁB",[1]TESTE_LOG_OBRA!$D$11,IF(HN24="Dom",[1]TESTE_LOG_OBRA!$D$11,0))</f>
        <v>0</v>
      </c>
      <c r="HO38" s="2">
        <f>IF(HO24="SÁB",[1]TESTE_LOG_OBRA!$D$11,IF(HO24="Dom",[1]TESTE_LOG_OBRA!$D$11,0))</f>
        <v>0</v>
      </c>
      <c r="HP38" s="2">
        <f>IF(HP24="SÁB",[1]TESTE_LOG_OBRA!$D$11,IF(HP24="Dom",[1]TESTE_LOG_OBRA!$D$11,0))</f>
        <v>0</v>
      </c>
      <c r="HQ38" s="2">
        <f>IF(HQ24="SÁB",[1]TESTE_LOG_OBRA!$D$11,IF(HQ24="Dom",[1]TESTE_LOG_OBRA!$D$11,0))</f>
        <v>0</v>
      </c>
      <c r="HR38" s="2">
        <f>IF(HR24="SÁB",[1]TESTE_LOG_OBRA!$D$11,IF(HR24="Dom",[1]TESTE_LOG_OBRA!$D$11,0))</f>
        <v>0</v>
      </c>
      <c r="HS38" s="2">
        <f>IF(HS24="SÁB",[1]TESTE_LOG_OBRA!$D$11,IF(HS24="Dom",[1]TESTE_LOG_OBRA!$D$11,0))</f>
        <v>0</v>
      </c>
      <c r="HT38" s="2">
        <f>IF(HT24="SÁB",[1]TESTE_LOG_OBRA!$D$11,IF(HT24="Dom",[1]TESTE_LOG_OBRA!$D$11,0))</f>
        <v>0</v>
      </c>
      <c r="HU38" s="2">
        <f>IF(HU24="SÁB",[1]TESTE_LOG_OBRA!$D$11,IF(HU24="Dom",[1]TESTE_LOG_OBRA!$D$11,0))</f>
        <v>0</v>
      </c>
      <c r="HV38" s="2">
        <f>IF(HV24="SÁB",[1]TESTE_LOG_OBRA!$D$11,IF(HV24="Dom",[1]TESTE_LOG_OBRA!$D$11,0))</f>
        <v>0</v>
      </c>
      <c r="HW38" s="2">
        <f>IF(HW24="SÁB",[1]TESTE_LOG_OBRA!$D$11,IF(HW24="Dom",[1]TESTE_LOG_OBRA!$D$11,0))</f>
        <v>0</v>
      </c>
      <c r="HX38" s="2">
        <f>IF(HX24="SÁB",[1]TESTE_LOG_OBRA!$D$11,IF(HX24="Dom",[1]TESTE_LOG_OBRA!$D$11,0))</f>
        <v>0</v>
      </c>
      <c r="HY38" s="2">
        <f>IF(HY24="SÁB",[1]TESTE_LOG_OBRA!$D$11,IF(HY24="Dom",[1]TESTE_LOG_OBRA!$D$11,0))</f>
        <v>0</v>
      </c>
      <c r="HZ38" s="2">
        <f>IF(HZ24="SÁB",[1]TESTE_LOG_OBRA!$D$11,IF(HZ24="Dom",[1]TESTE_LOG_OBRA!$D$11,0))</f>
        <v>0</v>
      </c>
      <c r="IA38" s="2">
        <f>IF(IA24="SÁB",[1]TESTE_LOG_OBRA!$D$11,IF(IA24="Dom",[1]TESTE_LOG_OBRA!$D$11,0))</f>
        <v>0</v>
      </c>
      <c r="IB38" s="2">
        <f>IF(IB24="SÁB",[1]TESTE_LOG_OBRA!$D$11,IF(IB24="Dom",[1]TESTE_LOG_OBRA!$D$11,0))</f>
        <v>0</v>
      </c>
      <c r="IC38" s="2">
        <f>IF(IC24="SÁB",[1]TESTE_LOG_OBRA!$D$11,IF(IC24="Dom",[1]TESTE_LOG_OBRA!$D$11,0))</f>
        <v>0</v>
      </c>
      <c r="ID38" s="2">
        <f>IF(ID24="SÁB",[1]TESTE_LOG_OBRA!$D$11,IF(ID24="Dom",[1]TESTE_LOG_OBRA!$D$11,0))</f>
        <v>0</v>
      </c>
      <c r="IE38" s="2">
        <f>IF(IE24="SÁB",[1]TESTE_LOG_OBRA!$D$11,IF(IE24="Dom",[1]TESTE_LOG_OBRA!$D$11,0))</f>
        <v>0</v>
      </c>
      <c r="IF38" s="2">
        <f>IF(IF24="SÁB",[1]TESTE_LOG_OBRA!$D$11,IF(IF24="Dom",[1]TESTE_LOG_OBRA!$D$11,0))</f>
        <v>0</v>
      </c>
      <c r="IG38" s="2">
        <f>IF(IG24="SÁB",[1]TESTE_LOG_OBRA!$D$11,IF(IG24="Dom",[1]TESTE_LOG_OBRA!$D$11,0))</f>
        <v>0</v>
      </c>
      <c r="IH38" s="2">
        <f>IF(IH24="SÁB",[1]TESTE_LOG_OBRA!$D$11,IF(IH24="Dom",[1]TESTE_LOG_OBRA!$D$11,0))</f>
        <v>0</v>
      </c>
      <c r="II38" s="2">
        <f>IF(II24="SÁB",[1]TESTE_LOG_OBRA!$D$11,IF(II24="Dom",[1]TESTE_LOG_OBRA!$D$11,0))</f>
        <v>0</v>
      </c>
      <c r="IJ38" s="2">
        <f>IF(IJ24="SÁB",[1]TESTE_LOG_OBRA!$D$11,IF(IJ24="Dom",[1]TESTE_LOG_OBRA!$D$11,0))</f>
        <v>0</v>
      </c>
      <c r="IK38" s="2">
        <f>IF(IK24="SÁB",[1]TESTE_LOG_OBRA!$D$11,IF(IK24="Dom",[1]TESTE_LOG_OBRA!$D$11,0))</f>
        <v>0</v>
      </c>
      <c r="IL38" s="2">
        <f>IF(IL24="SÁB",[1]TESTE_LOG_OBRA!$D$11,IF(IL24="Dom",[1]TESTE_LOG_OBRA!$D$11,0))</f>
        <v>0</v>
      </c>
      <c r="IM38" s="2">
        <f>IF(IM24="SÁB",[1]TESTE_LOG_OBRA!$D$11,IF(IM24="Dom",[1]TESTE_LOG_OBRA!$D$11,0))</f>
        <v>0</v>
      </c>
      <c r="IN38" s="2">
        <f>IF(IN24="SÁB",[1]TESTE_LOG_OBRA!$D$11,IF(IN24="Dom",[1]TESTE_LOG_OBRA!$D$11,0))</f>
        <v>0</v>
      </c>
      <c r="IO38" s="2">
        <f>IF(IO24="SÁB",[1]TESTE_LOG_OBRA!$D$11,IF(IO24="Dom",[1]TESTE_LOG_OBRA!$D$11,0))</f>
        <v>0</v>
      </c>
      <c r="IP38" s="2">
        <f>IF(IP24="SÁB",[1]TESTE_LOG_OBRA!$D$11,IF(IP24="Dom",[1]TESTE_LOG_OBRA!$D$11,0))</f>
        <v>0</v>
      </c>
      <c r="IQ38" s="2">
        <f>IF(IQ24="SÁB",[1]TESTE_LOG_OBRA!$D$11,IF(IQ24="Dom",[1]TESTE_LOG_OBRA!$D$11,0))</f>
        <v>0</v>
      </c>
      <c r="IR38" s="2">
        <f>IF(IR24="SÁB",[1]TESTE_LOG_OBRA!$D$11,IF(IR24="Dom",[1]TESTE_LOG_OBRA!$D$11,0))</f>
        <v>0</v>
      </c>
      <c r="IS38" s="2">
        <f>IF(IS24="SÁB",[1]TESTE_LOG_OBRA!$D$11,IF(IS24="Dom",[1]TESTE_LOG_OBRA!$D$11,0))</f>
        <v>0</v>
      </c>
      <c r="IT38" s="2">
        <f>IF(IT24="SÁB",[1]TESTE_LOG_OBRA!$D$11,IF(IT24="Dom",[1]TESTE_LOG_OBRA!$D$11,0))</f>
        <v>0</v>
      </c>
      <c r="IU38" s="2">
        <f>IF(IU24="SÁB",[1]TESTE_LOG_OBRA!$D$11,IF(IU24="Dom",[1]TESTE_LOG_OBRA!$D$11,0))</f>
        <v>0</v>
      </c>
      <c r="IV38" s="2">
        <f>IF(IV24="SÁB",[1]TESTE_LOG_OBRA!$D$11,IF(IV24="Dom",[1]TESTE_LOG_OBRA!$D$11,0))</f>
        <v>0</v>
      </c>
      <c r="IW38" s="2">
        <f>IF(IW24="SÁB",[1]TESTE_LOG_OBRA!$D$11,IF(IW24="Dom",[1]TESTE_LOG_OBRA!$D$11,0))</f>
        <v>0</v>
      </c>
      <c r="IX38" s="2">
        <f>IF(IX24="SÁB",[1]TESTE_LOG_OBRA!$D$11,IF(IX24="Dom",[1]TESTE_LOG_OBRA!$D$11,0))</f>
        <v>0</v>
      </c>
      <c r="IY38" s="2">
        <f>IF(IY24="SÁB",[1]TESTE_LOG_OBRA!$D$11,IF(IY24="Dom",[1]TESTE_LOG_OBRA!$D$11,0))</f>
        <v>0</v>
      </c>
      <c r="IZ38" s="2">
        <f>IF(IZ24="SÁB",[1]TESTE_LOG_OBRA!$D$11,IF(IZ24="Dom",[1]TESTE_LOG_OBRA!$D$11,0))</f>
        <v>0</v>
      </c>
      <c r="JA38" s="2">
        <f>IF(JA24="SÁB",[1]TESTE_LOG_OBRA!$D$11,IF(JA24="Dom",[1]TESTE_LOG_OBRA!$D$11,0))</f>
        <v>0</v>
      </c>
      <c r="JB38" s="2">
        <f>IF(JB24="SÁB",[1]TESTE_LOG_OBRA!$D$11,IF(JB24="Dom",[1]TESTE_LOG_OBRA!$D$11,0))</f>
        <v>0</v>
      </c>
      <c r="JC38" s="2">
        <f>IF(JC24="SÁB",[1]TESTE_LOG_OBRA!$D$11,IF(JC24="Dom",[1]TESTE_LOG_OBRA!$D$11,0))</f>
        <v>0</v>
      </c>
      <c r="JD38" s="2">
        <f>IF(JD24="SÁB",[1]TESTE_LOG_OBRA!$D$11,IF(JD24="Dom",[1]TESTE_LOG_OBRA!$D$11,0))</f>
        <v>0</v>
      </c>
      <c r="JE38" s="2">
        <f>IF(JE24="SÁB",[1]TESTE_LOG_OBRA!$D$11,IF(JE24="Dom",[1]TESTE_LOG_OBRA!$D$11,0))</f>
        <v>0</v>
      </c>
      <c r="JF38" s="2">
        <f>IF(JF24="SÁB",[1]TESTE_LOG_OBRA!$D$11,IF(JF24="Dom",[1]TESTE_LOG_OBRA!$D$11,0))</f>
        <v>0</v>
      </c>
      <c r="JG38" s="2">
        <f>IF(JG24="SÁB",[1]TESTE_LOG_OBRA!$D$11,IF(JG24="Dom",[1]TESTE_LOG_OBRA!$D$11,0))</f>
        <v>0</v>
      </c>
      <c r="JH38" s="2">
        <f>IF(JH24="SÁB",[1]TESTE_LOG_OBRA!$D$11,IF(JH24="Dom",[1]TESTE_LOG_OBRA!$D$11,0))</f>
        <v>0</v>
      </c>
      <c r="JI38" s="2">
        <f>IF(JI24="SÁB",[1]TESTE_LOG_OBRA!$D$11,IF(JI24="Dom",[1]TESTE_LOG_OBRA!$D$11,0))</f>
        <v>0</v>
      </c>
      <c r="JJ38" s="2">
        <f>IF(JJ24="SÁB",[1]TESTE_LOG_OBRA!$D$11,IF(JJ24="Dom",[1]TESTE_LOG_OBRA!$D$11,0))</f>
        <v>0</v>
      </c>
      <c r="JK38" s="2">
        <f>IF(JK24="SÁB",[1]TESTE_LOG_OBRA!$D$11,IF(JK24="Dom",[1]TESTE_LOG_OBRA!$D$11,0))</f>
        <v>0</v>
      </c>
      <c r="JL38" s="2">
        <f>IF(JL24="SÁB",[1]TESTE_LOG_OBRA!$D$11,IF(JL24="Dom",[1]TESTE_LOG_OBRA!$D$11,0))</f>
        <v>0</v>
      </c>
      <c r="JM38" s="2">
        <f>IF(JM24="SÁB",[1]TESTE_LOG_OBRA!$D$11,IF(JM24="Dom",[1]TESTE_LOG_OBRA!$D$11,0))</f>
        <v>0</v>
      </c>
      <c r="JN38" s="2">
        <f>IF(JN24="SÁB",[1]TESTE_LOG_OBRA!$D$11,IF(JN24="Dom",[1]TESTE_LOG_OBRA!$D$11,0))</f>
        <v>0</v>
      </c>
      <c r="JO38" s="2">
        <f>IF(JO24="SÁB",[1]TESTE_LOG_OBRA!$D$11,IF(JO24="Dom",[1]TESTE_LOG_OBRA!$D$11,0))</f>
        <v>0</v>
      </c>
      <c r="JP38" s="2">
        <f>IF(JP24="SÁB",[1]TESTE_LOG_OBRA!$D$11,IF(JP24="Dom",[1]TESTE_LOG_OBRA!$D$11,0))</f>
        <v>0</v>
      </c>
      <c r="JQ38" s="2">
        <f>IF(JQ24="SÁB",[1]TESTE_LOG_OBRA!$D$11,IF(JQ24="Dom",[1]TESTE_LOG_OBRA!$D$11,0))</f>
        <v>0</v>
      </c>
      <c r="JR38" s="2">
        <f>IF(JR24="SÁB",[1]TESTE_LOG_OBRA!$D$11,IF(JR24="Dom",[1]TESTE_LOG_OBRA!$D$11,0))</f>
        <v>0</v>
      </c>
      <c r="JS38" s="2">
        <f>IF(JS24="SÁB",[1]TESTE_LOG_OBRA!$D$11,IF(JS24="Dom",[1]TESTE_LOG_OBRA!$D$11,0))</f>
        <v>0</v>
      </c>
      <c r="JT38" s="2">
        <f>IF(JT24="SÁB",[1]TESTE_LOG_OBRA!$D$11,IF(JT24="Dom",[1]TESTE_LOG_OBRA!$D$11,0))</f>
        <v>0</v>
      </c>
      <c r="JU38" s="2">
        <f>IF(JU24="SÁB",[1]TESTE_LOG_OBRA!$D$11,IF(JU24="Dom",[1]TESTE_LOG_OBRA!$D$11,0))</f>
        <v>0</v>
      </c>
      <c r="JV38" s="2">
        <f>IF(JV24="SÁB",[1]TESTE_LOG_OBRA!$D$11,IF(JV24="Dom",[1]TESTE_LOG_OBRA!$D$11,0))</f>
        <v>0</v>
      </c>
      <c r="JW38" s="2">
        <f>IF(JW24="SÁB",[1]TESTE_LOG_OBRA!$D$11,IF(JW24="Dom",[1]TESTE_LOG_OBRA!$D$11,0))</f>
        <v>0</v>
      </c>
      <c r="JX38" s="2">
        <f>IF(JX24="SÁB",[1]TESTE_LOG_OBRA!$D$11,IF(JX24="Dom",[1]TESTE_LOG_OBRA!$D$11,0))</f>
        <v>0</v>
      </c>
      <c r="JY38" s="2">
        <f>IF(JY24="SÁB",[1]TESTE_LOG_OBRA!$D$11,IF(JY24="Dom",[1]TESTE_LOG_OBRA!$D$11,0))</f>
        <v>0</v>
      </c>
      <c r="JZ38" s="2">
        <f>IF(JZ24="SÁB",[1]TESTE_LOG_OBRA!$D$11,IF(JZ24="Dom",[1]TESTE_LOG_OBRA!$D$11,0))</f>
        <v>0</v>
      </c>
      <c r="KA38" s="2">
        <f>IF(KA24="SÁB",[1]TESTE_LOG_OBRA!$D$11,IF(KA24="Dom",[1]TESTE_LOG_OBRA!$D$11,0))</f>
        <v>0</v>
      </c>
      <c r="KB38" s="2">
        <f>IF(KB24="SÁB",[1]TESTE_LOG_OBRA!$D$11,IF(KB24="Dom",[1]TESTE_LOG_OBRA!$D$11,0))</f>
        <v>0</v>
      </c>
      <c r="KC38" s="2">
        <f>IF(KC24="SÁB",[1]TESTE_LOG_OBRA!$D$11,IF(KC24="Dom",[1]TESTE_LOG_OBRA!$D$11,0))</f>
        <v>0</v>
      </c>
      <c r="KD38" s="2">
        <f>IF(KD24="SÁB",[1]TESTE_LOG_OBRA!$D$11,IF(KD24="Dom",[1]TESTE_LOG_OBRA!$D$11,0))</f>
        <v>0</v>
      </c>
      <c r="KE38" s="2">
        <f>IF(KE24="SÁB",[1]TESTE_LOG_OBRA!$D$11,IF(KE24="Dom",[1]TESTE_LOG_OBRA!$D$11,0))</f>
        <v>0</v>
      </c>
      <c r="KF38" s="2">
        <f>IF(KF24="SÁB",[1]TESTE_LOG_OBRA!$D$11,IF(KF24="Dom",[1]TESTE_LOG_OBRA!$D$11,0))</f>
        <v>0</v>
      </c>
      <c r="KG38" s="2">
        <f>IF(KG24="SÁB",[1]TESTE_LOG_OBRA!$D$11,IF(KG24="Dom",[1]TESTE_LOG_OBRA!$D$11,0))</f>
        <v>0</v>
      </c>
      <c r="KH38" s="2">
        <f>IF(KH24="SÁB",[1]TESTE_LOG_OBRA!$D$11,IF(KH24="Dom",[1]TESTE_LOG_OBRA!$D$11,0))</f>
        <v>0</v>
      </c>
      <c r="KI38" s="2">
        <f>IF(KI24="SÁB",[1]TESTE_LOG_OBRA!$D$11,IF(KI24="Dom",[1]TESTE_LOG_OBRA!$D$11,0))</f>
        <v>0</v>
      </c>
      <c r="KJ38" s="2">
        <f>IF(KJ24="SÁB",[1]TESTE_LOG_OBRA!$D$11,IF(KJ24="Dom",[1]TESTE_LOG_OBRA!$D$11,0))</f>
        <v>0</v>
      </c>
      <c r="KK38" s="2">
        <f>IF(KK24="SÁB",[1]TESTE_LOG_OBRA!$D$11,IF(KK24="Dom",[1]TESTE_LOG_OBRA!$D$11,0))</f>
        <v>0</v>
      </c>
      <c r="KL38" s="2">
        <f>IF(KL24="SÁB",[1]TESTE_LOG_OBRA!$D$11,IF(KL24="Dom",[1]TESTE_LOG_OBRA!$D$11,0))</f>
        <v>0</v>
      </c>
      <c r="KM38" s="2">
        <f>IF(KM24="SÁB",[1]TESTE_LOG_OBRA!$D$11,IF(KM24="Dom",[1]TESTE_LOG_OBRA!$D$11,0))</f>
        <v>0</v>
      </c>
      <c r="KN38" s="2">
        <f>IF(KN24="SÁB",[1]TESTE_LOG_OBRA!$D$11,IF(KN24="Dom",[1]TESTE_LOG_OBRA!$D$11,0))</f>
        <v>0</v>
      </c>
      <c r="KO38" s="2">
        <f>IF(KO24="SÁB",[1]TESTE_LOG_OBRA!$D$11,IF(KO24="Dom",[1]TESTE_LOG_OBRA!$D$11,0))</f>
        <v>0</v>
      </c>
      <c r="KP38" s="2">
        <f>IF(KP24="SÁB",[1]TESTE_LOG_OBRA!$D$11,IF(KP24="Dom",[1]TESTE_LOG_OBRA!$D$11,0))</f>
        <v>0</v>
      </c>
      <c r="KQ38" s="2">
        <f>IF(KQ24="SÁB",[1]TESTE_LOG_OBRA!$D$11,IF(KQ24="Dom",[1]TESTE_LOG_OBRA!$D$11,0))</f>
        <v>0</v>
      </c>
      <c r="KR38" s="2">
        <f>IF(KR24="SÁB",[1]TESTE_LOG_OBRA!$D$11,IF(KR24="Dom",[1]TESTE_LOG_OBRA!$D$11,0))</f>
        <v>0</v>
      </c>
      <c r="KS38" s="2">
        <f>IF(KS24="SÁB",[1]TESTE_LOG_OBRA!$D$11,IF(KS24="Dom",[1]TESTE_LOG_OBRA!$D$11,0))</f>
        <v>0</v>
      </c>
      <c r="KT38" s="2">
        <f>IF(KT24="SÁB",[1]TESTE_LOG_OBRA!$D$11,IF(KT24="Dom",[1]TESTE_LOG_OBRA!$D$11,0))</f>
        <v>0</v>
      </c>
      <c r="KU38" s="2">
        <f>IF(KU24="SÁB",[1]TESTE_LOG_OBRA!$D$11,IF(KU24="Dom",[1]TESTE_LOG_OBRA!$D$11,0))</f>
        <v>0</v>
      </c>
      <c r="KV38" s="2">
        <f>IF(KV24="SÁB",[1]TESTE_LOG_OBRA!$D$11,IF(KV24="Dom",[1]TESTE_LOG_OBRA!$D$11,0))</f>
        <v>0</v>
      </c>
      <c r="KW38" s="2">
        <f>IF(KW24="SÁB",[1]TESTE_LOG_OBRA!$D$11,IF(KW24="Dom",[1]TESTE_LOG_OBRA!$D$11,0))</f>
        <v>0</v>
      </c>
      <c r="KX38" s="2">
        <f>IF(KX24="SÁB",[1]TESTE_LOG_OBRA!$D$11,IF(KX24="Dom",[1]TESTE_LOG_OBRA!$D$11,0))</f>
        <v>0</v>
      </c>
      <c r="KY38" s="2">
        <f>IF(KY24="SÁB",[1]TESTE_LOG_OBRA!$D$11,IF(KY24="Dom",[1]TESTE_LOG_OBRA!$D$11,0))</f>
        <v>0</v>
      </c>
      <c r="KZ38" s="2">
        <f>IF(KZ24="SÁB",[1]TESTE_LOG_OBRA!$D$11,IF(KZ24="Dom",[1]TESTE_LOG_OBRA!$D$11,0))</f>
        <v>0</v>
      </c>
      <c r="LA38" s="2">
        <f>IF(LA24="SÁB",[1]TESTE_LOG_OBRA!$D$11,IF(LA24="Dom",[1]TESTE_LOG_OBRA!$D$11,0))</f>
        <v>0</v>
      </c>
      <c r="LB38" s="2">
        <f>IF(LB24="SÁB",[1]TESTE_LOG_OBRA!$D$11,IF(LB24="Dom",[1]TESTE_LOG_OBRA!$D$11,0))</f>
        <v>0</v>
      </c>
      <c r="LC38" s="2">
        <f>IF(LC24="SÁB",[1]TESTE_LOG_OBRA!$D$11,IF(LC24="Dom",[1]TESTE_LOG_OBRA!$D$11,0))</f>
        <v>0</v>
      </c>
      <c r="LD38" s="2">
        <f>IF(LD24="SÁB",[1]TESTE_LOG_OBRA!$D$11,IF(LD24="Dom",[1]TESTE_LOG_OBRA!$D$11,0))</f>
        <v>0</v>
      </c>
      <c r="LE38" s="2">
        <f>IF(LE24="SÁB",[1]TESTE_LOG_OBRA!$D$11,IF(LE24="Dom",[1]TESTE_LOG_OBRA!$D$11,0))</f>
        <v>0</v>
      </c>
      <c r="LF38" s="2">
        <f>IF(LF24="SÁB",[1]TESTE_LOG_OBRA!$D$11,IF(LF24="Dom",[1]TESTE_LOG_OBRA!$D$11,0))</f>
        <v>0</v>
      </c>
      <c r="LG38" s="2">
        <f>IF(LG24="SÁB",[1]TESTE_LOG_OBRA!$D$11,IF(LG24="Dom",[1]TESTE_LOG_OBRA!$D$11,0))</f>
        <v>0</v>
      </c>
      <c r="LH38" s="2">
        <f>IF(LH24="SÁB",[1]TESTE_LOG_OBRA!$D$11,IF(LH24="Dom",[1]TESTE_LOG_OBRA!$D$11,0))</f>
        <v>0</v>
      </c>
      <c r="LI38" s="2">
        <f>IF(LI24="SÁB",[1]TESTE_LOG_OBRA!$D$11,IF(LI24="Dom",[1]TESTE_LOG_OBRA!$D$11,0))</f>
        <v>0</v>
      </c>
      <c r="LJ38" s="2">
        <f>IF(LJ24="SÁB",[1]TESTE_LOG_OBRA!$D$11,IF(LJ24="Dom",[1]TESTE_LOG_OBRA!$D$11,0))</f>
        <v>0</v>
      </c>
      <c r="LK38" s="2">
        <f>IF(LK24="SÁB",[1]TESTE_LOG_OBRA!$D$11,IF(LK24="Dom",[1]TESTE_LOG_OBRA!$D$11,0))</f>
        <v>0</v>
      </c>
      <c r="LL38" s="2">
        <f>IF(LL24="SÁB",[1]TESTE_LOG_OBRA!$D$11,IF(LL24="Dom",[1]TESTE_LOG_OBRA!$D$11,0))</f>
        <v>0</v>
      </c>
      <c r="LM38" s="2">
        <f>IF(LM24="SÁB",[1]TESTE_LOG_OBRA!$D$11,IF(LM24="Dom",[1]TESTE_LOG_OBRA!$D$11,0))</f>
        <v>0</v>
      </c>
      <c r="LN38" s="2">
        <f>IF(LN24="SÁB",[1]TESTE_LOG_OBRA!$D$11,IF(LN24="Dom",[1]TESTE_LOG_OBRA!$D$11,0))</f>
        <v>0</v>
      </c>
      <c r="LO38" s="2">
        <f>IF(LO24="SÁB",[1]TESTE_LOG_OBRA!$D$11,IF(LO24="Dom",[1]TESTE_LOG_OBRA!$D$11,0))</f>
        <v>0</v>
      </c>
      <c r="LP38" s="2">
        <f>IF(LP24="SÁB",[1]TESTE_LOG_OBRA!$D$11,IF(LP24="Dom",[1]TESTE_LOG_OBRA!$D$11,0))</f>
        <v>0</v>
      </c>
      <c r="LQ38" s="2">
        <f>IF(LQ24="SÁB",[1]TESTE_LOG_OBRA!$D$11,IF(LQ24="Dom",[1]TESTE_LOG_OBRA!$D$11,0))</f>
        <v>0</v>
      </c>
      <c r="LR38" s="2">
        <f>IF(LR24="SÁB",[1]TESTE_LOG_OBRA!$D$11,IF(LR24="Dom",[1]TESTE_LOG_OBRA!$D$11,0))</f>
        <v>0</v>
      </c>
      <c r="LS38" s="2">
        <f>IF(LS24="SÁB",[1]TESTE_LOG_OBRA!$D$11,IF(LS24="Dom",[1]TESTE_LOG_OBRA!$D$11,0))</f>
        <v>0</v>
      </c>
      <c r="LT38" s="2">
        <f>IF(LT24="SÁB",[1]TESTE_LOG_OBRA!$D$11,IF(LT24="Dom",[1]TESTE_LOG_OBRA!$D$11,0))</f>
        <v>0</v>
      </c>
      <c r="LU38" s="2">
        <f>IF(LU24="SÁB",[1]TESTE_LOG_OBRA!$D$11,IF(LU24="Dom",[1]TESTE_LOG_OBRA!$D$11,0))</f>
        <v>0</v>
      </c>
      <c r="LV38" s="2">
        <f>IF(LV24="SÁB",[1]TESTE_LOG_OBRA!$D$11,IF(LV24="Dom",[1]TESTE_LOG_OBRA!$D$11,0))</f>
        <v>0</v>
      </c>
      <c r="LW38" s="2">
        <f>IF(LW24="SÁB",[1]TESTE_LOG_OBRA!$D$11,IF(LW24="Dom",[1]TESTE_LOG_OBRA!$D$11,0))</f>
        <v>0</v>
      </c>
      <c r="LX38" s="2">
        <f>IF(LX24="SÁB",[1]TESTE_LOG_OBRA!$D$11,IF(LX24="Dom",[1]TESTE_LOG_OBRA!$D$11,0))</f>
        <v>0</v>
      </c>
      <c r="LY38" s="2">
        <f>IF(LY24="SÁB",[1]TESTE_LOG_OBRA!$D$11,IF(LY24="Dom",[1]TESTE_LOG_OBRA!$D$11,0))</f>
        <v>0</v>
      </c>
      <c r="LZ38" s="2">
        <f>IF(LZ24="SÁB",[1]TESTE_LOG_OBRA!$D$11,IF(LZ24="Dom",[1]TESTE_LOG_OBRA!$D$11,0))</f>
        <v>0</v>
      </c>
      <c r="MA38" s="2">
        <f>IF(MA24="SÁB",[1]TESTE_LOG_OBRA!$D$11,IF(MA24="Dom",[1]TESTE_LOG_OBRA!$D$11,0))</f>
        <v>0</v>
      </c>
      <c r="MB38" s="2">
        <f>IF(MB24="SÁB",[1]TESTE_LOG_OBRA!$D$11,IF(MB24="Dom",[1]TESTE_LOG_OBRA!$D$11,0))</f>
        <v>0</v>
      </c>
      <c r="MC38" s="2">
        <f>IF(MC24="SÁB",[1]TESTE_LOG_OBRA!$D$11,IF(MC24="Dom",[1]TESTE_LOG_OBRA!$D$11,0))</f>
        <v>0</v>
      </c>
      <c r="MD38" s="2">
        <f>IF(MD24="SÁB",[1]TESTE_LOG_OBRA!$D$11,IF(MD24="Dom",[1]TESTE_LOG_OBRA!$D$11,0))</f>
        <v>0</v>
      </c>
      <c r="ME38" s="2">
        <f>IF(ME24="SÁB",[1]TESTE_LOG_OBRA!$D$11,IF(ME24="Dom",[1]TESTE_LOG_OBRA!$D$11,0))</f>
        <v>0</v>
      </c>
      <c r="MF38" s="2">
        <f>IF(MF24="SÁB",[1]TESTE_LOG_OBRA!$D$11,IF(MF24="Dom",[1]TESTE_LOG_OBRA!$D$11,0))</f>
        <v>0</v>
      </c>
      <c r="MG38" s="2">
        <f>IF(MG24="SÁB",[1]TESTE_LOG_OBRA!$D$11,IF(MG24="Dom",[1]TESTE_LOG_OBRA!$D$11,0))</f>
        <v>0</v>
      </c>
      <c r="MH38" s="2">
        <f>IF(MH24="SÁB",[1]TESTE_LOG_OBRA!$D$11,IF(MH24="Dom",[1]TESTE_LOG_OBRA!$D$11,0))</f>
        <v>0</v>
      </c>
      <c r="MI38" s="2">
        <f>IF(MI24="SÁB",[1]TESTE_LOG_OBRA!$D$11,IF(MI24="Dom",[1]TESTE_LOG_OBRA!$D$11,0))</f>
        <v>0</v>
      </c>
      <c r="MJ38" s="2">
        <f>IF(MJ24="SÁB",[1]TESTE_LOG_OBRA!$D$11,IF(MJ24="Dom",[1]TESTE_LOG_OBRA!$D$11,0))</f>
        <v>0</v>
      </c>
      <c r="MK38" s="2">
        <f>IF(MK24="SÁB",[1]TESTE_LOG_OBRA!$D$11,IF(MK24="Dom",[1]TESTE_LOG_OBRA!$D$11,0))</f>
        <v>0</v>
      </c>
      <c r="ML38" s="2">
        <f>IF(ML24="SÁB",[1]TESTE_LOG_OBRA!$D$11,IF(ML24="Dom",[1]TESTE_LOG_OBRA!$D$11,0))</f>
        <v>0</v>
      </c>
      <c r="MM38" s="2">
        <f>IF(MM24="SÁB",[1]TESTE_LOG_OBRA!$D$11,IF(MM24="Dom",[1]TESTE_LOG_OBRA!$D$11,0))</f>
        <v>0</v>
      </c>
      <c r="MN38" s="2">
        <f>IF(MN24="SÁB",[1]TESTE_LOG_OBRA!$D$11,IF(MN24="Dom",[1]TESTE_LOG_OBRA!$D$11,0))</f>
        <v>0</v>
      </c>
      <c r="MO38" s="2">
        <f>IF(MO24="SÁB",[1]TESTE_LOG_OBRA!$D$11,IF(MO24="Dom",[1]TESTE_LOG_OBRA!$D$11,0))</f>
        <v>0</v>
      </c>
      <c r="MP38" s="2">
        <f>IF(MP24="SÁB",[1]TESTE_LOG_OBRA!$D$11,IF(MP24="Dom",[1]TESTE_LOG_OBRA!$D$11,0))</f>
        <v>0</v>
      </c>
      <c r="MQ38" s="2">
        <f>IF(MQ24="SÁB",[1]TESTE_LOG_OBRA!$D$11,IF(MQ24="Dom",[1]TESTE_LOG_OBRA!$D$11,0))</f>
        <v>0</v>
      </c>
      <c r="MR38" s="2">
        <f>IF(MR24="SÁB",[1]TESTE_LOG_OBRA!$D$11,IF(MR24="Dom",[1]TESTE_LOG_OBRA!$D$11,0))</f>
        <v>0</v>
      </c>
      <c r="MS38" s="2">
        <f>IF(MS24="SÁB",[1]TESTE_LOG_OBRA!$D$11,IF(MS24="Dom",[1]TESTE_LOG_OBRA!$D$11,0))</f>
        <v>0</v>
      </c>
      <c r="MT38" s="2">
        <f>IF(MT24="SÁB",[1]TESTE_LOG_OBRA!$D$11,IF(MT24="Dom",[1]TESTE_LOG_OBRA!$D$11,0))</f>
        <v>0</v>
      </c>
      <c r="MU38" s="2">
        <f>IF(MU24="SÁB",[1]TESTE_LOG_OBRA!$D$11,IF(MU24="Dom",[1]TESTE_LOG_OBRA!$D$11,0))</f>
        <v>0</v>
      </c>
      <c r="MV38" s="2">
        <f>IF(MV24="SÁB",[1]TESTE_LOG_OBRA!$D$11,IF(MV24="Dom",[1]TESTE_LOG_OBRA!$D$11,0))</f>
        <v>0</v>
      </c>
      <c r="MW38" s="2">
        <f>IF(MW24="SÁB",[1]TESTE_LOG_OBRA!$D$11,IF(MW24="Dom",[1]TESTE_LOG_OBRA!$D$11,0))</f>
        <v>0</v>
      </c>
      <c r="MX38" s="2">
        <f>IF(MX24="SÁB",[1]TESTE_LOG_OBRA!$D$11,IF(MX24="Dom",[1]TESTE_LOG_OBRA!$D$11,0))</f>
        <v>0</v>
      </c>
      <c r="MY38" s="2">
        <f>IF(MY24="SÁB",[1]TESTE_LOG_OBRA!$D$11,IF(MY24="Dom",[1]TESTE_LOG_OBRA!$D$11,0))</f>
        <v>0</v>
      </c>
      <c r="MZ38" s="2">
        <f>IF(MZ24="SÁB",[1]TESTE_LOG_OBRA!$D$11,IF(MZ24="Dom",[1]TESTE_LOG_OBRA!$D$11,0))</f>
        <v>0</v>
      </c>
      <c r="NA38" s="2">
        <f>IF(NA24="SÁB",[1]TESTE_LOG_OBRA!$D$11,IF(NA24="Dom",[1]TESTE_LOG_OBRA!$D$11,0))</f>
        <v>0</v>
      </c>
      <c r="NB38" s="2">
        <f>IF(NB24="SÁB",[1]TESTE_LOG_OBRA!$D$11,IF(NB24="Dom",[1]TESTE_LOG_OBRA!$D$11,0))</f>
        <v>0</v>
      </c>
      <c r="NC38" s="2">
        <f>IF(NC24="SÁB",[1]TESTE_LOG_OBRA!$D$11,IF(NC24="Dom",[1]TESTE_LOG_OBRA!$D$11,0))</f>
        <v>0</v>
      </c>
      <c r="ND38" s="2">
        <f>IF(ND24="SÁB",[1]TESTE_LOG_OBRA!$D$11,IF(ND24="Dom",[1]TESTE_LOG_OBRA!$D$11,0))</f>
        <v>0</v>
      </c>
      <c r="NE38" s="2">
        <f>IF(NE24="SÁB",[1]TESTE_LOG_OBRA!$D$11,IF(NE24="Dom",[1]TESTE_LOG_OBRA!$D$11,0))</f>
        <v>0</v>
      </c>
      <c r="NF38" s="2">
        <f>IF(NF24="SÁB",[1]TESTE_LOG_OBRA!$D$11,IF(NF24="Dom",[1]TESTE_LOG_OBRA!$D$11,0))</f>
        <v>0</v>
      </c>
      <c r="NG38" s="2">
        <f>IF(NG24="SÁB",[1]TESTE_LOG_OBRA!$D$11,IF(NG24="Dom",[1]TESTE_LOG_OBRA!$D$11,0))</f>
        <v>0</v>
      </c>
      <c r="NH38" s="2">
        <f>IF(NH24="SÁB",[1]TESTE_LOG_OBRA!$D$11,IF(NH24="Dom",[1]TESTE_LOG_OBRA!$D$11,0))</f>
        <v>0</v>
      </c>
      <c r="NI38" s="2">
        <f>IF(NI24="SÁB",[1]TESTE_LOG_OBRA!$D$11,IF(NI24="Dom",[1]TESTE_LOG_OBRA!$D$11,0))</f>
        <v>0</v>
      </c>
      <c r="NJ38" s="2">
        <f>IF(NJ24="SÁB",[1]TESTE_LOG_OBRA!$D$11,IF(NJ24="Dom",[1]TESTE_LOG_OBRA!$D$11,0))</f>
        <v>0</v>
      </c>
      <c r="NK38" s="2">
        <f>IF(NK24="SÁB",[1]TESTE_LOG_OBRA!$D$11,IF(NK24="Dom",[1]TESTE_LOG_OBRA!$D$11,0))</f>
        <v>0</v>
      </c>
      <c r="NL38" s="2">
        <f>IF(NL24="SÁB",[1]TESTE_LOG_OBRA!$D$11,IF(NL24="Dom",[1]TESTE_LOG_OBRA!$D$11,0))</f>
        <v>0</v>
      </c>
      <c r="NM38" s="2">
        <f>IF(NM24="SÁB",[1]TESTE_LOG_OBRA!$D$11,IF(NM24="Dom",[1]TESTE_LOG_OBRA!$D$11,0))</f>
        <v>0</v>
      </c>
      <c r="NN38" s="2">
        <f>IF(NN24="SÁB",[1]TESTE_LOG_OBRA!$D$11,IF(NN24="Dom",[1]TESTE_LOG_OBRA!$D$11,0))</f>
        <v>0</v>
      </c>
      <c r="NO38" s="2">
        <f>IF(NO24="SÁB",[1]TESTE_LOG_OBRA!$D$11,IF(NO24="Dom",[1]TESTE_LOG_OBRA!$D$11,0))</f>
        <v>0</v>
      </c>
      <c r="NP38" s="2">
        <f>IF(NP24="SÁB",[1]TESTE_LOG_OBRA!$D$11,IF(NP24="Dom",[1]TESTE_LOG_OBRA!$D$11,0))</f>
        <v>0</v>
      </c>
      <c r="NQ38" s="2">
        <f>IF(NQ24="SÁB",[1]TESTE_LOG_OBRA!$D$11,IF(NQ24="Dom",[1]TESTE_LOG_OBRA!$D$11,0))</f>
        <v>0</v>
      </c>
      <c r="NR38" s="2">
        <f>IF(NR24="SÁB",[1]TESTE_LOG_OBRA!$D$11,IF(NR24="Dom",[1]TESTE_LOG_OBRA!$D$11,0))</f>
        <v>0</v>
      </c>
      <c r="NS38" s="2">
        <f>IF(NS24="SÁB",[1]TESTE_LOG_OBRA!$D$11,IF(NS24="Dom",[1]TESTE_LOG_OBRA!$D$11,0))</f>
        <v>0</v>
      </c>
      <c r="NT38" s="2">
        <f>IF(NT24="SÁB",[1]TESTE_LOG_OBRA!$D$11,IF(NT24="Dom",[1]TESTE_LOG_OBRA!$D$11,0))</f>
        <v>0</v>
      </c>
      <c r="NU38" s="2">
        <f>IF(NU24="SÁB",[1]TESTE_LOG_OBRA!$D$11,IF(NU24="Dom",[1]TESTE_LOG_OBRA!$D$11,0))</f>
        <v>0</v>
      </c>
      <c r="NV38" s="2">
        <f>IF(NV24="SÁB",[1]TESTE_LOG_OBRA!$D$11,IF(NV24="Dom",[1]TESTE_LOG_OBRA!$D$11,0))</f>
        <v>0</v>
      </c>
      <c r="NW38" s="2">
        <f>IF(NW24="SÁB",[1]TESTE_LOG_OBRA!$D$11,IF(NW24="Dom",[1]TESTE_LOG_OBRA!$D$11,0))</f>
        <v>0</v>
      </c>
      <c r="NX38" s="2">
        <f>IF(NX24="SÁB",[1]TESTE_LOG_OBRA!$D$11,IF(NX24="Dom",[1]TESTE_LOG_OBRA!$D$11,0))</f>
        <v>0</v>
      </c>
      <c r="NY38" s="2">
        <f>IF(NY24="SÁB",[1]TESTE_LOG_OBRA!$D$11,IF(NY24="Dom",[1]TESTE_LOG_OBRA!$D$11,0))</f>
        <v>0</v>
      </c>
      <c r="NZ38" s="2">
        <f>IF(NZ24="SÁB",[1]TESTE_LOG_OBRA!$D$11,IF(NZ24="Dom",[1]TESTE_LOG_OBRA!$D$11,0))</f>
        <v>0</v>
      </c>
      <c r="OA38" s="2">
        <f>IF(OA24="SÁB",[1]TESTE_LOG_OBRA!$D$11,IF(OA24="Dom",[1]TESTE_LOG_OBRA!$D$11,0))</f>
        <v>0</v>
      </c>
      <c r="OB38" s="2">
        <f>IF(OB24="SÁB",[1]TESTE_LOG_OBRA!$D$11,IF(OB24="Dom",[1]TESTE_LOG_OBRA!$D$11,0))</f>
        <v>0</v>
      </c>
      <c r="OC38" s="2">
        <f>IF(OC24="SÁB",[1]TESTE_LOG_OBRA!$D$11,IF(OC24="Dom",[1]TESTE_LOG_OBRA!$D$11,0))</f>
        <v>0</v>
      </c>
      <c r="OD38" s="2">
        <f>IF(OD24="SÁB",[1]TESTE_LOG_OBRA!$D$11,IF(OD24="Dom",[1]TESTE_LOG_OBRA!$D$11,0))</f>
        <v>0</v>
      </c>
      <c r="OE38" s="2">
        <f>IF(OE24="SÁB",[1]TESTE_LOG_OBRA!$D$11,IF(OE24="Dom",[1]TESTE_LOG_OBRA!$D$11,0))</f>
        <v>0</v>
      </c>
      <c r="OF38" s="2">
        <f>IF(OF24="SÁB",[1]TESTE_LOG_OBRA!$D$11,IF(OF24="Dom",[1]TESTE_LOG_OBRA!$D$11,0))</f>
        <v>0</v>
      </c>
      <c r="OG38" s="2">
        <f>IF(OG24="SÁB",[1]TESTE_LOG_OBRA!$D$11,IF(OG24="Dom",[1]TESTE_LOG_OBRA!$D$11,0))</f>
        <v>0</v>
      </c>
      <c r="OH38" s="2">
        <f>IF(OH24="SÁB",[1]TESTE_LOG_OBRA!$D$11,IF(OH24="Dom",[1]TESTE_LOG_OBRA!$D$11,0))</f>
        <v>0</v>
      </c>
      <c r="OI38" s="2">
        <f>IF(OI24="SÁB",[1]TESTE_LOG_OBRA!$D$11,IF(OI24="Dom",[1]TESTE_LOG_OBRA!$D$11,0))</f>
        <v>0</v>
      </c>
      <c r="OJ38" s="2">
        <f>IF(OJ24="SÁB",[1]TESTE_LOG_OBRA!$D$11,IF(OJ24="Dom",[1]TESTE_LOG_OBRA!$D$11,0))</f>
        <v>0</v>
      </c>
      <c r="OK38" s="2">
        <f>IF(OK24="SÁB",[1]TESTE_LOG_OBRA!$D$11,IF(OK24="Dom",[1]TESTE_LOG_OBRA!$D$11,0))</f>
        <v>0</v>
      </c>
      <c r="OL38" s="2">
        <f>IF(OL24="SÁB",[1]TESTE_LOG_OBRA!$D$11,IF(OL24="Dom",[1]TESTE_LOG_OBRA!$D$11,0))</f>
        <v>0</v>
      </c>
      <c r="OM38" s="2">
        <f>IF(OM24="SÁB",[1]TESTE_LOG_OBRA!$D$11,IF(OM24="Dom",[1]TESTE_LOG_OBRA!$D$11,0))</f>
        <v>0</v>
      </c>
      <c r="ON38" s="2">
        <f>IF(ON24="SÁB",[1]TESTE_LOG_OBRA!$D$11,IF(ON24="Dom",[1]TESTE_LOG_OBRA!$D$11,0))</f>
        <v>0</v>
      </c>
      <c r="OO38" s="2">
        <f>IF(OO24="SÁB",[1]TESTE_LOG_OBRA!$D$11,IF(OO24="Dom",[1]TESTE_LOG_OBRA!$D$11,0))</f>
        <v>0</v>
      </c>
      <c r="OP38" s="2">
        <f>IF(OP24="SÁB",[1]TESTE_LOG_OBRA!$D$11,IF(OP24="Dom",[1]TESTE_LOG_OBRA!$D$11,0))</f>
        <v>0</v>
      </c>
      <c r="OQ38" s="2">
        <f>IF(OQ24="SÁB",[1]TESTE_LOG_OBRA!$D$11,IF(OQ24="Dom",[1]TESTE_LOG_OBRA!$D$11,0))</f>
        <v>0</v>
      </c>
      <c r="OR38" s="2">
        <f>IF(OR24="SÁB",[1]TESTE_LOG_OBRA!$D$11,IF(OR24="Dom",[1]TESTE_LOG_OBRA!$D$11,0))</f>
        <v>0</v>
      </c>
      <c r="OS38" s="2">
        <f>IF(OS24="SÁB",[1]TESTE_LOG_OBRA!$D$11,IF(OS24="Dom",[1]TESTE_LOG_OBRA!$D$11,0))</f>
        <v>0</v>
      </c>
      <c r="OT38" s="2">
        <f>IF(OT24="SÁB",[1]TESTE_LOG_OBRA!$D$11,IF(OT24="Dom",[1]TESTE_LOG_OBRA!$D$11,0))</f>
        <v>0</v>
      </c>
      <c r="OU38" s="2">
        <f>IF(OU24="SÁB",[1]TESTE_LOG_OBRA!$D$11,IF(OU24="Dom",[1]TESTE_LOG_OBRA!$D$11,0))</f>
        <v>0</v>
      </c>
      <c r="OV38" s="2">
        <f>IF(OV24="SÁB",[1]TESTE_LOG_OBRA!$D$11,IF(OV24="Dom",[1]TESTE_LOG_OBRA!$D$11,0))</f>
        <v>0</v>
      </c>
      <c r="OW38" s="2">
        <f>IF(OW24="SÁB",[1]TESTE_LOG_OBRA!$D$11,IF(OW24="Dom",[1]TESTE_LOG_OBRA!$D$11,0))</f>
        <v>0</v>
      </c>
      <c r="OX38" s="2">
        <f>IF(OX24="SÁB",[1]TESTE_LOG_OBRA!$D$11,IF(OX24="Dom",[1]TESTE_LOG_OBRA!$D$11,0))</f>
        <v>0</v>
      </c>
      <c r="OY38" s="2">
        <f>IF(OY24="SÁB",[1]TESTE_LOG_OBRA!$D$11,IF(OY24="Dom",[1]TESTE_LOG_OBRA!$D$11,0))</f>
        <v>0</v>
      </c>
      <c r="OZ38" s="2">
        <f>IF(OZ24="SÁB",[1]TESTE_LOG_OBRA!$D$11,IF(OZ24="Dom",[1]TESTE_LOG_OBRA!$D$11,0))</f>
        <v>0</v>
      </c>
      <c r="PA38" s="2">
        <f>IF(PA24="SÁB",[1]TESTE_LOG_OBRA!$D$11,IF(PA24="Dom",[1]TESTE_LOG_OBRA!$D$11,0))</f>
        <v>0</v>
      </c>
      <c r="PB38" s="2">
        <f>IF(PB24="SÁB",[1]TESTE_LOG_OBRA!$D$11,IF(PB24="Dom",[1]TESTE_LOG_OBRA!$D$11,0))</f>
        <v>0</v>
      </c>
      <c r="PC38" s="2">
        <f>IF(PC24="SÁB",[1]TESTE_LOG_OBRA!$D$11,IF(PC24="Dom",[1]TESTE_LOG_OBRA!$D$11,0))</f>
        <v>0</v>
      </c>
      <c r="PD38" s="2">
        <f>IF(PD24="SÁB",[1]TESTE_LOG_OBRA!$D$11,IF(PD24="Dom",[1]TESTE_LOG_OBRA!$D$11,0))</f>
        <v>0</v>
      </c>
      <c r="PE38" s="2">
        <f>IF(PE24="SÁB",[1]TESTE_LOG_OBRA!$D$11,IF(PE24="Dom",[1]TESTE_LOG_OBRA!$D$11,0))</f>
        <v>0</v>
      </c>
      <c r="PF38" s="2">
        <f>IF(PF24="SÁB",[1]TESTE_LOG_OBRA!$D$11,IF(PF24="Dom",[1]TESTE_LOG_OBRA!$D$11,0))</f>
        <v>0</v>
      </c>
      <c r="PG38" s="2">
        <f>IF(PG24="SÁB",[1]TESTE_LOG_OBRA!$D$11,IF(PG24="Dom",[1]TESTE_LOG_OBRA!$D$11,0))</f>
        <v>0</v>
      </c>
      <c r="PH38" s="2">
        <f>IF(PH24="SÁB",[1]TESTE_LOG_OBRA!$D$11,IF(PH24="Dom",[1]TESTE_LOG_OBRA!$D$11,0))</f>
        <v>0</v>
      </c>
      <c r="PI38" s="2">
        <f>IF(PI24="SÁB",[1]TESTE_LOG_OBRA!$D$11,IF(PI24="Dom",[1]TESTE_LOG_OBRA!$D$11,0))</f>
        <v>0</v>
      </c>
      <c r="PJ38" s="2">
        <f>IF(PJ24="SÁB",[1]TESTE_LOG_OBRA!$D$11,IF(PJ24="Dom",[1]TESTE_LOG_OBRA!$D$11,0))</f>
        <v>0</v>
      </c>
      <c r="PK38" s="2">
        <f>IF(PK24="SÁB",[1]TESTE_LOG_OBRA!$D$11,IF(PK24="Dom",[1]TESTE_LOG_OBRA!$D$11,0))</f>
        <v>0</v>
      </c>
      <c r="PL38" s="2">
        <f>IF(PL24="SÁB",[1]TESTE_LOG_OBRA!$D$11,IF(PL24="Dom",[1]TESTE_LOG_OBRA!$D$11,0))</f>
        <v>0</v>
      </c>
      <c r="PM38" s="2">
        <f>IF(PM24="SÁB",[1]TESTE_LOG_OBRA!$D$11,IF(PM24="Dom",[1]TESTE_LOG_OBRA!$D$11,0))</f>
        <v>0</v>
      </c>
      <c r="PN38" s="2">
        <f>IF(PN24="SÁB",[1]TESTE_LOG_OBRA!$D$11,IF(PN24="Dom",[1]TESTE_LOG_OBRA!$D$11,0))</f>
        <v>0</v>
      </c>
      <c r="PO38" s="2">
        <f>IF(PO24="SÁB",[1]TESTE_LOG_OBRA!$D$11,IF(PO24="Dom",[1]TESTE_LOG_OBRA!$D$11,0))</f>
        <v>0</v>
      </c>
      <c r="PP38" s="2">
        <f>IF(PP24="SÁB",[1]TESTE_LOG_OBRA!$D$11,IF(PP24="Dom",[1]TESTE_LOG_OBRA!$D$11,0))</f>
        <v>0</v>
      </c>
      <c r="PQ38" s="2">
        <f>IF(PQ24="SÁB",[1]TESTE_LOG_OBRA!$D$11,IF(PQ24="Dom",[1]TESTE_LOG_OBRA!$D$11,0))</f>
        <v>0</v>
      </c>
      <c r="PR38" s="2">
        <f>IF(PR24="SÁB",[1]TESTE_LOG_OBRA!$D$11,IF(PR24="Dom",[1]TESTE_LOG_OBRA!$D$11,0))</f>
        <v>0</v>
      </c>
      <c r="PS38" s="2">
        <f>IF(PS24="SÁB",[1]TESTE_LOG_OBRA!$D$11,IF(PS24="Dom",[1]TESTE_LOG_OBRA!$D$11,0))</f>
        <v>0</v>
      </c>
      <c r="PT38" s="2">
        <f>IF(PT24="SÁB",[1]TESTE_LOG_OBRA!$D$11,IF(PT24="Dom",[1]TESTE_LOG_OBRA!$D$11,0))</f>
        <v>0</v>
      </c>
      <c r="PU38" s="2">
        <f>IF(PU24="SÁB",[1]TESTE_LOG_OBRA!$D$11,IF(PU24="Dom",[1]TESTE_LOG_OBRA!$D$11,0))</f>
        <v>0</v>
      </c>
      <c r="PV38" s="2">
        <f>IF(PV24="SÁB",[1]TESTE_LOG_OBRA!$D$11,IF(PV24="Dom",[1]TESTE_LOG_OBRA!$D$11,0))</f>
        <v>0</v>
      </c>
      <c r="PW38" s="2">
        <f>IF(PW24="SÁB",[1]TESTE_LOG_OBRA!$D$11,IF(PW24="Dom",[1]TESTE_LOG_OBRA!$D$11,0))</f>
        <v>0</v>
      </c>
      <c r="PX38" s="2">
        <f>IF(PX24="SÁB",[1]TESTE_LOG_OBRA!$D$11,IF(PX24="Dom",[1]TESTE_LOG_OBRA!$D$11,0))</f>
        <v>0</v>
      </c>
      <c r="PY38" s="2">
        <f>IF(PY24="SÁB",[1]TESTE_LOG_OBRA!$D$11,IF(PY24="Dom",[1]TESTE_LOG_OBRA!$D$11,0))</f>
        <v>0</v>
      </c>
      <c r="PZ38" s="2">
        <f>IF(PZ24="SÁB",[1]TESTE_LOG_OBRA!$D$11,IF(PZ24="Dom",[1]TESTE_LOG_OBRA!$D$11,0))</f>
        <v>0</v>
      </c>
      <c r="QA38" s="2">
        <f>IF(QA24="SÁB",[1]TESTE_LOG_OBRA!$D$11,IF(QA24="Dom",[1]TESTE_LOG_OBRA!$D$11,0))</f>
        <v>0</v>
      </c>
      <c r="QB38" s="2">
        <f>IF(QB24="SÁB",[1]TESTE_LOG_OBRA!$D$11,IF(QB24="Dom",[1]TESTE_LOG_OBRA!$D$11,0))</f>
        <v>0</v>
      </c>
      <c r="QC38" s="2">
        <f>IF(QC24="SÁB",[1]TESTE_LOG_OBRA!$D$11,IF(QC24="Dom",[1]TESTE_LOG_OBRA!$D$11,0))</f>
        <v>0</v>
      </c>
      <c r="QD38" s="2">
        <f>IF(QD24="SÁB",[1]TESTE_LOG_OBRA!$D$11,IF(QD24="Dom",[1]TESTE_LOG_OBRA!$D$11,0))</f>
        <v>0</v>
      </c>
      <c r="QE38" s="2">
        <f>IF(QE24="SÁB",[1]TESTE_LOG_OBRA!$D$11,IF(QE24="Dom",[1]TESTE_LOG_OBRA!$D$11,0))</f>
        <v>0</v>
      </c>
      <c r="QF38" s="2">
        <f>IF(QF24="SÁB",[1]TESTE_LOG_OBRA!$D$11,IF(QF24="Dom",[1]TESTE_LOG_OBRA!$D$11,0))</f>
        <v>0</v>
      </c>
      <c r="QG38" s="2">
        <f>IF(QG24="SÁB",[1]TESTE_LOG_OBRA!$D$11,IF(QG24="Dom",[1]TESTE_LOG_OBRA!$D$11,0))</f>
        <v>0</v>
      </c>
      <c r="QH38" s="2">
        <f>IF(QH24="SÁB",[1]TESTE_LOG_OBRA!$D$11,IF(QH24="Dom",[1]TESTE_LOG_OBRA!$D$11,0))</f>
        <v>0</v>
      </c>
      <c r="QI38" s="2">
        <f>IF(QI24="SÁB",[1]TESTE_LOG_OBRA!$D$11,IF(QI24="Dom",[1]TESTE_LOG_OBRA!$D$11,0))</f>
        <v>0</v>
      </c>
      <c r="QJ38" s="2">
        <f>IF(QJ24="SÁB",[1]TESTE_LOG_OBRA!$D$11,IF(QJ24="Dom",[1]TESTE_LOG_OBRA!$D$11,0))</f>
        <v>0</v>
      </c>
      <c r="QK38" s="2">
        <f>IF(QK24="SÁB",[1]TESTE_LOG_OBRA!$D$11,IF(QK24="Dom",[1]TESTE_LOG_OBRA!$D$11,0))</f>
        <v>0</v>
      </c>
      <c r="QL38" s="2">
        <f>IF(QL24="SÁB",[1]TESTE_LOG_OBRA!$D$11,IF(QL24="Dom",[1]TESTE_LOG_OBRA!$D$11,0))</f>
        <v>0</v>
      </c>
      <c r="QM38" s="2">
        <f>IF(QM24="SÁB",[1]TESTE_LOG_OBRA!$D$11,IF(QM24="Dom",[1]TESTE_LOG_OBRA!$D$11,0))</f>
        <v>0</v>
      </c>
      <c r="QN38" s="2">
        <f>IF(QN24="SÁB",[1]TESTE_LOG_OBRA!$D$11,IF(QN24="Dom",[1]TESTE_LOG_OBRA!$D$11,0))</f>
        <v>0</v>
      </c>
      <c r="QO38" s="2">
        <f>IF(QO24="SÁB",[1]TESTE_LOG_OBRA!$D$11,IF(QO24="Dom",[1]TESTE_LOG_OBRA!$D$11,0))</f>
        <v>0</v>
      </c>
      <c r="QP38" s="2">
        <f>IF(QP24="SÁB",[1]TESTE_LOG_OBRA!$D$11,IF(QP24="Dom",[1]TESTE_LOG_OBRA!$D$11,0))</f>
        <v>0</v>
      </c>
      <c r="QQ38" s="2">
        <f>IF(QQ24="SÁB",[1]TESTE_LOG_OBRA!$D$11,IF(QQ24="Dom",[1]TESTE_LOG_OBRA!$D$11,0))</f>
        <v>0</v>
      </c>
      <c r="QR38" s="2">
        <f>IF(QR24="SÁB",[1]TESTE_LOG_OBRA!$D$11,IF(QR24="Dom",[1]TESTE_LOG_OBRA!$D$11,0))</f>
        <v>0</v>
      </c>
      <c r="QS38" s="2">
        <f>IF(QS24="SÁB",[1]TESTE_LOG_OBRA!$D$11,IF(QS24="Dom",[1]TESTE_LOG_OBRA!$D$11,0))</f>
        <v>0</v>
      </c>
      <c r="QT38" s="2">
        <f>IF(QT24="SÁB",[1]TESTE_LOG_OBRA!$D$11,IF(QT24="Dom",[1]TESTE_LOG_OBRA!$D$11,0))</f>
        <v>0</v>
      </c>
      <c r="QU38" s="2">
        <f>IF(QU24="SÁB",[1]TESTE_LOG_OBRA!$D$11,IF(QU24="Dom",[1]TESTE_LOG_OBRA!$D$11,0))</f>
        <v>0</v>
      </c>
      <c r="QV38" s="2">
        <f>IF(QV24="SÁB",[1]TESTE_LOG_OBRA!$D$11,IF(QV24="Dom",[1]TESTE_LOG_OBRA!$D$11,0))</f>
        <v>0</v>
      </c>
      <c r="QW38" s="2">
        <f>IF(QW24="SÁB",[1]TESTE_LOG_OBRA!$D$11,IF(QW24="Dom",[1]TESTE_LOG_OBRA!$D$11,0))</f>
        <v>0</v>
      </c>
      <c r="QX38" s="2">
        <f>IF(QX24="SÁB",[1]TESTE_LOG_OBRA!$D$11,IF(QX24="Dom",[1]TESTE_LOG_OBRA!$D$11,0))</f>
        <v>0</v>
      </c>
      <c r="QY38" s="2">
        <f>IF(QY24="SÁB",[1]TESTE_LOG_OBRA!$D$11,IF(QY24="Dom",[1]TESTE_LOG_OBRA!$D$11,0))</f>
        <v>0</v>
      </c>
      <c r="QZ38" s="2">
        <f>IF(QZ24="SÁB",[1]TESTE_LOG_OBRA!$D$11,IF(QZ24="Dom",[1]TESTE_LOG_OBRA!$D$11,0))</f>
        <v>0</v>
      </c>
      <c r="RA38" s="2">
        <f>IF(RA24="SÁB",[1]TESTE_LOG_OBRA!$D$11,IF(RA24="Dom",[1]TESTE_LOG_OBRA!$D$11,0))</f>
        <v>0</v>
      </c>
      <c r="RB38" s="2">
        <f>IF(RB24="SÁB",[1]TESTE_LOG_OBRA!$D$11,IF(RB24="Dom",[1]TESTE_LOG_OBRA!$D$11,0))</f>
        <v>0</v>
      </c>
      <c r="RC38" s="2">
        <f>IF(RC24="SÁB",[1]TESTE_LOG_OBRA!$D$11,IF(RC24="Dom",[1]TESTE_LOG_OBRA!$D$11,0))</f>
        <v>0</v>
      </c>
      <c r="RD38" s="2">
        <f>IF(RD24="SÁB",[1]TESTE_LOG_OBRA!$D$11,IF(RD24="Dom",[1]TESTE_LOG_OBRA!$D$11,0))</f>
        <v>0</v>
      </c>
      <c r="RE38" s="2">
        <f>IF(RE24="SÁB",[1]TESTE_LOG_OBRA!$D$11,IF(RE24="Dom",[1]TESTE_LOG_OBRA!$D$11,0))</f>
        <v>0</v>
      </c>
      <c r="RF38" s="2">
        <f>IF(RF24="SÁB",[1]TESTE_LOG_OBRA!$D$11,IF(RF24="Dom",[1]TESTE_LOG_OBRA!$D$11,0))</f>
        <v>0</v>
      </c>
      <c r="RG38" s="2">
        <f>IF(RG24="SÁB",[1]TESTE_LOG_OBRA!$D$11,IF(RG24="Dom",[1]TESTE_LOG_OBRA!$D$11,0))</f>
        <v>0</v>
      </c>
      <c r="RH38" s="2">
        <f>IF(RH24="SÁB",[1]TESTE_LOG_OBRA!$D$11,IF(RH24="Dom",[1]TESTE_LOG_OBRA!$D$11,0))</f>
        <v>0</v>
      </c>
      <c r="RI38" s="2">
        <f>IF(RI24="SÁB",[1]TESTE_LOG_OBRA!$D$11,IF(RI24="Dom",[1]TESTE_LOG_OBRA!$D$11,0))</f>
        <v>0</v>
      </c>
      <c r="RJ38" s="2">
        <f>IF(RJ24="SÁB",[1]TESTE_LOG_OBRA!$D$11,IF(RJ24="Dom",[1]TESTE_LOG_OBRA!$D$11,0))</f>
        <v>0</v>
      </c>
      <c r="RK38" s="2">
        <f>IF(RK24="SÁB",[1]TESTE_LOG_OBRA!$D$11,IF(RK24="Dom",[1]TESTE_LOG_OBRA!$D$11,0))</f>
        <v>0</v>
      </c>
      <c r="RL38" s="2">
        <f>IF(RL24="SÁB",[1]TESTE_LOG_OBRA!$D$11,IF(RL24="Dom",[1]TESTE_LOG_OBRA!$D$11,0))</f>
        <v>0</v>
      </c>
      <c r="RM38" s="2">
        <f>IF(RM24="SÁB",[1]TESTE_LOG_OBRA!$D$11,IF(RM24="Dom",[1]TESTE_LOG_OBRA!$D$11,0))</f>
        <v>0</v>
      </c>
      <c r="RN38" s="2">
        <f>IF(RN24="SÁB",[1]TESTE_LOG_OBRA!$D$11,IF(RN24="Dom",[1]TESTE_LOG_OBRA!$D$11,0))</f>
        <v>0</v>
      </c>
      <c r="RO38" s="2">
        <f>IF(RO24="SÁB",[1]TESTE_LOG_OBRA!$D$11,IF(RO24="Dom",[1]TESTE_LOG_OBRA!$D$11,0))</f>
        <v>0</v>
      </c>
      <c r="RP38" s="2">
        <f>IF(RP24="SÁB",[1]TESTE_LOG_OBRA!$D$11,IF(RP24="Dom",[1]TESTE_LOG_OBRA!$D$11,0))</f>
        <v>0</v>
      </c>
      <c r="RQ38" s="2">
        <f>IF(RQ24="SÁB",[1]TESTE_LOG_OBRA!$D$11,IF(RQ24="Dom",[1]TESTE_LOG_OBRA!$D$11,0))</f>
        <v>0</v>
      </c>
      <c r="RR38" s="2">
        <f>IF(RR24="SÁB",[1]TESTE_LOG_OBRA!$D$11,IF(RR24="Dom",[1]TESTE_LOG_OBRA!$D$11,0))</f>
        <v>0</v>
      </c>
      <c r="RS38" s="2">
        <f>IF(RS24="SÁB",[1]TESTE_LOG_OBRA!$D$11,IF(RS24="Dom",[1]TESTE_LOG_OBRA!$D$11,0))</f>
        <v>0</v>
      </c>
      <c r="RT38" s="2">
        <f>IF(RT24="SÁB",[1]TESTE_LOG_OBRA!$D$11,IF(RT24="Dom",[1]TESTE_LOG_OBRA!$D$11,0))</f>
        <v>0</v>
      </c>
      <c r="RU38" s="2">
        <f>IF(RU24="SÁB",[1]TESTE_LOG_OBRA!$D$11,IF(RU24="Dom",[1]TESTE_LOG_OBRA!$D$11,0))</f>
        <v>0</v>
      </c>
      <c r="RV38" s="2">
        <f>IF(RV24="SÁB",[1]TESTE_LOG_OBRA!$D$11,IF(RV24="Dom",[1]TESTE_LOG_OBRA!$D$11,0))</f>
        <v>0</v>
      </c>
      <c r="RW38" s="2">
        <f>IF(RW24="SÁB",[1]TESTE_LOG_OBRA!$D$11,IF(RW24="Dom",[1]TESTE_LOG_OBRA!$D$11,0))</f>
        <v>0</v>
      </c>
      <c r="RX38" s="2">
        <f>IF(RX24="SÁB",[1]TESTE_LOG_OBRA!$D$11,IF(RX24="Dom",[1]TESTE_LOG_OBRA!$D$11,0))</f>
        <v>0</v>
      </c>
      <c r="RY38" s="2">
        <f>IF(RY24="SÁB",[1]TESTE_LOG_OBRA!$D$11,IF(RY24="Dom",[1]TESTE_LOG_OBRA!$D$11,0))</f>
        <v>0</v>
      </c>
      <c r="RZ38" s="2">
        <f>IF(RZ24="SÁB",[1]TESTE_LOG_OBRA!$D$11,IF(RZ24="Dom",[1]TESTE_LOG_OBRA!$D$11,0))</f>
        <v>0</v>
      </c>
      <c r="SA38" s="2">
        <f>IF(SA24="SÁB",[1]TESTE_LOG_OBRA!$D$11,IF(SA24="Dom",[1]TESTE_LOG_OBRA!$D$11,0))</f>
        <v>0</v>
      </c>
      <c r="SB38" s="2">
        <f>IF(SB24="SÁB",[1]TESTE_LOG_OBRA!$D$11,IF(SB24="Dom",[1]TESTE_LOG_OBRA!$D$11,0))</f>
        <v>0</v>
      </c>
      <c r="SC38" s="2">
        <f>IF(SC24="SÁB",[1]TESTE_LOG_OBRA!$D$11,IF(SC24="Dom",[1]TESTE_LOG_OBRA!$D$11,0))</f>
        <v>0</v>
      </c>
      <c r="SD38" s="2">
        <f>IF(SD24="SÁB",[1]TESTE_LOG_OBRA!$D$11,IF(SD24="Dom",[1]TESTE_LOG_OBRA!$D$11,0))</f>
        <v>0</v>
      </c>
      <c r="SE38" s="2">
        <f>IF(SE24="SÁB",[1]TESTE_LOG_OBRA!$D$11,IF(SE24="Dom",[1]TESTE_LOG_OBRA!$D$11,0))</f>
        <v>0</v>
      </c>
      <c r="SF38" s="2">
        <f>IF(SF24="SÁB",[1]TESTE_LOG_OBRA!$D$11,IF(SF24="Dom",[1]TESTE_LOG_OBRA!$D$11,0))</f>
        <v>0</v>
      </c>
      <c r="SG38" s="2">
        <f>IF(SG24="SÁB",[1]TESTE_LOG_OBRA!$D$11,IF(SG24="Dom",[1]TESTE_LOG_OBRA!$D$11,0))</f>
        <v>0</v>
      </c>
      <c r="SH38" s="2">
        <f>IF(SH24="SÁB",[1]TESTE_LOG_OBRA!$D$11,IF(SH24="Dom",[1]TESTE_LOG_OBRA!$D$11,0))</f>
        <v>0</v>
      </c>
      <c r="SI38" s="2">
        <f>IF(SI24="SÁB",[1]TESTE_LOG_OBRA!$D$11,IF(SI24="Dom",[1]TESTE_LOG_OBRA!$D$11,0))</f>
        <v>0</v>
      </c>
      <c r="SJ38" s="2">
        <f>IF(SJ24="SÁB",[1]TESTE_LOG_OBRA!$D$11,IF(SJ24="Dom",[1]TESTE_LOG_OBRA!$D$11,0))</f>
        <v>0</v>
      </c>
      <c r="SK38" s="2">
        <f>IF(SK24="SÁB",[1]TESTE_LOG_OBRA!$D$11,IF(SK24="Dom",[1]TESTE_LOG_OBRA!$D$11,0))</f>
        <v>0</v>
      </c>
      <c r="SL38" s="2">
        <f>IF(SL24="SÁB",[1]TESTE_LOG_OBRA!$D$11,IF(SL24="Dom",[1]TESTE_LOG_OBRA!$D$11,0))</f>
        <v>0</v>
      </c>
      <c r="SM38" s="2">
        <f>IF(SM24="SÁB",[1]TESTE_LOG_OBRA!$D$11,IF(SM24="Dom",[1]TESTE_LOG_OBRA!$D$11,0))</f>
        <v>0</v>
      </c>
      <c r="SN38" s="2">
        <f>IF(SN24="SÁB",[1]TESTE_LOG_OBRA!$D$11,IF(SN24="Dom",[1]TESTE_LOG_OBRA!$D$11,0))</f>
        <v>0</v>
      </c>
      <c r="SO38" s="2">
        <f>IF(SO24="SÁB",[1]TESTE_LOG_OBRA!$D$11,IF(SO24="Dom",[1]TESTE_LOG_OBRA!$D$11,0))</f>
        <v>0</v>
      </c>
      <c r="SP38" s="2">
        <f>IF(SP24="SÁB",[1]TESTE_LOG_OBRA!$D$11,IF(SP24="Dom",[1]TESTE_LOG_OBRA!$D$11,0))</f>
        <v>0</v>
      </c>
      <c r="SQ38" s="2">
        <f>IF(SQ24="SÁB",[1]TESTE_LOG_OBRA!$D$11,IF(SQ24="Dom",[1]TESTE_LOG_OBRA!$D$11,0))</f>
        <v>0</v>
      </c>
      <c r="SR38" s="2">
        <f>IF(SR24="SÁB",[1]TESTE_LOG_OBRA!$D$11,IF(SR24="Dom",[1]TESTE_LOG_OBRA!$D$11,0))</f>
        <v>0</v>
      </c>
      <c r="SS38" s="2">
        <f>IF(SS24="SÁB",[1]TESTE_LOG_OBRA!$D$11,IF(SS24="Dom",[1]TESTE_LOG_OBRA!$D$11,0))</f>
        <v>0</v>
      </c>
      <c r="ST38" s="2">
        <f>IF(ST24="SÁB",[1]TESTE_LOG_OBRA!$D$11,IF(ST24="Dom",[1]TESTE_LOG_OBRA!$D$11,0))</f>
        <v>0</v>
      </c>
      <c r="SU38" s="2">
        <f>IF(SU24="SÁB",[1]TESTE_LOG_OBRA!$D$11,IF(SU24="Dom",[1]TESTE_LOG_OBRA!$D$11,0))</f>
        <v>0</v>
      </c>
      <c r="SV38" s="2">
        <f>IF(SV24="SÁB",[1]TESTE_LOG_OBRA!$D$11,IF(SV24="Dom",[1]TESTE_LOG_OBRA!$D$11,0))</f>
        <v>0</v>
      </c>
      <c r="SW38" s="2">
        <f>IF(SW24="SÁB",[1]TESTE_LOG_OBRA!$D$11,IF(SW24="Dom",[1]TESTE_LOG_OBRA!$D$11,0))</f>
        <v>0</v>
      </c>
      <c r="SX38" s="2">
        <f>IF(SX24="SÁB",[1]TESTE_LOG_OBRA!$D$11,IF(SX24="Dom",[1]TESTE_LOG_OBRA!$D$11,0))</f>
        <v>0</v>
      </c>
      <c r="SY38" s="2">
        <f>IF(SY24="SÁB",[1]TESTE_LOG_OBRA!$D$11,IF(SY24="Dom",[1]TESTE_LOG_OBRA!$D$11,0))</f>
        <v>0</v>
      </c>
      <c r="SZ38" s="2">
        <f>IF(SZ24="SÁB",[1]TESTE_LOG_OBRA!$D$11,IF(SZ24="Dom",[1]TESTE_LOG_OBRA!$D$11,0))</f>
        <v>0</v>
      </c>
      <c r="TA38" s="2">
        <f>IF(TA24="SÁB",[1]TESTE_LOG_OBRA!$D$11,IF(TA24="Dom",[1]TESTE_LOG_OBRA!$D$11,0))</f>
        <v>0</v>
      </c>
      <c r="TB38" s="2">
        <f>IF(TB24="SÁB",[1]TESTE_LOG_OBRA!$D$11,IF(TB24="Dom",[1]TESTE_LOG_OBRA!$D$11,0))</f>
        <v>0</v>
      </c>
      <c r="TC38" s="2">
        <f>IF(TC24="SÁB",[1]TESTE_LOG_OBRA!$D$11,IF(TC24="Dom",[1]TESTE_LOG_OBRA!$D$11,0))</f>
        <v>0</v>
      </c>
      <c r="TD38" s="2">
        <f>IF(TD24="SÁB",[1]TESTE_LOG_OBRA!$D$11,IF(TD24="Dom",[1]TESTE_LOG_OBRA!$D$11,0))</f>
        <v>0</v>
      </c>
      <c r="TE38" s="2">
        <f>IF(TE24="SÁB",[1]TESTE_LOG_OBRA!$D$11,IF(TE24="Dom",[1]TESTE_LOG_OBRA!$D$11,0))</f>
        <v>0</v>
      </c>
      <c r="TF38" s="2">
        <f>IF(TF24="SÁB",[1]TESTE_LOG_OBRA!$D$11,IF(TF24="Dom",[1]TESTE_LOG_OBRA!$D$11,0))</f>
        <v>0</v>
      </c>
      <c r="TG38" s="2">
        <f>IF(TG24="SÁB",[1]TESTE_LOG_OBRA!$D$11,IF(TG24="Dom",[1]TESTE_LOG_OBRA!$D$11,0))</f>
        <v>0</v>
      </c>
      <c r="TH38" s="2">
        <f>IF(TH24="SÁB",[1]TESTE_LOG_OBRA!$D$11,IF(TH24="Dom",[1]TESTE_LOG_OBRA!$D$11,0))</f>
        <v>0</v>
      </c>
      <c r="TI38" s="2">
        <f>IF(TI24="SÁB",[1]TESTE_LOG_OBRA!$D$11,IF(TI24="Dom",[1]TESTE_LOG_OBRA!$D$11,0))</f>
        <v>0</v>
      </c>
      <c r="TJ38" s="2">
        <f>IF(TJ24="SÁB",[1]TESTE_LOG_OBRA!$D$11,IF(TJ24="Dom",[1]TESTE_LOG_OBRA!$D$11,0))</f>
        <v>0</v>
      </c>
      <c r="TK38" s="2">
        <f>IF(TK24="SÁB",[1]TESTE_LOG_OBRA!$D$11,IF(TK24="Dom",[1]TESTE_LOG_OBRA!$D$11,0))</f>
        <v>0</v>
      </c>
      <c r="TL38" s="2">
        <f>IF(TL24="SÁB",[1]TESTE_LOG_OBRA!$D$11,IF(TL24="Dom",[1]TESTE_LOG_OBRA!$D$11,0))</f>
        <v>0</v>
      </c>
      <c r="TM38" s="2">
        <f>IF(TM24="SÁB",[1]TESTE_LOG_OBRA!$D$11,IF(TM24="Dom",[1]TESTE_LOG_OBRA!$D$11,0))</f>
        <v>0</v>
      </c>
      <c r="TN38" s="2">
        <f>IF(TN24="SÁB",[1]TESTE_LOG_OBRA!$D$11,IF(TN24="Dom",[1]TESTE_LOG_OBRA!$D$11,0))</f>
        <v>0</v>
      </c>
      <c r="TO38" s="2">
        <f>IF(TO24="SÁB",[1]TESTE_LOG_OBRA!$D$11,IF(TO24="Dom",[1]TESTE_LOG_OBRA!$D$11,0))</f>
        <v>0</v>
      </c>
      <c r="TP38" s="2">
        <f>IF(TP24="SÁB",[1]TESTE_LOG_OBRA!$D$11,IF(TP24="Dom",[1]TESTE_LOG_OBRA!$D$11,0))</f>
        <v>0</v>
      </c>
      <c r="TQ38" s="2">
        <f>IF(TQ24="SÁB",[1]TESTE_LOG_OBRA!$D$11,IF(TQ24="Dom",[1]TESTE_LOG_OBRA!$D$11,0))</f>
        <v>0</v>
      </c>
      <c r="TR38" s="2">
        <f>IF(TR24="SÁB",[1]TESTE_LOG_OBRA!$D$11,IF(TR24="Dom",[1]TESTE_LOG_OBRA!$D$11,0))</f>
        <v>0</v>
      </c>
      <c r="TS38" s="2">
        <f>IF(TS24="SÁB",[1]TESTE_LOG_OBRA!$D$11,IF(TS24="Dom",[1]TESTE_LOG_OBRA!$D$11,0))</f>
        <v>0</v>
      </c>
      <c r="TT38" s="2">
        <f>IF(TT24="SÁB",[1]TESTE_LOG_OBRA!$D$11,IF(TT24="Dom",[1]TESTE_LOG_OBRA!$D$11,0))</f>
        <v>0</v>
      </c>
      <c r="TU38" s="2">
        <f>IF(TU24="SÁB",[1]TESTE_LOG_OBRA!$D$11,IF(TU24="Dom",[1]TESTE_LOG_OBRA!$D$11,0))</f>
        <v>0</v>
      </c>
      <c r="TV38" s="2">
        <f>IF(TV24="SÁB",[1]TESTE_LOG_OBRA!$D$11,IF(TV24="Dom",[1]TESTE_LOG_OBRA!$D$11,0))</f>
        <v>0</v>
      </c>
      <c r="TW38" s="2">
        <f>IF(TW24="SÁB",[1]TESTE_LOG_OBRA!$D$11,IF(TW24="Dom",[1]TESTE_LOG_OBRA!$D$11,0))</f>
        <v>0</v>
      </c>
      <c r="TX38" s="2">
        <f>IF(TX24="SÁB",[1]TESTE_LOG_OBRA!$D$11,IF(TX24="Dom",[1]TESTE_LOG_OBRA!$D$11,0))</f>
        <v>0</v>
      </c>
      <c r="TY38" s="2">
        <f>IF(TY24="SÁB",[1]TESTE_LOG_OBRA!$D$11,IF(TY24="Dom",[1]TESTE_LOG_OBRA!$D$11,0))</f>
        <v>0</v>
      </c>
      <c r="TZ38" s="2">
        <f>IF(TZ24="SÁB",[1]TESTE_LOG_OBRA!$D$11,IF(TZ24="Dom",[1]TESTE_LOG_OBRA!$D$11,0))</f>
        <v>0</v>
      </c>
      <c r="UA38" s="2">
        <f>IF(UA24="SÁB",[1]TESTE_LOG_OBRA!$D$11,IF(UA24="Dom",[1]TESTE_LOG_OBRA!$D$11,0))</f>
        <v>0</v>
      </c>
      <c r="UB38" s="2">
        <f>IF(UB24="SÁB",[1]TESTE_LOG_OBRA!$D$11,IF(UB24="Dom",[1]TESTE_LOG_OBRA!$D$11,0))</f>
        <v>0</v>
      </c>
      <c r="UC38" s="2">
        <f>IF(UC24="SÁB",[1]TESTE_LOG_OBRA!$D$11,IF(UC24="Dom",[1]TESTE_LOG_OBRA!$D$11,0))</f>
        <v>0</v>
      </c>
      <c r="UD38" s="2">
        <f>IF(UD24="SÁB",[1]TESTE_LOG_OBRA!$D$11,IF(UD24="Dom",[1]TESTE_LOG_OBRA!$D$11,0))</f>
        <v>0</v>
      </c>
      <c r="UE38" s="2">
        <f>IF(UE24="SÁB",[1]TESTE_LOG_OBRA!$D$11,IF(UE24="Dom",[1]TESTE_LOG_OBRA!$D$11,0))</f>
        <v>0</v>
      </c>
      <c r="UF38" s="2">
        <f>IF(UF24="SÁB",[1]TESTE_LOG_OBRA!$D$11,IF(UF24="Dom",[1]TESTE_LOG_OBRA!$D$11,0))</f>
        <v>0</v>
      </c>
      <c r="UG38" s="2">
        <f>IF(UG24="SÁB",[1]TESTE_LOG_OBRA!$D$11,IF(UG24="Dom",[1]TESTE_LOG_OBRA!$D$11,0))</f>
        <v>0</v>
      </c>
      <c r="UH38" s="2">
        <f>IF(UH24="SÁB",[1]TESTE_LOG_OBRA!$D$11,IF(UH24="Dom",[1]TESTE_LOG_OBRA!$D$11,0))</f>
        <v>0</v>
      </c>
      <c r="UI38" s="2">
        <f>IF(UI24="SÁB",[1]TESTE_LOG_OBRA!$D$11,IF(UI24="Dom",[1]TESTE_LOG_OBRA!$D$11,0))</f>
        <v>0</v>
      </c>
      <c r="UJ38" s="2">
        <f>IF(UJ24="SÁB",[1]TESTE_LOG_OBRA!$D$11,IF(UJ24="Dom",[1]TESTE_LOG_OBRA!$D$11,0))</f>
        <v>0</v>
      </c>
      <c r="UK38" s="2">
        <f>IF(UK24="SÁB",[1]TESTE_LOG_OBRA!$D$11,IF(UK24="Dom",[1]TESTE_LOG_OBRA!$D$11,0))</f>
        <v>0</v>
      </c>
      <c r="UL38" s="2">
        <f>IF(UL24="SÁB",[1]TESTE_LOG_OBRA!$D$11,IF(UL24="Dom",[1]TESTE_LOG_OBRA!$D$11,0))</f>
        <v>0</v>
      </c>
      <c r="UM38" s="2">
        <f>IF(UM24="SÁB",[1]TESTE_LOG_OBRA!$D$11,IF(UM24="Dom",[1]TESTE_LOG_OBRA!$D$11,0))</f>
        <v>0</v>
      </c>
      <c r="UN38" s="2">
        <f>IF(UN24="SÁB",[1]TESTE_LOG_OBRA!$D$11,IF(UN24="Dom",[1]TESTE_LOG_OBRA!$D$11,0))</f>
        <v>0</v>
      </c>
      <c r="UO38" s="2">
        <f>IF(UO24="SÁB",[1]TESTE_LOG_OBRA!$D$11,IF(UO24="Dom",[1]TESTE_LOG_OBRA!$D$11,0))</f>
        <v>0</v>
      </c>
      <c r="UP38" s="2">
        <f>IF(UP24="SÁB",[1]TESTE_LOG_OBRA!$D$11,IF(UP24="Dom",[1]TESTE_LOG_OBRA!$D$11,0))</f>
        <v>0</v>
      </c>
      <c r="UQ38" s="2">
        <f>IF(UQ24="SÁB",[1]TESTE_LOG_OBRA!$D$11,IF(UQ24="Dom",[1]TESTE_LOG_OBRA!$D$11,0))</f>
        <v>0</v>
      </c>
      <c r="UR38" s="2">
        <f>IF(UR24="SÁB",[1]TESTE_LOG_OBRA!$D$11,IF(UR24="Dom",[1]TESTE_LOG_OBRA!$D$11,0))</f>
        <v>0</v>
      </c>
      <c r="US38" s="2">
        <f>IF(US24="SÁB",[1]TESTE_LOG_OBRA!$D$11,IF(US24="Dom",[1]TESTE_LOG_OBRA!$D$11,0))</f>
        <v>0</v>
      </c>
      <c r="UT38" s="2">
        <f>IF(UT24="SÁB",[1]TESTE_LOG_OBRA!$D$11,IF(UT24="Dom",[1]TESTE_LOG_OBRA!$D$11,0))</f>
        <v>0</v>
      </c>
      <c r="UU38" s="2">
        <f>IF(UU24="SÁB",[1]TESTE_LOG_OBRA!$D$11,IF(UU24="Dom",[1]TESTE_LOG_OBRA!$D$11,0))</f>
        <v>0</v>
      </c>
      <c r="UV38" s="2">
        <f>IF(UV24="SÁB",[1]TESTE_LOG_OBRA!$D$11,IF(UV24="Dom",[1]TESTE_LOG_OBRA!$D$11,0))</f>
        <v>0</v>
      </c>
      <c r="UW38" s="2">
        <f>IF(UW24="SÁB",[1]TESTE_LOG_OBRA!$D$11,IF(UW24="Dom",[1]TESTE_LOG_OBRA!$D$11,0))</f>
        <v>0</v>
      </c>
      <c r="UX38" s="2">
        <f>IF(UX24="SÁB",[1]TESTE_LOG_OBRA!$D$11,IF(UX24="Dom",[1]TESTE_LOG_OBRA!$D$11,0))</f>
        <v>0</v>
      </c>
      <c r="UY38" s="2">
        <f>IF(UY24="SÁB",[1]TESTE_LOG_OBRA!$D$11,IF(UY24="Dom",[1]TESTE_LOG_OBRA!$D$11,0))</f>
        <v>0</v>
      </c>
      <c r="UZ38" s="2">
        <f>IF(UZ24="SÁB",[1]TESTE_LOG_OBRA!$D$11,IF(UZ24="Dom",[1]TESTE_LOG_OBRA!$D$11,0))</f>
        <v>0</v>
      </c>
      <c r="VA38" s="2">
        <f>IF(VA24="SÁB",[1]TESTE_LOG_OBRA!$D$11,IF(VA24="Dom",[1]TESTE_LOG_OBRA!$D$11,0))</f>
        <v>0</v>
      </c>
      <c r="VB38" s="2">
        <f>IF(VB24="SÁB",[1]TESTE_LOG_OBRA!$D$11,IF(VB24="Dom",[1]TESTE_LOG_OBRA!$D$11,0))</f>
        <v>0</v>
      </c>
      <c r="VC38" s="2">
        <f>IF(VC24="SÁB",[1]TESTE_LOG_OBRA!$D$11,IF(VC24="Dom",[1]TESTE_LOG_OBRA!$D$11,0))</f>
        <v>0</v>
      </c>
      <c r="VD38" s="2">
        <f>IF(VD24="SÁB",[1]TESTE_LOG_OBRA!$D$11,IF(VD24="Dom",[1]TESTE_LOG_OBRA!$D$11,0))</f>
        <v>0</v>
      </c>
      <c r="VE38" s="2">
        <f>IF(VE24="SÁB",[1]TESTE_LOG_OBRA!$D$11,IF(VE24="Dom",[1]TESTE_LOG_OBRA!$D$11,0))</f>
        <v>0</v>
      </c>
      <c r="VF38" s="2">
        <f>IF(VF24="SÁB",[1]TESTE_LOG_OBRA!$D$11,IF(VF24="Dom",[1]TESTE_LOG_OBRA!$D$11,0))</f>
        <v>0</v>
      </c>
      <c r="VG38" s="2">
        <f>IF(VG24="SÁB",[1]TESTE_LOG_OBRA!$D$11,IF(VG24="Dom",[1]TESTE_LOG_OBRA!$D$11,0))</f>
        <v>0</v>
      </c>
      <c r="VH38" s="2">
        <f>IF(VH24="SÁB",[1]TESTE_LOG_OBRA!$D$11,IF(VH24="Dom",[1]TESTE_LOG_OBRA!$D$11,0))</f>
        <v>0</v>
      </c>
      <c r="VI38" s="2">
        <f>IF(VI24="SÁB",[1]TESTE_LOG_OBRA!$D$11,IF(VI24="Dom",[1]TESTE_LOG_OBRA!$D$11,0))</f>
        <v>0</v>
      </c>
      <c r="VJ38" s="2">
        <f>IF(VJ24="SÁB",[1]TESTE_LOG_OBRA!$D$11,IF(VJ24="Dom",[1]TESTE_LOG_OBRA!$D$11,0))</f>
        <v>0</v>
      </c>
      <c r="VK38" s="2">
        <f>IF(VK24="SÁB",[1]TESTE_LOG_OBRA!$D$11,IF(VK24="Dom",[1]TESTE_LOG_OBRA!$D$11,0))</f>
        <v>0</v>
      </c>
      <c r="VL38" s="2">
        <f>IF(VL24="SÁB",[1]TESTE_LOG_OBRA!$D$11,IF(VL24="Dom",[1]TESTE_LOG_OBRA!$D$11,0))</f>
        <v>0</v>
      </c>
      <c r="VM38" s="2">
        <f>IF(VM24="SÁB",[1]TESTE_LOG_OBRA!$D$11,IF(VM24="Dom",[1]TESTE_LOG_OBRA!$D$11,0))</f>
        <v>0</v>
      </c>
      <c r="VN38" s="2">
        <f>IF(VN24="SÁB",[1]TESTE_LOG_OBRA!$D$11,IF(VN24="Dom",[1]TESTE_LOG_OBRA!$D$11,0))</f>
        <v>0</v>
      </c>
      <c r="VO38" s="2">
        <f>IF(VO24="SÁB",[1]TESTE_LOG_OBRA!$D$11,IF(VO24="Dom",[1]TESTE_LOG_OBRA!$D$11,0))</f>
        <v>0</v>
      </c>
      <c r="VP38" s="2">
        <f>IF(VP24="SÁB",[1]TESTE_LOG_OBRA!$D$11,IF(VP24="Dom",[1]TESTE_LOG_OBRA!$D$11,0))</f>
        <v>0</v>
      </c>
      <c r="VQ38" s="2">
        <f>IF(VQ24="SÁB",[1]TESTE_LOG_OBRA!$D$11,IF(VQ24="Dom",[1]TESTE_LOG_OBRA!$D$11,0))</f>
        <v>0</v>
      </c>
      <c r="VR38" s="2">
        <f>IF(VR24="SÁB",[1]TESTE_LOG_OBRA!$D$11,IF(VR24="Dom",[1]TESTE_LOG_OBRA!$D$11,0))</f>
        <v>0</v>
      </c>
      <c r="VS38" s="2">
        <f>IF(VS24="SÁB",[1]TESTE_LOG_OBRA!$D$11,IF(VS24="Dom",[1]TESTE_LOG_OBRA!$D$11,0))</f>
        <v>0</v>
      </c>
      <c r="VT38" s="2">
        <f>IF(VT24="SÁB",[1]TESTE_LOG_OBRA!$D$11,IF(VT24="Dom",[1]TESTE_LOG_OBRA!$D$11,0))</f>
        <v>0</v>
      </c>
      <c r="VU38" s="2">
        <f>IF(VU24="SÁB",[1]TESTE_LOG_OBRA!$D$11,IF(VU24="Dom",[1]TESTE_LOG_OBRA!$D$11,0))</f>
        <v>0</v>
      </c>
      <c r="VV38" s="2">
        <f>IF(VV24="SÁB",[1]TESTE_LOG_OBRA!$D$11,IF(VV24="Dom",[1]TESTE_LOG_OBRA!$D$11,0))</f>
        <v>0</v>
      </c>
      <c r="VW38" s="2">
        <f>IF(VW24="SÁB",[1]TESTE_LOG_OBRA!$D$11,IF(VW24="Dom",[1]TESTE_LOG_OBRA!$D$11,0))</f>
        <v>0</v>
      </c>
      <c r="VX38" s="2">
        <f>IF(VX24="SÁB",[1]TESTE_LOG_OBRA!$D$11,IF(VX24="Dom",[1]TESTE_LOG_OBRA!$D$11,0))</f>
        <v>0</v>
      </c>
      <c r="VY38" s="2">
        <f>IF(VY24="SÁB",[1]TESTE_LOG_OBRA!$D$11,IF(VY24="Dom",[1]TESTE_LOG_OBRA!$D$11,0))</f>
        <v>0</v>
      </c>
      <c r="VZ38" s="2">
        <f>IF(VZ24="SÁB",[1]TESTE_LOG_OBRA!$D$11,IF(VZ24="Dom",[1]TESTE_LOG_OBRA!$D$11,0))</f>
        <v>0</v>
      </c>
      <c r="WA38" s="2">
        <f>IF(WA24="SÁB",[1]TESTE_LOG_OBRA!$D$11,IF(WA24="Dom",[1]TESTE_LOG_OBRA!$D$11,0))</f>
        <v>0</v>
      </c>
      <c r="WB38" s="2">
        <f>IF(WB24="SÁB",[1]TESTE_LOG_OBRA!$D$11,IF(WB24="Dom",[1]TESTE_LOG_OBRA!$D$11,0))</f>
        <v>0</v>
      </c>
      <c r="WC38" s="2">
        <f>IF(WC24="SÁB",[1]TESTE_LOG_OBRA!$D$11,IF(WC24="Dom",[1]TESTE_LOG_OBRA!$D$11,0))</f>
        <v>0</v>
      </c>
      <c r="WD38" s="2">
        <f>IF(WD24="SÁB",[1]TESTE_LOG_OBRA!$D$11,IF(WD24="Dom",[1]TESTE_LOG_OBRA!$D$11,0))</f>
        <v>0</v>
      </c>
      <c r="WE38" s="2">
        <f>IF(WE24="SÁB",[1]TESTE_LOG_OBRA!$D$11,IF(WE24="Dom",[1]TESTE_LOG_OBRA!$D$11,0))</f>
        <v>0</v>
      </c>
      <c r="WF38" s="2">
        <f>IF(WF24="SÁB",[1]TESTE_LOG_OBRA!$D$11,IF(WF24="Dom",[1]TESTE_LOG_OBRA!$D$11,0))</f>
        <v>0</v>
      </c>
      <c r="WG38" s="2">
        <f>IF(WG24="SÁB",[1]TESTE_LOG_OBRA!$D$11,IF(WG24="Dom",[1]TESTE_LOG_OBRA!$D$11,0))</f>
        <v>0</v>
      </c>
      <c r="WH38" s="2">
        <f>IF(WH24="SÁB",[1]TESTE_LOG_OBRA!$D$11,IF(WH24="Dom",[1]TESTE_LOG_OBRA!$D$11,0))</f>
        <v>0</v>
      </c>
      <c r="WI38" s="2">
        <f>IF(WI24="SÁB",[1]TESTE_LOG_OBRA!$D$11,IF(WI24="Dom",[1]TESTE_LOG_OBRA!$D$11,0))</f>
        <v>0</v>
      </c>
      <c r="WJ38" s="2">
        <f>IF(WJ24="SÁB",[1]TESTE_LOG_OBRA!$D$11,IF(WJ24="Dom",[1]TESTE_LOG_OBRA!$D$11,0))</f>
        <v>0</v>
      </c>
      <c r="WK38" s="2">
        <f>IF(WK24="SÁB",[1]TESTE_LOG_OBRA!$D$11,IF(WK24="Dom",[1]TESTE_LOG_OBRA!$D$11,0))</f>
        <v>0</v>
      </c>
      <c r="WL38" s="2">
        <f>IF(WL24="SÁB",[1]TESTE_LOG_OBRA!$D$11,IF(WL24="Dom",[1]TESTE_LOG_OBRA!$D$11,0))</f>
        <v>0</v>
      </c>
      <c r="WM38" s="2">
        <f>IF(WM24="SÁB",[1]TESTE_LOG_OBRA!$D$11,IF(WM24="Dom",[1]TESTE_LOG_OBRA!$D$11,0))</f>
        <v>0</v>
      </c>
      <c r="WN38" s="2">
        <f>IF(WN24="SÁB",[1]TESTE_LOG_OBRA!$D$11,IF(WN24="Dom",[1]TESTE_LOG_OBRA!$D$11,0))</f>
        <v>0</v>
      </c>
      <c r="WO38" s="2">
        <f>IF(WO24="SÁB",[1]TESTE_LOG_OBRA!$D$11,IF(WO24="Dom",[1]TESTE_LOG_OBRA!$D$11,0))</f>
        <v>0</v>
      </c>
      <c r="WP38" s="2">
        <f>IF(WP24="SÁB",[1]TESTE_LOG_OBRA!$D$11,IF(WP24="Dom",[1]TESTE_LOG_OBRA!$D$11,0))</f>
        <v>0</v>
      </c>
      <c r="WQ38" s="2">
        <f>IF(WQ24="SÁB",[1]TESTE_LOG_OBRA!$D$11,IF(WQ24="Dom",[1]TESTE_LOG_OBRA!$D$11,0))</f>
        <v>0</v>
      </c>
      <c r="WR38" s="2">
        <f>IF(WR24="SÁB",[1]TESTE_LOG_OBRA!$D$11,IF(WR24="Dom",[1]TESTE_LOG_OBRA!$D$11,0))</f>
        <v>0</v>
      </c>
      <c r="WS38" s="2">
        <f>IF(WS24="SÁB",[1]TESTE_LOG_OBRA!$D$11,IF(WS24="Dom",[1]TESTE_LOG_OBRA!$D$11,0))</f>
        <v>0</v>
      </c>
      <c r="WT38" s="2">
        <f>IF(WT24="SÁB",[1]TESTE_LOG_OBRA!$D$11,IF(WT24="Dom",[1]TESTE_LOG_OBRA!$D$11,0))</f>
        <v>0</v>
      </c>
      <c r="WU38" s="2">
        <f>IF(WU24="SÁB",[1]TESTE_LOG_OBRA!$D$11,IF(WU24="Dom",[1]TESTE_LOG_OBRA!$D$11,0))</f>
        <v>0</v>
      </c>
      <c r="WV38" s="2">
        <f>IF(WV24="SÁB",[1]TESTE_LOG_OBRA!$D$11,IF(WV24="Dom",[1]TESTE_LOG_OBRA!$D$11,0))</f>
        <v>0</v>
      </c>
      <c r="WW38" s="2">
        <f>IF(WW24="SÁB",[1]TESTE_LOG_OBRA!$D$11,IF(WW24="Dom",[1]TESTE_LOG_OBRA!$D$11,0))</f>
        <v>0</v>
      </c>
      <c r="WX38" s="2">
        <f>IF(WX24="SÁB",[1]TESTE_LOG_OBRA!$D$11,IF(WX24="Dom",[1]TESTE_LOG_OBRA!$D$11,0))</f>
        <v>0</v>
      </c>
      <c r="WY38" s="2">
        <f>IF(WY24="SÁB",[1]TESTE_LOG_OBRA!$D$11,IF(WY24="Dom",[1]TESTE_LOG_OBRA!$D$11,0))</f>
        <v>0</v>
      </c>
      <c r="WZ38" s="2">
        <f>IF(WZ24="SÁB",[1]TESTE_LOG_OBRA!$D$11,IF(WZ24="Dom",[1]TESTE_LOG_OBRA!$D$11,0))</f>
        <v>0</v>
      </c>
      <c r="XA38" s="2">
        <f>IF(XA24="SÁB",[1]TESTE_LOG_OBRA!$D$11,IF(XA24="Dom",[1]TESTE_LOG_OBRA!$D$11,0))</f>
        <v>0</v>
      </c>
      <c r="XB38" s="2">
        <f>IF(XB24="SÁB",[1]TESTE_LOG_OBRA!$D$11,IF(XB24="Dom",[1]TESTE_LOG_OBRA!$D$11,0))</f>
        <v>0</v>
      </c>
      <c r="XC38" s="2">
        <f>IF(XC24="SÁB",[1]TESTE_LOG_OBRA!$D$11,IF(XC24="Dom",[1]TESTE_LOG_OBRA!$D$11,0))</f>
        <v>0</v>
      </c>
      <c r="XD38" s="2">
        <f>IF(XD24="SÁB",[1]TESTE_LOG_OBRA!$D$11,IF(XD24="Dom",[1]TESTE_LOG_OBRA!$D$11,0))</f>
        <v>0</v>
      </c>
      <c r="XE38" s="2">
        <f>IF(XE24="SÁB",[1]TESTE_LOG_OBRA!$D$11,IF(XE24="Dom",[1]TESTE_LOG_OBRA!$D$11,0))</f>
        <v>0</v>
      </c>
      <c r="XF38" s="2">
        <f>IF(XF24="SÁB",[1]TESTE_LOG_OBRA!$D$11,IF(XF24="Dom",[1]TESTE_LOG_OBRA!$D$11,0))</f>
        <v>0</v>
      </c>
      <c r="XG38" s="2">
        <f>IF(XG24="SÁB",[1]TESTE_LOG_OBRA!$D$11,IF(XG24="Dom",[1]TESTE_LOG_OBRA!$D$11,0))</f>
        <v>0</v>
      </c>
      <c r="XH38" s="2">
        <f>IF(XH24="SÁB",[1]TESTE_LOG_OBRA!$D$11,IF(XH24="Dom",[1]TESTE_LOG_OBRA!$D$11,0))</f>
        <v>0</v>
      </c>
      <c r="XI38" s="2">
        <f>IF(XI24="SÁB",[1]TESTE_LOG_OBRA!$D$11,IF(XI24="Dom",[1]TESTE_LOG_OBRA!$D$11,0))</f>
        <v>0</v>
      </c>
      <c r="XJ38" s="2">
        <f>IF(XJ24="SÁB",[1]TESTE_LOG_OBRA!$D$11,IF(XJ24="Dom",[1]TESTE_LOG_OBRA!$D$11,0))</f>
        <v>0</v>
      </c>
      <c r="XK38" s="2">
        <f>IF(XK24="SÁB",[1]TESTE_LOG_OBRA!$D$11,IF(XK24="Dom",[1]TESTE_LOG_OBRA!$D$11,0))</f>
        <v>0</v>
      </c>
      <c r="XL38" s="2">
        <f>IF(XL24="SÁB",[1]TESTE_LOG_OBRA!$D$11,IF(XL24="Dom",[1]TESTE_LOG_OBRA!$D$11,0))</f>
        <v>0</v>
      </c>
      <c r="XM38" s="2">
        <f>IF(XM24="SÁB",[1]TESTE_LOG_OBRA!$D$11,IF(XM24="Dom",[1]TESTE_LOG_OBRA!$D$11,0))</f>
        <v>0</v>
      </c>
      <c r="XN38" s="2">
        <f>IF(XN24="SÁB",[1]TESTE_LOG_OBRA!$D$11,IF(XN24="Dom",[1]TESTE_LOG_OBRA!$D$11,0))</f>
        <v>0</v>
      </c>
      <c r="XO38" s="2">
        <f>IF(XO24="SÁB",[1]TESTE_LOG_OBRA!$D$11,IF(XO24="Dom",[1]TESTE_LOG_OBRA!$D$11,0))</f>
        <v>0</v>
      </c>
      <c r="XP38" s="2">
        <f>IF(XP24="SÁB",[1]TESTE_LOG_OBRA!$D$11,IF(XP24="Dom",[1]TESTE_LOG_OBRA!$D$11,0))</f>
        <v>0</v>
      </c>
      <c r="XQ38" s="2">
        <f>IF(XQ24="SÁB",[1]TESTE_LOG_OBRA!$D$11,IF(XQ24="Dom",[1]TESTE_LOG_OBRA!$D$11,0))</f>
        <v>0</v>
      </c>
      <c r="XR38" s="2">
        <f>IF(XR24="SÁB",[1]TESTE_LOG_OBRA!$D$11,IF(XR24="Dom",[1]TESTE_LOG_OBRA!$D$11,0))</f>
        <v>0</v>
      </c>
      <c r="XS38" s="2">
        <f>IF(XS24="SÁB",[1]TESTE_LOG_OBRA!$D$11,IF(XS24="Dom",[1]TESTE_LOG_OBRA!$D$11,0))</f>
        <v>0</v>
      </c>
      <c r="XT38" s="2">
        <f>IF(XT24="SÁB",[1]TESTE_LOG_OBRA!$D$11,IF(XT24="Dom",[1]TESTE_LOG_OBRA!$D$11,0))</f>
        <v>0</v>
      </c>
      <c r="XU38" s="2">
        <f>IF(XU24="SÁB",[1]TESTE_LOG_OBRA!$D$11,IF(XU24="Dom",[1]TESTE_LOG_OBRA!$D$11,0))</f>
        <v>0</v>
      </c>
      <c r="XV38" s="2">
        <f>IF(XV24="SÁB",[1]TESTE_LOG_OBRA!$D$11,IF(XV24="Dom",[1]TESTE_LOG_OBRA!$D$11,0))</f>
        <v>0</v>
      </c>
      <c r="XW38" s="2">
        <f>IF(XW24="SÁB",[1]TESTE_LOG_OBRA!$D$11,IF(XW24="Dom",[1]TESTE_LOG_OBRA!$D$11,0))</f>
        <v>0</v>
      </c>
      <c r="XX38" s="2">
        <f>IF(XX24="SÁB",[1]TESTE_LOG_OBRA!$D$11,IF(XX24="Dom",[1]TESTE_LOG_OBRA!$D$11,0))</f>
        <v>0</v>
      </c>
      <c r="XY38" s="2">
        <f>IF(XY24="SÁB",[1]TESTE_LOG_OBRA!$D$11,IF(XY24="Dom",[1]TESTE_LOG_OBRA!$D$11,0))</f>
        <v>0</v>
      </c>
      <c r="XZ38" s="2">
        <f>IF(XZ24="SÁB",[1]TESTE_LOG_OBRA!$D$11,IF(XZ24="Dom",[1]TESTE_LOG_OBRA!$D$11,0))</f>
        <v>0</v>
      </c>
      <c r="YA38" s="2">
        <f>IF(YA24="SÁB",[1]TESTE_LOG_OBRA!$D$11,IF(YA24="Dom",[1]TESTE_LOG_OBRA!$D$11,0))</f>
        <v>0</v>
      </c>
      <c r="YB38" s="2">
        <f>IF(YB24="SÁB",[1]TESTE_LOG_OBRA!$D$11,IF(YB24="Dom",[1]TESTE_LOG_OBRA!$D$11,0))</f>
        <v>0</v>
      </c>
      <c r="YC38" s="2">
        <f>IF(YC24="SÁB",[1]TESTE_LOG_OBRA!$D$11,IF(YC24="Dom",[1]TESTE_LOG_OBRA!$D$11,0))</f>
        <v>0</v>
      </c>
      <c r="YD38" s="2">
        <f>IF(YD24="SÁB",[1]TESTE_LOG_OBRA!$D$11,IF(YD24="Dom",[1]TESTE_LOG_OBRA!$D$11,0))</f>
        <v>0</v>
      </c>
      <c r="YE38" s="2">
        <f>IF(YE24="SÁB",[1]TESTE_LOG_OBRA!$D$11,IF(YE24="Dom",[1]TESTE_LOG_OBRA!$D$11,0))</f>
        <v>0</v>
      </c>
      <c r="YF38" s="2">
        <f>IF(YF24="SÁB",[1]TESTE_LOG_OBRA!$D$11,IF(YF24="Dom",[1]TESTE_LOG_OBRA!$D$11,0))</f>
        <v>0</v>
      </c>
      <c r="YG38" s="2">
        <f>IF(YG24="SÁB",[1]TESTE_LOG_OBRA!$D$11,IF(YG24="Dom",[1]TESTE_LOG_OBRA!$D$11,0))</f>
        <v>0</v>
      </c>
      <c r="YH38" s="2">
        <f>IF(YH24="SÁB",[1]TESTE_LOG_OBRA!$D$11,IF(YH24="Dom",[1]TESTE_LOG_OBRA!$D$11,0))</f>
        <v>0</v>
      </c>
      <c r="YI38" s="2">
        <f>IF(YI24="SÁB",[1]TESTE_LOG_OBRA!$D$11,IF(YI24="Dom",[1]TESTE_LOG_OBRA!$D$11,0))</f>
        <v>0</v>
      </c>
      <c r="YJ38" s="2">
        <f>IF(YJ24="SÁB",[1]TESTE_LOG_OBRA!$D$11,IF(YJ24="Dom",[1]TESTE_LOG_OBRA!$D$11,0))</f>
        <v>0</v>
      </c>
      <c r="YK38" s="2">
        <f>IF(YK24="SÁB",[1]TESTE_LOG_OBRA!$D$11,IF(YK24="Dom",[1]TESTE_LOG_OBRA!$D$11,0))</f>
        <v>0</v>
      </c>
      <c r="YL38" s="2">
        <f>IF(YL24="SÁB",[1]TESTE_LOG_OBRA!$D$11,IF(YL24="Dom",[1]TESTE_LOG_OBRA!$D$11,0))</f>
        <v>0</v>
      </c>
      <c r="YM38" s="2">
        <f>IF(YM24="SÁB",[1]TESTE_LOG_OBRA!$D$11,IF(YM24="Dom",[1]TESTE_LOG_OBRA!$D$11,0))</f>
        <v>0</v>
      </c>
      <c r="YN38" s="2">
        <f>IF(YN24="SÁB",[1]TESTE_LOG_OBRA!$D$11,IF(YN24="Dom",[1]TESTE_LOG_OBRA!$D$11,0))</f>
        <v>0</v>
      </c>
      <c r="YO38" s="2">
        <f>IF(YO24="SÁB",[1]TESTE_LOG_OBRA!$D$11,IF(YO24="Dom",[1]TESTE_LOG_OBRA!$D$11,0))</f>
        <v>0</v>
      </c>
      <c r="YP38" s="2">
        <f>IF(YP24="SÁB",[1]TESTE_LOG_OBRA!$D$11,IF(YP24="Dom",[1]TESTE_LOG_OBRA!$D$11,0))</f>
        <v>0</v>
      </c>
      <c r="YQ38" s="2">
        <f>IF(YQ24="SÁB",[1]TESTE_LOG_OBRA!$D$11,IF(YQ24="Dom",[1]TESTE_LOG_OBRA!$D$11,0))</f>
        <v>0</v>
      </c>
      <c r="YR38" s="2">
        <f>IF(YR24="SÁB",[1]TESTE_LOG_OBRA!$D$11,IF(YR24="Dom",[1]TESTE_LOG_OBRA!$D$11,0))</f>
        <v>0</v>
      </c>
      <c r="YS38" s="2">
        <f>IF(YS24="SÁB",[1]TESTE_LOG_OBRA!$D$11,IF(YS24="Dom",[1]TESTE_LOG_OBRA!$D$11,0))</f>
        <v>0</v>
      </c>
      <c r="YT38" s="2">
        <f>IF(YT24="SÁB",[1]TESTE_LOG_OBRA!$D$11,IF(YT24="Dom",[1]TESTE_LOG_OBRA!$D$11,0))</f>
        <v>0</v>
      </c>
      <c r="YU38" s="2">
        <f>IF(YU24="SÁB",[1]TESTE_LOG_OBRA!$D$11,IF(YU24="Dom",[1]TESTE_LOG_OBRA!$D$11,0))</f>
        <v>0</v>
      </c>
      <c r="YV38" s="2">
        <f>IF(YV24="SÁB",[1]TESTE_LOG_OBRA!$D$11,IF(YV24="Dom",[1]TESTE_LOG_OBRA!$D$11,0))</f>
        <v>0</v>
      </c>
      <c r="YW38" s="2">
        <f>IF(YW24="SÁB",[1]TESTE_LOG_OBRA!$D$11,IF(YW24="Dom",[1]TESTE_LOG_OBRA!$D$11,0))</f>
        <v>0</v>
      </c>
      <c r="YX38" s="2">
        <f>IF(YX24="SÁB",[1]TESTE_LOG_OBRA!$D$11,IF(YX24="Dom",[1]TESTE_LOG_OBRA!$D$11,0))</f>
        <v>0</v>
      </c>
      <c r="YY38" s="2">
        <f>IF(YY24="SÁB",[1]TESTE_LOG_OBRA!$D$11,IF(YY24="Dom",[1]TESTE_LOG_OBRA!$D$11,0))</f>
        <v>0</v>
      </c>
      <c r="YZ38" s="2">
        <f>IF(YZ24="SÁB",[1]TESTE_LOG_OBRA!$D$11,IF(YZ24="Dom",[1]TESTE_LOG_OBRA!$D$11,0))</f>
        <v>0</v>
      </c>
      <c r="ZA38" s="2">
        <f>IF(ZA24="SÁB",[1]TESTE_LOG_OBRA!$D$11,IF(ZA24="Dom",[1]TESTE_LOG_OBRA!$D$11,0))</f>
        <v>0</v>
      </c>
      <c r="ZB38" s="2">
        <f>IF(ZB24="SÁB",[1]TESTE_LOG_OBRA!$D$11,IF(ZB24="Dom",[1]TESTE_LOG_OBRA!$D$11,0))</f>
        <v>0</v>
      </c>
      <c r="ZC38" s="2">
        <f>IF(ZC24="SÁB",[1]TESTE_LOG_OBRA!$D$11,IF(ZC24="Dom",[1]TESTE_LOG_OBRA!$D$11,0))</f>
        <v>0</v>
      </c>
      <c r="ZD38" s="2">
        <f>IF(ZD24="SÁB",[1]TESTE_LOG_OBRA!$D$11,IF(ZD24="Dom",[1]TESTE_LOG_OBRA!$D$11,0))</f>
        <v>0</v>
      </c>
      <c r="ZE38" s="2">
        <f>IF(ZE24="SÁB",[1]TESTE_LOG_OBRA!$D$11,IF(ZE24="Dom",[1]TESTE_LOG_OBRA!$D$11,0))</f>
        <v>0</v>
      </c>
      <c r="ZF38" s="2">
        <f>IF(ZF24="SÁB",[1]TESTE_LOG_OBRA!$D$11,IF(ZF24="Dom",[1]TESTE_LOG_OBRA!$D$11,0))</f>
        <v>0</v>
      </c>
      <c r="ZG38" s="2">
        <f>IF(ZG24="SÁB",[1]TESTE_LOG_OBRA!$D$11,IF(ZG24="Dom",[1]TESTE_LOG_OBRA!$D$11,0))</f>
        <v>0</v>
      </c>
      <c r="ZH38" s="2">
        <f>IF(ZH24="SÁB",[1]TESTE_LOG_OBRA!$D$11,IF(ZH24="Dom",[1]TESTE_LOG_OBRA!$D$11,0))</f>
        <v>0</v>
      </c>
      <c r="ZI38" s="2">
        <f>IF(ZI24="SÁB",[1]TESTE_LOG_OBRA!$D$11,IF(ZI24="Dom",[1]TESTE_LOG_OBRA!$D$11,0))</f>
        <v>0</v>
      </c>
      <c r="ZJ38" s="2">
        <f>IF(ZJ24="SÁB",[1]TESTE_LOG_OBRA!$D$11,IF(ZJ24="Dom",[1]TESTE_LOG_OBRA!$D$11,0))</f>
        <v>0</v>
      </c>
      <c r="ZK38" s="2">
        <f>IF(ZK24="SÁB",[1]TESTE_LOG_OBRA!$D$11,IF(ZK24="Dom",[1]TESTE_LOG_OBRA!$D$11,0))</f>
        <v>0</v>
      </c>
      <c r="ZL38" s="2">
        <f>IF(ZL24="SÁB",[1]TESTE_LOG_OBRA!$D$11,IF(ZL24="Dom",[1]TESTE_LOG_OBRA!$D$11,0))</f>
        <v>0</v>
      </c>
      <c r="ZM38" s="2">
        <f>IF(ZM24="SÁB",[1]TESTE_LOG_OBRA!$D$11,IF(ZM24="Dom",[1]TESTE_LOG_OBRA!$D$11,0))</f>
        <v>0</v>
      </c>
      <c r="ZN38" s="2">
        <f>IF(ZN24="SÁB",[1]TESTE_LOG_OBRA!$D$11,IF(ZN24="Dom",[1]TESTE_LOG_OBRA!$D$11,0))</f>
        <v>0</v>
      </c>
      <c r="ZO38" s="2">
        <f>IF(ZO24="SÁB",[1]TESTE_LOG_OBRA!$D$11,IF(ZO24="Dom",[1]TESTE_LOG_OBRA!$D$11,0))</f>
        <v>0</v>
      </c>
      <c r="ZP38" s="2">
        <f>IF(ZP24="SÁB",[1]TESTE_LOG_OBRA!$D$11,IF(ZP24="Dom",[1]TESTE_LOG_OBRA!$D$11,0))</f>
        <v>0</v>
      </c>
      <c r="ZQ38" s="2">
        <f>IF(ZQ24="SÁB",[1]TESTE_LOG_OBRA!$D$11,IF(ZQ24="Dom",[1]TESTE_LOG_OBRA!$D$11,0))</f>
        <v>0</v>
      </c>
      <c r="ZR38" s="2">
        <f>IF(ZR24="SÁB",[1]TESTE_LOG_OBRA!$D$11,IF(ZR24="Dom",[1]TESTE_LOG_OBRA!$D$11,0))</f>
        <v>0</v>
      </c>
      <c r="ZS38" s="2">
        <f>IF(ZS24="SÁB",[1]TESTE_LOG_OBRA!$D$11,IF(ZS24="Dom",[1]TESTE_LOG_OBRA!$D$11,0))</f>
        <v>0</v>
      </c>
      <c r="ZT38" s="2">
        <f>IF(ZT24="SÁB",[1]TESTE_LOG_OBRA!$D$11,IF(ZT24="Dom",[1]TESTE_LOG_OBRA!$D$11,0))</f>
        <v>0</v>
      </c>
      <c r="ZU38" s="2">
        <f>IF(ZU24="SÁB",[1]TESTE_LOG_OBRA!$D$11,IF(ZU24="Dom",[1]TESTE_LOG_OBRA!$D$11,0))</f>
        <v>0</v>
      </c>
      <c r="ZV38" s="2">
        <f>IF(ZV24="SÁB",[1]TESTE_LOG_OBRA!$D$11,IF(ZV24="Dom",[1]TESTE_LOG_OBRA!$D$11,0))</f>
        <v>0</v>
      </c>
      <c r="ZW38" s="2">
        <f>IF(ZW24="SÁB",[1]TESTE_LOG_OBRA!$D$11,IF(ZW24="Dom",[1]TESTE_LOG_OBRA!$D$11,0))</f>
        <v>0</v>
      </c>
      <c r="ZX38" s="2">
        <f>IF(ZX24="SÁB",[1]TESTE_LOG_OBRA!$D$11,IF(ZX24="Dom",[1]TESTE_LOG_OBRA!$D$11,0))</f>
        <v>0</v>
      </c>
      <c r="ZY38" s="2">
        <f>IF(ZY24="SÁB",[1]TESTE_LOG_OBRA!$D$11,IF(ZY24="Dom",[1]TESTE_LOG_OBRA!$D$11,0))</f>
        <v>0</v>
      </c>
      <c r="ZZ38" s="2">
        <f>IF(ZZ24="SÁB",[1]TESTE_LOG_OBRA!$D$11,IF(ZZ24="Dom",[1]TESTE_LOG_OBRA!$D$11,0))</f>
        <v>0</v>
      </c>
      <c r="AAA38" s="2">
        <f>IF(AAA24="SÁB",[1]TESTE_LOG_OBRA!$D$11,IF(AAA24="Dom",[1]TESTE_LOG_OBRA!$D$11,0))</f>
        <v>0</v>
      </c>
      <c r="AAB38" s="2">
        <f>IF(AAB24="SÁB",[1]TESTE_LOG_OBRA!$D$11,IF(AAB24="Dom",[1]TESTE_LOG_OBRA!$D$11,0))</f>
        <v>0</v>
      </c>
      <c r="AAC38" s="2">
        <f>IF(AAC24="SÁB",[1]TESTE_LOG_OBRA!$D$11,IF(AAC24="Dom",[1]TESTE_LOG_OBRA!$D$11,0))</f>
        <v>0</v>
      </c>
      <c r="AAD38" s="2">
        <f>IF(AAD24="SÁB",[1]TESTE_LOG_OBRA!$D$11,IF(AAD24="Dom",[1]TESTE_LOG_OBRA!$D$11,0))</f>
        <v>0</v>
      </c>
      <c r="AAE38" s="2">
        <f>IF(AAE24="SÁB",[1]TESTE_LOG_OBRA!$D$11,IF(AAE24="Dom",[1]TESTE_LOG_OBRA!$D$11,0))</f>
        <v>0</v>
      </c>
      <c r="AAF38" s="2">
        <f>IF(AAF24="SÁB",[1]TESTE_LOG_OBRA!$D$11,IF(AAF24="Dom",[1]TESTE_LOG_OBRA!$D$11,0))</f>
        <v>0</v>
      </c>
      <c r="AAG38" s="2">
        <f>IF(AAG24="SÁB",[1]TESTE_LOG_OBRA!$D$11,IF(AAG24="Dom",[1]TESTE_LOG_OBRA!$D$11,0))</f>
        <v>0</v>
      </c>
      <c r="AAH38" s="2">
        <f>IF(AAH24="SÁB",[1]TESTE_LOG_OBRA!$D$11,IF(AAH24="Dom",[1]TESTE_LOG_OBRA!$D$11,0))</f>
        <v>0</v>
      </c>
      <c r="AAI38" s="2">
        <f>IF(AAI24="SÁB",[1]TESTE_LOG_OBRA!$D$11,IF(AAI24="Dom",[1]TESTE_LOG_OBRA!$D$11,0))</f>
        <v>0</v>
      </c>
      <c r="AAJ38" s="2">
        <f>IF(AAJ24="SÁB",[1]TESTE_LOG_OBRA!$D$11,IF(AAJ24="Dom",[1]TESTE_LOG_OBRA!$D$11,0))</f>
        <v>0</v>
      </c>
      <c r="AAK38" s="2">
        <f>IF(AAK24="SÁB",[1]TESTE_LOG_OBRA!$D$11,IF(AAK24="Dom",[1]TESTE_LOG_OBRA!$D$11,0))</f>
        <v>0</v>
      </c>
      <c r="AAL38" s="2">
        <f>IF(AAL24="SÁB",[1]TESTE_LOG_OBRA!$D$11,IF(AAL24="Dom",[1]TESTE_LOG_OBRA!$D$11,0))</f>
        <v>0</v>
      </c>
      <c r="AAM38" s="2">
        <f>IF(AAM24="SÁB",[1]TESTE_LOG_OBRA!$D$11,IF(AAM24="Dom",[1]TESTE_LOG_OBRA!$D$11,0))</f>
        <v>0</v>
      </c>
      <c r="AAN38" s="2">
        <f>IF(AAN24="SÁB",[1]TESTE_LOG_OBRA!$D$11,IF(AAN24="Dom",[1]TESTE_LOG_OBRA!$D$11,0))</f>
        <v>0</v>
      </c>
      <c r="AAO38" s="2">
        <f>IF(AAO24="SÁB",[1]TESTE_LOG_OBRA!$D$11,IF(AAO24="Dom",[1]TESTE_LOG_OBRA!$D$11,0))</f>
        <v>0</v>
      </c>
      <c r="AAP38" s="2">
        <f>IF(AAP24="SÁB",[1]TESTE_LOG_OBRA!$D$11,IF(AAP24="Dom",[1]TESTE_LOG_OBRA!$D$11,0))</f>
        <v>0</v>
      </c>
      <c r="AAQ38" s="2">
        <f>IF(AAQ24="SÁB",[1]TESTE_LOG_OBRA!$D$11,IF(AAQ24="Dom",[1]TESTE_LOG_OBRA!$D$11,0))</f>
        <v>0</v>
      </c>
      <c r="AAR38" s="2">
        <f>IF(AAR24="SÁB",[1]TESTE_LOG_OBRA!$D$11,IF(AAR24="Dom",[1]TESTE_LOG_OBRA!$D$11,0))</f>
        <v>0</v>
      </c>
      <c r="AAS38" s="2">
        <f>IF(AAS24="SÁB",[1]TESTE_LOG_OBRA!$D$11,IF(AAS24="Dom",[1]TESTE_LOG_OBRA!$D$11,0))</f>
        <v>0</v>
      </c>
      <c r="AAT38" s="2">
        <f>IF(AAT24="SÁB",[1]TESTE_LOG_OBRA!$D$11,IF(AAT24="Dom",[1]TESTE_LOG_OBRA!$D$11,0))</f>
        <v>0</v>
      </c>
      <c r="AAU38" s="2">
        <f>IF(AAU24="SÁB",[1]TESTE_LOG_OBRA!$D$11,IF(AAU24="Dom",[1]TESTE_LOG_OBRA!$D$11,0))</f>
        <v>0</v>
      </c>
      <c r="AAV38" s="2">
        <f>IF(AAV24="SÁB",[1]TESTE_LOG_OBRA!$D$11,IF(AAV24="Dom",[1]TESTE_LOG_OBRA!$D$11,0))</f>
        <v>0</v>
      </c>
      <c r="AAW38" s="2">
        <f>IF(AAW24="SÁB",[1]TESTE_LOG_OBRA!$D$11,IF(AAW24="Dom",[1]TESTE_LOG_OBRA!$D$11,0))</f>
        <v>0</v>
      </c>
      <c r="AAX38" s="2">
        <f>IF(AAX24="SÁB",[1]TESTE_LOG_OBRA!$D$11,IF(AAX24="Dom",[1]TESTE_LOG_OBRA!$D$11,0))</f>
        <v>0</v>
      </c>
      <c r="AAY38" s="2">
        <f>IF(AAY24="SÁB",[1]TESTE_LOG_OBRA!$D$11,IF(AAY24="Dom",[1]TESTE_LOG_OBRA!$D$11,0))</f>
        <v>0</v>
      </c>
      <c r="AAZ38" s="2">
        <f>IF(AAZ24="SÁB",[1]TESTE_LOG_OBRA!$D$11,IF(AAZ24="Dom",[1]TESTE_LOG_OBRA!$D$11,0))</f>
        <v>0</v>
      </c>
      <c r="ABA38" s="2">
        <f>IF(ABA24="SÁB",[1]TESTE_LOG_OBRA!$D$11,IF(ABA24="Dom",[1]TESTE_LOG_OBRA!$D$11,0))</f>
        <v>0</v>
      </c>
      <c r="ABB38" s="2">
        <f>IF(ABB24="SÁB",[1]TESTE_LOG_OBRA!$D$11,IF(ABB24="Dom",[1]TESTE_LOG_OBRA!$D$11,0))</f>
        <v>0</v>
      </c>
      <c r="ABC38" s="2">
        <f>IF(ABC24="SÁB",[1]TESTE_LOG_OBRA!$D$11,IF(ABC24="Dom",[1]TESTE_LOG_OBRA!$D$11,0))</f>
        <v>0</v>
      </c>
      <c r="ABD38" s="2">
        <f>IF(ABD24="SÁB",[1]TESTE_LOG_OBRA!$D$11,IF(ABD24="Dom",[1]TESTE_LOG_OBRA!$D$11,0))</f>
        <v>0</v>
      </c>
      <c r="ABE38" s="2">
        <f>IF(ABE24="SÁB",[1]TESTE_LOG_OBRA!$D$11,IF(ABE24="Dom",[1]TESTE_LOG_OBRA!$D$11,0))</f>
        <v>0</v>
      </c>
      <c r="ABF38" s="2">
        <f>IF(ABF24="SÁB",[1]TESTE_LOG_OBRA!$D$11,IF(ABF24="Dom",[1]TESTE_LOG_OBRA!$D$11,0))</f>
        <v>0</v>
      </c>
      <c r="ABG38" s="2">
        <f>IF(ABG24="SÁB",[1]TESTE_LOG_OBRA!$D$11,IF(ABG24="Dom",[1]TESTE_LOG_OBRA!$D$11,0))</f>
        <v>0</v>
      </c>
      <c r="ABH38" s="2">
        <f>IF(ABH24="SÁB",[1]TESTE_LOG_OBRA!$D$11,IF(ABH24="Dom",[1]TESTE_LOG_OBRA!$D$11,0))</f>
        <v>0</v>
      </c>
      <c r="ABI38" s="2">
        <f>IF(ABI24="SÁB",[1]TESTE_LOG_OBRA!$D$11,IF(ABI24="Dom",[1]TESTE_LOG_OBRA!$D$11,0))</f>
        <v>0</v>
      </c>
    </row>
    <row r="39" spans="2:737" ht="12.95" customHeight="1" x14ac:dyDescent="0.25">
      <c r="E39" s="1"/>
    </row>
    <row r="40" spans="2:737" ht="12.95" customHeight="1" x14ac:dyDescent="0.25">
      <c r="B40" s="18" t="s">
        <v>15</v>
      </c>
      <c r="C40" s="19">
        <f t="shared" ref="C40:C51" si="146">SUM(F40:ABI40)</f>
        <v>2019.9600000000064</v>
      </c>
      <c r="D40" s="20" t="s">
        <v>16</v>
      </c>
      <c r="E40" s="21">
        <v>11.16</v>
      </c>
      <c r="F40" s="22">
        <f>$E$40*F32</f>
        <v>11.16</v>
      </c>
      <c r="G40" s="22">
        <f t="shared" ref="G40:BR40" si="147">$E$40*G32</f>
        <v>11.16</v>
      </c>
      <c r="H40" s="23">
        <f>$E$40*H32</f>
        <v>11.16</v>
      </c>
      <c r="I40" s="22">
        <f t="shared" si="147"/>
        <v>11.16</v>
      </c>
      <c r="J40" s="22">
        <f t="shared" si="147"/>
        <v>11.16</v>
      </c>
      <c r="K40" s="22">
        <f t="shared" si="147"/>
        <v>11.16</v>
      </c>
      <c r="L40" s="22">
        <f t="shared" si="147"/>
        <v>11.16</v>
      </c>
      <c r="M40" s="22">
        <f t="shared" si="147"/>
        <v>11.16</v>
      </c>
      <c r="N40" s="22">
        <f t="shared" si="147"/>
        <v>11.16</v>
      </c>
      <c r="O40" s="22">
        <f t="shared" si="147"/>
        <v>11.16</v>
      </c>
      <c r="P40" s="22">
        <f t="shared" si="147"/>
        <v>11.16</v>
      </c>
      <c r="Q40" s="22">
        <f t="shared" si="147"/>
        <v>11.16</v>
      </c>
      <c r="R40" s="22">
        <f t="shared" si="147"/>
        <v>11.16</v>
      </c>
      <c r="S40" s="22">
        <f t="shared" si="147"/>
        <v>11.16</v>
      </c>
      <c r="T40" s="22">
        <f t="shared" si="147"/>
        <v>11.16</v>
      </c>
      <c r="U40" s="22">
        <f t="shared" si="147"/>
        <v>11.16</v>
      </c>
      <c r="V40" s="22">
        <f t="shared" si="147"/>
        <v>11.16</v>
      </c>
      <c r="W40" s="22">
        <f t="shared" si="147"/>
        <v>11.16</v>
      </c>
      <c r="X40" s="22">
        <f t="shared" si="147"/>
        <v>11.16</v>
      </c>
      <c r="Y40" s="22">
        <f t="shared" si="147"/>
        <v>11.16</v>
      </c>
      <c r="Z40" s="22">
        <f t="shared" si="147"/>
        <v>11.16</v>
      </c>
      <c r="AA40" s="22">
        <f t="shared" si="147"/>
        <v>11.16</v>
      </c>
      <c r="AB40" s="22">
        <f t="shared" si="147"/>
        <v>11.16</v>
      </c>
      <c r="AC40" s="22">
        <f t="shared" si="147"/>
        <v>11.16</v>
      </c>
      <c r="AD40" s="22">
        <f t="shared" si="147"/>
        <v>11.16</v>
      </c>
      <c r="AE40" s="22">
        <f t="shared" si="147"/>
        <v>11.16</v>
      </c>
      <c r="AF40" s="22">
        <f t="shared" si="147"/>
        <v>11.16</v>
      </c>
      <c r="AG40" s="22">
        <f t="shared" si="147"/>
        <v>11.16</v>
      </c>
      <c r="AH40" s="22">
        <f t="shared" si="147"/>
        <v>11.16</v>
      </c>
      <c r="AI40" s="22">
        <f t="shared" si="147"/>
        <v>11.16</v>
      </c>
      <c r="AJ40" s="22">
        <f t="shared" si="147"/>
        <v>11.16</v>
      </c>
      <c r="AK40" s="23">
        <f t="shared" si="147"/>
        <v>11.16</v>
      </c>
      <c r="AL40" s="22">
        <f t="shared" si="147"/>
        <v>11.16</v>
      </c>
      <c r="AM40" s="22">
        <f t="shared" si="147"/>
        <v>11.16</v>
      </c>
      <c r="AN40" s="22">
        <f t="shared" si="147"/>
        <v>11.16</v>
      </c>
      <c r="AO40" s="22">
        <f t="shared" si="147"/>
        <v>11.16</v>
      </c>
      <c r="AP40" s="22">
        <f t="shared" si="147"/>
        <v>11.16</v>
      </c>
      <c r="AQ40" s="22">
        <f t="shared" si="147"/>
        <v>11.16</v>
      </c>
      <c r="AR40" s="22">
        <f t="shared" si="147"/>
        <v>11.16</v>
      </c>
      <c r="AS40" s="22">
        <f t="shared" si="147"/>
        <v>11.16</v>
      </c>
      <c r="AT40" s="22">
        <f t="shared" si="147"/>
        <v>11.16</v>
      </c>
      <c r="AU40" s="22">
        <f t="shared" si="147"/>
        <v>11.16</v>
      </c>
      <c r="AV40" s="22">
        <f t="shared" si="147"/>
        <v>11.16</v>
      </c>
      <c r="AW40" s="22">
        <f t="shared" si="147"/>
        <v>11.16</v>
      </c>
      <c r="AX40" s="22">
        <f t="shared" si="147"/>
        <v>11.16</v>
      </c>
      <c r="AY40" s="22">
        <f t="shared" si="147"/>
        <v>11.16</v>
      </c>
      <c r="AZ40" s="22">
        <f t="shared" si="147"/>
        <v>11.16</v>
      </c>
      <c r="BA40" s="22">
        <f t="shared" si="147"/>
        <v>11.16</v>
      </c>
      <c r="BB40" s="22">
        <f t="shared" si="147"/>
        <v>11.16</v>
      </c>
      <c r="BC40" s="22">
        <f t="shared" si="147"/>
        <v>11.16</v>
      </c>
      <c r="BD40" s="22">
        <f t="shared" si="147"/>
        <v>11.16</v>
      </c>
      <c r="BE40" s="22">
        <f t="shared" si="147"/>
        <v>11.16</v>
      </c>
      <c r="BF40" s="22">
        <f t="shared" si="147"/>
        <v>11.16</v>
      </c>
      <c r="BG40" s="22">
        <f t="shared" si="147"/>
        <v>11.16</v>
      </c>
      <c r="BH40" s="22">
        <f t="shared" si="147"/>
        <v>11.16</v>
      </c>
      <c r="BI40" s="22">
        <f t="shared" si="147"/>
        <v>11.16</v>
      </c>
      <c r="BJ40" s="22">
        <f t="shared" si="147"/>
        <v>11.16</v>
      </c>
      <c r="BK40" s="22">
        <f t="shared" si="147"/>
        <v>11.16</v>
      </c>
      <c r="BL40" s="22">
        <f t="shared" si="147"/>
        <v>11.16</v>
      </c>
      <c r="BM40" s="22">
        <f t="shared" si="147"/>
        <v>11.16</v>
      </c>
      <c r="BN40" s="22">
        <f t="shared" si="147"/>
        <v>11.16</v>
      </c>
      <c r="BO40" s="22">
        <f t="shared" si="147"/>
        <v>11.16</v>
      </c>
      <c r="BP40" s="22">
        <f t="shared" si="147"/>
        <v>11.16</v>
      </c>
      <c r="BQ40" s="22">
        <f t="shared" si="147"/>
        <v>11.16</v>
      </c>
      <c r="BR40" s="22">
        <f t="shared" si="147"/>
        <v>11.16</v>
      </c>
      <c r="BS40" s="22">
        <f t="shared" ref="BS40:ED40" si="148">$E$40*BS32</f>
        <v>11.16</v>
      </c>
      <c r="BT40" s="22">
        <f t="shared" si="148"/>
        <v>11.16</v>
      </c>
      <c r="BU40" s="22">
        <f t="shared" si="148"/>
        <v>11.16</v>
      </c>
      <c r="BV40" s="22">
        <f t="shared" si="148"/>
        <v>11.16</v>
      </c>
      <c r="BW40" s="22">
        <f t="shared" si="148"/>
        <v>11.16</v>
      </c>
      <c r="BX40" s="22">
        <f t="shared" si="148"/>
        <v>11.16</v>
      </c>
      <c r="BY40" s="22">
        <f t="shared" si="148"/>
        <v>11.16</v>
      </c>
      <c r="BZ40" s="22">
        <f t="shared" si="148"/>
        <v>11.16</v>
      </c>
      <c r="CA40" s="22">
        <f t="shared" si="148"/>
        <v>11.16</v>
      </c>
      <c r="CB40" s="22">
        <f t="shared" si="148"/>
        <v>11.16</v>
      </c>
      <c r="CC40" s="22">
        <f t="shared" si="148"/>
        <v>11.16</v>
      </c>
      <c r="CD40" s="22">
        <f t="shared" si="148"/>
        <v>11.16</v>
      </c>
      <c r="CE40" s="22">
        <f t="shared" si="148"/>
        <v>11.16</v>
      </c>
      <c r="CF40" s="22">
        <f t="shared" si="148"/>
        <v>11.16</v>
      </c>
      <c r="CG40" s="22">
        <f t="shared" si="148"/>
        <v>11.16</v>
      </c>
      <c r="CH40" s="22">
        <f t="shared" si="148"/>
        <v>11.16</v>
      </c>
      <c r="CI40" s="22">
        <f t="shared" si="148"/>
        <v>11.16</v>
      </c>
      <c r="CJ40" s="22">
        <f t="shared" si="148"/>
        <v>11.16</v>
      </c>
      <c r="CK40" s="22">
        <f t="shared" si="148"/>
        <v>11.16</v>
      </c>
      <c r="CL40" s="22">
        <f t="shared" si="148"/>
        <v>11.16</v>
      </c>
      <c r="CM40" s="22">
        <f t="shared" si="148"/>
        <v>11.16</v>
      </c>
      <c r="CN40" s="22">
        <f t="shared" si="148"/>
        <v>11.16</v>
      </c>
      <c r="CO40" s="22">
        <f t="shared" si="148"/>
        <v>11.16</v>
      </c>
      <c r="CP40" s="22">
        <f t="shared" si="148"/>
        <v>11.16</v>
      </c>
      <c r="CQ40" s="22">
        <f t="shared" si="148"/>
        <v>11.16</v>
      </c>
      <c r="CR40" s="22">
        <f t="shared" si="148"/>
        <v>11.16</v>
      </c>
      <c r="CS40" s="22">
        <f t="shared" si="148"/>
        <v>11.16</v>
      </c>
      <c r="CT40" s="22">
        <f t="shared" si="148"/>
        <v>11.16</v>
      </c>
      <c r="CU40" s="22">
        <f t="shared" si="148"/>
        <v>11.16</v>
      </c>
      <c r="CV40" s="22">
        <f t="shared" si="148"/>
        <v>11.16</v>
      </c>
      <c r="CW40" s="22">
        <f t="shared" si="148"/>
        <v>11.16</v>
      </c>
      <c r="CX40" s="22">
        <f t="shared" si="148"/>
        <v>11.16</v>
      </c>
      <c r="CY40" s="22">
        <f t="shared" si="148"/>
        <v>11.16</v>
      </c>
      <c r="CZ40" s="22">
        <f t="shared" si="148"/>
        <v>11.16</v>
      </c>
      <c r="DA40" s="22">
        <f t="shared" si="148"/>
        <v>11.16</v>
      </c>
      <c r="DB40" s="22">
        <f t="shared" si="148"/>
        <v>11.16</v>
      </c>
      <c r="DC40" s="22">
        <f t="shared" si="148"/>
        <v>11.16</v>
      </c>
      <c r="DD40" s="22">
        <f t="shared" si="148"/>
        <v>11.16</v>
      </c>
      <c r="DE40" s="22">
        <f t="shared" si="148"/>
        <v>11.16</v>
      </c>
      <c r="DF40" s="22">
        <f t="shared" si="148"/>
        <v>11.16</v>
      </c>
      <c r="DG40" s="22">
        <f t="shared" si="148"/>
        <v>11.16</v>
      </c>
      <c r="DH40" s="22">
        <f t="shared" si="148"/>
        <v>11.16</v>
      </c>
      <c r="DI40" s="22">
        <f t="shared" si="148"/>
        <v>11.16</v>
      </c>
      <c r="DJ40" s="22">
        <f t="shared" si="148"/>
        <v>11.16</v>
      </c>
      <c r="DK40" s="22">
        <f t="shared" si="148"/>
        <v>11.16</v>
      </c>
      <c r="DL40" s="22">
        <f t="shared" si="148"/>
        <v>11.16</v>
      </c>
      <c r="DM40" s="22">
        <f t="shared" si="148"/>
        <v>11.16</v>
      </c>
      <c r="DN40" s="22">
        <f t="shared" si="148"/>
        <v>11.16</v>
      </c>
      <c r="DO40" s="22">
        <f t="shared" si="148"/>
        <v>11.16</v>
      </c>
      <c r="DP40" s="22">
        <f t="shared" si="148"/>
        <v>11.16</v>
      </c>
      <c r="DQ40" s="22">
        <f t="shared" si="148"/>
        <v>11.16</v>
      </c>
      <c r="DR40" s="22">
        <f t="shared" si="148"/>
        <v>11.16</v>
      </c>
      <c r="DS40" s="22">
        <f t="shared" si="148"/>
        <v>11.16</v>
      </c>
      <c r="DT40" s="22">
        <f t="shared" si="148"/>
        <v>11.16</v>
      </c>
      <c r="DU40" s="22">
        <f t="shared" si="148"/>
        <v>11.16</v>
      </c>
      <c r="DV40" s="22">
        <f t="shared" si="148"/>
        <v>11.16</v>
      </c>
      <c r="DW40" s="22">
        <f t="shared" si="148"/>
        <v>11.16</v>
      </c>
      <c r="DX40" s="22">
        <f t="shared" si="148"/>
        <v>11.16</v>
      </c>
      <c r="DY40" s="22">
        <f t="shared" si="148"/>
        <v>11.16</v>
      </c>
      <c r="DZ40" s="22">
        <f t="shared" si="148"/>
        <v>11.16</v>
      </c>
      <c r="EA40" s="22">
        <f t="shared" si="148"/>
        <v>11.16</v>
      </c>
      <c r="EB40" s="22">
        <f t="shared" si="148"/>
        <v>11.16</v>
      </c>
      <c r="EC40" s="22">
        <f t="shared" si="148"/>
        <v>11.16</v>
      </c>
      <c r="ED40" s="22">
        <f t="shared" si="148"/>
        <v>11.16</v>
      </c>
      <c r="EE40" s="22">
        <f t="shared" ref="EE40:GP40" si="149">$E$40*EE32</f>
        <v>11.16</v>
      </c>
      <c r="EF40" s="22">
        <f t="shared" si="149"/>
        <v>11.16</v>
      </c>
      <c r="EG40" s="22">
        <f t="shared" si="149"/>
        <v>11.16</v>
      </c>
      <c r="EH40" s="22">
        <f t="shared" si="149"/>
        <v>11.16</v>
      </c>
      <c r="EI40" s="22">
        <f t="shared" si="149"/>
        <v>11.16</v>
      </c>
      <c r="EJ40" s="22">
        <f t="shared" si="149"/>
        <v>11.16</v>
      </c>
      <c r="EK40" s="22">
        <f t="shared" si="149"/>
        <v>11.16</v>
      </c>
      <c r="EL40" s="22">
        <f t="shared" si="149"/>
        <v>11.16</v>
      </c>
      <c r="EM40" s="22">
        <f t="shared" si="149"/>
        <v>11.16</v>
      </c>
      <c r="EN40" s="22">
        <f t="shared" si="149"/>
        <v>11.16</v>
      </c>
      <c r="EO40" s="22">
        <f t="shared" si="149"/>
        <v>11.16</v>
      </c>
      <c r="EP40" s="22">
        <f t="shared" si="149"/>
        <v>11.16</v>
      </c>
      <c r="EQ40" s="22">
        <f t="shared" si="149"/>
        <v>11.16</v>
      </c>
      <c r="ER40" s="22">
        <f t="shared" si="149"/>
        <v>11.16</v>
      </c>
      <c r="ES40" s="22">
        <f t="shared" si="149"/>
        <v>11.16</v>
      </c>
      <c r="ET40" s="22">
        <f t="shared" si="149"/>
        <v>11.16</v>
      </c>
      <c r="EU40" s="22">
        <f t="shared" si="149"/>
        <v>11.16</v>
      </c>
      <c r="EV40" s="22">
        <f t="shared" si="149"/>
        <v>11.16</v>
      </c>
      <c r="EW40" s="22">
        <f t="shared" si="149"/>
        <v>11.16</v>
      </c>
      <c r="EX40" s="22">
        <f t="shared" si="149"/>
        <v>11.16</v>
      </c>
      <c r="EY40" s="22">
        <f t="shared" si="149"/>
        <v>11.16</v>
      </c>
      <c r="EZ40" s="22">
        <f t="shared" si="149"/>
        <v>11.16</v>
      </c>
      <c r="FA40" s="22">
        <f t="shared" si="149"/>
        <v>11.16</v>
      </c>
      <c r="FB40" s="22">
        <f t="shared" si="149"/>
        <v>11.16</v>
      </c>
      <c r="FC40" s="22">
        <f t="shared" si="149"/>
        <v>11.16</v>
      </c>
      <c r="FD40" s="22">
        <f t="shared" si="149"/>
        <v>11.16</v>
      </c>
      <c r="FE40" s="22">
        <f t="shared" si="149"/>
        <v>11.16</v>
      </c>
      <c r="FF40" s="22">
        <f t="shared" si="149"/>
        <v>11.16</v>
      </c>
      <c r="FG40" s="22">
        <f t="shared" si="149"/>
        <v>11.16</v>
      </c>
      <c r="FH40" s="22">
        <f t="shared" si="149"/>
        <v>11.16</v>
      </c>
      <c r="FI40" s="22">
        <f t="shared" si="149"/>
        <v>11.16</v>
      </c>
      <c r="FJ40" s="22">
        <f t="shared" si="149"/>
        <v>11.16</v>
      </c>
      <c r="FK40" s="22">
        <f t="shared" si="149"/>
        <v>11.16</v>
      </c>
      <c r="FL40" s="22">
        <f t="shared" si="149"/>
        <v>11.16</v>
      </c>
      <c r="FM40" s="22">
        <f t="shared" si="149"/>
        <v>11.16</v>
      </c>
      <c r="FN40" s="22">
        <f t="shared" si="149"/>
        <v>11.16</v>
      </c>
      <c r="FO40" s="22">
        <f t="shared" si="149"/>
        <v>11.16</v>
      </c>
      <c r="FP40" s="22">
        <f t="shared" si="149"/>
        <v>11.16</v>
      </c>
      <c r="FQ40" s="22">
        <f t="shared" si="149"/>
        <v>11.16</v>
      </c>
      <c r="FR40" s="22">
        <f t="shared" si="149"/>
        <v>11.16</v>
      </c>
      <c r="FS40" s="22">
        <f t="shared" si="149"/>
        <v>11.16</v>
      </c>
      <c r="FT40" s="22">
        <f t="shared" si="149"/>
        <v>11.16</v>
      </c>
      <c r="FU40" s="22">
        <f t="shared" si="149"/>
        <v>11.16</v>
      </c>
      <c r="FV40" s="22">
        <f t="shared" si="149"/>
        <v>11.16</v>
      </c>
      <c r="FW40" s="22">
        <f t="shared" si="149"/>
        <v>11.16</v>
      </c>
      <c r="FX40" s="22">
        <f t="shared" si="149"/>
        <v>11.16</v>
      </c>
      <c r="FY40" s="22">
        <f t="shared" si="149"/>
        <v>11.16</v>
      </c>
      <c r="FZ40" s="22">
        <f t="shared" si="149"/>
        <v>11.16</v>
      </c>
      <c r="GA40" s="22">
        <f t="shared" si="149"/>
        <v>11.16</v>
      </c>
      <c r="GB40" s="22">
        <f t="shared" si="149"/>
        <v>11.16</v>
      </c>
      <c r="GC40" s="22">
        <f t="shared" si="149"/>
        <v>11.16</v>
      </c>
      <c r="GD40" s="22">
        <f t="shared" si="149"/>
        <v>11.16</v>
      </c>
      <c r="GE40" s="22">
        <f t="shared" si="149"/>
        <v>0</v>
      </c>
      <c r="GF40" s="22">
        <f t="shared" si="149"/>
        <v>0</v>
      </c>
      <c r="GG40" s="22">
        <f t="shared" si="149"/>
        <v>0</v>
      </c>
      <c r="GH40" s="22">
        <f t="shared" si="149"/>
        <v>0</v>
      </c>
      <c r="GI40" s="22">
        <f t="shared" si="149"/>
        <v>0</v>
      </c>
      <c r="GJ40" s="22">
        <f t="shared" si="149"/>
        <v>0</v>
      </c>
      <c r="GK40" s="22">
        <f t="shared" si="149"/>
        <v>0</v>
      </c>
      <c r="GL40" s="22">
        <f t="shared" si="149"/>
        <v>0</v>
      </c>
      <c r="GM40" s="22">
        <f t="shared" si="149"/>
        <v>0</v>
      </c>
      <c r="GN40" s="22">
        <f t="shared" si="149"/>
        <v>0</v>
      </c>
      <c r="GO40" s="22">
        <f t="shared" si="149"/>
        <v>0</v>
      </c>
      <c r="GP40" s="22">
        <f t="shared" si="149"/>
        <v>0</v>
      </c>
      <c r="GQ40" s="22">
        <f t="shared" ref="GQ40:JB40" si="150">$E$40*GQ32</f>
        <v>0</v>
      </c>
      <c r="GR40" s="22">
        <f t="shared" si="150"/>
        <v>0</v>
      </c>
      <c r="GS40" s="22">
        <f t="shared" si="150"/>
        <v>0</v>
      </c>
      <c r="GT40" s="22">
        <f t="shared" si="150"/>
        <v>0</v>
      </c>
      <c r="GU40" s="22">
        <f t="shared" si="150"/>
        <v>0</v>
      </c>
      <c r="GV40" s="22">
        <f t="shared" si="150"/>
        <v>0</v>
      </c>
      <c r="GW40" s="22">
        <f t="shared" si="150"/>
        <v>0</v>
      </c>
      <c r="GX40" s="22">
        <f t="shared" si="150"/>
        <v>0</v>
      </c>
      <c r="GY40" s="22">
        <f t="shared" si="150"/>
        <v>0</v>
      </c>
      <c r="GZ40" s="22">
        <f t="shared" si="150"/>
        <v>0</v>
      </c>
      <c r="HA40" s="22">
        <f t="shared" si="150"/>
        <v>0</v>
      </c>
      <c r="HB40" s="22">
        <f t="shared" si="150"/>
        <v>0</v>
      </c>
      <c r="HC40" s="22">
        <f t="shared" si="150"/>
        <v>0</v>
      </c>
      <c r="HD40" s="22">
        <f t="shared" si="150"/>
        <v>0</v>
      </c>
      <c r="HE40" s="22">
        <f t="shared" si="150"/>
        <v>0</v>
      </c>
      <c r="HF40" s="22">
        <f t="shared" si="150"/>
        <v>0</v>
      </c>
      <c r="HG40" s="22">
        <f t="shared" si="150"/>
        <v>0</v>
      </c>
      <c r="HH40" s="22">
        <f t="shared" si="150"/>
        <v>0</v>
      </c>
      <c r="HI40" s="22">
        <f t="shared" si="150"/>
        <v>0</v>
      </c>
      <c r="HJ40" s="22">
        <f t="shared" si="150"/>
        <v>0</v>
      </c>
      <c r="HK40" s="22">
        <f t="shared" si="150"/>
        <v>0</v>
      </c>
      <c r="HL40" s="22">
        <f t="shared" si="150"/>
        <v>0</v>
      </c>
      <c r="HM40" s="22">
        <f t="shared" si="150"/>
        <v>0</v>
      </c>
      <c r="HN40" s="22">
        <f t="shared" si="150"/>
        <v>0</v>
      </c>
      <c r="HO40" s="22">
        <f t="shared" si="150"/>
        <v>0</v>
      </c>
      <c r="HP40" s="22">
        <f t="shared" si="150"/>
        <v>0</v>
      </c>
      <c r="HQ40" s="22">
        <f t="shared" si="150"/>
        <v>0</v>
      </c>
      <c r="HR40" s="22">
        <f t="shared" si="150"/>
        <v>0</v>
      </c>
      <c r="HS40" s="22">
        <f t="shared" si="150"/>
        <v>0</v>
      </c>
      <c r="HT40" s="22">
        <f t="shared" si="150"/>
        <v>0</v>
      </c>
      <c r="HU40" s="22">
        <f t="shared" si="150"/>
        <v>0</v>
      </c>
      <c r="HV40" s="22">
        <f t="shared" si="150"/>
        <v>0</v>
      </c>
      <c r="HW40" s="22">
        <f t="shared" si="150"/>
        <v>0</v>
      </c>
      <c r="HX40" s="22">
        <f t="shared" si="150"/>
        <v>0</v>
      </c>
      <c r="HY40" s="22">
        <f t="shared" si="150"/>
        <v>0</v>
      </c>
      <c r="HZ40" s="22">
        <f t="shared" si="150"/>
        <v>0</v>
      </c>
      <c r="IA40" s="22">
        <f t="shared" si="150"/>
        <v>0</v>
      </c>
      <c r="IB40" s="22">
        <f t="shared" si="150"/>
        <v>0</v>
      </c>
      <c r="IC40" s="22">
        <f t="shared" si="150"/>
        <v>0</v>
      </c>
      <c r="ID40" s="22">
        <f t="shared" si="150"/>
        <v>0</v>
      </c>
      <c r="IE40" s="22">
        <f t="shared" si="150"/>
        <v>0</v>
      </c>
      <c r="IF40" s="22">
        <f t="shared" si="150"/>
        <v>0</v>
      </c>
      <c r="IG40" s="22">
        <f t="shared" si="150"/>
        <v>0</v>
      </c>
      <c r="IH40" s="22">
        <f t="shared" si="150"/>
        <v>0</v>
      </c>
      <c r="II40" s="22">
        <f t="shared" si="150"/>
        <v>0</v>
      </c>
      <c r="IJ40" s="22">
        <f t="shared" si="150"/>
        <v>0</v>
      </c>
      <c r="IK40" s="22">
        <f t="shared" si="150"/>
        <v>0</v>
      </c>
      <c r="IL40" s="22">
        <f t="shared" si="150"/>
        <v>0</v>
      </c>
      <c r="IM40" s="22">
        <f t="shared" si="150"/>
        <v>0</v>
      </c>
      <c r="IN40" s="22">
        <f t="shared" si="150"/>
        <v>0</v>
      </c>
      <c r="IO40" s="22">
        <f t="shared" si="150"/>
        <v>0</v>
      </c>
      <c r="IP40" s="22">
        <f t="shared" si="150"/>
        <v>0</v>
      </c>
      <c r="IQ40" s="22">
        <f t="shared" si="150"/>
        <v>0</v>
      </c>
      <c r="IR40" s="22">
        <f t="shared" si="150"/>
        <v>0</v>
      </c>
      <c r="IS40" s="22">
        <f t="shared" si="150"/>
        <v>0</v>
      </c>
      <c r="IT40" s="22">
        <f t="shared" si="150"/>
        <v>0</v>
      </c>
      <c r="IU40" s="22">
        <f t="shared" si="150"/>
        <v>0</v>
      </c>
      <c r="IV40" s="22">
        <f t="shared" si="150"/>
        <v>0</v>
      </c>
      <c r="IW40" s="22">
        <f t="shared" si="150"/>
        <v>0</v>
      </c>
      <c r="IX40" s="22">
        <f t="shared" si="150"/>
        <v>0</v>
      </c>
      <c r="IY40" s="22">
        <f t="shared" si="150"/>
        <v>0</v>
      </c>
      <c r="IZ40" s="22">
        <f t="shared" si="150"/>
        <v>0</v>
      </c>
      <c r="JA40" s="22">
        <f t="shared" si="150"/>
        <v>0</v>
      </c>
      <c r="JB40" s="22">
        <f t="shared" si="150"/>
        <v>0</v>
      </c>
      <c r="JC40" s="22">
        <f t="shared" ref="JC40:LN40" si="151">$E$40*JC32</f>
        <v>0</v>
      </c>
      <c r="JD40" s="22">
        <f t="shared" si="151"/>
        <v>0</v>
      </c>
      <c r="JE40" s="22">
        <f t="shared" si="151"/>
        <v>0</v>
      </c>
      <c r="JF40" s="22">
        <f t="shared" si="151"/>
        <v>0</v>
      </c>
      <c r="JG40" s="22">
        <f t="shared" si="151"/>
        <v>0</v>
      </c>
      <c r="JH40" s="22">
        <f t="shared" si="151"/>
        <v>0</v>
      </c>
      <c r="JI40" s="22">
        <f t="shared" si="151"/>
        <v>0</v>
      </c>
      <c r="JJ40" s="22">
        <f t="shared" si="151"/>
        <v>0</v>
      </c>
      <c r="JK40" s="22">
        <f t="shared" si="151"/>
        <v>0</v>
      </c>
      <c r="JL40" s="22">
        <f t="shared" si="151"/>
        <v>0</v>
      </c>
      <c r="JM40" s="22">
        <f t="shared" si="151"/>
        <v>0</v>
      </c>
      <c r="JN40" s="22">
        <f t="shared" si="151"/>
        <v>0</v>
      </c>
      <c r="JO40" s="22">
        <f t="shared" si="151"/>
        <v>0</v>
      </c>
      <c r="JP40" s="22">
        <f t="shared" si="151"/>
        <v>0</v>
      </c>
      <c r="JQ40" s="22">
        <f t="shared" si="151"/>
        <v>0</v>
      </c>
      <c r="JR40" s="22">
        <f t="shared" si="151"/>
        <v>0</v>
      </c>
      <c r="JS40" s="22">
        <f t="shared" si="151"/>
        <v>0</v>
      </c>
      <c r="JT40" s="22">
        <f t="shared" si="151"/>
        <v>0</v>
      </c>
      <c r="JU40" s="22">
        <f t="shared" si="151"/>
        <v>0</v>
      </c>
      <c r="JV40" s="22">
        <f t="shared" si="151"/>
        <v>0</v>
      </c>
      <c r="JW40" s="22">
        <f t="shared" si="151"/>
        <v>0</v>
      </c>
      <c r="JX40" s="22">
        <f t="shared" si="151"/>
        <v>0</v>
      </c>
      <c r="JY40" s="22">
        <f t="shared" si="151"/>
        <v>0</v>
      </c>
      <c r="JZ40" s="22">
        <f t="shared" si="151"/>
        <v>0</v>
      </c>
      <c r="KA40" s="22">
        <f t="shared" si="151"/>
        <v>0</v>
      </c>
      <c r="KB40" s="22">
        <f t="shared" si="151"/>
        <v>0</v>
      </c>
      <c r="KC40" s="22">
        <f t="shared" si="151"/>
        <v>0</v>
      </c>
      <c r="KD40" s="22">
        <f t="shared" si="151"/>
        <v>0</v>
      </c>
      <c r="KE40" s="22">
        <f t="shared" si="151"/>
        <v>0</v>
      </c>
      <c r="KF40" s="22">
        <f t="shared" si="151"/>
        <v>0</v>
      </c>
      <c r="KG40" s="22">
        <f t="shared" si="151"/>
        <v>0</v>
      </c>
      <c r="KH40" s="22">
        <f t="shared" si="151"/>
        <v>0</v>
      </c>
      <c r="KI40" s="22">
        <f t="shared" si="151"/>
        <v>0</v>
      </c>
      <c r="KJ40" s="22">
        <f t="shared" si="151"/>
        <v>0</v>
      </c>
      <c r="KK40" s="22">
        <f t="shared" si="151"/>
        <v>0</v>
      </c>
      <c r="KL40" s="22">
        <f t="shared" si="151"/>
        <v>0</v>
      </c>
      <c r="KM40" s="22">
        <f t="shared" si="151"/>
        <v>0</v>
      </c>
      <c r="KN40" s="22">
        <f t="shared" si="151"/>
        <v>0</v>
      </c>
      <c r="KO40" s="22">
        <f t="shared" si="151"/>
        <v>0</v>
      </c>
      <c r="KP40" s="22">
        <f t="shared" si="151"/>
        <v>0</v>
      </c>
      <c r="KQ40" s="22">
        <f t="shared" si="151"/>
        <v>0</v>
      </c>
      <c r="KR40" s="22">
        <f t="shared" si="151"/>
        <v>0</v>
      </c>
      <c r="KS40" s="22">
        <f t="shared" si="151"/>
        <v>0</v>
      </c>
      <c r="KT40" s="22">
        <f t="shared" si="151"/>
        <v>0</v>
      </c>
      <c r="KU40" s="22">
        <f t="shared" si="151"/>
        <v>0</v>
      </c>
      <c r="KV40" s="22">
        <f t="shared" si="151"/>
        <v>0</v>
      </c>
      <c r="KW40" s="22">
        <f t="shared" si="151"/>
        <v>0</v>
      </c>
      <c r="KX40" s="22">
        <f t="shared" si="151"/>
        <v>0</v>
      </c>
      <c r="KY40" s="22">
        <f t="shared" si="151"/>
        <v>0</v>
      </c>
      <c r="KZ40" s="22">
        <f t="shared" si="151"/>
        <v>0</v>
      </c>
      <c r="LA40" s="22">
        <f t="shared" si="151"/>
        <v>0</v>
      </c>
      <c r="LB40" s="22">
        <f t="shared" si="151"/>
        <v>0</v>
      </c>
      <c r="LC40" s="22">
        <f t="shared" si="151"/>
        <v>0</v>
      </c>
      <c r="LD40" s="22">
        <f t="shared" si="151"/>
        <v>0</v>
      </c>
      <c r="LE40" s="22">
        <f t="shared" si="151"/>
        <v>0</v>
      </c>
      <c r="LF40" s="22">
        <f t="shared" si="151"/>
        <v>0</v>
      </c>
      <c r="LG40" s="22">
        <f t="shared" si="151"/>
        <v>0</v>
      </c>
      <c r="LH40" s="22">
        <f t="shared" si="151"/>
        <v>0</v>
      </c>
      <c r="LI40" s="22">
        <f t="shared" si="151"/>
        <v>0</v>
      </c>
      <c r="LJ40" s="22">
        <f t="shared" si="151"/>
        <v>0</v>
      </c>
      <c r="LK40" s="22">
        <f t="shared" si="151"/>
        <v>0</v>
      </c>
      <c r="LL40" s="22">
        <f t="shared" si="151"/>
        <v>0</v>
      </c>
      <c r="LM40" s="22">
        <f t="shared" si="151"/>
        <v>0</v>
      </c>
      <c r="LN40" s="22">
        <f t="shared" si="151"/>
        <v>0</v>
      </c>
      <c r="LO40" s="22">
        <f t="shared" ref="LO40:NZ40" si="152">$E$40*LO32</f>
        <v>0</v>
      </c>
      <c r="LP40" s="22">
        <f t="shared" si="152"/>
        <v>0</v>
      </c>
      <c r="LQ40" s="22">
        <f t="shared" si="152"/>
        <v>0</v>
      </c>
      <c r="LR40" s="22">
        <f t="shared" si="152"/>
        <v>0</v>
      </c>
      <c r="LS40" s="22">
        <f t="shared" si="152"/>
        <v>0</v>
      </c>
      <c r="LT40" s="22">
        <f t="shared" si="152"/>
        <v>0</v>
      </c>
      <c r="LU40" s="22">
        <f t="shared" si="152"/>
        <v>0</v>
      </c>
      <c r="LV40" s="22">
        <f t="shared" si="152"/>
        <v>0</v>
      </c>
      <c r="LW40" s="22">
        <f t="shared" si="152"/>
        <v>0</v>
      </c>
      <c r="LX40" s="22">
        <f t="shared" si="152"/>
        <v>0</v>
      </c>
      <c r="LY40" s="22">
        <f t="shared" si="152"/>
        <v>0</v>
      </c>
      <c r="LZ40" s="22">
        <f t="shared" si="152"/>
        <v>0</v>
      </c>
      <c r="MA40" s="22">
        <f t="shared" si="152"/>
        <v>0</v>
      </c>
      <c r="MB40" s="22">
        <f t="shared" si="152"/>
        <v>0</v>
      </c>
      <c r="MC40" s="22">
        <f t="shared" si="152"/>
        <v>0</v>
      </c>
      <c r="MD40" s="22">
        <f t="shared" si="152"/>
        <v>0</v>
      </c>
      <c r="ME40" s="22">
        <f t="shared" si="152"/>
        <v>0</v>
      </c>
      <c r="MF40" s="22">
        <f t="shared" si="152"/>
        <v>0</v>
      </c>
      <c r="MG40" s="22">
        <f t="shared" si="152"/>
        <v>0</v>
      </c>
      <c r="MH40" s="22">
        <f t="shared" si="152"/>
        <v>0</v>
      </c>
      <c r="MI40" s="22">
        <f t="shared" si="152"/>
        <v>0</v>
      </c>
      <c r="MJ40" s="22">
        <f t="shared" si="152"/>
        <v>0</v>
      </c>
      <c r="MK40" s="22">
        <f t="shared" si="152"/>
        <v>0</v>
      </c>
      <c r="ML40" s="22">
        <f t="shared" si="152"/>
        <v>0</v>
      </c>
      <c r="MM40" s="22">
        <f t="shared" si="152"/>
        <v>0</v>
      </c>
      <c r="MN40" s="22">
        <f t="shared" si="152"/>
        <v>0</v>
      </c>
      <c r="MO40" s="22">
        <f t="shared" si="152"/>
        <v>0</v>
      </c>
      <c r="MP40" s="22">
        <f t="shared" si="152"/>
        <v>0</v>
      </c>
      <c r="MQ40" s="22">
        <f t="shared" si="152"/>
        <v>0</v>
      </c>
      <c r="MR40" s="22">
        <f t="shared" si="152"/>
        <v>0</v>
      </c>
      <c r="MS40" s="22">
        <f t="shared" si="152"/>
        <v>0</v>
      </c>
      <c r="MT40" s="22">
        <f t="shared" si="152"/>
        <v>0</v>
      </c>
      <c r="MU40" s="22">
        <f t="shared" si="152"/>
        <v>0</v>
      </c>
      <c r="MV40" s="22">
        <f t="shared" si="152"/>
        <v>0</v>
      </c>
      <c r="MW40" s="22">
        <f t="shared" si="152"/>
        <v>0</v>
      </c>
      <c r="MX40" s="22">
        <f t="shared" si="152"/>
        <v>0</v>
      </c>
      <c r="MY40" s="22">
        <f t="shared" si="152"/>
        <v>0</v>
      </c>
      <c r="MZ40" s="22">
        <f t="shared" si="152"/>
        <v>0</v>
      </c>
      <c r="NA40" s="22">
        <f t="shared" si="152"/>
        <v>0</v>
      </c>
      <c r="NB40" s="22">
        <f t="shared" si="152"/>
        <v>0</v>
      </c>
      <c r="NC40" s="22">
        <f t="shared" si="152"/>
        <v>0</v>
      </c>
      <c r="ND40" s="22">
        <f t="shared" si="152"/>
        <v>0</v>
      </c>
      <c r="NE40" s="22">
        <f t="shared" si="152"/>
        <v>0</v>
      </c>
      <c r="NF40" s="22">
        <f t="shared" si="152"/>
        <v>0</v>
      </c>
      <c r="NG40" s="22">
        <f t="shared" si="152"/>
        <v>0</v>
      </c>
      <c r="NH40" s="22">
        <f t="shared" si="152"/>
        <v>0</v>
      </c>
      <c r="NI40" s="22">
        <f t="shared" si="152"/>
        <v>0</v>
      </c>
      <c r="NJ40" s="22">
        <f t="shared" si="152"/>
        <v>0</v>
      </c>
      <c r="NK40" s="22">
        <f t="shared" si="152"/>
        <v>0</v>
      </c>
      <c r="NL40" s="22">
        <f t="shared" si="152"/>
        <v>0</v>
      </c>
      <c r="NM40" s="22">
        <f t="shared" si="152"/>
        <v>0</v>
      </c>
      <c r="NN40" s="22">
        <f t="shared" si="152"/>
        <v>0</v>
      </c>
      <c r="NO40" s="22">
        <f t="shared" si="152"/>
        <v>0</v>
      </c>
      <c r="NP40" s="22">
        <f t="shared" si="152"/>
        <v>0</v>
      </c>
      <c r="NQ40" s="22">
        <f t="shared" si="152"/>
        <v>0</v>
      </c>
      <c r="NR40" s="22">
        <f t="shared" si="152"/>
        <v>0</v>
      </c>
      <c r="NS40" s="22">
        <f t="shared" si="152"/>
        <v>0</v>
      </c>
      <c r="NT40" s="22">
        <f t="shared" si="152"/>
        <v>0</v>
      </c>
      <c r="NU40" s="22">
        <f t="shared" si="152"/>
        <v>0</v>
      </c>
      <c r="NV40" s="22">
        <f t="shared" si="152"/>
        <v>0</v>
      </c>
      <c r="NW40" s="22">
        <f t="shared" si="152"/>
        <v>0</v>
      </c>
      <c r="NX40" s="22">
        <f t="shared" si="152"/>
        <v>0</v>
      </c>
      <c r="NY40" s="22">
        <f t="shared" si="152"/>
        <v>0</v>
      </c>
      <c r="NZ40" s="22">
        <f t="shared" si="152"/>
        <v>0</v>
      </c>
      <c r="OA40" s="22">
        <f t="shared" ref="OA40:QL40" si="153">$E$40*OA32</f>
        <v>0</v>
      </c>
      <c r="OB40" s="22">
        <f t="shared" si="153"/>
        <v>0</v>
      </c>
      <c r="OC40" s="22">
        <f t="shared" si="153"/>
        <v>0</v>
      </c>
      <c r="OD40" s="22">
        <f t="shared" si="153"/>
        <v>0</v>
      </c>
      <c r="OE40" s="22">
        <f t="shared" si="153"/>
        <v>0</v>
      </c>
      <c r="OF40" s="22">
        <f t="shared" si="153"/>
        <v>0</v>
      </c>
      <c r="OG40" s="22">
        <f t="shared" si="153"/>
        <v>0</v>
      </c>
      <c r="OH40" s="22">
        <f t="shared" si="153"/>
        <v>0</v>
      </c>
      <c r="OI40" s="22">
        <f t="shared" si="153"/>
        <v>0</v>
      </c>
      <c r="OJ40" s="22">
        <f t="shared" si="153"/>
        <v>0</v>
      </c>
      <c r="OK40" s="22">
        <f t="shared" si="153"/>
        <v>0</v>
      </c>
      <c r="OL40" s="22">
        <f t="shared" si="153"/>
        <v>0</v>
      </c>
      <c r="OM40" s="22">
        <f t="shared" si="153"/>
        <v>0</v>
      </c>
      <c r="ON40" s="22">
        <f t="shared" si="153"/>
        <v>0</v>
      </c>
      <c r="OO40" s="22">
        <f t="shared" si="153"/>
        <v>0</v>
      </c>
      <c r="OP40" s="22">
        <f t="shared" si="153"/>
        <v>0</v>
      </c>
      <c r="OQ40" s="22">
        <f t="shared" si="153"/>
        <v>0</v>
      </c>
      <c r="OR40" s="22">
        <f t="shared" si="153"/>
        <v>0</v>
      </c>
      <c r="OS40" s="22">
        <f t="shared" si="153"/>
        <v>0</v>
      </c>
      <c r="OT40" s="22">
        <f t="shared" si="153"/>
        <v>0</v>
      </c>
      <c r="OU40" s="22">
        <f t="shared" si="153"/>
        <v>0</v>
      </c>
      <c r="OV40" s="22">
        <f t="shared" si="153"/>
        <v>0</v>
      </c>
      <c r="OW40" s="22">
        <f t="shared" si="153"/>
        <v>0</v>
      </c>
      <c r="OX40" s="22">
        <f t="shared" si="153"/>
        <v>0</v>
      </c>
      <c r="OY40" s="22">
        <f t="shared" si="153"/>
        <v>0</v>
      </c>
      <c r="OZ40" s="22">
        <f t="shared" si="153"/>
        <v>0</v>
      </c>
      <c r="PA40" s="22">
        <f t="shared" si="153"/>
        <v>0</v>
      </c>
      <c r="PB40" s="22">
        <f t="shared" si="153"/>
        <v>0</v>
      </c>
      <c r="PC40" s="22">
        <f t="shared" si="153"/>
        <v>0</v>
      </c>
      <c r="PD40" s="22">
        <f t="shared" si="153"/>
        <v>0</v>
      </c>
      <c r="PE40" s="22">
        <f t="shared" si="153"/>
        <v>0</v>
      </c>
      <c r="PF40" s="22">
        <f t="shared" si="153"/>
        <v>0</v>
      </c>
      <c r="PG40" s="22">
        <f t="shared" si="153"/>
        <v>0</v>
      </c>
      <c r="PH40" s="22">
        <f t="shared" si="153"/>
        <v>0</v>
      </c>
      <c r="PI40" s="22">
        <f t="shared" si="153"/>
        <v>0</v>
      </c>
      <c r="PJ40" s="22">
        <f t="shared" si="153"/>
        <v>0</v>
      </c>
      <c r="PK40" s="22">
        <f t="shared" si="153"/>
        <v>0</v>
      </c>
      <c r="PL40" s="22">
        <f t="shared" si="153"/>
        <v>0</v>
      </c>
      <c r="PM40" s="22">
        <f t="shared" si="153"/>
        <v>0</v>
      </c>
      <c r="PN40" s="22">
        <f t="shared" si="153"/>
        <v>0</v>
      </c>
      <c r="PO40" s="22">
        <f t="shared" si="153"/>
        <v>0</v>
      </c>
      <c r="PP40" s="22">
        <f t="shared" si="153"/>
        <v>0</v>
      </c>
      <c r="PQ40" s="22">
        <f t="shared" si="153"/>
        <v>0</v>
      </c>
      <c r="PR40" s="22">
        <f t="shared" si="153"/>
        <v>0</v>
      </c>
      <c r="PS40" s="22">
        <f t="shared" si="153"/>
        <v>0</v>
      </c>
      <c r="PT40" s="22">
        <f t="shared" si="153"/>
        <v>0</v>
      </c>
      <c r="PU40" s="22">
        <f t="shared" si="153"/>
        <v>0</v>
      </c>
      <c r="PV40" s="22">
        <f t="shared" si="153"/>
        <v>0</v>
      </c>
      <c r="PW40" s="22">
        <f t="shared" si="153"/>
        <v>0</v>
      </c>
      <c r="PX40" s="22">
        <f t="shared" si="153"/>
        <v>0</v>
      </c>
      <c r="PY40" s="22">
        <f t="shared" si="153"/>
        <v>0</v>
      </c>
      <c r="PZ40" s="22">
        <f t="shared" si="153"/>
        <v>0</v>
      </c>
      <c r="QA40" s="22">
        <f t="shared" si="153"/>
        <v>0</v>
      </c>
      <c r="QB40" s="22">
        <f t="shared" si="153"/>
        <v>0</v>
      </c>
      <c r="QC40" s="22">
        <f t="shared" si="153"/>
        <v>0</v>
      </c>
      <c r="QD40" s="22">
        <f t="shared" si="153"/>
        <v>0</v>
      </c>
      <c r="QE40" s="22">
        <f t="shared" si="153"/>
        <v>0</v>
      </c>
      <c r="QF40" s="22">
        <f t="shared" si="153"/>
        <v>0</v>
      </c>
      <c r="QG40" s="22">
        <f t="shared" si="153"/>
        <v>0</v>
      </c>
      <c r="QH40" s="22">
        <f t="shared" si="153"/>
        <v>0</v>
      </c>
      <c r="QI40" s="22">
        <f t="shared" si="153"/>
        <v>0</v>
      </c>
      <c r="QJ40" s="22">
        <f t="shared" si="153"/>
        <v>0</v>
      </c>
      <c r="QK40" s="22">
        <f t="shared" si="153"/>
        <v>0</v>
      </c>
      <c r="QL40" s="22">
        <f t="shared" si="153"/>
        <v>0</v>
      </c>
      <c r="QM40" s="22">
        <f t="shared" ref="QM40:SX40" si="154">$E$40*QM32</f>
        <v>0</v>
      </c>
      <c r="QN40" s="22">
        <f t="shared" si="154"/>
        <v>0</v>
      </c>
      <c r="QO40" s="22">
        <f t="shared" si="154"/>
        <v>0</v>
      </c>
      <c r="QP40" s="22">
        <f t="shared" si="154"/>
        <v>0</v>
      </c>
      <c r="QQ40" s="22">
        <f t="shared" si="154"/>
        <v>0</v>
      </c>
      <c r="QR40" s="22">
        <f t="shared" si="154"/>
        <v>0</v>
      </c>
      <c r="QS40" s="22">
        <f t="shared" si="154"/>
        <v>0</v>
      </c>
      <c r="QT40" s="22">
        <f t="shared" si="154"/>
        <v>0</v>
      </c>
      <c r="QU40" s="22">
        <f t="shared" si="154"/>
        <v>0</v>
      </c>
      <c r="QV40" s="22">
        <f t="shared" si="154"/>
        <v>0</v>
      </c>
      <c r="QW40" s="22">
        <f t="shared" si="154"/>
        <v>0</v>
      </c>
      <c r="QX40" s="22">
        <f t="shared" si="154"/>
        <v>0</v>
      </c>
      <c r="QY40" s="22">
        <f t="shared" si="154"/>
        <v>0</v>
      </c>
      <c r="QZ40" s="22">
        <f t="shared" si="154"/>
        <v>0</v>
      </c>
      <c r="RA40" s="22">
        <f t="shared" si="154"/>
        <v>0</v>
      </c>
      <c r="RB40" s="22">
        <f t="shared" si="154"/>
        <v>0</v>
      </c>
      <c r="RC40" s="22">
        <f t="shared" si="154"/>
        <v>0</v>
      </c>
      <c r="RD40" s="22">
        <f t="shared" si="154"/>
        <v>0</v>
      </c>
      <c r="RE40" s="22">
        <f t="shared" si="154"/>
        <v>0</v>
      </c>
      <c r="RF40" s="22">
        <f t="shared" si="154"/>
        <v>0</v>
      </c>
      <c r="RG40" s="22">
        <f t="shared" si="154"/>
        <v>0</v>
      </c>
      <c r="RH40" s="22">
        <f t="shared" si="154"/>
        <v>0</v>
      </c>
      <c r="RI40" s="22">
        <f t="shared" si="154"/>
        <v>0</v>
      </c>
      <c r="RJ40" s="22">
        <f t="shared" si="154"/>
        <v>0</v>
      </c>
      <c r="RK40" s="22">
        <f t="shared" si="154"/>
        <v>0</v>
      </c>
      <c r="RL40" s="22">
        <f t="shared" si="154"/>
        <v>0</v>
      </c>
      <c r="RM40" s="22">
        <f t="shared" si="154"/>
        <v>0</v>
      </c>
      <c r="RN40" s="22">
        <f t="shared" si="154"/>
        <v>0</v>
      </c>
      <c r="RO40" s="22">
        <f t="shared" si="154"/>
        <v>0</v>
      </c>
      <c r="RP40" s="22">
        <f t="shared" si="154"/>
        <v>0</v>
      </c>
      <c r="RQ40" s="22">
        <f t="shared" si="154"/>
        <v>0</v>
      </c>
      <c r="RR40" s="22">
        <f t="shared" si="154"/>
        <v>0</v>
      </c>
      <c r="RS40" s="22">
        <f t="shared" si="154"/>
        <v>0</v>
      </c>
      <c r="RT40" s="22">
        <f t="shared" si="154"/>
        <v>0</v>
      </c>
      <c r="RU40" s="22">
        <f t="shared" si="154"/>
        <v>0</v>
      </c>
      <c r="RV40" s="22">
        <f t="shared" si="154"/>
        <v>0</v>
      </c>
      <c r="RW40" s="22">
        <f t="shared" si="154"/>
        <v>0</v>
      </c>
      <c r="RX40" s="22">
        <f t="shared" si="154"/>
        <v>0</v>
      </c>
      <c r="RY40" s="22">
        <f t="shared" si="154"/>
        <v>0</v>
      </c>
      <c r="RZ40" s="22">
        <f t="shared" si="154"/>
        <v>0</v>
      </c>
      <c r="SA40" s="22">
        <f t="shared" si="154"/>
        <v>0</v>
      </c>
      <c r="SB40" s="22">
        <f t="shared" si="154"/>
        <v>0</v>
      </c>
      <c r="SC40" s="22">
        <f t="shared" si="154"/>
        <v>0</v>
      </c>
      <c r="SD40" s="22">
        <f t="shared" si="154"/>
        <v>0</v>
      </c>
      <c r="SE40" s="22">
        <f t="shared" si="154"/>
        <v>0</v>
      </c>
      <c r="SF40" s="22">
        <f t="shared" si="154"/>
        <v>0</v>
      </c>
      <c r="SG40" s="22">
        <f t="shared" si="154"/>
        <v>0</v>
      </c>
      <c r="SH40" s="22">
        <f t="shared" si="154"/>
        <v>0</v>
      </c>
      <c r="SI40" s="22">
        <f t="shared" si="154"/>
        <v>0</v>
      </c>
      <c r="SJ40" s="22">
        <f t="shared" si="154"/>
        <v>0</v>
      </c>
      <c r="SK40" s="22">
        <f t="shared" si="154"/>
        <v>0</v>
      </c>
      <c r="SL40" s="22">
        <f t="shared" si="154"/>
        <v>0</v>
      </c>
      <c r="SM40" s="22">
        <f t="shared" si="154"/>
        <v>0</v>
      </c>
      <c r="SN40" s="22">
        <f t="shared" si="154"/>
        <v>0</v>
      </c>
      <c r="SO40" s="22">
        <f t="shared" si="154"/>
        <v>0</v>
      </c>
      <c r="SP40" s="22">
        <f t="shared" si="154"/>
        <v>0</v>
      </c>
      <c r="SQ40" s="22">
        <f t="shared" si="154"/>
        <v>0</v>
      </c>
      <c r="SR40" s="22">
        <f t="shared" si="154"/>
        <v>0</v>
      </c>
      <c r="SS40" s="22">
        <f t="shared" si="154"/>
        <v>0</v>
      </c>
      <c r="ST40" s="22">
        <f t="shared" si="154"/>
        <v>0</v>
      </c>
      <c r="SU40" s="22">
        <f t="shared" si="154"/>
        <v>0</v>
      </c>
      <c r="SV40" s="22">
        <f t="shared" si="154"/>
        <v>0</v>
      </c>
      <c r="SW40" s="22">
        <f t="shared" si="154"/>
        <v>0</v>
      </c>
      <c r="SX40" s="22">
        <f t="shared" si="154"/>
        <v>0</v>
      </c>
      <c r="SY40" s="22">
        <f t="shared" ref="SY40:VJ40" si="155">$E$40*SY32</f>
        <v>0</v>
      </c>
      <c r="SZ40" s="22">
        <f t="shared" si="155"/>
        <v>0</v>
      </c>
      <c r="TA40" s="22">
        <f t="shared" si="155"/>
        <v>0</v>
      </c>
      <c r="TB40" s="22">
        <f t="shared" si="155"/>
        <v>0</v>
      </c>
      <c r="TC40" s="22">
        <f t="shared" si="155"/>
        <v>0</v>
      </c>
      <c r="TD40" s="22">
        <f t="shared" si="155"/>
        <v>0</v>
      </c>
      <c r="TE40" s="22">
        <f t="shared" si="155"/>
        <v>0</v>
      </c>
      <c r="TF40" s="22">
        <f t="shared" si="155"/>
        <v>0</v>
      </c>
      <c r="TG40" s="22">
        <f t="shared" si="155"/>
        <v>0</v>
      </c>
      <c r="TH40" s="22">
        <f t="shared" si="155"/>
        <v>0</v>
      </c>
      <c r="TI40" s="22">
        <f t="shared" si="155"/>
        <v>0</v>
      </c>
      <c r="TJ40" s="22">
        <f t="shared" si="155"/>
        <v>0</v>
      </c>
      <c r="TK40" s="22">
        <f t="shared" si="155"/>
        <v>0</v>
      </c>
      <c r="TL40" s="22">
        <f t="shared" si="155"/>
        <v>0</v>
      </c>
      <c r="TM40" s="22">
        <f t="shared" si="155"/>
        <v>0</v>
      </c>
      <c r="TN40" s="22">
        <f t="shared" si="155"/>
        <v>0</v>
      </c>
      <c r="TO40" s="22">
        <f t="shared" si="155"/>
        <v>0</v>
      </c>
      <c r="TP40" s="22">
        <f t="shared" si="155"/>
        <v>0</v>
      </c>
      <c r="TQ40" s="22">
        <f t="shared" si="155"/>
        <v>0</v>
      </c>
      <c r="TR40" s="22">
        <f t="shared" si="155"/>
        <v>0</v>
      </c>
      <c r="TS40" s="22">
        <f t="shared" si="155"/>
        <v>0</v>
      </c>
      <c r="TT40" s="22">
        <f t="shared" si="155"/>
        <v>0</v>
      </c>
      <c r="TU40" s="22">
        <f t="shared" si="155"/>
        <v>0</v>
      </c>
      <c r="TV40" s="22">
        <f t="shared" si="155"/>
        <v>0</v>
      </c>
      <c r="TW40" s="22">
        <f t="shared" si="155"/>
        <v>0</v>
      </c>
      <c r="TX40" s="22">
        <f t="shared" si="155"/>
        <v>0</v>
      </c>
      <c r="TY40" s="22">
        <f t="shared" si="155"/>
        <v>0</v>
      </c>
      <c r="TZ40" s="22">
        <f t="shared" si="155"/>
        <v>0</v>
      </c>
      <c r="UA40" s="22">
        <f t="shared" si="155"/>
        <v>0</v>
      </c>
      <c r="UB40" s="22">
        <f t="shared" si="155"/>
        <v>0</v>
      </c>
      <c r="UC40" s="22">
        <f t="shared" si="155"/>
        <v>0</v>
      </c>
      <c r="UD40" s="22">
        <f t="shared" si="155"/>
        <v>0</v>
      </c>
      <c r="UE40" s="22">
        <f t="shared" si="155"/>
        <v>0</v>
      </c>
      <c r="UF40" s="22">
        <f t="shared" si="155"/>
        <v>0</v>
      </c>
      <c r="UG40" s="22">
        <f t="shared" si="155"/>
        <v>0</v>
      </c>
      <c r="UH40" s="22">
        <f t="shared" si="155"/>
        <v>0</v>
      </c>
      <c r="UI40" s="22">
        <f t="shared" si="155"/>
        <v>0</v>
      </c>
      <c r="UJ40" s="22">
        <f t="shared" si="155"/>
        <v>0</v>
      </c>
      <c r="UK40" s="22">
        <f t="shared" si="155"/>
        <v>0</v>
      </c>
      <c r="UL40" s="22">
        <f t="shared" si="155"/>
        <v>0</v>
      </c>
      <c r="UM40" s="22">
        <f t="shared" si="155"/>
        <v>0</v>
      </c>
      <c r="UN40" s="22">
        <f t="shared" si="155"/>
        <v>0</v>
      </c>
      <c r="UO40" s="22">
        <f t="shared" si="155"/>
        <v>0</v>
      </c>
      <c r="UP40" s="22">
        <f t="shared" si="155"/>
        <v>0</v>
      </c>
      <c r="UQ40" s="22">
        <f t="shared" si="155"/>
        <v>0</v>
      </c>
      <c r="UR40" s="22">
        <f t="shared" si="155"/>
        <v>0</v>
      </c>
      <c r="US40" s="22">
        <f t="shared" si="155"/>
        <v>0</v>
      </c>
      <c r="UT40" s="22">
        <f t="shared" si="155"/>
        <v>0</v>
      </c>
      <c r="UU40" s="22">
        <f t="shared" si="155"/>
        <v>0</v>
      </c>
      <c r="UV40" s="22">
        <f t="shared" si="155"/>
        <v>0</v>
      </c>
      <c r="UW40" s="22">
        <f t="shared" si="155"/>
        <v>0</v>
      </c>
      <c r="UX40" s="22">
        <f t="shared" si="155"/>
        <v>0</v>
      </c>
      <c r="UY40" s="22">
        <f t="shared" si="155"/>
        <v>0</v>
      </c>
      <c r="UZ40" s="22">
        <f t="shared" si="155"/>
        <v>0</v>
      </c>
      <c r="VA40" s="22">
        <f t="shared" si="155"/>
        <v>0</v>
      </c>
      <c r="VB40" s="22">
        <f t="shared" si="155"/>
        <v>0</v>
      </c>
      <c r="VC40" s="22">
        <f t="shared" si="155"/>
        <v>0</v>
      </c>
      <c r="VD40" s="22">
        <f t="shared" si="155"/>
        <v>0</v>
      </c>
      <c r="VE40" s="22">
        <f t="shared" si="155"/>
        <v>0</v>
      </c>
      <c r="VF40" s="22">
        <f t="shared" si="155"/>
        <v>0</v>
      </c>
      <c r="VG40" s="22">
        <f t="shared" si="155"/>
        <v>0</v>
      </c>
      <c r="VH40" s="22">
        <f t="shared" si="155"/>
        <v>0</v>
      </c>
      <c r="VI40" s="22">
        <f t="shared" si="155"/>
        <v>0</v>
      </c>
      <c r="VJ40" s="22">
        <f t="shared" si="155"/>
        <v>0</v>
      </c>
      <c r="VK40" s="22">
        <f t="shared" ref="VK40:XV40" si="156">$E$40*VK32</f>
        <v>0</v>
      </c>
      <c r="VL40" s="22">
        <f t="shared" si="156"/>
        <v>0</v>
      </c>
      <c r="VM40" s="22">
        <f t="shared" si="156"/>
        <v>0</v>
      </c>
      <c r="VN40" s="22">
        <f t="shared" si="156"/>
        <v>0</v>
      </c>
      <c r="VO40" s="22">
        <f t="shared" si="156"/>
        <v>0</v>
      </c>
      <c r="VP40" s="22">
        <f t="shared" si="156"/>
        <v>0</v>
      </c>
      <c r="VQ40" s="22">
        <f t="shared" si="156"/>
        <v>0</v>
      </c>
      <c r="VR40" s="22">
        <f t="shared" si="156"/>
        <v>0</v>
      </c>
      <c r="VS40" s="22">
        <f t="shared" si="156"/>
        <v>0</v>
      </c>
      <c r="VT40" s="22">
        <f t="shared" si="156"/>
        <v>0</v>
      </c>
      <c r="VU40" s="22">
        <f t="shared" si="156"/>
        <v>0</v>
      </c>
      <c r="VV40" s="22">
        <f t="shared" si="156"/>
        <v>0</v>
      </c>
      <c r="VW40" s="22">
        <f t="shared" si="156"/>
        <v>0</v>
      </c>
      <c r="VX40" s="22">
        <f t="shared" si="156"/>
        <v>0</v>
      </c>
      <c r="VY40" s="22">
        <f t="shared" si="156"/>
        <v>0</v>
      </c>
      <c r="VZ40" s="22">
        <f t="shared" si="156"/>
        <v>0</v>
      </c>
      <c r="WA40" s="22">
        <f t="shared" si="156"/>
        <v>0</v>
      </c>
      <c r="WB40" s="22">
        <f t="shared" si="156"/>
        <v>0</v>
      </c>
      <c r="WC40" s="22">
        <f t="shared" si="156"/>
        <v>0</v>
      </c>
      <c r="WD40" s="22">
        <f t="shared" si="156"/>
        <v>0</v>
      </c>
      <c r="WE40" s="22">
        <f t="shared" si="156"/>
        <v>0</v>
      </c>
      <c r="WF40" s="22">
        <f t="shared" si="156"/>
        <v>0</v>
      </c>
      <c r="WG40" s="22">
        <f t="shared" si="156"/>
        <v>0</v>
      </c>
      <c r="WH40" s="22">
        <f t="shared" si="156"/>
        <v>0</v>
      </c>
      <c r="WI40" s="22">
        <f t="shared" si="156"/>
        <v>0</v>
      </c>
      <c r="WJ40" s="22">
        <f t="shared" si="156"/>
        <v>0</v>
      </c>
      <c r="WK40" s="22">
        <f t="shared" si="156"/>
        <v>0</v>
      </c>
      <c r="WL40" s="22">
        <f t="shared" si="156"/>
        <v>0</v>
      </c>
      <c r="WM40" s="22">
        <f t="shared" si="156"/>
        <v>0</v>
      </c>
      <c r="WN40" s="22">
        <f t="shared" si="156"/>
        <v>0</v>
      </c>
      <c r="WO40" s="22">
        <f t="shared" si="156"/>
        <v>0</v>
      </c>
      <c r="WP40" s="22">
        <f t="shared" si="156"/>
        <v>0</v>
      </c>
      <c r="WQ40" s="22">
        <f t="shared" si="156"/>
        <v>0</v>
      </c>
      <c r="WR40" s="22">
        <f t="shared" si="156"/>
        <v>0</v>
      </c>
      <c r="WS40" s="22">
        <f t="shared" si="156"/>
        <v>0</v>
      </c>
      <c r="WT40" s="22">
        <f t="shared" si="156"/>
        <v>0</v>
      </c>
      <c r="WU40" s="22">
        <f t="shared" si="156"/>
        <v>0</v>
      </c>
      <c r="WV40" s="22">
        <f t="shared" si="156"/>
        <v>0</v>
      </c>
      <c r="WW40" s="22">
        <f t="shared" si="156"/>
        <v>0</v>
      </c>
      <c r="WX40" s="22">
        <f t="shared" si="156"/>
        <v>0</v>
      </c>
      <c r="WY40" s="22">
        <f t="shared" si="156"/>
        <v>0</v>
      </c>
      <c r="WZ40" s="22">
        <f t="shared" si="156"/>
        <v>0</v>
      </c>
      <c r="XA40" s="22">
        <f t="shared" si="156"/>
        <v>0</v>
      </c>
      <c r="XB40" s="22">
        <f t="shared" si="156"/>
        <v>0</v>
      </c>
      <c r="XC40" s="22">
        <f t="shared" si="156"/>
        <v>0</v>
      </c>
      <c r="XD40" s="22">
        <f t="shared" si="156"/>
        <v>0</v>
      </c>
      <c r="XE40" s="22">
        <f t="shared" si="156"/>
        <v>0</v>
      </c>
      <c r="XF40" s="22">
        <f t="shared" si="156"/>
        <v>0</v>
      </c>
      <c r="XG40" s="22">
        <f t="shared" si="156"/>
        <v>0</v>
      </c>
      <c r="XH40" s="22">
        <f t="shared" si="156"/>
        <v>0</v>
      </c>
      <c r="XI40" s="22">
        <f t="shared" si="156"/>
        <v>0</v>
      </c>
      <c r="XJ40" s="22">
        <f t="shared" si="156"/>
        <v>0</v>
      </c>
      <c r="XK40" s="22">
        <f t="shared" si="156"/>
        <v>0</v>
      </c>
      <c r="XL40" s="22">
        <f t="shared" si="156"/>
        <v>0</v>
      </c>
      <c r="XM40" s="22">
        <f t="shared" si="156"/>
        <v>0</v>
      </c>
      <c r="XN40" s="22">
        <f t="shared" si="156"/>
        <v>0</v>
      </c>
      <c r="XO40" s="22">
        <f t="shared" si="156"/>
        <v>0</v>
      </c>
      <c r="XP40" s="22">
        <f t="shared" si="156"/>
        <v>0</v>
      </c>
      <c r="XQ40" s="22">
        <f t="shared" si="156"/>
        <v>0</v>
      </c>
      <c r="XR40" s="22">
        <f t="shared" si="156"/>
        <v>0</v>
      </c>
      <c r="XS40" s="22">
        <f t="shared" si="156"/>
        <v>0</v>
      </c>
      <c r="XT40" s="22">
        <f t="shared" si="156"/>
        <v>0</v>
      </c>
      <c r="XU40" s="22">
        <f t="shared" si="156"/>
        <v>0</v>
      </c>
      <c r="XV40" s="22">
        <f t="shared" si="156"/>
        <v>0</v>
      </c>
      <c r="XW40" s="22">
        <f t="shared" ref="XW40:AAH40" si="157">$E$40*XW32</f>
        <v>0</v>
      </c>
      <c r="XX40" s="22">
        <f t="shared" si="157"/>
        <v>0</v>
      </c>
      <c r="XY40" s="22">
        <f t="shared" si="157"/>
        <v>0</v>
      </c>
      <c r="XZ40" s="22">
        <f t="shared" si="157"/>
        <v>0</v>
      </c>
      <c r="YA40" s="22">
        <f t="shared" si="157"/>
        <v>0</v>
      </c>
      <c r="YB40" s="22">
        <f t="shared" si="157"/>
        <v>0</v>
      </c>
      <c r="YC40" s="22">
        <f t="shared" si="157"/>
        <v>0</v>
      </c>
      <c r="YD40" s="22">
        <f t="shared" si="157"/>
        <v>0</v>
      </c>
      <c r="YE40" s="22">
        <f t="shared" si="157"/>
        <v>0</v>
      </c>
      <c r="YF40" s="22">
        <f t="shared" si="157"/>
        <v>0</v>
      </c>
      <c r="YG40" s="22">
        <f t="shared" si="157"/>
        <v>0</v>
      </c>
      <c r="YH40" s="22">
        <f t="shared" si="157"/>
        <v>0</v>
      </c>
      <c r="YI40" s="22">
        <f t="shared" si="157"/>
        <v>0</v>
      </c>
      <c r="YJ40" s="22">
        <f t="shared" si="157"/>
        <v>0</v>
      </c>
      <c r="YK40" s="22">
        <f t="shared" si="157"/>
        <v>0</v>
      </c>
      <c r="YL40" s="22">
        <f t="shared" si="157"/>
        <v>0</v>
      </c>
      <c r="YM40" s="22">
        <f t="shared" si="157"/>
        <v>0</v>
      </c>
      <c r="YN40" s="22">
        <f t="shared" si="157"/>
        <v>0</v>
      </c>
      <c r="YO40" s="22">
        <f t="shared" si="157"/>
        <v>0</v>
      </c>
      <c r="YP40" s="22">
        <f t="shared" si="157"/>
        <v>0</v>
      </c>
      <c r="YQ40" s="22">
        <f t="shared" si="157"/>
        <v>0</v>
      </c>
      <c r="YR40" s="22">
        <f t="shared" si="157"/>
        <v>0</v>
      </c>
      <c r="YS40" s="22">
        <f t="shared" si="157"/>
        <v>0</v>
      </c>
      <c r="YT40" s="22">
        <f t="shared" si="157"/>
        <v>0</v>
      </c>
      <c r="YU40" s="22">
        <f t="shared" si="157"/>
        <v>0</v>
      </c>
      <c r="YV40" s="22">
        <f t="shared" si="157"/>
        <v>0</v>
      </c>
      <c r="YW40" s="22">
        <f t="shared" si="157"/>
        <v>0</v>
      </c>
      <c r="YX40" s="22">
        <f t="shared" si="157"/>
        <v>0</v>
      </c>
      <c r="YY40" s="22">
        <f t="shared" si="157"/>
        <v>0</v>
      </c>
      <c r="YZ40" s="22">
        <f t="shared" si="157"/>
        <v>0</v>
      </c>
      <c r="ZA40" s="22">
        <f t="shared" si="157"/>
        <v>0</v>
      </c>
      <c r="ZB40" s="22">
        <f t="shared" si="157"/>
        <v>0</v>
      </c>
      <c r="ZC40" s="22">
        <f t="shared" si="157"/>
        <v>0</v>
      </c>
      <c r="ZD40" s="22">
        <f t="shared" si="157"/>
        <v>0</v>
      </c>
      <c r="ZE40" s="22">
        <f t="shared" si="157"/>
        <v>0</v>
      </c>
      <c r="ZF40" s="22">
        <f t="shared" si="157"/>
        <v>0</v>
      </c>
      <c r="ZG40" s="22">
        <f t="shared" si="157"/>
        <v>0</v>
      </c>
      <c r="ZH40" s="22">
        <f t="shared" si="157"/>
        <v>0</v>
      </c>
      <c r="ZI40" s="22">
        <f t="shared" si="157"/>
        <v>0</v>
      </c>
      <c r="ZJ40" s="22">
        <f t="shared" si="157"/>
        <v>0</v>
      </c>
      <c r="ZK40" s="22">
        <f t="shared" si="157"/>
        <v>0</v>
      </c>
      <c r="ZL40" s="22">
        <f t="shared" si="157"/>
        <v>0</v>
      </c>
      <c r="ZM40" s="22">
        <f t="shared" si="157"/>
        <v>0</v>
      </c>
      <c r="ZN40" s="22">
        <f t="shared" si="157"/>
        <v>0</v>
      </c>
      <c r="ZO40" s="22">
        <f t="shared" si="157"/>
        <v>0</v>
      </c>
      <c r="ZP40" s="22">
        <f t="shared" si="157"/>
        <v>0</v>
      </c>
      <c r="ZQ40" s="22">
        <f t="shared" si="157"/>
        <v>0</v>
      </c>
      <c r="ZR40" s="22">
        <f t="shared" si="157"/>
        <v>0</v>
      </c>
      <c r="ZS40" s="22">
        <f t="shared" si="157"/>
        <v>0</v>
      </c>
      <c r="ZT40" s="22">
        <f t="shared" si="157"/>
        <v>0</v>
      </c>
      <c r="ZU40" s="22">
        <f t="shared" si="157"/>
        <v>0</v>
      </c>
      <c r="ZV40" s="22">
        <f t="shared" si="157"/>
        <v>0</v>
      </c>
      <c r="ZW40" s="22">
        <f t="shared" si="157"/>
        <v>0</v>
      </c>
      <c r="ZX40" s="22">
        <f t="shared" si="157"/>
        <v>0</v>
      </c>
      <c r="ZY40" s="22">
        <f t="shared" si="157"/>
        <v>0</v>
      </c>
      <c r="ZZ40" s="22">
        <f t="shared" si="157"/>
        <v>0</v>
      </c>
      <c r="AAA40" s="22">
        <f t="shared" si="157"/>
        <v>0</v>
      </c>
      <c r="AAB40" s="22">
        <f t="shared" si="157"/>
        <v>0</v>
      </c>
      <c r="AAC40" s="22">
        <f t="shared" si="157"/>
        <v>0</v>
      </c>
      <c r="AAD40" s="22">
        <f t="shared" si="157"/>
        <v>0</v>
      </c>
      <c r="AAE40" s="22">
        <f t="shared" si="157"/>
        <v>0</v>
      </c>
      <c r="AAF40" s="22">
        <f t="shared" si="157"/>
        <v>0</v>
      </c>
      <c r="AAG40" s="22">
        <f t="shared" si="157"/>
        <v>0</v>
      </c>
      <c r="AAH40" s="22">
        <f t="shared" si="157"/>
        <v>0</v>
      </c>
      <c r="AAI40" s="22">
        <f t="shared" ref="AAI40:ABI40" si="158">$E$40*AAI32</f>
        <v>0</v>
      </c>
      <c r="AAJ40" s="22">
        <f t="shared" si="158"/>
        <v>0</v>
      </c>
      <c r="AAK40" s="22">
        <f t="shared" si="158"/>
        <v>0</v>
      </c>
      <c r="AAL40" s="22">
        <f t="shared" si="158"/>
        <v>0</v>
      </c>
      <c r="AAM40" s="22">
        <f t="shared" si="158"/>
        <v>0</v>
      </c>
      <c r="AAN40" s="22">
        <f t="shared" si="158"/>
        <v>0</v>
      </c>
      <c r="AAO40" s="22">
        <f t="shared" si="158"/>
        <v>0</v>
      </c>
      <c r="AAP40" s="22">
        <f t="shared" si="158"/>
        <v>0</v>
      </c>
      <c r="AAQ40" s="22">
        <f t="shared" si="158"/>
        <v>0</v>
      </c>
      <c r="AAR40" s="22">
        <f t="shared" si="158"/>
        <v>0</v>
      </c>
      <c r="AAS40" s="22">
        <f t="shared" si="158"/>
        <v>0</v>
      </c>
      <c r="AAT40" s="22">
        <f t="shared" si="158"/>
        <v>0</v>
      </c>
      <c r="AAU40" s="22">
        <f t="shared" si="158"/>
        <v>0</v>
      </c>
      <c r="AAV40" s="22">
        <f t="shared" si="158"/>
        <v>0</v>
      </c>
      <c r="AAW40" s="22">
        <f t="shared" si="158"/>
        <v>0</v>
      </c>
      <c r="AAX40" s="22">
        <f t="shared" si="158"/>
        <v>0</v>
      </c>
      <c r="AAY40" s="22">
        <f t="shared" si="158"/>
        <v>0</v>
      </c>
      <c r="AAZ40" s="22">
        <f t="shared" si="158"/>
        <v>0</v>
      </c>
      <c r="ABA40" s="22">
        <f t="shared" si="158"/>
        <v>0</v>
      </c>
      <c r="ABB40" s="22">
        <f t="shared" si="158"/>
        <v>0</v>
      </c>
      <c r="ABC40" s="22">
        <f t="shared" si="158"/>
        <v>0</v>
      </c>
      <c r="ABD40" s="22">
        <f t="shared" si="158"/>
        <v>0</v>
      </c>
      <c r="ABE40" s="22">
        <f t="shared" si="158"/>
        <v>0</v>
      </c>
      <c r="ABF40" s="22">
        <f t="shared" si="158"/>
        <v>0</v>
      </c>
      <c r="ABG40" s="22">
        <f t="shared" si="158"/>
        <v>0</v>
      </c>
      <c r="ABH40" s="22">
        <f t="shared" si="158"/>
        <v>0</v>
      </c>
      <c r="ABI40" s="22">
        <f t="shared" si="158"/>
        <v>0</v>
      </c>
    </row>
    <row r="41" spans="2:737" ht="12.95" customHeight="1" x14ac:dyDescent="0.25">
      <c r="B41" s="24"/>
      <c r="C41" s="19">
        <f t="shared" si="146"/>
        <v>4881.5699999999943</v>
      </c>
      <c r="D41" s="20" t="s">
        <v>17</v>
      </c>
      <c r="E41" s="21">
        <v>26.970000000000002</v>
      </c>
      <c r="F41" s="22">
        <f>$E$41*F32</f>
        <v>26.970000000000002</v>
      </c>
      <c r="G41" s="22">
        <f t="shared" ref="G41:BR41" si="159">$E$41*G32</f>
        <v>26.970000000000002</v>
      </c>
      <c r="H41" s="23">
        <f>$E$41*H32</f>
        <v>26.970000000000002</v>
      </c>
      <c r="I41" s="22">
        <f t="shared" si="159"/>
        <v>26.970000000000002</v>
      </c>
      <c r="J41" s="22">
        <f t="shared" si="159"/>
        <v>26.970000000000002</v>
      </c>
      <c r="K41" s="22">
        <f t="shared" si="159"/>
        <v>26.970000000000002</v>
      </c>
      <c r="L41" s="22">
        <f t="shared" si="159"/>
        <v>26.970000000000002</v>
      </c>
      <c r="M41" s="22">
        <f t="shared" si="159"/>
        <v>26.970000000000002</v>
      </c>
      <c r="N41" s="22">
        <f t="shared" si="159"/>
        <v>26.970000000000002</v>
      </c>
      <c r="O41" s="22">
        <f t="shared" si="159"/>
        <v>26.970000000000002</v>
      </c>
      <c r="P41" s="22">
        <f t="shared" si="159"/>
        <v>26.970000000000002</v>
      </c>
      <c r="Q41" s="22">
        <f t="shared" si="159"/>
        <v>26.970000000000002</v>
      </c>
      <c r="R41" s="22">
        <f t="shared" si="159"/>
        <v>26.970000000000002</v>
      </c>
      <c r="S41" s="22">
        <f t="shared" si="159"/>
        <v>26.970000000000002</v>
      </c>
      <c r="T41" s="22">
        <f t="shared" si="159"/>
        <v>26.970000000000002</v>
      </c>
      <c r="U41" s="22">
        <f t="shared" si="159"/>
        <v>26.970000000000002</v>
      </c>
      <c r="V41" s="22">
        <f t="shared" si="159"/>
        <v>26.970000000000002</v>
      </c>
      <c r="W41" s="22">
        <f t="shared" si="159"/>
        <v>26.970000000000002</v>
      </c>
      <c r="X41" s="22">
        <f t="shared" si="159"/>
        <v>26.970000000000002</v>
      </c>
      <c r="Y41" s="22">
        <f t="shared" si="159"/>
        <v>26.970000000000002</v>
      </c>
      <c r="Z41" s="22">
        <f t="shared" si="159"/>
        <v>26.970000000000002</v>
      </c>
      <c r="AA41" s="22">
        <f t="shared" si="159"/>
        <v>26.970000000000002</v>
      </c>
      <c r="AB41" s="22">
        <f t="shared" si="159"/>
        <v>26.970000000000002</v>
      </c>
      <c r="AC41" s="22">
        <f t="shared" si="159"/>
        <v>26.970000000000002</v>
      </c>
      <c r="AD41" s="22">
        <f t="shared" si="159"/>
        <v>26.970000000000002</v>
      </c>
      <c r="AE41" s="22">
        <f t="shared" si="159"/>
        <v>26.970000000000002</v>
      </c>
      <c r="AF41" s="22">
        <f t="shared" si="159"/>
        <v>26.970000000000002</v>
      </c>
      <c r="AG41" s="22">
        <f t="shared" si="159"/>
        <v>26.970000000000002</v>
      </c>
      <c r="AH41" s="22">
        <f t="shared" si="159"/>
        <v>26.970000000000002</v>
      </c>
      <c r="AI41" s="22">
        <f t="shared" si="159"/>
        <v>26.970000000000002</v>
      </c>
      <c r="AJ41" s="22">
        <f t="shared" si="159"/>
        <v>26.970000000000002</v>
      </c>
      <c r="AK41" s="23">
        <f t="shared" si="159"/>
        <v>26.970000000000002</v>
      </c>
      <c r="AL41" s="22">
        <f t="shared" si="159"/>
        <v>26.970000000000002</v>
      </c>
      <c r="AM41" s="22">
        <f t="shared" si="159"/>
        <v>26.970000000000002</v>
      </c>
      <c r="AN41" s="22">
        <f t="shared" si="159"/>
        <v>26.970000000000002</v>
      </c>
      <c r="AO41" s="22">
        <f t="shared" si="159"/>
        <v>26.970000000000002</v>
      </c>
      <c r="AP41" s="22">
        <f t="shared" si="159"/>
        <v>26.970000000000002</v>
      </c>
      <c r="AQ41" s="22">
        <f t="shared" si="159"/>
        <v>26.970000000000002</v>
      </c>
      <c r="AR41" s="22">
        <f t="shared" si="159"/>
        <v>26.970000000000002</v>
      </c>
      <c r="AS41" s="22">
        <f t="shared" si="159"/>
        <v>26.970000000000002</v>
      </c>
      <c r="AT41" s="22">
        <f t="shared" si="159"/>
        <v>26.970000000000002</v>
      </c>
      <c r="AU41" s="22">
        <f t="shared" si="159"/>
        <v>26.970000000000002</v>
      </c>
      <c r="AV41" s="22">
        <f t="shared" si="159"/>
        <v>26.970000000000002</v>
      </c>
      <c r="AW41" s="22">
        <f t="shared" si="159"/>
        <v>26.970000000000002</v>
      </c>
      <c r="AX41" s="22">
        <f t="shared" si="159"/>
        <v>26.970000000000002</v>
      </c>
      <c r="AY41" s="22">
        <f t="shared" si="159"/>
        <v>26.970000000000002</v>
      </c>
      <c r="AZ41" s="22">
        <f t="shared" si="159"/>
        <v>26.970000000000002</v>
      </c>
      <c r="BA41" s="22">
        <f t="shared" si="159"/>
        <v>26.970000000000002</v>
      </c>
      <c r="BB41" s="22">
        <f t="shared" si="159"/>
        <v>26.970000000000002</v>
      </c>
      <c r="BC41" s="22">
        <f t="shared" si="159"/>
        <v>26.970000000000002</v>
      </c>
      <c r="BD41" s="22">
        <f t="shared" si="159"/>
        <v>26.970000000000002</v>
      </c>
      <c r="BE41" s="22">
        <f t="shared" si="159"/>
        <v>26.970000000000002</v>
      </c>
      <c r="BF41" s="22">
        <f t="shared" si="159"/>
        <v>26.970000000000002</v>
      </c>
      <c r="BG41" s="22">
        <f t="shared" si="159"/>
        <v>26.970000000000002</v>
      </c>
      <c r="BH41" s="22">
        <f t="shared" si="159"/>
        <v>26.970000000000002</v>
      </c>
      <c r="BI41" s="22">
        <f t="shared" si="159"/>
        <v>26.970000000000002</v>
      </c>
      <c r="BJ41" s="22">
        <f t="shared" si="159"/>
        <v>26.970000000000002</v>
      </c>
      <c r="BK41" s="22">
        <f t="shared" si="159"/>
        <v>26.970000000000002</v>
      </c>
      <c r="BL41" s="22">
        <f t="shared" si="159"/>
        <v>26.970000000000002</v>
      </c>
      <c r="BM41" s="22">
        <f t="shared" si="159"/>
        <v>26.970000000000002</v>
      </c>
      <c r="BN41" s="22">
        <f t="shared" si="159"/>
        <v>26.970000000000002</v>
      </c>
      <c r="BO41" s="22">
        <f t="shared" si="159"/>
        <v>26.970000000000002</v>
      </c>
      <c r="BP41" s="22">
        <f t="shared" si="159"/>
        <v>26.970000000000002</v>
      </c>
      <c r="BQ41" s="22">
        <f t="shared" si="159"/>
        <v>26.970000000000002</v>
      </c>
      <c r="BR41" s="22">
        <f t="shared" si="159"/>
        <v>26.970000000000002</v>
      </c>
      <c r="BS41" s="22">
        <f t="shared" ref="BS41:ED41" si="160">$E$41*BS32</f>
        <v>26.970000000000002</v>
      </c>
      <c r="BT41" s="22">
        <f t="shared" si="160"/>
        <v>26.970000000000002</v>
      </c>
      <c r="BU41" s="22">
        <f t="shared" si="160"/>
        <v>26.970000000000002</v>
      </c>
      <c r="BV41" s="22">
        <f t="shared" si="160"/>
        <v>26.970000000000002</v>
      </c>
      <c r="BW41" s="22">
        <f t="shared" si="160"/>
        <v>26.970000000000002</v>
      </c>
      <c r="BX41" s="22">
        <f t="shared" si="160"/>
        <v>26.970000000000002</v>
      </c>
      <c r="BY41" s="22">
        <f t="shared" si="160"/>
        <v>26.970000000000002</v>
      </c>
      <c r="BZ41" s="22">
        <f t="shared" si="160"/>
        <v>26.970000000000002</v>
      </c>
      <c r="CA41" s="22">
        <f t="shared" si="160"/>
        <v>26.970000000000002</v>
      </c>
      <c r="CB41" s="22">
        <f t="shared" si="160"/>
        <v>26.970000000000002</v>
      </c>
      <c r="CC41" s="22">
        <f t="shared" si="160"/>
        <v>26.970000000000002</v>
      </c>
      <c r="CD41" s="22">
        <f t="shared" si="160"/>
        <v>26.970000000000002</v>
      </c>
      <c r="CE41" s="22">
        <f t="shared" si="160"/>
        <v>26.970000000000002</v>
      </c>
      <c r="CF41" s="22">
        <f t="shared" si="160"/>
        <v>26.970000000000002</v>
      </c>
      <c r="CG41" s="22">
        <f t="shared" si="160"/>
        <v>26.970000000000002</v>
      </c>
      <c r="CH41" s="22">
        <f t="shared" si="160"/>
        <v>26.970000000000002</v>
      </c>
      <c r="CI41" s="22">
        <f t="shared" si="160"/>
        <v>26.970000000000002</v>
      </c>
      <c r="CJ41" s="22">
        <f t="shared" si="160"/>
        <v>26.970000000000002</v>
      </c>
      <c r="CK41" s="22">
        <f t="shared" si="160"/>
        <v>26.970000000000002</v>
      </c>
      <c r="CL41" s="22">
        <f t="shared" si="160"/>
        <v>26.970000000000002</v>
      </c>
      <c r="CM41" s="22">
        <f t="shared" si="160"/>
        <v>26.970000000000002</v>
      </c>
      <c r="CN41" s="22">
        <f t="shared" si="160"/>
        <v>26.970000000000002</v>
      </c>
      <c r="CO41" s="22">
        <f t="shared" si="160"/>
        <v>26.970000000000002</v>
      </c>
      <c r="CP41" s="22">
        <f t="shared" si="160"/>
        <v>26.970000000000002</v>
      </c>
      <c r="CQ41" s="22">
        <f t="shared" si="160"/>
        <v>26.970000000000002</v>
      </c>
      <c r="CR41" s="22">
        <f t="shared" si="160"/>
        <v>26.970000000000002</v>
      </c>
      <c r="CS41" s="22">
        <f t="shared" si="160"/>
        <v>26.970000000000002</v>
      </c>
      <c r="CT41" s="22">
        <f t="shared" si="160"/>
        <v>26.970000000000002</v>
      </c>
      <c r="CU41" s="22">
        <f t="shared" si="160"/>
        <v>26.970000000000002</v>
      </c>
      <c r="CV41" s="22">
        <f t="shared" si="160"/>
        <v>26.970000000000002</v>
      </c>
      <c r="CW41" s="22">
        <f t="shared" si="160"/>
        <v>26.970000000000002</v>
      </c>
      <c r="CX41" s="22">
        <f t="shared" si="160"/>
        <v>26.970000000000002</v>
      </c>
      <c r="CY41" s="22">
        <f t="shared" si="160"/>
        <v>26.970000000000002</v>
      </c>
      <c r="CZ41" s="22">
        <f t="shared" si="160"/>
        <v>26.970000000000002</v>
      </c>
      <c r="DA41" s="22">
        <f t="shared" si="160"/>
        <v>26.970000000000002</v>
      </c>
      <c r="DB41" s="22">
        <f t="shared" si="160"/>
        <v>26.970000000000002</v>
      </c>
      <c r="DC41" s="22">
        <f t="shared" si="160"/>
        <v>26.970000000000002</v>
      </c>
      <c r="DD41" s="22">
        <f t="shared" si="160"/>
        <v>26.970000000000002</v>
      </c>
      <c r="DE41" s="22">
        <f t="shared" si="160"/>
        <v>26.970000000000002</v>
      </c>
      <c r="DF41" s="22">
        <f t="shared" si="160"/>
        <v>26.970000000000002</v>
      </c>
      <c r="DG41" s="22">
        <f t="shared" si="160"/>
        <v>26.970000000000002</v>
      </c>
      <c r="DH41" s="22">
        <f t="shared" si="160"/>
        <v>26.970000000000002</v>
      </c>
      <c r="DI41" s="22">
        <f t="shared" si="160"/>
        <v>26.970000000000002</v>
      </c>
      <c r="DJ41" s="22">
        <f t="shared" si="160"/>
        <v>26.970000000000002</v>
      </c>
      <c r="DK41" s="22">
        <f t="shared" si="160"/>
        <v>26.970000000000002</v>
      </c>
      <c r="DL41" s="22">
        <f t="shared" si="160"/>
        <v>26.970000000000002</v>
      </c>
      <c r="DM41" s="22">
        <f t="shared" si="160"/>
        <v>26.970000000000002</v>
      </c>
      <c r="DN41" s="22">
        <f t="shared" si="160"/>
        <v>26.970000000000002</v>
      </c>
      <c r="DO41" s="22">
        <f t="shared" si="160"/>
        <v>26.970000000000002</v>
      </c>
      <c r="DP41" s="22">
        <f t="shared" si="160"/>
        <v>26.970000000000002</v>
      </c>
      <c r="DQ41" s="22">
        <f t="shared" si="160"/>
        <v>26.970000000000002</v>
      </c>
      <c r="DR41" s="22">
        <f t="shared" si="160"/>
        <v>26.970000000000002</v>
      </c>
      <c r="DS41" s="22">
        <f t="shared" si="160"/>
        <v>26.970000000000002</v>
      </c>
      <c r="DT41" s="22">
        <f t="shared" si="160"/>
        <v>26.970000000000002</v>
      </c>
      <c r="DU41" s="22">
        <f t="shared" si="160"/>
        <v>26.970000000000002</v>
      </c>
      <c r="DV41" s="22">
        <f t="shared" si="160"/>
        <v>26.970000000000002</v>
      </c>
      <c r="DW41" s="22">
        <f t="shared" si="160"/>
        <v>26.970000000000002</v>
      </c>
      <c r="DX41" s="22">
        <f t="shared" si="160"/>
        <v>26.970000000000002</v>
      </c>
      <c r="DY41" s="22">
        <f t="shared" si="160"/>
        <v>26.970000000000002</v>
      </c>
      <c r="DZ41" s="22">
        <f t="shared" si="160"/>
        <v>26.970000000000002</v>
      </c>
      <c r="EA41" s="22">
        <f t="shared" si="160"/>
        <v>26.970000000000002</v>
      </c>
      <c r="EB41" s="22">
        <f t="shared" si="160"/>
        <v>26.970000000000002</v>
      </c>
      <c r="EC41" s="22">
        <f t="shared" si="160"/>
        <v>26.970000000000002</v>
      </c>
      <c r="ED41" s="22">
        <f t="shared" si="160"/>
        <v>26.970000000000002</v>
      </c>
      <c r="EE41" s="22">
        <f t="shared" ref="EE41:GP41" si="161">$E$41*EE32</f>
        <v>26.970000000000002</v>
      </c>
      <c r="EF41" s="22">
        <f t="shared" si="161"/>
        <v>26.970000000000002</v>
      </c>
      <c r="EG41" s="22">
        <f t="shared" si="161"/>
        <v>26.970000000000002</v>
      </c>
      <c r="EH41" s="22">
        <f t="shared" si="161"/>
        <v>26.970000000000002</v>
      </c>
      <c r="EI41" s="22">
        <f t="shared" si="161"/>
        <v>26.970000000000002</v>
      </c>
      <c r="EJ41" s="22">
        <f t="shared" si="161"/>
        <v>26.970000000000002</v>
      </c>
      <c r="EK41" s="22">
        <f t="shared" si="161"/>
        <v>26.970000000000002</v>
      </c>
      <c r="EL41" s="22">
        <f t="shared" si="161"/>
        <v>26.970000000000002</v>
      </c>
      <c r="EM41" s="22">
        <f t="shared" si="161"/>
        <v>26.970000000000002</v>
      </c>
      <c r="EN41" s="22">
        <f t="shared" si="161"/>
        <v>26.970000000000002</v>
      </c>
      <c r="EO41" s="22">
        <f t="shared" si="161"/>
        <v>26.970000000000002</v>
      </c>
      <c r="EP41" s="22">
        <f t="shared" si="161"/>
        <v>26.970000000000002</v>
      </c>
      <c r="EQ41" s="22">
        <f t="shared" si="161"/>
        <v>26.970000000000002</v>
      </c>
      <c r="ER41" s="22">
        <f t="shared" si="161"/>
        <v>26.970000000000002</v>
      </c>
      <c r="ES41" s="22">
        <f t="shared" si="161"/>
        <v>26.970000000000002</v>
      </c>
      <c r="ET41" s="22">
        <f t="shared" si="161"/>
        <v>26.970000000000002</v>
      </c>
      <c r="EU41" s="22">
        <f t="shared" si="161"/>
        <v>26.970000000000002</v>
      </c>
      <c r="EV41" s="22">
        <f t="shared" si="161"/>
        <v>26.970000000000002</v>
      </c>
      <c r="EW41" s="22">
        <f t="shared" si="161"/>
        <v>26.970000000000002</v>
      </c>
      <c r="EX41" s="22">
        <f t="shared" si="161"/>
        <v>26.970000000000002</v>
      </c>
      <c r="EY41" s="22">
        <f t="shared" si="161"/>
        <v>26.970000000000002</v>
      </c>
      <c r="EZ41" s="22">
        <f t="shared" si="161"/>
        <v>26.970000000000002</v>
      </c>
      <c r="FA41" s="22">
        <f t="shared" si="161"/>
        <v>26.970000000000002</v>
      </c>
      <c r="FB41" s="22">
        <f t="shared" si="161"/>
        <v>26.970000000000002</v>
      </c>
      <c r="FC41" s="22">
        <f t="shared" si="161"/>
        <v>26.970000000000002</v>
      </c>
      <c r="FD41" s="22">
        <f t="shared" si="161"/>
        <v>26.970000000000002</v>
      </c>
      <c r="FE41" s="22">
        <f t="shared" si="161"/>
        <v>26.970000000000002</v>
      </c>
      <c r="FF41" s="22">
        <f t="shared" si="161"/>
        <v>26.970000000000002</v>
      </c>
      <c r="FG41" s="22">
        <f t="shared" si="161"/>
        <v>26.970000000000002</v>
      </c>
      <c r="FH41" s="22">
        <f t="shared" si="161"/>
        <v>26.970000000000002</v>
      </c>
      <c r="FI41" s="22">
        <f t="shared" si="161"/>
        <v>26.970000000000002</v>
      </c>
      <c r="FJ41" s="22">
        <f t="shared" si="161"/>
        <v>26.970000000000002</v>
      </c>
      <c r="FK41" s="22">
        <f t="shared" si="161"/>
        <v>26.970000000000002</v>
      </c>
      <c r="FL41" s="22">
        <f t="shared" si="161"/>
        <v>26.970000000000002</v>
      </c>
      <c r="FM41" s="22">
        <f t="shared" si="161"/>
        <v>26.970000000000002</v>
      </c>
      <c r="FN41" s="22">
        <f t="shared" si="161"/>
        <v>26.970000000000002</v>
      </c>
      <c r="FO41" s="22">
        <f t="shared" si="161"/>
        <v>26.970000000000002</v>
      </c>
      <c r="FP41" s="22">
        <f t="shared" si="161"/>
        <v>26.970000000000002</v>
      </c>
      <c r="FQ41" s="22">
        <f t="shared" si="161"/>
        <v>26.970000000000002</v>
      </c>
      <c r="FR41" s="22">
        <f t="shared" si="161"/>
        <v>26.970000000000002</v>
      </c>
      <c r="FS41" s="22">
        <f t="shared" si="161"/>
        <v>26.970000000000002</v>
      </c>
      <c r="FT41" s="22">
        <f t="shared" si="161"/>
        <v>26.970000000000002</v>
      </c>
      <c r="FU41" s="22">
        <f t="shared" si="161"/>
        <v>26.970000000000002</v>
      </c>
      <c r="FV41" s="22">
        <f t="shared" si="161"/>
        <v>26.970000000000002</v>
      </c>
      <c r="FW41" s="22">
        <f t="shared" si="161"/>
        <v>26.970000000000002</v>
      </c>
      <c r="FX41" s="22">
        <f t="shared" si="161"/>
        <v>26.970000000000002</v>
      </c>
      <c r="FY41" s="22">
        <f t="shared" si="161"/>
        <v>26.970000000000002</v>
      </c>
      <c r="FZ41" s="22">
        <f t="shared" si="161"/>
        <v>26.970000000000002</v>
      </c>
      <c r="GA41" s="22">
        <f t="shared" si="161"/>
        <v>26.970000000000002</v>
      </c>
      <c r="GB41" s="22">
        <f t="shared" si="161"/>
        <v>26.970000000000002</v>
      </c>
      <c r="GC41" s="22">
        <f t="shared" si="161"/>
        <v>26.970000000000002</v>
      </c>
      <c r="GD41" s="22">
        <f t="shared" si="161"/>
        <v>26.970000000000002</v>
      </c>
      <c r="GE41" s="22">
        <f t="shared" si="161"/>
        <v>0</v>
      </c>
      <c r="GF41" s="22">
        <f t="shared" si="161"/>
        <v>0</v>
      </c>
      <c r="GG41" s="22">
        <f t="shared" si="161"/>
        <v>0</v>
      </c>
      <c r="GH41" s="22">
        <f t="shared" si="161"/>
        <v>0</v>
      </c>
      <c r="GI41" s="22">
        <f t="shared" si="161"/>
        <v>0</v>
      </c>
      <c r="GJ41" s="22">
        <f t="shared" si="161"/>
        <v>0</v>
      </c>
      <c r="GK41" s="22">
        <f t="shared" si="161"/>
        <v>0</v>
      </c>
      <c r="GL41" s="22">
        <f t="shared" si="161"/>
        <v>0</v>
      </c>
      <c r="GM41" s="22">
        <f t="shared" si="161"/>
        <v>0</v>
      </c>
      <c r="GN41" s="22">
        <f t="shared" si="161"/>
        <v>0</v>
      </c>
      <c r="GO41" s="22">
        <f t="shared" si="161"/>
        <v>0</v>
      </c>
      <c r="GP41" s="22">
        <f t="shared" si="161"/>
        <v>0</v>
      </c>
      <c r="GQ41" s="22">
        <f t="shared" ref="GQ41:JB41" si="162">$E$41*GQ32</f>
        <v>0</v>
      </c>
      <c r="GR41" s="22">
        <f t="shared" si="162"/>
        <v>0</v>
      </c>
      <c r="GS41" s="22">
        <f t="shared" si="162"/>
        <v>0</v>
      </c>
      <c r="GT41" s="22">
        <f t="shared" si="162"/>
        <v>0</v>
      </c>
      <c r="GU41" s="22">
        <f t="shared" si="162"/>
        <v>0</v>
      </c>
      <c r="GV41" s="22">
        <f t="shared" si="162"/>
        <v>0</v>
      </c>
      <c r="GW41" s="22">
        <f t="shared" si="162"/>
        <v>0</v>
      </c>
      <c r="GX41" s="22">
        <f t="shared" si="162"/>
        <v>0</v>
      </c>
      <c r="GY41" s="22">
        <f t="shared" si="162"/>
        <v>0</v>
      </c>
      <c r="GZ41" s="22">
        <f t="shared" si="162"/>
        <v>0</v>
      </c>
      <c r="HA41" s="22">
        <f t="shared" si="162"/>
        <v>0</v>
      </c>
      <c r="HB41" s="22">
        <f t="shared" si="162"/>
        <v>0</v>
      </c>
      <c r="HC41" s="22">
        <f t="shared" si="162"/>
        <v>0</v>
      </c>
      <c r="HD41" s="22">
        <f t="shared" si="162"/>
        <v>0</v>
      </c>
      <c r="HE41" s="22">
        <f t="shared" si="162"/>
        <v>0</v>
      </c>
      <c r="HF41" s="22">
        <f t="shared" si="162"/>
        <v>0</v>
      </c>
      <c r="HG41" s="22">
        <f t="shared" si="162"/>
        <v>0</v>
      </c>
      <c r="HH41" s="22">
        <f t="shared" si="162"/>
        <v>0</v>
      </c>
      <c r="HI41" s="22">
        <f t="shared" si="162"/>
        <v>0</v>
      </c>
      <c r="HJ41" s="22">
        <f t="shared" si="162"/>
        <v>0</v>
      </c>
      <c r="HK41" s="22">
        <f t="shared" si="162"/>
        <v>0</v>
      </c>
      <c r="HL41" s="22">
        <f t="shared" si="162"/>
        <v>0</v>
      </c>
      <c r="HM41" s="22">
        <f t="shared" si="162"/>
        <v>0</v>
      </c>
      <c r="HN41" s="22">
        <f t="shared" si="162"/>
        <v>0</v>
      </c>
      <c r="HO41" s="22">
        <f t="shared" si="162"/>
        <v>0</v>
      </c>
      <c r="HP41" s="22">
        <f t="shared" si="162"/>
        <v>0</v>
      </c>
      <c r="HQ41" s="22">
        <f t="shared" si="162"/>
        <v>0</v>
      </c>
      <c r="HR41" s="22">
        <f t="shared" si="162"/>
        <v>0</v>
      </c>
      <c r="HS41" s="22">
        <f t="shared" si="162"/>
        <v>0</v>
      </c>
      <c r="HT41" s="22">
        <f t="shared" si="162"/>
        <v>0</v>
      </c>
      <c r="HU41" s="22">
        <f t="shared" si="162"/>
        <v>0</v>
      </c>
      <c r="HV41" s="22">
        <f t="shared" si="162"/>
        <v>0</v>
      </c>
      <c r="HW41" s="22">
        <f t="shared" si="162"/>
        <v>0</v>
      </c>
      <c r="HX41" s="22">
        <f t="shared" si="162"/>
        <v>0</v>
      </c>
      <c r="HY41" s="22">
        <f t="shared" si="162"/>
        <v>0</v>
      </c>
      <c r="HZ41" s="22">
        <f t="shared" si="162"/>
        <v>0</v>
      </c>
      <c r="IA41" s="22">
        <f t="shared" si="162"/>
        <v>0</v>
      </c>
      <c r="IB41" s="22">
        <f t="shared" si="162"/>
        <v>0</v>
      </c>
      <c r="IC41" s="22">
        <f t="shared" si="162"/>
        <v>0</v>
      </c>
      <c r="ID41" s="22">
        <f t="shared" si="162"/>
        <v>0</v>
      </c>
      <c r="IE41" s="22">
        <f t="shared" si="162"/>
        <v>0</v>
      </c>
      <c r="IF41" s="22">
        <f t="shared" si="162"/>
        <v>0</v>
      </c>
      <c r="IG41" s="22">
        <f t="shared" si="162"/>
        <v>0</v>
      </c>
      <c r="IH41" s="22">
        <f t="shared" si="162"/>
        <v>0</v>
      </c>
      <c r="II41" s="22">
        <f t="shared" si="162"/>
        <v>0</v>
      </c>
      <c r="IJ41" s="22">
        <f t="shared" si="162"/>
        <v>0</v>
      </c>
      <c r="IK41" s="22">
        <f t="shared" si="162"/>
        <v>0</v>
      </c>
      <c r="IL41" s="22">
        <f t="shared" si="162"/>
        <v>0</v>
      </c>
      <c r="IM41" s="22">
        <f t="shared" si="162"/>
        <v>0</v>
      </c>
      <c r="IN41" s="22">
        <f t="shared" si="162"/>
        <v>0</v>
      </c>
      <c r="IO41" s="22">
        <f t="shared" si="162"/>
        <v>0</v>
      </c>
      <c r="IP41" s="22">
        <f t="shared" si="162"/>
        <v>0</v>
      </c>
      <c r="IQ41" s="22">
        <f t="shared" si="162"/>
        <v>0</v>
      </c>
      <c r="IR41" s="22">
        <f t="shared" si="162"/>
        <v>0</v>
      </c>
      <c r="IS41" s="22">
        <f t="shared" si="162"/>
        <v>0</v>
      </c>
      <c r="IT41" s="22">
        <f t="shared" si="162"/>
        <v>0</v>
      </c>
      <c r="IU41" s="22">
        <f t="shared" si="162"/>
        <v>0</v>
      </c>
      <c r="IV41" s="22">
        <f t="shared" si="162"/>
        <v>0</v>
      </c>
      <c r="IW41" s="22">
        <f t="shared" si="162"/>
        <v>0</v>
      </c>
      <c r="IX41" s="22">
        <f t="shared" si="162"/>
        <v>0</v>
      </c>
      <c r="IY41" s="22">
        <f t="shared" si="162"/>
        <v>0</v>
      </c>
      <c r="IZ41" s="22">
        <f t="shared" si="162"/>
        <v>0</v>
      </c>
      <c r="JA41" s="22">
        <f t="shared" si="162"/>
        <v>0</v>
      </c>
      <c r="JB41" s="22">
        <f t="shared" si="162"/>
        <v>0</v>
      </c>
      <c r="JC41" s="22">
        <f t="shared" ref="JC41:LN41" si="163">$E$41*JC32</f>
        <v>0</v>
      </c>
      <c r="JD41" s="22">
        <f t="shared" si="163"/>
        <v>0</v>
      </c>
      <c r="JE41" s="22">
        <f t="shared" si="163"/>
        <v>0</v>
      </c>
      <c r="JF41" s="22">
        <f t="shared" si="163"/>
        <v>0</v>
      </c>
      <c r="JG41" s="22">
        <f t="shared" si="163"/>
        <v>0</v>
      </c>
      <c r="JH41" s="22">
        <f t="shared" si="163"/>
        <v>0</v>
      </c>
      <c r="JI41" s="22">
        <f t="shared" si="163"/>
        <v>0</v>
      </c>
      <c r="JJ41" s="22">
        <f t="shared" si="163"/>
        <v>0</v>
      </c>
      <c r="JK41" s="22">
        <f t="shared" si="163"/>
        <v>0</v>
      </c>
      <c r="JL41" s="22">
        <f t="shared" si="163"/>
        <v>0</v>
      </c>
      <c r="JM41" s="22">
        <f t="shared" si="163"/>
        <v>0</v>
      </c>
      <c r="JN41" s="22">
        <f t="shared" si="163"/>
        <v>0</v>
      </c>
      <c r="JO41" s="22">
        <f t="shared" si="163"/>
        <v>0</v>
      </c>
      <c r="JP41" s="22">
        <f t="shared" si="163"/>
        <v>0</v>
      </c>
      <c r="JQ41" s="22">
        <f t="shared" si="163"/>
        <v>0</v>
      </c>
      <c r="JR41" s="22">
        <f t="shared" si="163"/>
        <v>0</v>
      </c>
      <c r="JS41" s="22">
        <f t="shared" si="163"/>
        <v>0</v>
      </c>
      <c r="JT41" s="22">
        <f t="shared" si="163"/>
        <v>0</v>
      </c>
      <c r="JU41" s="22">
        <f t="shared" si="163"/>
        <v>0</v>
      </c>
      <c r="JV41" s="22">
        <f t="shared" si="163"/>
        <v>0</v>
      </c>
      <c r="JW41" s="22">
        <f t="shared" si="163"/>
        <v>0</v>
      </c>
      <c r="JX41" s="22">
        <f t="shared" si="163"/>
        <v>0</v>
      </c>
      <c r="JY41" s="22">
        <f t="shared" si="163"/>
        <v>0</v>
      </c>
      <c r="JZ41" s="22">
        <f t="shared" si="163"/>
        <v>0</v>
      </c>
      <c r="KA41" s="22">
        <f t="shared" si="163"/>
        <v>0</v>
      </c>
      <c r="KB41" s="22">
        <f t="shared" si="163"/>
        <v>0</v>
      </c>
      <c r="KC41" s="22">
        <f t="shared" si="163"/>
        <v>0</v>
      </c>
      <c r="KD41" s="22">
        <f t="shared" si="163"/>
        <v>0</v>
      </c>
      <c r="KE41" s="22">
        <f t="shared" si="163"/>
        <v>0</v>
      </c>
      <c r="KF41" s="22">
        <f t="shared" si="163"/>
        <v>0</v>
      </c>
      <c r="KG41" s="22">
        <f t="shared" si="163"/>
        <v>0</v>
      </c>
      <c r="KH41" s="22">
        <f t="shared" si="163"/>
        <v>0</v>
      </c>
      <c r="KI41" s="22">
        <f t="shared" si="163"/>
        <v>0</v>
      </c>
      <c r="KJ41" s="22">
        <f t="shared" si="163"/>
        <v>0</v>
      </c>
      <c r="KK41" s="22">
        <f t="shared" si="163"/>
        <v>0</v>
      </c>
      <c r="KL41" s="22">
        <f t="shared" si="163"/>
        <v>0</v>
      </c>
      <c r="KM41" s="22">
        <f t="shared" si="163"/>
        <v>0</v>
      </c>
      <c r="KN41" s="22">
        <f t="shared" si="163"/>
        <v>0</v>
      </c>
      <c r="KO41" s="22">
        <f t="shared" si="163"/>
        <v>0</v>
      </c>
      <c r="KP41" s="22">
        <f t="shared" si="163"/>
        <v>0</v>
      </c>
      <c r="KQ41" s="22">
        <f t="shared" si="163"/>
        <v>0</v>
      </c>
      <c r="KR41" s="22">
        <f t="shared" si="163"/>
        <v>0</v>
      </c>
      <c r="KS41" s="22">
        <f t="shared" si="163"/>
        <v>0</v>
      </c>
      <c r="KT41" s="22">
        <f t="shared" si="163"/>
        <v>0</v>
      </c>
      <c r="KU41" s="22">
        <f t="shared" si="163"/>
        <v>0</v>
      </c>
      <c r="KV41" s="22">
        <f t="shared" si="163"/>
        <v>0</v>
      </c>
      <c r="KW41" s="22">
        <f t="shared" si="163"/>
        <v>0</v>
      </c>
      <c r="KX41" s="22">
        <f t="shared" si="163"/>
        <v>0</v>
      </c>
      <c r="KY41" s="22">
        <f t="shared" si="163"/>
        <v>0</v>
      </c>
      <c r="KZ41" s="22">
        <f t="shared" si="163"/>
        <v>0</v>
      </c>
      <c r="LA41" s="22">
        <f t="shared" si="163"/>
        <v>0</v>
      </c>
      <c r="LB41" s="22">
        <f t="shared" si="163"/>
        <v>0</v>
      </c>
      <c r="LC41" s="22">
        <f t="shared" si="163"/>
        <v>0</v>
      </c>
      <c r="LD41" s="22">
        <f t="shared" si="163"/>
        <v>0</v>
      </c>
      <c r="LE41" s="22">
        <f t="shared" si="163"/>
        <v>0</v>
      </c>
      <c r="LF41" s="22">
        <f t="shared" si="163"/>
        <v>0</v>
      </c>
      <c r="LG41" s="22">
        <f t="shared" si="163"/>
        <v>0</v>
      </c>
      <c r="LH41" s="22">
        <f t="shared" si="163"/>
        <v>0</v>
      </c>
      <c r="LI41" s="22">
        <f t="shared" si="163"/>
        <v>0</v>
      </c>
      <c r="LJ41" s="22">
        <f t="shared" si="163"/>
        <v>0</v>
      </c>
      <c r="LK41" s="22">
        <f t="shared" si="163"/>
        <v>0</v>
      </c>
      <c r="LL41" s="22">
        <f t="shared" si="163"/>
        <v>0</v>
      </c>
      <c r="LM41" s="22">
        <f t="shared" si="163"/>
        <v>0</v>
      </c>
      <c r="LN41" s="22">
        <f t="shared" si="163"/>
        <v>0</v>
      </c>
      <c r="LO41" s="22">
        <f t="shared" ref="LO41:NZ41" si="164">$E$41*LO32</f>
        <v>0</v>
      </c>
      <c r="LP41" s="22">
        <f t="shared" si="164"/>
        <v>0</v>
      </c>
      <c r="LQ41" s="22">
        <f t="shared" si="164"/>
        <v>0</v>
      </c>
      <c r="LR41" s="22">
        <f t="shared" si="164"/>
        <v>0</v>
      </c>
      <c r="LS41" s="22">
        <f t="shared" si="164"/>
        <v>0</v>
      </c>
      <c r="LT41" s="22">
        <f t="shared" si="164"/>
        <v>0</v>
      </c>
      <c r="LU41" s="22">
        <f t="shared" si="164"/>
        <v>0</v>
      </c>
      <c r="LV41" s="22">
        <f t="shared" si="164"/>
        <v>0</v>
      </c>
      <c r="LW41" s="22">
        <f t="shared" si="164"/>
        <v>0</v>
      </c>
      <c r="LX41" s="22">
        <f t="shared" si="164"/>
        <v>0</v>
      </c>
      <c r="LY41" s="22">
        <f t="shared" si="164"/>
        <v>0</v>
      </c>
      <c r="LZ41" s="22">
        <f t="shared" si="164"/>
        <v>0</v>
      </c>
      <c r="MA41" s="22">
        <f t="shared" si="164"/>
        <v>0</v>
      </c>
      <c r="MB41" s="22">
        <f t="shared" si="164"/>
        <v>0</v>
      </c>
      <c r="MC41" s="22">
        <f t="shared" si="164"/>
        <v>0</v>
      </c>
      <c r="MD41" s="22">
        <f t="shared" si="164"/>
        <v>0</v>
      </c>
      <c r="ME41" s="22">
        <f t="shared" si="164"/>
        <v>0</v>
      </c>
      <c r="MF41" s="22">
        <f t="shared" si="164"/>
        <v>0</v>
      </c>
      <c r="MG41" s="22">
        <f t="shared" si="164"/>
        <v>0</v>
      </c>
      <c r="MH41" s="22">
        <f t="shared" si="164"/>
        <v>0</v>
      </c>
      <c r="MI41" s="22">
        <f t="shared" si="164"/>
        <v>0</v>
      </c>
      <c r="MJ41" s="22">
        <f t="shared" si="164"/>
        <v>0</v>
      </c>
      <c r="MK41" s="22">
        <f t="shared" si="164"/>
        <v>0</v>
      </c>
      <c r="ML41" s="22">
        <f t="shared" si="164"/>
        <v>0</v>
      </c>
      <c r="MM41" s="22">
        <f t="shared" si="164"/>
        <v>0</v>
      </c>
      <c r="MN41" s="22">
        <f t="shared" si="164"/>
        <v>0</v>
      </c>
      <c r="MO41" s="22">
        <f t="shared" si="164"/>
        <v>0</v>
      </c>
      <c r="MP41" s="22">
        <f t="shared" si="164"/>
        <v>0</v>
      </c>
      <c r="MQ41" s="22">
        <f t="shared" si="164"/>
        <v>0</v>
      </c>
      <c r="MR41" s="22">
        <f t="shared" si="164"/>
        <v>0</v>
      </c>
      <c r="MS41" s="22">
        <f t="shared" si="164"/>
        <v>0</v>
      </c>
      <c r="MT41" s="22">
        <f t="shared" si="164"/>
        <v>0</v>
      </c>
      <c r="MU41" s="22">
        <f t="shared" si="164"/>
        <v>0</v>
      </c>
      <c r="MV41" s="22">
        <f t="shared" si="164"/>
        <v>0</v>
      </c>
      <c r="MW41" s="22">
        <f t="shared" si="164"/>
        <v>0</v>
      </c>
      <c r="MX41" s="22">
        <f t="shared" si="164"/>
        <v>0</v>
      </c>
      <c r="MY41" s="22">
        <f t="shared" si="164"/>
        <v>0</v>
      </c>
      <c r="MZ41" s="22">
        <f t="shared" si="164"/>
        <v>0</v>
      </c>
      <c r="NA41" s="22">
        <f t="shared" si="164"/>
        <v>0</v>
      </c>
      <c r="NB41" s="22">
        <f t="shared" si="164"/>
        <v>0</v>
      </c>
      <c r="NC41" s="22">
        <f t="shared" si="164"/>
        <v>0</v>
      </c>
      <c r="ND41" s="22">
        <f t="shared" si="164"/>
        <v>0</v>
      </c>
      <c r="NE41" s="22">
        <f t="shared" si="164"/>
        <v>0</v>
      </c>
      <c r="NF41" s="22">
        <f t="shared" si="164"/>
        <v>0</v>
      </c>
      <c r="NG41" s="22">
        <f t="shared" si="164"/>
        <v>0</v>
      </c>
      <c r="NH41" s="22">
        <f t="shared" si="164"/>
        <v>0</v>
      </c>
      <c r="NI41" s="22">
        <f t="shared" si="164"/>
        <v>0</v>
      </c>
      <c r="NJ41" s="22">
        <f t="shared" si="164"/>
        <v>0</v>
      </c>
      <c r="NK41" s="22">
        <f t="shared" si="164"/>
        <v>0</v>
      </c>
      <c r="NL41" s="22">
        <f t="shared" si="164"/>
        <v>0</v>
      </c>
      <c r="NM41" s="22">
        <f t="shared" si="164"/>
        <v>0</v>
      </c>
      <c r="NN41" s="22">
        <f t="shared" si="164"/>
        <v>0</v>
      </c>
      <c r="NO41" s="22">
        <f t="shared" si="164"/>
        <v>0</v>
      </c>
      <c r="NP41" s="22">
        <f t="shared" si="164"/>
        <v>0</v>
      </c>
      <c r="NQ41" s="22">
        <f t="shared" si="164"/>
        <v>0</v>
      </c>
      <c r="NR41" s="22">
        <f t="shared" si="164"/>
        <v>0</v>
      </c>
      <c r="NS41" s="22">
        <f t="shared" si="164"/>
        <v>0</v>
      </c>
      <c r="NT41" s="22">
        <f t="shared" si="164"/>
        <v>0</v>
      </c>
      <c r="NU41" s="22">
        <f t="shared" si="164"/>
        <v>0</v>
      </c>
      <c r="NV41" s="22">
        <f t="shared" si="164"/>
        <v>0</v>
      </c>
      <c r="NW41" s="22">
        <f t="shared" si="164"/>
        <v>0</v>
      </c>
      <c r="NX41" s="22">
        <f t="shared" si="164"/>
        <v>0</v>
      </c>
      <c r="NY41" s="22">
        <f t="shared" si="164"/>
        <v>0</v>
      </c>
      <c r="NZ41" s="22">
        <f t="shared" si="164"/>
        <v>0</v>
      </c>
      <c r="OA41" s="22">
        <f t="shared" ref="OA41:QL41" si="165">$E$41*OA32</f>
        <v>0</v>
      </c>
      <c r="OB41" s="22">
        <f t="shared" si="165"/>
        <v>0</v>
      </c>
      <c r="OC41" s="22">
        <f t="shared" si="165"/>
        <v>0</v>
      </c>
      <c r="OD41" s="22">
        <f t="shared" si="165"/>
        <v>0</v>
      </c>
      <c r="OE41" s="22">
        <f t="shared" si="165"/>
        <v>0</v>
      </c>
      <c r="OF41" s="22">
        <f t="shared" si="165"/>
        <v>0</v>
      </c>
      <c r="OG41" s="22">
        <f t="shared" si="165"/>
        <v>0</v>
      </c>
      <c r="OH41" s="22">
        <f t="shared" si="165"/>
        <v>0</v>
      </c>
      <c r="OI41" s="22">
        <f t="shared" si="165"/>
        <v>0</v>
      </c>
      <c r="OJ41" s="22">
        <f t="shared" si="165"/>
        <v>0</v>
      </c>
      <c r="OK41" s="22">
        <f t="shared" si="165"/>
        <v>0</v>
      </c>
      <c r="OL41" s="22">
        <f t="shared" si="165"/>
        <v>0</v>
      </c>
      <c r="OM41" s="22">
        <f t="shared" si="165"/>
        <v>0</v>
      </c>
      <c r="ON41" s="22">
        <f t="shared" si="165"/>
        <v>0</v>
      </c>
      <c r="OO41" s="22">
        <f t="shared" si="165"/>
        <v>0</v>
      </c>
      <c r="OP41" s="22">
        <f t="shared" si="165"/>
        <v>0</v>
      </c>
      <c r="OQ41" s="22">
        <f t="shared" si="165"/>
        <v>0</v>
      </c>
      <c r="OR41" s="22">
        <f t="shared" si="165"/>
        <v>0</v>
      </c>
      <c r="OS41" s="22">
        <f t="shared" si="165"/>
        <v>0</v>
      </c>
      <c r="OT41" s="22">
        <f t="shared" si="165"/>
        <v>0</v>
      </c>
      <c r="OU41" s="22">
        <f t="shared" si="165"/>
        <v>0</v>
      </c>
      <c r="OV41" s="22">
        <f t="shared" si="165"/>
        <v>0</v>
      </c>
      <c r="OW41" s="22">
        <f t="shared" si="165"/>
        <v>0</v>
      </c>
      <c r="OX41" s="22">
        <f t="shared" si="165"/>
        <v>0</v>
      </c>
      <c r="OY41" s="22">
        <f t="shared" si="165"/>
        <v>0</v>
      </c>
      <c r="OZ41" s="22">
        <f t="shared" si="165"/>
        <v>0</v>
      </c>
      <c r="PA41" s="22">
        <f t="shared" si="165"/>
        <v>0</v>
      </c>
      <c r="PB41" s="22">
        <f t="shared" si="165"/>
        <v>0</v>
      </c>
      <c r="PC41" s="22">
        <f t="shared" si="165"/>
        <v>0</v>
      </c>
      <c r="PD41" s="22">
        <f t="shared" si="165"/>
        <v>0</v>
      </c>
      <c r="PE41" s="22">
        <f t="shared" si="165"/>
        <v>0</v>
      </c>
      <c r="PF41" s="22">
        <f t="shared" si="165"/>
        <v>0</v>
      </c>
      <c r="PG41" s="22">
        <f t="shared" si="165"/>
        <v>0</v>
      </c>
      <c r="PH41" s="22">
        <f t="shared" si="165"/>
        <v>0</v>
      </c>
      <c r="PI41" s="22">
        <f t="shared" si="165"/>
        <v>0</v>
      </c>
      <c r="PJ41" s="22">
        <f t="shared" si="165"/>
        <v>0</v>
      </c>
      <c r="PK41" s="22">
        <f t="shared" si="165"/>
        <v>0</v>
      </c>
      <c r="PL41" s="22">
        <f t="shared" si="165"/>
        <v>0</v>
      </c>
      <c r="PM41" s="22">
        <f t="shared" si="165"/>
        <v>0</v>
      </c>
      <c r="PN41" s="22">
        <f t="shared" si="165"/>
        <v>0</v>
      </c>
      <c r="PO41" s="22">
        <f t="shared" si="165"/>
        <v>0</v>
      </c>
      <c r="PP41" s="22">
        <f t="shared" si="165"/>
        <v>0</v>
      </c>
      <c r="PQ41" s="22">
        <f t="shared" si="165"/>
        <v>0</v>
      </c>
      <c r="PR41" s="22">
        <f t="shared" si="165"/>
        <v>0</v>
      </c>
      <c r="PS41" s="22">
        <f t="shared" si="165"/>
        <v>0</v>
      </c>
      <c r="PT41" s="22">
        <f t="shared" si="165"/>
        <v>0</v>
      </c>
      <c r="PU41" s="22">
        <f t="shared" si="165"/>
        <v>0</v>
      </c>
      <c r="PV41" s="22">
        <f t="shared" si="165"/>
        <v>0</v>
      </c>
      <c r="PW41" s="22">
        <f t="shared" si="165"/>
        <v>0</v>
      </c>
      <c r="PX41" s="22">
        <f t="shared" si="165"/>
        <v>0</v>
      </c>
      <c r="PY41" s="22">
        <f t="shared" si="165"/>
        <v>0</v>
      </c>
      <c r="PZ41" s="22">
        <f t="shared" si="165"/>
        <v>0</v>
      </c>
      <c r="QA41" s="22">
        <f t="shared" si="165"/>
        <v>0</v>
      </c>
      <c r="QB41" s="22">
        <f t="shared" si="165"/>
        <v>0</v>
      </c>
      <c r="QC41" s="22">
        <f t="shared" si="165"/>
        <v>0</v>
      </c>
      <c r="QD41" s="22">
        <f t="shared" si="165"/>
        <v>0</v>
      </c>
      <c r="QE41" s="22">
        <f t="shared" si="165"/>
        <v>0</v>
      </c>
      <c r="QF41" s="22">
        <f t="shared" si="165"/>
        <v>0</v>
      </c>
      <c r="QG41" s="22">
        <f t="shared" si="165"/>
        <v>0</v>
      </c>
      <c r="QH41" s="22">
        <f t="shared" si="165"/>
        <v>0</v>
      </c>
      <c r="QI41" s="22">
        <f t="shared" si="165"/>
        <v>0</v>
      </c>
      <c r="QJ41" s="22">
        <f t="shared" si="165"/>
        <v>0</v>
      </c>
      <c r="QK41" s="22">
        <f t="shared" si="165"/>
        <v>0</v>
      </c>
      <c r="QL41" s="22">
        <f t="shared" si="165"/>
        <v>0</v>
      </c>
      <c r="QM41" s="22">
        <f t="shared" ref="QM41:SX41" si="166">$E$41*QM32</f>
        <v>0</v>
      </c>
      <c r="QN41" s="22">
        <f t="shared" si="166"/>
        <v>0</v>
      </c>
      <c r="QO41" s="22">
        <f t="shared" si="166"/>
        <v>0</v>
      </c>
      <c r="QP41" s="22">
        <f t="shared" si="166"/>
        <v>0</v>
      </c>
      <c r="QQ41" s="22">
        <f t="shared" si="166"/>
        <v>0</v>
      </c>
      <c r="QR41" s="22">
        <f t="shared" si="166"/>
        <v>0</v>
      </c>
      <c r="QS41" s="22">
        <f t="shared" si="166"/>
        <v>0</v>
      </c>
      <c r="QT41" s="22">
        <f t="shared" si="166"/>
        <v>0</v>
      </c>
      <c r="QU41" s="22">
        <f t="shared" si="166"/>
        <v>0</v>
      </c>
      <c r="QV41" s="22">
        <f t="shared" si="166"/>
        <v>0</v>
      </c>
      <c r="QW41" s="22">
        <f t="shared" si="166"/>
        <v>0</v>
      </c>
      <c r="QX41" s="22">
        <f t="shared" si="166"/>
        <v>0</v>
      </c>
      <c r="QY41" s="22">
        <f t="shared" si="166"/>
        <v>0</v>
      </c>
      <c r="QZ41" s="22">
        <f t="shared" si="166"/>
        <v>0</v>
      </c>
      <c r="RA41" s="22">
        <f t="shared" si="166"/>
        <v>0</v>
      </c>
      <c r="RB41" s="22">
        <f t="shared" si="166"/>
        <v>0</v>
      </c>
      <c r="RC41" s="22">
        <f t="shared" si="166"/>
        <v>0</v>
      </c>
      <c r="RD41" s="22">
        <f t="shared" si="166"/>
        <v>0</v>
      </c>
      <c r="RE41" s="22">
        <f t="shared" si="166"/>
        <v>0</v>
      </c>
      <c r="RF41" s="22">
        <f t="shared" si="166"/>
        <v>0</v>
      </c>
      <c r="RG41" s="22">
        <f t="shared" si="166"/>
        <v>0</v>
      </c>
      <c r="RH41" s="22">
        <f t="shared" si="166"/>
        <v>0</v>
      </c>
      <c r="RI41" s="22">
        <f t="shared" si="166"/>
        <v>0</v>
      </c>
      <c r="RJ41" s="22">
        <f t="shared" si="166"/>
        <v>0</v>
      </c>
      <c r="RK41" s="22">
        <f t="shared" si="166"/>
        <v>0</v>
      </c>
      <c r="RL41" s="22">
        <f t="shared" si="166"/>
        <v>0</v>
      </c>
      <c r="RM41" s="22">
        <f t="shared" si="166"/>
        <v>0</v>
      </c>
      <c r="RN41" s="22">
        <f t="shared" si="166"/>
        <v>0</v>
      </c>
      <c r="RO41" s="22">
        <f t="shared" si="166"/>
        <v>0</v>
      </c>
      <c r="RP41" s="22">
        <f t="shared" si="166"/>
        <v>0</v>
      </c>
      <c r="RQ41" s="22">
        <f t="shared" si="166"/>
        <v>0</v>
      </c>
      <c r="RR41" s="22">
        <f t="shared" si="166"/>
        <v>0</v>
      </c>
      <c r="RS41" s="22">
        <f t="shared" si="166"/>
        <v>0</v>
      </c>
      <c r="RT41" s="22">
        <f t="shared" si="166"/>
        <v>0</v>
      </c>
      <c r="RU41" s="22">
        <f t="shared" si="166"/>
        <v>0</v>
      </c>
      <c r="RV41" s="22">
        <f t="shared" si="166"/>
        <v>0</v>
      </c>
      <c r="RW41" s="22">
        <f t="shared" si="166"/>
        <v>0</v>
      </c>
      <c r="RX41" s="22">
        <f t="shared" si="166"/>
        <v>0</v>
      </c>
      <c r="RY41" s="22">
        <f t="shared" si="166"/>
        <v>0</v>
      </c>
      <c r="RZ41" s="22">
        <f t="shared" si="166"/>
        <v>0</v>
      </c>
      <c r="SA41" s="22">
        <f t="shared" si="166"/>
        <v>0</v>
      </c>
      <c r="SB41" s="22">
        <f t="shared" si="166"/>
        <v>0</v>
      </c>
      <c r="SC41" s="22">
        <f t="shared" si="166"/>
        <v>0</v>
      </c>
      <c r="SD41" s="22">
        <f t="shared" si="166"/>
        <v>0</v>
      </c>
      <c r="SE41" s="22">
        <f t="shared" si="166"/>
        <v>0</v>
      </c>
      <c r="SF41" s="22">
        <f t="shared" si="166"/>
        <v>0</v>
      </c>
      <c r="SG41" s="22">
        <f t="shared" si="166"/>
        <v>0</v>
      </c>
      <c r="SH41" s="22">
        <f t="shared" si="166"/>
        <v>0</v>
      </c>
      <c r="SI41" s="22">
        <f t="shared" si="166"/>
        <v>0</v>
      </c>
      <c r="SJ41" s="22">
        <f t="shared" si="166"/>
        <v>0</v>
      </c>
      <c r="SK41" s="22">
        <f t="shared" si="166"/>
        <v>0</v>
      </c>
      <c r="SL41" s="22">
        <f t="shared" si="166"/>
        <v>0</v>
      </c>
      <c r="SM41" s="22">
        <f t="shared" si="166"/>
        <v>0</v>
      </c>
      <c r="SN41" s="22">
        <f t="shared" si="166"/>
        <v>0</v>
      </c>
      <c r="SO41" s="22">
        <f t="shared" si="166"/>
        <v>0</v>
      </c>
      <c r="SP41" s="22">
        <f t="shared" si="166"/>
        <v>0</v>
      </c>
      <c r="SQ41" s="22">
        <f t="shared" si="166"/>
        <v>0</v>
      </c>
      <c r="SR41" s="22">
        <f t="shared" si="166"/>
        <v>0</v>
      </c>
      <c r="SS41" s="22">
        <f t="shared" si="166"/>
        <v>0</v>
      </c>
      <c r="ST41" s="22">
        <f t="shared" si="166"/>
        <v>0</v>
      </c>
      <c r="SU41" s="22">
        <f t="shared" si="166"/>
        <v>0</v>
      </c>
      <c r="SV41" s="22">
        <f t="shared" si="166"/>
        <v>0</v>
      </c>
      <c r="SW41" s="22">
        <f t="shared" si="166"/>
        <v>0</v>
      </c>
      <c r="SX41" s="22">
        <f t="shared" si="166"/>
        <v>0</v>
      </c>
      <c r="SY41" s="22">
        <f t="shared" ref="SY41:VJ41" si="167">$E$41*SY32</f>
        <v>0</v>
      </c>
      <c r="SZ41" s="22">
        <f t="shared" si="167"/>
        <v>0</v>
      </c>
      <c r="TA41" s="22">
        <f t="shared" si="167"/>
        <v>0</v>
      </c>
      <c r="TB41" s="22">
        <f t="shared" si="167"/>
        <v>0</v>
      </c>
      <c r="TC41" s="22">
        <f t="shared" si="167"/>
        <v>0</v>
      </c>
      <c r="TD41" s="22">
        <f t="shared" si="167"/>
        <v>0</v>
      </c>
      <c r="TE41" s="22">
        <f t="shared" si="167"/>
        <v>0</v>
      </c>
      <c r="TF41" s="22">
        <f t="shared" si="167"/>
        <v>0</v>
      </c>
      <c r="TG41" s="22">
        <f t="shared" si="167"/>
        <v>0</v>
      </c>
      <c r="TH41" s="22">
        <f t="shared" si="167"/>
        <v>0</v>
      </c>
      <c r="TI41" s="22">
        <f t="shared" si="167"/>
        <v>0</v>
      </c>
      <c r="TJ41" s="22">
        <f t="shared" si="167"/>
        <v>0</v>
      </c>
      <c r="TK41" s="22">
        <f t="shared" si="167"/>
        <v>0</v>
      </c>
      <c r="TL41" s="22">
        <f t="shared" si="167"/>
        <v>0</v>
      </c>
      <c r="TM41" s="22">
        <f t="shared" si="167"/>
        <v>0</v>
      </c>
      <c r="TN41" s="22">
        <f t="shared" si="167"/>
        <v>0</v>
      </c>
      <c r="TO41" s="22">
        <f t="shared" si="167"/>
        <v>0</v>
      </c>
      <c r="TP41" s="22">
        <f t="shared" si="167"/>
        <v>0</v>
      </c>
      <c r="TQ41" s="22">
        <f t="shared" si="167"/>
        <v>0</v>
      </c>
      <c r="TR41" s="22">
        <f t="shared" si="167"/>
        <v>0</v>
      </c>
      <c r="TS41" s="22">
        <f t="shared" si="167"/>
        <v>0</v>
      </c>
      <c r="TT41" s="22">
        <f t="shared" si="167"/>
        <v>0</v>
      </c>
      <c r="TU41" s="22">
        <f t="shared" si="167"/>
        <v>0</v>
      </c>
      <c r="TV41" s="22">
        <f t="shared" si="167"/>
        <v>0</v>
      </c>
      <c r="TW41" s="22">
        <f t="shared" si="167"/>
        <v>0</v>
      </c>
      <c r="TX41" s="22">
        <f t="shared" si="167"/>
        <v>0</v>
      </c>
      <c r="TY41" s="22">
        <f t="shared" si="167"/>
        <v>0</v>
      </c>
      <c r="TZ41" s="22">
        <f t="shared" si="167"/>
        <v>0</v>
      </c>
      <c r="UA41" s="22">
        <f t="shared" si="167"/>
        <v>0</v>
      </c>
      <c r="UB41" s="22">
        <f t="shared" si="167"/>
        <v>0</v>
      </c>
      <c r="UC41" s="22">
        <f t="shared" si="167"/>
        <v>0</v>
      </c>
      <c r="UD41" s="22">
        <f t="shared" si="167"/>
        <v>0</v>
      </c>
      <c r="UE41" s="22">
        <f t="shared" si="167"/>
        <v>0</v>
      </c>
      <c r="UF41" s="22">
        <f t="shared" si="167"/>
        <v>0</v>
      </c>
      <c r="UG41" s="22">
        <f t="shared" si="167"/>
        <v>0</v>
      </c>
      <c r="UH41" s="22">
        <f t="shared" si="167"/>
        <v>0</v>
      </c>
      <c r="UI41" s="22">
        <f t="shared" si="167"/>
        <v>0</v>
      </c>
      <c r="UJ41" s="22">
        <f t="shared" si="167"/>
        <v>0</v>
      </c>
      <c r="UK41" s="22">
        <f t="shared" si="167"/>
        <v>0</v>
      </c>
      <c r="UL41" s="22">
        <f t="shared" si="167"/>
        <v>0</v>
      </c>
      <c r="UM41" s="22">
        <f t="shared" si="167"/>
        <v>0</v>
      </c>
      <c r="UN41" s="22">
        <f t="shared" si="167"/>
        <v>0</v>
      </c>
      <c r="UO41" s="22">
        <f t="shared" si="167"/>
        <v>0</v>
      </c>
      <c r="UP41" s="22">
        <f t="shared" si="167"/>
        <v>0</v>
      </c>
      <c r="UQ41" s="22">
        <f t="shared" si="167"/>
        <v>0</v>
      </c>
      <c r="UR41" s="22">
        <f t="shared" si="167"/>
        <v>0</v>
      </c>
      <c r="US41" s="22">
        <f t="shared" si="167"/>
        <v>0</v>
      </c>
      <c r="UT41" s="22">
        <f t="shared" si="167"/>
        <v>0</v>
      </c>
      <c r="UU41" s="22">
        <f t="shared" si="167"/>
        <v>0</v>
      </c>
      <c r="UV41" s="22">
        <f t="shared" si="167"/>
        <v>0</v>
      </c>
      <c r="UW41" s="22">
        <f t="shared" si="167"/>
        <v>0</v>
      </c>
      <c r="UX41" s="22">
        <f t="shared" si="167"/>
        <v>0</v>
      </c>
      <c r="UY41" s="22">
        <f t="shared" si="167"/>
        <v>0</v>
      </c>
      <c r="UZ41" s="22">
        <f t="shared" si="167"/>
        <v>0</v>
      </c>
      <c r="VA41" s="22">
        <f t="shared" si="167"/>
        <v>0</v>
      </c>
      <c r="VB41" s="22">
        <f t="shared" si="167"/>
        <v>0</v>
      </c>
      <c r="VC41" s="22">
        <f t="shared" si="167"/>
        <v>0</v>
      </c>
      <c r="VD41" s="22">
        <f t="shared" si="167"/>
        <v>0</v>
      </c>
      <c r="VE41" s="22">
        <f t="shared" si="167"/>
        <v>0</v>
      </c>
      <c r="VF41" s="22">
        <f t="shared" si="167"/>
        <v>0</v>
      </c>
      <c r="VG41" s="22">
        <f t="shared" si="167"/>
        <v>0</v>
      </c>
      <c r="VH41" s="22">
        <f t="shared" si="167"/>
        <v>0</v>
      </c>
      <c r="VI41" s="22">
        <f t="shared" si="167"/>
        <v>0</v>
      </c>
      <c r="VJ41" s="22">
        <f t="shared" si="167"/>
        <v>0</v>
      </c>
      <c r="VK41" s="22">
        <f t="shared" ref="VK41:XV41" si="168">$E$41*VK32</f>
        <v>0</v>
      </c>
      <c r="VL41" s="22">
        <f t="shared" si="168"/>
        <v>0</v>
      </c>
      <c r="VM41" s="22">
        <f t="shared" si="168"/>
        <v>0</v>
      </c>
      <c r="VN41" s="22">
        <f t="shared" si="168"/>
        <v>0</v>
      </c>
      <c r="VO41" s="22">
        <f t="shared" si="168"/>
        <v>0</v>
      </c>
      <c r="VP41" s="22">
        <f t="shared" si="168"/>
        <v>0</v>
      </c>
      <c r="VQ41" s="22">
        <f t="shared" si="168"/>
        <v>0</v>
      </c>
      <c r="VR41" s="22">
        <f t="shared" si="168"/>
        <v>0</v>
      </c>
      <c r="VS41" s="22">
        <f t="shared" si="168"/>
        <v>0</v>
      </c>
      <c r="VT41" s="22">
        <f t="shared" si="168"/>
        <v>0</v>
      </c>
      <c r="VU41" s="22">
        <f t="shared" si="168"/>
        <v>0</v>
      </c>
      <c r="VV41" s="22">
        <f t="shared" si="168"/>
        <v>0</v>
      </c>
      <c r="VW41" s="22">
        <f t="shared" si="168"/>
        <v>0</v>
      </c>
      <c r="VX41" s="22">
        <f t="shared" si="168"/>
        <v>0</v>
      </c>
      <c r="VY41" s="22">
        <f t="shared" si="168"/>
        <v>0</v>
      </c>
      <c r="VZ41" s="22">
        <f t="shared" si="168"/>
        <v>0</v>
      </c>
      <c r="WA41" s="22">
        <f t="shared" si="168"/>
        <v>0</v>
      </c>
      <c r="WB41" s="22">
        <f t="shared" si="168"/>
        <v>0</v>
      </c>
      <c r="WC41" s="22">
        <f t="shared" si="168"/>
        <v>0</v>
      </c>
      <c r="WD41" s="22">
        <f t="shared" si="168"/>
        <v>0</v>
      </c>
      <c r="WE41" s="22">
        <f t="shared" si="168"/>
        <v>0</v>
      </c>
      <c r="WF41" s="22">
        <f t="shared" si="168"/>
        <v>0</v>
      </c>
      <c r="WG41" s="22">
        <f t="shared" si="168"/>
        <v>0</v>
      </c>
      <c r="WH41" s="22">
        <f t="shared" si="168"/>
        <v>0</v>
      </c>
      <c r="WI41" s="22">
        <f t="shared" si="168"/>
        <v>0</v>
      </c>
      <c r="WJ41" s="22">
        <f t="shared" si="168"/>
        <v>0</v>
      </c>
      <c r="WK41" s="22">
        <f t="shared" si="168"/>
        <v>0</v>
      </c>
      <c r="WL41" s="22">
        <f t="shared" si="168"/>
        <v>0</v>
      </c>
      <c r="WM41" s="22">
        <f t="shared" si="168"/>
        <v>0</v>
      </c>
      <c r="WN41" s="22">
        <f t="shared" si="168"/>
        <v>0</v>
      </c>
      <c r="WO41" s="22">
        <f t="shared" si="168"/>
        <v>0</v>
      </c>
      <c r="WP41" s="22">
        <f t="shared" si="168"/>
        <v>0</v>
      </c>
      <c r="WQ41" s="22">
        <f t="shared" si="168"/>
        <v>0</v>
      </c>
      <c r="WR41" s="22">
        <f t="shared" si="168"/>
        <v>0</v>
      </c>
      <c r="WS41" s="22">
        <f t="shared" si="168"/>
        <v>0</v>
      </c>
      <c r="WT41" s="22">
        <f t="shared" si="168"/>
        <v>0</v>
      </c>
      <c r="WU41" s="22">
        <f t="shared" si="168"/>
        <v>0</v>
      </c>
      <c r="WV41" s="22">
        <f t="shared" si="168"/>
        <v>0</v>
      </c>
      <c r="WW41" s="22">
        <f t="shared" si="168"/>
        <v>0</v>
      </c>
      <c r="WX41" s="22">
        <f t="shared" si="168"/>
        <v>0</v>
      </c>
      <c r="WY41" s="22">
        <f t="shared" si="168"/>
        <v>0</v>
      </c>
      <c r="WZ41" s="22">
        <f t="shared" si="168"/>
        <v>0</v>
      </c>
      <c r="XA41" s="22">
        <f t="shared" si="168"/>
        <v>0</v>
      </c>
      <c r="XB41" s="22">
        <f t="shared" si="168"/>
        <v>0</v>
      </c>
      <c r="XC41" s="22">
        <f t="shared" si="168"/>
        <v>0</v>
      </c>
      <c r="XD41" s="22">
        <f t="shared" si="168"/>
        <v>0</v>
      </c>
      <c r="XE41" s="22">
        <f t="shared" si="168"/>
        <v>0</v>
      </c>
      <c r="XF41" s="22">
        <f t="shared" si="168"/>
        <v>0</v>
      </c>
      <c r="XG41" s="22">
        <f t="shared" si="168"/>
        <v>0</v>
      </c>
      <c r="XH41" s="22">
        <f t="shared" si="168"/>
        <v>0</v>
      </c>
      <c r="XI41" s="22">
        <f t="shared" si="168"/>
        <v>0</v>
      </c>
      <c r="XJ41" s="22">
        <f t="shared" si="168"/>
        <v>0</v>
      </c>
      <c r="XK41" s="22">
        <f t="shared" si="168"/>
        <v>0</v>
      </c>
      <c r="XL41" s="22">
        <f t="shared" si="168"/>
        <v>0</v>
      </c>
      <c r="XM41" s="22">
        <f t="shared" si="168"/>
        <v>0</v>
      </c>
      <c r="XN41" s="22">
        <f t="shared" si="168"/>
        <v>0</v>
      </c>
      <c r="XO41" s="22">
        <f t="shared" si="168"/>
        <v>0</v>
      </c>
      <c r="XP41" s="22">
        <f t="shared" si="168"/>
        <v>0</v>
      </c>
      <c r="XQ41" s="22">
        <f t="shared" si="168"/>
        <v>0</v>
      </c>
      <c r="XR41" s="22">
        <f t="shared" si="168"/>
        <v>0</v>
      </c>
      <c r="XS41" s="22">
        <f t="shared" si="168"/>
        <v>0</v>
      </c>
      <c r="XT41" s="22">
        <f t="shared" si="168"/>
        <v>0</v>
      </c>
      <c r="XU41" s="22">
        <f t="shared" si="168"/>
        <v>0</v>
      </c>
      <c r="XV41" s="22">
        <f t="shared" si="168"/>
        <v>0</v>
      </c>
      <c r="XW41" s="22">
        <f t="shared" ref="XW41:AAH41" si="169">$E$41*XW32</f>
        <v>0</v>
      </c>
      <c r="XX41" s="22">
        <f t="shared" si="169"/>
        <v>0</v>
      </c>
      <c r="XY41" s="22">
        <f t="shared" si="169"/>
        <v>0</v>
      </c>
      <c r="XZ41" s="22">
        <f t="shared" si="169"/>
        <v>0</v>
      </c>
      <c r="YA41" s="22">
        <f t="shared" si="169"/>
        <v>0</v>
      </c>
      <c r="YB41" s="22">
        <f t="shared" si="169"/>
        <v>0</v>
      </c>
      <c r="YC41" s="22">
        <f t="shared" si="169"/>
        <v>0</v>
      </c>
      <c r="YD41" s="22">
        <f t="shared" si="169"/>
        <v>0</v>
      </c>
      <c r="YE41" s="22">
        <f t="shared" si="169"/>
        <v>0</v>
      </c>
      <c r="YF41" s="22">
        <f t="shared" si="169"/>
        <v>0</v>
      </c>
      <c r="YG41" s="22">
        <f t="shared" si="169"/>
        <v>0</v>
      </c>
      <c r="YH41" s="22">
        <f t="shared" si="169"/>
        <v>0</v>
      </c>
      <c r="YI41" s="22">
        <f t="shared" si="169"/>
        <v>0</v>
      </c>
      <c r="YJ41" s="22">
        <f t="shared" si="169"/>
        <v>0</v>
      </c>
      <c r="YK41" s="22">
        <f t="shared" si="169"/>
        <v>0</v>
      </c>
      <c r="YL41" s="22">
        <f t="shared" si="169"/>
        <v>0</v>
      </c>
      <c r="YM41" s="22">
        <f t="shared" si="169"/>
        <v>0</v>
      </c>
      <c r="YN41" s="22">
        <f t="shared" si="169"/>
        <v>0</v>
      </c>
      <c r="YO41" s="22">
        <f t="shared" si="169"/>
        <v>0</v>
      </c>
      <c r="YP41" s="22">
        <f t="shared" si="169"/>
        <v>0</v>
      </c>
      <c r="YQ41" s="22">
        <f t="shared" si="169"/>
        <v>0</v>
      </c>
      <c r="YR41" s="22">
        <f t="shared" si="169"/>
        <v>0</v>
      </c>
      <c r="YS41" s="22">
        <f t="shared" si="169"/>
        <v>0</v>
      </c>
      <c r="YT41" s="22">
        <f t="shared" si="169"/>
        <v>0</v>
      </c>
      <c r="YU41" s="22">
        <f t="shared" si="169"/>
        <v>0</v>
      </c>
      <c r="YV41" s="22">
        <f t="shared" si="169"/>
        <v>0</v>
      </c>
      <c r="YW41" s="22">
        <f t="shared" si="169"/>
        <v>0</v>
      </c>
      <c r="YX41" s="22">
        <f t="shared" si="169"/>
        <v>0</v>
      </c>
      <c r="YY41" s="22">
        <f t="shared" si="169"/>
        <v>0</v>
      </c>
      <c r="YZ41" s="22">
        <f t="shared" si="169"/>
        <v>0</v>
      </c>
      <c r="ZA41" s="22">
        <f t="shared" si="169"/>
        <v>0</v>
      </c>
      <c r="ZB41" s="22">
        <f t="shared" si="169"/>
        <v>0</v>
      </c>
      <c r="ZC41" s="22">
        <f t="shared" si="169"/>
        <v>0</v>
      </c>
      <c r="ZD41" s="22">
        <f t="shared" si="169"/>
        <v>0</v>
      </c>
      <c r="ZE41" s="22">
        <f t="shared" si="169"/>
        <v>0</v>
      </c>
      <c r="ZF41" s="22">
        <f t="shared" si="169"/>
        <v>0</v>
      </c>
      <c r="ZG41" s="22">
        <f t="shared" si="169"/>
        <v>0</v>
      </c>
      <c r="ZH41" s="22">
        <f t="shared" si="169"/>
        <v>0</v>
      </c>
      <c r="ZI41" s="22">
        <f t="shared" si="169"/>
        <v>0</v>
      </c>
      <c r="ZJ41" s="22">
        <f t="shared" si="169"/>
        <v>0</v>
      </c>
      <c r="ZK41" s="22">
        <f t="shared" si="169"/>
        <v>0</v>
      </c>
      <c r="ZL41" s="22">
        <f t="shared" si="169"/>
        <v>0</v>
      </c>
      <c r="ZM41" s="22">
        <f t="shared" si="169"/>
        <v>0</v>
      </c>
      <c r="ZN41" s="22">
        <f t="shared" si="169"/>
        <v>0</v>
      </c>
      <c r="ZO41" s="22">
        <f t="shared" si="169"/>
        <v>0</v>
      </c>
      <c r="ZP41" s="22">
        <f t="shared" si="169"/>
        <v>0</v>
      </c>
      <c r="ZQ41" s="22">
        <f t="shared" si="169"/>
        <v>0</v>
      </c>
      <c r="ZR41" s="22">
        <f t="shared" si="169"/>
        <v>0</v>
      </c>
      <c r="ZS41" s="22">
        <f t="shared" si="169"/>
        <v>0</v>
      </c>
      <c r="ZT41" s="22">
        <f t="shared" si="169"/>
        <v>0</v>
      </c>
      <c r="ZU41" s="22">
        <f t="shared" si="169"/>
        <v>0</v>
      </c>
      <c r="ZV41" s="22">
        <f t="shared" si="169"/>
        <v>0</v>
      </c>
      <c r="ZW41" s="22">
        <f t="shared" si="169"/>
        <v>0</v>
      </c>
      <c r="ZX41" s="22">
        <f t="shared" si="169"/>
        <v>0</v>
      </c>
      <c r="ZY41" s="22">
        <f t="shared" si="169"/>
        <v>0</v>
      </c>
      <c r="ZZ41" s="22">
        <f t="shared" si="169"/>
        <v>0</v>
      </c>
      <c r="AAA41" s="22">
        <f t="shared" si="169"/>
        <v>0</v>
      </c>
      <c r="AAB41" s="22">
        <f t="shared" si="169"/>
        <v>0</v>
      </c>
      <c r="AAC41" s="22">
        <f t="shared" si="169"/>
        <v>0</v>
      </c>
      <c r="AAD41" s="22">
        <f t="shared" si="169"/>
        <v>0</v>
      </c>
      <c r="AAE41" s="22">
        <f t="shared" si="169"/>
        <v>0</v>
      </c>
      <c r="AAF41" s="22">
        <f t="shared" si="169"/>
        <v>0</v>
      </c>
      <c r="AAG41" s="22">
        <f t="shared" si="169"/>
        <v>0</v>
      </c>
      <c r="AAH41" s="22">
        <f t="shared" si="169"/>
        <v>0</v>
      </c>
      <c r="AAI41" s="22">
        <f t="shared" ref="AAI41:ABI41" si="170">$E$41*AAI32</f>
        <v>0</v>
      </c>
      <c r="AAJ41" s="22">
        <f t="shared" si="170"/>
        <v>0</v>
      </c>
      <c r="AAK41" s="22">
        <f t="shared" si="170"/>
        <v>0</v>
      </c>
      <c r="AAL41" s="22">
        <f t="shared" si="170"/>
        <v>0</v>
      </c>
      <c r="AAM41" s="22">
        <f t="shared" si="170"/>
        <v>0</v>
      </c>
      <c r="AAN41" s="22">
        <f t="shared" si="170"/>
        <v>0</v>
      </c>
      <c r="AAO41" s="22">
        <f t="shared" si="170"/>
        <v>0</v>
      </c>
      <c r="AAP41" s="22">
        <f t="shared" si="170"/>
        <v>0</v>
      </c>
      <c r="AAQ41" s="22">
        <f t="shared" si="170"/>
        <v>0</v>
      </c>
      <c r="AAR41" s="22">
        <f t="shared" si="170"/>
        <v>0</v>
      </c>
      <c r="AAS41" s="22">
        <f t="shared" si="170"/>
        <v>0</v>
      </c>
      <c r="AAT41" s="22">
        <f t="shared" si="170"/>
        <v>0</v>
      </c>
      <c r="AAU41" s="22">
        <f t="shared" si="170"/>
        <v>0</v>
      </c>
      <c r="AAV41" s="22">
        <f t="shared" si="170"/>
        <v>0</v>
      </c>
      <c r="AAW41" s="22">
        <f t="shared" si="170"/>
        <v>0</v>
      </c>
      <c r="AAX41" s="22">
        <f t="shared" si="170"/>
        <v>0</v>
      </c>
      <c r="AAY41" s="22">
        <f t="shared" si="170"/>
        <v>0</v>
      </c>
      <c r="AAZ41" s="22">
        <f t="shared" si="170"/>
        <v>0</v>
      </c>
      <c r="ABA41" s="22">
        <f t="shared" si="170"/>
        <v>0</v>
      </c>
      <c r="ABB41" s="22">
        <f t="shared" si="170"/>
        <v>0</v>
      </c>
      <c r="ABC41" s="22">
        <f t="shared" si="170"/>
        <v>0</v>
      </c>
      <c r="ABD41" s="22">
        <f t="shared" si="170"/>
        <v>0</v>
      </c>
      <c r="ABE41" s="22">
        <f t="shared" si="170"/>
        <v>0</v>
      </c>
      <c r="ABF41" s="22">
        <f t="shared" si="170"/>
        <v>0</v>
      </c>
      <c r="ABG41" s="22">
        <f t="shared" si="170"/>
        <v>0</v>
      </c>
      <c r="ABH41" s="22">
        <f t="shared" si="170"/>
        <v>0</v>
      </c>
      <c r="ABI41" s="22">
        <f t="shared" si="170"/>
        <v>0</v>
      </c>
    </row>
    <row r="42" spans="2:737" ht="12.95" customHeight="1" x14ac:dyDescent="0.25">
      <c r="B42" s="24"/>
      <c r="C42" s="19">
        <f t="shared" si="146"/>
        <v>5891.5500000000193</v>
      </c>
      <c r="D42" s="20" t="s">
        <v>18</v>
      </c>
      <c r="E42" s="21">
        <v>32.550000000000004</v>
      </c>
      <c r="F42" s="22">
        <f>$E$42*F32</f>
        <v>32.550000000000004</v>
      </c>
      <c r="G42" s="22">
        <f t="shared" ref="G42:BR42" si="171">$E$42*G32</f>
        <v>32.550000000000004</v>
      </c>
      <c r="H42" s="23">
        <f>$E$42*H32</f>
        <v>32.550000000000004</v>
      </c>
      <c r="I42" s="22">
        <f t="shared" si="171"/>
        <v>32.550000000000004</v>
      </c>
      <c r="J42" s="22">
        <f t="shared" si="171"/>
        <v>32.550000000000004</v>
      </c>
      <c r="K42" s="22">
        <f t="shared" si="171"/>
        <v>32.550000000000004</v>
      </c>
      <c r="L42" s="22">
        <f t="shared" si="171"/>
        <v>32.550000000000004</v>
      </c>
      <c r="M42" s="22">
        <f t="shared" si="171"/>
        <v>32.550000000000004</v>
      </c>
      <c r="N42" s="22">
        <f t="shared" si="171"/>
        <v>32.550000000000004</v>
      </c>
      <c r="O42" s="22">
        <f t="shared" si="171"/>
        <v>32.550000000000004</v>
      </c>
      <c r="P42" s="22">
        <f t="shared" si="171"/>
        <v>32.550000000000004</v>
      </c>
      <c r="Q42" s="22">
        <f t="shared" si="171"/>
        <v>32.550000000000004</v>
      </c>
      <c r="R42" s="22">
        <f t="shared" si="171"/>
        <v>32.550000000000004</v>
      </c>
      <c r="S42" s="22">
        <f t="shared" si="171"/>
        <v>32.550000000000004</v>
      </c>
      <c r="T42" s="22">
        <f t="shared" si="171"/>
        <v>32.550000000000004</v>
      </c>
      <c r="U42" s="22">
        <f t="shared" si="171"/>
        <v>32.550000000000004</v>
      </c>
      <c r="V42" s="22">
        <f t="shared" si="171"/>
        <v>32.550000000000004</v>
      </c>
      <c r="W42" s="22">
        <f t="shared" si="171"/>
        <v>32.550000000000004</v>
      </c>
      <c r="X42" s="22">
        <f t="shared" si="171"/>
        <v>32.550000000000004</v>
      </c>
      <c r="Y42" s="22">
        <f t="shared" si="171"/>
        <v>32.550000000000004</v>
      </c>
      <c r="Z42" s="22">
        <f t="shared" si="171"/>
        <v>32.550000000000004</v>
      </c>
      <c r="AA42" s="22">
        <f t="shared" si="171"/>
        <v>32.550000000000004</v>
      </c>
      <c r="AB42" s="22">
        <f t="shared" si="171"/>
        <v>32.550000000000004</v>
      </c>
      <c r="AC42" s="22">
        <f t="shared" si="171"/>
        <v>32.550000000000004</v>
      </c>
      <c r="AD42" s="22">
        <f t="shared" si="171"/>
        <v>32.550000000000004</v>
      </c>
      <c r="AE42" s="22">
        <f t="shared" si="171"/>
        <v>32.550000000000004</v>
      </c>
      <c r="AF42" s="22">
        <f t="shared" si="171"/>
        <v>32.550000000000004</v>
      </c>
      <c r="AG42" s="22">
        <f t="shared" si="171"/>
        <v>32.550000000000004</v>
      </c>
      <c r="AH42" s="22">
        <f t="shared" si="171"/>
        <v>32.550000000000004</v>
      </c>
      <c r="AI42" s="22">
        <f t="shared" si="171"/>
        <v>32.550000000000004</v>
      </c>
      <c r="AJ42" s="22">
        <f t="shared" si="171"/>
        <v>32.550000000000004</v>
      </c>
      <c r="AK42" s="23">
        <f t="shared" si="171"/>
        <v>32.550000000000004</v>
      </c>
      <c r="AL42" s="22">
        <f t="shared" si="171"/>
        <v>32.550000000000004</v>
      </c>
      <c r="AM42" s="22">
        <f t="shared" si="171"/>
        <v>32.550000000000004</v>
      </c>
      <c r="AN42" s="22">
        <f t="shared" si="171"/>
        <v>32.550000000000004</v>
      </c>
      <c r="AO42" s="22">
        <f t="shared" si="171"/>
        <v>32.550000000000004</v>
      </c>
      <c r="AP42" s="22">
        <f t="shared" si="171"/>
        <v>32.550000000000004</v>
      </c>
      <c r="AQ42" s="22">
        <f t="shared" si="171"/>
        <v>32.550000000000004</v>
      </c>
      <c r="AR42" s="22">
        <f t="shared" si="171"/>
        <v>32.550000000000004</v>
      </c>
      <c r="AS42" s="22">
        <f t="shared" si="171"/>
        <v>32.550000000000004</v>
      </c>
      <c r="AT42" s="22">
        <f t="shared" si="171"/>
        <v>32.550000000000004</v>
      </c>
      <c r="AU42" s="22">
        <f t="shared" si="171"/>
        <v>32.550000000000004</v>
      </c>
      <c r="AV42" s="22">
        <f t="shared" si="171"/>
        <v>32.550000000000004</v>
      </c>
      <c r="AW42" s="22">
        <f t="shared" si="171"/>
        <v>32.550000000000004</v>
      </c>
      <c r="AX42" s="22">
        <f t="shared" si="171"/>
        <v>32.550000000000004</v>
      </c>
      <c r="AY42" s="22">
        <f t="shared" si="171"/>
        <v>32.550000000000004</v>
      </c>
      <c r="AZ42" s="22">
        <f t="shared" si="171"/>
        <v>32.550000000000004</v>
      </c>
      <c r="BA42" s="22">
        <f t="shared" si="171"/>
        <v>32.550000000000004</v>
      </c>
      <c r="BB42" s="22">
        <f t="shared" si="171"/>
        <v>32.550000000000004</v>
      </c>
      <c r="BC42" s="22">
        <f t="shared" si="171"/>
        <v>32.550000000000004</v>
      </c>
      <c r="BD42" s="22">
        <f t="shared" si="171"/>
        <v>32.550000000000004</v>
      </c>
      <c r="BE42" s="22">
        <f t="shared" si="171"/>
        <v>32.550000000000004</v>
      </c>
      <c r="BF42" s="22">
        <f t="shared" si="171"/>
        <v>32.550000000000004</v>
      </c>
      <c r="BG42" s="22">
        <f t="shared" si="171"/>
        <v>32.550000000000004</v>
      </c>
      <c r="BH42" s="22">
        <f t="shared" si="171"/>
        <v>32.550000000000004</v>
      </c>
      <c r="BI42" s="22">
        <f t="shared" si="171"/>
        <v>32.550000000000004</v>
      </c>
      <c r="BJ42" s="22">
        <f t="shared" si="171"/>
        <v>32.550000000000004</v>
      </c>
      <c r="BK42" s="22">
        <f t="shared" si="171"/>
        <v>32.550000000000004</v>
      </c>
      <c r="BL42" s="22">
        <f t="shared" si="171"/>
        <v>32.550000000000004</v>
      </c>
      <c r="BM42" s="22">
        <f t="shared" si="171"/>
        <v>32.550000000000004</v>
      </c>
      <c r="BN42" s="22">
        <f t="shared" si="171"/>
        <v>32.550000000000004</v>
      </c>
      <c r="BO42" s="22">
        <f t="shared" si="171"/>
        <v>32.550000000000004</v>
      </c>
      <c r="BP42" s="22">
        <f t="shared" si="171"/>
        <v>32.550000000000004</v>
      </c>
      <c r="BQ42" s="22">
        <f t="shared" si="171"/>
        <v>32.550000000000004</v>
      </c>
      <c r="BR42" s="22">
        <f t="shared" si="171"/>
        <v>32.550000000000004</v>
      </c>
      <c r="BS42" s="22">
        <f t="shared" ref="BS42:ED42" si="172">$E$42*BS32</f>
        <v>32.550000000000004</v>
      </c>
      <c r="BT42" s="22">
        <f t="shared" si="172"/>
        <v>32.550000000000004</v>
      </c>
      <c r="BU42" s="22">
        <f t="shared" si="172"/>
        <v>32.550000000000004</v>
      </c>
      <c r="BV42" s="22">
        <f t="shared" si="172"/>
        <v>32.550000000000004</v>
      </c>
      <c r="BW42" s="22">
        <f t="shared" si="172"/>
        <v>32.550000000000004</v>
      </c>
      <c r="BX42" s="22">
        <f t="shared" si="172"/>
        <v>32.550000000000004</v>
      </c>
      <c r="BY42" s="22">
        <f t="shared" si="172"/>
        <v>32.550000000000004</v>
      </c>
      <c r="BZ42" s="22">
        <f t="shared" si="172"/>
        <v>32.550000000000004</v>
      </c>
      <c r="CA42" s="22">
        <f t="shared" si="172"/>
        <v>32.550000000000004</v>
      </c>
      <c r="CB42" s="22">
        <f t="shared" si="172"/>
        <v>32.550000000000004</v>
      </c>
      <c r="CC42" s="22">
        <f t="shared" si="172"/>
        <v>32.550000000000004</v>
      </c>
      <c r="CD42" s="22">
        <f t="shared" si="172"/>
        <v>32.550000000000004</v>
      </c>
      <c r="CE42" s="22">
        <f t="shared" si="172"/>
        <v>32.550000000000004</v>
      </c>
      <c r="CF42" s="22">
        <f t="shared" si="172"/>
        <v>32.550000000000004</v>
      </c>
      <c r="CG42" s="22">
        <f t="shared" si="172"/>
        <v>32.550000000000004</v>
      </c>
      <c r="CH42" s="22">
        <f t="shared" si="172"/>
        <v>32.550000000000004</v>
      </c>
      <c r="CI42" s="22">
        <f t="shared" si="172"/>
        <v>32.550000000000004</v>
      </c>
      <c r="CJ42" s="22">
        <f t="shared" si="172"/>
        <v>32.550000000000004</v>
      </c>
      <c r="CK42" s="22">
        <f t="shared" si="172"/>
        <v>32.550000000000004</v>
      </c>
      <c r="CL42" s="22">
        <f t="shared" si="172"/>
        <v>32.550000000000004</v>
      </c>
      <c r="CM42" s="22">
        <f t="shared" si="172"/>
        <v>32.550000000000004</v>
      </c>
      <c r="CN42" s="22">
        <f t="shared" si="172"/>
        <v>32.550000000000004</v>
      </c>
      <c r="CO42" s="22">
        <f t="shared" si="172"/>
        <v>32.550000000000004</v>
      </c>
      <c r="CP42" s="22">
        <f t="shared" si="172"/>
        <v>32.550000000000004</v>
      </c>
      <c r="CQ42" s="22">
        <f t="shared" si="172"/>
        <v>32.550000000000004</v>
      </c>
      <c r="CR42" s="22">
        <f t="shared" si="172"/>
        <v>32.550000000000004</v>
      </c>
      <c r="CS42" s="22">
        <f t="shared" si="172"/>
        <v>32.550000000000004</v>
      </c>
      <c r="CT42" s="22">
        <f t="shared" si="172"/>
        <v>32.550000000000004</v>
      </c>
      <c r="CU42" s="22">
        <f t="shared" si="172"/>
        <v>32.550000000000004</v>
      </c>
      <c r="CV42" s="22">
        <f t="shared" si="172"/>
        <v>32.550000000000004</v>
      </c>
      <c r="CW42" s="22">
        <f t="shared" si="172"/>
        <v>32.550000000000004</v>
      </c>
      <c r="CX42" s="22">
        <f t="shared" si="172"/>
        <v>32.550000000000004</v>
      </c>
      <c r="CY42" s="22">
        <f t="shared" si="172"/>
        <v>32.550000000000004</v>
      </c>
      <c r="CZ42" s="22">
        <f t="shared" si="172"/>
        <v>32.550000000000004</v>
      </c>
      <c r="DA42" s="22">
        <f t="shared" si="172"/>
        <v>32.550000000000004</v>
      </c>
      <c r="DB42" s="22">
        <f t="shared" si="172"/>
        <v>32.550000000000004</v>
      </c>
      <c r="DC42" s="22">
        <f t="shared" si="172"/>
        <v>32.550000000000004</v>
      </c>
      <c r="DD42" s="22">
        <f t="shared" si="172"/>
        <v>32.550000000000004</v>
      </c>
      <c r="DE42" s="22">
        <f t="shared" si="172"/>
        <v>32.550000000000004</v>
      </c>
      <c r="DF42" s="22">
        <f t="shared" si="172"/>
        <v>32.550000000000004</v>
      </c>
      <c r="DG42" s="22">
        <f t="shared" si="172"/>
        <v>32.550000000000004</v>
      </c>
      <c r="DH42" s="22">
        <f t="shared" si="172"/>
        <v>32.550000000000004</v>
      </c>
      <c r="DI42" s="22">
        <f t="shared" si="172"/>
        <v>32.550000000000004</v>
      </c>
      <c r="DJ42" s="22">
        <f t="shared" si="172"/>
        <v>32.550000000000004</v>
      </c>
      <c r="DK42" s="22">
        <f t="shared" si="172"/>
        <v>32.550000000000004</v>
      </c>
      <c r="DL42" s="22">
        <f t="shared" si="172"/>
        <v>32.550000000000004</v>
      </c>
      <c r="DM42" s="22">
        <f t="shared" si="172"/>
        <v>32.550000000000004</v>
      </c>
      <c r="DN42" s="22">
        <f t="shared" si="172"/>
        <v>32.550000000000004</v>
      </c>
      <c r="DO42" s="22">
        <f t="shared" si="172"/>
        <v>32.550000000000004</v>
      </c>
      <c r="DP42" s="22">
        <f t="shared" si="172"/>
        <v>32.550000000000004</v>
      </c>
      <c r="DQ42" s="22">
        <f t="shared" si="172"/>
        <v>32.550000000000004</v>
      </c>
      <c r="DR42" s="22">
        <f t="shared" si="172"/>
        <v>32.550000000000004</v>
      </c>
      <c r="DS42" s="22">
        <f t="shared" si="172"/>
        <v>32.550000000000004</v>
      </c>
      <c r="DT42" s="22">
        <f t="shared" si="172"/>
        <v>32.550000000000004</v>
      </c>
      <c r="DU42" s="22">
        <f t="shared" si="172"/>
        <v>32.550000000000004</v>
      </c>
      <c r="DV42" s="22">
        <f t="shared" si="172"/>
        <v>32.550000000000004</v>
      </c>
      <c r="DW42" s="22">
        <f t="shared" si="172"/>
        <v>32.550000000000004</v>
      </c>
      <c r="DX42" s="22">
        <f t="shared" si="172"/>
        <v>32.550000000000004</v>
      </c>
      <c r="DY42" s="22">
        <f t="shared" si="172"/>
        <v>32.550000000000004</v>
      </c>
      <c r="DZ42" s="22">
        <f t="shared" si="172"/>
        <v>32.550000000000004</v>
      </c>
      <c r="EA42" s="22">
        <f t="shared" si="172"/>
        <v>32.550000000000004</v>
      </c>
      <c r="EB42" s="22">
        <f t="shared" si="172"/>
        <v>32.550000000000004</v>
      </c>
      <c r="EC42" s="22">
        <f t="shared" si="172"/>
        <v>32.550000000000004</v>
      </c>
      <c r="ED42" s="22">
        <f t="shared" si="172"/>
        <v>32.550000000000004</v>
      </c>
      <c r="EE42" s="22">
        <f t="shared" ref="EE42:GP42" si="173">$E$42*EE32</f>
        <v>32.550000000000004</v>
      </c>
      <c r="EF42" s="22">
        <f t="shared" si="173"/>
        <v>32.550000000000004</v>
      </c>
      <c r="EG42" s="22">
        <f t="shared" si="173"/>
        <v>32.550000000000004</v>
      </c>
      <c r="EH42" s="22">
        <f t="shared" si="173"/>
        <v>32.550000000000004</v>
      </c>
      <c r="EI42" s="22">
        <f t="shared" si="173"/>
        <v>32.550000000000004</v>
      </c>
      <c r="EJ42" s="22">
        <f t="shared" si="173"/>
        <v>32.550000000000004</v>
      </c>
      <c r="EK42" s="22">
        <f t="shared" si="173"/>
        <v>32.550000000000004</v>
      </c>
      <c r="EL42" s="22">
        <f t="shared" si="173"/>
        <v>32.550000000000004</v>
      </c>
      <c r="EM42" s="22">
        <f t="shared" si="173"/>
        <v>32.550000000000004</v>
      </c>
      <c r="EN42" s="22">
        <f t="shared" si="173"/>
        <v>32.550000000000004</v>
      </c>
      <c r="EO42" s="22">
        <f t="shared" si="173"/>
        <v>32.550000000000004</v>
      </c>
      <c r="EP42" s="22">
        <f t="shared" si="173"/>
        <v>32.550000000000004</v>
      </c>
      <c r="EQ42" s="22">
        <f t="shared" si="173"/>
        <v>32.550000000000004</v>
      </c>
      <c r="ER42" s="22">
        <f t="shared" si="173"/>
        <v>32.550000000000004</v>
      </c>
      <c r="ES42" s="22">
        <f t="shared" si="173"/>
        <v>32.550000000000004</v>
      </c>
      <c r="ET42" s="22">
        <f t="shared" si="173"/>
        <v>32.550000000000004</v>
      </c>
      <c r="EU42" s="22">
        <f t="shared" si="173"/>
        <v>32.550000000000004</v>
      </c>
      <c r="EV42" s="22">
        <f t="shared" si="173"/>
        <v>32.550000000000004</v>
      </c>
      <c r="EW42" s="22">
        <f t="shared" si="173"/>
        <v>32.550000000000004</v>
      </c>
      <c r="EX42" s="22">
        <f t="shared" si="173"/>
        <v>32.550000000000004</v>
      </c>
      <c r="EY42" s="22">
        <f t="shared" si="173"/>
        <v>32.550000000000004</v>
      </c>
      <c r="EZ42" s="22">
        <f t="shared" si="173"/>
        <v>32.550000000000004</v>
      </c>
      <c r="FA42" s="22">
        <f t="shared" si="173"/>
        <v>32.550000000000004</v>
      </c>
      <c r="FB42" s="22">
        <f t="shared" si="173"/>
        <v>32.550000000000004</v>
      </c>
      <c r="FC42" s="22">
        <f t="shared" si="173"/>
        <v>32.550000000000004</v>
      </c>
      <c r="FD42" s="22">
        <f t="shared" si="173"/>
        <v>32.550000000000004</v>
      </c>
      <c r="FE42" s="22">
        <f t="shared" si="173"/>
        <v>32.550000000000004</v>
      </c>
      <c r="FF42" s="22">
        <f t="shared" si="173"/>
        <v>32.550000000000004</v>
      </c>
      <c r="FG42" s="22">
        <f t="shared" si="173"/>
        <v>32.550000000000004</v>
      </c>
      <c r="FH42" s="22">
        <f t="shared" si="173"/>
        <v>32.550000000000004</v>
      </c>
      <c r="FI42" s="22">
        <f t="shared" si="173"/>
        <v>32.550000000000004</v>
      </c>
      <c r="FJ42" s="22">
        <f t="shared" si="173"/>
        <v>32.550000000000004</v>
      </c>
      <c r="FK42" s="22">
        <f t="shared" si="173"/>
        <v>32.550000000000004</v>
      </c>
      <c r="FL42" s="22">
        <f t="shared" si="173"/>
        <v>32.550000000000004</v>
      </c>
      <c r="FM42" s="22">
        <f t="shared" si="173"/>
        <v>32.550000000000004</v>
      </c>
      <c r="FN42" s="22">
        <f t="shared" si="173"/>
        <v>32.550000000000004</v>
      </c>
      <c r="FO42" s="22">
        <f t="shared" si="173"/>
        <v>32.550000000000004</v>
      </c>
      <c r="FP42" s="22">
        <f t="shared" si="173"/>
        <v>32.550000000000004</v>
      </c>
      <c r="FQ42" s="22">
        <f t="shared" si="173"/>
        <v>32.550000000000004</v>
      </c>
      <c r="FR42" s="22">
        <f t="shared" si="173"/>
        <v>32.550000000000004</v>
      </c>
      <c r="FS42" s="22">
        <f t="shared" si="173"/>
        <v>32.550000000000004</v>
      </c>
      <c r="FT42" s="22">
        <f t="shared" si="173"/>
        <v>32.550000000000004</v>
      </c>
      <c r="FU42" s="22">
        <f t="shared" si="173"/>
        <v>32.550000000000004</v>
      </c>
      <c r="FV42" s="22">
        <f t="shared" si="173"/>
        <v>32.550000000000004</v>
      </c>
      <c r="FW42" s="22">
        <f t="shared" si="173"/>
        <v>32.550000000000004</v>
      </c>
      <c r="FX42" s="22">
        <f t="shared" si="173"/>
        <v>32.550000000000004</v>
      </c>
      <c r="FY42" s="22">
        <f t="shared" si="173"/>
        <v>32.550000000000004</v>
      </c>
      <c r="FZ42" s="22">
        <f t="shared" si="173"/>
        <v>32.550000000000004</v>
      </c>
      <c r="GA42" s="22">
        <f t="shared" si="173"/>
        <v>32.550000000000004</v>
      </c>
      <c r="GB42" s="22">
        <f t="shared" si="173"/>
        <v>32.550000000000004</v>
      </c>
      <c r="GC42" s="22">
        <f t="shared" si="173"/>
        <v>32.550000000000004</v>
      </c>
      <c r="GD42" s="22">
        <f t="shared" si="173"/>
        <v>32.550000000000004</v>
      </c>
      <c r="GE42" s="22">
        <f t="shared" si="173"/>
        <v>0</v>
      </c>
      <c r="GF42" s="22">
        <f t="shared" si="173"/>
        <v>0</v>
      </c>
      <c r="GG42" s="22">
        <f t="shared" si="173"/>
        <v>0</v>
      </c>
      <c r="GH42" s="22">
        <f t="shared" si="173"/>
        <v>0</v>
      </c>
      <c r="GI42" s="22">
        <f t="shared" si="173"/>
        <v>0</v>
      </c>
      <c r="GJ42" s="22">
        <f t="shared" si="173"/>
        <v>0</v>
      </c>
      <c r="GK42" s="22">
        <f t="shared" si="173"/>
        <v>0</v>
      </c>
      <c r="GL42" s="22">
        <f t="shared" si="173"/>
        <v>0</v>
      </c>
      <c r="GM42" s="22">
        <f t="shared" si="173"/>
        <v>0</v>
      </c>
      <c r="GN42" s="22">
        <f t="shared" si="173"/>
        <v>0</v>
      </c>
      <c r="GO42" s="22">
        <f t="shared" si="173"/>
        <v>0</v>
      </c>
      <c r="GP42" s="22">
        <f t="shared" si="173"/>
        <v>0</v>
      </c>
      <c r="GQ42" s="22">
        <f t="shared" ref="GQ42:JB42" si="174">$E$42*GQ32</f>
        <v>0</v>
      </c>
      <c r="GR42" s="22">
        <f t="shared" si="174"/>
        <v>0</v>
      </c>
      <c r="GS42" s="22">
        <f t="shared" si="174"/>
        <v>0</v>
      </c>
      <c r="GT42" s="22">
        <f t="shared" si="174"/>
        <v>0</v>
      </c>
      <c r="GU42" s="22">
        <f t="shared" si="174"/>
        <v>0</v>
      </c>
      <c r="GV42" s="22">
        <f t="shared" si="174"/>
        <v>0</v>
      </c>
      <c r="GW42" s="22">
        <f t="shared" si="174"/>
        <v>0</v>
      </c>
      <c r="GX42" s="22">
        <f t="shared" si="174"/>
        <v>0</v>
      </c>
      <c r="GY42" s="22">
        <f t="shared" si="174"/>
        <v>0</v>
      </c>
      <c r="GZ42" s="22">
        <f t="shared" si="174"/>
        <v>0</v>
      </c>
      <c r="HA42" s="22">
        <f t="shared" si="174"/>
        <v>0</v>
      </c>
      <c r="HB42" s="22">
        <f t="shared" si="174"/>
        <v>0</v>
      </c>
      <c r="HC42" s="22">
        <f t="shared" si="174"/>
        <v>0</v>
      </c>
      <c r="HD42" s="22">
        <f t="shared" si="174"/>
        <v>0</v>
      </c>
      <c r="HE42" s="22">
        <f t="shared" si="174"/>
        <v>0</v>
      </c>
      <c r="HF42" s="22">
        <f t="shared" si="174"/>
        <v>0</v>
      </c>
      <c r="HG42" s="22">
        <f t="shared" si="174"/>
        <v>0</v>
      </c>
      <c r="HH42" s="22">
        <f t="shared" si="174"/>
        <v>0</v>
      </c>
      <c r="HI42" s="22">
        <f t="shared" si="174"/>
        <v>0</v>
      </c>
      <c r="HJ42" s="22">
        <f t="shared" si="174"/>
        <v>0</v>
      </c>
      <c r="HK42" s="22">
        <f t="shared" si="174"/>
        <v>0</v>
      </c>
      <c r="HL42" s="22">
        <f t="shared" si="174"/>
        <v>0</v>
      </c>
      <c r="HM42" s="22">
        <f t="shared" si="174"/>
        <v>0</v>
      </c>
      <c r="HN42" s="22">
        <f t="shared" si="174"/>
        <v>0</v>
      </c>
      <c r="HO42" s="22">
        <f t="shared" si="174"/>
        <v>0</v>
      </c>
      <c r="HP42" s="22">
        <f t="shared" si="174"/>
        <v>0</v>
      </c>
      <c r="HQ42" s="22">
        <f t="shared" si="174"/>
        <v>0</v>
      </c>
      <c r="HR42" s="22">
        <f t="shared" si="174"/>
        <v>0</v>
      </c>
      <c r="HS42" s="22">
        <f t="shared" si="174"/>
        <v>0</v>
      </c>
      <c r="HT42" s="22">
        <f t="shared" si="174"/>
        <v>0</v>
      </c>
      <c r="HU42" s="22">
        <f t="shared" si="174"/>
        <v>0</v>
      </c>
      <c r="HV42" s="22">
        <f t="shared" si="174"/>
        <v>0</v>
      </c>
      <c r="HW42" s="22">
        <f t="shared" si="174"/>
        <v>0</v>
      </c>
      <c r="HX42" s="22">
        <f t="shared" si="174"/>
        <v>0</v>
      </c>
      <c r="HY42" s="22">
        <f t="shared" si="174"/>
        <v>0</v>
      </c>
      <c r="HZ42" s="22">
        <f t="shared" si="174"/>
        <v>0</v>
      </c>
      <c r="IA42" s="22">
        <f t="shared" si="174"/>
        <v>0</v>
      </c>
      <c r="IB42" s="22">
        <f t="shared" si="174"/>
        <v>0</v>
      </c>
      <c r="IC42" s="22">
        <f t="shared" si="174"/>
        <v>0</v>
      </c>
      <c r="ID42" s="22">
        <f t="shared" si="174"/>
        <v>0</v>
      </c>
      <c r="IE42" s="22">
        <f t="shared" si="174"/>
        <v>0</v>
      </c>
      <c r="IF42" s="22">
        <f t="shared" si="174"/>
        <v>0</v>
      </c>
      <c r="IG42" s="22">
        <f t="shared" si="174"/>
        <v>0</v>
      </c>
      <c r="IH42" s="22">
        <f t="shared" si="174"/>
        <v>0</v>
      </c>
      <c r="II42" s="22">
        <f t="shared" si="174"/>
        <v>0</v>
      </c>
      <c r="IJ42" s="22">
        <f t="shared" si="174"/>
        <v>0</v>
      </c>
      <c r="IK42" s="22">
        <f t="shared" si="174"/>
        <v>0</v>
      </c>
      <c r="IL42" s="22">
        <f t="shared" si="174"/>
        <v>0</v>
      </c>
      <c r="IM42" s="22">
        <f t="shared" si="174"/>
        <v>0</v>
      </c>
      <c r="IN42" s="22">
        <f t="shared" si="174"/>
        <v>0</v>
      </c>
      <c r="IO42" s="22">
        <f t="shared" si="174"/>
        <v>0</v>
      </c>
      <c r="IP42" s="22">
        <f t="shared" si="174"/>
        <v>0</v>
      </c>
      <c r="IQ42" s="22">
        <f t="shared" si="174"/>
        <v>0</v>
      </c>
      <c r="IR42" s="22">
        <f t="shared" si="174"/>
        <v>0</v>
      </c>
      <c r="IS42" s="22">
        <f t="shared" si="174"/>
        <v>0</v>
      </c>
      <c r="IT42" s="22">
        <f t="shared" si="174"/>
        <v>0</v>
      </c>
      <c r="IU42" s="22">
        <f t="shared" si="174"/>
        <v>0</v>
      </c>
      <c r="IV42" s="22">
        <f t="shared" si="174"/>
        <v>0</v>
      </c>
      <c r="IW42" s="22">
        <f t="shared" si="174"/>
        <v>0</v>
      </c>
      <c r="IX42" s="22">
        <f t="shared" si="174"/>
        <v>0</v>
      </c>
      <c r="IY42" s="22">
        <f t="shared" si="174"/>
        <v>0</v>
      </c>
      <c r="IZ42" s="22">
        <f t="shared" si="174"/>
        <v>0</v>
      </c>
      <c r="JA42" s="22">
        <f t="shared" si="174"/>
        <v>0</v>
      </c>
      <c r="JB42" s="22">
        <f t="shared" si="174"/>
        <v>0</v>
      </c>
      <c r="JC42" s="22">
        <f t="shared" ref="JC42:LN42" si="175">$E$42*JC32</f>
        <v>0</v>
      </c>
      <c r="JD42" s="22">
        <f t="shared" si="175"/>
        <v>0</v>
      </c>
      <c r="JE42" s="22">
        <f t="shared" si="175"/>
        <v>0</v>
      </c>
      <c r="JF42" s="22">
        <f t="shared" si="175"/>
        <v>0</v>
      </c>
      <c r="JG42" s="22">
        <f t="shared" si="175"/>
        <v>0</v>
      </c>
      <c r="JH42" s="22">
        <f t="shared" si="175"/>
        <v>0</v>
      </c>
      <c r="JI42" s="22">
        <f t="shared" si="175"/>
        <v>0</v>
      </c>
      <c r="JJ42" s="22">
        <f t="shared" si="175"/>
        <v>0</v>
      </c>
      <c r="JK42" s="22">
        <f t="shared" si="175"/>
        <v>0</v>
      </c>
      <c r="JL42" s="22">
        <f t="shared" si="175"/>
        <v>0</v>
      </c>
      <c r="JM42" s="22">
        <f t="shared" si="175"/>
        <v>0</v>
      </c>
      <c r="JN42" s="22">
        <f t="shared" si="175"/>
        <v>0</v>
      </c>
      <c r="JO42" s="22">
        <f t="shared" si="175"/>
        <v>0</v>
      </c>
      <c r="JP42" s="22">
        <f t="shared" si="175"/>
        <v>0</v>
      </c>
      <c r="JQ42" s="22">
        <f t="shared" si="175"/>
        <v>0</v>
      </c>
      <c r="JR42" s="22">
        <f t="shared" si="175"/>
        <v>0</v>
      </c>
      <c r="JS42" s="22">
        <f t="shared" si="175"/>
        <v>0</v>
      </c>
      <c r="JT42" s="22">
        <f t="shared" si="175"/>
        <v>0</v>
      </c>
      <c r="JU42" s="22">
        <f t="shared" si="175"/>
        <v>0</v>
      </c>
      <c r="JV42" s="22">
        <f t="shared" si="175"/>
        <v>0</v>
      </c>
      <c r="JW42" s="22">
        <f t="shared" si="175"/>
        <v>0</v>
      </c>
      <c r="JX42" s="22">
        <f t="shared" si="175"/>
        <v>0</v>
      </c>
      <c r="JY42" s="22">
        <f t="shared" si="175"/>
        <v>0</v>
      </c>
      <c r="JZ42" s="22">
        <f t="shared" si="175"/>
        <v>0</v>
      </c>
      <c r="KA42" s="22">
        <f t="shared" si="175"/>
        <v>0</v>
      </c>
      <c r="KB42" s="22">
        <f t="shared" si="175"/>
        <v>0</v>
      </c>
      <c r="KC42" s="22">
        <f t="shared" si="175"/>
        <v>0</v>
      </c>
      <c r="KD42" s="22">
        <f t="shared" si="175"/>
        <v>0</v>
      </c>
      <c r="KE42" s="22">
        <f t="shared" si="175"/>
        <v>0</v>
      </c>
      <c r="KF42" s="22">
        <f t="shared" si="175"/>
        <v>0</v>
      </c>
      <c r="KG42" s="22">
        <f t="shared" si="175"/>
        <v>0</v>
      </c>
      <c r="KH42" s="22">
        <f t="shared" si="175"/>
        <v>0</v>
      </c>
      <c r="KI42" s="22">
        <f t="shared" si="175"/>
        <v>0</v>
      </c>
      <c r="KJ42" s="22">
        <f t="shared" si="175"/>
        <v>0</v>
      </c>
      <c r="KK42" s="22">
        <f t="shared" si="175"/>
        <v>0</v>
      </c>
      <c r="KL42" s="22">
        <f t="shared" si="175"/>
        <v>0</v>
      </c>
      <c r="KM42" s="22">
        <f t="shared" si="175"/>
        <v>0</v>
      </c>
      <c r="KN42" s="22">
        <f t="shared" si="175"/>
        <v>0</v>
      </c>
      <c r="KO42" s="22">
        <f t="shared" si="175"/>
        <v>0</v>
      </c>
      <c r="KP42" s="22">
        <f t="shared" si="175"/>
        <v>0</v>
      </c>
      <c r="KQ42" s="22">
        <f t="shared" si="175"/>
        <v>0</v>
      </c>
      <c r="KR42" s="22">
        <f t="shared" si="175"/>
        <v>0</v>
      </c>
      <c r="KS42" s="22">
        <f t="shared" si="175"/>
        <v>0</v>
      </c>
      <c r="KT42" s="22">
        <f t="shared" si="175"/>
        <v>0</v>
      </c>
      <c r="KU42" s="22">
        <f t="shared" si="175"/>
        <v>0</v>
      </c>
      <c r="KV42" s="22">
        <f t="shared" si="175"/>
        <v>0</v>
      </c>
      <c r="KW42" s="22">
        <f t="shared" si="175"/>
        <v>0</v>
      </c>
      <c r="KX42" s="22">
        <f t="shared" si="175"/>
        <v>0</v>
      </c>
      <c r="KY42" s="22">
        <f t="shared" si="175"/>
        <v>0</v>
      </c>
      <c r="KZ42" s="22">
        <f t="shared" si="175"/>
        <v>0</v>
      </c>
      <c r="LA42" s="22">
        <f t="shared" si="175"/>
        <v>0</v>
      </c>
      <c r="LB42" s="22">
        <f t="shared" si="175"/>
        <v>0</v>
      </c>
      <c r="LC42" s="22">
        <f t="shared" si="175"/>
        <v>0</v>
      </c>
      <c r="LD42" s="22">
        <f t="shared" si="175"/>
        <v>0</v>
      </c>
      <c r="LE42" s="22">
        <f t="shared" si="175"/>
        <v>0</v>
      </c>
      <c r="LF42" s="22">
        <f t="shared" si="175"/>
        <v>0</v>
      </c>
      <c r="LG42" s="22">
        <f t="shared" si="175"/>
        <v>0</v>
      </c>
      <c r="LH42" s="22">
        <f t="shared" si="175"/>
        <v>0</v>
      </c>
      <c r="LI42" s="22">
        <f t="shared" si="175"/>
        <v>0</v>
      </c>
      <c r="LJ42" s="22">
        <f t="shared" si="175"/>
        <v>0</v>
      </c>
      <c r="LK42" s="22">
        <f t="shared" si="175"/>
        <v>0</v>
      </c>
      <c r="LL42" s="22">
        <f t="shared" si="175"/>
        <v>0</v>
      </c>
      <c r="LM42" s="22">
        <f t="shared" si="175"/>
        <v>0</v>
      </c>
      <c r="LN42" s="22">
        <f t="shared" si="175"/>
        <v>0</v>
      </c>
      <c r="LO42" s="22">
        <f t="shared" ref="LO42:NZ42" si="176">$E$42*LO32</f>
        <v>0</v>
      </c>
      <c r="LP42" s="22">
        <f t="shared" si="176"/>
        <v>0</v>
      </c>
      <c r="LQ42" s="22">
        <f t="shared" si="176"/>
        <v>0</v>
      </c>
      <c r="LR42" s="22">
        <f t="shared" si="176"/>
        <v>0</v>
      </c>
      <c r="LS42" s="22">
        <f t="shared" si="176"/>
        <v>0</v>
      </c>
      <c r="LT42" s="22">
        <f t="shared" si="176"/>
        <v>0</v>
      </c>
      <c r="LU42" s="22">
        <f t="shared" si="176"/>
        <v>0</v>
      </c>
      <c r="LV42" s="22">
        <f t="shared" si="176"/>
        <v>0</v>
      </c>
      <c r="LW42" s="22">
        <f t="shared" si="176"/>
        <v>0</v>
      </c>
      <c r="LX42" s="22">
        <f t="shared" si="176"/>
        <v>0</v>
      </c>
      <c r="LY42" s="22">
        <f t="shared" si="176"/>
        <v>0</v>
      </c>
      <c r="LZ42" s="22">
        <f t="shared" si="176"/>
        <v>0</v>
      </c>
      <c r="MA42" s="22">
        <f t="shared" si="176"/>
        <v>0</v>
      </c>
      <c r="MB42" s="22">
        <f t="shared" si="176"/>
        <v>0</v>
      </c>
      <c r="MC42" s="22">
        <f t="shared" si="176"/>
        <v>0</v>
      </c>
      <c r="MD42" s="22">
        <f t="shared" si="176"/>
        <v>0</v>
      </c>
      <c r="ME42" s="22">
        <f t="shared" si="176"/>
        <v>0</v>
      </c>
      <c r="MF42" s="22">
        <f t="shared" si="176"/>
        <v>0</v>
      </c>
      <c r="MG42" s="22">
        <f t="shared" si="176"/>
        <v>0</v>
      </c>
      <c r="MH42" s="22">
        <f t="shared" si="176"/>
        <v>0</v>
      </c>
      <c r="MI42" s="22">
        <f t="shared" si="176"/>
        <v>0</v>
      </c>
      <c r="MJ42" s="22">
        <f t="shared" si="176"/>
        <v>0</v>
      </c>
      <c r="MK42" s="22">
        <f t="shared" si="176"/>
        <v>0</v>
      </c>
      <c r="ML42" s="22">
        <f t="shared" si="176"/>
        <v>0</v>
      </c>
      <c r="MM42" s="22">
        <f t="shared" si="176"/>
        <v>0</v>
      </c>
      <c r="MN42" s="22">
        <f t="shared" si="176"/>
        <v>0</v>
      </c>
      <c r="MO42" s="22">
        <f t="shared" si="176"/>
        <v>0</v>
      </c>
      <c r="MP42" s="22">
        <f t="shared" si="176"/>
        <v>0</v>
      </c>
      <c r="MQ42" s="22">
        <f t="shared" si="176"/>
        <v>0</v>
      </c>
      <c r="MR42" s="22">
        <f t="shared" si="176"/>
        <v>0</v>
      </c>
      <c r="MS42" s="22">
        <f t="shared" si="176"/>
        <v>0</v>
      </c>
      <c r="MT42" s="22">
        <f t="shared" si="176"/>
        <v>0</v>
      </c>
      <c r="MU42" s="22">
        <f t="shared" si="176"/>
        <v>0</v>
      </c>
      <c r="MV42" s="22">
        <f t="shared" si="176"/>
        <v>0</v>
      </c>
      <c r="MW42" s="22">
        <f t="shared" si="176"/>
        <v>0</v>
      </c>
      <c r="MX42" s="22">
        <f t="shared" si="176"/>
        <v>0</v>
      </c>
      <c r="MY42" s="22">
        <f t="shared" si="176"/>
        <v>0</v>
      </c>
      <c r="MZ42" s="22">
        <f t="shared" si="176"/>
        <v>0</v>
      </c>
      <c r="NA42" s="22">
        <f t="shared" si="176"/>
        <v>0</v>
      </c>
      <c r="NB42" s="22">
        <f t="shared" si="176"/>
        <v>0</v>
      </c>
      <c r="NC42" s="22">
        <f t="shared" si="176"/>
        <v>0</v>
      </c>
      <c r="ND42" s="22">
        <f t="shared" si="176"/>
        <v>0</v>
      </c>
      <c r="NE42" s="22">
        <f t="shared" si="176"/>
        <v>0</v>
      </c>
      <c r="NF42" s="22">
        <f t="shared" si="176"/>
        <v>0</v>
      </c>
      <c r="NG42" s="22">
        <f t="shared" si="176"/>
        <v>0</v>
      </c>
      <c r="NH42" s="22">
        <f t="shared" si="176"/>
        <v>0</v>
      </c>
      <c r="NI42" s="22">
        <f t="shared" si="176"/>
        <v>0</v>
      </c>
      <c r="NJ42" s="22">
        <f t="shared" si="176"/>
        <v>0</v>
      </c>
      <c r="NK42" s="22">
        <f t="shared" si="176"/>
        <v>0</v>
      </c>
      <c r="NL42" s="22">
        <f t="shared" si="176"/>
        <v>0</v>
      </c>
      <c r="NM42" s="22">
        <f t="shared" si="176"/>
        <v>0</v>
      </c>
      <c r="NN42" s="22">
        <f t="shared" si="176"/>
        <v>0</v>
      </c>
      <c r="NO42" s="22">
        <f t="shared" si="176"/>
        <v>0</v>
      </c>
      <c r="NP42" s="22">
        <f t="shared" si="176"/>
        <v>0</v>
      </c>
      <c r="NQ42" s="22">
        <f t="shared" si="176"/>
        <v>0</v>
      </c>
      <c r="NR42" s="22">
        <f t="shared" si="176"/>
        <v>0</v>
      </c>
      <c r="NS42" s="22">
        <f t="shared" si="176"/>
        <v>0</v>
      </c>
      <c r="NT42" s="22">
        <f t="shared" si="176"/>
        <v>0</v>
      </c>
      <c r="NU42" s="22">
        <f t="shared" si="176"/>
        <v>0</v>
      </c>
      <c r="NV42" s="22">
        <f t="shared" si="176"/>
        <v>0</v>
      </c>
      <c r="NW42" s="22">
        <f t="shared" si="176"/>
        <v>0</v>
      </c>
      <c r="NX42" s="22">
        <f t="shared" si="176"/>
        <v>0</v>
      </c>
      <c r="NY42" s="22">
        <f t="shared" si="176"/>
        <v>0</v>
      </c>
      <c r="NZ42" s="22">
        <f t="shared" si="176"/>
        <v>0</v>
      </c>
      <c r="OA42" s="22">
        <f t="shared" ref="OA42:QL42" si="177">$E$42*OA32</f>
        <v>0</v>
      </c>
      <c r="OB42" s="22">
        <f t="shared" si="177"/>
        <v>0</v>
      </c>
      <c r="OC42" s="22">
        <f t="shared" si="177"/>
        <v>0</v>
      </c>
      <c r="OD42" s="22">
        <f t="shared" si="177"/>
        <v>0</v>
      </c>
      <c r="OE42" s="22">
        <f t="shared" si="177"/>
        <v>0</v>
      </c>
      <c r="OF42" s="22">
        <f t="shared" si="177"/>
        <v>0</v>
      </c>
      <c r="OG42" s="22">
        <f t="shared" si="177"/>
        <v>0</v>
      </c>
      <c r="OH42" s="22">
        <f t="shared" si="177"/>
        <v>0</v>
      </c>
      <c r="OI42" s="22">
        <f t="shared" si="177"/>
        <v>0</v>
      </c>
      <c r="OJ42" s="22">
        <f t="shared" si="177"/>
        <v>0</v>
      </c>
      <c r="OK42" s="22">
        <f t="shared" si="177"/>
        <v>0</v>
      </c>
      <c r="OL42" s="22">
        <f t="shared" si="177"/>
        <v>0</v>
      </c>
      <c r="OM42" s="22">
        <f t="shared" si="177"/>
        <v>0</v>
      </c>
      <c r="ON42" s="22">
        <f t="shared" si="177"/>
        <v>0</v>
      </c>
      <c r="OO42" s="22">
        <f t="shared" si="177"/>
        <v>0</v>
      </c>
      <c r="OP42" s="22">
        <f t="shared" si="177"/>
        <v>0</v>
      </c>
      <c r="OQ42" s="22">
        <f t="shared" si="177"/>
        <v>0</v>
      </c>
      <c r="OR42" s="22">
        <f t="shared" si="177"/>
        <v>0</v>
      </c>
      <c r="OS42" s="22">
        <f t="shared" si="177"/>
        <v>0</v>
      </c>
      <c r="OT42" s="22">
        <f t="shared" si="177"/>
        <v>0</v>
      </c>
      <c r="OU42" s="22">
        <f t="shared" si="177"/>
        <v>0</v>
      </c>
      <c r="OV42" s="22">
        <f t="shared" si="177"/>
        <v>0</v>
      </c>
      <c r="OW42" s="22">
        <f t="shared" si="177"/>
        <v>0</v>
      </c>
      <c r="OX42" s="22">
        <f t="shared" si="177"/>
        <v>0</v>
      </c>
      <c r="OY42" s="22">
        <f t="shared" si="177"/>
        <v>0</v>
      </c>
      <c r="OZ42" s="22">
        <f t="shared" si="177"/>
        <v>0</v>
      </c>
      <c r="PA42" s="22">
        <f t="shared" si="177"/>
        <v>0</v>
      </c>
      <c r="PB42" s="22">
        <f t="shared" si="177"/>
        <v>0</v>
      </c>
      <c r="PC42" s="22">
        <f t="shared" si="177"/>
        <v>0</v>
      </c>
      <c r="PD42" s="22">
        <f t="shared" si="177"/>
        <v>0</v>
      </c>
      <c r="PE42" s="22">
        <f t="shared" si="177"/>
        <v>0</v>
      </c>
      <c r="PF42" s="22">
        <f t="shared" si="177"/>
        <v>0</v>
      </c>
      <c r="PG42" s="22">
        <f t="shared" si="177"/>
        <v>0</v>
      </c>
      <c r="PH42" s="22">
        <f t="shared" si="177"/>
        <v>0</v>
      </c>
      <c r="PI42" s="22">
        <f t="shared" si="177"/>
        <v>0</v>
      </c>
      <c r="PJ42" s="22">
        <f t="shared" si="177"/>
        <v>0</v>
      </c>
      <c r="PK42" s="22">
        <f t="shared" si="177"/>
        <v>0</v>
      </c>
      <c r="PL42" s="22">
        <f t="shared" si="177"/>
        <v>0</v>
      </c>
      <c r="PM42" s="22">
        <f t="shared" si="177"/>
        <v>0</v>
      </c>
      <c r="PN42" s="22">
        <f t="shared" si="177"/>
        <v>0</v>
      </c>
      <c r="PO42" s="22">
        <f t="shared" si="177"/>
        <v>0</v>
      </c>
      <c r="PP42" s="22">
        <f t="shared" si="177"/>
        <v>0</v>
      </c>
      <c r="PQ42" s="22">
        <f t="shared" si="177"/>
        <v>0</v>
      </c>
      <c r="PR42" s="22">
        <f t="shared" si="177"/>
        <v>0</v>
      </c>
      <c r="PS42" s="22">
        <f t="shared" si="177"/>
        <v>0</v>
      </c>
      <c r="PT42" s="22">
        <f t="shared" si="177"/>
        <v>0</v>
      </c>
      <c r="PU42" s="22">
        <f t="shared" si="177"/>
        <v>0</v>
      </c>
      <c r="PV42" s="22">
        <f t="shared" si="177"/>
        <v>0</v>
      </c>
      <c r="PW42" s="22">
        <f t="shared" si="177"/>
        <v>0</v>
      </c>
      <c r="PX42" s="22">
        <f t="shared" si="177"/>
        <v>0</v>
      </c>
      <c r="PY42" s="22">
        <f t="shared" si="177"/>
        <v>0</v>
      </c>
      <c r="PZ42" s="22">
        <f t="shared" si="177"/>
        <v>0</v>
      </c>
      <c r="QA42" s="22">
        <f t="shared" si="177"/>
        <v>0</v>
      </c>
      <c r="QB42" s="22">
        <f t="shared" si="177"/>
        <v>0</v>
      </c>
      <c r="QC42" s="22">
        <f t="shared" si="177"/>
        <v>0</v>
      </c>
      <c r="QD42" s="22">
        <f t="shared" si="177"/>
        <v>0</v>
      </c>
      <c r="QE42" s="22">
        <f t="shared" si="177"/>
        <v>0</v>
      </c>
      <c r="QF42" s="22">
        <f t="shared" si="177"/>
        <v>0</v>
      </c>
      <c r="QG42" s="22">
        <f t="shared" si="177"/>
        <v>0</v>
      </c>
      <c r="QH42" s="22">
        <f t="shared" si="177"/>
        <v>0</v>
      </c>
      <c r="QI42" s="22">
        <f t="shared" si="177"/>
        <v>0</v>
      </c>
      <c r="QJ42" s="22">
        <f t="shared" si="177"/>
        <v>0</v>
      </c>
      <c r="QK42" s="22">
        <f t="shared" si="177"/>
        <v>0</v>
      </c>
      <c r="QL42" s="22">
        <f t="shared" si="177"/>
        <v>0</v>
      </c>
      <c r="QM42" s="22">
        <f t="shared" ref="QM42:SX42" si="178">$E$42*QM32</f>
        <v>0</v>
      </c>
      <c r="QN42" s="22">
        <f t="shared" si="178"/>
        <v>0</v>
      </c>
      <c r="QO42" s="22">
        <f t="shared" si="178"/>
        <v>0</v>
      </c>
      <c r="QP42" s="22">
        <f t="shared" si="178"/>
        <v>0</v>
      </c>
      <c r="QQ42" s="22">
        <f t="shared" si="178"/>
        <v>0</v>
      </c>
      <c r="QR42" s="22">
        <f t="shared" si="178"/>
        <v>0</v>
      </c>
      <c r="QS42" s="22">
        <f t="shared" si="178"/>
        <v>0</v>
      </c>
      <c r="QT42" s="22">
        <f t="shared" si="178"/>
        <v>0</v>
      </c>
      <c r="QU42" s="22">
        <f t="shared" si="178"/>
        <v>0</v>
      </c>
      <c r="QV42" s="22">
        <f t="shared" si="178"/>
        <v>0</v>
      </c>
      <c r="QW42" s="22">
        <f t="shared" si="178"/>
        <v>0</v>
      </c>
      <c r="QX42" s="22">
        <f t="shared" si="178"/>
        <v>0</v>
      </c>
      <c r="QY42" s="22">
        <f t="shared" si="178"/>
        <v>0</v>
      </c>
      <c r="QZ42" s="22">
        <f t="shared" si="178"/>
        <v>0</v>
      </c>
      <c r="RA42" s="22">
        <f t="shared" si="178"/>
        <v>0</v>
      </c>
      <c r="RB42" s="22">
        <f t="shared" si="178"/>
        <v>0</v>
      </c>
      <c r="RC42" s="22">
        <f t="shared" si="178"/>
        <v>0</v>
      </c>
      <c r="RD42" s="22">
        <f t="shared" si="178"/>
        <v>0</v>
      </c>
      <c r="RE42" s="22">
        <f t="shared" si="178"/>
        <v>0</v>
      </c>
      <c r="RF42" s="22">
        <f t="shared" si="178"/>
        <v>0</v>
      </c>
      <c r="RG42" s="22">
        <f t="shared" si="178"/>
        <v>0</v>
      </c>
      <c r="RH42" s="22">
        <f t="shared" si="178"/>
        <v>0</v>
      </c>
      <c r="RI42" s="22">
        <f t="shared" si="178"/>
        <v>0</v>
      </c>
      <c r="RJ42" s="22">
        <f t="shared" si="178"/>
        <v>0</v>
      </c>
      <c r="RK42" s="22">
        <f t="shared" si="178"/>
        <v>0</v>
      </c>
      <c r="RL42" s="22">
        <f t="shared" si="178"/>
        <v>0</v>
      </c>
      <c r="RM42" s="22">
        <f t="shared" si="178"/>
        <v>0</v>
      </c>
      <c r="RN42" s="22">
        <f t="shared" si="178"/>
        <v>0</v>
      </c>
      <c r="RO42" s="22">
        <f t="shared" si="178"/>
        <v>0</v>
      </c>
      <c r="RP42" s="22">
        <f t="shared" si="178"/>
        <v>0</v>
      </c>
      <c r="RQ42" s="22">
        <f t="shared" si="178"/>
        <v>0</v>
      </c>
      <c r="RR42" s="22">
        <f t="shared" si="178"/>
        <v>0</v>
      </c>
      <c r="RS42" s="22">
        <f t="shared" si="178"/>
        <v>0</v>
      </c>
      <c r="RT42" s="22">
        <f t="shared" si="178"/>
        <v>0</v>
      </c>
      <c r="RU42" s="22">
        <f t="shared" si="178"/>
        <v>0</v>
      </c>
      <c r="RV42" s="22">
        <f t="shared" si="178"/>
        <v>0</v>
      </c>
      <c r="RW42" s="22">
        <f t="shared" si="178"/>
        <v>0</v>
      </c>
      <c r="RX42" s="22">
        <f t="shared" si="178"/>
        <v>0</v>
      </c>
      <c r="RY42" s="22">
        <f t="shared" si="178"/>
        <v>0</v>
      </c>
      <c r="RZ42" s="22">
        <f t="shared" si="178"/>
        <v>0</v>
      </c>
      <c r="SA42" s="22">
        <f t="shared" si="178"/>
        <v>0</v>
      </c>
      <c r="SB42" s="22">
        <f t="shared" si="178"/>
        <v>0</v>
      </c>
      <c r="SC42" s="22">
        <f t="shared" si="178"/>
        <v>0</v>
      </c>
      <c r="SD42" s="22">
        <f t="shared" si="178"/>
        <v>0</v>
      </c>
      <c r="SE42" s="22">
        <f t="shared" si="178"/>
        <v>0</v>
      </c>
      <c r="SF42" s="22">
        <f t="shared" si="178"/>
        <v>0</v>
      </c>
      <c r="SG42" s="22">
        <f t="shared" si="178"/>
        <v>0</v>
      </c>
      <c r="SH42" s="22">
        <f t="shared" si="178"/>
        <v>0</v>
      </c>
      <c r="SI42" s="22">
        <f t="shared" si="178"/>
        <v>0</v>
      </c>
      <c r="SJ42" s="22">
        <f t="shared" si="178"/>
        <v>0</v>
      </c>
      <c r="SK42" s="22">
        <f t="shared" si="178"/>
        <v>0</v>
      </c>
      <c r="SL42" s="22">
        <f t="shared" si="178"/>
        <v>0</v>
      </c>
      <c r="SM42" s="22">
        <f t="shared" si="178"/>
        <v>0</v>
      </c>
      <c r="SN42" s="22">
        <f t="shared" si="178"/>
        <v>0</v>
      </c>
      <c r="SO42" s="22">
        <f t="shared" si="178"/>
        <v>0</v>
      </c>
      <c r="SP42" s="22">
        <f t="shared" si="178"/>
        <v>0</v>
      </c>
      <c r="SQ42" s="22">
        <f t="shared" si="178"/>
        <v>0</v>
      </c>
      <c r="SR42" s="22">
        <f t="shared" si="178"/>
        <v>0</v>
      </c>
      <c r="SS42" s="22">
        <f t="shared" si="178"/>
        <v>0</v>
      </c>
      <c r="ST42" s="22">
        <f t="shared" si="178"/>
        <v>0</v>
      </c>
      <c r="SU42" s="22">
        <f t="shared" si="178"/>
        <v>0</v>
      </c>
      <c r="SV42" s="22">
        <f t="shared" si="178"/>
        <v>0</v>
      </c>
      <c r="SW42" s="22">
        <f t="shared" si="178"/>
        <v>0</v>
      </c>
      <c r="SX42" s="22">
        <f t="shared" si="178"/>
        <v>0</v>
      </c>
      <c r="SY42" s="22">
        <f t="shared" ref="SY42:VJ42" si="179">$E$42*SY32</f>
        <v>0</v>
      </c>
      <c r="SZ42" s="22">
        <f t="shared" si="179"/>
        <v>0</v>
      </c>
      <c r="TA42" s="22">
        <f t="shared" si="179"/>
        <v>0</v>
      </c>
      <c r="TB42" s="22">
        <f t="shared" si="179"/>
        <v>0</v>
      </c>
      <c r="TC42" s="22">
        <f t="shared" si="179"/>
        <v>0</v>
      </c>
      <c r="TD42" s="22">
        <f t="shared" si="179"/>
        <v>0</v>
      </c>
      <c r="TE42" s="22">
        <f t="shared" si="179"/>
        <v>0</v>
      </c>
      <c r="TF42" s="22">
        <f t="shared" si="179"/>
        <v>0</v>
      </c>
      <c r="TG42" s="22">
        <f t="shared" si="179"/>
        <v>0</v>
      </c>
      <c r="TH42" s="22">
        <f t="shared" si="179"/>
        <v>0</v>
      </c>
      <c r="TI42" s="22">
        <f t="shared" si="179"/>
        <v>0</v>
      </c>
      <c r="TJ42" s="22">
        <f t="shared" si="179"/>
        <v>0</v>
      </c>
      <c r="TK42" s="22">
        <f t="shared" si="179"/>
        <v>0</v>
      </c>
      <c r="TL42" s="22">
        <f t="shared" si="179"/>
        <v>0</v>
      </c>
      <c r="TM42" s="22">
        <f t="shared" si="179"/>
        <v>0</v>
      </c>
      <c r="TN42" s="22">
        <f t="shared" si="179"/>
        <v>0</v>
      </c>
      <c r="TO42" s="22">
        <f t="shared" si="179"/>
        <v>0</v>
      </c>
      <c r="TP42" s="22">
        <f t="shared" si="179"/>
        <v>0</v>
      </c>
      <c r="TQ42" s="22">
        <f t="shared" si="179"/>
        <v>0</v>
      </c>
      <c r="TR42" s="22">
        <f t="shared" si="179"/>
        <v>0</v>
      </c>
      <c r="TS42" s="22">
        <f t="shared" si="179"/>
        <v>0</v>
      </c>
      <c r="TT42" s="22">
        <f t="shared" si="179"/>
        <v>0</v>
      </c>
      <c r="TU42" s="22">
        <f t="shared" si="179"/>
        <v>0</v>
      </c>
      <c r="TV42" s="22">
        <f t="shared" si="179"/>
        <v>0</v>
      </c>
      <c r="TW42" s="22">
        <f t="shared" si="179"/>
        <v>0</v>
      </c>
      <c r="TX42" s="22">
        <f t="shared" si="179"/>
        <v>0</v>
      </c>
      <c r="TY42" s="22">
        <f t="shared" si="179"/>
        <v>0</v>
      </c>
      <c r="TZ42" s="22">
        <f t="shared" si="179"/>
        <v>0</v>
      </c>
      <c r="UA42" s="22">
        <f t="shared" si="179"/>
        <v>0</v>
      </c>
      <c r="UB42" s="22">
        <f t="shared" si="179"/>
        <v>0</v>
      </c>
      <c r="UC42" s="22">
        <f t="shared" si="179"/>
        <v>0</v>
      </c>
      <c r="UD42" s="22">
        <f t="shared" si="179"/>
        <v>0</v>
      </c>
      <c r="UE42" s="22">
        <f t="shared" si="179"/>
        <v>0</v>
      </c>
      <c r="UF42" s="22">
        <f t="shared" si="179"/>
        <v>0</v>
      </c>
      <c r="UG42" s="22">
        <f t="shared" si="179"/>
        <v>0</v>
      </c>
      <c r="UH42" s="22">
        <f t="shared" si="179"/>
        <v>0</v>
      </c>
      <c r="UI42" s="22">
        <f t="shared" si="179"/>
        <v>0</v>
      </c>
      <c r="UJ42" s="22">
        <f t="shared" si="179"/>
        <v>0</v>
      </c>
      <c r="UK42" s="22">
        <f t="shared" si="179"/>
        <v>0</v>
      </c>
      <c r="UL42" s="22">
        <f t="shared" si="179"/>
        <v>0</v>
      </c>
      <c r="UM42" s="22">
        <f t="shared" si="179"/>
        <v>0</v>
      </c>
      <c r="UN42" s="22">
        <f t="shared" si="179"/>
        <v>0</v>
      </c>
      <c r="UO42" s="22">
        <f t="shared" si="179"/>
        <v>0</v>
      </c>
      <c r="UP42" s="22">
        <f t="shared" si="179"/>
        <v>0</v>
      </c>
      <c r="UQ42" s="22">
        <f t="shared" si="179"/>
        <v>0</v>
      </c>
      <c r="UR42" s="22">
        <f t="shared" si="179"/>
        <v>0</v>
      </c>
      <c r="US42" s="22">
        <f t="shared" si="179"/>
        <v>0</v>
      </c>
      <c r="UT42" s="22">
        <f t="shared" si="179"/>
        <v>0</v>
      </c>
      <c r="UU42" s="22">
        <f t="shared" si="179"/>
        <v>0</v>
      </c>
      <c r="UV42" s="22">
        <f t="shared" si="179"/>
        <v>0</v>
      </c>
      <c r="UW42" s="22">
        <f t="shared" si="179"/>
        <v>0</v>
      </c>
      <c r="UX42" s="22">
        <f t="shared" si="179"/>
        <v>0</v>
      </c>
      <c r="UY42" s="22">
        <f t="shared" si="179"/>
        <v>0</v>
      </c>
      <c r="UZ42" s="22">
        <f t="shared" si="179"/>
        <v>0</v>
      </c>
      <c r="VA42" s="22">
        <f t="shared" si="179"/>
        <v>0</v>
      </c>
      <c r="VB42" s="22">
        <f t="shared" si="179"/>
        <v>0</v>
      </c>
      <c r="VC42" s="22">
        <f t="shared" si="179"/>
        <v>0</v>
      </c>
      <c r="VD42" s="22">
        <f t="shared" si="179"/>
        <v>0</v>
      </c>
      <c r="VE42" s="22">
        <f t="shared" si="179"/>
        <v>0</v>
      </c>
      <c r="VF42" s="22">
        <f t="shared" si="179"/>
        <v>0</v>
      </c>
      <c r="VG42" s="22">
        <f t="shared" si="179"/>
        <v>0</v>
      </c>
      <c r="VH42" s="22">
        <f t="shared" si="179"/>
        <v>0</v>
      </c>
      <c r="VI42" s="22">
        <f t="shared" si="179"/>
        <v>0</v>
      </c>
      <c r="VJ42" s="22">
        <f t="shared" si="179"/>
        <v>0</v>
      </c>
      <c r="VK42" s="22">
        <f t="shared" ref="VK42:XV42" si="180">$E$42*VK32</f>
        <v>0</v>
      </c>
      <c r="VL42" s="22">
        <f t="shared" si="180"/>
        <v>0</v>
      </c>
      <c r="VM42" s="22">
        <f t="shared" si="180"/>
        <v>0</v>
      </c>
      <c r="VN42" s="22">
        <f t="shared" si="180"/>
        <v>0</v>
      </c>
      <c r="VO42" s="22">
        <f t="shared" si="180"/>
        <v>0</v>
      </c>
      <c r="VP42" s="22">
        <f t="shared" si="180"/>
        <v>0</v>
      </c>
      <c r="VQ42" s="22">
        <f t="shared" si="180"/>
        <v>0</v>
      </c>
      <c r="VR42" s="22">
        <f t="shared" si="180"/>
        <v>0</v>
      </c>
      <c r="VS42" s="22">
        <f t="shared" si="180"/>
        <v>0</v>
      </c>
      <c r="VT42" s="22">
        <f t="shared" si="180"/>
        <v>0</v>
      </c>
      <c r="VU42" s="22">
        <f t="shared" si="180"/>
        <v>0</v>
      </c>
      <c r="VV42" s="22">
        <f t="shared" si="180"/>
        <v>0</v>
      </c>
      <c r="VW42" s="22">
        <f t="shared" si="180"/>
        <v>0</v>
      </c>
      <c r="VX42" s="22">
        <f t="shared" si="180"/>
        <v>0</v>
      </c>
      <c r="VY42" s="22">
        <f t="shared" si="180"/>
        <v>0</v>
      </c>
      <c r="VZ42" s="22">
        <f t="shared" si="180"/>
        <v>0</v>
      </c>
      <c r="WA42" s="22">
        <f t="shared" si="180"/>
        <v>0</v>
      </c>
      <c r="WB42" s="22">
        <f t="shared" si="180"/>
        <v>0</v>
      </c>
      <c r="WC42" s="22">
        <f t="shared" si="180"/>
        <v>0</v>
      </c>
      <c r="WD42" s="22">
        <f t="shared" si="180"/>
        <v>0</v>
      </c>
      <c r="WE42" s="22">
        <f t="shared" si="180"/>
        <v>0</v>
      </c>
      <c r="WF42" s="22">
        <f t="shared" si="180"/>
        <v>0</v>
      </c>
      <c r="WG42" s="22">
        <f t="shared" si="180"/>
        <v>0</v>
      </c>
      <c r="WH42" s="22">
        <f t="shared" si="180"/>
        <v>0</v>
      </c>
      <c r="WI42" s="22">
        <f t="shared" si="180"/>
        <v>0</v>
      </c>
      <c r="WJ42" s="22">
        <f t="shared" si="180"/>
        <v>0</v>
      </c>
      <c r="WK42" s="22">
        <f t="shared" si="180"/>
        <v>0</v>
      </c>
      <c r="WL42" s="22">
        <f t="shared" si="180"/>
        <v>0</v>
      </c>
      <c r="WM42" s="22">
        <f t="shared" si="180"/>
        <v>0</v>
      </c>
      <c r="WN42" s="22">
        <f t="shared" si="180"/>
        <v>0</v>
      </c>
      <c r="WO42" s="22">
        <f t="shared" si="180"/>
        <v>0</v>
      </c>
      <c r="WP42" s="22">
        <f t="shared" si="180"/>
        <v>0</v>
      </c>
      <c r="WQ42" s="22">
        <f t="shared" si="180"/>
        <v>0</v>
      </c>
      <c r="WR42" s="22">
        <f t="shared" si="180"/>
        <v>0</v>
      </c>
      <c r="WS42" s="22">
        <f t="shared" si="180"/>
        <v>0</v>
      </c>
      <c r="WT42" s="22">
        <f t="shared" si="180"/>
        <v>0</v>
      </c>
      <c r="WU42" s="22">
        <f t="shared" si="180"/>
        <v>0</v>
      </c>
      <c r="WV42" s="22">
        <f t="shared" si="180"/>
        <v>0</v>
      </c>
      <c r="WW42" s="22">
        <f t="shared" si="180"/>
        <v>0</v>
      </c>
      <c r="WX42" s="22">
        <f t="shared" si="180"/>
        <v>0</v>
      </c>
      <c r="WY42" s="22">
        <f t="shared" si="180"/>
        <v>0</v>
      </c>
      <c r="WZ42" s="22">
        <f t="shared" si="180"/>
        <v>0</v>
      </c>
      <c r="XA42" s="22">
        <f t="shared" si="180"/>
        <v>0</v>
      </c>
      <c r="XB42" s="22">
        <f t="shared" si="180"/>
        <v>0</v>
      </c>
      <c r="XC42" s="22">
        <f t="shared" si="180"/>
        <v>0</v>
      </c>
      <c r="XD42" s="22">
        <f t="shared" si="180"/>
        <v>0</v>
      </c>
      <c r="XE42" s="22">
        <f t="shared" si="180"/>
        <v>0</v>
      </c>
      <c r="XF42" s="22">
        <f t="shared" si="180"/>
        <v>0</v>
      </c>
      <c r="XG42" s="22">
        <f t="shared" si="180"/>
        <v>0</v>
      </c>
      <c r="XH42" s="22">
        <f t="shared" si="180"/>
        <v>0</v>
      </c>
      <c r="XI42" s="22">
        <f t="shared" si="180"/>
        <v>0</v>
      </c>
      <c r="XJ42" s="22">
        <f t="shared" si="180"/>
        <v>0</v>
      </c>
      <c r="XK42" s="22">
        <f t="shared" si="180"/>
        <v>0</v>
      </c>
      <c r="XL42" s="22">
        <f t="shared" si="180"/>
        <v>0</v>
      </c>
      <c r="XM42" s="22">
        <f t="shared" si="180"/>
        <v>0</v>
      </c>
      <c r="XN42" s="22">
        <f t="shared" si="180"/>
        <v>0</v>
      </c>
      <c r="XO42" s="22">
        <f t="shared" si="180"/>
        <v>0</v>
      </c>
      <c r="XP42" s="22">
        <f t="shared" si="180"/>
        <v>0</v>
      </c>
      <c r="XQ42" s="22">
        <f t="shared" si="180"/>
        <v>0</v>
      </c>
      <c r="XR42" s="22">
        <f t="shared" si="180"/>
        <v>0</v>
      </c>
      <c r="XS42" s="22">
        <f t="shared" si="180"/>
        <v>0</v>
      </c>
      <c r="XT42" s="22">
        <f t="shared" si="180"/>
        <v>0</v>
      </c>
      <c r="XU42" s="22">
        <f t="shared" si="180"/>
        <v>0</v>
      </c>
      <c r="XV42" s="22">
        <f t="shared" si="180"/>
        <v>0</v>
      </c>
      <c r="XW42" s="22">
        <f t="shared" ref="XW42:AAH42" si="181">$E$42*XW32</f>
        <v>0</v>
      </c>
      <c r="XX42" s="22">
        <f t="shared" si="181"/>
        <v>0</v>
      </c>
      <c r="XY42" s="22">
        <f t="shared" si="181"/>
        <v>0</v>
      </c>
      <c r="XZ42" s="22">
        <f t="shared" si="181"/>
        <v>0</v>
      </c>
      <c r="YA42" s="22">
        <f t="shared" si="181"/>
        <v>0</v>
      </c>
      <c r="YB42" s="22">
        <f t="shared" si="181"/>
        <v>0</v>
      </c>
      <c r="YC42" s="22">
        <f t="shared" si="181"/>
        <v>0</v>
      </c>
      <c r="YD42" s="22">
        <f t="shared" si="181"/>
        <v>0</v>
      </c>
      <c r="YE42" s="22">
        <f t="shared" si="181"/>
        <v>0</v>
      </c>
      <c r="YF42" s="22">
        <f t="shared" si="181"/>
        <v>0</v>
      </c>
      <c r="YG42" s="22">
        <f t="shared" si="181"/>
        <v>0</v>
      </c>
      <c r="YH42" s="22">
        <f t="shared" si="181"/>
        <v>0</v>
      </c>
      <c r="YI42" s="22">
        <f t="shared" si="181"/>
        <v>0</v>
      </c>
      <c r="YJ42" s="22">
        <f t="shared" si="181"/>
        <v>0</v>
      </c>
      <c r="YK42" s="22">
        <f t="shared" si="181"/>
        <v>0</v>
      </c>
      <c r="YL42" s="22">
        <f t="shared" si="181"/>
        <v>0</v>
      </c>
      <c r="YM42" s="22">
        <f t="shared" si="181"/>
        <v>0</v>
      </c>
      <c r="YN42" s="22">
        <f t="shared" si="181"/>
        <v>0</v>
      </c>
      <c r="YO42" s="22">
        <f t="shared" si="181"/>
        <v>0</v>
      </c>
      <c r="YP42" s="22">
        <f t="shared" si="181"/>
        <v>0</v>
      </c>
      <c r="YQ42" s="22">
        <f t="shared" si="181"/>
        <v>0</v>
      </c>
      <c r="YR42" s="22">
        <f t="shared" si="181"/>
        <v>0</v>
      </c>
      <c r="YS42" s="22">
        <f t="shared" si="181"/>
        <v>0</v>
      </c>
      <c r="YT42" s="22">
        <f t="shared" si="181"/>
        <v>0</v>
      </c>
      <c r="YU42" s="22">
        <f t="shared" si="181"/>
        <v>0</v>
      </c>
      <c r="YV42" s="22">
        <f t="shared" si="181"/>
        <v>0</v>
      </c>
      <c r="YW42" s="22">
        <f t="shared" si="181"/>
        <v>0</v>
      </c>
      <c r="YX42" s="22">
        <f t="shared" si="181"/>
        <v>0</v>
      </c>
      <c r="YY42" s="22">
        <f t="shared" si="181"/>
        <v>0</v>
      </c>
      <c r="YZ42" s="22">
        <f t="shared" si="181"/>
        <v>0</v>
      </c>
      <c r="ZA42" s="22">
        <f t="shared" si="181"/>
        <v>0</v>
      </c>
      <c r="ZB42" s="22">
        <f t="shared" si="181"/>
        <v>0</v>
      </c>
      <c r="ZC42" s="22">
        <f t="shared" si="181"/>
        <v>0</v>
      </c>
      <c r="ZD42" s="22">
        <f t="shared" si="181"/>
        <v>0</v>
      </c>
      <c r="ZE42" s="22">
        <f t="shared" si="181"/>
        <v>0</v>
      </c>
      <c r="ZF42" s="22">
        <f t="shared" si="181"/>
        <v>0</v>
      </c>
      <c r="ZG42" s="22">
        <f t="shared" si="181"/>
        <v>0</v>
      </c>
      <c r="ZH42" s="22">
        <f t="shared" si="181"/>
        <v>0</v>
      </c>
      <c r="ZI42" s="22">
        <f t="shared" si="181"/>
        <v>0</v>
      </c>
      <c r="ZJ42" s="22">
        <f t="shared" si="181"/>
        <v>0</v>
      </c>
      <c r="ZK42" s="22">
        <f t="shared" si="181"/>
        <v>0</v>
      </c>
      <c r="ZL42" s="22">
        <f t="shared" si="181"/>
        <v>0</v>
      </c>
      <c r="ZM42" s="22">
        <f t="shared" si="181"/>
        <v>0</v>
      </c>
      <c r="ZN42" s="22">
        <f t="shared" si="181"/>
        <v>0</v>
      </c>
      <c r="ZO42" s="22">
        <f t="shared" si="181"/>
        <v>0</v>
      </c>
      <c r="ZP42" s="22">
        <f t="shared" si="181"/>
        <v>0</v>
      </c>
      <c r="ZQ42" s="22">
        <f t="shared" si="181"/>
        <v>0</v>
      </c>
      <c r="ZR42" s="22">
        <f t="shared" si="181"/>
        <v>0</v>
      </c>
      <c r="ZS42" s="22">
        <f t="shared" si="181"/>
        <v>0</v>
      </c>
      <c r="ZT42" s="22">
        <f t="shared" si="181"/>
        <v>0</v>
      </c>
      <c r="ZU42" s="22">
        <f t="shared" si="181"/>
        <v>0</v>
      </c>
      <c r="ZV42" s="22">
        <f t="shared" si="181"/>
        <v>0</v>
      </c>
      <c r="ZW42" s="22">
        <f t="shared" si="181"/>
        <v>0</v>
      </c>
      <c r="ZX42" s="22">
        <f t="shared" si="181"/>
        <v>0</v>
      </c>
      <c r="ZY42" s="22">
        <f t="shared" si="181"/>
        <v>0</v>
      </c>
      <c r="ZZ42" s="22">
        <f t="shared" si="181"/>
        <v>0</v>
      </c>
      <c r="AAA42" s="22">
        <f t="shared" si="181"/>
        <v>0</v>
      </c>
      <c r="AAB42" s="22">
        <f t="shared" si="181"/>
        <v>0</v>
      </c>
      <c r="AAC42" s="22">
        <f t="shared" si="181"/>
        <v>0</v>
      </c>
      <c r="AAD42" s="22">
        <f t="shared" si="181"/>
        <v>0</v>
      </c>
      <c r="AAE42" s="22">
        <f t="shared" si="181"/>
        <v>0</v>
      </c>
      <c r="AAF42" s="22">
        <f t="shared" si="181"/>
        <v>0</v>
      </c>
      <c r="AAG42" s="22">
        <f t="shared" si="181"/>
        <v>0</v>
      </c>
      <c r="AAH42" s="22">
        <f t="shared" si="181"/>
        <v>0</v>
      </c>
      <c r="AAI42" s="22">
        <f t="shared" ref="AAI42:ABI42" si="182">$E$42*AAI32</f>
        <v>0</v>
      </c>
      <c r="AAJ42" s="22">
        <f t="shared" si="182"/>
        <v>0</v>
      </c>
      <c r="AAK42" s="22">
        <f t="shared" si="182"/>
        <v>0</v>
      </c>
      <c r="AAL42" s="22">
        <f t="shared" si="182"/>
        <v>0</v>
      </c>
      <c r="AAM42" s="22">
        <f t="shared" si="182"/>
        <v>0</v>
      </c>
      <c r="AAN42" s="22">
        <f t="shared" si="182"/>
        <v>0</v>
      </c>
      <c r="AAO42" s="22">
        <f t="shared" si="182"/>
        <v>0</v>
      </c>
      <c r="AAP42" s="22">
        <f t="shared" si="182"/>
        <v>0</v>
      </c>
      <c r="AAQ42" s="22">
        <f t="shared" si="182"/>
        <v>0</v>
      </c>
      <c r="AAR42" s="22">
        <f t="shared" si="182"/>
        <v>0</v>
      </c>
      <c r="AAS42" s="22">
        <f t="shared" si="182"/>
        <v>0</v>
      </c>
      <c r="AAT42" s="22">
        <f t="shared" si="182"/>
        <v>0</v>
      </c>
      <c r="AAU42" s="22">
        <f t="shared" si="182"/>
        <v>0</v>
      </c>
      <c r="AAV42" s="22">
        <f t="shared" si="182"/>
        <v>0</v>
      </c>
      <c r="AAW42" s="22">
        <f t="shared" si="182"/>
        <v>0</v>
      </c>
      <c r="AAX42" s="22">
        <f t="shared" si="182"/>
        <v>0</v>
      </c>
      <c r="AAY42" s="22">
        <f t="shared" si="182"/>
        <v>0</v>
      </c>
      <c r="AAZ42" s="22">
        <f t="shared" si="182"/>
        <v>0</v>
      </c>
      <c r="ABA42" s="22">
        <f t="shared" si="182"/>
        <v>0</v>
      </c>
      <c r="ABB42" s="22">
        <f t="shared" si="182"/>
        <v>0</v>
      </c>
      <c r="ABC42" s="22">
        <f t="shared" si="182"/>
        <v>0</v>
      </c>
      <c r="ABD42" s="22">
        <f t="shared" si="182"/>
        <v>0</v>
      </c>
      <c r="ABE42" s="22">
        <f t="shared" si="182"/>
        <v>0</v>
      </c>
      <c r="ABF42" s="22">
        <f t="shared" si="182"/>
        <v>0</v>
      </c>
      <c r="ABG42" s="22">
        <f t="shared" si="182"/>
        <v>0</v>
      </c>
      <c r="ABH42" s="22">
        <f t="shared" si="182"/>
        <v>0</v>
      </c>
      <c r="ABI42" s="22">
        <f t="shared" si="182"/>
        <v>0</v>
      </c>
    </row>
    <row r="43" spans="2:737" ht="12.95" customHeight="1" x14ac:dyDescent="0.25">
      <c r="B43" s="18" t="s">
        <v>19</v>
      </c>
      <c r="C43" s="19">
        <f t="shared" si="146"/>
        <v>8435.1000000000058</v>
      </c>
      <c r="D43" s="20" t="s">
        <v>16</v>
      </c>
      <c r="E43" s="21">
        <v>9.3000000000000007</v>
      </c>
      <c r="F43" s="22">
        <f>$E$43*F33</f>
        <v>37.200000000000003</v>
      </c>
      <c r="G43" s="22">
        <f t="shared" ref="G43:BR43" si="183">$E$43*G33</f>
        <v>37.200000000000003</v>
      </c>
      <c r="H43" s="23">
        <f>$E$43*H33</f>
        <v>37.200000000000003</v>
      </c>
      <c r="I43" s="22">
        <f t="shared" si="183"/>
        <v>37.200000000000003</v>
      </c>
      <c r="J43" s="22">
        <f t="shared" si="183"/>
        <v>37.200000000000003</v>
      </c>
      <c r="K43" s="22">
        <f t="shared" si="183"/>
        <v>37.200000000000003</v>
      </c>
      <c r="L43" s="22">
        <f t="shared" si="183"/>
        <v>37.200000000000003</v>
      </c>
      <c r="M43" s="22">
        <f t="shared" si="183"/>
        <v>37.200000000000003</v>
      </c>
      <c r="N43" s="22">
        <f t="shared" si="183"/>
        <v>37.200000000000003</v>
      </c>
      <c r="O43" s="22">
        <f t="shared" si="183"/>
        <v>37.200000000000003</v>
      </c>
      <c r="P43" s="22">
        <f t="shared" si="183"/>
        <v>37.200000000000003</v>
      </c>
      <c r="Q43" s="22">
        <f t="shared" si="183"/>
        <v>37.200000000000003</v>
      </c>
      <c r="R43" s="22">
        <f t="shared" si="183"/>
        <v>37.200000000000003</v>
      </c>
      <c r="S43" s="22">
        <f t="shared" si="183"/>
        <v>37.200000000000003</v>
      </c>
      <c r="T43" s="22">
        <f t="shared" si="183"/>
        <v>37.200000000000003</v>
      </c>
      <c r="U43" s="22">
        <f t="shared" si="183"/>
        <v>37.200000000000003</v>
      </c>
      <c r="V43" s="22">
        <f t="shared" si="183"/>
        <v>37.200000000000003</v>
      </c>
      <c r="W43" s="22">
        <f t="shared" si="183"/>
        <v>37.200000000000003</v>
      </c>
      <c r="X43" s="22">
        <f t="shared" si="183"/>
        <v>37.200000000000003</v>
      </c>
      <c r="Y43" s="22">
        <f t="shared" si="183"/>
        <v>37.200000000000003</v>
      </c>
      <c r="Z43" s="22">
        <f t="shared" si="183"/>
        <v>37.200000000000003</v>
      </c>
      <c r="AA43" s="22">
        <f t="shared" si="183"/>
        <v>37.200000000000003</v>
      </c>
      <c r="AB43" s="22">
        <f t="shared" si="183"/>
        <v>37.200000000000003</v>
      </c>
      <c r="AC43" s="22">
        <f t="shared" si="183"/>
        <v>37.200000000000003</v>
      </c>
      <c r="AD43" s="22">
        <f t="shared" si="183"/>
        <v>37.200000000000003</v>
      </c>
      <c r="AE43" s="22">
        <f t="shared" si="183"/>
        <v>37.200000000000003</v>
      </c>
      <c r="AF43" s="22">
        <f t="shared" si="183"/>
        <v>37.200000000000003</v>
      </c>
      <c r="AG43" s="22">
        <f t="shared" si="183"/>
        <v>37.200000000000003</v>
      </c>
      <c r="AH43" s="22">
        <f t="shared" si="183"/>
        <v>46.5</v>
      </c>
      <c r="AI43" s="22">
        <f t="shared" si="183"/>
        <v>46.5</v>
      </c>
      <c r="AJ43" s="22">
        <f t="shared" si="183"/>
        <v>46.5</v>
      </c>
      <c r="AK43" s="23">
        <f t="shared" si="183"/>
        <v>46.5</v>
      </c>
      <c r="AL43" s="22">
        <f t="shared" si="183"/>
        <v>46.5</v>
      </c>
      <c r="AM43" s="22">
        <f t="shared" si="183"/>
        <v>46.5</v>
      </c>
      <c r="AN43" s="22">
        <f t="shared" si="183"/>
        <v>46.5</v>
      </c>
      <c r="AO43" s="22">
        <f t="shared" si="183"/>
        <v>46.5</v>
      </c>
      <c r="AP43" s="22">
        <f t="shared" si="183"/>
        <v>46.5</v>
      </c>
      <c r="AQ43" s="22">
        <f t="shared" si="183"/>
        <v>46.5</v>
      </c>
      <c r="AR43" s="22">
        <f t="shared" si="183"/>
        <v>46.5</v>
      </c>
      <c r="AS43" s="22">
        <f t="shared" si="183"/>
        <v>46.5</v>
      </c>
      <c r="AT43" s="22">
        <f t="shared" si="183"/>
        <v>46.5</v>
      </c>
      <c r="AU43" s="22">
        <f t="shared" si="183"/>
        <v>46.5</v>
      </c>
      <c r="AV43" s="22">
        <f t="shared" si="183"/>
        <v>46.5</v>
      </c>
      <c r="AW43" s="22">
        <f t="shared" si="183"/>
        <v>46.5</v>
      </c>
      <c r="AX43" s="22">
        <f t="shared" si="183"/>
        <v>46.5</v>
      </c>
      <c r="AY43" s="22">
        <f t="shared" si="183"/>
        <v>46.5</v>
      </c>
      <c r="AZ43" s="22">
        <f t="shared" si="183"/>
        <v>46.5</v>
      </c>
      <c r="BA43" s="22">
        <f t="shared" si="183"/>
        <v>46.5</v>
      </c>
      <c r="BB43" s="22">
        <f t="shared" si="183"/>
        <v>46.5</v>
      </c>
      <c r="BC43" s="22">
        <f t="shared" si="183"/>
        <v>46.5</v>
      </c>
      <c r="BD43" s="22">
        <f t="shared" si="183"/>
        <v>46.5</v>
      </c>
      <c r="BE43" s="22">
        <f t="shared" si="183"/>
        <v>46.5</v>
      </c>
      <c r="BF43" s="22">
        <f t="shared" si="183"/>
        <v>46.5</v>
      </c>
      <c r="BG43" s="22">
        <f t="shared" si="183"/>
        <v>46.5</v>
      </c>
      <c r="BH43" s="22">
        <f t="shared" si="183"/>
        <v>46.5</v>
      </c>
      <c r="BI43" s="22">
        <f t="shared" si="183"/>
        <v>46.5</v>
      </c>
      <c r="BJ43" s="22">
        <f t="shared" si="183"/>
        <v>55.800000000000004</v>
      </c>
      <c r="BK43" s="22">
        <f t="shared" si="183"/>
        <v>55.800000000000004</v>
      </c>
      <c r="BL43" s="22">
        <f t="shared" si="183"/>
        <v>55.800000000000004</v>
      </c>
      <c r="BM43" s="22">
        <f t="shared" si="183"/>
        <v>55.800000000000004</v>
      </c>
      <c r="BN43" s="22">
        <f t="shared" si="183"/>
        <v>55.800000000000004</v>
      </c>
      <c r="BO43" s="22">
        <f t="shared" si="183"/>
        <v>55.800000000000004</v>
      </c>
      <c r="BP43" s="22">
        <f t="shared" si="183"/>
        <v>55.800000000000004</v>
      </c>
      <c r="BQ43" s="22">
        <f t="shared" si="183"/>
        <v>55.800000000000004</v>
      </c>
      <c r="BR43" s="22">
        <f t="shared" si="183"/>
        <v>55.800000000000004</v>
      </c>
      <c r="BS43" s="22">
        <f t="shared" ref="BS43:ED43" si="184">$E$43*BS33</f>
        <v>55.800000000000004</v>
      </c>
      <c r="BT43" s="22">
        <f t="shared" si="184"/>
        <v>55.800000000000004</v>
      </c>
      <c r="BU43" s="22">
        <f t="shared" si="184"/>
        <v>55.800000000000004</v>
      </c>
      <c r="BV43" s="22">
        <f t="shared" si="184"/>
        <v>55.800000000000004</v>
      </c>
      <c r="BW43" s="22">
        <f t="shared" si="184"/>
        <v>55.800000000000004</v>
      </c>
      <c r="BX43" s="22">
        <f t="shared" si="184"/>
        <v>55.800000000000004</v>
      </c>
      <c r="BY43" s="22">
        <f t="shared" si="184"/>
        <v>55.800000000000004</v>
      </c>
      <c r="BZ43" s="22">
        <f t="shared" si="184"/>
        <v>55.800000000000004</v>
      </c>
      <c r="CA43" s="22">
        <f t="shared" si="184"/>
        <v>55.800000000000004</v>
      </c>
      <c r="CB43" s="22">
        <f t="shared" si="184"/>
        <v>55.800000000000004</v>
      </c>
      <c r="CC43" s="22">
        <f t="shared" si="184"/>
        <v>55.800000000000004</v>
      </c>
      <c r="CD43" s="22">
        <f t="shared" si="184"/>
        <v>55.800000000000004</v>
      </c>
      <c r="CE43" s="22">
        <f t="shared" si="184"/>
        <v>55.800000000000004</v>
      </c>
      <c r="CF43" s="22">
        <f t="shared" si="184"/>
        <v>55.800000000000004</v>
      </c>
      <c r="CG43" s="22">
        <f t="shared" si="184"/>
        <v>55.800000000000004</v>
      </c>
      <c r="CH43" s="22">
        <f t="shared" si="184"/>
        <v>55.800000000000004</v>
      </c>
      <c r="CI43" s="22">
        <f t="shared" si="184"/>
        <v>55.800000000000004</v>
      </c>
      <c r="CJ43" s="22">
        <f t="shared" si="184"/>
        <v>55.800000000000004</v>
      </c>
      <c r="CK43" s="22">
        <f t="shared" si="184"/>
        <v>55.800000000000004</v>
      </c>
      <c r="CL43" s="22">
        <f t="shared" si="184"/>
        <v>55.800000000000004</v>
      </c>
      <c r="CM43" s="22">
        <f t="shared" si="184"/>
        <v>55.800000000000004</v>
      </c>
      <c r="CN43" s="22">
        <f t="shared" si="184"/>
        <v>55.800000000000004</v>
      </c>
      <c r="CO43" s="22">
        <f t="shared" si="184"/>
        <v>55.800000000000004</v>
      </c>
      <c r="CP43" s="22">
        <f t="shared" si="184"/>
        <v>55.800000000000004</v>
      </c>
      <c r="CQ43" s="22">
        <f t="shared" si="184"/>
        <v>55.800000000000004</v>
      </c>
      <c r="CR43" s="22">
        <f t="shared" si="184"/>
        <v>55.800000000000004</v>
      </c>
      <c r="CS43" s="22">
        <f t="shared" si="184"/>
        <v>55.800000000000004</v>
      </c>
      <c r="CT43" s="22">
        <f t="shared" si="184"/>
        <v>55.800000000000004</v>
      </c>
      <c r="CU43" s="22">
        <f t="shared" si="184"/>
        <v>55.800000000000004</v>
      </c>
      <c r="CV43" s="22">
        <f t="shared" si="184"/>
        <v>55.800000000000004</v>
      </c>
      <c r="CW43" s="22">
        <f t="shared" si="184"/>
        <v>55.800000000000004</v>
      </c>
      <c r="CX43" s="22">
        <f t="shared" si="184"/>
        <v>55.800000000000004</v>
      </c>
      <c r="CY43" s="22">
        <f t="shared" si="184"/>
        <v>55.800000000000004</v>
      </c>
      <c r="CZ43" s="22">
        <f t="shared" si="184"/>
        <v>55.800000000000004</v>
      </c>
      <c r="DA43" s="22">
        <f t="shared" si="184"/>
        <v>55.800000000000004</v>
      </c>
      <c r="DB43" s="22">
        <f t="shared" si="184"/>
        <v>55.800000000000004</v>
      </c>
      <c r="DC43" s="22">
        <f t="shared" si="184"/>
        <v>55.800000000000004</v>
      </c>
      <c r="DD43" s="22">
        <f t="shared" si="184"/>
        <v>55.800000000000004</v>
      </c>
      <c r="DE43" s="22">
        <f t="shared" si="184"/>
        <v>55.800000000000004</v>
      </c>
      <c r="DF43" s="22">
        <f t="shared" si="184"/>
        <v>55.800000000000004</v>
      </c>
      <c r="DG43" s="22">
        <f t="shared" si="184"/>
        <v>55.800000000000004</v>
      </c>
      <c r="DH43" s="22">
        <f t="shared" si="184"/>
        <v>55.800000000000004</v>
      </c>
      <c r="DI43" s="22">
        <f t="shared" si="184"/>
        <v>55.800000000000004</v>
      </c>
      <c r="DJ43" s="22">
        <f t="shared" si="184"/>
        <v>55.800000000000004</v>
      </c>
      <c r="DK43" s="22">
        <f t="shared" si="184"/>
        <v>55.800000000000004</v>
      </c>
      <c r="DL43" s="22">
        <f t="shared" si="184"/>
        <v>55.800000000000004</v>
      </c>
      <c r="DM43" s="22">
        <f t="shared" si="184"/>
        <v>55.800000000000004</v>
      </c>
      <c r="DN43" s="22">
        <f t="shared" si="184"/>
        <v>55.800000000000004</v>
      </c>
      <c r="DO43" s="22">
        <f t="shared" si="184"/>
        <v>55.800000000000004</v>
      </c>
      <c r="DP43" s="22">
        <f t="shared" si="184"/>
        <v>55.800000000000004</v>
      </c>
      <c r="DQ43" s="22">
        <f t="shared" si="184"/>
        <v>55.800000000000004</v>
      </c>
      <c r="DR43" s="22">
        <f t="shared" si="184"/>
        <v>55.800000000000004</v>
      </c>
      <c r="DS43" s="22">
        <f t="shared" si="184"/>
        <v>55.800000000000004</v>
      </c>
      <c r="DT43" s="22">
        <f t="shared" si="184"/>
        <v>55.800000000000004</v>
      </c>
      <c r="DU43" s="22">
        <f t="shared" si="184"/>
        <v>55.800000000000004</v>
      </c>
      <c r="DV43" s="22">
        <f t="shared" si="184"/>
        <v>55.800000000000004</v>
      </c>
      <c r="DW43" s="22">
        <f t="shared" si="184"/>
        <v>55.800000000000004</v>
      </c>
      <c r="DX43" s="22">
        <f t="shared" si="184"/>
        <v>55.800000000000004</v>
      </c>
      <c r="DY43" s="22">
        <f t="shared" si="184"/>
        <v>55.800000000000004</v>
      </c>
      <c r="DZ43" s="22">
        <f t="shared" si="184"/>
        <v>55.800000000000004</v>
      </c>
      <c r="EA43" s="22">
        <f t="shared" si="184"/>
        <v>55.800000000000004</v>
      </c>
      <c r="EB43" s="22">
        <f t="shared" si="184"/>
        <v>55.800000000000004</v>
      </c>
      <c r="EC43" s="22">
        <f t="shared" si="184"/>
        <v>55.800000000000004</v>
      </c>
      <c r="ED43" s="22">
        <f t="shared" si="184"/>
        <v>55.800000000000004</v>
      </c>
      <c r="EE43" s="22">
        <f t="shared" ref="EE43:GP43" si="185">$E$43*EE33</f>
        <v>55.800000000000004</v>
      </c>
      <c r="EF43" s="22">
        <f t="shared" si="185"/>
        <v>55.800000000000004</v>
      </c>
      <c r="EG43" s="22">
        <f t="shared" si="185"/>
        <v>55.800000000000004</v>
      </c>
      <c r="EH43" s="22">
        <f t="shared" si="185"/>
        <v>55.800000000000004</v>
      </c>
      <c r="EI43" s="22">
        <f t="shared" si="185"/>
        <v>55.800000000000004</v>
      </c>
      <c r="EJ43" s="22">
        <f t="shared" si="185"/>
        <v>55.800000000000004</v>
      </c>
      <c r="EK43" s="22">
        <f t="shared" si="185"/>
        <v>55.800000000000004</v>
      </c>
      <c r="EL43" s="22">
        <f t="shared" si="185"/>
        <v>55.800000000000004</v>
      </c>
      <c r="EM43" s="22">
        <f t="shared" si="185"/>
        <v>55.800000000000004</v>
      </c>
      <c r="EN43" s="22">
        <f t="shared" si="185"/>
        <v>55.800000000000004</v>
      </c>
      <c r="EO43" s="22">
        <f t="shared" si="185"/>
        <v>55.800000000000004</v>
      </c>
      <c r="EP43" s="22">
        <f t="shared" si="185"/>
        <v>55.800000000000004</v>
      </c>
      <c r="EQ43" s="22">
        <f t="shared" si="185"/>
        <v>55.800000000000004</v>
      </c>
      <c r="ER43" s="22">
        <f t="shared" si="185"/>
        <v>55.800000000000004</v>
      </c>
      <c r="ES43" s="22">
        <f t="shared" si="185"/>
        <v>55.800000000000004</v>
      </c>
      <c r="ET43" s="22">
        <f t="shared" si="185"/>
        <v>55.800000000000004</v>
      </c>
      <c r="EU43" s="22">
        <f t="shared" si="185"/>
        <v>55.800000000000004</v>
      </c>
      <c r="EV43" s="22">
        <f t="shared" si="185"/>
        <v>55.800000000000004</v>
      </c>
      <c r="EW43" s="22">
        <f t="shared" si="185"/>
        <v>37.200000000000003</v>
      </c>
      <c r="EX43" s="22">
        <f t="shared" si="185"/>
        <v>37.200000000000003</v>
      </c>
      <c r="EY43" s="22">
        <f t="shared" si="185"/>
        <v>37.200000000000003</v>
      </c>
      <c r="EZ43" s="22">
        <f t="shared" si="185"/>
        <v>37.200000000000003</v>
      </c>
      <c r="FA43" s="22">
        <f t="shared" si="185"/>
        <v>37.200000000000003</v>
      </c>
      <c r="FB43" s="22">
        <f t="shared" si="185"/>
        <v>37.200000000000003</v>
      </c>
      <c r="FC43" s="22">
        <f t="shared" si="185"/>
        <v>37.200000000000003</v>
      </c>
      <c r="FD43" s="22">
        <f t="shared" si="185"/>
        <v>27.900000000000002</v>
      </c>
      <c r="FE43" s="22">
        <f t="shared" si="185"/>
        <v>27.900000000000002</v>
      </c>
      <c r="FF43" s="22">
        <f t="shared" si="185"/>
        <v>27.900000000000002</v>
      </c>
      <c r="FG43" s="22">
        <f t="shared" si="185"/>
        <v>27.900000000000002</v>
      </c>
      <c r="FH43" s="22">
        <f t="shared" si="185"/>
        <v>27.900000000000002</v>
      </c>
      <c r="FI43" s="22">
        <f t="shared" si="185"/>
        <v>27.900000000000002</v>
      </c>
      <c r="FJ43" s="22">
        <f t="shared" si="185"/>
        <v>27.900000000000002</v>
      </c>
      <c r="FK43" s="22">
        <f t="shared" si="185"/>
        <v>27.900000000000002</v>
      </c>
      <c r="FL43" s="22">
        <f t="shared" si="185"/>
        <v>27.900000000000002</v>
      </c>
      <c r="FM43" s="22">
        <f t="shared" si="185"/>
        <v>27.900000000000002</v>
      </c>
      <c r="FN43" s="22">
        <f t="shared" si="185"/>
        <v>27.900000000000002</v>
      </c>
      <c r="FO43" s="22">
        <f t="shared" si="185"/>
        <v>27.900000000000002</v>
      </c>
      <c r="FP43" s="22">
        <f t="shared" si="185"/>
        <v>27.900000000000002</v>
      </c>
      <c r="FQ43" s="22">
        <f t="shared" si="185"/>
        <v>27.900000000000002</v>
      </c>
      <c r="FR43" s="22">
        <f t="shared" si="185"/>
        <v>27.900000000000002</v>
      </c>
      <c r="FS43" s="22">
        <f t="shared" si="185"/>
        <v>27.900000000000002</v>
      </c>
      <c r="FT43" s="22">
        <f t="shared" si="185"/>
        <v>27.900000000000002</v>
      </c>
      <c r="FU43" s="22">
        <f t="shared" si="185"/>
        <v>27.900000000000002</v>
      </c>
      <c r="FV43" s="22">
        <f t="shared" si="185"/>
        <v>27.900000000000002</v>
      </c>
      <c r="FW43" s="22">
        <f t="shared" si="185"/>
        <v>27.900000000000002</v>
      </c>
      <c r="FX43" s="22">
        <f t="shared" si="185"/>
        <v>27.900000000000002</v>
      </c>
      <c r="FY43" s="22">
        <f t="shared" si="185"/>
        <v>27.900000000000002</v>
      </c>
      <c r="FZ43" s="22">
        <f t="shared" si="185"/>
        <v>27.900000000000002</v>
      </c>
      <c r="GA43" s="22">
        <f t="shared" si="185"/>
        <v>27.900000000000002</v>
      </c>
      <c r="GB43" s="22">
        <f t="shared" si="185"/>
        <v>27.900000000000002</v>
      </c>
      <c r="GC43" s="22">
        <f t="shared" si="185"/>
        <v>27.900000000000002</v>
      </c>
      <c r="GD43" s="22">
        <f t="shared" si="185"/>
        <v>27.900000000000002</v>
      </c>
      <c r="GE43" s="22">
        <f t="shared" si="185"/>
        <v>0</v>
      </c>
      <c r="GF43" s="22">
        <f t="shared" si="185"/>
        <v>0</v>
      </c>
      <c r="GG43" s="22">
        <f t="shared" si="185"/>
        <v>0</v>
      </c>
      <c r="GH43" s="22">
        <f t="shared" si="185"/>
        <v>0</v>
      </c>
      <c r="GI43" s="22">
        <f t="shared" si="185"/>
        <v>0</v>
      </c>
      <c r="GJ43" s="22">
        <f t="shared" si="185"/>
        <v>0</v>
      </c>
      <c r="GK43" s="22">
        <f t="shared" si="185"/>
        <v>0</v>
      </c>
      <c r="GL43" s="22">
        <f t="shared" si="185"/>
        <v>0</v>
      </c>
      <c r="GM43" s="22">
        <f t="shared" si="185"/>
        <v>0</v>
      </c>
      <c r="GN43" s="22">
        <f t="shared" si="185"/>
        <v>0</v>
      </c>
      <c r="GO43" s="22">
        <f t="shared" si="185"/>
        <v>0</v>
      </c>
      <c r="GP43" s="22">
        <f t="shared" si="185"/>
        <v>0</v>
      </c>
      <c r="GQ43" s="22">
        <f t="shared" ref="GQ43:JB43" si="186">$E$43*GQ33</f>
        <v>0</v>
      </c>
      <c r="GR43" s="22">
        <f t="shared" si="186"/>
        <v>0</v>
      </c>
      <c r="GS43" s="22">
        <f t="shared" si="186"/>
        <v>0</v>
      </c>
      <c r="GT43" s="22">
        <f t="shared" si="186"/>
        <v>0</v>
      </c>
      <c r="GU43" s="22">
        <f t="shared" si="186"/>
        <v>0</v>
      </c>
      <c r="GV43" s="22">
        <f t="shared" si="186"/>
        <v>0</v>
      </c>
      <c r="GW43" s="22">
        <f t="shared" si="186"/>
        <v>0</v>
      </c>
      <c r="GX43" s="22">
        <f t="shared" si="186"/>
        <v>0</v>
      </c>
      <c r="GY43" s="22">
        <f t="shared" si="186"/>
        <v>0</v>
      </c>
      <c r="GZ43" s="22">
        <f t="shared" si="186"/>
        <v>0</v>
      </c>
      <c r="HA43" s="22">
        <f t="shared" si="186"/>
        <v>0</v>
      </c>
      <c r="HB43" s="22">
        <f t="shared" si="186"/>
        <v>0</v>
      </c>
      <c r="HC43" s="22">
        <f t="shared" si="186"/>
        <v>0</v>
      </c>
      <c r="HD43" s="22">
        <f t="shared" si="186"/>
        <v>0</v>
      </c>
      <c r="HE43" s="22">
        <f t="shared" si="186"/>
        <v>0</v>
      </c>
      <c r="HF43" s="22">
        <f t="shared" si="186"/>
        <v>0</v>
      </c>
      <c r="HG43" s="22">
        <f t="shared" si="186"/>
        <v>0</v>
      </c>
      <c r="HH43" s="22">
        <f t="shared" si="186"/>
        <v>0</v>
      </c>
      <c r="HI43" s="22">
        <f t="shared" si="186"/>
        <v>0</v>
      </c>
      <c r="HJ43" s="22">
        <f t="shared" si="186"/>
        <v>0</v>
      </c>
      <c r="HK43" s="22">
        <f t="shared" si="186"/>
        <v>0</v>
      </c>
      <c r="HL43" s="22">
        <f t="shared" si="186"/>
        <v>0</v>
      </c>
      <c r="HM43" s="22">
        <f t="shared" si="186"/>
        <v>0</v>
      </c>
      <c r="HN43" s="22">
        <f t="shared" si="186"/>
        <v>0</v>
      </c>
      <c r="HO43" s="22">
        <f t="shared" si="186"/>
        <v>0</v>
      </c>
      <c r="HP43" s="22">
        <f t="shared" si="186"/>
        <v>0</v>
      </c>
      <c r="HQ43" s="22">
        <f t="shared" si="186"/>
        <v>0</v>
      </c>
      <c r="HR43" s="22">
        <f t="shared" si="186"/>
        <v>0</v>
      </c>
      <c r="HS43" s="22">
        <f t="shared" si="186"/>
        <v>0</v>
      </c>
      <c r="HT43" s="22">
        <f t="shared" si="186"/>
        <v>0</v>
      </c>
      <c r="HU43" s="22">
        <f t="shared" si="186"/>
        <v>0</v>
      </c>
      <c r="HV43" s="22">
        <f t="shared" si="186"/>
        <v>0</v>
      </c>
      <c r="HW43" s="22">
        <f t="shared" si="186"/>
        <v>0</v>
      </c>
      <c r="HX43" s="22">
        <f t="shared" si="186"/>
        <v>0</v>
      </c>
      <c r="HY43" s="22">
        <f t="shared" si="186"/>
        <v>0</v>
      </c>
      <c r="HZ43" s="22">
        <f t="shared" si="186"/>
        <v>0</v>
      </c>
      <c r="IA43" s="22">
        <f t="shared" si="186"/>
        <v>0</v>
      </c>
      <c r="IB43" s="22">
        <f t="shared" si="186"/>
        <v>0</v>
      </c>
      <c r="IC43" s="22">
        <f t="shared" si="186"/>
        <v>0</v>
      </c>
      <c r="ID43" s="22">
        <f t="shared" si="186"/>
        <v>0</v>
      </c>
      <c r="IE43" s="22">
        <f t="shared" si="186"/>
        <v>0</v>
      </c>
      <c r="IF43" s="22">
        <f t="shared" si="186"/>
        <v>0</v>
      </c>
      <c r="IG43" s="22">
        <f t="shared" si="186"/>
        <v>0</v>
      </c>
      <c r="IH43" s="22">
        <f t="shared" si="186"/>
        <v>0</v>
      </c>
      <c r="II43" s="22">
        <f t="shared" si="186"/>
        <v>0</v>
      </c>
      <c r="IJ43" s="22">
        <f t="shared" si="186"/>
        <v>0</v>
      </c>
      <c r="IK43" s="22">
        <f t="shared" si="186"/>
        <v>0</v>
      </c>
      <c r="IL43" s="22">
        <f t="shared" si="186"/>
        <v>0</v>
      </c>
      <c r="IM43" s="22">
        <f t="shared" si="186"/>
        <v>0</v>
      </c>
      <c r="IN43" s="22">
        <f t="shared" si="186"/>
        <v>0</v>
      </c>
      <c r="IO43" s="22">
        <f t="shared" si="186"/>
        <v>0</v>
      </c>
      <c r="IP43" s="22">
        <f t="shared" si="186"/>
        <v>0</v>
      </c>
      <c r="IQ43" s="22">
        <f t="shared" si="186"/>
        <v>0</v>
      </c>
      <c r="IR43" s="22">
        <f t="shared" si="186"/>
        <v>0</v>
      </c>
      <c r="IS43" s="22">
        <f t="shared" si="186"/>
        <v>0</v>
      </c>
      <c r="IT43" s="22">
        <f t="shared" si="186"/>
        <v>0</v>
      </c>
      <c r="IU43" s="22">
        <f t="shared" si="186"/>
        <v>0</v>
      </c>
      <c r="IV43" s="22">
        <f t="shared" si="186"/>
        <v>0</v>
      </c>
      <c r="IW43" s="22">
        <f t="shared" si="186"/>
        <v>0</v>
      </c>
      <c r="IX43" s="22">
        <f t="shared" si="186"/>
        <v>0</v>
      </c>
      <c r="IY43" s="22">
        <f t="shared" si="186"/>
        <v>0</v>
      </c>
      <c r="IZ43" s="22">
        <f t="shared" si="186"/>
        <v>0</v>
      </c>
      <c r="JA43" s="22">
        <f t="shared" si="186"/>
        <v>0</v>
      </c>
      <c r="JB43" s="22">
        <f t="shared" si="186"/>
        <v>0</v>
      </c>
      <c r="JC43" s="22">
        <f t="shared" ref="JC43:LN43" si="187">$E$43*JC33</f>
        <v>0</v>
      </c>
      <c r="JD43" s="22">
        <f t="shared" si="187"/>
        <v>0</v>
      </c>
      <c r="JE43" s="22">
        <f t="shared" si="187"/>
        <v>0</v>
      </c>
      <c r="JF43" s="22">
        <f t="shared" si="187"/>
        <v>0</v>
      </c>
      <c r="JG43" s="22">
        <f t="shared" si="187"/>
        <v>0</v>
      </c>
      <c r="JH43" s="22">
        <f t="shared" si="187"/>
        <v>0</v>
      </c>
      <c r="JI43" s="22">
        <f t="shared" si="187"/>
        <v>0</v>
      </c>
      <c r="JJ43" s="22">
        <f t="shared" si="187"/>
        <v>0</v>
      </c>
      <c r="JK43" s="22">
        <f t="shared" si="187"/>
        <v>0</v>
      </c>
      <c r="JL43" s="22">
        <f t="shared" si="187"/>
        <v>0</v>
      </c>
      <c r="JM43" s="22">
        <f t="shared" si="187"/>
        <v>0</v>
      </c>
      <c r="JN43" s="22">
        <f t="shared" si="187"/>
        <v>0</v>
      </c>
      <c r="JO43" s="22">
        <f t="shared" si="187"/>
        <v>0</v>
      </c>
      <c r="JP43" s="22">
        <f t="shared" si="187"/>
        <v>0</v>
      </c>
      <c r="JQ43" s="22">
        <f t="shared" si="187"/>
        <v>0</v>
      </c>
      <c r="JR43" s="22">
        <f t="shared" si="187"/>
        <v>0</v>
      </c>
      <c r="JS43" s="22">
        <f t="shared" si="187"/>
        <v>0</v>
      </c>
      <c r="JT43" s="22">
        <f t="shared" si="187"/>
        <v>0</v>
      </c>
      <c r="JU43" s="22">
        <f t="shared" si="187"/>
        <v>0</v>
      </c>
      <c r="JV43" s="22">
        <f t="shared" si="187"/>
        <v>0</v>
      </c>
      <c r="JW43" s="22">
        <f t="shared" si="187"/>
        <v>0</v>
      </c>
      <c r="JX43" s="22">
        <f t="shared" si="187"/>
        <v>0</v>
      </c>
      <c r="JY43" s="22">
        <f t="shared" si="187"/>
        <v>0</v>
      </c>
      <c r="JZ43" s="22">
        <f t="shared" si="187"/>
        <v>0</v>
      </c>
      <c r="KA43" s="22">
        <f t="shared" si="187"/>
        <v>0</v>
      </c>
      <c r="KB43" s="22">
        <f t="shared" si="187"/>
        <v>0</v>
      </c>
      <c r="KC43" s="22">
        <f t="shared" si="187"/>
        <v>0</v>
      </c>
      <c r="KD43" s="22">
        <f t="shared" si="187"/>
        <v>0</v>
      </c>
      <c r="KE43" s="22">
        <f t="shared" si="187"/>
        <v>0</v>
      </c>
      <c r="KF43" s="22">
        <f t="shared" si="187"/>
        <v>0</v>
      </c>
      <c r="KG43" s="22">
        <f t="shared" si="187"/>
        <v>0</v>
      </c>
      <c r="KH43" s="22">
        <f t="shared" si="187"/>
        <v>0</v>
      </c>
      <c r="KI43" s="22">
        <f t="shared" si="187"/>
        <v>0</v>
      </c>
      <c r="KJ43" s="22">
        <f t="shared" si="187"/>
        <v>0</v>
      </c>
      <c r="KK43" s="22">
        <f t="shared" si="187"/>
        <v>0</v>
      </c>
      <c r="KL43" s="22">
        <f t="shared" si="187"/>
        <v>0</v>
      </c>
      <c r="KM43" s="22">
        <f t="shared" si="187"/>
        <v>0</v>
      </c>
      <c r="KN43" s="22">
        <f t="shared" si="187"/>
        <v>0</v>
      </c>
      <c r="KO43" s="22">
        <f t="shared" si="187"/>
        <v>0</v>
      </c>
      <c r="KP43" s="22">
        <f t="shared" si="187"/>
        <v>0</v>
      </c>
      <c r="KQ43" s="22">
        <f t="shared" si="187"/>
        <v>0</v>
      </c>
      <c r="KR43" s="22">
        <f t="shared" si="187"/>
        <v>0</v>
      </c>
      <c r="KS43" s="22">
        <f t="shared" si="187"/>
        <v>0</v>
      </c>
      <c r="KT43" s="22">
        <f t="shared" si="187"/>
        <v>0</v>
      </c>
      <c r="KU43" s="22">
        <f t="shared" si="187"/>
        <v>0</v>
      </c>
      <c r="KV43" s="22">
        <f t="shared" si="187"/>
        <v>0</v>
      </c>
      <c r="KW43" s="22">
        <f t="shared" si="187"/>
        <v>0</v>
      </c>
      <c r="KX43" s="22">
        <f t="shared" si="187"/>
        <v>0</v>
      </c>
      <c r="KY43" s="22">
        <f t="shared" si="187"/>
        <v>0</v>
      </c>
      <c r="KZ43" s="22">
        <f t="shared" si="187"/>
        <v>0</v>
      </c>
      <c r="LA43" s="22">
        <f t="shared" si="187"/>
        <v>0</v>
      </c>
      <c r="LB43" s="22">
        <f t="shared" si="187"/>
        <v>0</v>
      </c>
      <c r="LC43" s="22">
        <f t="shared" si="187"/>
        <v>0</v>
      </c>
      <c r="LD43" s="22">
        <f t="shared" si="187"/>
        <v>0</v>
      </c>
      <c r="LE43" s="22">
        <f t="shared" si="187"/>
        <v>0</v>
      </c>
      <c r="LF43" s="22">
        <f t="shared" si="187"/>
        <v>0</v>
      </c>
      <c r="LG43" s="22">
        <f t="shared" si="187"/>
        <v>0</v>
      </c>
      <c r="LH43" s="22">
        <f t="shared" si="187"/>
        <v>0</v>
      </c>
      <c r="LI43" s="22">
        <f t="shared" si="187"/>
        <v>0</v>
      </c>
      <c r="LJ43" s="22">
        <f t="shared" si="187"/>
        <v>0</v>
      </c>
      <c r="LK43" s="22">
        <f t="shared" si="187"/>
        <v>0</v>
      </c>
      <c r="LL43" s="22">
        <f t="shared" si="187"/>
        <v>0</v>
      </c>
      <c r="LM43" s="22">
        <f t="shared" si="187"/>
        <v>0</v>
      </c>
      <c r="LN43" s="22">
        <f t="shared" si="187"/>
        <v>0</v>
      </c>
      <c r="LO43" s="22">
        <f t="shared" ref="LO43:NZ43" si="188">$E$43*LO33</f>
        <v>0</v>
      </c>
      <c r="LP43" s="22">
        <f t="shared" si="188"/>
        <v>0</v>
      </c>
      <c r="LQ43" s="22">
        <f t="shared" si="188"/>
        <v>0</v>
      </c>
      <c r="LR43" s="22">
        <f t="shared" si="188"/>
        <v>0</v>
      </c>
      <c r="LS43" s="22">
        <f t="shared" si="188"/>
        <v>0</v>
      </c>
      <c r="LT43" s="22">
        <f t="shared" si="188"/>
        <v>0</v>
      </c>
      <c r="LU43" s="22">
        <f t="shared" si="188"/>
        <v>0</v>
      </c>
      <c r="LV43" s="22">
        <f t="shared" si="188"/>
        <v>0</v>
      </c>
      <c r="LW43" s="22">
        <f t="shared" si="188"/>
        <v>0</v>
      </c>
      <c r="LX43" s="22">
        <f t="shared" si="188"/>
        <v>0</v>
      </c>
      <c r="LY43" s="22">
        <f t="shared" si="188"/>
        <v>0</v>
      </c>
      <c r="LZ43" s="22">
        <f t="shared" si="188"/>
        <v>0</v>
      </c>
      <c r="MA43" s="22">
        <f t="shared" si="188"/>
        <v>0</v>
      </c>
      <c r="MB43" s="22">
        <f t="shared" si="188"/>
        <v>0</v>
      </c>
      <c r="MC43" s="22">
        <f t="shared" si="188"/>
        <v>0</v>
      </c>
      <c r="MD43" s="22">
        <f t="shared" si="188"/>
        <v>0</v>
      </c>
      <c r="ME43" s="22">
        <f t="shared" si="188"/>
        <v>0</v>
      </c>
      <c r="MF43" s="22">
        <f t="shared" si="188"/>
        <v>0</v>
      </c>
      <c r="MG43" s="22">
        <f t="shared" si="188"/>
        <v>0</v>
      </c>
      <c r="MH43" s="22">
        <f t="shared" si="188"/>
        <v>0</v>
      </c>
      <c r="MI43" s="22">
        <f t="shared" si="188"/>
        <v>0</v>
      </c>
      <c r="MJ43" s="22">
        <f t="shared" si="188"/>
        <v>0</v>
      </c>
      <c r="MK43" s="22">
        <f t="shared" si="188"/>
        <v>0</v>
      </c>
      <c r="ML43" s="22">
        <f t="shared" si="188"/>
        <v>0</v>
      </c>
      <c r="MM43" s="22">
        <f t="shared" si="188"/>
        <v>0</v>
      </c>
      <c r="MN43" s="22">
        <f t="shared" si="188"/>
        <v>0</v>
      </c>
      <c r="MO43" s="22">
        <f t="shared" si="188"/>
        <v>0</v>
      </c>
      <c r="MP43" s="22">
        <f t="shared" si="188"/>
        <v>0</v>
      </c>
      <c r="MQ43" s="22">
        <f t="shared" si="188"/>
        <v>0</v>
      </c>
      <c r="MR43" s="22">
        <f t="shared" si="188"/>
        <v>0</v>
      </c>
      <c r="MS43" s="22">
        <f t="shared" si="188"/>
        <v>0</v>
      </c>
      <c r="MT43" s="22">
        <f t="shared" si="188"/>
        <v>0</v>
      </c>
      <c r="MU43" s="22">
        <f t="shared" si="188"/>
        <v>0</v>
      </c>
      <c r="MV43" s="22">
        <f t="shared" si="188"/>
        <v>0</v>
      </c>
      <c r="MW43" s="22">
        <f t="shared" si="188"/>
        <v>0</v>
      </c>
      <c r="MX43" s="22">
        <f t="shared" si="188"/>
        <v>0</v>
      </c>
      <c r="MY43" s="22">
        <f t="shared" si="188"/>
        <v>0</v>
      </c>
      <c r="MZ43" s="22">
        <f t="shared" si="188"/>
        <v>0</v>
      </c>
      <c r="NA43" s="22">
        <f t="shared" si="188"/>
        <v>0</v>
      </c>
      <c r="NB43" s="22">
        <f t="shared" si="188"/>
        <v>0</v>
      </c>
      <c r="NC43" s="22">
        <f t="shared" si="188"/>
        <v>0</v>
      </c>
      <c r="ND43" s="22">
        <f t="shared" si="188"/>
        <v>0</v>
      </c>
      <c r="NE43" s="22">
        <f t="shared" si="188"/>
        <v>0</v>
      </c>
      <c r="NF43" s="22">
        <f t="shared" si="188"/>
        <v>0</v>
      </c>
      <c r="NG43" s="22">
        <f t="shared" si="188"/>
        <v>0</v>
      </c>
      <c r="NH43" s="22">
        <f t="shared" si="188"/>
        <v>0</v>
      </c>
      <c r="NI43" s="22">
        <f t="shared" si="188"/>
        <v>0</v>
      </c>
      <c r="NJ43" s="22">
        <f t="shared" si="188"/>
        <v>0</v>
      </c>
      <c r="NK43" s="22">
        <f t="shared" si="188"/>
        <v>0</v>
      </c>
      <c r="NL43" s="22">
        <f t="shared" si="188"/>
        <v>0</v>
      </c>
      <c r="NM43" s="22">
        <f t="shared" si="188"/>
        <v>0</v>
      </c>
      <c r="NN43" s="22">
        <f t="shared" si="188"/>
        <v>0</v>
      </c>
      <c r="NO43" s="22">
        <f t="shared" si="188"/>
        <v>0</v>
      </c>
      <c r="NP43" s="22">
        <f t="shared" si="188"/>
        <v>0</v>
      </c>
      <c r="NQ43" s="22">
        <f t="shared" si="188"/>
        <v>0</v>
      </c>
      <c r="NR43" s="22">
        <f t="shared" si="188"/>
        <v>0</v>
      </c>
      <c r="NS43" s="22">
        <f t="shared" si="188"/>
        <v>0</v>
      </c>
      <c r="NT43" s="22">
        <f t="shared" si="188"/>
        <v>0</v>
      </c>
      <c r="NU43" s="22">
        <f t="shared" si="188"/>
        <v>0</v>
      </c>
      <c r="NV43" s="22">
        <f t="shared" si="188"/>
        <v>0</v>
      </c>
      <c r="NW43" s="22">
        <f t="shared" si="188"/>
        <v>0</v>
      </c>
      <c r="NX43" s="22">
        <f t="shared" si="188"/>
        <v>0</v>
      </c>
      <c r="NY43" s="22">
        <f t="shared" si="188"/>
        <v>0</v>
      </c>
      <c r="NZ43" s="22">
        <f t="shared" si="188"/>
        <v>0</v>
      </c>
      <c r="OA43" s="22">
        <f t="shared" ref="OA43:QL43" si="189">$E$43*OA33</f>
        <v>0</v>
      </c>
      <c r="OB43" s="22">
        <f t="shared" si="189"/>
        <v>0</v>
      </c>
      <c r="OC43" s="22">
        <f t="shared" si="189"/>
        <v>0</v>
      </c>
      <c r="OD43" s="22">
        <f t="shared" si="189"/>
        <v>0</v>
      </c>
      <c r="OE43" s="22">
        <f t="shared" si="189"/>
        <v>0</v>
      </c>
      <c r="OF43" s="22">
        <f t="shared" si="189"/>
        <v>0</v>
      </c>
      <c r="OG43" s="22">
        <f t="shared" si="189"/>
        <v>0</v>
      </c>
      <c r="OH43" s="22">
        <f t="shared" si="189"/>
        <v>0</v>
      </c>
      <c r="OI43" s="22">
        <f t="shared" si="189"/>
        <v>0</v>
      </c>
      <c r="OJ43" s="22">
        <f t="shared" si="189"/>
        <v>0</v>
      </c>
      <c r="OK43" s="22">
        <f t="shared" si="189"/>
        <v>0</v>
      </c>
      <c r="OL43" s="22">
        <f t="shared" si="189"/>
        <v>0</v>
      </c>
      <c r="OM43" s="22">
        <f t="shared" si="189"/>
        <v>0</v>
      </c>
      <c r="ON43" s="22">
        <f t="shared" si="189"/>
        <v>0</v>
      </c>
      <c r="OO43" s="22">
        <f t="shared" si="189"/>
        <v>0</v>
      </c>
      <c r="OP43" s="22">
        <f t="shared" si="189"/>
        <v>0</v>
      </c>
      <c r="OQ43" s="22">
        <f t="shared" si="189"/>
        <v>0</v>
      </c>
      <c r="OR43" s="22">
        <f t="shared" si="189"/>
        <v>0</v>
      </c>
      <c r="OS43" s="22">
        <f t="shared" si="189"/>
        <v>0</v>
      </c>
      <c r="OT43" s="22">
        <f t="shared" si="189"/>
        <v>0</v>
      </c>
      <c r="OU43" s="22">
        <f t="shared" si="189"/>
        <v>0</v>
      </c>
      <c r="OV43" s="22">
        <f t="shared" si="189"/>
        <v>0</v>
      </c>
      <c r="OW43" s="22">
        <f t="shared" si="189"/>
        <v>0</v>
      </c>
      <c r="OX43" s="22">
        <f t="shared" si="189"/>
        <v>0</v>
      </c>
      <c r="OY43" s="22">
        <f t="shared" si="189"/>
        <v>0</v>
      </c>
      <c r="OZ43" s="22">
        <f t="shared" si="189"/>
        <v>0</v>
      </c>
      <c r="PA43" s="22">
        <f t="shared" si="189"/>
        <v>0</v>
      </c>
      <c r="PB43" s="22">
        <f t="shared" si="189"/>
        <v>0</v>
      </c>
      <c r="PC43" s="22">
        <f t="shared" si="189"/>
        <v>0</v>
      </c>
      <c r="PD43" s="22">
        <f t="shared" si="189"/>
        <v>0</v>
      </c>
      <c r="PE43" s="22">
        <f t="shared" si="189"/>
        <v>0</v>
      </c>
      <c r="PF43" s="22">
        <f t="shared" si="189"/>
        <v>0</v>
      </c>
      <c r="PG43" s="22">
        <f t="shared" si="189"/>
        <v>0</v>
      </c>
      <c r="PH43" s="22">
        <f t="shared" si="189"/>
        <v>0</v>
      </c>
      <c r="PI43" s="22">
        <f t="shared" si="189"/>
        <v>0</v>
      </c>
      <c r="PJ43" s="22">
        <f t="shared" si="189"/>
        <v>0</v>
      </c>
      <c r="PK43" s="22">
        <f t="shared" si="189"/>
        <v>0</v>
      </c>
      <c r="PL43" s="22">
        <f t="shared" si="189"/>
        <v>0</v>
      </c>
      <c r="PM43" s="22">
        <f t="shared" si="189"/>
        <v>0</v>
      </c>
      <c r="PN43" s="22">
        <f t="shared" si="189"/>
        <v>0</v>
      </c>
      <c r="PO43" s="22">
        <f t="shared" si="189"/>
        <v>0</v>
      </c>
      <c r="PP43" s="22">
        <f t="shared" si="189"/>
        <v>0</v>
      </c>
      <c r="PQ43" s="22">
        <f t="shared" si="189"/>
        <v>0</v>
      </c>
      <c r="PR43" s="22">
        <f t="shared" si="189"/>
        <v>0</v>
      </c>
      <c r="PS43" s="22">
        <f t="shared" si="189"/>
        <v>0</v>
      </c>
      <c r="PT43" s="22">
        <f t="shared" si="189"/>
        <v>0</v>
      </c>
      <c r="PU43" s="22">
        <f t="shared" si="189"/>
        <v>0</v>
      </c>
      <c r="PV43" s="22">
        <f t="shared" si="189"/>
        <v>0</v>
      </c>
      <c r="PW43" s="22">
        <f t="shared" si="189"/>
        <v>0</v>
      </c>
      <c r="PX43" s="22">
        <f t="shared" si="189"/>
        <v>0</v>
      </c>
      <c r="PY43" s="22">
        <f t="shared" si="189"/>
        <v>0</v>
      </c>
      <c r="PZ43" s="22">
        <f t="shared" si="189"/>
        <v>0</v>
      </c>
      <c r="QA43" s="22">
        <f t="shared" si="189"/>
        <v>0</v>
      </c>
      <c r="QB43" s="22">
        <f t="shared" si="189"/>
        <v>0</v>
      </c>
      <c r="QC43" s="22">
        <f t="shared" si="189"/>
        <v>0</v>
      </c>
      <c r="QD43" s="22">
        <f t="shared" si="189"/>
        <v>0</v>
      </c>
      <c r="QE43" s="22">
        <f t="shared" si="189"/>
        <v>0</v>
      </c>
      <c r="QF43" s="22">
        <f t="shared" si="189"/>
        <v>0</v>
      </c>
      <c r="QG43" s="22">
        <f t="shared" si="189"/>
        <v>0</v>
      </c>
      <c r="QH43" s="22">
        <f t="shared" si="189"/>
        <v>0</v>
      </c>
      <c r="QI43" s="22">
        <f t="shared" si="189"/>
        <v>0</v>
      </c>
      <c r="QJ43" s="22">
        <f t="shared" si="189"/>
        <v>0</v>
      </c>
      <c r="QK43" s="22">
        <f t="shared" si="189"/>
        <v>0</v>
      </c>
      <c r="QL43" s="22">
        <f t="shared" si="189"/>
        <v>0</v>
      </c>
      <c r="QM43" s="22">
        <f t="shared" ref="QM43:SX43" si="190">$E$43*QM33</f>
        <v>0</v>
      </c>
      <c r="QN43" s="22">
        <f t="shared" si="190"/>
        <v>0</v>
      </c>
      <c r="QO43" s="22">
        <f t="shared" si="190"/>
        <v>0</v>
      </c>
      <c r="QP43" s="22">
        <f t="shared" si="190"/>
        <v>0</v>
      </c>
      <c r="QQ43" s="22">
        <f t="shared" si="190"/>
        <v>0</v>
      </c>
      <c r="QR43" s="22">
        <f t="shared" si="190"/>
        <v>0</v>
      </c>
      <c r="QS43" s="22">
        <f t="shared" si="190"/>
        <v>0</v>
      </c>
      <c r="QT43" s="22">
        <f t="shared" si="190"/>
        <v>0</v>
      </c>
      <c r="QU43" s="22">
        <f t="shared" si="190"/>
        <v>0</v>
      </c>
      <c r="QV43" s="22">
        <f t="shared" si="190"/>
        <v>0</v>
      </c>
      <c r="QW43" s="22">
        <f t="shared" si="190"/>
        <v>0</v>
      </c>
      <c r="QX43" s="22">
        <f t="shared" si="190"/>
        <v>0</v>
      </c>
      <c r="QY43" s="22">
        <f t="shared" si="190"/>
        <v>0</v>
      </c>
      <c r="QZ43" s="22">
        <f t="shared" si="190"/>
        <v>0</v>
      </c>
      <c r="RA43" s="22">
        <f t="shared" si="190"/>
        <v>0</v>
      </c>
      <c r="RB43" s="22">
        <f t="shared" si="190"/>
        <v>0</v>
      </c>
      <c r="RC43" s="22">
        <f t="shared" si="190"/>
        <v>0</v>
      </c>
      <c r="RD43" s="22">
        <f t="shared" si="190"/>
        <v>0</v>
      </c>
      <c r="RE43" s="22">
        <f t="shared" si="190"/>
        <v>0</v>
      </c>
      <c r="RF43" s="22">
        <f t="shared" si="190"/>
        <v>0</v>
      </c>
      <c r="RG43" s="22">
        <f t="shared" si="190"/>
        <v>0</v>
      </c>
      <c r="RH43" s="22">
        <f t="shared" si="190"/>
        <v>0</v>
      </c>
      <c r="RI43" s="22">
        <f t="shared" si="190"/>
        <v>0</v>
      </c>
      <c r="RJ43" s="22">
        <f t="shared" si="190"/>
        <v>0</v>
      </c>
      <c r="RK43" s="22">
        <f t="shared" si="190"/>
        <v>0</v>
      </c>
      <c r="RL43" s="22">
        <f t="shared" si="190"/>
        <v>0</v>
      </c>
      <c r="RM43" s="22">
        <f t="shared" si="190"/>
        <v>0</v>
      </c>
      <c r="RN43" s="22">
        <f t="shared" si="190"/>
        <v>0</v>
      </c>
      <c r="RO43" s="22">
        <f t="shared" si="190"/>
        <v>0</v>
      </c>
      <c r="RP43" s="22">
        <f t="shared" si="190"/>
        <v>0</v>
      </c>
      <c r="RQ43" s="22">
        <f t="shared" si="190"/>
        <v>0</v>
      </c>
      <c r="RR43" s="22">
        <f t="shared" si="190"/>
        <v>0</v>
      </c>
      <c r="RS43" s="22">
        <f t="shared" si="190"/>
        <v>0</v>
      </c>
      <c r="RT43" s="22">
        <f t="shared" si="190"/>
        <v>0</v>
      </c>
      <c r="RU43" s="22">
        <f t="shared" si="190"/>
        <v>0</v>
      </c>
      <c r="RV43" s="22">
        <f t="shared" si="190"/>
        <v>0</v>
      </c>
      <c r="RW43" s="22">
        <f t="shared" si="190"/>
        <v>0</v>
      </c>
      <c r="RX43" s="22">
        <f t="shared" si="190"/>
        <v>0</v>
      </c>
      <c r="RY43" s="22">
        <f t="shared" si="190"/>
        <v>0</v>
      </c>
      <c r="RZ43" s="22">
        <f t="shared" si="190"/>
        <v>0</v>
      </c>
      <c r="SA43" s="22">
        <f t="shared" si="190"/>
        <v>0</v>
      </c>
      <c r="SB43" s="22">
        <f t="shared" si="190"/>
        <v>0</v>
      </c>
      <c r="SC43" s="22">
        <f t="shared" si="190"/>
        <v>0</v>
      </c>
      <c r="SD43" s="22">
        <f t="shared" si="190"/>
        <v>0</v>
      </c>
      <c r="SE43" s="22">
        <f t="shared" si="190"/>
        <v>0</v>
      </c>
      <c r="SF43" s="22">
        <f t="shared" si="190"/>
        <v>0</v>
      </c>
      <c r="SG43" s="22">
        <f t="shared" si="190"/>
        <v>0</v>
      </c>
      <c r="SH43" s="22">
        <f t="shared" si="190"/>
        <v>0</v>
      </c>
      <c r="SI43" s="22">
        <f t="shared" si="190"/>
        <v>0</v>
      </c>
      <c r="SJ43" s="22">
        <f t="shared" si="190"/>
        <v>0</v>
      </c>
      <c r="SK43" s="22">
        <f t="shared" si="190"/>
        <v>0</v>
      </c>
      <c r="SL43" s="22">
        <f t="shared" si="190"/>
        <v>0</v>
      </c>
      <c r="SM43" s="22">
        <f t="shared" si="190"/>
        <v>0</v>
      </c>
      <c r="SN43" s="22">
        <f t="shared" si="190"/>
        <v>0</v>
      </c>
      <c r="SO43" s="22">
        <f t="shared" si="190"/>
        <v>0</v>
      </c>
      <c r="SP43" s="22">
        <f t="shared" si="190"/>
        <v>0</v>
      </c>
      <c r="SQ43" s="22">
        <f t="shared" si="190"/>
        <v>0</v>
      </c>
      <c r="SR43" s="22">
        <f t="shared" si="190"/>
        <v>0</v>
      </c>
      <c r="SS43" s="22">
        <f t="shared" si="190"/>
        <v>0</v>
      </c>
      <c r="ST43" s="22">
        <f t="shared" si="190"/>
        <v>0</v>
      </c>
      <c r="SU43" s="22">
        <f t="shared" si="190"/>
        <v>0</v>
      </c>
      <c r="SV43" s="22">
        <f t="shared" si="190"/>
        <v>0</v>
      </c>
      <c r="SW43" s="22">
        <f t="shared" si="190"/>
        <v>0</v>
      </c>
      <c r="SX43" s="22">
        <f t="shared" si="190"/>
        <v>0</v>
      </c>
      <c r="SY43" s="22">
        <f t="shared" ref="SY43:VJ43" si="191">$E$43*SY33</f>
        <v>0</v>
      </c>
      <c r="SZ43" s="22">
        <f t="shared" si="191"/>
        <v>0</v>
      </c>
      <c r="TA43" s="22">
        <f t="shared" si="191"/>
        <v>0</v>
      </c>
      <c r="TB43" s="22">
        <f t="shared" si="191"/>
        <v>0</v>
      </c>
      <c r="TC43" s="22">
        <f t="shared" si="191"/>
        <v>0</v>
      </c>
      <c r="TD43" s="22">
        <f t="shared" si="191"/>
        <v>0</v>
      </c>
      <c r="TE43" s="22">
        <f t="shared" si="191"/>
        <v>0</v>
      </c>
      <c r="TF43" s="22">
        <f t="shared" si="191"/>
        <v>0</v>
      </c>
      <c r="TG43" s="22">
        <f t="shared" si="191"/>
        <v>0</v>
      </c>
      <c r="TH43" s="22">
        <f t="shared" si="191"/>
        <v>0</v>
      </c>
      <c r="TI43" s="22">
        <f t="shared" si="191"/>
        <v>0</v>
      </c>
      <c r="TJ43" s="22">
        <f t="shared" si="191"/>
        <v>0</v>
      </c>
      <c r="TK43" s="22">
        <f t="shared" si="191"/>
        <v>0</v>
      </c>
      <c r="TL43" s="22">
        <f t="shared" si="191"/>
        <v>0</v>
      </c>
      <c r="TM43" s="22">
        <f t="shared" si="191"/>
        <v>0</v>
      </c>
      <c r="TN43" s="22">
        <f t="shared" si="191"/>
        <v>0</v>
      </c>
      <c r="TO43" s="22">
        <f t="shared" si="191"/>
        <v>0</v>
      </c>
      <c r="TP43" s="22">
        <f t="shared" si="191"/>
        <v>0</v>
      </c>
      <c r="TQ43" s="22">
        <f t="shared" si="191"/>
        <v>0</v>
      </c>
      <c r="TR43" s="22">
        <f t="shared" si="191"/>
        <v>0</v>
      </c>
      <c r="TS43" s="22">
        <f t="shared" si="191"/>
        <v>0</v>
      </c>
      <c r="TT43" s="22">
        <f t="shared" si="191"/>
        <v>0</v>
      </c>
      <c r="TU43" s="22">
        <f t="shared" si="191"/>
        <v>0</v>
      </c>
      <c r="TV43" s="22">
        <f t="shared" si="191"/>
        <v>0</v>
      </c>
      <c r="TW43" s="22">
        <f t="shared" si="191"/>
        <v>0</v>
      </c>
      <c r="TX43" s="22">
        <f t="shared" si="191"/>
        <v>0</v>
      </c>
      <c r="TY43" s="22">
        <f t="shared" si="191"/>
        <v>0</v>
      </c>
      <c r="TZ43" s="22">
        <f t="shared" si="191"/>
        <v>0</v>
      </c>
      <c r="UA43" s="22">
        <f t="shared" si="191"/>
        <v>0</v>
      </c>
      <c r="UB43" s="22">
        <f t="shared" si="191"/>
        <v>0</v>
      </c>
      <c r="UC43" s="22">
        <f t="shared" si="191"/>
        <v>0</v>
      </c>
      <c r="UD43" s="22">
        <f t="shared" si="191"/>
        <v>0</v>
      </c>
      <c r="UE43" s="22">
        <f t="shared" si="191"/>
        <v>0</v>
      </c>
      <c r="UF43" s="22">
        <f t="shared" si="191"/>
        <v>0</v>
      </c>
      <c r="UG43" s="22">
        <f t="shared" si="191"/>
        <v>0</v>
      </c>
      <c r="UH43" s="22">
        <f t="shared" si="191"/>
        <v>0</v>
      </c>
      <c r="UI43" s="22">
        <f t="shared" si="191"/>
        <v>0</v>
      </c>
      <c r="UJ43" s="22">
        <f t="shared" si="191"/>
        <v>0</v>
      </c>
      <c r="UK43" s="22">
        <f t="shared" si="191"/>
        <v>0</v>
      </c>
      <c r="UL43" s="22">
        <f t="shared" si="191"/>
        <v>0</v>
      </c>
      <c r="UM43" s="22">
        <f t="shared" si="191"/>
        <v>0</v>
      </c>
      <c r="UN43" s="22">
        <f t="shared" si="191"/>
        <v>0</v>
      </c>
      <c r="UO43" s="22">
        <f t="shared" si="191"/>
        <v>0</v>
      </c>
      <c r="UP43" s="22">
        <f t="shared" si="191"/>
        <v>0</v>
      </c>
      <c r="UQ43" s="22">
        <f t="shared" si="191"/>
        <v>0</v>
      </c>
      <c r="UR43" s="22">
        <f t="shared" si="191"/>
        <v>0</v>
      </c>
      <c r="US43" s="22">
        <f t="shared" si="191"/>
        <v>0</v>
      </c>
      <c r="UT43" s="22">
        <f t="shared" si="191"/>
        <v>0</v>
      </c>
      <c r="UU43" s="22">
        <f t="shared" si="191"/>
        <v>0</v>
      </c>
      <c r="UV43" s="22">
        <f t="shared" si="191"/>
        <v>0</v>
      </c>
      <c r="UW43" s="22">
        <f t="shared" si="191"/>
        <v>0</v>
      </c>
      <c r="UX43" s="22">
        <f t="shared" si="191"/>
        <v>0</v>
      </c>
      <c r="UY43" s="22">
        <f t="shared" si="191"/>
        <v>0</v>
      </c>
      <c r="UZ43" s="22">
        <f t="shared" si="191"/>
        <v>0</v>
      </c>
      <c r="VA43" s="22">
        <f t="shared" si="191"/>
        <v>0</v>
      </c>
      <c r="VB43" s="22">
        <f t="shared" si="191"/>
        <v>0</v>
      </c>
      <c r="VC43" s="22">
        <f t="shared" si="191"/>
        <v>0</v>
      </c>
      <c r="VD43" s="22">
        <f t="shared" si="191"/>
        <v>0</v>
      </c>
      <c r="VE43" s="22">
        <f t="shared" si="191"/>
        <v>0</v>
      </c>
      <c r="VF43" s="22">
        <f t="shared" si="191"/>
        <v>0</v>
      </c>
      <c r="VG43" s="22">
        <f t="shared" si="191"/>
        <v>0</v>
      </c>
      <c r="VH43" s="22">
        <f t="shared" si="191"/>
        <v>0</v>
      </c>
      <c r="VI43" s="22">
        <f t="shared" si="191"/>
        <v>0</v>
      </c>
      <c r="VJ43" s="22">
        <f t="shared" si="191"/>
        <v>0</v>
      </c>
      <c r="VK43" s="22">
        <f t="shared" ref="VK43:XV43" si="192">$E$43*VK33</f>
        <v>0</v>
      </c>
      <c r="VL43" s="22">
        <f t="shared" si="192"/>
        <v>0</v>
      </c>
      <c r="VM43" s="22">
        <f t="shared" si="192"/>
        <v>0</v>
      </c>
      <c r="VN43" s="22">
        <f t="shared" si="192"/>
        <v>0</v>
      </c>
      <c r="VO43" s="22">
        <f t="shared" si="192"/>
        <v>0</v>
      </c>
      <c r="VP43" s="22">
        <f t="shared" si="192"/>
        <v>0</v>
      </c>
      <c r="VQ43" s="22">
        <f t="shared" si="192"/>
        <v>0</v>
      </c>
      <c r="VR43" s="22">
        <f t="shared" si="192"/>
        <v>0</v>
      </c>
      <c r="VS43" s="22">
        <f t="shared" si="192"/>
        <v>0</v>
      </c>
      <c r="VT43" s="22">
        <f t="shared" si="192"/>
        <v>0</v>
      </c>
      <c r="VU43" s="22">
        <f t="shared" si="192"/>
        <v>0</v>
      </c>
      <c r="VV43" s="22">
        <f t="shared" si="192"/>
        <v>0</v>
      </c>
      <c r="VW43" s="22">
        <f t="shared" si="192"/>
        <v>0</v>
      </c>
      <c r="VX43" s="22">
        <f t="shared" si="192"/>
        <v>0</v>
      </c>
      <c r="VY43" s="22">
        <f t="shared" si="192"/>
        <v>0</v>
      </c>
      <c r="VZ43" s="22">
        <f t="shared" si="192"/>
        <v>0</v>
      </c>
      <c r="WA43" s="22">
        <f t="shared" si="192"/>
        <v>0</v>
      </c>
      <c r="WB43" s="22">
        <f t="shared" si="192"/>
        <v>0</v>
      </c>
      <c r="WC43" s="22">
        <f t="shared" si="192"/>
        <v>0</v>
      </c>
      <c r="WD43" s="22">
        <f t="shared" si="192"/>
        <v>0</v>
      </c>
      <c r="WE43" s="22">
        <f t="shared" si="192"/>
        <v>0</v>
      </c>
      <c r="WF43" s="22">
        <f t="shared" si="192"/>
        <v>0</v>
      </c>
      <c r="WG43" s="22">
        <f t="shared" si="192"/>
        <v>0</v>
      </c>
      <c r="WH43" s="22">
        <f t="shared" si="192"/>
        <v>0</v>
      </c>
      <c r="WI43" s="22">
        <f t="shared" si="192"/>
        <v>0</v>
      </c>
      <c r="WJ43" s="22">
        <f t="shared" si="192"/>
        <v>0</v>
      </c>
      <c r="WK43" s="22">
        <f t="shared" si="192"/>
        <v>0</v>
      </c>
      <c r="WL43" s="22">
        <f t="shared" si="192"/>
        <v>0</v>
      </c>
      <c r="WM43" s="22">
        <f t="shared" si="192"/>
        <v>0</v>
      </c>
      <c r="WN43" s="22">
        <f t="shared" si="192"/>
        <v>0</v>
      </c>
      <c r="WO43" s="22">
        <f t="shared" si="192"/>
        <v>0</v>
      </c>
      <c r="WP43" s="22">
        <f t="shared" si="192"/>
        <v>0</v>
      </c>
      <c r="WQ43" s="22">
        <f t="shared" si="192"/>
        <v>0</v>
      </c>
      <c r="WR43" s="22">
        <f t="shared" si="192"/>
        <v>0</v>
      </c>
      <c r="WS43" s="22">
        <f t="shared" si="192"/>
        <v>0</v>
      </c>
      <c r="WT43" s="22">
        <f t="shared" si="192"/>
        <v>0</v>
      </c>
      <c r="WU43" s="22">
        <f t="shared" si="192"/>
        <v>0</v>
      </c>
      <c r="WV43" s="22">
        <f t="shared" si="192"/>
        <v>0</v>
      </c>
      <c r="WW43" s="22">
        <f t="shared" si="192"/>
        <v>0</v>
      </c>
      <c r="WX43" s="22">
        <f t="shared" si="192"/>
        <v>0</v>
      </c>
      <c r="WY43" s="22">
        <f t="shared" si="192"/>
        <v>0</v>
      </c>
      <c r="WZ43" s="22">
        <f t="shared" si="192"/>
        <v>0</v>
      </c>
      <c r="XA43" s="22">
        <f t="shared" si="192"/>
        <v>0</v>
      </c>
      <c r="XB43" s="22">
        <f t="shared" si="192"/>
        <v>0</v>
      </c>
      <c r="XC43" s="22">
        <f t="shared" si="192"/>
        <v>0</v>
      </c>
      <c r="XD43" s="22">
        <f t="shared" si="192"/>
        <v>0</v>
      </c>
      <c r="XE43" s="22">
        <f t="shared" si="192"/>
        <v>0</v>
      </c>
      <c r="XF43" s="22">
        <f t="shared" si="192"/>
        <v>0</v>
      </c>
      <c r="XG43" s="22">
        <f t="shared" si="192"/>
        <v>0</v>
      </c>
      <c r="XH43" s="22">
        <f t="shared" si="192"/>
        <v>0</v>
      </c>
      <c r="XI43" s="22">
        <f t="shared" si="192"/>
        <v>0</v>
      </c>
      <c r="XJ43" s="22">
        <f t="shared" si="192"/>
        <v>0</v>
      </c>
      <c r="XK43" s="22">
        <f t="shared" si="192"/>
        <v>0</v>
      </c>
      <c r="XL43" s="22">
        <f t="shared" si="192"/>
        <v>0</v>
      </c>
      <c r="XM43" s="22">
        <f t="shared" si="192"/>
        <v>0</v>
      </c>
      <c r="XN43" s="22">
        <f t="shared" si="192"/>
        <v>0</v>
      </c>
      <c r="XO43" s="22">
        <f t="shared" si="192"/>
        <v>0</v>
      </c>
      <c r="XP43" s="22">
        <f t="shared" si="192"/>
        <v>0</v>
      </c>
      <c r="XQ43" s="22">
        <f t="shared" si="192"/>
        <v>0</v>
      </c>
      <c r="XR43" s="22">
        <f t="shared" si="192"/>
        <v>0</v>
      </c>
      <c r="XS43" s="22">
        <f t="shared" si="192"/>
        <v>0</v>
      </c>
      <c r="XT43" s="22">
        <f t="shared" si="192"/>
        <v>0</v>
      </c>
      <c r="XU43" s="22">
        <f t="shared" si="192"/>
        <v>0</v>
      </c>
      <c r="XV43" s="22">
        <f t="shared" si="192"/>
        <v>0</v>
      </c>
      <c r="XW43" s="22">
        <f t="shared" ref="XW43:AAH43" si="193">$E$43*XW33</f>
        <v>0</v>
      </c>
      <c r="XX43" s="22">
        <f t="shared" si="193"/>
        <v>0</v>
      </c>
      <c r="XY43" s="22">
        <f t="shared" si="193"/>
        <v>0</v>
      </c>
      <c r="XZ43" s="22">
        <f t="shared" si="193"/>
        <v>0</v>
      </c>
      <c r="YA43" s="22">
        <f t="shared" si="193"/>
        <v>0</v>
      </c>
      <c r="YB43" s="22">
        <f t="shared" si="193"/>
        <v>0</v>
      </c>
      <c r="YC43" s="22">
        <f t="shared" si="193"/>
        <v>0</v>
      </c>
      <c r="YD43" s="22">
        <f t="shared" si="193"/>
        <v>0</v>
      </c>
      <c r="YE43" s="22">
        <f t="shared" si="193"/>
        <v>0</v>
      </c>
      <c r="YF43" s="22">
        <f t="shared" si="193"/>
        <v>0</v>
      </c>
      <c r="YG43" s="22">
        <f t="shared" si="193"/>
        <v>0</v>
      </c>
      <c r="YH43" s="22">
        <f t="shared" si="193"/>
        <v>0</v>
      </c>
      <c r="YI43" s="22">
        <f t="shared" si="193"/>
        <v>0</v>
      </c>
      <c r="YJ43" s="22">
        <f t="shared" si="193"/>
        <v>0</v>
      </c>
      <c r="YK43" s="22">
        <f t="shared" si="193"/>
        <v>0</v>
      </c>
      <c r="YL43" s="22">
        <f t="shared" si="193"/>
        <v>0</v>
      </c>
      <c r="YM43" s="22">
        <f t="shared" si="193"/>
        <v>0</v>
      </c>
      <c r="YN43" s="22">
        <f t="shared" si="193"/>
        <v>0</v>
      </c>
      <c r="YO43" s="22">
        <f t="shared" si="193"/>
        <v>0</v>
      </c>
      <c r="YP43" s="22">
        <f t="shared" si="193"/>
        <v>0</v>
      </c>
      <c r="YQ43" s="22">
        <f t="shared" si="193"/>
        <v>0</v>
      </c>
      <c r="YR43" s="22">
        <f t="shared" si="193"/>
        <v>0</v>
      </c>
      <c r="YS43" s="22">
        <f t="shared" si="193"/>
        <v>0</v>
      </c>
      <c r="YT43" s="22">
        <f t="shared" si="193"/>
        <v>0</v>
      </c>
      <c r="YU43" s="22">
        <f t="shared" si="193"/>
        <v>0</v>
      </c>
      <c r="YV43" s="22">
        <f t="shared" si="193"/>
        <v>0</v>
      </c>
      <c r="YW43" s="22">
        <f t="shared" si="193"/>
        <v>0</v>
      </c>
      <c r="YX43" s="22">
        <f t="shared" si="193"/>
        <v>0</v>
      </c>
      <c r="YY43" s="22">
        <f t="shared" si="193"/>
        <v>0</v>
      </c>
      <c r="YZ43" s="22">
        <f t="shared" si="193"/>
        <v>0</v>
      </c>
      <c r="ZA43" s="22">
        <f t="shared" si="193"/>
        <v>0</v>
      </c>
      <c r="ZB43" s="22">
        <f t="shared" si="193"/>
        <v>0</v>
      </c>
      <c r="ZC43" s="22">
        <f t="shared" si="193"/>
        <v>0</v>
      </c>
      <c r="ZD43" s="22">
        <f t="shared" si="193"/>
        <v>0</v>
      </c>
      <c r="ZE43" s="22">
        <f t="shared" si="193"/>
        <v>0</v>
      </c>
      <c r="ZF43" s="22">
        <f t="shared" si="193"/>
        <v>0</v>
      </c>
      <c r="ZG43" s="22">
        <f t="shared" si="193"/>
        <v>0</v>
      </c>
      <c r="ZH43" s="22">
        <f t="shared" si="193"/>
        <v>0</v>
      </c>
      <c r="ZI43" s="22">
        <f t="shared" si="193"/>
        <v>0</v>
      </c>
      <c r="ZJ43" s="22">
        <f t="shared" si="193"/>
        <v>0</v>
      </c>
      <c r="ZK43" s="22">
        <f t="shared" si="193"/>
        <v>0</v>
      </c>
      <c r="ZL43" s="22">
        <f t="shared" si="193"/>
        <v>0</v>
      </c>
      <c r="ZM43" s="22">
        <f t="shared" si="193"/>
        <v>0</v>
      </c>
      <c r="ZN43" s="22">
        <f t="shared" si="193"/>
        <v>0</v>
      </c>
      <c r="ZO43" s="22">
        <f t="shared" si="193"/>
        <v>0</v>
      </c>
      <c r="ZP43" s="22">
        <f t="shared" si="193"/>
        <v>0</v>
      </c>
      <c r="ZQ43" s="22">
        <f t="shared" si="193"/>
        <v>0</v>
      </c>
      <c r="ZR43" s="22">
        <f t="shared" si="193"/>
        <v>0</v>
      </c>
      <c r="ZS43" s="22">
        <f t="shared" si="193"/>
        <v>0</v>
      </c>
      <c r="ZT43" s="22">
        <f t="shared" si="193"/>
        <v>0</v>
      </c>
      <c r="ZU43" s="22">
        <f t="shared" si="193"/>
        <v>0</v>
      </c>
      <c r="ZV43" s="22">
        <f t="shared" si="193"/>
        <v>0</v>
      </c>
      <c r="ZW43" s="22">
        <f t="shared" si="193"/>
        <v>0</v>
      </c>
      <c r="ZX43" s="22">
        <f t="shared" si="193"/>
        <v>0</v>
      </c>
      <c r="ZY43" s="22">
        <f t="shared" si="193"/>
        <v>0</v>
      </c>
      <c r="ZZ43" s="22">
        <f t="shared" si="193"/>
        <v>0</v>
      </c>
      <c r="AAA43" s="22">
        <f t="shared" si="193"/>
        <v>0</v>
      </c>
      <c r="AAB43" s="22">
        <f t="shared" si="193"/>
        <v>0</v>
      </c>
      <c r="AAC43" s="22">
        <f t="shared" si="193"/>
        <v>0</v>
      </c>
      <c r="AAD43" s="22">
        <f t="shared" si="193"/>
        <v>0</v>
      </c>
      <c r="AAE43" s="22">
        <f t="shared" si="193"/>
        <v>0</v>
      </c>
      <c r="AAF43" s="22">
        <f t="shared" si="193"/>
        <v>0</v>
      </c>
      <c r="AAG43" s="22">
        <f t="shared" si="193"/>
        <v>0</v>
      </c>
      <c r="AAH43" s="22">
        <f t="shared" si="193"/>
        <v>0</v>
      </c>
      <c r="AAI43" s="22">
        <f t="shared" ref="AAI43:ABI43" si="194">$E$43*AAI33</f>
        <v>0</v>
      </c>
      <c r="AAJ43" s="22">
        <f t="shared" si="194"/>
        <v>0</v>
      </c>
      <c r="AAK43" s="22">
        <f t="shared" si="194"/>
        <v>0</v>
      </c>
      <c r="AAL43" s="22">
        <f t="shared" si="194"/>
        <v>0</v>
      </c>
      <c r="AAM43" s="22">
        <f t="shared" si="194"/>
        <v>0</v>
      </c>
      <c r="AAN43" s="22">
        <f t="shared" si="194"/>
        <v>0</v>
      </c>
      <c r="AAO43" s="22">
        <f t="shared" si="194"/>
        <v>0</v>
      </c>
      <c r="AAP43" s="22">
        <f t="shared" si="194"/>
        <v>0</v>
      </c>
      <c r="AAQ43" s="22">
        <f t="shared" si="194"/>
        <v>0</v>
      </c>
      <c r="AAR43" s="22">
        <f t="shared" si="194"/>
        <v>0</v>
      </c>
      <c r="AAS43" s="22">
        <f t="shared" si="194"/>
        <v>0</v>
      </c>
      <c r="AAT43" s="22">
        <f t="shared" si="194"/>
        <v>0</v>
      </c>
      <c r="AAU43" s="22">
        <f t="shared" si="194"/>
        <v>0</v>
      </c>
      <c r="AAV43" s="22">
        <f t="shared" si="194"/>
        <v>0</v>
      </c>
      <c r="AAW43" s="22">
        <f t="shared" si="194"/>
        <v>0</v>
      </c>
      <c r="AAX43" s="22">
        <f t="shared" si="194"/>
        <v>0</v>
      </c>
      <c r="AAY43" s="22">
        <f t="shared" si="194"/>
        <v>0</v>
      </c>
      <c r="AAZ43" s="22">
        <f t="shared" si="194"/>
        <v>0</v>
      </c>
      <c r="ABA43" s="22">
        <f t="shared" si="194"/>
        <v>0</v>
      </c>
      <c r="ABB43" s="22">
        <f t="shared" si="194"/>
        <v>0</v>
      </c>
      <c r="ABC43" s="22">
        <f t="shared" si="194"/>
        <v>0</v>
      </c>
      <c r="ABD43" s="22">
        <f t="shared" si="194"/>
        <v>0</v>
      </c>
      <c r="ABE43" s="22">
        <f t="shared" si="194"/>
        <v>0</v>
      </c>
      <c r="ABF43" s="22">
        <f t="shared" si="194"/>
        <v>0</v>
      </c>
      <c r="ABG43" s="22">
        <f t="shared" si="194"/>
        <v>0</v>
      </c>
      <c r="ABH43" s="22">
        <f t="shared" si="194"/>
        <v>0</v>
      </c>
      <c r="ABI43" s="22">
        <f t="shared" si="194"/>
        <v>0</v>
      </c>
    </row>
    <row r="44" spans="2:737" ht="12.95" customHeight="1" x14ac:dyDescent="0.25">
      <c r="B44" s="24"/>
      <c r="C44" s="19">
        <f t="shared" si="146"/>
        <v>23618.28</v>
      </c>
      <c r="D44" s="20" t="s">
        <v>17</v>
      </c>
      <c r="E44" s="21">
        <v>26.040000000000003</v>
      </c>
      <c r="F44" s="22">
        <f>$E$44*F33</f>
        <v>104.16000000000001</v>
      </c>
      <c r="G44" s="22">
        <f t="shared" ref="G44:BR44" si="195">$E$44*G33</f>
        <v>104.16000000000001</v>
      </c>
      <c r="H44" s="23">
        <f>$E$44*H33</f>
        <v>104.16000000000001</v>
      </c>
      <c r="I44" s="22">
        <f t="shared" si="195"/>
        <v>104.16000000000001</v>
      </c>
      <c r="J44" s="22">
        <f t="shared" si="195"/>
        <v>104.16000000000001</v>
      </c>
      <c r="K44" s="22">
        <f t="shared" si="195"/>
        <v>104.16000000000001</v>
      </c>
      <c r="L44" s="22">
        <f t="shared" si="195"/>
        <v>104.16000000000001</v>
      </c>
      <c r="M44" s="22">
        <f t="shared" si="195"/>
        <v>104.16000000000001</v>
      </c>
      <c r="N44" s="22">
        <f t="shared" si="195"/>
        <v>104.16000000000001</v>
      </c>
      <c r="O44" s="22">
        <f t="shared" si="195"/>
        <v>104.16000000000001</v>
      </c>
      <c r="P44" s="22">
        <f t="shared" si="195"/>
        <v>104.16000000000001</v>
      </c>
      <c r="Q44" s="22">
        <f t="shared" si="195"/>
        <v>104.16000000000001</v>
      </c>
      <c r="R44" s="22">
        <f t="shared" si="195"/>
        <v>104.16000000000001</v>
      </c>
      <c r="S44" s="22">
        <f t="shared" si="195"/>
        <v>104.16000000000001</v>
      </c>
      <c r="T44" s="22">
        <f t="shared" si="195"/>
        <v>104.16000000000001</v>
      </c>
      <c r="U44" s="22">
        <f t="shared" si="195"/>
        <v>104.16000000000001</v>
      </c>
      <c r="V44" s="22">
        <f t="shared" si="195"/>
        <v>104.16000000000001</v>
      </c>
      <c r="W44" s="22">
        <f t="shared" si="195"/>
        <v>104.16000000000001</v>
      </c>
      <c r="X44" s="22">
        <f t="shared" si="195"/>
        <v>104.16000000000001</v>
      </c>
      <c r="Y44" s="22">
        <f t="shared" si="195"/>
        <v>104.16000000000001</v>
      </c>
      <c r="Z44" s="22">
        <f t="shared" si="195"/>
        <v>104.16000000000001</v>
      </c>
      <c r="AA44" s="22">
        <f t="shared" si="195"/>
        <v>104.16000000000001</v>
      </c>
      <c r="AB44" s="22">
        <f t="shared" si="195"/>
        <v>104.16000000000001</v>
      </c>
      <c r="AC44" s="22">
        <f t="shared" si="195"/>
        <v>104.16000000000001</v>
      </c>
      <c r="AD44" s="22">
        <f t="shared" si="195"/>
        <v>104.16000000000001</v>
      </c>
      <c r="AE44" s="22">
        <f t="shared" si="195"/>
        <v>104.16000000000001</v>
      </c>
      <c r="AF44" s="22">
        <f t="shared" si="195"/>
        <v>104.16000000000001</v>
      </c>
      <c r="AG44" s="22">
        <f t="shared" si="195"/>
        <v>104.16000000000001</v>
      </c>
      <c r="AH44" s="22">
        <f t="shared" si="195"/>
        <v>130.20000000000002</v>
      </c>
      <c r="AI44" s="22">
        <f t="shared" si="195"/>
        <v>130.20000000000002</v>
      </c>
      <c r="AJ44" s="22">
        <f t="shared" si="195"/>
        <v>130.20000000000002</v>
      </c>
      <c r="AK44" s="23">
        <f t="shared" si="195"/>
        <v>130.20000000000002</v>
      </c>
      <c r="AL44" s="22">
        <f t="shared" si="195"/>
        <v>130.20000000000002</v>
      </c>
      <c r="AM44" s="22">
        <f t="shared" si="195"/>
        <v>130.20000000000002</v>
      </c>
      <c r="AN44" s="22">
        <f t="shared" si="195"/>
        <v>130.20000000000002</v>
      </c>
      <c r="AO44" s="22">
        <f t="shared" si="195"/>
        <v>130.20000000000002</v>
      </c>
      <c r="AP44" s="22">
        <f t="shared" si="195"/>
        <v>130.20000000000002</v>
      </c>
      <c r="AQ44" s="22">
        <f t="shared" si="195"/>
        <v>130.20000000000002</v>
      </c>
      <c r="AR44" s="22">
        <f t="shared" si="195"/>
        <v>130.20000000000002</v>
      </c>
      <c r="AS44" s="22">
        <f t="shared" si="195"/>
        <v>130.20000000000002</v>
      </c>
      <c r="AT44" s="22">
        <f t="shared" si="195"/>
        <v>130.20000000000002</v>
      </c>
      <c r="AU44" s="22">
        <f t="shared" si="195"/>
        <v>130.20000000000002</v>
      </c>
      <c r="AV44" s="22">
        <f t="shared" si="195"/>
        <v>130.20000000000002</v>
      </c>
      <c r="AW44" s="22">
        <f t="shared" si="195"/>
        <v>130.20000000000002</v>
      </c>
      <c r="AX44" s="22">
        <f t="shared" si="195"/>
        <v>130.20000000000002</v>
      </c>
      <c r="AY44" s="22">
        <f t="shared" si="195"/>
        <v>130.20000000000002</v>
      </c>
      <c r="AZ44" s="22">
        <f t="shared" si="195"/>
        <v>130.20000000000002</v>
      </c>
      <c r="BA44" s="22">
        <f t="shared" si="195"/>
        <v>130.20000000000002</v>
      </c>
      <c r="BB44" s="22">
        <f t="shared" si="195"/>
        <v>130.20000000000002</v>
      </c>
      <c r="BC44" s="22">
        <f t="shared" si="195"/>
        <v>130.20000000000002</v>
      </c>
      <c r="BD44" s="22">
        <f t="shared" si="195"/>
        <v>130.20000000000002</v>
      </c>
      <c r="BE44" s="22">
        <f t="shared" si="195"/>
        <v>130.20000000000002</v>
      </c>
      <c r="BF44" s="22">
        <f t="shared" si="195"/>
        <v>130.20000000000002</v>
      </c>
      <c r="BG44" s="22">
        <f t="shared" si="195"/>
        <v>130.20000000000002</v>
      </c>
      <c r="BH44" s="22">
        <f t="shared" si="195"/>
        <v>130.20000000000002</v>
      </c>
      <c r="BI44" s="22">
        <f t="shared" si="195"/>
        <v>130.20000000000002</v>
      </c>
      <c r="BJ44" s="22">
        <f t="shared" si="195"/>
        <v>156.24</v>
      </c>
      <c r="BK44" s="22">
        <f t="shared" si="195"/>
        <v>156.24</v>
      </c>
      <c r="BL44" s="22">
        <f t="shared" si="195"/>
        <v>156.24</v>
      </c>
      <c r="BM44" s="22">
        <f t="shared" si="195"/>
        <v>156.24</v>
      </c>
      <c r="BN44" s="22">
        <f t="shared" si="195"/>
        <v>156.24</v>
      </c>
      <c r="BO44" s="22">
        <f t="shared" si="195"/>
        <v>156.24</v>
      </c>
      <c r="BP44" s="22">
        <f t="shared" si="195"/>
        <v>156.24</v>
      </c>
      <c r="BQ44" s="22">
        <f t="shared" si="195"/>
        <v>156.24</v>
      </c>
      <c r="BR44" s="22">
        <f t="shared" si="195"/>
        <v>156.24</v>
      </c>
      <c r="BS44" s="22">
        <f t="shared" ref="BS44:ED44" si="196">$E$44*BS33</f>
        <v>156.24</v>
      </c>
      <c r="BT44" s="22">
        <f t="shared" si="196"/>
        <v>156.24</v>
      </c>
      <c r="BU44" s="22">
        <f t="shared" si="196"/>
        <v>156.24</v>
      </c>
      <c r="BV44" s="22">
        <f t="shared" si="196"/>
        <v>156.24</v>
      </c>
      <c r="BW44" s="22">
        <f t="shared" si="196"/>
        <v>156.24</v>
      </c>
      <c r="BX44" s="22">
        <f t="shared" si="196"/>
        <v>156.24</v>
      </c>
      <c r="BY44" s="22">
        <f t="shared" si="196"/>
        <v>156.24</v>
      </c>
      <c r="BZ44" s="22">
        <f t="shared" si="196"/>
        <v>156.24</v>
      </c>
      <c r="CA44" s="22">
        <f t="shared" si="196"/>
        <v>156.24</v>
      </c>
      <c r="CB44" s="22">
        <f t="shared" si="196"/>
        <v>156.24</v>
      </c>
      <c r="CC44" s="22">
        <f t="shared" si="196"/>
        <v>156.24</v>
      </c>
      <c r="CD44" s="22">
        <f t="shared" si="196"/>
        <v>156.24</v>
      </c>
      <c r="CE44" s="22">
        <f t="shared" si="196"/>
        <v>156.24</v>
      </c>
      <c r="CF44" s="22">
        <f t="shared" si="196"/>
        <v>156.24</v>
      </c>
      <c r="CG44" s="22">
        <f t="shared" si="196"/>
        <v>156.24</v>
      </c>
      <c r="CH44" s="22">
        <f t="shared" si="196"/>
        <v>156.24</v>
      </c>
      <c r="CI44" s="22">
        <f t="shared" si="196"/>
        <v>156.24</v>
      </c>
      <c r="CJ44" s="22">
        <f t="shared" si="196"/>
        <v>156.24</v>
      </c>
      <c r="CK44" s="22">
        <f t="shared" si="196"/>
        <v>156.24</v>
      </c>
      <c r="CL44" s="22">
        <f t="shared" si="196"/>
        <v>156.24</v>
      </c>
      <c r="CM44" s="22">
        <f t="shared" si="196"/>
        <v>156.24</v>
      </c>
      <c r="CN44" s="22">
        <f t="shared" si="196"/>
        <v>156.24</v>
      </c>
      <c r="CO44" s="22">
        <f t="shared" si="196"/>
        <v>156.24</v>
      </c>
      <c r="CP44" s="22">
        <f t="shared" si="196"/>
        <v>156.24</v>
      </c>
      <c r="CQ44" s="22">
        <f t="shared" si="196"/>
        <v>156.24</v>
      </c>
      <c r="CR44" s="22">
        <f t="shared" si="196"/>
        <v>156.24</v>
      </c>
      <c r="CS44" s="22">
        <f t="shared" si="196"/>
        <v>156.24</v>
      </c>
      <c r="CT44" s="22">
        <f t="shared" si="196"/>
        <v>156.24</v>
      </c>
      <c r="CU44" s="22">
        <f t="shared" si="196"/>
        <v>156.24</v>
      </c>
      <c r="CV44" s="22">
        <f t="shared" si="196"/>
        <v>156.24</v>
      </c>
      <c r="CW44" s="22">
        <f t="shared" si="196"/>
        <v>156.24</v>
      </c>
      <c r="CX44" s="22">
        <f t="shared" si="196"/>
        <v>156.24</v>
      </c>
      <c r="CY44" s="22">
        <f t="shared" si="196"/>
        <v>156.24</v>
      </c>
      <c r="CZ44" s="22">
        <f t="shared" si="196"/>
        <v>156.24</v>
      </c>
      <c r="DA44" s="22">
        <f t="shared" si="196"/>
        <v>156.24</v>
      </c>
      <c r="DB44" s="22">
        <f t="shared" si="196"/>
        <v>156.24</v>
      </c>
      <c r="DC44" s="22">
        <f t="shared" si="196"/>
        <v>156.24</v>
      </c>
      <c r="DD44" s="22">
        <f t="shared" si="196"/>
        <v>156.24</v>
      </c>
      <c r="DE44" s="22">
        <f t="shared" si="196"/>
        <v>156.24</v>
      </c>
      <c r="DF44" s="22">
        <f t="shared" si="196"/>
        <v>156.24</v>
      </c>
      <c r="DG44" s="22">
        <f t="shared" si="196"/>
        <v>156.24</v>
      </c>
      <c r="DH44" s="22">
        <f t="shared" si="196"/>
        <v>156.24</v>
      </c>
      <c r="DI44" s="22">
        <f t="shared" si="196"/>
        <v>156.24</v>
      </c>
      <c r="DJ44" s="22">
        <f t="shared" si="196"/>
        <v>156.24</v>
      </c>
      <c r="DK44" s="22">
        <f t="shared" si="196"/>
        <v>156.24</v>
      </c>
      <c r="DL44" s="22">
        <f t="shared" si="196"/>
        <v>156.24</v>
      </c>
      <c r="DM44" s="22">
        <f t="shared" si="196"/>
        <v>156.24</v>
      </c>
      <c r="DN44" s="22">
        <f t="shared" si="196"/>
        <v>156.24</v>
      </c>
      <c r="DO44" s="22">
        <f t="shared" si="196"/>
        <v>156.24</v>
      </c>
      <c r="DP44" s="22">
        <f t="shared" si="196"/>
        <v>156.24</v>
      </c>
      <c r="DQ44" s="22">
        <f t="shared" si="196"/>
        <v>156.24</v>
      </c>
      <c r="DR44" s="22">
        <f t="shared" si="196"/>
        <v>156.24</v>
      </c>
      <c r="DS44" s="22">
        <f t="shared" si="196"/>
        <v>156.24</v>
      </c>
      <c r="DT44" s="22">
        <f t="shared" si="196"/>
        <v>156.24</v>
      </c>
      <c r="DU44" s="22">
        <f t="shared" si="196"/>
        <v>156.24</v>
      </c>
      <c r="DV44" s="22">
        <f t="shared" si="196"/>
        <v>156.24</v>
      </c>
      <c r="DW44" s="22">
        <f t="shared" si="196"/>
        <v>156.24</v>
      </c>
      <c r="DX44" s="22">
        <f t="shared" si="196"/>
        <v>156.24</v>
      </c>
      <c r="DY44" s="22">
        <f t="shared" si="196"/>
        <v>156.24</v>
      </c>
      <c r="DZ44" s="22">
        <f t="shared" si="196"/>
        <v>156.24</v>
      </c>
      <c r="EA44" s="22">
        <f t="shared" si="196"/>
        <v>156.24</v>
      </c>
      <c r="EB44" s="22">
        <f t="shared" si="196"/>
        <v>156.24</v>
      </c>
      <c r="EC44" s="22">
        <f t="shared" si="196"/>
        <v>156.24</v>
      </c>
      <c r="ED44" s="22">
        <f t="shared" si="196"/>
        <v>156.24</v>
      </c>
      <c r="EE44" s="22">
        <f t="shared" ref="EE44:GP44" si="197">$E$44*EE33</f>
        <v>156.24</v>
      </c>
      <c r="EF44" s="22">
        <f t="shared" si="197"/>
        <v>156.24</v>
      </c>
      <c r="EG44" s="22">
        <f t="shared" si="197"/>
        <v>156.24</v>
      </c>
      <c r="EH44" s="22">
        <f t="shared" si="197"/>
        <v>156.24</v>
      </c>
      <c r="EI44" s="22">
        <f t="shared" si="197"/>
        <v>156.24</v>
      </c>
      <c r="EJ44" s="22">
        <f t="shared" si="197"/>
        <v>156.24</v>
      </c>
      <c r="EK44" s="22">
        <f t="shared" si="197"/>
        <v>156.24</v>
      </c>
      <c r="EL44" s="22">
        <f t="shared" si="197"/>
        <v>156.24</v>
      </c>
      <c r="EM44" s="22">
        <f t="shared" si="197"/>
        <v>156.24</v>
      </c>
      <c r="EN44" s="22">
        <f t="shared" si="197"/>
        <v>156.24</v>
      </c>
      <c r="EO44" s="22">
        <f t="shared" si="197"/>
        <v>156.24</v>
      </c>
      <c r="EP44" s="22">
        <f t="shared" si="197"/>
        <v>156.24</v>
      </c>
      <c r="EQ44" s="22">
        <f t="shared" si="197"/>
        <v>156.24</v>
      </c>
      <c r="ER44" s="22">
        <f t="shared" si="197"/>
        <v>156.24</v>
      </c>
      <c r="ES44" s="22">
        <f t="shared" si="197"/>
        <v>156.24</v>
      </c>
      <c r="ET44" s="22">
        <f t="shared" si="197"/>
        <v>156.24</v>
      </c>
      <c r="EU44" s="22">
        <f t="shared" si="197"/>
        <v>156.24</v>
      </c>
      <c r="EV44" s="22">
        <f t="shared" si="197"/>
        <v>156.24</v>
      </c>
      <c r="EW44" s="22">
        <f t="shared" si="197"/>
        <v>104.16000000000001</v>
      </c>
      <c r="EX44" s="22">
        <f t="shared" si="197"/>
        <v>104.16000000000001</v>
      </c>
      <c r="EY44" s="22">
        <f t="shared" si="197"/>
        <v>104.16000000000001</v>
      </c>
      <c r="EZ44" s="22">
        <f t="shared" si="197"/>
        <v>104.16000000000001</v>
      </c>
      <c r="FA44" s="22">
        <f t="shared" si="197"/>
        <v>104.16000000000001</v>
      </c>
      <c r="FB44" s="22">
        <f t="shared" si="197"/>
        <v>104.16000000000001</v>
      </c>
      <c r="FC44" s="22">
        <f t="shared" si="197"/>
        <v>104.16000000000001</v>
      </c>
      <c r="FD44" s="22">
        <f t="shared" si="197"/>
        <v>78.12</v>
      </c>
      <c r="FE44" s="22">
        <f t="shared" si="197"/>
        <v>78.12</v>
      </c>
      <c r="FF44" s="22">
        <f t="shared" si="197"/>
        <v>78.12</v>
      </c>
      <c r="FG44" s="22">
        <f t="shared" si="197"/>
        <v>78.12</v>
      </c>
      <c r="FH44" s="22">
        <f t="shared" si="197"/>
        <v>78.12</v>
      </c>
      <c r="FI44" s="22">
        <f t="shared" si="197"/>
        <v>78.12</v>
      </c>
      <c r="FJ44" s="22">
        <f t="shared" si="197"/>
        <v>78.12</v>
      </c>
      <c r="FK44" s="22">
        <f t="shared" si="197"/>
        <v>78.12</v>
      </c>
      <c r="FL44" s="22">
        <f t="shared" si="197"/>
        <v>78.12</v>
      </c>
      <c r="FM44" s="22">
        <f t="shared" si="197"/>
        <v>78.12</v>
      </c>
      <c r="FN44" s="22">
        <f t="shared" si="197"/>
        <v>78.12</v>
      </c>
      <c r="FO44" s="22">
        <f t="shared" si="197"/>
        <v>78.12</v>
      </c>
      <c r="FP44" s="22">
        <f t="shared" si="197"/>
        <v>78.12</v>
      </c>
      <c r="FQ44" s="22">
        <f t="shared" si="197"/>
        <v>78.12</v>
      </c>
      <c r="FR44" s="22">
        <f t="shared" si="197"/>
        <v>78.12</v>
      </c>
      <c r="FS44" s="22">
        <f t="shared" si="197"/>
        <v>78.12</v>
      </c>
      <c r="FT44" s="22">
        <f t="shared" si="197"/>
        <v>78.12</v>
      </c>
      <c r="FU44" s="22">
        <f t="shared" si="197"/>
        <v>78.12</v>
      </c>
      <c r="FV44" s="22">
        <f t="shared" si="197"/>
        <v>78.12</v>
      </c>
      <c r="FW44" s="22">
        <f t="shared" si="197"/>
        <v>78.12</v>
      </c>
      <c r="FX44" s="22">
        <f t="shared" si="197"/>
        <v>78.12</v>
      </c>
      <c r="FY44" s="22">
        <f t="shared" si="197"/>
        <v>78.12</v>
      </c>
      <c r="FZ44" s="22">
        <f t="shared" si="197"/>
        <v>78.12</v>
      </c>
      <c r="GA44" s="22">
        <f t="shared" si="197"/>
        <v>78.12</v>
      </c>
      <c r="GB44" s="22">
        <f t="shared" si="197"/>
        <v>78.12</v>
      </c>
      <c r="GC44" s="22">
        <f t="shared" si="197"/>
        <v>78.12</v>
      </c>
      <c r="GD44" s="22">
        <f t="shared" si="197"/>
        <v>78.12</v>
      </c>
      <c r="GE44" s="22">
        <f t="shared" si="197"/>
        <v>0</v>
      </c>
      <c r="GF44" s="22">
        <f t="shared" si="197"/>
        <v>0</v>
      </c>
      <c r="GG44" s="22">
        <f t="shared" si="197"/>
        <v>0</v>
      </c>
      <c r="GH44" s="22">
        <f t="shared" si="197"/>
        <v>0</v>
      </c>
      <c r="GI44" s="22">
        <f t="shared" si="197"/>
        <v>0</v>
      </c>
      <c r="GJ44" s="22">
        <f t="shared" si="197"/>
        <v>0</v>
      </c>
      <c r="GK44" s="22">
        <f t="shared" si="197"/>
        <v>0</v>
      </c>
      <c r="GL44" s="22">
        <f t="shared" si="197"/>
        <v>0</v>
      </c>
      <c r="GM44" s="22">
        <f t="shared" si="197"/>
        <v>0</v>
      </c>
      <c r="GN44" s="22">
        <f t="shared" si="197"/>
        <v>0</v>
      </c>
      <c r="GO44" s="22">
        <f t="shared" si="197"/>
        <v>0</v>
      </c>
      <c r="GP44" s="22">
        <f t="shared" si="197"/>
        <v>0</v>
      </c>
      <c r="GQ44" s="22">
        <f t="shared" ref="GQ44:JB44" si="198">$E$44*GQ33</f>
        <v>0</v>
      </c>
      <c r="GR44" s="22">
        <f t="shared" si="198"/>
        <v>0</v>
      </c>
      <c r="GS44" s="22">
        <f t="shared" si="198"/>
        <v>0</v>
      </c>
      <c r="GT44" s="22">
        <f t="shared" si="198"/>
        <v>0</v>
      </c>
      <c r="GU44" s="22">
        <f t="shared" si="198"/>
        <v>0</v>
      </c>
      <c r="GV44" s="22">
        <f t="shared" si="198"/>
        <v>0</v>
      </c>
      <c r="GW44" s="22">
        <f t="shared" si="198"/>
        <v>0</v>
      </c>
      <c r="GX44" s="22">
        <f t="shared" si="198"/>
        <v>0</v>
      </c>
      <c r="GY44" s="22">
        <f t="shared" si="198"/>
        <v>0</v>
      </c>
      <c r="GZ44" s="22">
        <f t="shared" si="198"/>
        <v>0</v>
      </c>
      <c r="HA44" s="22">
        <f t="shared" si="198"/>
        <v>0</v>
      </c>
      <c r="HB44" s="22">
        <f t="shared" si="198"/>
        <v>0</v>
      </c>
      <c r="HC44" s="22">
        <f t="shared" si="198"/>
        <v>0</v>
      </c>
      <c r="HD44" s="22">
        <f t="shared" si="198"/>
        <v>0</v>
      </c>
      <c r="HE44" s="22">
        <f t="shared" si="198"/>
        <v>0</v>
      </c>
      <c r="HF44" s="22">
        <f t="shared" si="198"/>
        <v>0</v>
      </c>
      <c r="HG44" s="22">
        <f t="shared" si="198"/>
        <v>0</v>
      </c>
      <c r="HH44" s="22">
        <f t="shared" si="198"/>
        <v>0</v>
      </c>
      <c r="HI44" s="22">
        <f t="shared" si="198"/>
        <v>0</v>
      </c>
      <c r="HJ44" s="22">
        <f t="shared" si="198"/>
        <v>0</v>
      </c>
      <c r="HK44" s="22">
        <f t="shared" si="198"/>
        <v>0</v>
      </c>
      <c r="HL44" s="22">
        <f t="shared" si="198"/>
        <v>0</v>
      </c>
      <c r="HM44" s="22">
        <f t="shared" si="198"/>
        <v>0</v>
      </c>
      <c r="HN44" s="22">
        <f t="shared" si="198"/>
        <v>0</v>
      </c>
      <c r="HO44" s="22">
        <f t="shared" si="198"/>
        <v>0</v>
      </c>
      <c r="HP44" s="22">
        <f t="shared" si="198"/>
        <v>0</v>
      </c>
      <c r="HQ44" s="22">
        <f t="shared" si="198"/>
        <v>0</v>
      </c>
      <c r="HR44" s="22">
        <f t="shared" si="198"/>
        <v>0</v>
      </c>
      <c r="HS44" s="22">
        <f t="shared" si="198"/>
        <v>0</v>
      </c>
      <c r="HT44" s="22">
        <f t="shared" si="198"/>
        <v>0</v>
      </c>
      <c r="HU44" s="22">
        <f t="shared" si="198"/>
        <v>0</v>
      </c>
      <c r="HV44" s="22">
        <f t="shared" si="198"/>
        <v>0</v>
      </c>
      <c r="HW44" s="22">
        <f t="shared" si="198"/>
        <v>0</v>
      </c>
      <c r="HX44" s="22">
        <f t="shared" si="198"/>
        <v>0</v>
      </c>
      <c r="HY44" s="22">
        <f t="shared" si="198"/>
        <v>0</v>
      </c>
      <c r="HZ44" s="22">
        <f t="shared" si="198"/>
        <v>0</v>
      </c>
      <c r="IA44" s="22">
        <f t="shared" si="198"/>
        <v>0</v>
      </c>
      <c r="IB44" s="22">
        <f t="shared" si="198"/>
        <v>0</v>
      </c>
      <c r="IC44" s="22">
        <f t="shared" si="198"/>
        <v>0</v>
      </c>
      <c r="ID44" s="22">
        <f t="shared" si="198"/>
        <v>0</v>
      </c>
      <c r="IE44" s="22">
        <f t="shared" si="198"/>
        <v>0</v>
      </c>
      <c r="IF44" s="22">
        <f t="shared" si="198"/>
        <v>0</v>
      </c>
      <c r="IG44" s="22">
        <f t="shared" si="198"/>
        <v>0</v>
      </c>
      <c r="IH44" s="22">
        <f t="shared" si="198"/>
        <v>0</v>
      </c>
      <c r="II44" s="22">
        <f t="shared" si="198"/>
        <v>0</v>
      </c>
      <c r="IJ44" s="22">
        <f t="shared" si="198"/>
        <v>0</v>
      </c>
      <c r="IK44" s="22">
        <f t="shared" si="198"/>
        <v>0</v>
      </c>
      <c r="IL44" s="22">
        <f t="shared" si="198"/>
        <v>0</v>
      </c>
      <c r="IM44" s="22">
        <f t="shared" si="198"/>
        <v>0</v>
      </c>
      <c r="IN44" s="22">
        <f t="shared" si="198"/>
        <v>0</v>
      </c>
      <c r="IO44" s="22">
        <f t="shared" si="198"/>
        <v>0</v>
      </c>
      <c r="IP44" s="22">
        <f t="shared" si="198"/>
        <v>0</v>
      </c>
      <c r="IQ44" s="22">
        <f t="shared" si="198"/>
        <v>0</v>
      </c>
      <c r="IR44" s="22">
        <f t="shared" si="198"/>
        <v>0</v>
      </c>
      <c r="IS44" s="22">
        <f t="shared" si="198"/>
        <v>0</v>
      </c>
      <c r="IT44" s="22">
        <f t="shared" si="198"/>
        <v>0</v>
      </c>
      <c r="IU44" s="22">
        <f t="shared" si="198"/>
        <v>0</v>
      </c>
      <c r="IV44" s="22">
        <f t="shared" si="198"/>
        <v>0</v>
      </c>
      <c r="IW44" s="22">
        <f t="shared" si="198"/>
        <v>0</v>
      </c>
      <c r="IX44" s="22">
        <f t="shared" si="198"/>
        <v>0</v>
      </c>
      <c r="IY44" s="22">
        <f t="shared" si="198"/>
        <v>0</v>
      </c>
      <c r="IZ44" s="22">
        <f t="shared" si="198"/>
        <v>0</v>
      </c>
      <c r="JA44" s="22">
        <f t="shared" si="198"/>
        <v>0</v>
      </c>
      <c r="JB44" s="22">
        <f t="shared" si="198"/>
        <v>0</v>
      </c>
      <c r="JC44" s="22">
        <f t="shared" ref="JC44:LN44" si="199">$E$44*JC33</f>
        <v>0</v>
      </c>
      <c r="JD44" s="22">
        <f t="shared" si="199"/>
        <v>0</v>
      </c>
      <c r="JE44" s="22">
        <f t="shared" si="199"/>
        <v>0</v>
      </c>
      <c r="JF44" s="22">
        <f t="shared" si="199"/>
        <v>0</v>
      </c>
      <c r="JG44" s="22">
        <f t="shared" si="199"/>
        <v>0</v>
      </c>
      <c r="JH44" s="22">
        <f t="shared" si="199"/>
        <v>0</v>
      </c>
      <c r="JI44" s="22">
        <f t="shared" si="199"/>
        <v>0</v>
      </c>
      <c r="JJ44" s="22">
        <f t="shared" si="199"/>
        <v>0</v>
      </c>
      <c r="JK44" s="22">
        <f t="shared" si="199"/>
        <v>0</v>
      </c>
      <c r="JL44" s="22">
        <f t="shared" si="199"/>
        <v>0</v>
      </c>
      <c r="JM44" s="22">
        <f t="shared" si="199"/>
        <v>0</v>
      </c>
      <c r="JN44" s="22">
        <f t="shared" si="199"/>
        <v>0</v>
      </c>
      <c r="JO44" s="22">
        <f t="shared" si="199"/>
        <v>0</v>
      </c>
      <c r="JP44" s="22">
        <f t="shared" si="199"/>
        <v>0</v>
      </c>
      <c r="JQ44" s="22">
        <f t="shared" si="199"/>
        <v>0</v>
      </c>
      <c r="JR44" s="22">
        <f t="shared" si="199"/>
        <v>0</v>
      </c>
      <c r="JS44" s="22">
        <f t="shared" si="199"/>
        <v>0</v>
      </c>
      <c r="JT44" s="22">
        <f t="shared" si="199"/>
        <v>0</v>
      </c>
      <c r="JU44" s="22">
        <f t="shared" si="199"/>
        <v>0</v>
      </c>
      <c r="JV44" s="22">
        <f t="shared" si="199"/>
        <v>0</v>
      </c>
      <c r="JW44" s="22">
        <f t="shared" si="199"/>
        <v>0</v>
      </c>
      <c r="JX44" s="22">
        <f t="shared" si="199"/>
        <v>0</v>
      </c>
      <c r="JY44" s="22">
        <f t="shared" si="199"/>
        <v>0</v>
      </c>
      <c r="JZ44" s="22">
        <f t="shared" si="199"/>
        <v>0</v>
      </c>
      <c r="KA44" s="22">
        <f t="shared" si="199"/>
        <v>0</v>
      </c>
      <c r="KB44" s="22">
        <f t="shared" si="199"/>
        <v>0</v>
      </c>
      <c r="KC44" s="22">
        <f t="shared" si="199"/>
        <v>0</v>
      </c>
      <c r="KD44" s="22">
        <f t="shared" si="199"/>
        <v>0</v>
      </c>
      <c r="KE44" s="22">
        <f t="shared" si="199"/>
        <v>0</v>
      </c>
      <c r="KF44" s="22">
        <f t="shared" si="199"/>
        <v>0</v>
      </c>
      <c r="KG44" s="22">
        <f t="shared" si="199"/>
        <v>0</v>
      </c>
      <c r="KH44" s="22">
        <f t="shared" si="199"/>
        <v>0</v>
      </c>
      <c r="KI44" s="22">
        <f t="shared" si="199"/>
        <v>0</v>
      </c>
      <c r="KJ44" s="22">
        <f t="shared" si="199"/>
        <v>0</v>
      </c>
      <c r="KK44" s="22">
        <f t="shared" si="199"/>
        <v>0</v>
      </c>
      <c r="KL44" s="22">
        <f t="shared" si="199"/>
        <v>0</v>
      </c>
      <c r="KM44" s="22">
        <f t="shared" si="199"/>
        <v>0</v>
      </c>
      <c r="KN44" s="22">
        <f t="shared" si="199"/>
        <v>0</v>
      </c>
      <c r="KO44" s="22">
        <f t="shared" si="199"/>
        <v>0</v>
      </c>
      <c r="KP44" s="22">
        <f t="shared" si="199"/>
        <v>0</v>
      </c>
      <c r="KQ44" s="22">
        <f t="shared" si="199"/>
        <v>0</v>
      </c>
      <c r="KR44" s="22">
        <f t="shared" si="199"/>
        <v>0</v>
      </c>
      <c r="KS44" s="22">
        <f t="shared" si="199"/>
        <v>0</v>
      </c>
      <c r="KT44" s="22">
        <f t="shared" si="199"/>
        <v>0</v>
      </c>
      <c r="KU44" s="22">
        <f t="shared" si="199"/>
        <v>0</v>
      </c>
      <c r="KV44" s="22">
        <f t="shared" si="199"/>
        <v>0</v>
      </c>
      <c r="KW44" s="22">
        <f t="shared" si="199"/>
        <v>0</v>
      </c>
      <c r="KX44" s="22">
        <f t="shared" si="199"/>
        <v>0</v>
      </c>
      <c r="KY44" s="22">
        <f t="shared" si="199"/>
        <v>0</v>
      </c>
      <c r="KZ44" s="22">
        <f t="shared" si="199"/>
        <v>0</v>
      </c>
      <c r="LA44" s="22">
        <f t="shared" si="199"/>
        <v>0</v>
      </c>
      <c r="LB44" s="22">
        <f t="shared" si="199"/>
        <v>0</v>
      </c>
      <c r="LC44" s="22">
        <f t="shared" si="199"/>
        <v>0</v>
      </c>
      <c r="LD44" s="22">
        <f t="shared" si="199"/>
        <v>0</v>
      </c>
      <c r="LE44" s="22">
        <f t="shared" si="199"/>
        <v>0</v>
      </c>
      <c r="LF44" s="22">
        <f t="shared" si="199"/>
        <v>0</v>
      </c>
      <c r="LG44" s="22">
        <f t="shared" si="199"/>
        <v>0</v>
      </c>
      <c r="LH44" s="22">
        <f t="shared" si="199"/>
        <v>0</v>
      </c>
      <c r="LI44" s="22">
        <f t="shared" si="199"/>
        <v>0</v>
      </c>
      <c r="LJ44" s="22">
        <f t="shared" si="199"/>
        <v>0</v>
      </c>
      <c r="LK44" s="22">
        <f t="shared" si="199"/>
        <v>0</v>
      </c>
      <c r="LL44" s="22">
        <f t="shared" si="199"/>
        <v>0</v>
      </c>
      <c r="LM44" s="22">
        <f t="shared" si="199"/>
        <v>0</v>
      </c>
      <c r="LN44" s="22">
        <f t="shared" si="199"/>
        <v>0</v>
      </c>
      <c r="LO44" s="22">
        <f t="shared" ref="LO44:NZ44" si="200">$E$44*LO33</f>
        <v>0</v>
      </c>
      <c r="LP44" s="22">
        <f t="shared" si="200"/>
        <v>0</v>
      </c>
      <c r="LQ44" s="22">
        <f t="shared" si="200"/>
        <v>0</v>
      </c>
      <c r="LR44" s="22">
        <f t="shared" si="200"/>
        <v>0</v>
      </c>
      <c r="LS44" s="22">
        <f t="shared" si="200"/>
        <v>0</v>
      </c>
      <c r="LT44" s="22">
        <f t="shared" si="200"/>
        <v>0</v>
      </c>
      <c r="LU44" s="22">
        <f t="shared" si="200"/>
        <v>0</v>
      </c>
      <c r="LV44" s="22">
        <f t="shared" si="200"/>
        <v>0</v>
      </c>
      <c r="LW44" s="22">
        <f t="shared" si="200"/>
        <v>0</v>
      </c>
      <c r="LX44" s="22">
        <f t="shared" si="200"/>
        <v>0</v>
      </c>
      <c r="LY44" s="22">
        <f t="shared" si="200"/>
        <v>0</v>
      </c>
      <c r="LZ44" s="22">
        <f t="shared" si="200"/>
        <v>0</v>
      </c>
      <c r="MA44" s="22">
        <f t="shared" si="200"/>
        <v>0</v>
      </c>
      <c r="MB44" s="22">
        <f t="shared" si="200"/>
        <v>0</v>
      </c>
      <c r="MC44" s="22">
        <f t="shared" si="200"/>
        <v>0</v>
      </c>
      <c r="MD44" s="22">
        <f t="shared" si="200"/>
        <v>0</v>
      </c>
      <c r="ME44" s="22">
        <f t="shared" si="200"/>
        <v>0</v>
      </c>
      <c r="MF44" s="22">
        <f t="shared" si="200"/>
        <v>0</v>
      </c>
      <c r="MG44" s="22">
        <f t="shared" si="200"/>
        <v>0</v>
      </c>
      <c r="MH44" s="22">
        <f t="shared" si="200"/>
        <v>0</v>
      </c>
      <c r="MI44" s="22">
        <f t="shared" si="200"/>
        <v>0</v>
      </c>
      <c r="MJ44" s="22">
        <f t="shared" si="200"/>
        <v>0</v>
      </c>
      <c r="MK44" s="22">
        <f t="shared" si="200"/>
        <v>0</v>
      </c>
      <c r="ML44" s="22">
        <f t="shared" si="200"/>
        <v>0</v>
      </c>
      <c r="MM44" s="22">
        <f t="shared" si="200"/>
        <v>0</v>
      </c>
      <c r="MN44" s="22">
        <f t="shared" si="200"/>
        <v>0</v>
      </c>
      <c r="MO44" s="22">
        <f t="shared" si="200"/>
        <v>0</v>
      </c>
      <c r="MP44" s="22">
        <f t="shared" si="200"/>
        <v>0</v>
      </c>
      <c r="MQ44" s="22">
        <f t="shared" si="200"/>
        <v>0</v>
      </c>
      <c r="MR44" s="22">
        <f t="shared" si="200"/>
        <v>0</v>
      </c>
      <c r="MS44" s="22">
        <f t="shared" si="200"/>
        <v>0</v>
      </c>
      <c r="MT44" s="22">
        <f t="shared" si="200"/>
        <v>0</v>
      </c>
      <c r="MU44" s="22">
        <f t="shared" si="200"/>
        <v>0</v>
      </c>
      <c r="MV44" s="22">
        <f t="shared" si="200"/>
        <v>0</v>
      </c>
      <c r="MW44" s="22">
        <f t="shared" si="200"/>
        <v>0</v>
      </c>
      <c r="MX44" s="22">
        <f t="shared" si="200"/>
        <v>0</v>
      </c>
      <c r="MY44" s="22">
        <f t="shared" si="200"/>
        <v>0</v>
      </c>
      <c r="MZ44" s="22">
        <f t="shared" si="200"/>
        <v>0</v>
      </c>
      <c r="NA44" s="22">
        <f t="shared" si="200"/>
        <v>0</v>
      </c>
      <c r="NB44" s="22">
        <f t="shared" si="200"/>
        <v>0</v>
      </c>
      <c r="NC44" s="22">
        <f t="shared" si="200"/>
        <v>0</v>
      </c>
      <c r="ND44" s="22">
        <f t="shared" si="200"/>
        <v>0</v>
      </c>
      <c r="NE44" s="22">
        <f t="shared" si="200"/>
        <v>0</v>
      </c>
      <c r="NF44" s="22">
        <f t="shared" si="200"/>
        <v>0</v>
      </c>
      <c r="NG44" s="22">
        <f t="shared" si="200"/>
        <v>0</v>
      </c>
      <c r="NH44" s="22">
        <f t="shared" si="200"/>
        <v>0</v>
      </c>
      <c r="NI44" s="22">
        <f t="shared" si="200"/>
        <v>0</v>
      </c>
      <c r="NJ44" s="22">
        <f t="shared" si="200"/>
        <v>0</v>
      </c>
      <c r="NK44" s="22">
        <f t="shared" si="200"/>
        <v>0</v>
      </c>
      <c r="NL44" s="22">
        <f t="shared" si="200"/>
        <v>0</v>
      </c>
      <c r="NM44" s="22">
        <f t="shared" si="200"/>
        <v>0</v>
      </c>
      <c r="NN44" s="22">
        <f t="shared" si="200"/>
        <v>0</v>
      </c>
      <c r="NO44" s="22">
        <f t="shared" si="200"/>
        <v>0</v>
      </c>
      <c r="NP44" s="22">
        <f t="shared" si="200"/>
        <v>0</v>
      </c>
      <c r="NQ44" s="22">
        <f t="shared" si="200"/>
        <v>0</v>
      </c>
      <c r="NR44" s="22">
        <f t="shared" si="200"/>
        <v>0</v>
      </c>
      <c r="NS44" s="22">
        <f t="shared" si="200"/>
        <v>0</v>
      </c>
      <c r="NT44" s="22">
        <f t="shared" si="200"/>
        <v>0</v>
      </c>
      <c r="NU44" s="22">
        <f t="shared" si="200"/>
        <v>0</v>
      </c>
      <c r="NV44" s="22">
        <f t="shared" si="200"/>
        <v>0</v>
      </c>
      <c r="NW44" s="22">
        <f t="shared" si="200"/>
        <v>0</v>
      </c>
      <c r="NX44" s="22">
        <f t="shared" si="200"/>
        <v>0</v>
      </c>
      <c r="NY44" s="22">
        <f t="shared" si="200"/>
        <v>0</v>
      </c>
      <c r="NZ44" s="22">
        <f t="shared" si="200"/>
        <v>0</v>
      </c>
      <c r="OA44" s="22">
        <f t="shared" ref="OA44:QL44" si="201">$E$44*OA33</f>
        <v>0</v>
      </c>
      <c r="OB44" s="22">
        <f t="shared" si="201"/>
        <v>0</v>
      </c>
      <c r="OC44" s="22">
        <f t="shared" si="201"/>
        <v>0</v>
      </c>
      <c r="OD44" s="22">
        <f t="shared" si="201"/>
        <v>0</v>
      </c>
      <c r="OE44" s="22">
        <f t="shared" si="201"/>
        <v>0</v>
      </c>
      <c r="OF44" s="22">
        <f t="shared" si="201"/>
        <v>0</v>
      </c>
      <c r="OG44" s="22">
        <f t="shared" si="201"/>
        <v>0</v>
      </c>
      <c r="OH44" s="22">
        <f t="shared" si="201"/>
        <v>0</v>
      </c>
      <c r="OI44" s="22">
        <f t="shared" si="201"/>
        <v>0</v>
      </c>
      <c r="OJ44" s="22">
        <f t="shared" si="201"/>
        <v>0</v>
      </c>
      <c r="OK44" s="22">
        <f t="shared" si="201"/>
        <v>0</v>
      </c>
      <c r="OL44" s="22">
        <f t="shared" si="201"/>
        <v>0</v>
      </c>
      <c r="OM44" s="22">
        <f t="shared" si="201"/>
        <v>0</v>
      </c>
      <c r="ON44" s="22">
        <f t="shared" si="201"/>
        <v>0</v>
      </c>
      <c r="OO44" s="22">
        <f t="shared" si="201"/>
        <v>0</v>
      </c>
      <c r="OP44" s="22">
        <f t="shared" si="201"/>
        <v>0</v>
      </c>
      <c r="OQ44" s="22">
        <f t="shared" si="201"/>
        <v>0</v>
      </c>
      <c r="OR44" s="22">
        <f t="shared" si="201"/>
        <v>0</v>
      </c>
      <c r="OS44" s="22">
        <f t="shared" si="201"/>
        <v>0</v>
      </c>
      <c r="OT44" s="22">
        <f t="shared" si="201"/>
        <v>0</v>
      </c>
      <c r="OU44" s="22">
        <f t="shared" si="201"/>
        <v>0</v>
      </c>
      <c r="OV44" s="22">
        <f t="shared" si="201"/>
        <v>0</v>
      </c>
      <c r="OW44" s="22">
        <f t="shared" si="201"/>
        <v>0</v>
      </c>
      <c r="OX44" s="22">
        <f t="shared" si="201"/>
        <v>0</v>
      </c>
      <c r="OY44" s="22">
        <f t="shared" si="201"/>
        <v>0</v>
      </c>
      <c r="OZ44" s="22">
        <f t="shared" si="201"/>
        <v>0</v>
      </c>
      <c r="PA44" s="22">
        <f t="shared" si="201"/>
        <v>0</v>
      </c>
      <c r="PB44" s="22">
        <f t="shared" si="201"/>
        <v>0</v>
      </c>
      <c r="PC44" s="22">
        <f t="shared" si="201"/>
        <v>0</v>
      </c>
      <c r="PD44" s="22">
        <f t="shared" si="201"/>
        <v>0</v>
      </c>
      <c r="PE44" s="22">
        <f t="shared" si="201"/>
        <v>0</v>
      </c>
      <c r="PF44" s="22">
        <f t="shared" si="201"/>
        <v>0</v>
      </c>
      <c r="PG44" s="22">
        <f t="shared" si="201"/>
        <v>0</v>
      </c>
      <c r="PH44" s="22">
        <f t="shared" si="201"/>
        <v>0</v>
      </c>
      <c r="PI44" s="22">
        <f t="shared" si="201"/>
        <v>0</v>
      </c>
      <c r="PJ44" s="22">
        <f t="shared" si="201"/>
        <v>0</v>
      </c>
      <c r="PK44" s="22">
        <f t="shared" si="201"/>
        <v>0</v>
      </c>
      <c r="PL44" s="22">
        <f t="shared" si="201"/>
        <v>0</v>
      </c>
      <c r="PM44" s="22">
        <f t="shared" si="201"/>
        <v>0</v>
      </c>
      <c r="PN44" s="22">
        <f t="shared" si="201"/>
        <v>0</v>
      </c>
      <c r="PO44" s="22">
        <f t="shared" si="201"/>
        <v>0</v>
      </c>
      <c r="PP44" s="22">
        <f t="shared" si="201"/>
        <v>0</v>
      </c>
      <c r="PQ44" s="22">
        <f t="shared" si="201"/>
        <v>0</v>
      </c>
      <c r="PR44" s="22">
        <f t="shared" si="201"/>
        <v>0</v>
      </c>
      <c r="PS44" s="22">
        <f t="shared" si="201"/>
        <v>0</v>
      </c>
      <c r="PT44" s="22">
        <f t="shared" si="201"/>
        <v>0</v>
      </c>
      <c r="PU44" s="22">
        <f t="shared" si="201"/>
        <v>0</v>
      </c>
      <c r="PV44" s="22">
        <f t="shared" si="201"/>
        <v>0</v>
      </c>
      <c r="PW44" s="22">
        <f t="shared" si="201"/>
        <v>0</v>
      </c>
      <c r="PX44" s="22">
        <f t="shared" si="201"/>
        <v>0</v>
      </c>
      <c r="PY44" s="22">
        <f t="shared" si="201"/>
        <v>0</v>
      </c>
      <c r="PZ44" s="22">
        <f t="shared" si="201"/>
        <v>0</v>
      </c>
      <c r="QA44" s="22">
        <f t="shared" si="201"/>
        <v>0</v>
      </c>
      <c r="QB44" s="22">
        <f t="shared" si="201"/>
        <v>0</v>
      </c>
      <c r="QC44" s="22">
        <f t="shared" si="201"/>
        <v>0</v>
      </c>
      <c r="QD44" s="22">
        <f t="shared" si="201"/>
        <v>0</v>
      </c>
      <c r="QE44" s="22">
        <f t="shared" si="201"/>
        <v>0</v>
      </c>
      <c r="QF44" s="22">
        <f t="shared" si="201"/>
        <v>0</v>
      </c>
      <c r="QG44" s="22">
        <f t="shared" si="201"/>
        <v>0</v>
      </c>
      <c r="QH44" s="22">
        <f t="shared" si="201"/>
        <v>0</v>
      </c>
      <c r="QI44" s="22">
        <f t="shared" si="201"/>
        <v>0</v>
      </c>
      <c r="QJ44" s="22">
        <f t="shared" si="201"/>
        <v>0</v>
      </c>
      <c r="QK44" s="22">
        <f t="shared" si="201"/>
        <v>0</v>
      </c>
      <c r="QL44" s="22">
        <f t="shared" si="201"/>
        <v>0</v>
      </c>
      <c r="QM44" s="22">
        <f t="shared" ref="QM44:SX44" si="202">$E$44*QM33</f>
        <v>0</v>
      </c>
      <c r="QN44" s="22">
        <f t="shared" si="202"/>
        <v>0</v>
      </c>
      <c r="QO44" s="22">
        <f t="shared" si="202"/>
        <v>0</v>
      </c>
      <c r="QP44" s="22">
        <f t="shared" si="202"/>
        <v>0</v>
      </c>
      <c r="QQ44" s="22">
        <f t="shared" si="202"/>
        <v>0</v>
      </c>
      <c r="QR44" s="22">
        <f t="shared" si="202"/>
        <v>0</v>
      </c>
      <c r="QS44" s="22">
        <f t="shared" si="202"/>
        <v>0</v>
      </c>
      <c r="QT44" s="22">
        <f t="shared" si="202"/>
        <v>0</v>
      </c>
      <c r="QU44" s="22">
        <f t="shared" si="202"/>
        <v>0</v>
      </c>
      <c r="QV44" s="22">
        <f t="shared" si="202"/>
        <v>0</v>
      </c>
      <c r="QW44" s="22">
        <f t="shared" si="202"/>
        <v>0</v>
      </c>
      <c r="QX44" s="22">
        <f t="shared" si="202"/>
        <v>0</v>
      </c>
      <c r="QY44" s="22">
        <f t="shared" si="202"/>
        <v>0</v>
      </c>
      <c r="QZ44" s="22">
        <f t="shared" si="202"/>
        <v>0</v>
      </c>
      <c r="RA44" s="22">
        <f t="shared" si="202"/>
        <v>0</v>
      </c>
      <c r="RB44" s="22">
        <f t="shared" si="202"/>
        <v>0</v>
      </c>
      <c r="RC44" s="22">
        <f t="shared" si="202"/>
        <v>0</v>
      </c>
      <c r="RD44" s="22">
        <f t="shared" si="202"/>
        <v>0</v>
      </c>
      <c r="RE44" s="22">
        <f t="shared" si="202"/>
        <v>0</v>
      </c>
      <c r="RF44" s="22">
        <f t="shared" si="202"/>
        <v>0</v>
      </c>
      <c r="RG44" s="22">
        <f t="shared" si="202"/>
        <v>0</v>
      </c>
      <c r="RH44" s="22">
        <f t="shared" si="202"/>
        <v>0</v>
      </c>
      <c r="RI44" s="22">
        <f t="shared" si="202"/>
        <v>0</v>
      </c>
      <c r="RJ44" s="22">
        <f t="shared" si="202"/>
        <v>0</v>
      </c>
      <c r="RK44" s="22">
        <f t="shared" si="202"/>
        <v>0</v>
      </c>
      <c r="RL44" s="22">
        <f t="shared" si="202"/>
        <v>0</v>
      </c>
      <c r="RM44" s="22">
        <f t="shared" si="202"/>
        <v>0</v>
      </c>
      <c r="RN44" s="22">
        <f t="shared" si="202"/>
        <v>0</v>
      </c>
      <c r="RO44" s="22">
        <f t="shared" si="202"/>
        <v>0</v>
      </c>
      <c r="RP44" s="22">
        <f t="shared" si="202"/>
        <v>0</v>
      </c>
      <c r="RQ44" s="22">
        <f t="shared" si="202"/>
        <v>0</v>
      </c>
      <c r="RR44" s="22">
        <f t="shared" si="202"/>
        <v>0</v>
      </c>
      <c r="RS44" s="22">
        <f t="shared" si="202"/>
        <v>0</v>
      </c>
      <c r="RT44" s="22">
        <f t="shared" si="202"/>
        <v>0</v>
      </c>
      <c r="RU44" s="22">
        <f t="shared" si="202"/>
        <v>0</v>
      </c>
      <c r="RV44" s="22">
        <f t="shared" si="202"/>
        <v>0</v>
      </c>
      <c r="RW44" s="22">
        <f t="shared" si="202"/>
        <v>0</v>
      </c>
      <c r="RX44" s="22">
        <f t="shared" si="202"/>
        <v>0</v>
      </c>
      <c r="RY44" s="22">
        <f t="shared" si="202"/>
        <v>0</v>
      </c>
      <c r="RZ44" s="22">
        <f t="shared" si="202"/>
        <v>0</v>
      </c>
      <c r="SA44" s="22">
        <f t="shared" si="202"/>
        <v>0</v>
      </c>
      <c r="SB44" s="22">
        <f t="shared" si="202"/>
        <v>0</v>
      </c>
      <c r="SC44" s="22">
        <f t="shared" si="202"/>
        <v>0</v>
      </c>
      <c r="SD44" s="22">
        <f t="shared" si="202"/>
        <v>0</v>
      </c>
      <c r="SE44" s="22">
        <f t="shared" si="202"/>
        <v>0</v>
      </c>
      <c r="SF44" s="22">
        <f t="shared" si="202"/>
        <v>0</v>
      </c>
      <c r="SG44" s="22">
        <f t="shared" si="202"/>
        <v>0</v>
      </c>
      <c r="SH44" s="22">
        <f t="shared" si="202"/>
        <v>0</v>
      </c>
      <c r="SI44" s="22">
        <f t="shared" si="202"/>
        <v>0</v>
      </c>
      <c r="SJ44" s="22">
        <f t="shared" si="202"/>
        <v>0</v>
      </c>
      <c r="SK44" s="22">
        <f t="shared" si="202"/>
        <v>0</v>
      </c>
      <c r="SL44" s="22">
        <f t="shared" si="202"/>
        <v>0</v>
      </c>
      <c r="SM44" s="22">
        <f t="shared" si="202"/>
        <v>0</v>
      </c>
      <c r="SN44" s="22">
        <f t="shared" si="202"/>
        <v>0</v>
      </c>
      <c r="SO44" s="22">
        <f t="shared" si="202"/>
        <v>0</v>
      </c>
      <c r="SP44" s="22">
        <f t="shared" si="202"/>
        <v>0</v>
      </c>
      <c r="SQ44" s="22">
        <f t="shared" si="202"/>
        <v>0</v>
      </c>
      <c r="SR44" s="22">
        <f t="shared" si="202"/>
        <v>0</v>
      </c>
      <c r="SS44" s="22">
        <f t="shared" si="202"/>
        <v>0</v>
      </c>
      <c r="ST44" s="22">
        <f t="shared" si="202"/>
        <v>0</v>
      </c>
      <c r="SU44" s="22">
        <f t="shared" si="202"/>
        <v>0</v>
      </c>
      <c r="SV44" s="22">
        <f t="shared" si="202"/>
        <v>0</v>
      </c>
      <c r="SW44" s="22">
        <f t="shared" si="202"/>
        <v>0</v>
      </c>
      <c r="SX44" s="22">
        <f t="shared" si="202"/>
        <v>0</v>
      </c>
      <c r="SY44" s="22">
        <f t="shared" ref="SY44:VJ44" si="203">$E$44*SY33</f>
        <v>0</v>
      </c>
      <c r="SZ44" s="22">
        <f t="shared" si="203"/>
        <v>0</v>
      </c>
      <c r="TA44" s="22">
        <f t="shared" si="203"/>
        <v>0</v>
      </c>
      <c r="TB44" s="22">
        <f t="shared" si="203"/>
        <v>0</v>
      </c>
      <c r="TC44" s="22">
        <f t="shared" si="203"/>
        <v>0</v>
      </c>
      <c r="TD44" s="22">
        <f t="shared" si="203"/>
        <v>0</v>
      </c>
      <c r="TE44" s="22">
        <f t="shared" si="203"/>
        <v>0</v>
      </c>
      <c r="TF44" s="22">
        <f t="shared" si="203"/>
        <v>0</v>
      </c>
      <c r="TG44" s="22">
        <f t="shared" si="203"/>
        <v>0</v>
      </c>
      <c r="TH44" s="22">
        <f t="shared" si="203"/>
        <v>0</v>
      </c>
      <c r="TI44" s="22">
        <f t="shared" si="203"/>
        <v>0</v>
      </c>
      <c r="TJ44" s="22">
        <f t="shared" si="203"/>
        <v>0</v>
      </c>
      <c r="TK44" s="22">
        <f t="shared" si="203"/>
        <v>0</v>
      </c>
      <c r="TL44" s="22">
        <f t="shared" si="203"/>
        <v>0</v>
      </c>
      <c r="TM44" s="22">
        <f t="shared" si="203"/>
        <v>0</v>
      </c>
      <c r="TN44" s="22">
        <f t="shared" si="203"/>
        <v>0</v>
      </c>
      <c r="TO44" s="22">
        <f t="shared" si="203"/>
        <v>0</v>
      </c>
      <c r="TP44" s="22">
        <f t="shared" si="203"/>
        <v>0</v>
      </c>
      <c r="TQ44" s="22">
        <f t="shared" si="203"/>
        <v>0</v>
      </c>
      <c r="TR44" s="22">
        <f t="shared" si="203"/>
        <v>0</v>
      </c>
      <c r="TS44" s="22">
        <f t="shared" si="203"/>
        <v>0</v>
      </c>
      <c r="TT44" s="22">
        <f t="shared" si="203"/>
        <v>0</v>
      </c>
      <c r="TU44" s="22">
        <f t="shared" si="203"/>
        <v>0</v>
      </c>
      <c r="TV44" s="22">
        <f t="shared" si="203"/>
        <v>0</v>
      </c>
      <c r="TW44" s="22">
        <f t="shared" si="203"/>
        <v>0</v>
      </c>
      <c r="TX44" s="22">
        <f t="shared" si="203"/>
        <v>0</v>
      </c>
      <c r="TY44" s="22">
        <f t="shared" si="203"/>
        <v>0</v>
      </c>
      <c r="TZ44" s="22">
        <f t="shared" si="203"/>
        <v>0</v>
      </c>
      <c r="UA44" s="22">
        <f t="shared" si="203"/>
        <v>0</v>
      </c>
      <c r="UB44" s="22">
        <f t="shared" si="203"/>
        <v>0</v>
      </c>
      <c r="UC44" s="22">
        <f t="shared" si="203"/>
        <v>0</v>
      </c>
      <c r="UD44" s="22">
        <f t="shared" si="203"/>
        <v>0</v>
      </c>
      <c r="UE44" s="22">
        <f t="shared" si="203"/>
        <v>0</v>
      </c>
      <c r="UF44" s="22">
        <f t="shared" si="203"/>
        <v>0</v>
      </c>
      <c r="UG44" s="22">
        <f t="shared" si="203"/>
        <v>0</v>
      </c>
      <c r="UH44" s="22">
        <f t="shared" si="203"/>
        <v>0</v>
      </c>
      <c r="UI44" s="22">
        <f t="shared" si="203"/>
        <v>0</v>
      </c>
      <c r="UJ44" s="22">
        <f t="shared" si="203"/>
        <v>0</v>
      </c>
      <c r="UK44" s="22">
        <f t="shared" si="203"/>
        <v>0</v>
      </c>
      <c r="UL44" s="22">
        <f t="shared" si="203"/>
        <v>0</v>
      </c>
      <c r="UM44" s="22">
        <f t="shared" si="203"/>
        <v>0</v>
      </c>
      <c r="UN44" s="22">
        <f t="shared" si="203"/>
        <v>0</v>
      </c>
      <c r="UO44" s="22">
        <f t="shared" si="203"/>
        <v>0</v>
      </c>
      <c r="UP44" s="22">
        <f t="shared" si="203"/>
        <v>0</v>
      </c>
      <c r="UQ44" s="22">
        <f t="shared" si="203"/>
        <v>0</v>
      </c>
      <c r="UR44" s="22">
        <f t="shared" si="203"/>
        <v>0</v>
      </c>
      <c r="US44" s="22">
        <f t="shared" si="203"/>
        <v>0</v>
      </c>
      <c r="UT44" s="22">
        <f t="shared" si="203"/>
        <v>0</v>
      </c>
      <c r="UU44" s="22">
        <f t="shared" si="203"/>
        <v>0</v>
      </c>
      <c r="UV44" s="22">
        <f t="shared" si="203"/>
        <v>0</v>
      </c>
      <c r="UW44" s="22">
        <f t="shared" si="203"/>
        <v>0</v>
      </c>
      <c r="UX44" s="22">
        <f t="shared" si="203"/>
        <v>0</v>
      </c>
      <c r="UY44" s="22">
        <f t="shared" si="203"/>
        <v>0</v>
      </c>
      <c r="UZ44" s="22">
        <f t="shared" si="203"/>
        <v>0</v>
      </c>
      <c r="VA44" s="22">
        <f t="shared" si="203"/>
        <v>0</v>
      </c>
      <c r="VB44" s="22">
        <f t="shared" si="203"/>
        <v>0</v>
      </c>
      <c r="VC44" s="22">
        <f t="shared" si="203"/>
        <v>0</v>
      </c>
      <c r="VD44" s="22">
        <f t="shared" si="203"/>
        <v>0</v>
      </c>
      <c r="VE44" s="22">
        <f t="shared" si="203"/>
        <v>0</v>
      </c>
      <c r="VF44" s="22">
        <f t="shared" si="203"/>
        <v>0</v>
      </c>
      <c r="VG44" s="22">
        <f t="shared" si="203"/>
        <v>0</v>
      </c>
      <c r="VH44" s="22">
        <f t="shared" si="203"/>
        <v>0</v>
      </c>
      <c r="VI44" s="22">
        <f t="shared" si="203"/>
        <v>0</v>
      </c>
      <c r="VJ44" s="22">
        <f t="shared" si="203"/>
        <v>0</v>
      </c>
      <c r="VK44" s="22">
        <f t="shared" ref="VK44:XV44" si="204">$E$44*VK33</f>
        <v>0</v>
      </c>
      <c r="VL44" s="22">
        <f t="shared" si="204"/>
        <v>0</v>
      </c>
      <c r="VM44" s="22">
        <f t="shared" si="204"/>
        <v>0</v>
      </c>
      <c r="VN44" s="22">
        <f t="shared" si="204"/>
        <v>0</v>
      </c>
      <c r="VO44" s="22">
        <f t="shared" si="204"/>
        <v>0</v>
      </c>
      <c r="VP44" s="22">
        <f t="shared" si="204"/>
        <v>0</v>
      </c>
      <c r="VQ44" s="22">
        <f t="shared" si="204"/>
        <v>0</v>
      </c>
      <c r="VR44" s="22">
        <f t="shared" si="204"/>
        <v>0</v>
      </c>
      <c r="VS44" s="22">
        <f t="shared" si="204"/>
        <v>0</v>
      </c>
      <c r="VT44" s="22">
        <f t="shared" si="204"/>
        <v>0</v>
      </c>
      <c r="VU44" s="22">
        <f t="shared" si="204"/>
        <v>0</v>
      </c>
      <c r="VV44" s="22">
        <f t="shared" si="204"/>
        <v>0</v>
      </c>
      <c r="VW44" s="22">
        <f t="shared" si="204"/>
        <v>0</v>
      </c>
      <c r="VX44" s="22">
        <f t="shared" si="204"/>
        <v>0</v>
      </c>
      <c r="VY44" s="22">
        <f t="shared" si="204"/>
        <v>0</v>
      </c>
      <c r="VZ44" s="22">
        <f t="shared" si="204"/>
        <v>0</v>
      </c>
      <c r="WA44" s="22">
        <f t="shared" si="204"/>
        <v>0</v>
      </c>
      <c r="WB44" s="22">
        <f t="shared" si="204"/>
        <v>0</v>
      </c>
      <c r="WC44" s="22">
        <f t="shared" si="204"/>
        <v>0</v>
      </c>
      <c r="WD44" s="22">
        <f t="shared" si="204"/>
        <v>0</v>
      </c>
      <c r="WE44" s="22">
        <f t="shared" si="204"/>
        <v>0</v>
      </c>
      <c r="WF44" s="22">
        <f t="shared" si="204"/>
        <v>0</v>
      </c>
      <c r="WG44" s="22">
        <f t="shared" si="204"/>
        <v>0</v>
      </c>
      <c r="WH44" s="22">
        <f t="shared" si="204"/>
        <v>0</v>
      </c>
      <c r="WI44" s="22">
        <f t="shared" si="204"/>
        <v>0</v>
      </c>
      <c r="WJ44" s="22">
        <f t="shared" si="204"/>
        <v>0</v>
      </c>
      <c r="WK44" s="22">
        <f t="shared" si="204"/>
        <v>0</v>
      </c>
      <c r="WL44" s="22">
        <f t="shared" si="204"/>
        <v>0</v>
      </c>
      <c r="WM44" s="22">
        <f t="shared" si="204"/>
        <v>0</v>
      </c>
      <c r="WN44" s="22">
        <f t="shared" si="204"/>
        <v>0</v>
      </c>
      <c r="WO44" s="22">
        <f t="shared" si="204"/>
        <v>0</v>
      </c>
      <c r="WP44" s="22">
        <f t="shared" si="204"/>
        <v>0</v>
      </c>
      <c r="WQ44" s="22">
        <f t="shared" si="204"/>
        <v>0</v>
      </c>
      <c r="WR44" s="22">
        <f t="shared" si="204"/>
        <v>0</v>
      </c>
      <c r="WS44" s="22">
        <f t="shared" si="204"/>
        <v>0</v>
      </c>
      <c r="WT44" s="22">
        <f t="shared" si="204"/>
        <v>0</v>
      </c>
      <c r="WU44" s="22">
        <f t="shared" si="204"/>
        <v>0</v>
      </c>
      <c r="WV44" s="22">
        <f t="shared" si="204"/>
        <v>0</v>
      </c>
      <c r="WW44" s="22">
        <f t="shared" si="204"/>
        <v>0</v>
      </c>
      <c r="WX44" s="22">
        <f t="shared" si="204"/>
        <v>0</v>
      </c>
      <c r="WY44" s="22">
        <f t="shared" si="204"/>
        <v>0</v>
      </c>
      <c r="WZ44" s="22">
        <f t="shared" si="204"/>
        <v>0</v>
      </c>
      <c r="XA44" s="22">
        <f t="shared" si="204"/>
        <v>0</v>
      </c>
      <c r="XB44" s="22">
        <f t="shared" si="204"/>
        <v>0</v>
      </c>
      <c r="XC44" s="22">
        <f t="shared" si="204"/>
        <v>0</v>
      </c>
      <c r="XD44" s="22">
        <f t="shared" si="204"/>
        <v>0</v>
      </c>
      <c r="XE44" s="22">
        <f t="shared" si="204"/>
        <v>0</v>
      </c>
      <c r="XF44" s="22">
        <f t="shared" si="204"/>
        <v>0</v>
      </c>
      <c r="XG44" s="22">
        <f t="shared" si="204"/>
        <v>0</v>
      </c>
      <c r="XH44" s="22">
        <f t="shared" si="204"/>
        <v>0</v>
      </c>
      <c r="XI44" s="22">
        <f t="shared" si="204"/>
        <v>0</v>
      </c>
      <c r="XJ44" s="22">
        <f t="shared" si="204"/>
        <v>0</v>
      </c>
      <c r="XK44" s="22">
        <f t="shared" si="204"/>
        <v>0</v>
      </c>
      <c r="XL44" s="22">
        <f t="shared" si="204"/>
        <v>0</v>
      </c>
      <c r="XM44" s="22">
        <f t="shared" si="204"/>
        <v>0</v>
      </c>
      <c r="XN44" s="22">
        <f t="shared" si="204"/>
        <v>0</v>
      </c>
      <c r="XO44" s="22">
        <f t="shared" si="204"/>
        <v>0</v>
      </c>
      <c r="XP44" s="22">
        <f t="shared" si="204"/>
        <v>0</v>
      </c>
      <c r="XQ44" s="22">
        <f t="shared" si="204"/>
        <v>0</v>
      </c>
      <c r="XR44" s="22">
        <f t="shared" si="204"/>
        <v>0</v>
      </c>
      <c r="XS44" s="22">
        <f t="shared" si="204"/>
        <v>0</v>
      </c>
      <c r="XT44" s="22">
        <f t="shared" si="204"/>
        <v>0</v>
      </c>
      <c r="XU44" s="22">
        <f t="shared" si="204"/>
        <v>0</v>
      </c>
      <c r="XV44" s="22">
        <f t="shared" si="204"/>
        <v>0</v>
      </c>
      <c r="XW44" s="22">
        <f t="shared" ref="XW44:AAH44" si="205">$E$44*XW33</f>
        <v>0</v>
      </c>
      <c r="XX44" s="22">
        <f t="shared" si="205"/>
        <v>0</v>
      </c>
      <c r="XY44" s="22">
        <f t="shared" si="205"/>
        <v>0</v>
      </c>
      <c r="XZ44" s="22">
        <f t="shared" si="205"/>
        <v>0</v>
      </c>
      <c r="YA44" s="22">
        <f t="shared" si="205"/>
        <v>0</v>
      </c>
      <c r="YB44" s="22">
        <f t="shared" si="205"/>
        <v>0</v>
      </c>
      <c r="YC44" s="22">
        <f t="shared" si="205"/>
        <v>0</v>
      </c>
      <c r="YD44" s="22">
        <f t="shared" si="205"/>
        <v>0</v>
      </c>
      <c r="YE44" s="22">
        <f t="shared" si="205"/>
        <v>0</v>
      </c>
      <c r="YF44" s="22">
        <f t="shared" si="205"/>
        <v>0</v>
      </c>
      <c r="YG44" s="22">
        <f t="shared" si="205"/>
        <v>0</v>
      </c>
      <c r="YH44" s="22">
        <f t="shared" si="205"/>
        <v>0</v>
      </c>
      <c r="YI44" s="22">
        <f t="shared" si="205"/>
        <v>0</v>
      </c>
      <c r="YJ44" s="22">
        <f t="shared" si="205"/>
        <v>0</v>
      </c>
      <c r="YK44" s="22">
        <f t="shared" si="205"/>
        <v>0</v>
      </c>
      <c r="YL44" s="22">
        <f t="shared" si="205"/>
        <v>0</v>
      </c>
      <c r="YM44" s="22">
        <f t="shared" si="205"/>
        <v>0</v>
      </c>
      <c r="YN44" s="22">
        <f t="shared" si="205"/>
        <v>0</v>
      </c>
      <c r="YO44" s="22">
        <f t="shared" si="205"/>
        <v>0</v>
      </c>
      <c r="YP44" s="22">
        <f t="shared" si="205"/>
        <v>0</v>
      </c>
      <c r="YQ44" s="22">
        <f t="shared" si="205"/>
        <v>0</v>
      </c>
      <c r="YR44" s="22">
        <f t="shared" si="205"/>
        <v>0</v>
      </c>
      <c r="YS44" s="22">
        <f t="shared" si="205"/>
        <v>0</v>
      </c>
      <c r="YT44" s="22">
        <f t="shared" si="205"/>
        <v>0</v>
      </c>
      <c r="YU44" s="22">
        <f t="shared" si="205"/>
        <v>0</v>
      </c>
      <c r="YV44" s="22">
        <f t="shared" si="205"/>
        <v>0</v>
      </c>
      <c r="YW44" s="22">
        <f t="shared" si="205"/>
        <v>0</v>
      </c>
      <c r="YX44" s="22">
        <f t="shared" si="205"/>
        <v>0</v>
      </c>
      <c r="YY44" s="22">
        <f t="shared" si="205"/>
        <v>0</v>
      </c>
      <c r="YZ44" s="22">
        <f t="shared" si="205"/>
        <v>0</v>
      </c>
      <c r="ZA44" s="22">
        <f t="shared" si="205"/>
        <v>0</v>
      </c>
      <c r="ZB44" s="22">
        <f t="shared" si="205"/>
        <v>0</v>
      </c>
      <c r="ZC44" s="22">
        <f t="shared" si="205"/>
        <v>0</v>
      </c>
      <c r="ZD44" s="22">
        <f t="shared" si="205"/>
        <v>0</v>
      </c>
      <c r="ZE44" s="22">
        <f t="shared" si="205"/>
        <v>0</v>
      </c>
      <c r="ZF44" s="22">
        <f t="shared" si="205"/>
        <v>0</v>
      </c>
      <c r="ZG44" s="22">
        <f t="shared" si="205"/>
        <v>0</v>
      </c>
      <c r="ZH44" s="22">
        <f t="shared" si="205"/>
        <v>0</v>
      </c>
      <c r="ZI44" s="22">
        <f t="shared" si="205"/>
        <v>0</v>
      </c>
      <c r="ZJ44" s="22">
        <f t="shared" si="205"/>
        <v>0</v>
      </c>
      <c r="ZK44" s="22">
        <f t="shared" si="205"/>
        <v>0</v>
      </c>
      <c r="ZL44" s="22">
        <f t="shared" si="205"/>
        <v>0</v>
      </c>
      <c r="ZM44" s="22">
        <f t="shared" si="205"/>
        <v>0</v>
      </c>
      <c r="ZN44" s="22">
        <f t="shared" si="205"/>
        <v>0</v>
      </c>
      <c r="ZO44" s="22">
        <f t="shared" si="205"/>
        <v>0</v>
      </c>
      <c r="ZP44" s="22">
        <f t="shared" si="205"/>
        <v>0</v>
      </c>
      <c r="ZQ44" s="22">
        <f t="shared" si="205"/>
        <v>0</v>
      </c>
      <c r="ZR44" s="22">
        <f t="shared" si="205"/>
        <v>0</v>
      </c>
      <c r="ZS44" s="22">
        <f t="shared" si="205"/>
        <v>0</v>
      </c>
      <c r="ZT44" s="22">
        <f t="shared" si="205"/>
        <v>0</v>
      </c>
      <c r="ZU44" s="22">
        <f t="shared" si="205"/>
        <v>0</v>
      </c>
      <c r="ZV44" s="22">
        <f t="shared" si="205"/>
        <v>0</v>
      </c>
      <c r="ZW44" s="22">
        <f t="shared" si="205"/>
        <v>0</v>
      </c>
      <c r="ZX44" s="22">
        <f t="shared" si="205"/>
        <v>0</v>
      </c>
      <c r="ZY44" s="22">
        <f t="shared" si="205"/>
        <v>0</v>
      </c>
      <c r="ZZ44" s="22">
        <f t="shared" si="205"/>
        <v>0</v>
      </c>
      <c r="AAA44" s="22">
        <f t="shared" si="205"/>
        <v>0</v>
      </c>
      <c r="AAB44" s="22">
        <f t="shared" si="205"/>
        <v>0</v>
      </c>
      <c r="AAC44" s="22">
        <f t="shared" si="205"/>
        <v>0</v>
      </c>
      <c r="AAD44" s="22">
        <f t="shared" si="205"/>
        <v>0</v>
      </c>
      <c r="AAE44" s="22">
        <f t="shared" si="205"/>
        <v>0</v>
      </c>
      <c r="AAF44" s="22">
        <f t="shared" si="205"/>
        <v>0</v>
      </c>
      <c r="AAG44" s="22">
        <f t="shared" si="205"/>
        <v>0</v>
      </c>
      <c r="AAH44" s="22">
        <f t="shared" si="205"/>
        <v>0</v>
      </c>
      <c r="AAI44" s="22">
        <f t="shared" ref="AAI44:ABI44" si="206">$E$44*AAI33</f>
        <v>0</v>
      </c>
      <c r="AAJ44" s="22">
        <f t="shared" si="206"/>
        <v>0</v>
      </c>
      <c r="AAK44" s="22">
        <f t="shared" si="206"/>
        <v>0</v>
      </c>
      <c r="AAL44" s="22">
        <f t="shared" si="206"/>
        <v>0</v>
      </c>
      <c r="AAM44" s="22">
        <f t="shared" si="206"/>
        <v>0</v>
      </c>
      <c r="AAN44" s="22">
        <f t="shared" si="206"/>
        <v>0</v>
      </c>
      <c r="AAO44" s="22">
        <f t="shared" si="206"/>
        <v>0</v>
      </c>
      <c r="AAP44" s="22">
        <f t="shared" si="206"/>
        <v>0</v>
      </c>
      <c r="AAQ44" s="22">
        <f t="shared" si="206"/>
        <v>0</v>
      </c>
      <c r="AAR44" s="22">
        <f t="shared" si="206"/>
        <v>0</v>
      </c>
      <c r="AAS44" s="22">
        <f t="shared" si="206"/>
        <v>0</v>
      </c>
      <c r="AAT44" s="22">
        <f t="shared" si="206"/>
        <v>0</v>
      </c>
      <c r="AAU44" s="22">
        <f t="shared" si="206"/>
        <v>0</v>
      </c>
      <c r="AAV44" s="22">
        <f t="shared" si="206"/>
        <v>0</v>
      </c>
      <c r="AAW44" s="22">
        <f t="shared" si="206"/>
        <v>0</v>
      </c>
      <c r="AAX44" s="22">
        <f t="shared" si="206"/>
        <v>0</v>
      </c>
      <c r="AAY44" s="22">
        <f t="shared" si="206"/>
        <v>0</v>
      </c>
      <c r="AAZ44" s="22">
        <f t="shared" si="206"/>
        <v>0</v>
      </c>
      <c r="ABA44" s="22">
        <f t="shared" si="206"/>
        <v>0</v>
      </c>
      <c r="ABB44" s="22">
        <f t="shared" si="206"/>
        <v>0</v>
      </c>
      <c r="ABC44" s="22">
        <f t="shared" si="206"/>
        <v>0</v>
      </c>
      <c r="ABD44" s="22">
        <f t="shared" si="206"/>
        <v>0</v>
      </c>
      <c r="ABE44" s="22">
        <f t="shared" si="206"/>
        <v>0</v>
      </c>
      <c r="ABF44" s="22">
        <f t="shared" si="206"/>
        <v>0</v>
      </c>
      <c r="ABG44" s="22">
        <f t="shared" si="206"/>
        <v>0</v>
      </c>
      <c r="ABH44" s="22">
        <f t="shared" si="206"/>
        <v>0</v>
      </c>
      <c r="ABI44" s="22">
        <f t="shared" si="206"/>
        <v>0</v>
      </c>
    </row>
    <row r="45" spans="2:737" ht="12.95" customHeight="1" x14ac:dyDescent="0.25">
      <c r="B45" s="24"/>
      <c r="C45" s="19">
        <f t="shared" si="146"/>
        <v>24461.789999999986</v>
      </c>
      <c r="D45" s="20" t="s">
        <v>18</v>
      </c>
      <c r="E45" s="21">
        <v>26.970000000000002</v>
      </c>
      <c r="F45" s="22">
        <f>$E$45*F33</f>
        <v>107.88000000000001</v>
      </c>
      <c r="G45" s="22">
        <f t="shared" ref="G45:BR45" si="207">$E$45*G33</f>
        <v>107.88000000000001</v>
      </c>
      <c r="H45" s="23">
        <f>$E$45*H33</f>
        <v>107.88000000000001</v>
      </c>
      <c r="I45" s="22">
        <f t="shared" si="207"/>
        <v>107.88000000000001</v>
      </c>
      <c r="J45" s="22">
        <f t="shared" si="207"/>
        <v>107.88000000000001</v>
      </c>
      <c r="K45" s="22">
        <f t="shared" si="207"/>
        <v>107.88000000000001</v>
      </c>
      <c r="L45" s="22">
        <f t="shared" si="207"/>
        <v>107.88000000000001</v>
      </c>
      <c r="M45" s="22">
        <f t="shared" si="207"/>
        <v>107.88000000000001</v>
      </c>
      <c r="N45" s="22">
        <f t="shared" si="207"/>
        <v>107.88000000000001</v>
      </c>
      <c r="O45" s="22">
        <f t="shared" si="207"/>
        <v>107.88000000000001</v>
      </c>
      <c r="P45" s="22">
        <f t="shared" si="207"/>
        <v>107.88000000000001</v>
      </c>
      <c r="Q45" s="22">
        <f t="shared" si="207"/>
        <v>107.88000000000001</v>
      </c>
      <c r="R45" s="22">
        <f t="shared" si="207"/>
        <v>107.88000000000001</v>
      </c>
      <c r="S45" s="22">
        <f t="shared" si="207"/>
        <v>107.88000000000001</v>
      </c>
      <c r="T45" s="22">
        <f t="shared" si="207"/>
        <v>107.88000000000001</v>
      </c>
      <c r="U45" s="22">
        <f t="shared" si="207"/>
        <v>107.88000000000001</v>
      </c>
      <c r="V45" s="22">
        <f t="shared" si="207"/>
        <v>107.88000000000001</v>
      </c>
      <c r="W45" s="22">
        <f t="shared" si="207"/>
        <v>107.88000000000001</v>
      </c>
      <c r="X45" s="22">
        <f t="shared" si="207"/>
        <v>107.88000000000001</v>
      </c>
      <c r="Y45" s="22">
        <f t="shared" si="207"/>
        <v>107.88000000000001</v>
      </c>
      <c r="Z45" s="22">
        <f t="shared" si="207"/>
        <v>107.88000000000001</v>
      </c>
      <c r="AA45" s="22">
        <f t="shared" si="207"/>
        <v>107.88000000000001</v>
      </c>
      <c r="AB45" s="22">
        <f t="shared" si="207"/>
        <v>107.88000000000001</v>
      </c>
      <c r="AC45" s="22">
        <f t="shared" si="207"/>
        <v>107.88000000000001</v>
      </c>
      <c r="AD45" s="22">
        <f t="shared" si="207"/>
        <v>107.88000000000001</v>
      </c>
      <c r="AE45" s="22">
        <f t="shared" si="207"/>
        <v>107.88000000000001</v>
      </c>
      <c r="AF45" s="22">
        <f t="shared" si="207"/>
        <v>107.88000000000001</v>
      </c>
      <c r="AG45" s="22">
        <f t="shared" si="207"/>
        <v>107.88000000000001</v>
      </c>
      <c r="AH45" s="22">
        <f t="shared" si="207"/>
        <v>134.85000000000002</v>
      </c>
      <c r="AI45" s="22">
        <f t="shared" si="207"/>
        <v>134.85000000000002</v>
      </c>
      <c r="AJ45" s="22">
        <f t="shared" si="207"/>
        <v>134.85000000000002</v>
      </c>
      <c r="AK45" s="23">
        <f t="shared" si="207"/>
        <v>134.85000000000002</v>
      </c>
      <c r="AL45" s="22">
        <f t="shared" si="207"/>
        <v>134.85000000000002</v>
      </c>
      <c r="AM45" s="22">
        <f t="shared" si="207"/>
        <v>134.85000000000002</v>
      </c>
      <c r="AN45" s="22">
        <f t="shared" si="207"/>
        <v>134.85000000000002</v>
      </c>
      <c r="AO45" s="22">
        <f t="shared" si="207"/>
        <v>134.85000000000002</v>
      </c>
      <c r="AP45" s="22">
        <f t="shared" si="207"/>
        <v>134.85000000000002</v>
      </c>
      <c r="AQ45" s="22">
        <f t="shared" si="207"/>
        <v>134.85000000000002</v>
      </c>
      <c r="AR45" s="22">
        <f t="shared" si="207"/>
        <v>134.85000000000002</v>
      </c>
      <c r="AS45" s="22">
        <f t="shared" si="207"/>
        <v>134.85000000000002</v>
      </c>
      <c r="AT45" s="22">
        <f t="shared" si="207"/>
        <v>134.85000000000002</v>
      </c>
      <c r="AU45" s="22">
        <f t="shared" si="207"/>
        <v>134.85000000000002</v>
      </c>
      <c r="AV45" s="22">
        <f t="shared" si="207"/>
        <v>134.85000000000002</v>
      </c>
      <c r="AW45" s="22">
        <f t="shared" si="207"/>
        <v>134.85000000000002</v>
      </c>
      <c r="AX45" s="22">
        <f t="shared" si="207"/>
        <v>134.85000000000002</v>
      </c>
      <c r="AY45" s="22">
        <f t="shared" si="207"/>
        <v>134.85000000000002</v>
      </c>
      <c r="AZ45" s="22">
        <f t="shared" si="207"/>
        <v>134.85000000000002</v>
      </c>
      <c r="BA45" s="22">
        <f t="shared" si="207"/>
        <v>134.85000000000002</v>
      </c>
      <c r="BB45" s="22">
        <f t="shared" si="207"/>
        <v>134.85000000000002</v>
      </c>
      <c r="BC45" s="22">
        <f t="shared" si="207"/>
        <v>134.85000000000002</v>
      </c>
      <c r="BD45" s="22">
        <f t="shared" si="207"/>
        <v>134.85000000000002</v>
      </c>
      <c r="BE45" s="22">
        <f t="shared" si="207"/>
        <v>134.85000000000002</v>
      </c>
      <c r="BF45" s="22">
        <f t="shared" si="207"/>
        <v>134.85000000000002</v>
      </c>
      <c r="BG45" s="22">
        <f t="shared" si="207"/>
        <v>134.85000000000002</v>
      </c>
      <c r="BH45" s="22">
        <f t="shared" si="207"/>
        <v>134.85000000000002</v>
      </c>
      <c r="BI45" s="22">
        <f t="shared" si="207"/>
        <v>134.85000000000002</v>
      </c>
      <c r="BJ45" s="22">
        <f t="shared" si="207"/>
        <v>161.82000000000002</v>
      </c>
      <c r="BK45" s="22">
        <f t="shared" si="207"/>
        <v>161.82000000000002</v>
      </c>
      <c r="BL45" s="22">
        <f t="shared" si="207"/>
        <v>161.82000000000002</v>
      </c>
      <c r="BM45" s="22">
        <f t="shared" si="207"/>
        <v>161.82000000000002</v>
      </c>
      <c r="BN45" s="22">
        <f t="shared" si="207"/>
        <v>161.82000000000002</v>
      </c>
      <c r="BO45" s="22">
        <f t="shared" si="207"/>
        <v>161.82000000000002</v>
      </c>
      <c r="BP45" s="22">
        <f t="shared" si="207"/>
        <v>161.82000000000002</v>
      </c>
      <c r="BQ45" s="22">
        <f t="shared" si="207"/>
        <v>161.82000000000002</v>
      </c>
      <c r="BR45" s="22">
        <f t="shared" si="207"/>
        <v>161.82000000000002</v>
      </c>
      <c r="BS45" s="22">
        <f t="shared" ref="BS45:ED45" si="208">$E$45*BS33</f>
        <v>161.82000000000002</v>
      </c>
      <c r="BT45" s="22">
        <f t="shared" si="208"/>
        <v>161.82000000000002</v>
      </c>
      <c r="BU45" s="22">
        <f t="shared" si="208"/>
        <v>161.82000000000002</v>
      </c>
      <c r="BV45" s="22">
        <f t="shared" si="208"/>
        <v>161.82000000000002</v>
      </c>
      <c r="BW45" s="22">
        <f t="shared" si="208"/>
        <v>161.82000000000002</v>
      </c>
      <c r="BX45" s="22">
        <f t="shared" si="208"/>
        <v>161.82000000000002</v>
      </c>
      <c r="BY45" s="22">
        <f t="shared" si="208"/>
        <v>161.82000000000002</v>
      </c>
      <c r="BZ45" s="22">
        <f t="shared" si="208"/>
        <v>161.82000000000002</v>
      </c>
      <c r="CA45" s="22">
        <f t="shared" si="208"/>
        <v>161.82000000000002</v>
      </c>
      <c r="CB45" s="22">
        <f t="shared" si="208"/>
        <v>161.82000000000002</v>
      </c>
      <c r="CC45" s="22">
        <f t="shared" si="208"/>
        <v>161.82000000000002</v>
      </c>
      <c r="CD45" s="22">
        <f t="shared" si="208"/>
        <v>161.82000000000002</v>
      </c>
      <c r="CE45" s="22">
        <f t="shared" si="208"/>
        <v>161.82000000000002</v>
      </c>
      <c r="CF45" s="22">
        <f t="shared" si="208"/>
        <v>161.82000000000002</v>
      </c>
      <c r="CG45" s="22">
        <f t="shared" si="208"/>
        <v>161.82000000000002</v>
      </c>
      <c r="CH45" s="22">
        <f t="shared" si="208"/>
        <v>161.82000000000002</v>
      </c>
      <c r="CI45" s="22">
        <f t="shared" si="208"/>
        <v>161.82000000000002</v>
      </c>
      <c r="CJ45" s="22">
        <f t="shared" si="208"/>
        <v>161.82000000000002</v>
      </c>
      <c r="CK45" s="22">
        <f t="shared" si="208"/>
        <v>161.82000000000002</v>
      </c>
      <c r="CL45" s="22">
        <f t="shared" si="208"/>
        <v>161.82000000000002</v>
      </c>
      <c r="CM45" s="22">
        <f t="shared" si="208"/>
        <v>161.82000000000002</v>
      </c>
      <c r="CN45" s="22">
        <f t="shared" si="208"/>
        <v>161.82000000000002</v>
      </c>
      <c r="CO45" s="22">
        <f t="shared" si="208"/>
        <v>161.82000000000002</v>
      </c>
      <c r="CP45" s="22">
        <f t="shared" si="208"/>
        <v>161.82000000000002</v>
      </c>
      <c r="CQ45" s="22">
        <f t="shared" si="208"/>
        <v>161.82000000000002</v>
      </c>
      <c r="CR45" s="22">
        <f t="shared" si="208"/>
        <v>161.82000000000002</v>
      </c>
      <c r="CS45" s="22">
        <f t="shared" si="208"/>
        <v>161.82000000000002</v>
      </c>
      <c r="CT45" s="22">
        <f t="shared" si="208"/>
        <v>161.82000000000002</v>
      </c>
      <c r="CU45" s="22">
        <f t="shared" si="208"/>
        <v>161.82000000000002</v>
      </c>
      <c r="CV45" s="22">
        <f t="shared" si="208"/>
        <v>161.82000000000002</v>
      </c>
      <c r="CW45" s="22">
        <f t="shared" si="208"/>
        <v>161.82000000000002</v>
      </c>
      <c r="CX45" s="22">
        <f t="shared" si="208"/>
        <v>161.82000000000002</v>
      </c>
      <c r="CY45" s="22">
        <f t="shared" si="208"/>
        <v>161.82000000000002</v>
      </c>
      <c r="CZ45" s="22">
        <f t="shared" si="208"/>
        <v>161.82000000000002</v>
      </c>
      <c r="DA45" s="22">
        <f t="shared" si="208"/>
        <v>161.82000000000002</v>
      </c>
      <c r="DB45" s="22">
        <f t="shared" si="208"/>
        <v>161.82000000000002</v>
      </c>
      <c r="DC45" s="22">
        <f t="shared" si="208"/>
        <v>161.82000000000002</v>
      </c>
      <c r="DD45" s="22">
        <f t="shared" si="208"/>
        <v>161.82000000000002</v>
      </c>
      <c r="DE45" s="22">
        <f t="shared" si="208"/>
        <v>161.82000000000002</v>
      </c>
      <c r="DF45" s="22">
        <f t="shared" si="208"/>
        <v>161.82000000000002</v>
      </c>
      <c r="DG45" s="22">
        <f t="shared" si="208"/>
        <v>161.82000000000002</v>
      </c>
      <c r="DH45" s="22">
        <f t="shared" si="208"/>
        <v>161.82000000000002</v>
      </c>
      <c r="DI45" s="22">
        <f t="shared" si="208"/>
        <v>161.82000000000002</v>
      </c>
      <c r="DJ45" s="22">
        <f t="shared" si="208"/>
        <v>161.82000000000002</v>
      </c>
      <c r="DK45" s="22">
        <f t="shared" si="208"/>
        <v>161.82000000000002</v>
      </c>
      <c r="DL45" s="22">
        <f t="shared" si="208"/>
        <v>161.82000000000002</v>
      </c>
      <c r="DM45" s="22">
        <f t="shared" si="208"/>
        <v>161.82000000000002</v>
      </c>
      <c r="DN45" s="22">
        <f t="shared" si="208"/>
        <v>161.82000000000002</v>
      </c>
      <c r="DO45" s="22">
        <f t="shared" si="208"/>
        <v>161.82000000000002</v>
      </c>
      <c r="DP45" s="22">
        <f t="shared" si="208"/>
        <v>161.82000000000002</v>
      </c>
      <c r="DQ45" s="22">
        <f t="shared" si="208"/>
        <v>161.82000000000002</v>
      </c>
      <c r="DR45" s="22">
        <f t="shared" si="208"/>
        <v>161.82000000000002</v>
      </c>
      <c r="DS45" s="22">
        <f t="shared" si="208"/>
        <v>161.82000000000002</v>
      </c>
      <c r="DT45" s="22">
        <f t="shared" si="208"/>
        <v>161.82000000000002</v>
      </c>
      <c r="DU45" s="22">
        <f t="shared" si="208"/>
        <v>161.82000000000002</v>
      </c>
      <c r="DV45" s="22">
        <f t="shared" si="208"/>
        <v>161.82000000000002</v>
      </c>
      <c r="DW45" s="22">
        <f t="shared" si="208"/>
        <v>161.82000000000002</v>
      </c>
      <c r="DX45" s="22">
        <f t="shared" si="208"/>
        <v>161.82000000000002</v>
      </c>
      <c r="DY45" s="22">
        <f t="shared" si="208"/>
        <v>161.82000000000002</v>
      </c>
      <c r="DZ45" s="22">
        <f t="shared" si="208"/>
        <v>161.82000000000002</v>
      </c>
      <c r="EA45" s="22">
        <f t="shared" si="208"/>
        <v>161.82000000000002</v>
      </c>
      <c r="EB45" s="22">
        <f t="shared" si="208"/>
        <v>161.82000000000002</v>
      </c>
      <c r="EC45" s="22">
        <f t="shared" si="208"/>
        <v>161.82000000000002</v>
      </c>
      <c r="ED45" s="22">
        <f t="shared" si="208"/>
        <v>161.82000000000002</v>
      </c>
      <c r="EE45" s="22">
        <f t="shared" ref="EE45:GP45" si="209">$E$45*EE33</f>
        <v>161.82000000000002</v>
      </c>
      <c r="EF45" s="22">
        <f t="shared" si="209"/>
        <v>161.82000000000002</v>
      </c>
      <c r="EG45" s="22">
        <f t="shared" si="209"/>
        <v>161.82000000000002</v>
      </c>
      <c r="EH45" s="22">
        <f t="shared" si="209"/>
        <v>161.82000000000002</v>
      </c>
      <c r="EI45" s="22">
        <f t="shared" si="209"/>
        <v>161.82000000000002</v>
      </c>
      <c r="EJ45" s="22">
        <f t="shared" si="209"/>
        <v>161.82000000000002</v>
      </c>
      <c r="EK45" s="22">
        <f t="shared" si="209"/>
        <v>161.82000000000002</v>
      </c>
      <c r="EL45" s="22">
        <f t="shared" si="209"/>
        <v>161.82000000000002</v>
      </c>
      <c r="EM45" s="22">
        <f t="shared" si="209"/>
        <v>161.82000000000002</v>
      </c>
      <c r="EN45" s="22">
        <f t="shared" si="209"/>
        <v>161.82000000000002</v>
      </c>
      <c r="EO45" s="22">
        <f t="shared" si="209"/>
        <v>161.82000000000002</v>
      </c>
      <c r="EP45" s="22">
        <f t="shared" si="209"/>
        <v>161.82000000000002</v>
      </c>
      <c r="EQ45" s="22">
        <f t="shared" si="209"/>
        <v>161.82000000000002</v>
      </c>
      <c r="ER45" s="22">
        <f t="shared" si="209"/>
        <v>161.82000000000002</v>
      </c>
      <c r="ES45" s="22">
        <f t="shared" si="209"/>
        <v>161.82000000000002</v>
      </c>
      <c r="ET45" s="22">
        <f t="shared" si="209"/>
        <v>161.82000000000002</v>
      </c>
      <c r="EU45" s="22">
        <f t="shared" si="209"/>
        <v>161.82000000000002</v>
      </c>
      <c r="EV45" s="22">
        <f t="shared" si="209"/>
        <v>161.82000000000002</v>
      </c>
      <c r="EW45" s="22">
        <f t="shared" si="209"/>
        <v>107.88000000000001</v>
      </c>
      <c r="EX45" s="22">
        <f t="shared" si="209"/>
        <v>107.88000000000001</v>
      </c>
      <c r="EY45" s="22">
        <f t="shared" si="209"/>
        <v>107.88000000000001</v>
      </c>
      <c r="EZ45" s="22">
        <f t="shared" si="209"/>
        <v>107.88000000000001</v>
      </c>
      <c r="FA45" s="22">
        <f t="shared" si="209"/>
        <v>107.88000000000001</v>
      </c>
      <c r="FB45" s="22">
        <f t="shared" si="209"/>
        <v>107.88000000000001</v>
      </c>
      <c r="FC45" s="22">
        <f t="shared" si="209"/>
        <v>107.88000000000001</v>
      </c>
      <c r="FD45" s="22">
        <f t="shared" si="209"/>
        <v>80.910000000000011</v>
      </c>
      <c r="FE45" s="22">
        <f t="shared" si="209"/>
        <v>80.910000000000011</v>
      </c>
      <c r="FF45" s="22">
        <f t="shared" si="209"/>
        <v>80.910000000000011</v>
      </c>
      <c r="FG45" s="22">
        <f t="shared" si="209"/>
        <v>80.910000000000011</v>
      </c>
      <c r="FH45" s="22">
        <f t="shared" si="209"/>
        <v>80.910000000000011</v>
      </c>
      <c r="FI45" s="22">
        <f t="shared" si="209"/>
        <v>80.910000000000011</v>
      </c>
      <c r="FJ45" s="22">
        <f t="shared" si="209"/>
        <v>80.910000000000011</v>
      </c>
      <c r="FK45" s="22">
        <f t="shared" si="209"/>
        <v>80.910000000000011</v>
      </c>
      <c r="FL45" s="22">
        <f t="shared" si="209"/>
        <v>80.910000000000011</v>
      </c>
      <c r="FM45" s="22">
        <f t="shared" si="209"/>
        <v>80.910000000000011</v>
      </c>
      <c r="FN45" s="22">
        <f t="shared" si="209"/>
        <v>80.910000000000011</v>
      </c>
      <c r="FO45" s="22">
        <f t="shared" si="209"/>
        <v>80.910000000000011</v>
      </c>
      <c r="FP45" s="22">
        <f t="shared" si="209"/>
        <v>80.910000000000011</v>
      </c>
      <c r="FQ45" s="22">
        <f t="shared" si="209"/>
        <v>80.910000000000011</v>
      </c>
      <c r="FR45" s="22">
        <f t="shared" si="209"/>
        <v>80.910000000000011</v>
      </c>
      <c r="FS45" s="22">
        <f t="shared" si="209"/>
        <v>80.910000000000011</v>
      </c>
      <c r="FT45" s="22">
        <f t="shared" si="209"/>
        <v>80.910000000000011</v>
      </c>
      <c r="FU45" s="22">
        <f t="shared" si="209"/>
        <v>80.910000000000011</v>
      </c>
      <c r="FV45" s="22">
        <f t="shared" si="209"/>
        <v>80.910000000000011</v>
      </c>
      <c r="FW45" s="22">
        <f t="shared" si="209"/>
        <v>80.910000000000011</v>
      </c>
      <c r="FX45" s="22">
        <f t="shared" si="209"/>
        <v>80.910000000000011</v>
      </c>
      <c r="FY45" s="22">
        <f t="shared" si="209"/>
        <v>80.910000000000011</v>
      </c>
      <c r="FZ45" s="22">
        <f t="shared" si="209"/>
        <v>80.910000000000011</v>
      </c>
      <c r="GA45" s="22">
        <f t="shared" si="209"/>
        <v>80.910000000000011</v>
      </c>
      <c r="GB45" s="22">
        <f t="shared" si="209"/>
        <v>80.910000000000011</v>
      </c>
      <c r="GC45" s="22">
        <f t="shared" si="209"/>
        <v>80.910000000000011</v>
      </c>
      <c r="GD45" s="22">
        <f t="shared" si="209"/>
        <v>80.910000000000011</v>
      </c>
      <c r="GE45" s="22">
        <f t="shared" si="209"/>
        <v>0</v>
      </c>
      <c r="GF45" s="22">
        <f t="shared" si="209"/>
        <v>0</v>
      </c>
      <c r="GG45" s="22">
        <f t="shared" si="209"/>
        <v>0</v>
      </c>
      <c r="GH45" s="22">
        <f t="shared" si="209"/>
        <v>0</v>
      </c>
      <c r="GI45" s="22">
        <f t="shared" si="209"/>
        <v>0</v>
      </c>
      <c r="GJ45" s="22">
        <f t="shared" si="209"/>
        <v>0</v>
      </c>
      <c r="GK45" s="22">
        <f t="shared" si="209"/>
        <v>0</v>
      </c>
      <c r="GL45" s="22">
        <f t="shared" si="209"/>
        <v>0</v>
      </c>
      <c r="GM45" s="22">
        <f t="shared" si="209"/>
        <v>0</v>
      </c>
      <c r="GN45" s="22">
        <f t="shared" si="209"/>
        <v>0</v>
      </c>
      <c r="GO45" s="22">
        <f t="shared" si="209"/>
        <v>0</v>
      </c>
      <c r="GP45" s="22">
        <f t="shared" si="209"/>
        <v>0</v>
      </c>
      <c r="GQ45" s="22">
        <f t="shared" ref="GQ45:JB45" si="210">$E$45*GQ33</f>
        <v>0</v>
      </c>
      <c r="GR45" s="22">
        <f t="shared" si="210"/>
        <v>0</v>
      </c>
      <c r="GS45" s="22">
        <f t="shared" si="210"/>
        <v>0</v>
      </c>
      <c r="GT45" s="22">
        <f t="shared" si="210"/>
        <v>0</v>
      </c>
      <c r="GU45" s="22">
        <f t="shared" si="210"/>
        <v>0</v>
      </c>
      <c r="GV45" s="22">
        <f t="shared" si="210"/>
        <v>0</v>
      </c>
      <c r="GW45" s="22">
        <f t="shared" si="210"/>
        <v>0</v>
      </c>
      <c r="GX45" s="22">
        <f t="shared" si="210"/>
        <v>0</v>
      </c>
      <c r="GY45" s="22">
        <f t="shared" si="210"/>
        <v>0</v>
      </c>
      <c r="GZ45" s="22">
        <f t="shared" si="210"/>
        <v>0</v>
      </c>
      <c r="HA45" s="22">
        <f t="shared" si="210"/>
        <v>0</v>
      </c>
      <c r="HB45" s="22">
        <f t="shared" si="210"/>
        <v>0</v>
      </c>
      <c r="HC45" s="22">
        <f t="shared" si="210"/>
        <v>0</v>
      </c>
      <c r="HD45" s="22">
        <f t="shared" si="210"/>
        <v>0</v>
      </c>
      <c r="HE45" s="22">
        <f t="shared" si="210"/>
        <v>0</v>
      </c>
      <c r="HF45" s="22">
        <f t="shared" si="210"/>
        <v>0</v>
      </c>
      <c r="HG45" s="22">
        <f t="shared" si="210"/>
        <v>0</v>
      </c>
      <c r="HH45" s="22">
        <f t="shared" si="210"/>
        <v>0</v>
      </c>
      <c r="HI45" s="22">
        <f t="shared" si="210"/>
        <v>0</v>
      </c>
      <c r="HJ45" s="22">
        <f t="shared" si="210"/>
        <v>0</v>
      </c>
      <c r="HK45" s="22">
        <f t="shared" si="210"/>
        <v>0</v>
      </c>
      <c r="HL45" s="22">
        <f t="shared" si="210"/>
        <v>0</v>
      </c>
      <c r="HM45" s="22">
        <f t="shared" si="210"/>
        <v>0</v>
      </c>
      <c r="HN45" s="22">
        <f t="shared" si="210"/>
        <v>0</v>
      </c>
      <c r="HO45" s="22">
        <f t="shared" si="210"/>
        <v>0</v>
      </c>
      <c r="HP45" s="22">
        <f t="shared" si="210"/>
        <v>0</v>
      </c>
      <c r="HQ45" s="22">
        <f t="shared" si="210"/>
        <v>0</v>
      </c>
      <c r="HR45" s="22">
        <f t="shared" si="210"/>
        <v>0</v>
      </c>
      <c r="HS45" s="22">
        <f t="shared" si="210"/>
        <v>0</v>
      </c>
      <c r="HT45" s="22">
        <f t="shared" si="210"/>
        <v>0</v>
      </c>
      <c r="HU45" s="22">
        <f t="shared" si="210"/>
        <v>0</v>
      </c>
      <c r="HV45" s="22">
        <f t="shared" si="210"/>
        <v>0</v>
      </c>
      <c r="HW45" s="22">
        <f t="shared" si="210"/>
        <v>0</v>
      </c>
      <c r="HX45" s="22">
        <f t="shared" si="210"/>
        <v>0</v>
      </c>
      <c r="HY45" s="22">
        <f t="shared" si="210"/>
        <v>0</v>
      </c>
      <c r="HZ45" s="22">
        <f t="shared" si="210"/>
        <v>0</v>
      </c>
      <c r="IA45" s="22">
        <f t="shared" si="210"/>
        <v>0</v>
      </c>
      <c r="IB45" s="22">
        <f t="shared" si="210"/>
        <v>0</v>
      </c>
      <c r="IC45" s="22">
        <f t="shared" si="210"/>
        <v>0</v>
      </c>
      <c r="ID45" s="22">
        <f t="shared" si="210"/>
        <v>0</v>
      </c>
      <c r="IE45" s="22">
        <f t="shared" si="210"/>
        <v>0</v>
      </c>
      <c r="IF45" s="22">
        <f t="shared" si="210"/>
        <v>0</v>
      </c>
      <c r="IG45" s="22">
        <f t="shared" si="210"/>
        <v>0</v>
      </c>
      <c r="IH45" s="22">
        <f t="shared" si="210"/>
        <v>0</v>
      </c>
      <c r="II45" s="22">
        <f t="shared" si="210"/>
        <v>0</v>
      </c>
      <c r="IJ45" s="22">
        <f t="shared" si="210"/>
        <v>0</v>
      </c>
      <c r="IK45" s="22">
        <f t="shared" si="210"/>
        <v>0</v>
      </c>
      <c r="IL45" s="22">
        <f t="shared" si="210"/>
        <v>0</v>
      </c>
      <c r="IM45" s="22">
        <f t="shared" si="210"/>
        <v>0</v>
      </c>
      <c r="IN45" s="22">
        <f t="shared" si="210"/>
        <v>0</v>
      </c>
      <c r="IO45" s="22">
        <f t="shared" si="210"/>
        <v>0</v>
      </c>
      <c r="IP45" s="22">
        <f t="shared" si="210"/>
        <v>0</v>
      </c>
      <c r="IQ45" s="22">
        <f t="shared" si="210"/>
        <v>0</v>
      </c>
      <c r="IR45" s="22">
        <f t="shared" si="210"/>
        <v>0</v>
      </c>
      <c r="IS45" s="22">
        <f t="shared" si="210"/>
        <v>0</v>
      </c>
      <c r="IT45" s="22">
        <f t="shared" si="210"/>
        <v>0</v>
      </c>
      <c r="IU45" s="22">
        <f t="shared" si="210"/>
        <v>0</v>
      </c>
      <c r="IV45" s="22">
        <f t="shared" si="210"/>
        <v>0</v>
      </c>
      <c r="IW45" s="22">
        <f t="shared" si="210"/>
        <v>0</v>
      </c>
      <c r="IX45" s="22">
        <f t="shared" si="210"/>
        <v>0</v>
      </c>
      <c r="IY45" s="22">
        <f t="shared" si="210"/>
        <v>0</v>
      </c>
      <c r="IZ45" s="22">
        <f t="shared" si="210"/>
        <v>0</v>
      </c>
      <c r="JA45" s="22">
        <f t="shared" si="210"/>
        <v>0</v>
      </c>
      <c r="JB45" s="22">
        <f t="shared" si="210"/>
        <v>0</v>
      </c>
      <c r="JC45" s="22">
        <f t="shared" ref="JC45:LN45" si="211">$E$45*JC33</f>
        <v>0</v>
      </c>
      <c r="JD45" s="22">
        <f t="shared" si="211"/>
        <v>0</v>
      </c>
      <c r="JE45" s="22">
        <f t="shared" si="211"/>
        <v>0</v>
      </c>
      <c r="JF45" s="22">
        <f t="shared" si="211"/>
        <v>0</v>
      </c>
      <c r="JG45" s="22">
        <f t="shared" si="211"/>
        <v>0</v>
      </c>
      <c r="JH45" s="22">
        <f t="shared" si="211"/>
        <v>0</v>
      </c>
      <c r="JI45" s="22">
        <f t="shared" si="211"/>
        <v>0</v>
      </c>
      <c r="JJ45" s="22">
        <f t="shared" si="211"/>
        <v>0</v>
      </c>
      <c r="JK45" s="22">
        <f t="shared" si="211"/>
        <v>0</v>
      </c>
      <c r="JL45" s="22">
        <f t="shared" si="211"/>
        <v>0</v>
      </c>
      <c r="JM45" s="22">
        <f t="shared" si="211"/>
        <v>0</v>
      </c>
      <c r="JN45" s="22">
        <f t="shared" si="211"/>
        <v>0</v>
      </c>
      <c r="JO45" s="22">
        <f t="shared" si="211"/>
        <v>0</v>
      </c>
      <c r="JP45" s="22">
        <f t="shared" si="211"/>
        <v>0</v>
      </c>
      <c r="JQ45" s="22">
        <f t="shared" si="211"/>
        <v>0</v>
      </c>
      <c r="JR45" s="22">
        <f t="shared" si="211"/>
        <v>0</v>
      </c>
      <c r="JS45" s="22">
        <f t="shared" si="211"/>
        <v>0</v>
      </c>
      <c r="JT45" s="22">
        <f t="shared" si="211"/>
        <v>0</v>
      </c>
      <c r="JU45" s="22">
        <f t="shared" si="211"/>
        <v>0</v>
      </c>
      <c r="JV45" s="22">
        <f t="shared" si="211"/>
        <v>0</v>
      </c>
      <c r="JW45" s="22">
        <f t="shared" si="211"/>
        <v>0</v>
      </c>
      <c r="JX45" s="22">
        <f t="shared" si="211"/>
        <v>0</v>
      </c>
      <c r="JY45" s="22">
        <f t="shared" si="211"/>
        <v>0</v>
      </c>
      <c r="JZ45" s="22">
        <f t="shared" si="211"/>
        <v>0</v>
      </c>
      <c r="KA45" s="22">
        <f t="shared" si="211"/>
        <v>0</v>
      </c>
      <c r="KB45" s="22">
        <f t="shared" si="211"/>
        <v>0</v>
      </c>
      <c r="KC45" s="22">
        <f t="shared" si="211"/>
        <v>0</v>
      </c>
      <c r="KD45" s="22">
        <f t="shared" si="211"/>
        <v>0</v>
      </c>
      <c r="KE45" s="22">
        <f t="shared" si="211"/>
        <v>0</v>
      </c>
      <c r="KF45" s="22">
        <f t="shared" si="211"/>
        <v>0</v>
      </c>
      <c r="KG45" s="22">
        <f t="shared" si="211"/>
        <v>0</v>
      </c>
      <c r="KH45" s="22">
        <f t="shared" si="211"/>
        <v>0</v>
      </c>
      <c r="KI45" s="22">
        <f t="shared" si="211"/>
        <v>0</v>
      </c>
      <c r="KJ45" s="22">
        <f t="shared" si="211"/>
        <v>0</v>
      </c>
      <c r="KK45" s="22">
        <f t="shared" si="211"/>
        <v>0</v>
      </c>
      <c r="KL45" s="22">
        <f t="shared" si="211"/>
        <v>0</v>
      </c>
      <c r="KM45" s="22">
        <f t="shared" si="211"/>
        <v>0</v>
      </c>
      <c r="KN45" s="22">
        <f t="shared" si="211"/>
        <v>0</v>
      </c>
      <c r="KO45" s="22">
        <f t="shared" si="211"/>
        <v>0</v>
      </c>
      <c r="KP45" s="22">
        <f t="shared" si="211"/>
        <v>0</v>
      </c>
      <c r="KQ45" s="22">
        <f t="shared" si="211"/>
        <v>0</v>
      </c>
      <c r="KR45" s="22">
        <f t="shared" si="211"/>
        <v>0</v>
      </c>
      <c r="KS45" s="22">
        <f t="shared" si="211"/>
        <v>0</v>
      </c>
      <c r="KT45" s="22">
        <f t="shared" si="211"/>
        <v>0</v>
      </c>
      <c r="KU45" s="22">
        <f t="shared" si="211"/>
        <v>0</v>
      </c>
      <c r="KV45" s="22">
        <f t="shared" si="211"/>
        <v>0</v>
      </c>
      <c r="KW45" s="22">
        <f t="shared" si="211"/>
        <v>0</v>
      </c>
      <c r="KX45" s="22">
        <f t="shared" si="211"/>
        <v>0</v>
      </c>
      <c r="KY45" s="22">
        <f t="shared" si="211"/>
        <v>0</v>
      </c>
      <c r="KZ45" s="22">
        <f t="shared" si="211"/>
        <v>0</v>
      </c>
      <c r="LA45" s="22">
        <f t="shared" si="211"/>
        <v>0</v>
      </c>
      <c r="LB45" s="22">
        <f t="shared" si="211"/>
        <v>0</v>
      </c>
      <c r="LC45" s="22">
        <f t="shared" si="211"/>
        <v>0</v>
      </c>
      <c r="LD45" s="22">
        <f t="shared" si="211"/>
        <v>0</v>
      </c>
      <c r="LE45" s="22">
        <f t="shared" si="211"/>
        <v>0</v>
      </c>
      <c r="LF45" s="22">
        <f t="shared" si="211"/>
        <v>0</v>
      </c>
      <c r="LG45" s="22">
        <f t="shared" si="211"/>
        <v>0</v>
      </c>
      <c r="LH45" s="22">
        <f t="shared" si="211"/>
        <v>0</v>
      </c>
      <c r="LI45" s="22">
        <f t="shared" si="211"/>
        <v>0</v>
      </c>
      <c r="LJ45" s="22">
        <f t="shared" si="211"/>
        <v>0</v>
      </c>
      <c r="LK45" s="22">
        <f t="shared" si="211"/>
        <v>0</v>
      </c>
      <c r="LL45" s="22">
        <f t="shared" si="211"/>
        <v>0</v>
      </c>
      <c r="LM45" s="22">
        <f t="shared" si="211"/>
        <v>0</v>
      </c>
      <c r="LN45" s="22">
        <f t="shared" si="211"/>
        <v>0</v>
      </c>
      <c r="LO45" s="22">
        <f t="shared" ref="LO45:NZ45" si="212">$E$45*LO33</f>
        <v>0</v>
      </c>
      <c r="LP45" s="22">
        <f t="shared" si="212"/>
        <v>0</v>
      </c>
      <c r="LQ45" s="22">
        <f t="shared" si="212"/>
        <v>0</v>
      </c>
      <c r="LR45" s="22">
        <f t="shared" si="212"/>
        <v>0</v>
      </c>
      <c r="LS45" s="22">
        <f t="shared" si="212"/>
        <v>0</v>
      </c>
      <c r="LT45" s="22">
        <f t="shared" si="212"/>
        <v>0</v>
      </c>
      <c r="LU45" s="22">
        <f t="shared" si="212"/>
        <v>0</v>
      </c>
      <c r="LV45" s="22">
        <f t="shared" si="212"/>
        <v>0</v>
      </c>
      <c r="LW45" s="22">
        <f t="shared" si="212"/>
        <v>0</v>
      </c>
      <c r="LX45" s="22">
        <f t="shared" si="212"/>
        <v>0</v>
      </c>
      <c r="LY45" s="22">
        <f t="shared" si="212"/>
        <v>0</v>
      </c>
      <c r="LZ45" s="22">
        <f t="shared" si="212"/>
        <v>0</v>
      </c>
      <c r="MA45" s="22">
        <f t="shared" si="212"/>
        <v>0</v>
      </c>
      <c r="MB45" s="22">
        <f t="shared" si="212"/>
        <v>0</v>
      </c>
      <c r="MC45" s="22">
        <f t="shared" si="212"/>
        <v>0</v>
      </c>
      <c r="MD45" s="22">
        <f t="shared" si="212"/>
        <v>0</v>
      </c>
      <c r="ME45" s="22">
        <f t="shared" si="212"/>
        <v>0</v>
      </c>
      <c r="MF45" s="22">
        <f t="shared" si="212"/>
        <v>0</v>
      </c>
      <c r="MG45" s="22">
        <f t="shared" si="212"/>
        <v>0</v>
      </c>
      <c r="MH45" s="22">
        <f t="shared" si="212"/>
        <v>0</v>
      </c>
      <c r="MI45" s="22">
        <f t="shared" si="212"/>
        <v>0</v>
      </c>
      <c r="MJ45" s="22">
        <f t="shared" si="212"/>
        <v>0</v>
      </c>
      <c r="MK45" s="22">
        <f t="shared" si="212"/>
        <v>0</v>
      </c>
      <c r="ML45" s="22">
        <f t="shared" si="212"/>
        <v>0</v>
      </c>
      <c r="MM45" s="22">
        <f t="shared" si="212"/>
        <v>0</v>
      </c>
      <c r="MN45" s="22">
        <f t="shared" si="212"/>
        <v>0</v>
      </c>
      <c r="MO45" s="22">
        <f t="shared" si="212"/>
        <v>0</v>
      </c>
      <c r="MP45" s="22">
        <f t="shared" si="212"/>
        <v>0</v>
      </c>
      <c r="MQ45" s="22">
        <f t="shared" si="212"/>
        <v>0</v>
      </c>
      <c r="MR45" s="22">
        <f t="shared" si="212"/>
        <v>0</v>
      </c>
      <c r="MS45" s="22">
        <f t="shared" si="212"/>
        <v>0</v>
      </c>
      <c r="MT45" s="22">
        <f t="shared" si="212"/>
        <v>0</v>
      </c>
      <c r="MU45" s="22">
        <f t="shared" si="212"/>
        <v>0</v>
      </c>
      <c r="MV45" s="22">
        <f t="shared" si="212"/>
        <v>0</v>
      </c>
      <c r="MW45" s="22">
        <f t="shared" si="212"/>
        <v>0</v>
      </c>
      <c r="MX45" s="22">
        <f t="shared" si="212"/>
        <v>0</v>
      </c>
      <c r="MY45" s="22">
        <f t="shared" si="212"/>
        <v>0</v>
      </c>
      <c r="MZ45" s="22">
        <f t="shared" si="212"/>
        <v>0</v>
      </c>
      <c r="NA45" s="22">
        <f t="shared" si="212"/>
        <v>0</v>
      </c>
      <c r="NB45" s="22">
        <f t="shared" si="212"/>
        <v>0</v>
      </c>
      <c r="NC45" s="22">
        <f t="shared" si="212"/>
        <v>0</v>
      </c>
      <c r="ND45" s="22">
        <f t="shared" si="212"/>
        <v>0</v>
      </c>
      <c r="NE45" s="22">
        <f t="shared" si="212"/>
        <v>0</v>
      </c>
      <c r="NF45" s="22">
        <f t="shared" si="212"/>
        <v>0</v>
      </c>
      <c r="NG45" s="22">
        <f t="shared" si="212"/>
        <v>0</v>
      </c>
      <c r="NH45" s="22">
        <f t="shared" si="212"/>
        <v>0</v>
      </c>
      <c r="NI45" s="22">
        <f t="shared" si="212"/>
        <v>0</v>
      </c>
      <c r="NJ45" s="22">
        <f t="shared" si="212"/>
        <v>0</v>
      </c>
      <c r="NK45" s="22">
        <f t="shared" si="212"/>
        <v>0</v>
      </c>
      <c r="NL45" s="22">
        <f t="shared" si="212"/>
        <v>0</v>
      </c>
      <c r="NM45" s="22">
        <f t="shared" si="212"/>
        <v>0</v>
      </c>
      <c r="NN45" s="22">
        <f t="shared" si="212"/>
        <v>0</v>
      </c>
      <c r="NO45" s="22">
        <f t="shared" si="212"/>
        <v>0</v>
      </c>
      <c r="NP45" s="22">
        <f t="shared" si="212"/>
        <v>0</v>
      </c>
      <c r="NQ45" s="22">
        <f t="shared" si="212"/>
        <v>0</v>
      </c>
      <c r="NR45" s="22">
        <f t="shared" si="212"/>
        <v>0</v>
      </c>
      <c r="NS45" s="22">
        <f t="shared" si="212"/>
        <v>0</v>
      </c>
      <c r="NT45" s="22">
        <f t="shared" si="212"/>
        <v>0</v>
      </c>
      <c r="NU45" s="22">
        <f t="shared" si="212"/>
        <v>0</v>
      </c>
      <c r="NV45" s="22">
        <f t="shared" si="212"/>
        <v>0</v>
      </c>
      <c r="NW45" s="22">
        <f t="shared" si="212"/>
        <v>0</v>
      </c>
      <c r="NX45" s="22">
        <f t="shared" si="212"/>
        <v>0</v>
      </c>
      <c r="NY45" s="22">
        <f t="shared" si="212"/>
        <v>0</v>
      </c>
      <c r="NZ45" s="22">
        <f t="shared" si="212"/>
        <v>0</v>
      </c>
      <c r="OA45" s="22">
        <f t="shared" ref="OA45:QL45" si="213">$E$45*OA33</f>
        <v>0</v>
      </c>
      <c r="OB45" s="22">
        <f t="shared" si="213"/>
        <v>0</v>
      </c>
      <c r="OC45" s="22">
        <f t="shared" si="213"/>
        <v>0</v>
      </c>
      <c r="OD45" s="22">
        <f t="shared" si="213"/>
        <v>0</v>
      </c>
      <c r="OE45" s="22">
        <f t="shared" si="213"/>
        <v>0</v>
      </c>
      <c r="OF45" s="22">
        <f t="shared" si="213"/>
        <v>0</v>
      </c>
      <c r="OG45" s="22">
        <f t="shared" si="213"/>
        <v>0</v>
      </c>
      <c r="OH45" s="22">
        <f t="shared" si="213"/>
        <v>0</v>
      </c>
      <c r="OI45" s="22">
        <f t="shared" si="213"/>
        <v>0</v>
      </c>
      <c r="OJ45" s="22">
        <f t="shared" si="213"/>
        <v>0</v>
      </c>
      <c r="OK45" s="22">
        <f t="shared" si="213"/>
        <v>0</v>
      </c>
      <c r="OL45" s="22">
        <f t="shared" si="213"/>
        <v>0</v>
      </c>
      <c r="OM45" s="22">
        <f t="shared" si="213"/>
        <v>0</v>
      </c>
      <c r="ON45" s="22">
        <f t="shared" si="213"/>
        <v>0</v>
      </c>
      <c r="OO45" s="22">
        <f t="shared" si="213"/>
        <v>0</v>
      </c>
      <c r="OP45" s="22">
        <f t="shared" si="213"/>
        <v>0</v>
      </c>
      <c r="OQ45" s="22">
        <f t="shared" si="213"/>
        <v>0</v>
      </c>
      <c r="OR45" s="22">
        <f t="shared" si="213"/>
        <v>0</v>
      </c>
      <c r="OS45" s="22">
        <f t="shared" si="213"/>
        <v>0</v>
      </c>
      <c r="OT45" s="22">
        <f t="shared" si="213"/>
        <v>0</v>
      </c>
      <c r="OU45" s="22">
        <f t="shared" si="213"/>
        <v>0</v>
      </c>
      <c r="OV45" s="22">
        <f t="shared" si="213"/>
        <v>0</v>
      </c>
      <c r="OW45" s="22">
        <f t="shared" si="213"/>
        <v>0</v>
      </c>
      <c r="OX45" s="22">
        <f t="shared" si="213"/>
        <v>0</v>
      </c>
      <c r="OY45" s="22">
        <f t="shared" si="213"/>
        <v>0</v>
      </c>
      <c r="OZ45" s="22">
        <f t="shared" si="213"/>
        <v>0</v>
      </c>
      <c r="PA45" s="22">
        <f t="shared" si="213"/>
        <v>0</v>
      </c>
      <c r="PB45" s="22">
        <f t="shared" si="213"/>
        <v>0</v>
      </c>
      <c r="PC45" s="22">
        <f t="shared" si="213"/>
        <v>0</v>
      </c>
      <c r="PD45" s="22">
        <f t="shared" si="213"/>
        <v>0</v>
      </c>
      <c r="PE45" s="22">
        <f t="shared" si="213"/>
        <v>0</v>
      </c>
      <c r="PF45" s="22">
        <f t="shared" si="213"/>
        <v>0</v>
      </c>
      <c r="PG45" s="22">
        <f t="shared" si="213"/>
        <v>0</v>
      </c>
      <c r="PH45" s="22">
        <f t="shared" si="213"/>
        <v>0</v>
      </c>
      <c r="PI45" s="22">
        <f t="shared" si="213"/>
        <v>0</v>
      </c>
      <c r="PJ45" s="22">
        <f t="shared" si="213"/>
        <v>0</v>
      </c>
      <c r="PK45" s="22">
        <f t="shared" si="213"/>
        <v>0</v>
      </c>
      <c r="PL45" s="22">
        <f t="shared" si="213"/>
        <v>0</v>
      </c>
      <c r="PM45" s="22">
        <f t="shared" si="213"/>
        <v>0</v>
      </c>
      <c r="PN45" s="22">
        <f t="shared" si="213"/>
        <v>0</v>
      </c>
      <c r="PO45" s="22">
        <f t="shared" si="213"/>
        <v>0</v>
      </c>
      <c r="PP45" s="22">
        <f t="shared" si="213"/>
        <v>0</v>
      </c>
      <c r="PQ45" s="22">
        <f t="shared" si="213"/>
        <v>0</v>
      </c>
      <c r="PR45" s="22">
        <f t="shared" si="213"/>
        <v>0</v>
      </c>
      <c r="PS45" s="22">
        <f t="shared" si="213"/>
        <v>0</v>
      </c>
      <c r="PT45" s="22">
        <f t="shared" si="213"/>
        <v>0</v>
      </c>
      <c r="PU45" s="22">
        <f t="shared" si="213"/>
        <v>0</v>
      </c>
      <c r="PV45" s="22">
        <f t="shared" si="213"/>
        <v>0</v>
      </c>
      <c r="PW45" s="22">
        <f t="shared" si="213"/>
        <v>0</v>
      </c>
      <c r="PX45" s="22">
        <f t="shared" si="213"/>
        <v>0</v>
      </c>
      <c r="PY45" s="22">
        <f t="shared" si="213"/>
        <v>0</v>
      </c>
      <c r="PZ45" s="22">
        <f t="shared" si="213"/>
        <v>0</v>
      </c>
      <c r="QA45" s="22">
        <f t="shared" si="213"/>
        <v>0</v>
      </c>
      <c r="QB45" s="22">
        <f t="shared" si="213"/>
        <v>0</v>
      </c>
      <c r="QC45" s="22">
        <f t="shared" si="213"/>
        <v>0</v>
      </c>
      <c r="QD45" s="22">
        <f t="shared" si="213"/>
        <v>0</v>
      </c>
      <c r="QE45" s="22">
        <f t="shared" si="213"/>
        <v>0</v>
      </c>
      <c r="QF45" s="22">
        <f t="shared" si="213"/>
        <v>0</v>
      </c>
      <c r="QG45" s="22">
        <f t="shared" si="213"/>
        <v>0</v>
      </c>
      <c r="QH45" s="22">
        <f t="shared" si="213"/>
        <v>0</v>
      </c>
      <c r="QI45" s="22">
        <f t="shared" si="213"/>
        <v>0</v>
      </c>
      <c r="QJ45" s="22">
        <f t="shared" si="213"/>
        <v>0</v>
      </c>
      <c r="QK45" s="22">
        <f t="shared" si="213"/>
        <v>0</v>
      </c>
      <c r="QL45" s="22">
        <f t="shared" si="213"/>
        <v>0</v>
      </c>
      <c r="QM45" s="22">
        <f t="shared" ref="QM45:SX45" si="214">$E$45*QM33</f>
        <v>0</v>
      </c>
      <c r="QN45" s="22">
        <f t="shared" si="214"/>
        <v>0</v>
      </c>
      <c r="QO45" s="22">
        <f t="shared" si="214"/>
        <v>0</v>
      </c>
      <c r="QP45" s="22">
        <f t="shared" si="214"/>
        <v>0</v>
      </c>
      <c r="QQ45" s="22">
        <f t="shared" si="214"/>
        <v>0</v>
      </c>
      <c r="QR45" s="22">
        <f t="shared" si="214"/>
        <v>0</v>
      </c>
      <c r="QS45" s="22">
        <f t="shared" si="214"/>
        <v>0</v>
      </c>
      <c r="QT45" s="22">
        <f t="shared" si="214"/>
        <v>0</v>
      </c>
      <c r="QU45" s="22">
        <f t="shared" si="214"/>
        <v>0</v>
      </c>
      <c r="QV45" s="22">
        <f t="shared" si="214"/>
        <v>0</v>
      </c>
      <c r="QW45" s="22">
        <f t="shared" si="214"/>
        <v>0</v>
      </c>
      <c r="QX45" s="22">
        <f t="shared" si="214"/>
        <v>0</v>
      </c>
      <c r="QY45" s="22">
        <f t="shared" si="214"/>
        <v>0</v>
      </c>
      <c r="QZ45" s="22">
        <f t="shared" si="214"/>
        <v>0</v>
      </c>
      <c r="RA45" s="22">
        <f t="shared" si="214"/>
        <v>0</v>
      </c>
      <c r="RB45" s="22">
        <f t="shared" si="214"/>
        <v>0</v>
      </c>
      <c r="RC45" s="22">
        <f t="shared" si="214"/>
        <v>0</v>
      </c>
      <c r="RD45" s="22">
        <f t="shared" si="214"/>
        <v>0</v>
      </c>
      <c r="RE45" s="22">
        <f t="shared" si="214"/>
        <v>0</v>
      </c>
      <c r="RF45" s="22">
        <f t="shared" si="214"/>
        <v>0</v>
      </c>
      <c r="RG45" s="22">
        <f t="shared" si="214"/>
        <v>0</v>
      </c>
      <c r="RH45" s="22">
        <f t="shared" si="214"/>
        <v>0</v>
      </c>
      <c r="RI45" s="22">
        <f t="shared" si="214"/>
        <v>0</v>
      </c>
      <c r="RJ45" s="22">
        <f t="shared" si="214"/>
        <v>0</v>
      </c>
      <c r="RK45" s="22">
        <f t="shared" si="214"/>
        <v>0</v>
      </c>
      <c r="RL45" s="22">
        <f t="shared" si="214"/>
        <v>0</v>
      </c>
      <c r="RM45" s="22">
        <f t="shared" si="214"/>
        <v>0</v>
      </c>
      <c r="RN45" s="22">
        <f t="shared" si="214"/>
        <v>0</v>
      </c>
      <c r="RO45" s="22">
        <f t="shared" si="214"/>
        <v>0</v>
      </c>
      <c r="RP45" s="22">
        <f t="shared" si="214"/>
        <v>0</v>
      </c>
      <c r="RQ45" s="22">
        <f t="shared" si="214"/>
        <v>0</v>
      </c>
      <c r="RR45" s="22">
        <f t="shared" si="214"/>
        <v>0</v>
      </c>
      <c r="RS45" s="22">
        <f t="shared" si="214"/>
        <v>0</v>
      </c>
      <c r="RT45" s="22">
        <f t="shared" si="214"/>
        <v>0</v>
      </c>
      <c r="RU45" s="22">
        <f t="shared" si="214"/>
        <v>0</v>
      </c>
      <c r="RV45" s="22">
        <f t="shared" si="214"/>
        <v>0</v>
      </c>
      <c r="RW45" s="22">
        <f t="shared" si="214"/>
        <v>0</v>
      </c>
      <c r="RX45" s="22">
        <f t="shared" si="214"/>
        <v>0</v>
      </c>
      <c r="RY45" s="22">
        <f t="shared" si="214"/>
        <v>0</v>
      </c>
      <c r="RZ45" s="22">
        <f t="shared" si="214"/>
        <v>0</v>
      </c>
      <c r="SA45" s="22">
        <f t="shared" si="214"/>
        <v>0</v>
      </c>
      <c r="SB45" s="22">
        <f t="shared" si="214"/>
        <v>0</v>
      </c>
      <c r="SC45" s="22">
        <f t="shared" si="214"/>
        <v>0</v>
      </c>
      <c r="SD45" s="22">
        <f t="shared" si="214"/>
        <v>0</v>
      </c>
      <c r="SE45" s="22">
        <f t="shared" si="214"/>
        <v>0</v>
      </c>
      <c r="SF45" s="22">
        <f t="shared" si="214"/>
        <v>0</v>
      </c>
      <c r="SG45" s="22">
        <f t="shared" si="214"/>
        <v>0</v>
      </c>
      <c r="SH45" s="22">
        <f t="shared" si="214"/>
        <v>0</v>
      </c>
      <c r="SI45" s="22">
        <f t="shared" si="214"/>
        <v>0</v>
      </c>
      <c r="SJ45" s="22">
        <f t="shared" si="214"/>
        <v>0</v>
      </c>
      <c r="SK45" s="22">
        <f t="shared" si="214"/>
        <v>0</v>
      </c>
      <c r="SL45" s="22">
        <f t="shared" si="214"/>
        <v>0</v>
      </c>
      <c r="SM45" s="22">
        <f t="shared" si="214"/>
        <v>0</v>
      </c>
      <c r="SN45" s="22">
        <f t="shared" si="214"/>
        <v>0</v>
      </c>
      <c r="SO45" s="22">
        <f t="shared" si="214"/>
        <v>0</v>
      </c>
      <c r="SP45" s="22">
        <f t="shared" si="214"/>
        <v>0</v>
      </c>
      <c r="SQ45" s="22">
        <f t="shared" si="214"/>
        <v>0</v>
      </c>
      <c r="SR45" s="22">
        <f t="shared" si="214"/>
        <v>0</v>
      </c>
      <c r="SS45" s="22">
        <f t="shared" si="214"/>
        <v>0</v>
      </c>
      <c r="ST45" s="22">
        <f t="shared" si="214"/>
        <v>0</v>
      </c>
      <c r="SU45" s="22">
        <f t="shared" si="214"/>
        <v>0</v>
      </c>
      <c r="SV45" s="22">
        <f t="shared" si="214"/>
        <v>0</v>
      </c>
      <c r="SW45" s="22">
        <f t="shared" si="214"/>
        <v>0</v>
      </c>
      <c r="SX45" s="22">
        <f t="shared" si="214"/>
        <v>0</v>
      </c>
      <c r="SY45" s="22">
        <f t="shared" ref="SY45:VJ45" si="215">$E$45*SY33</f>
        <v>0</v>
      </c>
      <c r="SZ45" s="22">
        <f t="shared" si="215"/>
        <v>0</v>
      </c>
      <c r="TA45" s="22">
        <f t="shared" si="215"/>
        <v>0</v>
      </c>
      <c r="TB45" s="22">
        <f t="shared" si="215"/>
        <v>0</v>
      </c>
      <c r="TC45" s="22">
        <f t="shared" si="215"/>
        <v>0</v>
      </c>
      <c r="TD45" s="22">
        <f t="shared" si="215"/>
        <v>0</v>
      </c>
      <c r="TE45" s="22">
        <f t="shared" si="215"/>
        <v>0</v>
      </c>
      <c r="TF45" s="22">
        <f t="shared" si="215"/>
        <v>0</v>
      </c>
      <c r="TG45" s="22">
        <f t="shared" si="215"/>
        <v>0</v>
      </c>
      <c r="TH45" s="22">
        <f t="shared" si="215"/>
        <v>0</v>
      </c>
      <c r="TI45" s="22">
        <f t="shared" si="215"/>
        <v>0</v>
      </c>
      <c r="TJ45" s="22">
        <f t="shared" si="215"/>
        <v>0</v>
      </c>
      <c r="TK45" s="22">
        <f t="shared" si="215"/>
        <v>0</v>
      </c>
      <c r="TL45" s="22">
        <f t="shared" si="215"/>
        <v>0</v>
      </c>
      <c r="TM45" s="22">
        <f t="shared" si="215"/>
        <v>0</v>
      </c>
      <c r="TN45" s="22">
        <f t="shared" si="215"/>
        <v>0</v>
      </c>
      <c r="TO45" s="22">
        <f t="shared" si="215"/>
        <v>0</v>
      </c>
      <c r="TP45" s="22">
        <f t="shared" si="215"/>
        <v>0</v>
      </c>
      <c r="TQ45" s="22">
        <f t="shared" si="215"/>
        <v>0</v>
      </c>
      <c r="TR45" s="22">
        <f t="shared" si="215"/>
        <v>0</v>
      </c>
      <c r="TS45" s="22">
        <f t="shared" si="215"/>
        <v>0</v>
      </c>
      <c r="TT45" s="22">
        <f t="shared" si="215"/>
        <v>0</v>
      </c>
      <c r="TU45" s="22">
        <f t="shared" si="215"/>
        <v>0</v>
      </c>
      <c r="TV45" s="22">
        <f t="shared" si="215"/>
        <v>0</v>
      </c>
      <c r="TW45" s="22">
        <f t="shared" si="215"/>
        <v>0</v>
      </c>
      <c r="TX45" s="22">
        <f t="shared" si="215"/>
        <v>0</v>
      </c>
      <c r="TY45" s="22">
        <f t="shared" si="215"/>
        <v>0</v>
      </c>
      <c r="TZ45" s="22">
        <f t="shared" si="215"/>
        <v>0</v>
      </c>
      <c r="UA45" s="22">
        <f t="shared" si="215"/>
        <v>0</v>
      </c>
      <c r="UB45" s="22">
        <f t="shared" si="215"/>
        <v>0</v>
      </c>
      <c r="UC45" s="22">
        <f t="shared" si="215"/>
        <v>0</v>
      </c>
      <c r="UD45" s="22">
        <f t="shared" si="215"/>
        <v>0</v>
      </c>
      <c r="UE45" s="22">
        <f t="shared" si="215"/>
        <v>0</v>
      </c>
      <c r="UF45" s="22">
        <f t="shared" si="215"/>
        <v>0</v>
      </c>
      <c r="UG45" s="22">
        <f t="shared" si="215"/>
        <v>0</v>
      </c>
      <c r="UH45" s="22">
        <f t="shared" si="215"/>
        <v>0</v>
      </c>
      <c r="UI45" s="22">
        <f t="shared" si="215"/>
        <v>0</v>
      </c>
      <c r="UJ45" s="22">
        <f t="shared" si="215"/>
        <v>0</v>
      </c>
      <c r="UK45" s="22">
        <f t="shared" si="215"/>
        <v>0</v>
      </c>
      <c r="UL45" s="22">
        <f t="shared" si="215"/>
        <v>0</v>
      </c>
      <c r="UM45" s="22">
        <f t="shared" si="215"/>
        <v>0</v>
      </c>
      <c r="UN45" s="22">
        <f t="shared" si="215"/>
        <v>0</v>
      </c>
      <c r="UO45" s="22">
        <f t="shared" si="215"/>
        <v>0</v>
      </c>
      <c r="UP45" s="22">
        <f t="shared" si="215"/>
        <v>0</v>
      </c>
      <c r="UQ45" s="22">
        <f t="shared" si="215"/>
        <v>0</v>
      </c>
      <c r="UR45" s="22">
        <f t="shared" si="215"/>
        <v>0</v>
      </c>
      <c r="US45" s="22">
        <f t="shared" si="215"/>
        <v>0</v>
      </c>
      <c r="UT45" s="22">
        <f t="shared" si="215"/>
        <v>0</v>
      </c>
      <c r="UU45" s="22">
        <f t="shared" si="215"/>
        <v>0</v>
      </c>
      <c r="UV45" s="22">
        <f t="shared" si="215"/>
        <v>0</v>
      </c>
      <c r="UW45" s="22">
        <f t="shared" si="215"/>
        <v>0</v>
      </c>
      <c r="UX45" s="22">
        <f t="shared" si="215"/>
        <v>0</v>
      </c>
      <c r="UY45" s="22">
        <f t="shared" si="215"/>
        <v>0</v>
      </c>
      <c r="UZ45" s="22">
        <f t="shared" si="215"/>
        <v>0</v>
      </c>
      <c r="VA45" s="22">
        <f t="shared" si="215"/>
        <v>0</v>
      </c>
      <c r="VB45" s="22">
        <f t="shared" si="215"/>
        <v>0</v>
      </c>
      <c r="VC45" s="22">
        <f t="shared" si="215"/>
        <v>0</v>
      </c>
      <c r="VD45" s="22">
        <f t="shared" si="215"/>
        <v>0</v>
      </c>
      <c r="VE45" s="22">
        <f t="shared" si="215"/>
        <v>0</v>
      </c>
      <c r="VF45" s="22">
        <f t="shared" si="215"/>
        <v>0</v>
      </c>
      <c r="VG45" s="22">
        <f t="shared" si="215"/>
        <v>0</v>
      </c>
      <c r="VH45" s="22">
        <f t="shared" si="215"/>
        <v>0</v>
      </c>
      <c r="VI45" s="22">
        <f t="shared" si="215"/>
        <v>0</v>
      </c>
      <c r="VJ45" s="22">
        <f t="shared" si="215"/>
        <v>0</v>
      </c>
      <c r="VK45" s="22">
        <f t="shared" ref="VK45:XV45" si="216">$E$45*VK33</f>
        <v>0</v>
      </c>
      <c r="VL45" s="22">
        <f t="shared" si="216"/>
        <v>0</v>
      </c>
      <c r="VM45" s="22">
        <f t="shared" si="216"/>
        <v>0</v>
      </c>
      <c r="VN45" s="22">
        <f t="shared" si="216"/>
        <v>0</v>
      </c>
      <c r="VO45" s="22">
        <f t="shared" si="216"/>
        <v>0</v>
      </c>
      <c r="VP45" s="22">
        <f t="shared" si="216"/>
        <v>0</v>
      </c>
      <c r="VQ45" s="22">
        <f t="shared" si="216"/>
        <v>0</v>
      </c>
      <c r="VR45" s="22">
        <f t="shared" si="216"/>
        <v>0</v>
      </c>
      <c r="VS45" s="22">
        <f t="shared" si="216"/>
        <v>0</v>
      </c>
      <c r="VT45" s="22">
        <f t="shared" si="216"/>
        <v>0</v>
      </c>
      <c r="VU45" s="22">
        <f t="shared" si="216"/>
        <v>0</v>
      </c>
      <c r="VV45" s="22">
        <f t="shared" si="216"/>
        <v>0</v>
      </c>
      <c r="VW45" s="22">
        <f t="shared" si="216"/>
        <v>0</v>
      </c>
      <c r="VX45" s="22">
        <f t="shared" si="216"/>
        <v>0</v>
      </c>
      <c r="VY45" s="22">
        <f t="shared" si="216"/>
        <v>0</v>
      </c>
      <c r="VZ45" s="22">
        <f t="shared" si="216"/>
        <v>0</v>
      </c>
      <c r="WA45" s="22">
        <f t="shared" si="216"/>
        <v>0</v>
      </c>
      <c r="WB45" s="22">
        <f t="shared" si="216"/>
        <v>0</v>
      </c>
      <c r="WC45" s="22">
        <f t="shared" si="216"/>
        <v>0</v>
      </c>
      <c r="WD45" s="22">
        <f t="shared" si="216"/>
        <v>0</v>
      </c>
      <c r="WE45" s="22">
        <f t="shared" si="216"/>
        <v>0</v>
      </c>
      <c r="WF45" s="22">
        <f t="shared" si="216"/>
        <v>0</v>
      </c>
      <c r="WG45" s="22">
        <f t="shared" si="216"/>
        <v>0</v>
      </c>
      <c r="WH45" s="22">
        <f t="shared" si="216"/>
        <v>0</v>
      </c>
      <c r="WI45" s="22">
        <f t="shared" si="216"/>
        <v>0</v>
      </c>
      <c r="WJ45" s="22">
        <f t="shared" si="216"/>
        <v>0</v>
      </c>
      <c r="WK45" s="22">
        <f t="shared" si="216"/>
        <v>0</v>
      </c>
      <c r="WL45" s="22">
        <f t="shared" si="216"/>
        <v>0</v>
      </c>
      <c r="WM45" s="22">
        <f t="shared" si="216"/>
        <v>0</v>
      </c>
      <c r="WN45" s="22">
        <f t="shared" si="216"/>
        <v>0</v>
      </c>
      <c r="WO45" s="22">
        <f t="shared" si="216"/>
        <v>0</v>
      </c>
      <c r="WP45" s="22">
        <f t="shared" si="216"/>
        <v>0</v>
      </c>
      <c r="WQ45" s="22">
        <f t="shared" si="216"/>
        <v>0</v>
      </c>
      <c r="WR45" s="22">
        <f t="shared" si="216"/>
        <v>0</v>
      </c>
      <c r="WS45" s="22">
        <f t="shared" si="216"/>
        <v>0</v>
      </c>
      <c r="WT45" s="22">
        <f t="shared" si="216"/>
        <v>0</v>
      </c>
      <c r="WU45" s="22">
        <f t="shared" si="216"/>
        <v>0</v>
      </c>
      <c r="WV45" s="22">
        <f t="shared" si="216"/>
        <v>0</v>
      </c>
      <c r="WW45" s="22">
        <f t="shared" si="216"/>
        <v>0</v>
      </c>
      <c r="WX45" s="22">
        <f t="shared" si="216"/>
        <v>0</v>
      </c>
      <c r="WY45" s="22">
        <f t="shared" si="216"/>
        <v>0</v>
      </c>
      <c r="WZ45" s="22">
        <f t="shared" si="216"/>
        <v>0</v>
      </c>
      <c r="XA45" s="22">
        <f t="shared" si="216"/>
        <v>0</v>
      </c>
      <c r="XB45" s="22">
        <f t="shared" si="216"/>
        <v>0</v>
      </c>
      <c r="XC45" s="22">
        <f t="shared" si="216"/>
        <v>0</v>
      </c>
      <c r="XD45" s="22">
        <f t="shared" si="216"/>
        <v>0</v>
      </c>
      <c r="XE45" s="22">
        <f t="shared" si="216"/>
        <v>0</v>
      </c>
      <c r="XF45" s="22">
        <f t="shared" si="216"/>
        <v>0</v>
      </c>
      <c r="XG45" s="22">
        <f t="shared" si="216"/>
        <v>0</v>
      </c>
      <c r="XH45" s="22">
        <f t="shared" si="216"/>
        <v>0</v>
      </c>
      <c r="XI45" s="22">
        <f t="shared" si="216"/>
        <v>0</v>
      </c>
      <c r="XJ45" s="22">
        <f t="shared" si="216"/>
        <v>0</v>
      </c>
      <c r="XK45" s="22">
        <f t="shared" si="216"/>
        <v>0</v>
      </c>
      <c r="XL45" s="22">
        <f t="shared" si="216"/>
        <v>0</v>
      </c>
      <c r="XM45" s="22">
        <f t="shared" si="216"/>
        <v>0</v>
      </c>
      <c r="XN45" s="22">
        <f t="shared" si="216"/>
        <v>0</v>
      </c>
      <c r="XO45" s="22">
        <f t="shared" si="216"/>
        <v>0</v>
      </c>
      <c r="XP45" s="22">
        <f t="shared" si="216"/>
        <v>0</v>
      </c>
      <c r="XQ45" s="22">
        <f t="shared" si="216"/>
        <v>0</v>
      </c>
      <c r="XR45" s="22">
        <f t="shared" si="216"/>
        <v>0</v>
      </c>
      <c r="XS45" s="22">
        <f t="shared" si="216"/>
        <v>0</v>
      </c>
      <c r="XT45" s="22">
        <f t="shared" si="216"/>
        <v>0</v>
      </c>
      <c r="XU45" s="22">
        <f t="shared" si="216"/>
        <v>0</v>
      </c>
      <c r="XV45" s="22">
        <f t="shared" si="216"/>
        <v>0</v>
      </c>
      <c r="XW45" s="22">
        <f t="shared" ref="XW45:AAH45" si="217">$E$45*XW33</f>
        <v>0</v>
      </c>
      <c r="XX45" s="22">
        <f t="shared" si="217"/>
        <v>0</v>
      </c>
      <c r="XY45" s="22">
        <f t="shared" si="217"/>
        <v>0</v>
      </c>
      <c r="XZ45" s="22">
        <f t="shared" si="217"/>
        <v>0</v>
      </c>
      <c r="YA45" s="22">
        <f t="shared" si="217"/>
        <v>0</v>
      </c>
      <c r="YB45" s="22">
        <f t="shared" si="217"/>
        <v>0</v>
      </c>
      <c r="YC45" s="22">
        <f t="shared" si="217"/>
        <v>0</v>
      </c>
      <c r="YD45" s="22">
        <f t="shared" si="217"/>
        <v>0</v>
      </c>
      <c r="YE45" s="22">
        <f t="shared" si="217"/>
        <v>0</v>
      </c>
      <c r="YF45" s="22">
        <f t="shared" si="217"/>
        <v>0</v>
      </c>
      <c r="YG45" s="22">
        <f t="shared" si="217"/>
        <v>0</v>
      </c>
      <c r="YH45" s="22">
        <f t="shared" si="217"/>
        <v>0</v>
      </c>
      <c r="YI45" s="22">
        <f t="shared" si="217"/>
        <v>0</v>
      </c>
      <c r="YJ45" s="22">
        <f t="shared" si="217"/>
        <v>0</v>
      </c>
      <c r="YK45" s="22">
        <f t="shared" si="217"/>
        <v>0</v>
      </c>
      <c r="YL45" s="22">
        <f t="shared" si="217"/>
        <v>0</v>
      </c>
      <c r="YM45" s="22">
        <f t="shared" si="217"/>
        <v>0</v>
      </c>
      <c r="YN45" s="22">
        <f t="shared" si="217"/>
        <v>0</v>
      </c>
      <c r="YO45" s="22">
        <f t="shared" si="217"/>
        <v>0</v>
      </c>
      <c r="YP45" s="22">
        <f t="shared" si="217"/>
        <v>0</v>
      </c>
      <c r="YQ45" s="22">
        <f t="shared" si="217"/>
        <v>0</v>
      </c>
      <c r="YR45" s="22">
        <f t="shared" si="217"/>
        <v>0</v>
      </c>
      <c r="YS45" s="22">
        <f t="shared" si="217"/>
        <v>0</v>
      </c>
      <c r="YT45" s="22">
        <f t="shared" si="217"/>
        <v>0</v>
      </c>
      <c r="YU45" s="22">
        <f t="shared" si="217"/>
        <v>0</v>
      </c>
      <c r="YV45" s="22">
        <f t="shared" si="217"/>
        <v>0</v>
      </c>
      <c r="YW45" s="22">
        <f t="shared" si="217"/>
        <v>0</v>
      </c>
      <c r="YX45" s="22">
        <f t="shared" si="217"/>
        <v>0</v>
      </c>
      <c r="YY45" s="22">
        <f t="shared" si="217"/>
        <v>0</v>
      </c>
      <c r="YZ45" s="22">
        <f t="shared" si="217"/>
        <v>0</v>
      </c>
      <c r="ZA45" s="22">
        <f t="shared" si="217"/>
        <v>0</v>
      </c>
      <c r="ZB45" s="22">
        <f t="shared" si="217"/>
        <v>0</v>
      </c>
      <c r="ZC45" s="22">
        <f t="shared" si="217"/>
        <v>0</v>
      </c>
      <c r="ZD45" s="22">
        <f t="shared" si="217"/>
        <v>0</v>
      </c>
      <c r="ZE45" s="22">
        <f t="shared" si="217"/>
        <v>0</v>
      </c>
      <c r="ZF45" s="22">
        <f t="shared" si="217"/>
        <v>0</v>
      </c>
      <c r="ZG45" s="22">
        <f t="shared" si="217"/>
        <v>0</v>
      </c>
      <c r="ZH45" s="22">
        <f t="shared" si="217"/>
        <v>0</v>
      </c>
      <c r="ZI45" s="22">
        <f t="shared" si="217"/>
        <v>0</v>
      </c>
      <c r="ZJ45" s="22">
        <f t="shared" si="217"/>
        <v>0</v>
      </c>
      <c r="ZK45" s="22">
        <f t="shared" si="217"/>
        <v>0</v>
      </c>
      <c r="ZL45" s="22">
        <f t="shared" si="217"/>
        <v>0</v>
      </c>
      <c r="ZM45" s="22">
        <f t="shared" si="217"/>
        <v>0</v>
      </c>
      <c r="ZN45" s="22">
        <f t="shared" si="217"/>
        <v>0</v>
      </c>
      <c r="ZO45" s="22">
        <f t="shared" si="217"/>
        <v>0</v>
      </c>
      <c r="ZP45" s="22">
        <f t="shared" si="217"/>
        <v>0</v>
      </c>
      <c r="ZQ45" s="22">
        <f t="shared" si="217"/>
        <v>0</v>
      </c>
      <c r="ZR45" s="22">
        <f t="shared" si="217"/>
        <v>0</v>
      </c>
      <c r="ZS45" s="22">
        <f t="shared" si="217"/>
        <v>0</v>
      </c>
      <c r="ZT45" s="22">
        <f t="shared" si="217"/>
        <v>0</v>
      </c>
      <c r="ZU45" s="22">
        <f t="shared" si="217"/>
        <v>0</v>
      </c>
      <c r="ZV45" s="22">
        <f t="shared" si="217"/>
        <v>0</v>
      </c>
      <c r="ZW45" s="22">
        <f t="shared" si="217"/>
        <v>0</v>
      </c>
      <c r="ZX45" s="22">
        <f t="shared" si="217"/>
        <v>0</v>
      </c>
      <c r="ZY45" s="22">
        <f t="shared" si="217"/>
        <v>0</v>
      </c>
      <c r="ZZ45" s="22">
        <f t="shared" si="217"/>
        <v>0</v>
      </c>
      <c r="AAA45" s="22">
        <f t="shared" si="217"/>
        <v>0</v>
      </c>
      <c r="AAB45" s="22">
        <f t="shared" si="217"/>
        <v>0</v>
      </c>
      <c r="AAC45" s="22">
        <f t="shared" si="217"/>
        <v>0</v>
      </c>
      <c r="AAD45" s="22">
        <f t="shared" si="217"/>
        <v>0</v>
      </c>
      <c r="AAE45" s="22">
        <f t="shared" si="217"/>
        <v>0</v>
      </c>
      <c r="AAF45" s="22">
        <f t="shared" si="217"/>
        <v>0</v>
      </c>
      <c r="AAG45" s="22">
        <f t="shared" si="217"/>
        <v>0</v>
      </c>
      <c r="AAH45" s="22">
        <f t="shared" si="217"/>
        <v>0</v>
      </c>
      <c r="AAI45" s="22">
        <f t="shared" ref="AAI45:ABI45" si="218">$E$45*AAI33</f>
        <v>0</v>
      </c>
      <c r="AAJ45" s="22">
        <f t="shared" si="218"/>
        <v>0</v>
      </c>
      <c r="AAK45" s="22">
        <f t="shared" si="218"/>
        <v>0</v>
      </c>
      <c r="AAL45" s="22">
        <f t="shared" si="218"/>
        <v>0</v>
      </c>
      <c r="AAM45" s="22">
        <f t="shared" si="218"/>
        <v>0</v>
      </c>
      <c r="AAN45" s="22">
        <f t="shared" si="218"/>
        <v>0</v>
      </c>
      <c r="AAO45" s="22">
        <f t="shared" si="218"/>
        <v>0</v>
      </c>
      <c r="AAP45" s="22">
        <f t="shared" si="218"/>
        <v>0</v>
      </c>
      <c r="AAQ45" s="22">
        <f t="shared" si="218"/>
        <v>0</v>
      </c>
      <c r="AAR45" s="22">
        <f t="shared" si="218"/>
        <v>0</v>
      </c>
      <c r="AAS45" s="22">
        <f t="shared" si="218"/>
        <v>0</v>
      </c>
      <c r="AAT45" s="22">
        <f t="shared" si="218"/>
        <v>0</v>
      </c>
      <c r="AAU45" s="22">
        <f t="shared" si="218"/>
        <v>0</v>
      </c>
      <c r="AAV45" s="22">
        <f t="shared" si="218"/>
        <v>0</v>
      </c>
      <c r="AAW45" s="22">
        <f t="shared" si="218"/>
        <v>0</v>
      </c>
      <c r="AAX45" s="22">
        <f t="shared" si="218"/>
        <v>0</v>
      </c>
      <c r="AAY45" s="22">
        <f t="shared" si="218"/>
        <v>0</v>
      </c>
      <c r="AAZ45" s="22">
        <f t="shared" si="218"/>
        <v>0</v>
      </c>
      <c r="ABA45" s="22">
        <f t="shared" si="218"/>
        <v>0</v>
      </c>
      <c r="ABB45" s="22">
        <f t="shared" si="218"/>
        <v>0</v>
      </c>
      <c r="ABC45" s="22">
        <f t="shared" si="218"/>
        <v>0</v>
      </c>
      <c r="ABD45" s="22">
        <f t="shared" si="218"/>
        <v>0</v>
      </c>
      <c r="ABE45" s="22">
        <f t="shared" si="218"/>
        <v>0</v>
      </c>
      <c r="ABF45" s="22">
        <f t="shared" si="218"/>
        <v>0</v>
      </c>
      <c r="ABG45" s="22">
        <f t="shared" si="218"/>
        <v>0</v>
      </c>
      <c r="ABH45" s="22">
        <f t="shared" si="218"/>
        <v>0</v>
      </c>
      <c r="ABI45" s="22">
        <f t="shared" si="218"/>
        <v>0</v>
      </c>
    </row>
    <row r="46" spans="2:737" ht="12.95" customHeight="1" x14ac:dyDescent="0.25">
      <c r="B46" s="18" t="s">
        <v>10</v>
      </c>
      <c r="C46" s="19">
        <f t="shared" si="146"/>
        <v>1683.2999999999947</v>
      </c>
      <c r="D46" s="20" t="s">
        <v>16</v>
      </c>
      <c r="E46" s="21">
        <v>9.3000000000000007</v>
      </c>
      <c r="F46" s="22">
        <f>$E$46*F34</f>
        <v>9.3000000000000007</v>
      </c>
      <c r="G46" s="22">
        <f t="shared" ref="G46:BR46" si="219">$E$46*G34</f>
        <v>9.3000000000000007</v>
      </c>
      <c r="H46" s="23">
        <f t="shared" si="219"/>
        <v>9.3000000000000007</v>
      </c>
      <c r="I46" s="22">
        <f t="shared" si="219"/>
        <v>9.3000000000000007</v>
      </c>
      <c r="J46" s="22">
        <f t="shared" si="219"/>
        <v>9.3000000000000007</v>
      </c>
      <c r="K46" s="22">
        <f t="shared" si="219"/>
        <v>9.3000000000000007</v>
      </c>
      <c r="L46" s="22">
        <f t="shared" si="219"/>
        <v>9.3000000000000007</v>
      </c>
      <c r="M46" s="22">
        <f t="shared" si="219"/>
        <v>9.3000000000000007</v>
      </c>
      <c r="N46" s="22">
        <f t="shared" si="219"/>
        <v>9.3000000000000007</v>
      </c>
      <c r="O46" s="22">
        <f t="shared" si="219"/>
        <v>9.3000000000000007</v>
      </c>
      <c r="P46" s="22">
        <f t="shared" si="219"/>
        <v>9.3000000000000007</v>
      </c>
      <c r="Q46" s="22">
        <f t="shared" si="219"/>
        <v>9.3000000000000007</v>
      </c>
      <c r="R46" s="22">
        <f t="shared" si="219"/>
        <v>9.3000000000000007</v>
      </c>
      <c r="S46" s="22">
        <f t="shared" si="219"/>
        <v>9.3000000000000007</v>
      </c>
      <c r="T46" s="22">
        <f t="shared" si="219"/>
        <v>9.3000000000000007</v>
      </c>
      <c r="U46" s="22">
        <f t="shared" si="219"/>
        <v>9.3000000000000007</v>
      </c>
      <c r="V46" s="22">
        <f t="shared" si="219"/>
        <v>9.3000000000000007</v>
      </c>
      <c r="W46" s="22">
        <f t="shared" si="219"/>
        <v>9.3000000000000007</v>
      </c>
      <c r="X46" s="22">
        <f t="shared" si="219"/>
        <v>9.3000000000000007</v>
      </c>
      <c r="Y46" s="22">
        <f t="shared" si="219"/>
        <v>9.3000000000000007</v>
      </c>
      <c r="Z46" s="22">
        <f t="shared" si="219"/>
        <v>9.3000000000000007</v>
      </c>
      <c r="AA46" s="22">
        <f t="shared" si="219"/>
        <v>9.3000000000000007</v>
      </c>
      <c r="AB46" s="22">
        <f t="shared" si="219"/>
        <v>9.3000000000000007</v>
      </c>
      <c r="AC46" s="22">
        <f t="shared" si="219"/>
        <v>9.3000000000000007</v>
      </c>
      <c r="AD46" s="22">
        <f t="shared" si="219"/>
        <v>9.3000000000000007</v>
      </c>
      <c r="AE46" s="22">
        <f t="shared" si="219"/>
        <v>9.3000000000000007</v>
      </c>
      <c r="AF46" s="22">
        <f t="shared" si="219"/>
        <v>9.3000000000000007</v>
      </c>
      <c r="AG46" s="22">
        <f t="shared" si="219"/>
        <v>9.3000000000000007</v>
      </c>
      <c r="AH46" s="22">
        <f t="shared" si="219"/>
        <v>9.3000000000000007</v>
      </c>
      <c r="AI46" s="22">
        <f t="shared" si="219"/>
        <v>9.3000000000000007</v>
      </c>
      <c r="AJ46" s="22">
        <f t="shared" si="219"/>
        <v>9.3000000000000007</v>
      </c>
      <c r="AK46" s="23">
        <f t="shared" si="219"/>
        <v>9.3000000000000007</v>
      </c>
      <c r="AL46" s="22">
        <f t="shared" si="219"/>
        <v>9.3000000000000007</v>
      </c>
      <c r="AM46" s="22">
        <f t="shared" si="219"/>
        <v>9.3000000000000007</v>
      </c>
      <c r="AN46" s="22">
        <f t="shared" si="219"/>
        <v>9.3000000000000007</v>
      </c>
      <c r="AO46" s="22">
        <f t="shared" si="219"/>
        <v>9.3000000000000007</v>
      </c>
      <c r="AP46" s="22">
        <f t="shared" si="219"/>
        <v>9.3000000000000007</v>
      </c>
      <c r="AQ46" s="22">
        <f t="shared" si="219"/>
        <v>9.3000000000000007</v>
      </c>
      <c r="AR46" s="22">
        <f t="shared" si="219"/>
        <v>9.3000000000000007</v>
      </c>
      <c r="AS46" s="22">
        <f t="shared" si="219"/>
        <v>9.3000000000000007</v>
      </c>
      <c r="AT46" s="22">
        <f t="shared" si="219"/>
        <v>9.3000000000000007</v>
      </c>
      <c r="AU46" s="22">
        <f t="shared" si="219"/>
        <v>9.3000000000000007</v>
      </c>
      <c r="AV46" s="22">
        <f t="shared" si="219"/>
        <v>9.3000000000000007</v>
      </c>
      <c r="AW46" s="22">
        <f t="shared" si="219"/>
        <v>9.3000000000000007</v>
      </c>
      <c r="AX46" s="22">
        <f t="shared" si="219"/>
        <v>9.3000000000000007</v>
      </c>
      <c r="AY46" s="22">
        <f t="shared" si="219"/>
        <v>9.3000000000000007</v>
      </c>
      <c r="AZ46" s="22">
        <f t="shared" si="219"/>
        <v>9.3000000000000007</v>
      </c>
      <c r="BA46" s="22">
        <f t="shared" si="219"/>
        <v>9.3000000000000007</v>
      </c>
      <c r="BB46" s="22">
        <f t="shared" si="219"/>
        <v>9.3000000000000007</v>
      </c>
      <c r="BC46" s="22">
        <f t="shared" si="219"/>
        <v>9.3000000000000007</v>
      </c>
      <c r="BD46" s="22">
        <f t="shared" si="219"/>
        <v>9.3000000000000007</v>
      </c>
      <c r="BE46" s="22">
        <f t="shared" si="219"/>
        <v>9.3000000000000007</v>
      </c>
      <c r="BF46" s="22">
        <f t="shared" si="219"/>
        <v>9.3000000000000007</v>
      </c>
      <c r="BG46" s="22">
        <f t="shared" si="219"/>
        <v>9.3000000000000007</v>
      </c>
      <c r="BH46" s="22">
        <f t="shared" si="219"/>
        <v>9.3000000000000007</v>
      </c>
      <c r="BI46" s="22">
        <f t="shared" si="219"/>
        <v>9.3000000000000007</v>
      </c>
      <c r="BJ46" s="22">
        <f t="shared" si="219"/>
        <v>9.3000000000000007</v>
      </c>
      <c r="BK46" s="22">
        <f t="shared" si="219"/>
        <v>9.3000000000000007</v>
      </c>
      <c r="BL46" s="22">
        <f t="shared" si="219"/>
        <v>9.3000000000000007</v>
      </c>
      <c r="BM46" s="22">
        <f t="shared" si="219"/>
        <v>9.3000000000000007</v>
      </c>
      <c r="BN46" s="22">
        <f t="shared" si="219"/>
        <v>9.3000000000000007</v>
      </c>
      <c r="BO46" s="22">
        <f t="shared" si="219"/>
        <v>9.3000000000000007</v>
      </c>
      <c r="BP46" s="22">
        <f t="shared" si="219"/>
        <v>9.3000000000000007</v>
      </c>
      <c r="BQ46" s="22">
        <f t="shared" si="219"/>
        <v>9.3000000000000007</v>
      </c>
      <c r="BR46" s="22">
        <f t="shared" si="219"/>
        <v>9.3000000000000007</v>
      </c>
      <c r="BS46" s="22">
        <f t="shared" ref="BS46:ED46" si="220">$E$46*BS34</f>
        <v>9.3000000000000007</v>
      </c>
      <c r="BT46" s="22">
        <f t="shared" si="220"/>
        <v>9.3000000000000007</v>
      </c>
      <c r="BU46" s="22">
        <f t="shared" si="220"/>
        <v>9.3000000000000007</v>
      </c>
      <c r="BV46" s="22">
        <f t="shared" si="220"/>
        <v>9.3000000000000007</v>
      </c>
      <c r="BW46" s="22">
        <f t="shared" si="220"/>
        <v>9.3000000000000007</v>
      </c>
      <c r="BX46" s="22">
        <f t="shared" si="220"/>
        <v>9.3000000000000007</v>
      </c>
      <c r="BY46" s="22">
        <f t="shared" si="220"/>
        <v>9.3000000000000007</v>
      </c>
      <c r="BZ46" s="22">
        <f t="shared" si="220"/>
        <v>9.3000000000000007</v>
      </c>
      <c r="CA46" s="22">
        <f t="shared" si="220"/>
        <v>9.3000000000000007</v>
      </c>
      <c r="CB46" s="22">
        <f t="shared" si="220"/>
        <v>9.3000000000000007</v>
      </c>
      <c r="CC46" s="22">
        <f t="shared" si="220"/>
        <v>9.3000000000000007</v>
      </c>
      <c r="CD46" s="22">
        <f t="shared" si="220"/>
        <v>9.3000000000000007</v>
      </c>
      <c r="CE46" s="22">
        <f t="shared" si="220"/>
        <v>9.3000000000000007</v>
      </c>
      <c r="CF46" s="22">
        <f t="shared" si="220"/>
        <v>9.3000000000000007</v>
      </c>
      <c r="CG46" s="22">
        <f t="shared" si="220"/>
        <v>9.3000000000000007</v>
      </c>
      <c r="CH46" s="22">
        <f t="shared" si="220"/>
        <v>9.3000000000000007</v>
      </c>
      <c r="CI46" s="22">
        <f t="shared" si="220"/>
        <v>9.3000000000000007</v>
      </c>
      <c r="CJ46" s="22">
        <f t="shared" si="220"/>
        <v>9.3000000000000007</v>
      </c>
      <c r="CK46" s="22">
        <f t="shared" si="220"/>
        <v>9.3000000000000007</v>
      </c>
      <c r="CL46" s="22">
        <f t="shared" si="220"/>
        <v>9.3000000000000007</v>
      </c>
      <c r="CM46" s="22">
        <f t="shared" si="220"/>
        <v>9.3000000000000007</v>
      </c>
      <c r="CN46" s="22">
        <f t="shared" si="220"/>
        <v>9.3000000000000007</v>
      </c>
      <c r="CO46" s="22">
        <f t="shared" si="220"/>
        <v>9.3000000000000007</v>
      </c>
      <c r="CP46" s="22">
        <f t="shared" si="220"/>
        <v>9.3000000000000007</v>
      </c>
      <c r="CQ46" s="22">
        <f t="shared" si="220"/>
        <v>9.3000000000000007</v>
      </c>
      <c r="CR46" s="22">
        <f t="shared" si="220"/>
        <v>9.3000000000000007</v>
      </c>
      <c r="CS46" s="22">
        <f t="shared" si="220"/>
        <v>9.3000000000000007</v>
      </c>
      <c r="CT46" s="22">
        <f t="shared" si="220"/>
        <v>9.3000000000000007</v>
      </c>
      <c r="CU46" s="22">
        <f t="shared" si="220"/>
        <v>9.3000000000000007</v>
      </c>
      <c r="CV46" s="22">
        <f t="shared" si="220"/>
        <v>9.3000000000000007</v>
      </c>
      <c r="CW46" s="22">
        <f t="shared" si="220"/>
        <v>9.3000000000000007</v>
      </c>
      <c r="CX46" s="22">
        <f t="shared" si="220"/>
        <v>9.3000000000000007</v>
      </c>
      <c r="CY46" s="22">
        <f t="shared" si="220"/>
        <v>9.3000000000000007</v>
      </c>
      <c r="CZ46" s="22">
        <f t="shared" si="220"/>
        <v>9.3000000000000007</v>
      </c>
      <c r="DA46" s="22">
        <f t="shared" si="220"/>
        <v>9.3000000000000007</v>
      </c>
      <c r="DB46" s="22">
        <f t="shared" si="220"/>
        <v>9.3000000000000007</v>
      </c>
      <c r="DC46" s="22">
        <f t="shared" si="220"/>
        <v>9.3000000000000007</v>
      </c>
      <c r="DD46" s="22">
        <f t="shared" si="220"/>
        <v>9.3000000000000007</v>
      </c>
      <c r="DE46" s="22">
        <f t="shared" si="220"/>
        <v>9.3000000000000007</v>
      </c>
      <c r="DF46" s="22">
        <f t="shared" si="220"/>
        <v>9.3000000000000007</v>
      </c>
      <c r="DG46" s="22">
        <f t="shared" si="220"/>
        <v>9.3000000000000007</v>
      </c>
      <c r="DH46" s="22">
        <f t="shared" si="220"/>
        <v>9.3000000000000007</v>
      </c>
      <c r="DI46" s="22">
        <f t="shared" si="220"/>
        <v>9.3000000000000007</v>
      </c>
      <c r="DJ46" s="22">
        <f t="shared" si="220"/>
        <v>9.3000000000000007</v>
      </c>
      <c r="DK46" s="22">
        <f t="shared" si="220"/>
        <v>9.3000000000000007</v>
      </c>
      <c r="DL46" s="22">
        <f t="shared" si="220"/>
        <v>9.3000000000000007</v>
      </c>
      <c r="DM46" s="22">
        <f t="shared" si="220"/>
        <v>9.3000000000000007</v>
      </c>
      <c r="DN46" s="22">
        <f t="shared" si="220"/>
        <v>9.3000000000000007</v>
      </c>
      <c r="DO46" s="22">
        <f t="shared" si="220"/>
        <v>9.3000000000000007</v>
      </c>
      <c r="DP46" s="22">
        <f t="shared" si="220"/>
        <v>9.3000000000000007</v>
      </c>
      <c r="DQ46" s="22">
        <f t="shared" si="220"/>
        <v>9.3000000000000007</v>
      </c>
      <c r="DR46" s="22">
        <f t="shared" si="220"/>
        <v>9.3000000000000007</v>
      </c>
      <c r="DS46" s="22">
        <f t="shared" si="220"/>
        <v>9.3000000000000007</v>
      </c>
      <c r="DT46" s="22">
        <f t="shared" si="220"/>
        <v>9.3000000000000007</v>
      </c>
      <c r="DU46" s="22">
        <f t="shared" si="220"/>
        <v>9.3000000000000007</v>
      </c>
      <c r="DV46" s="22">
        <f t="shared" si="220"/>
        <v>9.3000000000000007</v>
      </c>
      <c r="DW46" s="22">
        <f t="shared" si="220"/>
        <v>9.3000000000000007</v>
      </c>
      <c r="DX46" s="22">
        <f t="shared" si="220"/>
        <v>9.3000000000000007</v>
      </c>
      <c r="DY46" s="22">
        <f t="shared" si="220"/>
        <v>9.3000000000000007</v>
      </c>
      <c r="DZ46" s="22">
        <f t="shared" si="220"/>
        <v>9.3000000000000007</v>
      </c>
      <c r="EA46" s="22">
        <f t="shared" si="220"/>
        <v>9.3000000000000007</v>
      </c>
      <c r="EB46" s="22">
        <f t="shared" si="220"/>
        <v>9.3000000000000007</v>
      </c>
      <c r="EC46" s="22">
        <f t="shared" si="220"/>
        <v>9.3000000000000007</v>
      </c>
      <c r="ED46" s="22">
        <f t="shared" si="220"/>
        <v>9.3000000000000007</v>
      </c>
      <c r="EE46" s="22">
        <f t="shared" ref="EE46:GP46" si="221">$E$46*EE34</f>
        <v>9.3000000000000007</v>
      </c>
      <c r="EF46" s="22">
        <f t="shared" si="221"/>
        <v>9.3000000000000007</v>
      </c>
      <c r="EG46" s="22">
        <f t="shared" si="221"/>
        <v>9.3000000000000007</v>
      </c>
      <c r="EH46" s="22">
        <f t="shared" si="221"/>
        <v>9.3000000000000007</v>
      </c>
      <c r="EI46" s="22">
        <f t="shared" si="221"/>
        <v>9.3000000000000007</v>
      </c>
      <c r="EJ46" s="22">
        <f t="shared" si="221"/>
        <v>9.3000000000000007</v>
      </c>
      <c r="EK46" s="22">
        <f t="shared" si="221"/>
        <v>9.3000000000000007</v>
      </c>
      <c r="EL46" s="22">
        <f t="shared" si="221"/>
        <v>9.3000000000000007</v>
      </c>
      <c r="EM46" s="22">
        <f t="shared" si="221"/>
        <v>9.3000000000000007</v>
      </c>
      <c r="EN46" s="22">
        <f t="shared" si="221"/>
        <v>9.3000000000000007</v>
      </c>
      <c r="EO46" s="22">
        <f t="shared" si="221"/>
        <v>9.3000000000000007</v>
      </c>
      <c r="EP46" s="22">
        <f t="shared" si="221"/>
        <v>9.3000000000000007</v>
      </c>
      <c r="EQ46" s="22">
        <f t="shared" si="221"/>
        <v>9.3000000000000007</v>
      </c>
      <c r="ER46" s="22">
        <f t="shared" si="221"/>
        <v>9.3000000000000007</v>
      </c>
      <c r="ES46" s="22">
        <f t="shared" si="221"/>
        <v>9.3000000000000007</v>
      </c>
      <c r="ET46" s="22">
        <f t="shared" si="221"/>
        <v>9.3000000000000007</v>
      </c>
      <c r="EU46" s="22">
        <f t="shared" si="221"/>
        <v>9.3000000000000007</v>
      </c>
      <c r="EV46" s="22">
        <f t="shared" si="221"/>
        <v>9.3000000000000007</v>
      </c>
      <c r="EW46" s="22">
        <f t="shared" si="221"/>
        <v>9.3000000000000007</v>
      </c>
      <c r="EX46" s="22">
        <f t="shared" si="221"/>
        <v>9.3000000000000007</v>
      </c>
      <c r="EY46" s="22">
        <f t="shared" si="221"/>
        <v>9.3000000000000007</v>
      </c>
      <c r="EZ46" s="22">
        <f t="shared" si="221"/>
        <v>9.3000000000000007</v>
      </c>
      <c r="FA46" s="22">
        <f t="shared" si="221"/>
        <v>9.3000000000000007</v>
      </c>
      <c r="FB46" s="22">
        <f t="shared" si="221"/>
        <v>9.3000000000000007</v>
      </c>
      <c r="FC46" s="22">
        <f t="shared" si="221"/>
        <v>9.3000000000000007</v>
      </c>
      <c r="FD46" s="22">
        <f t="shared" si="221"/>
        <v>9.3000000000000007</v>
      </c>
      <c r="FE46" s="22">
        <f t="shared" si="221"/>
        <v>9.3000000000000007</v>
      </c>
      <c r="FF46" s="22">
        <f t="shared" si="221"/>
        <v>9.3000000000000007</v>
      </c>
      <c r="FG46" s="22">
        <f t="shared" si="221"/>
        <v>9.3000000000000007</v>
      </c>
      <c r="FH46" s="22">
        <f t="shared" si="221"/>
        <v>9.3000000000000007</v>
      </c>
      <c r="FI46" s="22">
        <f t="shared" si="221"/>
        <v>9.3000000000000007</v>
      </c>
      <c r="FJ46" s="22">
        <f t="shared" si="221"/>
        <v>9.3000000000000007</v>
      </c>
      <c r="FK46" s="22">
        <f t="shared" si="221"/>
        <v>9.3000000000000007</v>
      </c>
      <c r="FL46" s="22">
        <f t="shared" si="221"/>
        <v>9.3000000000000007</v>
      </c>
      <c r="FM46" s="22">
        <f t="shared" si="221"/>
        <v>9.3000000000000007</v>
      </c>
      <c r="FN46" s="22">
        <f t="shared" si="221"/>
        <v>9.3000000000000007</v>
      </c>
      <c r="FO46" s="22">
        <f t="shared" si="221"/>
        <v>9.3000000000000007</v>
      </c>
      <c r="FP46" s="22">
        <f t="shared" si="221"/>
        <v>9.3000000000000007</v>
      </c>
      <c r="FQ46" s="22">
        <f t="shared" si="221"/>
        <v>9.3000000000000007</v>
      </c>
      <c r="FR46" s="22">
        <f t="shared" si="221"/>
        <v>9.3000000000000007</v>
      </c>
      <c r="FS46" s="22">
        <f t="shared" si="221"/>
        <v>9.3000000000000007</v>
      </c>
      <c r="FT46" s="22">
        <f t="shared" si="221"/>
        <v>9.3000000000000007</v>
      </c>
      <c r="FU46" s="22">
        <f t="shared" si="221"/>
        <v>9.3000000000000007</v>
      </c>
      <c r="FV46" s="22">
        <f t="shared" si="221"/>
        <v>9.3000000000000007</v>
      </c>
      <c r="FW46" s="22">
        <f t="shared" si="221"/>
        <v>9.3000000000000007</v>
      </c>
      <c r="FX46" s="22">
        <f t="shared" si="221"/>
        <v>9.3000000000000007</v>
      </c>
      <c r="FY46" s="22">
        <f t="shared" si="221"/>
        <v>9.3000000000000007</v>
      </c>
      <c r="FZ46" s="22">
        <f t="shared" si="221"/>
        <v>9.3000000000000007</v>
      </c>
      <c r="GA46" s="22">
        <f t="shared" si="221"/>
        <v>9.3000000000000007</v>
      </c>
      <c r="GB46" s="22">
        <f t="shared" si="221"/>
        <v>9.3000000000000007</v>
      </c>
      <c r="GC46" s="22">
        <f t="shared" si="221"/>
        <v>9.3000000000000007</v>
      </c>
      <c r="GD46" s="22">
        <f t="shared" si="221"/>
        <v>9.3000000000000007</v>
      </c>
      <c r="GE46" s="22">
        <f t="shared" si="221"/>
        <v>0</v>
      </c>
      <c r="GF46" s="22">
        <f t="shared" si="221"/>
        <v>0</v>
      </c>
      <c r="GG46" s="22">
        <f t="shared" si="221"/>
        <v>0</v>
      </c>
      <c r="GH46" s="22">
        <f t="shared" si="221"/>
        <v>0</v>
      </c>
      <c r="GI46" s="22">
        <f t="shared" si="221"/>
        <v>0</v>
      </c>
      <c r="GJ46" s="22">
        <f t="shared" si="221"/>
        <v>0</v>
      </c>
      <c r="GK46" s="22">
        <f t="shared" si="221"/>
        <v>0</v>
      </c>
      <c r="GL46" s="22">
        <f t="shared" si="221"/>
        <v>0</v>
      </c>
      <c r="GM46" s="22">
        <f t="shared" si="221"/>
        <v>0</v>
      </c>
      <c r="GN46" s="22">
        <f t="shared" si="221"/>
        <v>0</v>
      </c>
      <c r="GO46" s="22">
        <f t="shared" si="221"/>
        <v>0</v>
      </c>
      <c r="GP46" s="22">
        <f t="shared" si="221"/>
        <v>0</v>
      </c>
      <c r="GQ46" s="22">
        <f t="shared" ref="GQ46:JB46" si="222">$E$46*GQ34</f>
        <v>0</v>
      </c>
      <c r="GR46" s="22">
        <f t="shared" si="222"/>
        <v>0</v>
      </c>
      <c r="GS46" s="22">
        <f t="shared" si="222"/>
        <v>0</v>
      </c>
      <c r="GT46" s="22">
        <f t="shared" si="222"/>
        <v>0</v>
      </c>
      <c r="GU46" s="22">
        <f t="shared" si="222"/>
        <v>0</v>
      </c>
      <c r="GV46" s="22">
        <f t="shared" si="222"/>
        <v>0</v>
      </c>
      <c r="GW46" s="22">
        <f t="shared" si="222"/>
        <v>0</v>
      </c>
      <c r="GX46" s="22">
        <f t="shared" si="222"/>
        <v>0</v>
      </c>
      <c r="GY46" s="22">
        <f t="shared" si="222"/>
        <v>0</v>
      </c>
      <c r="GZ46" s="22">
        <f t="shared" si="222"/>
        <v>0</v>
      </c>
      <c r="HA46" s="22">
        <f t="shared" si="222"/>
        <v>0</v>
      </c>
      <c r="HB46" s="22">
        <f t="shared" si="222"/>
        <v>0</v>
      </c>
      <c r="HC46" s="22">
        <f t="shared" si="222"/>
        <v>0</v>
      </c>
      <c r="HD46" s="22">
        <f t="shared" si="222"/>
        <v>0</v>
      </c>
      <c r="HE46" s="22">
        <f t="shared" si="222"/>
        <v>0</v>
      </c>
      <c r="HF46" s="22">
        <f t="shared" si="222"/>
        <v>0</v>
      </c>
      <c r="HG46" s="22">
        <f t="shared" si="222"/>
        <v>0</v>
      </c>
      <c r="HH46" s="22">
        <f t="shared" si="222"/>
        <v>0</v>
      </c>
      <c r="HI46" s="22">
        <f t="shared" si="222"/>
        <v>0</v>
      </c>
      <c r="HJ46" s="22">
        <f t="shared" si="222"/>
        <v>0</v>
      </c>
      <c r="HK46" s="22">
        <f t="shared" si="222"/>
        <v>0</v>
      </c>
      <c r="HL46" s="22">
        <f t="shared" si="222"/>
        <v>0</v>
      </c>
      <c r="HM46" s="22">
        <f t="shared" si="222"/>
        <v>0</v>
      </c>
      <c r="HN46" s="22">
        <f t="shared" si="222"/>
        <v>0</v>
      </c>
      <c r="HO46" s="22">
        <f t="shared" si="222"/>
        <v>0</v>
      </c>
      <c r="HP46" s="22">
        <f t="shared" si="222"/>
        <v>0</v>
      </c>
      <c r="HQ46" s="22">
        <f t="shared" si="222"/>
        <v>0</v>
      </c>
      <c r="HR46" s="22">
        <f t="shared" si="222"/>
        <v>0</v>
      </c>
      <c r="HS46" s="22">
        <f t="shared" si="222"/>
        <v>0</v>
      </c>
      <c r="HT46" s="22">
        <f t="shared" si="222"/>
        <v>0</v>
      </c>
      <c r="HU46" s="22">
        <f t="shared" si="222"/>
        <v>0</v>
      </c>
      <c r="HV46" s="22">
        <f t="shared" si="222"/>
        <v>0</v>
      </c>
      <c r="HW46" s="22">
        <f t="shared" si="222"/>
        <v>0</v>
      </c>
      <c r="HX46" s="22">
        <f t="shared" si="222"/>
        <v>0</v>
      </c>
      <c r="HY46" s="22">
        <f t="shared" si="222"/>
        <v>0</v>
      </c>
      <c r="HZ46" s="22">
        <f t="shared" si="222"/>
        <v>0</v>
      </c>
      <c r="IA46" s="22">
        <f t="shared" si="222"/>
        <v>0</v>
      </c>
      <c r="IB46" s="22">
        <f t="shared" si="222"/>
        <v>0</v>
      </c>
      <c r="IC46" s="22">
        <f t="shared" si="222"/>
        <v>0</v>
      </c>
      <c r="ID46" s="22">
        <f t="shared" si="222"/>
        <v>0</v>
      </c>
      <c r="IE46" s="22">
        <f t="shared" si="222"/>
        <v>0</v>
      </c>
      <c r="IF46" s="22">
        <f t="shared" si="222"/>
        <v>0</v>
      </c>
      <c r="IG46" s="22">
        <f t="shared" si="222"/>
        <v>0</v>
      </c>
      <c r="IH46" s="22">
        <f t="shared" si="222"/>
        <v>0</v>
      </c>
      <c r="II46" s="22">
        <f t="shared" si="222"/>
        <v>0</v>
      </c>
      <c r="IJ46" s="22">
        <f t="shared" si="222"/>
        <v>0</v>
      </c>
      <c r="IK46" s="22">
        <f t="shared" si="222"/>
        <v>0</v>
      </c>
      <c r="IL46" s="22">
        <f t="shared" si="222"/>
        <v>0</v>
      </c>
      <c r="IM46" s="22">
        <f t="shared" si="222"/>
        <v>0</v>
      </c>
      <c r="IN46" s="22">
        <f t="shared" si="222"/>
        <v>0</v>
      </c>
      <c r="IO46" s="22">
        <f t="shared" si="222"/>
        <v>0</v>
      </c>
      <c r="IP46" s="22">
        <f t="shared" si="222"/>
        <v>0</v>
      </c>
      <c r="IQ46" s="22">
        <f t="shared" si="222"/>
        <v>0</v>
      </c>
      <c r="IR46" s="22">
        <f t="shared" si="222"/>
        <v>0</v>
      </c>
      <c r="IS46" s="22">
        <f t="shared" si="222"/>
        <v>0</v>
      </c>
      <c r="IT46" s="22">
        <f t="shared" si="222"/>
        <v>0</v>
      </c>
      <c r="IU46" s="22">
        <f t="shared" si="222"/>
        <v>0</v>
      </c>
      <c r="IV46" s="22">
        <f t="shared" si="222"/>
        <v>0</v>
      </c>
      <c r="IW46" s="22">
        <f t="shared" si="222"/>
        <v>0</v>
      </c>
      <c r="IX46" s="22">
        <f t="shared" si="222"/>
        <v>0</v>
      </c>
      <c r="IY46" s="22">
        <f t="shared" si="222"/>
        <v>0</v>
      </c>
      <c r="IZ46" s="22">
        <f t="shared" si="222"/>
        <v>0</v>
      </c>
      <c r="JA46" s="22">
        <f t="shared" si="222"/>
        <v>0</v>
      </c>
      <c r="JB46" s="22">
        <f t="shared" si="222"/>
        <v>0</v>
      </c>
      <c r="JC46" s="22">
        <f t="shared" ref="JC46:LN46" si="223">$E$46*JC34</f>
        <v>0</v>
      </c>
      <c r="JD46" s="22">
        <f t="shared" si="223"/>
        <v>0</v>
      </c>
      <c r="JE46" s="22">
        <f t="shared" si="223"/>
        <v>0</v>
      </c>
      <c r="JF46" s="22">
        <f t="shared" si="223"/>
        <v>0</v>
      </c>
      <c r="JG46" s="22">
        <f t="shared" si="223"/>
        <v>0</v>
      </c>
      <c r="JH46" s="22">
        <f t="shared" si="223"/>
        <v>0</v>
      </c>
      <c r="JI46" s="22">
        <f t="shared" si="223"/>
        <v>0</v>
      </c>
      <c r="JJ46" s="22">
        <f t="shared" si="223"/>
        <v>0</v>
      </c>
      <c r="JK46" s="22">
        <f t="shared" si="223"/>
        <v>0</v>
      </c>
      <c r="JL46" s="22">
        <f t="shared" si="223"/>
        <v>0</v>
      </c>
      <c r="JM46" s="22">
        <f t="shared" si="223"/>
        <v>0</v>
      </c>
      <c r="JN46" s="22">
        <f t="shared" si="223"/>
        <v>0</v>
      </c>
      <c r="JO46" s="22">
        <f t="shared" si="223"/>
        <v>0</v>
      </c>
      <c r="JP46" s="22">
        <f t="shared" si="223"/>
        <v>0</v>
      </c>
      <c r="JQ46" s="22">
        <f t="shared" si="223"/>
        <v>0</v>
      </c>
      <c r="JR46" s="22">
        <f t="shared" si="223"/>
        <v>0</v>
      </c>
      <c r="JS46" s="22">
        <f t="shared" si="223"/>
        <v>0</v>
      </c>
      <c r="JT46" s="22">
        <f t="shared" si="223"/>
        <v>0</v>
      </c>
      <c r="JU46" s="22">
        <f t="shared" si="223"/>
        <v>0</v>
      </c>
      <c r="JV46" s="22">
        <f t="shared" si="223"/>
        <v>0</v>
      </c>
      <c r="JW46" s="22">
        <f t="shared" si="223"/>
        <v>0</v>
      </c>
      <c r="JX46" s="22">
        <f t="shared" si="223"/>
        <v>0</v>
      </c>
      <c r="JY46" s="22">
        <f t="shared" si="223"/>
        <v>0</v>
      </c>
      <c r="JZ46" s="22">
        <f t="shared" si="223"/>
        <v>0</v>
      </c>
      <c r="KA46" s="22">
        <f t="shared" si="223"/>
        <v>0</v>
      </c>
      <c r="KB46" s="22">
        <f t="shared" si="223"/>
        <v>0</v>
      </c>
      <c r="KC46" s="22">
        <f t="shared" si="223"/>
        <v>0</v>
      </c>
      <c r="KD46" s="22">
        <f t="shared" si="223"/>
        <v>0</v>
      </c>
      <c r="KE46" s="22">
        <f t="shared" si="223"/>
        <v>0</v>
      </c>
      <c r="KF46" s="22">
        <f t="shared" si="223"/>
        <v>0</v>
      </c>
      <c r="KG46" s="22">
        <f t="shared" si="223"/>
        <v>0</v>
      </c>
      <c r="KH46" s="22">
        <f t="shared" si="223"/>
        <v>0</v>
      </c>
      <c r="KI46" s="22">
        <f t="shared" si="223"/>
        <v>0</v>
      </c>
      <c r="KJ46" s="22">
        <f t="shared" si="223"/>
        <v>0</v>
      </c>
      <c r="KK46" s="22">
        <f t="shared" si="223"/>
        <v>0</v>
      </c>
      <c r="KL46" s="22">
        <f t="shared" si="223"/>
        <v>0</v>
      </c>
      <c r="KM46" s="22">
        <f t="shared" si="223"/>
        <v>0</v>
      </c>
      <c r="KN46" s="22">
        <f t="shared" si="223"/>
        <v>0</v>
      </c>
      <c r="KO46" s="22">
        <f t="shared" si="223"/>
        <v>0</v>
      </c>
      <c r="KP46" s="22">
        <f t="shared" si="223"/>
        <v>0</v>
      </c>
      <c r="KQ46" s="22">
        <f t="shared" si="223"/>
        <v>0</v>
      </c>
      <c r="KR46" s="22">
        <f t="shared" si="223"/>
        <v>0</v>
      </c>
      <c r="KS46" s="22">
        <f t="shared" si="223"/>
        <v>0</v>
      </c>
      <c r="KT46" s="22">
        <f t="shared" si="223"/>
        <v>0</v>
      </c>
      <c r="KU46" s="22">
        <f t="shared" si="223"/>
        <v>0</v>
      </c>
      <c r="KV46" s="22">
        <f t="shared" si="223"/>
        <v>0</v>
      </c>
      <c r="KW46" s="22">
        <f t="shared" si="223"/>
        <v>0</v>
      </c>
      <c r="KX46" s="22">
        <f t="shared" si="223"/>
        <v>0</v>
      </c>
      <c r="KY46" s="22">
        <f t="shared" si="223"/>
        <v>0</v>
      </c>
      <c r="KZ46" s="22">
        <f t="shared" si="223"/>
        <v>0</v>
      </c>
      <c r="LA46" s="22">
        <f t="shared" si="223"/>
        <v>0</v>
      </c>
      <c r="LB46" s="22">
        <f t="shared" si="223"/>
        <v>0</v>
      </c>
      <c r="LC46" s="22">
        <f t="shared" si="223"/>
        <v>0</v>
      </c>
      <c r="LD46" s="22">
        <f t="shared" si="223"/>
        <v>0</v>
      </c>
      <c r="LE46" s="22">
        <f t="shared" si="223"/>
        <v>0</v>
      </c>
      <c r="LF46" s="22">
        <f t="shared" si="223"/>
        <v>0</v>
      </c>
      <c r="LG46" s="22">
        <f t="shared" si="223"/>
        <v>0</v>
      </c>
      <c r="LH46" s="22">
        <f t="shared" si="223"/>
        <v>0</v>
      </c>
      <c r="LI46" s="22">
        <f t="shared" si="223"/>
        <v>0</v>
      </c>
      <c r="LJ46" s="22">
        <f t="shared" si="223"/>
        <v>0</v>
      </c>
      <c r="LK46" s="22">
        <f t="shared" si="223"/>
        <v>0</v>
      </c>
      <c r="LL46" s="22">
        <f t="shared" si="223"/>
        <v>0</v>
      </c>
      <c r="LM46" s="22">
        <f t="shared" si="223"/>
        <v>0</v>
      </c>
      <c r="LN46" s="22">
        <f t="shared" si="223"/>
        <v>0</v>
      </c>
      <c r="LO46" s="22">
        <f t="shared" ref="LO46:NZ46" si="224">$E$46*LO34</f>
        <v>0</v>
      </c>
      <c r="LP46" s="22">
        <f t="shared" si="224"/>
        <v>0</v>
      </c>
      <c r="LQ46" s="22">
        <f t="shared" si="224"/>
        <v>0</v>
      </c>
      <c r="LR46" s="22">
        <f t="shared" si="224"/>
        <v>0</v>
      </c>
      <c r="LS46" s="22">
        <f t="shared" si="224"/>
        <v>0</v>
      </c>
      <c r="LT46" s="22">
        <f t="shared" si="224"/>
        <v>0</v>
      </c>
      <c r="LU46" s="22">
        <f t="shared" si="224"/>
        <v>0</v>
      </c>
      <c r="LV46" s="22">
        <f t="shared" si="224"/>
        <v>0</v>
      </c>
      <c r="LW46" s="22">
        <f t="shared" si="224"/>
        <v>0</v>
      </c>
      <c r="LX46" s="22">
        <f t="shared" si="224"/>
        <v>0</v>
      </c>
      <c r="LY46" s="22">
        <f t="shared" si="224"/>
        <v>0</v>
      </c>
      <c r="LZ46" s="22">
        <f t="shared" si="224"/>
        <v>0</v>
      </c>
      <c r="MA46" s="22">
        <f t="shared" si="224"/>
        <v>0</v>
      </c>
      <c r="MB46" s="22">
        <f t="shared" si="224"/>
        <v>0</v>
      </c>
      <c r="MC46" s="22">
        <f t="shared" si="224"/>
        <v>0</v>
      </c>
      <c r="MD46" s="22">
        <f t="shared" si="224"/>
        <v>0</v>
      </c>
      <c r="ME46" s="22">
        <f t="shared" si="224"/>
        <v>0</v>
      </c>
      <c r="MF46" s="22">
        <f t="shared" si="224"/>
        <v>0</v>
      </c>
      <c r="MG46" s="22">
        <f t="shared" si="224"/>
        <v>0</v>
      </c>
      <c r="MH46" s="22">
        <f t="shared" si="224"/>
        <v>0</v>
      </c>
      <c r="MI46" s="22">
        <f t="shared" si="224"/>
        <v>0</v>
      </c>
      <c r="MJ46" s="22">
        <f t="shared" si="224"/>
        <v>0</v>
      </c>
      <c r="MK46" s="22">
        <f t="shared" si="224"/>
        <v>0</v>
      </c>
      <c r="ML46" s="22">
        <f t="shared" si="224"/>
        <v>0</v>
      </c>
      <c r="MM46" s="22">
        <f t="shared" si="224"/>
        <v>0</v>
      </c>
      <c r="MN46" s="22">
        <f t="shared" si="224"/>
        <v>0</v>
      </c>
      <c r="MO46" s="22">
        <f t="shared" si="224"/>
        <v>0</v>
      </c>
      <c r="MP46" s="22">
        <f t="shared" si="224"/>
        <v>0</v>
      </c>
      <c r="MQ46" s="22">
        <f t="shared" si="224"/>
        <v>0</v>
      </c>
      <c r="MR46" s="22">
        <f t="shared" si="224"/>
        <v>0</v>
      </c>
      <c r="MS46" s="22">
        <f t="shared" si="224"/>
        <v>0</v>
      </c>
      <c r="MT46" s="22">
        <f t="shared" si="224"/>
        <v>0</v>
      </c>
      <c r="MU46" s="22">
        <f t="shared" si="224"/>
        <v>0</v>
      </c>
      <c r="MV46" s="22">
        <f t="shared" si="224"/>
        <v>0</v>
      </c>
      <c r="MW46" s="22">
        <f t="shared" si="224"/>
        <v>0</v>
      </c>
      <c r="MX46" s="22">
        <f t="shared" si="224"/>
        <v>0</v>
      </c>
      <c r="MY46" s="22">
        <f t="shared" si="224"/>
        <v>0</v>
      </c>
      <c r="MZ46" s="22">
        <f t="shared" si="224"/>
        <v>0</v>
      </c>
      <c r="NA46" s="22">
        <f t="shared" si="224"/>
        <v>0</v>
      </c>
      <c r="NB46" s="22">
        <f t="shared" si="224"/>
        <v>0</v>
      </c>
      <c r="NC46" s="22">
        <f t="shared" si="224"/>
        <v>0</v>
      </c>
      <c r="ND46" s="22">
        <f t="shared" si="224"/>
        <v>0</v>
      </c>
      <c r="NE46" s="22">
        <f t="shared" si="224"/>
        <v>0</v>
      </c>
      <c r="NF46" s="22">
        <f t="shared" si="224"/>
        <v>0</v>
      </c>
      <c r="NG46" s="22">
        <f t="shared" si="224"/>
        <v>0</v>
      </c>
      <c r="NH46" s="22">
        <f t="shared" si="224"/>
        <v>0</v>
      </c>
      <c r="NI46" s="22">
        <f t="shared" si="224"/>
        <v>0</v>
      </c>
      <c r="NJ46" s="22">
        <f t="shared" si="224"/>
        <v>0</v>
      </c>
      <c r="NK46" s="22">
        <f t="shared" si="224"/>
        <v>0</v>
      </c>
      <c r="NL46" s="22">
        <f t="shared" si="224"/>
        <v>0</v>
      </c>
      <c r="NM46" s="22">
        <f t="shared" si="224"/>
        <v>0</v>
      </c>
      <c r="NN46" s="22">
        <f t="shared" si="224"/>
        <v>0</v>
      </c>
      <c r="NO46" s="22">
        <f t="shared" si="224"/>
        <v>0</v>
      </c>
      <c r="NP46" s="22">
        <f t="shared" si="224"/>
        <v>0</v>
      </c>
      <c r="NQ46" s="22">
        <f t="shared" si="224"/>
        <v>0</v>
      </c>
      <c r="NR46" s="22">
        <f t="shared" si="224"/>
        <v>0</v>
      </c>
      <c r="NS46" s="22">
        <f t="shared" si="224"/>
        <v>0</v>
      </c>
      <c r="NT46" s="22">
        <f t="shared" si="224"/>
        <v>0</v>
      </c>
      <c r="NU46" s="22">
        <f t="shared" si="224"/>
        <v>0</v>
      </c>
      <c r="NV46" s="22">
        <f t="shared" si="224"/>
        <v>0</v>
      </c>
      <c r="NW46" s="22">
        <f t="shared" si="224"/>
        <v>0</v>
      </c>
      <c r="NX46" s="22">
        <f t="shared" si="224"/>
        <v>0</v>
      </c>
      <c r="NY46" s="22">
        <f t="shared" si="224"/>
        <v>0</v>
      </c>
      <c r="NZ46" s="22">
        <f t="shared" si="224"/>
        <v>0</v>
      </c>
      <c r="OA46" s="22">
        <f t="shared" ref="OA46:QL46" si="225">$E$46*OA34</f>
        <v>0</v>
      </c>
      <c r="OB46" s="22">
        <f t="shared" si="225"/>
        <v>0</v>
      </c>
      <c r="OC46" s="22">
        <f t="shared" si="225"/>
        <v>0</v>
      </c>
      <c r="OD46" s="22">
        <f t="shared" si="225"/>
        <v>0</v>
      </c>
      <c r="OE46" s="22">
        <f t="shared" si="225"/>
        <v>0</v>
      </c>
      <c r="OF46" s="22">
        <f t="shared" si="225"/>
        <v>0</v>
      </c>
      <c r="OG46" s="22">
        <f t="shared" si="225"/>
        <v>0</v>
      </c>
      <c r="OH46" s="22">
        <f t="shared" si="225"/>
        <v>0</v>
      </c>
      <c r="OI46" s="22">
        <f t="shared" si="225"/>
        <v>0</v>
      </c>
      <c r="OJ46" s="22">
        <f t="shared" si="225"/>
        <v>0</v>
      </c>
      <c r="OK46" s="22">
        <f t="shared" si="225"/>
        <v>0</v>
      </c>
      <c r="OL46" s="22">
        <f t="shared" si="225"/>
        <v>0</v>
      </c>
      <c r="OM46" s="22">
        <f t="shared" si="225"/>
        <v>0</v>
      </c>
      <c r="ON46" s="22">
        <f t="shared" si="225"/>
        <v>0</v>
      </c>
      <c r="OO46" s="22">
        <f t="shared" si="225"/>
        <v>0</v>
      </c>
      <c r="OP46" s="22">
        <f t="shared" si="225"/>
        <v>0</v>
      </c>
      <c r="OQ46" s="22">
        <f t="shared" si="225"/>
        <v>0</v>
      </c>
      <c r="OR46" s="22">
        <f t="shared" si="225"/>
        <v>0</v>
      </c>
      <c r="OS46" s="22">
        <f t="shared" si="225"/>
        <v>0</v>
      </c>
      <c r="OT46" s="22">
        <f t="shared" si="225"/>
        <v>0</v>
      </c>
      <c r="OU46" s="22">
        <f t="shared" si="225"/>
        <v>0</v>
      </c>
      <c r="OV46" s="22">
        <f t="shared" si="225"/>
        <v>0</v>
      </c>
      <c r="OW46" s="22">
        <f t="shared" si="225"/>
        <v>0</v>
      </c>
      <c r="OX46" s="22">
        <f t="shared" si="225"/>
        <v>0</v>
      </c>
      <c r="OY46" s="22">
        <f t="shared" si="225"/>
        <v>0</v>
      </c>
      <c r="OZ46" s="22">
        <f t="shared" si="225"/>
        <v>0</v>
      </c>
      <c r="PA46" s="22">
        <f t="shared" si="225"/>
        <v>0</v>
      </c>
      <c r="PB46" s="22">
        <f t="shared" si="225"/>
        <v>0</v>
      </c>
      <c r="PC46" s="22">
        <f t="shared" si="225"/>
        <v>0</v>
      </c>
      <c r="PD46" s="22">
        <f t="shared" si="225"/>
        <v>0</v>
      </c>
      <c r="PE46" s="22">
        <f t="shared" si="225"/>
        <v>0</v>
      </c>
      <c r="PF46" s="22">
        <f t="shared" si="225"/>
        <v>0</v>
      </c>
      <c r="PG46" s="22">
        <f t="shared" si="225"/>
        <v>0</v>
      </c>
      <c r="PH46" s="22">
        <f t="shared" si="225"/>
        <v>0</v>
      </c>
      <c r="PI46" s="22">
        <f t="shared" si="225"/>
        <v>0</v>
      </c>
      <c r="PJ46" s="22">
        <f t="shared" si="225"/>
        <v>0</v>
      </c>
      <c r="PK46" s="22">
        <f t="shared" si="225"/>
        <v>0</v>
      </c>
      <c r="PL46" s="22">
        <f t="shared" si="225"/>
        <v>0</v>
      </c>
      <c r="PM46" s="22">
        <f t="shared" si="225"/>
        <v>0</v>
      </c>
      <c r="PN46" s="22">
        <f t="shared" si="225"/>
        <v>0</v>
      </c>
      <c r="PO46" s="22">
        <f t="shared" si="225"/>
        <v>0</v>
      </c>
      <c r="PP46" s="22">
        <f t="shared" si="225"/>
        <v>0</v>
      </c>
      <c r="PQ46" s="22">
        <f t="shared" si="225"/>
        <v>0</v>
      </c>
      <c r="PR46" s="22">
        <f t="shared" si="225"/>
        <v>0</v>
      </c>
      <c r="PS46" s="22">
        <f t="shared" si="225"/>
        <v>0</v>
      </c>
      <c r="PT46" s="22">
        <f t="shared" si="225"/>
        <v>0</v>
      </c>
      <c r="PU46" s="22">
        <f t="shared" si="225"/>
        <v>0</v>
      </c>
      <c r="PV46" s="22">
        <f t="shared" si="225"/>
        <v>0</v>
      </c>
      <c r="PW46" s="22">
        <f t="shared" si="225"/>
        <v>0</v>
      </c>
      <c r="PX46" s="22">
        <f t="shared" si="225"/>
        <v>0</v>
      </c>
      <c r="PY46" s="22">
        <f t="shared" si="225"/>
        <v>0</v>
      </c>
      <c r="PZ46" s="22">
        <f t="shared" si="225"/>
        <v>0</v>
      </c>
      <c r="QA46" s="22">
        <f t="shared" si="225"/>
        <v>0</v>
      </c>
      <c r="QB46" s="22">
        <f t="shared" si="225"/>
        <v>0</v>
      </c>
      <c r="QC46" s="22">
        <f t="shared" si="225"/>
        <v>0</v>
      </c>
      <c r="QD46" s="22">
        <f t="shared" si="225"/>
        <v>0</v>
      </c>
      <c r="QE46" s="22">
        <f t="shared" si="225"/>
        <v>0</v>
      </c>
      <c r="QF46" s="22">
        <f t="shared" si="225"/>
        <v>0</v>
      </c>
      <c r="QG46" s="22">
        <f t="shared" si="225"/>
        <v>0</v>
      </c>
      <c r="QH46" s="22">
        <f t="shared" si="225"/>
        <v>0</v>
      </c>
      <c r="QI46" s="22">
        <f t="shared" si="225"/>
        <v>0</v>
      </c>
      <c r="QJ46" s="22">
        <f t="shared" si="225"/>
        <v>0</v>
      </c>
      <c r="QK46" s="22">
        <f t="shared" si="225"/>
        <v>0</v>
      </c>
      <c r="QL46" s="22">
        <f t="shared" si="225"/>
        <v>0</v>
      </c>
      <c r="QM46" s="22">
        <f t="shared" ref="QM46:SX46" si="226">$E$46*QM34</f>
        <v>0</v>
      </c>
      <c r="QN46" s="22">
        <f t="shared" si="226"/>
        <v>0</v>
      </c>
      <c r="QO46" s="22">
        <f t="shared" si="226"/>
        <v>0</v>
      </c>
      <c r="QP46" s="22">
        <f t="shared" si="226"/>
        <v>0</v>
      </c>
      <c r="QQ46" s="22">
        <f t="shared" si="226"/>
        <v>0</v>
      </c>
      <c r="QR46" s="22">
        <f t="shared" si="226"/>
        <v>0</v>
      </c>
      <c r="QS46" s="22">
        <f t="shared" si="226"/>
        <v>0</v>
      </c>
      <c r="QT46" s="22">
        <f t="shared" si="226"/>
        <v>0</v>
      </c>
      <c r="QU46" s="22">
        <f t="shared" si="226"/>
        <v>0</v>
      </c>
      <c r="QV46" s="22">
        <f t="shared" si="226"/>
        <v>0</v>
      </c>
      <c r="QW46" s="22">
        <f t="shared" si="226"/>
        <v>0</v>
      </c>
      <c r="QX46" s="22">
        <f t="shared" si="226"/>
        <v>0</v>
      </c>
      <c r="QY46" s="22">
        <f t="shared" si="226"/>
        <v>0</v>
      </c>
      <c r="QZ46" s="22">
        <f t="shared" si="226"/>
        <v>0</v>
      </c>
      <c r="RA46" s="22">
        <f t="shared" si="226"/>
        <v>0</v>
      </c>
      <c r="RB46" s="22">
        <f t="shared" si="226"/>
        <v>0</v>
      </c>
      <c r="RC46" s="22">
        <f t="shared" si="226"/>
        <v>0</v>
      </c>
      <c r="RD46" s="22">
        <f t="shared" si="226"/>
        <v>0</v>
      </c>
      <c r="RE46" s="22">
        <f t="shared" si="226"/>
        <v>0</v>
      </c>
      <c r="RF46" s="22">
        <f t="shared" si="226"/>
        <v>0</v>
      </c>
      <c r="RG46" s="22">
        <f t="shared" si="226"/>
        <v>0</v>
      </c>
      <c r="RH46" s="22">
        <f t="shared" si="226"/>
        <v>0</v>
      </c>
      <c r="RI46" s="22">
        <f t="shared" si="226"/>
        <v>0</v>
      </c>
      <c r="RJ46" s="22">
        <f t="shared" si="226"/>
        <v>0</v>
      </c>
      <c r="RK46" s="22">
        <f t="shared" si="226"/>
        <v>0</v>
      </c>
      <c r="RL46" s="22">
        <f t="shared" si="226"/>
        <v>0</v>
      </c>
      <c r="RM46" s="22">
        <f t="shared" si="226"/>
        <v>0</v>
      </c>
      <c r="RN46" s="22">
        <f t="shared" si="226"/>
        <v>0</v>
      </c>
      <c r="RO46" s="22">
        <f t="shared" si="226"/>
        <v>0</v>
      </c>
      <c r="RP46" s="22">
        <f t="shared" si="226"/>
        <v>0</v>
      </c>
      <c r="RQ46" s="22">
        <f t="shared" si="226"/>
        <v>0</v>
      </c>
      <c r="RR46" s="22">
        <f t="shared" si="226"/>
        <v>0</v>
      </c>
      <c r="RS46" s="22">
        <f t="shared" si="226"/>
        <v>0</v>
      </c>
      <c r="RT46" s="22">
        <f t="shared" si="226"/>
        <v>0</v>
      </c>
      <c r="RU46" s="22">
        <f t="shared" si="226"/>
        <v>0</v>
      </c>
      <c r="RV46" s="22">
        <f t="shared" si="226"/>
        <v>0</v>
      </c>
      <c r="RW46" s="22">
        <f t="shared" si="226"/>
        <v>0</v>
      </c>
      <c r="RX46" s="22">
        <f t="shared" si="226"/>
        <v>0</v>
      </c>
      <c r="RY46" s="22">
        <f t="shared" si="226"/>
        <v>0</v>
      </c>
      <c r="RZ46" s="22">
        <f t="shared" si="226"/>
        <v>0</v>
      </c>
      <c r="SA46" s="22">
        <f t="shared" si="226"/>
        <v>0</v>
      </c>
      <c r="SB46" s="22">
        <f t="shared" si="226"/>
        <v>0</v>
      </c>
      <c r="SC46" s="22">
        <f t="shared" si="226"/>
        <v>0</v>
      </c>
      <c r="SD46" s="22">
        <f t="shared" si="226"/>
        <v>0</v>
      </c>
      <c r="SE46" s="22">
        <f t="shared" si="226"/>
        <v>0</v>
      </c>
      <c r="SF46" s="22">
        <f t="shared" si="226"/>
        <v>0</v>
      </c>
      <c r="SG46" s="22">
        <f t="shared" si="226"/>
        <v>0</v>
      </c>
      <c r="SH46" s="22">
        <f t="shared" si="226"/>
        <v>0</v>
      </c>
      <c r="SI46" s="22">
        <f t="shared" si="226"/>
        <v>0</v>
      </c>
      <c r="SJ46" s="22">
        <f t="shared" si="226"/>
        <v>0</v>
      </c>
      <c r="SK46" s="22">
        <f t="shared" si="226"/>
        <v>0</v>
      </c>
      <c r="SL46" s="22">
        <f t="shared" si="226"/>
        <v>0</v>
      </c>
      <c r="SM46" s="22">
        <f t="shared" si="226"/>
        <v>0</v>
      </c>
      <c r="SN46" s="22">
        <f t="shared" si="226"/>
        <v>0</v>
      </c>
      <c r="SO46" s="22">
        <f t="shared" si="226"/>
        <v>0</v>
      </c>
      <c r="SP46" s="22">
        <f t="shared" si="226"/>
        <v>0</v>
      </c>
      <c r="SQ46" s="22">
        <f t="shared" si="226"/>
        <v>0</v>
      </c>
      <c r="SR46" s="22">
        <f t="shared" si="226"/>
        <v>0</v>
      </c>
      <c r="SS46" s="22">
        <f t="shared" si="226"/>
        <v>0</v>
      </c>
      <c r="ST46" s="22">
        <f t="shared" si="226"/>
        <v>0</v>
      </c>
      <c r="SU46" s="22">
        <f t="shared" si="226"/>
        <v>0</v>
      </c>
      <c r="SV46" s="22">
        <f t="shared" si="226"/>
        <v>0</v>
      </c>
      <c r="SW46" s="22">
        <f t="shared" si="226"/>
        <v>0</v>
      </c>
      <c r="SX46" s="22">
        <f t="shared" si="226"/>
        <v>0</v>
      </c>
      <c r="SY46" s="22">
        <f t="shared" ref="SY46:VJ46" si="227">$E$46*SY34</f>
        <v>0</v>
      </c>
      <c r="SZ46" s="22">
        <f t="shared" si="227"/>
        <v>0</v>
      </c>
      <c r="TA46" s="22">
        <f t="shared" si="227"/>
        <v>0</v>
      </c>
      <c r="TB46" s="22">
        <f t="shared" si="227"/>
        <v>0</v>
      </c>
      <c r="TC46" s="22">
        <f t="shared" si="227"/>
        <v>0</v>
      </c>
      <c r="TD46" s="22">
        <f t="shared" si="227"/>
        <v>0</v>
      </c>
      <c r="TE46" s="22">
        <f t="shared" si="227"/>
        <v>0</v>
      </c>
      <c r="TF46" s="22">
        <f t="shared" si="227"/>
        <v>0</v>
      </c>
      <c r="TG46" s="22">
        <f t="shared" si="227"/>
        <v>0</v>
      </c>
      <c r="TH46" s="22">
        <f t="shared" si="227"/>
        <v>0</v>
      </c>
      <c r="TI46" s="22">
        <f t="shared" si="227"/>
        <v>0</v>
      </c>
      <c r="TJ46" s="22">
        <f t="shared" si="227"/>
        <v>0</v>
      </c>
      <c r="TK46" s="22">
        <f t="shared" si="227"/>
        <v>0</v>
      </c>
      <c r="TL46" s="22">
        <f t="shared" si="227"/>
        <v>0</v>
      </c>
      <c r="TM46" s="22">
        <f t="shared" si="227"/>
        <v>0</v>
      </c>
      <c r="TN46" s="22">
        <f t="shared" si="227"/>
        <v>0</v>
      </c>
      <c r="TO46" s="22">
        <f t="shared" si="227"/>
        <v>0</v>
      </c>
      <c r="TP46" s="22">
        <f t="shared" si="227"/>
        <v>0</v>
      </c>
      <c r="TQ46" s="22">
        <f t="shared" si="227"/>
        <v>0</v>
      </c>
      <c r="TR46" s="22">
        <f t="shared" si="227"/>
        <v>0</v>
      </c>
      <c r="TS46" s="22">
        <f t="shared" si="227"/>
        <v>0</v>
      </c>
      <c r="TT46" s="22">
        <f t="shared" si="227"/>
        <v>0</v>
      </c>
      <c r="TU46" s="22">
        <f t="shared" si="227"/>
        <v>0</v>
      </c>
      <c r="TV46" s="22">
        <f t="shared" si="227"/>
        <v>0</v>
      </c>
      <c r="TW46" s="22">
        <f t="shared" si="227"/>
        <v>0</v>
      </c>
      <c r="TX46" s="22">
        <f t="shared" si="227"/>
        <v>0</v>
      </c>
      <c r="TY46" s="22">
        <f t="shared" si="227"/>
        <v>0</v>
      </c>
      <c r="TZ46" s="22">
        <f t="shared" si="227"/>
        <v>0</v>
      </c>
      <c r="UA46" s="22">
        <f t="shared" si="227"/>
        <v>0</v>
      </c>
      <c r="UB46" s="22">
        <f t="shared" si="227"/>
        <v>0</v>
      </c>
      <c r="UC46" s="22">
        <f t="shared" si="227"/>
        <v>0</v>
      </c>
      <c r="UD46" s="22">
        <f t="shared" si="227"/>
        <v>0</v>
      </c>
      <c r="UE46" s="22">
        <f t="shared" si="227"/>
        <v>0</v>
      </c>
      <c r="UF46" s="22">
        <f t="shared" si="227"/>
        <v>0</v>
      </c>
      <c r="UG46" s="22">
        <f t="shared" si="227"/>
        <v>0</v>
      </c>
      <c r="UH46" s="22">
        <f t="shared" si="227"/>
        <v>0</v>
      </c>
      <c r="UI46" s="22">
        <f t="shared" si="227"/>
        <v>0</v>
      </c>
      <c r="UJ46" s="22">
        <f t="shared" si="227"/>
        <v>0</v>
      </c>
      <c r="UK46" s="22">
        <f t="shared" si="227"/>
        <v>0</v>
      </c>
      <c r="UL46" s="22">
        <f t="shared" si="227"/>
        <v>0</v>
      </c>
      <c r="UM46" s="22">
        <f t="shared" si="227"/>
        <v>0</v>
      </c>
      <c r="UN46" s="22">
        <f t="shared" si="227"/>
        <v>0</v>
      </c>
      <c r="UO46" s="22">
        <f t="shared" si="227"/>
        <v>0</v>
      </c>
      <c r="UP46" s="22">
        <f t="shared" si="227"/>
        <v>0</v>
      </c>
      <c r="UQ46" s="22">
        <f t="shared" si="227"/>
        <v>0</v>
      </c>
      <c r="UR46" s="22">
        <f t="shared" si="227"/>
        <v>0</v>
      </c>
      <c r="US46" s="22">
        <f t="shared" si="227"/>
        <v>0</v>
      </c>
      <c r="UT46" s="22">
        <f t="shared" si="227"/>
        <v>0</v>
      </c>
      <c r="UU46" s="22">
        <f t="shared" si="227"/>
        <v>0</v>
      </c>
      <c r="UV46" s="22">
        <f t="shared" si="227"/>
        <v>0</v>
      </c>
      <c r="UW46" s="22">
        <f t="shared" si="227"/>
        <v>0</v>
      </c>
      <c r="UX46" s="22">
        <f t="shared" si="227"/>
        <v>0</v>
      </c>
      <c r="UY46" s="22">
        <f t="shared" si="227"/>
        <v>0</v>
      </c>
      <c r="UZ46" s="22">
        <f t="shared" si="227"/>
        <v>0</v>
      </c>
      <c r="VA46" s="22">
        <f t="shared" si="227"/>
        <v>0</v>
      </c>
      <c r="VB46" s="22">
        <f t="shared" si="227"/>
        <v>0</v>
      </c>
      <c r="VC46" s="22">
        <f t="shared" si="227"/>
        <v>0</v>
      </c>
      <c r="VD46" s="22">
        <f t="shared" si="227"/>
        <v>0</v>
      </c>
      <c r="VE46" s="22">
        <f t="shared" si="227"/>
        <v>0</v>
      </c>
      <c r="VF46" s="22">
        <f t="shared" si="227"/>
        <v>0</v>
      </c>
      <c r="VG46" s="22">
        <f t="shared" si="227"/>
        <v>0</v>
      </c>
      <c r="VH46" s="22">
        <f t="shared" si="227"/>
        <v>0</v>
      </c>
      <c r="VI46" s="22">
        <f t="shared" si="227"/>
        <v>0</v>
      </c>
      <c r="VJ46" s="22">
        <f t="shared" si="227"/>
        <v>0</v>
      </c>
      <c r="VK46" s="22">
        <f t="shared" ref="VK46:XV46" si="228">$E$46*VK34</f>
        <v>0</v>
      </c>
      <c r="VL46" s="22">
        <f t="shared" si="228"/>
        <v>0</v>
      </c>
      <c r="VM46" s="22">
        <f t="shared" si="228"/>
        <v>0</v>
      </c>
      <c r="VN46" s="22">
        <f t="shared" si="228"/>
        <v>0</v>
      </c>
      <c r="VO46" s="22">
        <f t="shared" si="228"/>
        <v>0</v>
      </c>
      <c r="VP46" s="22">
        <f t="shared" si="228"/>
        <v>0</v>
      </c>
      <c r="VQ46" s="22">
        <f t="shared" si="228"/>
        <v>0</v>
      </c>
      <c r="VR46" s="22">
        <f t="shared" si="228"/>
        <v>0</v>
      </c>
      <c r="VS46" s="22">
        <f t="shared" si="228"/>
        <v>0</v>
      </c>
      <c r="VT46" s="22">
        <f t="shared" si="228"/>
        <v>0</v>
      </c>
      <c r="VU46" s="22">
        <f t="shared" si="228"/>
        <v>0</v>
      </c>
      <c r="VV46" s="22">
        <f t="shared" si="228"/>
        <v>0</v>
      </c>
      <c r="VW46" s="22">
        <f t="shared" si="228"/>
        <v>0</v>
      </c>
      <c r="VX46" s="22">
        <f t="shared" si="228"/>
        <v>0</v>
      </c>
      <c r="VY46" s="22">
        <f t="shared" si="228"/>
        <v>0</v>
      </c>
      <c r="VZ46" s="22">
        <f t="shared" si="228"/>
        <v>0</v>
      </c>
      <c r="WA46" s="22">
        <f t="shared" si="228"/>
        <v>0</v>
      </c>
      <c r="WB46" s="22">
        <f t="shared" si="228"/>
        <v>0</v>
      </c>
      <c r="WC46" s="22">
        <f t="shared" si="228"/>
        <v>0</v>
      </c>
      <c r="WD46" s="22">
        <f t="shared" si="228"/>
        <v>0</v>
      </c>
      <c r="WE46" s="22">
        <f t="shared" si="228"/>
        <v>0</v>
      </c>
      <c r="WF46" s="22">
        <f t="shared" si="228"/>
        <v>0</v>
      </c>
      <c r="WG46" s="22">
        <f t="shared" si="228"/>
        <v>0</v>
      </c>
      <c r="WH46" s="22">
        <f t="shared" si="228"/>
        <v>0</v>
      </c>
      <c r="WI46" s="22">
        <f t="shared" si="228"/>
        <v>0</v>
      </c>
      <c r="WJ46" s="22">
        <f t="shared" si="228"/>
        <v>0</v>
      </c>
      <c r="WK46" s="22">
        <f t="shared" si="228"/>
        <v>0</v>
      </c>
      <c r="WL46" s="22">
        <f t="shared" si="228"/>
        <v>0</v>
      </c>
      <c r="WM46" s="22">
        <f t="shared" si="228"/>
        <v>0</v>
      </c>
      <c r="WN46" s="22">
        <f t="shared" si="228"/>
        <v>0</v>
      </c>
      <c r="WO46" s="22">
        <f t="shared" si="228"/>
        <v>0</v>
      </c>
      <c r="WP46" s="22">
        <f t="shared" si="228"/>
        <v>0</v>
      </c>
      <c r="WQ46" s="22">
        <f t="shared" si="228"/>
        <v>0</v>
      </c>
      <c r="WR46" s="22">
        <f t="shared" si="228"/>
        <v>0</v>
      </c>
      <c r="WS46" s="22">
        <f t="shared" si="228"/>
        <v>0</v>
      </c>
      <c r="WT46" s="22">
        <f t="shared" si="228"/>
        <v>0</v>
      </c>
      <c r="WU46" s="22">
        <f t="shared" si="228"/>
        <v>0</v>
      </c>
      <c r="WV46" s="22">
        <f t="shared" si="228"/>
        <v>0</v>
      </c>
      <c r="WW46" s="22">
        <f t="shared" si="228"/>
        <v>0</v>
      </c>
      <c r="WX46" s="22">
        <f t="shared" si="228"/>
        <v>0</v>
      </c>
      <c r="WY46" s="22">
        <f t="shared" si="228"/>
        <v>0</v>
      </c>
      <c r="WZ46" s="22">
        <f t="shared" si="228"/>
        <v>0</v>
      </c>
      <c r="XA46" s="22">
        <f t="shared" si="228"/>
        <v>0</v>
      </c>
      <c r="XB46" s="22">
        <f t="shared" si="228"/>
        <v>0</v>
      </c>
      <c r="XC46" s="22">
        <f t="shared" si="228"/>
        <v>0</v>
      </c>
      <c r="XD46" s="22">
        <f t="shared" si="228"/>
        <v>0</v>
      </c>
      <c r="XE46" s="22">
        <f t="shared" si="228"/>
        <v>0</v>
      </c>
      <c r="XF46" s="22">
        <f t="shared" si="228"/>
        <v>0</v>
      </c>
      <c r="XG46" s="22">
        <f t="shared" si="228"/>
        <v>0</v>
      </c>
      <c r="XH46" s="22">
        <f t="shared" si="228"/>
        <v>0</v>
      </c>
      <c r="XI46" s="22">
        <f t="shared" si="228"/>
        <v>0</v>
      </c>
      <c r="XJ46" s="22">
        <f t="shared" si="228"/>
        <v>0</v>
      </c>
      <c r="XK46" s="22">
        <f t="shared" si="228"/>
        <v>0</v>
      </c>
      <c r="XL46" s="22">
        <f t="shared" si="228"/>
        <v>0</v>
      </c>
      <c r="XM46" s="22">
        <f t="shared" si="228"/>
        <v>0</v>
      </c>
      <c r="XN46" s="22">
        <f t="shared" si="228"/>
        <v>0</v>
      </c>
      <c r="XO46" s="22">
        <f t="shared" si="228"/>
        <v>0</v>
      </c>
      <c r="XP46" s="22">
        <f t="shared" si="228"/>
        <v>0</v>
      </c>
      <c r="XQ46" s="22">
        <f t="shared" si="228"/>
        <v>0</v>
      </c>
      <c r="XR46" s="22">
        <f t="shared" si="228"/>
        <v>0</v>
      </c>
      <c r="XS46" s="22">
        <f t="shared" si="228"/>
        <v>0</v>
      </c>
      <c r="XT46" s="22">
        <f t="shared" si="228"/>
        <v>0</v>
      </c>
      <c r="XU46" s="22">
        <f t="shared" si="228"/>
        <v>0</v>
      </c>
      <c r="XV46" s="22">
        <f t="shared" si="228"/>
        <v>0</v>
      </c>
      <c r="XW46" s="22">
        <f t="shared" ref="XW46:AAH46" si="229">$E$46*XW34</f>
        <v>0</v>
      </c>
      <c r="XX46" s="22">
        <f t="shared" si="229"/>
        <v>0</v>
      </c>
      <c r="XY46" s="22">
        <f t="shared" si="229"/>
        <v>0</v>
      </c>
      <c r="XZ46" s="22">
        <f t="shared" si="229"/>
        <v>0</v>
      </c>
      <c r="YA46" s="22">
        <f t="shared" si="229"/>
        <v>0</v>
      </c>
      <c r="YB46" s="22">
        <f t="shared" si="229"/>
        <v>0</v>
      </c>
      <c r="YC46" s="22">
        <f t="shared" si="229"/>
        <v>0</v>
      </c>
      <c r="YD46" s="22">
        <f t="shared" si="229"/>
        <v>0</v>
      </c>
      <c r="YE46" s="22">
        <f t="shared" si="229"/>
        <v>0</v>
      </c>
      <c r="YF46" s="22">
        <f t="shared" si="229"/>
        <v>0</v>
      </c>
      <c r="YG46" s="22">
        <f t="shared" si="229"/>
        <v>0</v>
      </c>
      <c r="YH46" s="22">
        <f t="shared" si="229"/>
        <v>0</v>
      </c>
      <c r="YI46" s="22">
        <f t="shared" si="229"/>
        <v>0</v>
      </c>
      <c r="YJ46" s="22">
        <f t="shared" si="229"/>
        <v>0</v>
      </c>
      <c r="YK46" s="22">
        <f t="shared" si="229"/>
        <v>0</v>
      </c>
      <c r="YL46" s="22">
        <f t="shared" si="229"/>
        <v>0</v>
      </c>
      <c r="YM46" s="22">
        <f t="shared" si="229"/>
        <v>0</v>
      </c>
      <c r="YN46" s="22">
        <f t="shared" si="229"/>
        <v>0</v>
      </c>
      <c r="YO46" s="22">
        <f t="shared" si="229"/>
        <v>0</v>
      </c>
      <c r="YP46" s="22">
        <f t="shared" si="229"/>
        <v>0</v>
      </c>
      <c r="YQ46" s="22">
        <f t="shared" si="229"/>
        <v>0</v>
      </c>
      <c r="YR46" s="22">
        <f t="shared" si="229"/>
        <v>0</v>
      </c>
      <c r="YS46" s="22">
        <f t="shared" si="229"/>
        <v>0</v>
      </c>
      <c r="YT46" s="22">
        <f t="shared" si="229"/>
        <v>0</v>
      </c>
      <c r="YU46" s="22">
        <f t="shared" si="229"/>
        <v>0</v>
      </c>
      <c r="YV46" s="22">
        <f t="shared" si="229"/>
        <v>0</v>
      </c>
      <c r="YW46" s="22">
        <f t="shared" si="229"/>
        <v>0</v>
      </c>
      <c r="YX46" s="22">
        <f t="shared" si="229"/>
        <v>0</v>
      </c>
      <c r="YY46" s="22">
        <f t="shared" si="229"/>
        <v>0</v>
      </c>
      <c r="YZ46" s="22">
        <f t="shared" si="229"/>
        <v>0</v>
      </c>
      <c r="ZA46" s="22">
        <f t="shared" si="229"/>
        <v>0</v>
      </c>
      <c r="ZB46" s="22">
        <f t="shared" si="229"/>
        <v>0</v>
      </c>
      <c r="ZC46" s="22">
        <f t="shared" si="229"/>
        <v>0</v>
      </c>
      <c r="ZD46" s="22">
        <f t="shared" si="229"/>
        <v>0</v>
      </c>
      <c r="ZE46" s="22">
        <f t="shared" si="229"/>
        <v>0</v>
      </c>
      <c r="ZF46" s="22">
        <f t="shared" si="229"/>
        <v>0</v>
      </c>
      <c r="ZG46" s="22">
        <f t="shared" si="229"/>
        <v>0</v>
      </c>
      <c r="ZH46" s="22">
        <f t="shared" si="229"/>
        <v>0</v>
      </c>
      <c r="ZI46" s="22">
        <f t="shared" si="229"/>
        <v>0</v>
      </c>
      <c r="ZJ46" s="22">
        <f t="shared" si="229"/>
        <v>0</v>
      </c>
      <c r="ZK46" s="22">
        <f t="shared" si="229"/>
        <v>0</v>
      </c>
      <c r="ZL46" s="22">
        <f t="shared" si="229"/>
        <v>0</v>
      </c>
      <c r="ZM46" s="22">
        <f t="shared" si="229"/>
        <v>0</v>
      </c>
      <c r="ZN46" s="22">
        <f t="shared" si="229"/>
        <v>0</v>
      </c>
      <c r="ZO46" s="22">
        <f t="shared" si="229"/>
        <v>0</v>
      </c>
      <c r="ZP46" s="22">
        <f t="shared" si="229"/>
        <v>0</v>
      </c>
      <c r="ZQ46" s="22">
        <f t="shared" si="229"/>
        <v>0</v>
      </c>
      <c r="ZR46" s="22">
        <f t="shared" si="229"/>
        <v>0</v>
      </c>
      <c r="ZS46" s="22">
        <f t="shared" si="229"/>
        <v>0</v>
      </c>
      <c r="ZT46" s="22">
        <f t="shared" si="229"/>
        <v>0</v>
      </c>
      <c r="ZU46" s="22">
        <f t="shared" si="229"/>
        <v>0</v>
      </c>
      <c r="ZV46" s="22">
        <f t="shared" si="229"/>
        <v>0</v>
      </c>
      <c r="ZW46" s="22">
        <f t="shared" si="229"/>
        <v>0</v>
      </c>
      <c r="ZX46" s="22">
        <f t="shared" si="229"/>
        <v>0</v>
      </c>
      <c r="ZY46" s="22">
        <f t="shared" si="229"/>
        <v>0</v>
      </c>
      <c r="ZZ46" s="22">
        <f t="shared" si="229"/>
        <v>0</v>
      </c>
      <c r="AAA46" s="22">
        <f t="shared" si="229"/>
        <v>0</v>
      </c>
      <c r="AAB46" s="22">
        <f t="shared" si="229"/>
        <v>0</v>
      </c>
      <c r="AAC46" s="22">
        <f t="shared" si="229"/>
        <v>0</v>
      </c>
      <c r="AAD46" s="22">
        <f t="shared" si="229"/>
        <v>0</v>
      </c>
      <c r="AAE46" s="22">
        <f t="shared" si="229"/>
        <v>0</v>
      </c>
      <c r="AAF46" s="22">
        <f t="shared" si="229"/>
        <v>0</v>
      </c>
      <c r="AAG46" s="22">
        <f t="shared" si="229"/>
        <v>0</v>
      </c>
      <c r="AAH46" s="22">
        <f t="shared" si="229"/>
        <v>0</v>
      </c>
      <c r="AAI46" s="22">
        <f t="shared" ref="AAI46:ABI46" si="230">$E$46*AAI34</f>
        <v>0</v>
      </c>
      <c r="AAJ46" s="22">
        <f t="shared" si="230"/>
        <v>0</v>
      </c>
      <c r="AAK46" s="22">
        <f t="shared" si="230"/>
        <v>0</v>
      </c>
      <c r="AAL46" s="22">
        <f t="shared" si="230"/>
        <v>0</v>
      </c>
      <c r="AAM46" s="22">
        <f t="shared" si="230"/>
        <v>0</v>
      </c>
      <c r="AAN46" s="22">
        <f t="shared" si="230"/>
        <v>0</v>
      </c>
      <c r="AAO46" s="22">
        <f t="shared" si="230"/>
        <v>0</v>
      </c>
      <c r="AAP46" s="22">
        <f t="shared" si="230"/>
        <v>0</v>
      </c>
      <c r="AAQ46" s="22">
        <f t="shared" si="230"/>
        <v>0</v>
      </c>
      <c r="AAR46" s="22">
        <f t="shared" si="230"/>
        <v>0</v>
      </c>
      <c r="AAS46" s="22">
        <f t="shared" si="230"/>
        <v>0</v>
      </c>
      <c r="AAT46" s="22">
        <f t="shared" si="230"/>
        <v>0</v>
      </c>
      <c r="AAU46" s="22">
        <f t="shared" si="230"/>
        <v>0</v>
      </c>
      <c r="AAV46" s="22">
        <f t="shared" si="230"/>
        <v>0</v>
      </c>
      <c r="AAW46" s="22">
        <f t="shared" si="230"/>
        <v>0</v>
      </c>
      <c r="AAX46" s="22">
        <f t="shared" si="230"/>
        <v>0</v>
      </c>
      <c r="AAY46" s="22">
        <f t="shared" si="230"/>
        <v>0</v>
      </c>
      <c r="AAZ46" s="22">
        <f t="shared" si="230"/>
        <v>0</v>
      </c>
      <c r="ABA46" s="22">
        <f t="shared" si="230"/>
        <v>0</v>
      </c>
      <c r="ABB46" s="22">
        <f t="shared" si="230"/>
        <v>0</v>
      </c>
      <c r="ABC46" s="22">
        <f t="shared" si="230"/>
        <v>0</v>
      </c>
      <c r="ABD46" s="22">
        <f t="shared" si="230"/>
        <v>0</v>
      </c>
      <c r="ABE46" s="22">
        <f t="shared" si="230"/>
        <v>0</v>
      </c>
      <c r="ABF46" s="22">
        <f t="shared" si="230"/>
        <v>0</v>
      </c>
      <c r="ABG46" s="22">
        <f t="shared" si="230"/>
        <v>0</v>
      </c>
      <c r="ABH46" s="22">
        <f t="shared" si="230"/>
        <v>0</v>
      </c>
      <c r="ABI46" s="22">
        <f t="shared" si="230"/>
        <v>0</v>
      </c>
    </row>
    <row r="47" spans="2:737" ht="12.95" customHeight="1" x14ac:dyDescent="0.25">
      <c r="B47" s="24"/>
      <c r="C47" s="19">
        <f t="shared" si="146"/>
        <v>4713.2399999999943</v>
      </c>
      <c r="D47" s="20" t="s">
        <v>17</v>
      </c>
      <c r="E47" s="21">
        <v>26.040000000000003</v>
      </c>
      <c r="F47" s="22">
        <f>$E$47*F34</f>
        <v>26.040000000000003</v>
      </c>
      <c r="G47" s="22">
        <f t="shared" ref="G47:BR47" si="231">$E$47*G34</f>
        <v>26.040000000000003</v>
      </c>
      <c r="H47" s="23">
        <f t="shared" si="231"/>
        <v>26.040000000000003</v>
      </c>
      <c r="I47" s="22">
        <f t="shared" si="231"/>
        <v>26.040000000000003</v>
      </c>
      <c r="J47" s="22">
        <f t="shared" si="231"/>
        <v>26.040000000000003</v>
      </c>
      <c r="K47" s="22">
        <f t="shared" si="231"/>
        <v>26.040000000000003</v>
      </c>
      <c r="L47" s="22">
        <f t="shared" si="231"/>
        <v>26.040000000000003</v>
      </c>
      <c r="M47" s="22">
        <f t="shared" si="231"/>
        <v>26.040000000000003</v>
      </c>
      <c r="N47" s="22">
        <f t="shared" si="231"/>
        <v>26.040000000000003</v>
      </c>
      <c r="O47" s="22">
        <f t="shared" si="231"/>
        <v>26.040000000000003</v>
      </c>
      <c r="P47" s="22">
        <f t="shared" si="231"/>
        <v>26.040000000000003</v>
      </c>
      <c r="Q47" s="22">
        <f t="shared" si="231"/>
        <v>26.040000000000003</v>
      </c>
      <c r="R47" s="22">
        <f t="shared" si="231"/>
        <v>26.040000000000003</v>
      </c>
      <c r="S47" s="22">
        <f t="shared" si="231"/>
        <v>26.040000000000003</v>
      </c>
      <c r="T47" s="22">
        <f t="shared" si="231"/>
        <v>26.040000000000003</v>
      </c>
      <c r="U47" s="22">
        <f t="shared" si="231"/>
        <v>26.040000000000003</v>
      </c>
      <c r="V47" s="22">
        <f t="shared" si="231"/>
        <v>26.040000000000003</v>
      </c>
      <c r="W47" s="22">
        <f t="shared" si="231"/>
        <v>26.040000000000003</v>
      </c>
      <c r="X47" s="22">
        <f t="shared" si="231"/>
        <v>26.040000000000003</v>
      </c>
      <c r="Y47" s="22">
        <f t="shared" si="231"/>
        <v>26.040000000000003</v>
      </c>
      <c r="Z47" s="22">
        <f t="shared" si="231"/>
        <v>26.040000000000003</v>
      </c>
      <c r="AA47" s="22">
        <f t="shared" si="231"/>
        <v>26.040000000000003</v>
      </c>
      <c r="AB47" s="22">
        <f t="shared" si="231"/>
        <v>26.040000000000003</v>
      </c>
      <c r="AC47" s="22">
        <f t="shared" si="231"/>
        <v>26.040000000000003</v>
      </c>
      <c r="AD47" s="22">
        <f t="shared" si="231"/>
        <v>26.040000000000003</v>
      </c>
      <c r="AE47" s="22">
        <f t="shared" si="231"/>
        <v>26.040000000000003</v>
      </c>
      <c r="AF47" s="22">
        <f t="shared" si="231"/>
        <v>26.040000000000003</v>
      </c>
      <c r="AG47" s="22">
        <f t="shared" si="231"/>
        <v>26.040000000000003</v>
      </c>
      <c r="AH47" s="22">
        <f t="shared" si="231"/>
        <v>26.040000000000003</v>
      </c>
      <c r="AI47" s="22">
        <f t="shared" si="231"/>
        <v>26.040000000000003</v>
      </c>
      <c r="AJ47" s="22">
        <f t="shared" si="231"/>
        <v>26.040000000000003</v>
      </c>
      <c r="AK47" s="23">
        <f t="shared" si="231"/>
        <v>26.040000000000003</v>
      </c>
      <c r="AL47" s="22">
        <f t="shared" si="231"/>
        <v>26.040000000000003</v>
      </c>
      <c r="AM47" s="22">
        <f t="shared" si="231"/>
        <v>26.040000000000003</v>
      </c>
      <c r="AN47" s="22">
        <f t="shared" si="231"/>
        <v>26.040000000000003</v>
      </c>
      <c r="AO47" s="22">
        <f t="shared" si="231"/>
        <v>26.040000000000003</v>
      </c>
      <c r="AP47" s="22">
        <f t="shared" si="231"/>
        <v>26.040000000000003</v>
      </c>
      <c r="AQ47" s="22">
        <f t="shared" si="231"/>
        <v>26.040000000000003</v>
      </c>
      <c r="AR47" s="22">
        <f t="shared" si="231"/>
        <v>26.040000000000003</v>
      </c>
      <c r="AS47" s="22">
        <f t="shared" si="231"/>
        <v>26.040000000000003</v>
      </c>
      <c r="AT47" s="22">
        <f t="shared" si="231"/>
        <v>26.040000000000003</v>
      </c>
      <c r="AU47" s="22">
        <f t="shared" si="231"/>
        <v>26.040000000000003</v>
      </c>
      <c r="AV47" s="22">
        <f t="shared" si="231"/>
        <v>26.040000000000003</v>
      </c>
      <c r="AW47" s="22">
        <f t="shared" si="231"/>
        <v>26.040000000000003</v>
      </c>
      <c r="AX47" s="22">
        <f t="shared" si="231"/>
        <v>26.040000000000003</v>
      </c>
      <c r="AY47" s="22">
        <f t="shared" si="231"/>
        <v>26.040000000000003</v>
      </c>
      <c r="AZ47" s="22">
        <f t="shared" si="231"/>
        <v>26.040000000000003</v>
      </c>
      <c r="BA47" s="22">
        <f t="shared" si="231"/>
        <v>26.040000000000003</v>
      </c>
      <c r="BB47" s="22">
        <f t="shared" si="231"/>
        <v>26.040000000000003</v>
      </c>
      <c r="BC47" s="22">
        <f t="shared" si="231"/>
        <v>26.040000000000003</v>
      </c>
      <c r="BD47" s="22">
        <f t="shared" si="231"/>
        <v>26.040000000000003</v>
      </c>
      <c r="BE47" s="22">
        <f t="shared" si="231"/>
        <v>26.040000000000003</v>
      </c>
      <c r="BF47" s="22">
        <f t="shared" si="231"/>
        <v>26.040000000000003</v>
      </c>
      <c r="BG47" s="22">
        <f t="shared" si="231"/>
        <v>26.040000000000003</v>
      </c>
      <c r="BH47" s="22">
        <f t="shared" si="231"/>
        <v>26.040000000000003</v>
      </c>
      <c r="BI47" s="22">
        <f t="shared" si="231"/>
        <v>26.040000000000003</v>
      </c>
      <c r="BJ47" s="22">
        <f t="shared" si="231"/>
        <v>26.040000000000003</v>
      </c>
      <c r="BK47" s="22">
        <f t="shared" si="231"/>
        <v>26.040000000000003</v>
      </c>
      <c r="BL47" s="22">
        <f t="shared" si="231"/>
        <v>26.040000000000003</v>
      </c>
      <c r="BM47" s="22">
        <f t="shared" si="231"/>
        <v>26.040000000000003</v>
      </c>
      <c r="BN47" s="22">
        <f t="shared" si="231"/>
        <v>26.040000000000003</v>
      </c>
      <c r="BO47" s="22">
        <f t="shared" si="231"/>
        <v>26.040000000000003</v>
      </c>
      <c r="BP47" s="22">
        <f t="shared" si="231"/>
        <v>26.040000000000003</v>
      </c>
      <c r="BQ47" s="22">
        <f t="shared" si="231"/>
        <v>26.040000000000003</v>
      </c>
      <c r="BR47" s="22">
        <f t="shared" si="231"/>
        <v>26.040000000000003</v>
      </c>
      <c r="BS47" s="22">
        <f t="shared" ref="BS47:ED47" si="232">$E$47*BS34</f>
        <v>26.040000000000003</v>
      </c>
      <c r="BT47" s="22">
        <f t="shared" si="232"/>
        <v>26.040000000000003</v>
      </c>
      <c r="BU47" s="22">
        <f t="shared" si="232"/>
        <v>26.040000000000003</v>
      </c>
      <c r="BV47" s="22">
        <f t="shared" si="232"/>
        <v>26.040000000000003</v>
      </c>
      <c r="BW47" s="22">
        <f t="shared" si="232"/>
        <v>26.040000000000003</v>
      </c>
      <c r="BX47" s="22">
        <f t="shared" si="232"/>
        <v>26.040000000000003</v>
      </c>
      <c r="BY47" s="22">
        <f t="shared" si="232"/>
        <v>26.040000000000003</v>
      </c>
      <c r="BZ47" s="22">
        <f t="shared" si="232"/>
        <v>26.040000000000003</v>
      </c>
      <c r="CA47" s="22">
        <f t="shared" si="232"/>
        <v>26.040000000000003</v>
      </c>
      <c r="CB47" s="22">
        <f t="shared" si="232"/>
        <v>26.040000000000003</v>
      </c>
      <c r="CC47" s="22">
        <f t="shared" si="232"/>
        <v>26.040000000000003</v>
      </c>
      <c r="CD47" s="22">
        <f t="shared" si="232"/>
        <v>26.040000000000003</v>
      </c>
      <c r="CE47" s="22">
        <f t="shared" si="232"/>
        <v>26.040000000000003</v>
      </c>
      <c r="CF47" s="22">
        <f t="shared" si="232"/>
        <v>26.040000000000003</v>
      </c>
      <c r="CG47" s="22">
        <f t="shared" si="232"/>
        <v>26.040000000000003</v>
      </c>
      <c r="CH47" s="22">
        <f t="shared" si="232"/>
        <v>26.040000000000003</v>
      </c>
      <c r="CI47" s="22">
        <f t="shared" si="232"/>
        <v>26.040000000000003</v>
      </c>
      <c r="CJ47" s="22">
        <f t="shared" si="232"/>
        <v>26.040000000000003</v>
      </c>
      <c r="CK47" s="22">
        <f t="shared" si="232"/>
        <v>26.040000000000003</v>
      </c>
      <c r="CL47" s="22">
        <f t="shared" si="232"/>
        <v>26.040000000000003</v>
      </c>
      <c r="CM47" s="22">
        <f t="shared" si="232"/>
        <v>26.040000000000003</v>
      </c>
      <c r="CN47" s="22">
        <f t="shared" si="232"/>
        <v>26.040000000000003</v>
      </c>
      <c r="CO47" s="22">
        <f t="shared" si="232"/>
        <v>26.040000000000003</v>
      </c>
      <c r="CP47" s="22">
        <f t="shared" si="232"/>
        <v>26.040000000000003</v>
      </c>
      <c r="CQ47" s="22">
        <f t="shared" si="232"/>
        <v>26.040000000000003</v>
      </c>
      <c r="CR47" s="22">
        <f t="shared" si="232"/>
        <v>26.040000000000003</v>
      </c>
      <c r="CS47" s="22">
        <f t="shared" si="232"/>
        <v>26.040000000000003</v>
      </c>
      <c r="CT47" s="22">
        <f t="shared" si="232"/>
        <v>26.040000000000003</v>
      </c>
      <c r="CU47" s="22">
        <f t="shared" si="232"/>
        <v>26.040000000000003</v>
      </c>
      <c r="CV47" s="22">
        <f t="shared" si="232"/>
        <v>26.040000000000003</v>
      </c>
      <c r="CW47" s="22">
        <f t="shared" si="232"/>
        <v>26.040000000000003</v>
      </c>
      <c r="CX47" s="22">
        <f t="shared" si="232"/>
        <v>26.040000000000003</v>
      </c>
      <c r="CY47" s="22">
        <f t="shared" si="232"/>
        <v>26.040000000000003</v>
      </c>
      <c r="CZ47" s="22">
        <f t="shared" si="232"/>
        <v>26.040000000000003</v>
      </c>
      <c r="DA47" s="22">
        <f t="shared" si="232"/>
        <v>26.040000000000003</v>
      </c>
      <c r="DB47" s="22">
        <f t="shared" si="232"/>
        <v>26.040000000000003</v>
      </c>
      <c r="DC47" s="22">
        <f t="shared" si="232"/>
        <v>26.040000000000003</v>
      </c>
      <c r="DD47" s="22">
        <f t="shared" si="232"/>
        <v>26.040000000000003</v>
      </c>
      <c r="DE47" s="22">
        <f t="shared" si="232"/>
        <v>26.040000000000003</v>
      </c>
      <c r="DF47" s="22">
        <f t="shared" si="232"/>
        <v>26.040000000000003</v>
      </c>
      <c r="DG47" s="22">
        <f t="shared" si="232"/>
        <v>26.040000000000003</v>
      </c>
      <c r="DH47" s="22">
        <f t="shared" si="232"/>
        <v>26.040000000000003</v>
      </c>
      <c r="DI47" s="22">
        <f t="shared" si="232"/>
        <v>26.040000000000003</v>
      </c>
      <c r="DJ47" s="22">
        <f t="shared" si="232"/>
        <v>26.040000000000003</v>
      </c>
      <c r="DK47" s="22">
        <f t="shared" si="232"/>
        <v>26.040000000000003</v>
      </c>
      <c r="DL47" s="22">
        <f t="shared" si="232"/>
        <v>26.040000000000003</v>
      </c>
      <c r="DM47" s="22">
        <f t="shared" si="232"/>
        <v>26.040000000000003</v>
      </c>
      <c r="DN47" s="22">
        <f t="shared" si="232"/>
        <v>26.040000000000003</v>
      </c>
      <c r="DO47" s="22">
        <f t="shared" si="232"/>
        <v>26.040000000000003</v>
      </c>
      <c r="DP47" s="22">
        <f t="shared" si="232"/>
        <v>26.040000000000003</v>
      </c>
      <c r="DQ47" s="22">
        <f t="shared" si="232"/>
        <v>26.040000000000003</v>
      </c>
      <c r="DR47" s="22">
        <f t="shared" si="232"/>
        <v>26.040000000000003</v>
      </c>
      <c r="DS47" s="22">
        <f t="shared" si="232"/>
        <v>26.040000000000003</v>
      </c>
      <c r="DT47" s="22">
        <f t="shared" si="232"/>
        <v>26.040000000000003</v>
      </c>
      <c r="DU47" s="22">
        <f t="shared" si="232"/>
        <v>26.040000000000003</v>
      </c>
      <c r="DV47" s="22">
        <f t="shared" si="232"/>
        <v>26.040000000000003</v>
      </c>
      <c r="DW47" s="22">
        <f t="shared" si="232"/>
        <v>26.040000000000003</v>
      </c>
      <c r="DX47" s="22">
        <f t="shared" si="232"/>
        <v>26.040000000000003</v>
      </c>
      <c r="DY47" s="22">
        <f t="shared" si="232"/>
        <v>26.040000000000003</v>
      </c>
      <c r="DZ47" s="22">
        <f t="shared" si="232"/>
        <v>26.040000000000003</v>
      </c>
      <c r="EA47" s="22">
        <f t="shared" si="232"/>
        <v>26.040000000000003</v>
      </c>
      <c r="EB47" s="22">
        <f t="shared" si="232"/>
        <v>26.040000000000003</v>
      </c>
      <c r="EC47" s="22">
        <f t="shared" si="232"/>
        <v>26.040000000000003</v>
      </c>
      <c r="ED47" s="22">
        <f t="shared" si="232"/>
        <v>26.040000000000003</v>
      </c>
      <c r="EE47" s="22">
        <f t="shared" ref="EE47:GP47" si="233">$E$47*EE34</f>
        <v>26.040000000000003</v>
      </c>
      <c r="EF47" s="22">
        <f t="shared" si="233"/>
        <v>26.040000000000003</v>
      </c>
      <c r="EG47" s="22">
        <f t="shared" si="233"/>
        <v>26.040000000000003</v>
      </c>
      <c r="EH47" s="22">
        <f t="shared" si="233"/>
        <v>26.040000000000003</v>
      </c>
      <c r="EI47" s="22">
        <f t="shared" si="233"/>
        <v>26.040000000000003</v>
      </c>
      <c r="EJ47" s="22">
        <f t="shared" si="233"/>
        <v>26.040000000000003</v>
      </c>
      <c r="EK47" s="22">
        <f t="shared" si="233"/>
        <v>26.040000000000003</v>
      </c>
      <c r="EL47" s="22">
        <f t="shared" si="233"/>
        <v>26.040000000000003</v>
      </c>
      <c r="EM47" s="22">
        <f t="shared" si="233"/>
        <v>26.040000000000003</v>
      </c>
      <c r="EN47" s="22">
        <f t="shared" si="233"/>
        <v>26.040000000000003</v>
      </c>
      <c r="EO47" s="22">
        <f t="shared" si="233"/>
        <v>26.040000000000003</v>
      </c>
      <c r="EP47" s="22">
        <f t="shared" si="233"/>
        <v>26.040000000000003</v>
      </c>
      <c r="EQ47" s="22">
        <f t="shared" si="233"/>
        <v>26.040000000000003</v>
      </c>
      <c r="ER47" s="22">
        <f t="shared" si="233"/>
        <v>26.040000000000003</v>
      </c>
      <c r="ES47" s="22">
        <f t="shared" si="233"/>
        <v>26.040000000000003</v>
      </c>
      <c r="ET47" s="22">
        <f t="shared" si="233"/>
        <v>26.040000000000003</v>
      </c>
      <c r="EU47" s="22">
        <f t="shared" si="233"/>
        <v>26.040000000000003</v>
      </c>
      <c r="EV47" s="22">
        <f t="shared" si="233"/>
        <v>26.040000000000003</v>
      </c>
      <c r="EW47" s="22">
        <f t="shared" si="233"/>
        <v>26.040000000000003</v>
      </c>
      <c r="EX47" s="22">
        <f t="shared" si="233"/>
        <v>26.040000000000003</v>
      </c>
      <c r="EY47" s="22">
        <f t="shared" si="233"/>
        <v>26.040000000000003</v>
      </c>
      <c r="EZ47" s="22">
        <f t="shared" si="233"/>
        <v>26.040000000000003</v>
      </c>
      <c r="FA47" s="22">
        <f t="shared" si="233"/>
        <v>26.040000000000003</v>
      </c>
      <c r="FB47" s="22">
        <f t="shared" si="233"/>
        <v>26.040000000000003</v>
      </c>
      <c r="FC47" s="22">
        <f t="shared" si="233"/>
        <v>26.040000000000003</v>
      </c>
      <c r="FD47" s="22">
        <f t="shared" si="233"/>
        <v>26.040000000000003</v>
      </c>
      <c r="FE47" s="22">
        <f t="shared" si="233"/>
        <v>26.040000000000003</v>
      </c>
      <c r="FF47" s="22">
        <f t="shared" si="233"/>
        <v>26.040000000000003</v>
      </c>
      <c r="FG47" s="22">
        <f t="shared" si="233"/>
        <v>26.040000000000003</v>
      </c>
      <c r="FH47" s="22">
        <f t="shared" si="233"/>
        <v>26.040000000000003</v>
      </c>
      <c r="FI47" s="22">
        <f t="shared" si="233"/>
        <v>26.040000000000003</v>
      </c>
      <c r="FJ47" s="22">
        <f t="shared" si="233"/>
        <v>26.040000000000003</v>
      </c>
      <c r="FK47" s="22">
        <f t="shared" si="233"/>
        <v>26.040000000000003</v>
      </c>
      <c r="FL47" s="22">
        <f t="shared" si="233"/>
        <v>26.040000000000003</v>
      </c>
      <c r="FM47" s="22">
        <f t="shared" si="233"/>
        <v>26.040000000000003</v>
      </c>
      <c r="FN47" s="22">
        <f t="shared" si="233"/>
        <v>26.040000000000003</v>
      </c>
      <c r="FO47" s="22">
        <f t="shared" si="233"/>
        <v>26.040000000000003</v>
      </c>
      <c r="FP47" s="22">
        <f t="shared" si="233"/>
        <v>26.040000000000003</v>
      </c>
      <c r="FQ47" s="22">
        <f t="shared" si="233"/>
        <v>26.040000000000003</v>
      </c>
      <c r="FR47" s="22">
        <f t="shared" si="233"/>
        <v>26.040000000000003</v>
      </c>
      <c r="FS47" s="22">
        <f t="shared" si="233"/>
        <v>26.040000000000003</v>
      </c>
      <c r="FT47" s="22">
        <f t="shared" si="233"/>
        <v>26.040000000000003</v>
      </c>
      <c r="FU47" s="22">
        <f t="shared" si="233"/>
        <v>26.040000000000003</v>
      </c>
      <c r="FV47" s="22">
        <f t="shared" si="233"/>
        <v>26.040000000000003</v>
      </c>
      <c r="FW47" s="22">
        <f t="shared" si="233"/>
        <v>26.040000000000003</v>
      </c>
      <c r="FX47" s="22">
        <f t="shared" si="233"/>
        <v>26.040000000000003</v>
      </c>
      <c r="FY47" s="22">
        <f t="shared" si="233"/>
        <v>26.040000000000003</v>
      </c>
      <c r="FZ47" s="22">
        <f t="shared" si="233"/>
        <v>26.040000000000003</v>
      </c>
      <c r="GA47" s="22">
        <f t="shared" si="233"/>
        <v>26.040000000000003</v>
      </c>
      <c r="GB47" s="22">
        <f t="shared" si="233"/>
        <v>26.040000000000003</v>
      </c>
      <c r="GC47" s="22">
        <f t="shared" si="233"/>
        <v>26.040000000000003</v>
      </c>
      <c r="GD47" s="22">
        <f t="shared" si="233"/>
        <v>26.040000000000003</v>
      </c>
      <c r="GE47" s="22">
        <f t="shared" si="233"/>
        <v>0</v>
      </c>
      <c r="GF47" s="22">
        <f t="shared" si="233"/>
        <v>0</v>
      </c>
      <c r="GG47" s="22">
        <f t="shared" si="233"/>
        <v>0</v>
      </c>
      <c r="GH47" s="22">
        <f t="shared" si="233"/>
        <v>0</v>
      </c>
      <c r="GI47" s="22">
        <f t="shared" si="233"/>
        <v>0</v>
      </c>
      <c r="GJ47" s="22">
        <f t="shared" si="233"/>
        <v>0</v>
      </c>
      <c r="GK47" s="22">
        <f t="shared" si="233"/>
        <v>0</v>
      </c>
      <c r="GL47" s="22">
        <f t="shared" si="233"/>
        <v>0</v>
      </c>
      <c r="GM47" s="22">
        <f t="shared" si="233"/>
        <v>0</v>
      </c>
      <c r="GN47" s="22">
        <f t="shared" si="233"/>
        <v>0</v>
      </c>
      <c r="GO47" s="22">
        <f t="shared" si="233"/>
        <v>0</v>
      </c>
      <c r="GP47" s="22">
        <f t="shared" si="233"/>
        <v>0</v>
      </c>
      <c r="GQ47" s="22">
        <f t="shared" ref="GQ47:JB47" si="234">$E$47*GQ34</f>
        <v>0</v>
      </c>
      <c r="GR47" s="22">
        <f t="shared" si="234"/>
        <v>0</v>
      </c>
      <c r="GS47" s="22">
        <f t="shared" si="234"/>
        <v>0</v>
      </c>
      <c r="GT47" s="22">
        <f t="shared" si="234"/>
        <v>0</v>
      </c>
      <c r="GU47" s="22">
        <f t="shared" si="234"/>
        <v>0</v>
      </c>
      <c r="GV47" s="22">
        <f t="shared" si="234"/>
        <v>0</v>
      </c>
      <c r="GW47" s="22">
        <f t="shared" si="234"/>
        <v>0</v>
      </c>
      <c r="GX47" s="22">
        <f t="shared" si="234"/>
        <v>0</v>
      </c>
      <c r="GY47" s="22">
        <f t="shared" si="234"/>
        <v>0</v>
      </c>
      <c r="GZ47" s="22">
        <f t="shared" si="234"/>
        <v>0</v>
      </c>
      <c r="HA47" s="22">
        <f t="shared" si="234"/>
        <v>0</v>
      </c>
      <c r="HB47" s="22">
        <f t="shared" si="234"/>
        <v>0</v>
      </c>
      <c r="HC47" s="22">
        <f t="shared" si="234"/>
        <v>0</v>
      </c>
      <c r="HD47" s="22">
        <f t="shared" si="234"/>
        <v>0</v>
      </c>
      <c r="HE47" s="22">
        <f t="shared" si="234"/>
        <v>0</v>
      </c>
      <c r="HF47" s="22">
        <f t="shared" si="234"/>
        <v>0</v>
      </c>
      <c r="HG47" s="22">
        <f t="shared" si="234"/>
        <v>0</v>
      </c>
      <c r="HH47" s="22">
        <f t="shared" si="234"/>
        <v>0</v>
      </c>
      <c r="HI47" s="22">
        <f t="shared" si="234"/>
        <v>0</v>
      </c>
      <c r="HJ47" s="22">
        <f t="shared" si="234"/>
        <v>0</v>
      </c>
      <c r="HK47" s="22">
        <f t="shared" si="234"/>
        <v>0</v>
      </c>
      <c r="HL47" s="22">
        <f t="shared" si="234"/>
        <v>0</v>
      </c>
      <c r="HM47" s="22">
        <f t="shared" si="234"/>
        <v>0</v>
      </c>
      <c r="HN47" s="22">
        <f t="shared" si="234"/>
        <v>0</v>
      </c>
      <c r="HO47" s="22">
        <f t="shared" si="234"/>
        <v>0</v>
      </c>
      <c r="HP47" s="22">
        <f t="shared" si="234"/>
        <v>0</v>
      </c>
      <c r="HQ47" s="22">
        <f t="shared" si="234"/>
        <v>0</v>
      </c>
      <c r="HR47" s="22">
        <f t="shared" si="234"/>
        <v>0</v>
      </c>
      <c r="HS47" s="22">
        <f t="shared" si="234"/>
        <v>0</v>
      </c>
      <c r="HT47" s="22">
        <f t="shared" si="234"/>
        <v>0</v>
      </c>
      <c r="HU47" s="22">
        <f t="shared" si="234"/>
        <v>0</v>
      </c>
      <c r="HV47" s="22">
        <f t="shared" si="234"/>
        <v>0</v>
      </c>
      <c r="HW47" s="22">
        <f t="shared" si="234"/>
        <v>0</v>
      </c>
      <c r="HX47" s="22">
        <f t="shared" si="234"/>
        <v>0</v>
      </c>
      <c r="HY47" s="22">
        <f t="shared" si="234"/>
        <v>0</v>
      </c>
      <c r="HZ47" s="22">
        <f t="shared" si="234"/>
        <v>0</v>
      </c>
      <c r="IA47" s="22">
        <f t="shared" si="234"/>
        <v>0</v>
      </c>
      <c r="IB47" s="22">
        <f t="shared" si="234"/>
        <v>0</v>
      </c>
      <c r="IC47" s="22">
        <f t="shared" si="234"/>
        <v>0</v>
      </c>
      <c r="ID47" s="22">
        <f t="shared" si="234"/>
        <v>0</v>
      </c>
      <c r="IE47" s="22">
        <f t="shared" si="234"/>
        <v>0</v>
      </c>
      <c r="IF47" s="22">
        <f t="shared" si="234"/>
        <v>0</v>
      </c>
      <c r="IG47" s="22">
        <f t="shared" si="234"/>
        <v>0</v>
      </c>
      <c r="IH47" s="22">
        <f t="shared" si="234"/>
        <v>0</v>
      </c>
      <c r="II47" s="22">
        <f t="shared" si="234"/>
        <v>0</v>
      </c>
      <c r="IJ47" s="22">
        <f t="shared" si="234"/>
        <v>0</v>
      </c>
      <c r="IK47" s="22">
        <f t="shared" si="234"/>
        <v>0</v>
      </c>
      <c r="IL47" s="22">
        <f t="shared" si="234"/>
        <v>0</v>
      </c>
      <c r="IM47" s="22">
        <f t="shared" si="234"/>
        <v>0</v>
      </c>
      <c r="IN47" s="22">
        <f t="shared" si="234"/>
        <v>0</v>
      </c>
      <c r="IO47" s="22">
        <f t="shared" si="234"/>
        <v>0</v>
      </c>
      <c r="IP47" s="22">
        <f t="shared" si="234"/>
        <v>0</v>
      </c>
      <c r="IQ47" s="22">
        <f t="shared" si="234"/>
        <v>0</v>
      </c>
      <c r="IR47" s="22">
        <f t="shared" si="234"/>
        <v>0</v>
      </c>
      <c r="IS47" s="22">
        <f t="shared" si="234"/>
        <v>0</v>
      </c>
      <c r="IT47" s="22">
        <f t="shared" si="234"/>
        <v>0</v>
      </c>
      <c r="IU47" s="22">
        <f t="shared" si="234"/>
        <v>0</v>
      </c>
      <c r="IV47" s="22">
        <f t="shared" si="234"/>
        <v>0</v>
      </c>
      <c r="IW47" s="22">
        <f t="shared" si="234"/>
        <v>0</v>
      </c>
      <c r="IX47" s="22">
        <f t="shared" si="234"/>
        <v>0</v>
      </c>
      <c r="IY47" s="22">
        <f t="shared" si="234"/>
        <v>0</v>
      </c>
      <c r="IZ47" s="22">
        <f t="shared" si="234"/>
        <v>0</v>
      </c>
      <c r="JA47" s="22">
        <f t="shared" si="234"/>
        <v>0</v>
      </c>
      <c r="JB47" s="22">
        <f t="shared" si="234"/>
        <v>0</v>
      </c>
      <c r="JC47" s="22">
        <f t="shared" ref="JC47:LN47" si="235">$E$47*JC34</f>
        <v>0</v>
      </c>
      <c r="JD47" s="22">
        <f t="shared" si="235"/>
        <v>0</v>
      </c>
      <c r="JE47" s="22">
        <f t="shared" si="235"/>
        <v>0</v>
      </c>
      <c r="JF47" s="22">
        <f t="shared" si="235"/>
        <v>0</v>
      </c>
      <c r="JG47" s="22">
        <f t="shared" si="235"/>
        <v>0</v>
      </c>
      <c r="JH47" s="22">
        <f t="shared" si="235"/>
        <v>0</v>
      </c>
      <c r="JI47" s="22">
        <f t="shared" si="235"/>
        <v>0</v>
      </c>
      <c r="JJ47" s="22">
        <f t="shared" si="235"/>
        <v>0</v>
      </c>
      <c r="JK47" s="22">
        <f t="shared" si="235"/>
        <v>0</v>
      </c>
      <c r="JL47" s="22">
        <f t="shared" si="235"/>
        <v>0</v>
      </c>
      <c r="JM47" s="22">
        <f t="shared" si="235"/>
        <v>0</v>
      </c>
      <c r="JN47" s="22">
        <f t="shared" si="235"/>
        <v>0</v>
      </c>
      <c r="JO47" s="22">
        <f t="shared" si="235"/>
        <v>0</v>
      </c>
      <c r="JP47" s="22">
        <f t="shared" si="235"/>
        <v>0</v>
      </c>
      <c r="JQ47" s="22">
        <f t="shared" si="235"/>
        <v>0</v>
      </c>
      <c r="JR47" s="22">
        <f t="shared" si="235"/>
        <v>0</v>
      </c>
      <c r="JS47" s="22">
        <f t="shared" si="235"/>
        <v>0</v>
      </c>
      <c r="JT47" s="22">
        <f t="shared" si="235"/>
        <v>0</v>
      </c>
      <c r="JU47" s="22">
        <f t="shared" si="235"/>
        <v>0</v>
      </c>
      <c r="JV47" s="22">
        <f t="shared" si="235"/>
        <v>0</v>
      </c>
      <c r="JW47" s="22">
        <f t="shared" si="235"/>
        <v>0</v>
      </c>
      <c r="JX47" s="22">
        <f t="shared" si="235"/>
        <v>0</v>
      </c>
      <c r="JY47" s="22">
        <f t="shared" si="235"/>
        <v>0</v>
      </c>
      <c r="JZ47" s="22">
        <f t="shared" si="235"/>
        <v>0</v>
      </c>
      <c r="KA47" s="22">
        <f t="shared" si="235"/>
        <v>0</v>
      </c>
      <c r="KB47" s="22">
        <f t="shared" si="235"/>
        <v>0</v>
      </c>
      <c r="KC47" s="22">
        <f t="shared" si="235"/>
        <v>0</v>
      </c>
      <c r="KD47" s="22">
        <f t="shared" si="235"/>
        <v>0</v>
      </c>
      <c r="KE47" s="22">
        <f t="shared" si="235"/>
        <v>0</v>
      </c>
      <c r="KF47" s="22">
        <f t="shared" si="235"/>
        <v>0</v>
      </c>
      <c r="KG47" s="22">
        <f t="shared" si="235"/>
        <v>0</v>
      </c>
      <c r="KH47" s="22">
        <f t="shared" si="235"/>
        <v>0</v>
      </c>
      <c r="KI47" s="22">
        <f t="shared" si="235"/>
        <v>0</v>
      </c>
      <c r="KJ47" s="22">
        <f t="shared" si="235"/>
        <v>0</v>
      </c>
      <c r="KK47" s="22">
        <f t="shared" si="235"/>
        <v>0</v>
      </c>
      <c r="KL47" s="22">
        <f t="shared" si="235"/>
        <v>0</v>
      </c>
      <c r="KM47" s="22">
        <f t="shared" si="235"/>
        <v>0</v>
      </c>
      <c r="KN47" s="22">
        <f t="shared" si="235"/>
        <v>0</v>
      </c>
      <c r="KO47" s="22">
        <f t="shared" si="235"/>
        <v>0</v>
      </c>
      <c r="KP47" s="22">
        <f t="shared" si="235"/>
        <v>0</v>
      </c>
      <c r="KQ47" s="22">
        <f t="shared" si="235"/>
        <v>0</v>
      </c>
      <c r="KR47" s="22">
        <f t="shared" si="235"/>
        <v>0</v>
      </c>
      <c r="KS47" s="22">
        <f t="shared" si="235"/>
        <v>0</v>
      </c>
      <c r="KT47" s="22">
        <f t="shared" si="235"/>
        <v>0</v>
      </c>
      <c r="KU47" s="22">
        <f t="shared" si="235"/>
        <v>0</v>
      </c>
      <c r="KV47" s="22">
        <f t="shared" si="235"/>
        <v>0</v>
      </c>
      <c r="KW47" s="22">
        <f t="shared" si="235"/>
        <v>0</v>
      </c>
      <c r="KX47" s="22">
        <f t="shared" si="235"/>
        <v>0</v>
      </c>
      <c r="KY47" s="22">
        <f t="shared" si="235"/>
        <v>0</v>
      </c>
      <c r="KZ47" s="22">
        <f t="shared" si="235"/>
        <v>0</v>
      </c>
      <c r="LA47" s="22">
        <f t="shared" si="235"/>
        <v>0</v>
      </c>
      <c r="LB47" s="22">
        <f t="shared" si="235"/>
        <v>0</v>
      </c>
      <c r="LC47" s="22">
        <f t="shared" si="235"/>
        <v>0</v>
      </c>
      <c r="LD47" s="22">
        <f t="shared" si="235"/>
        <v>0</v>
      </c>
      <c r="LE47" s="22">
        <f t="shared" si="235"/>
        <v>0</v>
      </c>
      <c r="LF47" s="22">
        <f t="shared" si="235"/>
        <v>0</v>
      </c>
      <c r="LG47" s="22">
        <f t="shared" si="235"/>
        <v>0</v>
      </c>
      <c r="LH47" s="22">
        <f t="shared" si="235"/>
        <v>0</v>
      </c>
      <c r="LI47" s="22">
        <f t="shared" si="235"/>
        <v>0</v>
      </c>
      <c r="LJ47" s="22">
        <f t="shared" si="235"/>
        <v>0</v>
      </c>
      <c r="LK47" s="22">
        <f t="shared" si="235"/>
        <v>0</v>
      </c>
      <c r="LL47" s="22">
        <f t="shared" si="235"/>
        <v>0</v>
      </c>
      <c r="LM47" s="22">
        <f t="shared" si="235"/>
        <v>0</v>
      </c>
      <c r="LN47" s="22">
        <f t="shared" si="235"/>
        <v>0</v>
      </c>
      <c r="LO47" s="22">
        <f t="shared" ref="LO47:NZ47" si="236">$E$47*LO34</f>
        <v>0</v>
      </c>
      <c r="LP47" s="22">
        <f t="shared" si="236"/>
        <v>0</v>
      </c>
      <c r="LQ47" s="22">
        <f t="shared" si="236"/>
        <v>0</v>
      </c>
      <c r="LR47" s="22">
        <f t="shared" si="236"/>
        <v>0</v>
      </c>
      <c r="LS47" s="22">
        <f t="shared" si="236"/>
        <v>0</v>
      </c>
      <c r="LT47" s="22">
        <f t="shared" si="236"/>
        <v>0</v>
      </c>
      <c r="LU47" s="22">
        <f t="shared" si="236"/>
        <v>0</v>
      </c>
      <c r="LV47" s="22">
        <f t="shared" si="236"/>
        <v>0</v>
      </c>
      <c r="LW47" s="22">
        <f t="shared" si="236"/>
        <v>0</v>
      </c>
      <c r="LX47" s="22">
        <f t="shared" si="236"/>
        <v>0</v>
      </c>
      <c r="LY47" s="22">
        <f t="shared" si="236"/>
        <v>0</v>
      </c>
      <c r="LZ47" s="22">
        <f t="shared" si="236"/>
        <v>0</v>
      </c>
      <c r="MA47" s="22">
        <f t="shared" si="236"/>
        <v>0</v>
      </c>
      <c r="MB47" s="22">
        <f t="shared" si="236"/>
        <v>0</v>
      </c>
      <c r="MC47" s="22">
        <f t="shared" si="236"/>
        <v>0</v>
      </c>
      <c r="MD47" s="22">
        <f t="shared" si="236"/>
        <v>0</v>
      </c>
      <c r="ME47" s="22">
        <f t="shared" si="236"/>
        <v>0</v>
      </c>
      <c r="MF47" s="22">
        <f t="shared" si="236"/>
        <v>0</v>
      </c>
      <c r="MG47" s="22">
        <f t="shared" si="236"/>
        <v>0</v>
      </c>
      <c r="MH47" s="22">
        <f t="shared" si="236"/>
        <v>0</v>
      </c>
      <c r="MI47" s="22">
        <f t="shared" si="236"/>
        <v>0</v>
      </c>
      <c r="MJ47" s="22">
        <f t="shared" si="236"/>
        <v>0</v>
      </c>
      <c r="MK47" s="22">
        <f t="shared" si="236"/>
        <v>0</v>
      </c>
      <c r="ML47" s="22">
        <f t="shared" si="236"/>
        <v>0</v>
      </c>
      <c r="MM47" s="22">
        <f t="shared" si="236"/>
        <v>0</v>
      </c>
      <c r="MN47" s="22">
        <f t="shared" si="236"/>
        <v>0</v>
      </c>
      <c r="MO47" s="22">
        <f t="shared" si="236"/>
        <v>0</v>
      </c>
      <c r="MP47" s="22">
        <f t="shared" si="236"/>
        <v>0</v>
      </c>
      <c r="MQ47" s="22">
        <f t="shared" si="236"/>
        <v>0</v>
      </c>
      <c r="MR47" s="22">
        <f t="shared" si="236"/>
        <v>0</v>
      </c>
      <c r="MS47" s="22">
        <f t="shared" si="236"/>
        <v>0</v>
      </c>
      <c r="MT47" s="22">
        <f t="shared" si="236"/>
        <v>0</v>
      </c>
      <c r="MU47" s="22">
        <f t="shared" si="236"/>
        <v>0</v>
      </c>
      <c r="MV47" s="22">
        <f t="shared" si="236"/>
        <v>0</v>
      </c>
      <c r="MW47" s="22">
        <f t="shared" si="236"/>
        <v>0</v>
      </c>
      <c r="MX47" s="22">
        <f t="shared" si="236"/>
        <v>0</v>
      </c>
      <c r="MY47" s="22">
        <f t="shared" si="236"/>
        <v>0</v>
      </c>
      <c r="MZ47" s="22">
        <f t="shared" si="236"/>
        <v>0</v>
      </c>
      <c r="NA47" s="22">
        <f t="shared" si="236"/>
        <v>0</v>
      </c>
      <c r="NB47" s="22">
        <f t="shared" si="236"/>
        <v>0</v>
      </c>
      <c r="NC47" s="22">
        <f t="shared" si="236"/>
        <v>0</v>
      </c>
      <c r="ND47" s="22">
        <f t="shared" si="236"/>
        <v>0</v>
      </c>
      <c r="NE47" s="22">
        <f t="shared" si="236"/>
        <v>0</v>
      </c>
      <c r="NF47" s="22">
        <f t="shared" si="236"/>
        <v>0</v>
      </c>
      <c r="NG47" s="22">
        <f t="shared" si="236"/>
        <v>0</v>
      </c>
      <c r="NH47" s="22">
        <f t="shared" si="236"/>
        <v>0</v>
      </c>
      <c r="NI47" s="22">
        <f t="shared" si="236"/>
        <v>0</v>
      </c>
      <c r="NJ47" s="22">
        <f t="shared" si="236"/>
        <v>0</v>
      </c>
      <c r="NK47" s="22">
        <f t="shared" si="236"/>
        <v>0</v>
      </c>
      <c r="NL47" s="22">
        <f t="shared" si="236"/>
        <v>0</v>
      </c>
      <c r="NM47" s="22">
        <f t="shared" si="236"/>
        <v>0</v>
      </c>
      <c r="NN47" s="22">
        <f t="shared" si="236"/>
        <v>0</v>
      </c>
      <c r="NO47" s="22">
        <f t="shared" si="236"/>
        <v>0</v>
      </c>
      <c r="NP47" s="22">
        <f t="shared" si="236"/>
        <v>0</v>
      </c>
      <c r="NQ47" s="22">
        <f t="shared" si="236"/>
        <v>0</v>
      </c>
      <c r="NR47" s="22">
        <f t="shared" si="236"/>
        <v>0</v>
      </c>
      <c r="NS47" s="22">
        <f t="shared" si="236"/>
        <v>0</v>
      </c>
      <c r="NT47" s="22">
        <f t="shared" si="236"/>
        <v>0</v>
      </c>
      <c r="NU47" s="22">
        <f t="shared" si="236"/>
        <v>0</v>
      </c>
      <c r="NV47" s="22">
        <f t="shared" si="236"/>
        <v>0</v>
      </c>
      <c r="NW47" s="22">
        <f t="shared" si="236"/>
        <v>0</v>
      </c>
      <c r="NX47" s="22">
        <f t="shared" si="236"/>
        <v>0</v>
      </c>
      <c r="NY47" s="22">
        <f t="shared" si="236"/>
        <v>0</v>
      </c>
      <c r="NZ47" s="22">
        <f t="shared" si="236"/>
        <v>0</v>
      </c>
      <c r="OA47" s="22">
        <f t="shared" ref="OA47:QL47" si="237">$E$47*OA34</f>
        <v>0</v>
      </c>
      <c r="OB47" s="22">
        <f t="shared" si="237"/>
        <v>0</v>
      </c>
      <c r="OC47" s="22">
        <f t="shared" si="237"/>
        <v>0</v>
      </c>
      <c r="OD47" s="22">
        <f t="shared" si="237"/>
        <v>0</v>
      </c>
      <c r="OE47" s="22">
        <f t="shared" si="237"/>
        <v>0</v>
      </c>
      <c r="OF47" s="22">
        <f t="shared" si="237"/>
        <v>0</v>
      </c>
      <c r="OG47" s="22">
        <f t="shared" si="237"/>
        <v>0</v>
      </c>
      <c r="OH47" s="22">
        <f t="shared" si="237"/>
        <v>0</v>
      </c>
      <c r="OI47" s="22">
        <f t="shared" si="237"/>
        <v>0</v>
      </c>
      <c r="OJ47" s="22">
        <f t="shared" si="237"/>
        <v>0</v>
      </c>
      <c r="OK47" s="22">
        <f t="shared" si="237"/>
        <v>0</v>
      </c>
      <c r="OL47" s="22">
        <f t="shared" si="237"/>
        <v>0</v>
      </c>
      <c r="OM47" s="22">
        <f t="shared" si="237"/>
        <v>0</v>
      </c>
      <c r="ON47" s="22">
        <f t="shared" si="237"/>
        <v>0</v>
      </c>
      <c r="OO47" s="22">
        <f t="shared" si="237"/>
        <v>0</v>
      </c>
      <c r="OP47" s="22">
        <f t="shared" si="237"/>
        <v>0</v>
      </c>
      <c r="OQ47" s="22">
        <f t="shared" si="237"/>
        <v>0</v>
      </c>
      <c r="OR47" s="22">
        <f t="shared" si="237"/>
        <v>0</v>
      </c>
      <c r="OS47" s="22">
        <f t="shared" si="237"/>
        <v>0</v>
      </c>
      <c r="OT47" s="22">
        <f t="shared" si="237"/>
        <v>0</v>
      </c>
      <c r="OU47" s="22">
        <f t="shared" si="237"/>
        <v>0</v>
      </c>
      <c r="OV47" s="22">
        <f t="shared" si="237"/>
        <v>0</v>
      </c>
      <c r="OW47" s="22">
        <f t="shared" si="237"/>
        <v>0</v>
      </c>
      <c r="OX47" s="22">
        <f t="shared" si="237"/>
        <v>0</v>
      </c>
      <c r="OY47" s="22">
        <f t="shared" si="237"/>
        <v>0</v>
      </c>
      <c r="OZ47" s="22">
        <f t="shared" si="237"/>
        <v>0</v>
      </c>
      <c r="PA47" s="22">
        <f t="shared" si="237"/>
        <v>0</v>
      </c>
      <c r="PB47" s="22">
        <f t="shared" si="237"/>
        <v>0</v>
      </c>
      <c r="PC47" s="22">
        <f t="shared" si="237"/>
        <v>0</v>
      </c>
      <c r="PD47" s="22">
        <f t="shared" si="237"/>
        <v>0</v>
      </c>
      <c r="PE47" s="22">
        <f t="shared" si="237"/>
        <v>0</v>
      </c>
      <c r="PF47" s="22">
        <f t="shared" si="237"/>
        <v>0</v>
      </c>
      <c r="PG47" s="22">
        <f t="shared" si="237"/>
        <v>0</v>
      </c>
      <c r="PH47" s="22">
        <f t="shared" si="237"/>
        <v>0</v>
      </c>
      <c r="PI47" s="22">
        <f t="shared" si="237"/>
        <v>0</v>
      </c>
      <c r="PJ47" s="22">
        <f t="shared" si="237"/>
        <v>0</v>
      </c>
      <c r="PK47" s="22">
        <f t="shared" si="237"/>
        <v>0</v>
      </c>
      <c r="PL47" s="22">
        <f t="shared" si="237"/>
        <v>0</v>
      </c>
      <c r="PM47" s="22">
        <f t="shared" si="237"/>
        <v>0</v>
      </c>
      <c r="PN47" s="22">
        <f t="shared" si="237"/>
        <v>0</v>
      </c>
      <c r="PO47" s="22">
        <f t="shared" si="237"/>
        <v>0</v>
      </c>
      <c r="PP47" s="22">
        <f t="shared" si="237"/>
        <v>0</v>
      </c>
      <c r="PQ47" s="22">
        <f t="shared" si="237"/>
        <v>0</v>
      </c>
      <c r="PR47" s="22">
        <f t="shared" si="237"/>
        <v>0</v>
      </c>
      <c r="PS47" s="22">
        <f t="shared" si="237"/>
        <v>0</v>
      </c>
      <c r="PT47" s="22">
        <f t="shared" si="237"/>
        <v>0</v>
      </c>
      <c r="PU47" s="22">
        <f t="shared" si="237"/>
        <v>0</v>
      </c>
      <c r="PV47" s="22">
        <f t="shared" si="237"/>
        <v>0</v>
      </c>
      <c r="PW47" s="22">
        <f t="shared" si="237"/>
        <v>0</v>
      </c>
      <c r="PX47" s="22">
        <f t="shared" si="237"/>
        <v>0</v>
      </c>
      <c r="PY47" s="22">
        <f t="shared" si="237"/>
        <v>0</v>
      </c>
      <c r="PZ47" s="22">
        <f t="shared" si="237"/>
        <v>0</v>
      </c>
      <c r="QA47" s="22">
        <f t="shared" si="237"/>
        <v>0</v>
      </c>
      <c r="QB47" s="22">
        <f t="shared" si="237"/>
        <v>0</v>
      </c>
      <c r="QC47" s="22">
        <f t="shared" si="237"/>
        <v>0</v>
      </c>
      <c r="QD47" s="22">
        <f t="shared" si="237"/>
        <v>0</v>
      </c>
      <c r="QE47" s="22">
        <f t="shared" si="237"/>
        <v>0</v>
      </c>
      <c r="QF47" s="22">
        <f t="shared" si="237"/>
        <v>0</v>
      </c>
      <c r="QG47" s="22">
        <f t="shared" si="237"/>
        <v>0</v>
      </c>
      <c r="QH47" s="22">
        <f t="shared" si="237"/>
        <v>0</v>
      </c>
      <c r="QI47" s="22">
        <f t="shared" si="237"/>
        <v>0</v>
      </c>
      <c r="QJ47" s="22">
        <f t="shared" si="237"/>
        <v>0</v>
      </c>
      <c r="QK47" s="22">
        <f t="shared" si="237"/>
        <v>0</v>
      </c>
      <c r="QL47" s="22">
        <f t="shared" si="237"/>
        <v>0</v>
      </c>
      <c r="QM47" s="22">
        <f t="shared" ref="QM47:SX47" si="238">$E$47*QM34</f>
        <v>0</v>
      </c>
      <c r="QN47" s="22">
        <f t="shared" si="238"/>
        <v>0</v>
      </c>
      <c r="QO47" s="22">
        <f t="shared" si="238"/>
        <v>0</v>
      </c>
      <c r="QP47" s="22">
        <f t="shared" si="238"/>
        <v>0</v>
      </c>
      <c r="QQ47" s="22">
        <f t="shared" si="238"/>
        <v>0</v>
      </c>
      <c r="QR47" s="22">
        <f t="shared" si="238"/>
        <v>0</v>
      </c>
      <c r="QS47" s="22">
        <f t="shared" si="238"/>
        <v>0</v>
      </c>
      <c r="QT47" s="22">
        <f t="shared" si="238"/>
        <v>0</v>
      </c>
      <c r="QU47" s="22">
        <f t="shared" si="238"/>
        <v>0</v>
      </c>
      <c r="QV47" s="22">
        <f t="shared" si="238"/>
        <v>0</v>
      </c>
      <c r="QW47" s="22">
        <f t="shared" si="238"/>
        <v>0</v>
      </c>
      <c r="QX47" s="22">
        <f t="shared" si="238"/>
        <v>0</v>
      </c>
      <c r="QY47" s="22">
        <f t="shared" si="238"/>
        <v>0</v>
      </c>
      <c r="QZ47" s="22">
        <f t="shared" si="238"/>
        <v>0</v>
      </c>
      <c r="RA47" s="22">
        <f t="shared" si="238"/>
        <v>0</v>
      </c>
      <c r="RB47" s="22">
        <f t="shared" si="238"/>
        <v>0</v>
      </c>
      <c r="RC47" s="22">
        <f t="shared" si="238"/>
        <v>0</v>
      </c>
      <c r="RD47" s="22">
        <f t="shared" si="238"/>
        <v>0</v>
      </c>
      <c r="RE47" s="22">
        <f t="shared" si="238"/>
        <v>0</v>
      </c>
      <c r="RF47" s="22">
        <f t="shared" si="238"/>
        <v>0</v>
      </c>
      <c r="RG47" s="22">
        <f t="shared" si="238"/>
        <v>0</v>
      </c>
      <c r="RH47" s="22">
        <f t="shared" si="238"/>
        <v>0</v>
      </c>
      <c r="RI47" s="22">
        <f t="shared" si="238"/>
        <v>0</v>
      </c>
      <c r="RJ47" s="22">
        <f t="shared" si="238"/>
        <v>0</v>
      </c>
      <c r="RK47" s="22">
        <f t="shared" si="238"/>
        <v>0</v>
      </c>
      <c r="RL47" s="22">
        <f t="shared" si="238"/>
        <v>0</v>
      </c>
      <c r="RM47" s="22">
        <f t="shared" si="238"/>
        <v>0</v>
      </c>
      <c r="RN47" s="22">
        <f t="shared" si="238"/>
        <v>0</v>
      </c>
      <c r="RO47" s="22">
        <f t="shared" si="238"/>
        <v>0</v>
      </c>
      <c r="RP47" s="22">
        <f t="shared" si="238"/>
        <v>0</v>
      </c>
      <c r="RQ47" s="22">
        <f t="shared" si="238"/>
        <v>0</v>
      </c>
      <c r="RR47" s="22">
        <f t="shared" si="238"/>
        <v>0</v>
      </c>
      <c r="RS47" s="22">
        <f t="shared" si="238"/>
        <v>0</v>
      </c>
      <c r="RT47" s="22">
        <f t="shared" si="238"/>
        <v>0</v>
      </c>
      <c r="RU47" s="22">
        <f t="shared" si="238"/>
        <v>0</v>
      </c>
      <c r="RV47" s="22">
        <f t="shared" si="238"/>
        <v>0</v>
      </c>
      <c r="RW47" s="22">
        <f t="shared" si="238"/>
        <v>0</v>
      </c>
      <c r="RX47" s="22">
        <f t="shared" si="238"/>
        <v>0</v>
      </c>
      <c r="RY47" s="22">
        <f t="shared" si="238"/>
        <v>0</v>
      </c>
      <c r="RZ47" s="22">
        <f t="shared" si="238"/>
        <v>0</v>
      </c>
      <c r="SA47" s="22">
        <f t="shared" si="238"/>
        <v>0</v>
      </c>
      <c r="SB47" s="22">
        <f t="shared" si="238"/>
        <v>0</v>
      </c>
      <c r="SC47" s="22">
        <f t="shared" si="238"/>
        <v>0</v>
      </c>
      <c r="SD47" s="22">
        <f t="shared" si="238"/>
        <v>0</v>
      </c>
      <c r="SE47" s="22">
        <f t="shared" si="238"/>
        <v>0</v>
      </c>
      <c r="SF47" s="22">
        <f t="shared" si="238"/>
        <v>0</v>
      </c>
      <c r="SG47" s="22">
        <f t="shared" si="238"/>
        <v>0</v>
      </c>
      <c r="SH47" s="22">
        <f t="shared" si="238"/>
        <v>0</v>
      </c>
      <c r="SI47" s="22">
        <f t="shared" si="238"/>
        <v>0</v>
      </c>
      <c r="SJ47" s="22">
        <f t="shared" si="238"/>
        <v>0</v>
      </c>
      <c r="SK47" s="22">
        <f t="shared" si="238"/>
        <v>0</v>
      </c>
      <c r="SL47" s="22">
        <f t="shared" si="238"/>
        <v>0</v>
      </c>
      <c r="SM47" s="22">
        <f t="shared" si="238"/>
        <v>0</v>
      </c>
      <c r="SN47" s="22">
        <f t="shared" si="238"/>
        <v>0</v>
      </c>
      <c r="SO47" s="22">
        <f t="shared" si="238"/>
        <v>0</v>
      </c>
      <c r="SP47" s="22">
        <f t="shared" si="238"/>
        <v>0</v>
      </c>
      <c r="SQ47" s="22">
        <f t="shared" si="238"/>
        <v>0</v>
      </c>
      <c r="SR47" s="22">
        <f t="shared" si="238"/>
        <v>0</v>
      </c>
      <c r="SS47" s="22">
        <f t="shared" si="238"/>
        <v>0</v>
      </c>
      <c r="ST47" s="22">
        <f t="shared" si="238"/>
        <v>0</v>
      </c>
      <c r="SU47" s="22">
        <f t="shared" si="238"/>
        <v>0</v>
      </c>
      <c r="SV47" s="22">
        <f t="shared" si="238"/>
        <v>0</v>
      </c>
      <c r="SW47" s="22">
        <f t="shared" si="238"/>
        <v>0</v>
      </c>
      <c r="SX47" s="22">
        <f t="shared" si="238"/>
        <v>0</v>
      </c>
      <c r="SY47" s="22">
        <f t="shared" ref="SY47:VJ47" si="239">$E$47*SY34</f>
        <v>0</v>
      </c>
      <c r="SZ47" s="22">
        <f t="shared" si="239"/>
        <v>0</v>
      </c>
      <c r="TA47" s="22">
        <f t="shared" si="239"/>
        <v>0</v>
      </c>
      <c r="TB47" s="22">
        <f t="shared" si="239"/>
        <v>0</v>
      </c>
      <c r="TC47" s="22">
        <f t="shared" si="239"/>
        <v>0</v>
      </c>
      <c r="TD47" s="22">
        <f t="shared" si="239"/>
        <v>0</v>
      </c>
      <c r="TE47" s="22">
        <f t="shared" si="239"/>
        <v>0</v>
      </c>
      <c r="TF47" s="22">
        <f t="shared" si="239"/>
        <v>0</v>
      </c>
      <c r="TG47" s="22">
        <f t="shared" si="239"/>
        <v>0</v>
      </c>
      <c r="TH47" s="22">
        <f t="shared" si="239"/>
        <v>0</v>
      </c>
      <c r="TI47" s="22">
        <f t="shared" si="239"/>
        <v>0</v>
      </c>
      <c r="TJ47" s="22">
        <f t="shared" si="239"/>
        <v>0</v>
      </c>
      <c r="TK47" s="22">
        <f t="shared" si="239"/>
        <v>0</v>
      </c>
      <c r="TL47" s="22">
        <f t="shared" si="239"/>
        <v>0</v>
      </c>
      <c r="TM47" s="22">
        <f t="shared" si="239"/>
        <v>0</v>
      </c>
      <c r="TN47" s="22">
        <f t="shared" si="239"/>
        <v>0</v>
      </c>
      <c r="TO47" s="22">
        <f t="shared" si="239"/>
        <v>0</v>
      </c>
      <c r="TP47" s="22">
        <f t="shared" si="239"/>
        <v>0</v>
      </c>
      <c r="TQ47" s="22">
        <f t="shared" si="239"/>
        <v>0</v>
      </c>
      <c r="TR47" s="22">
        <f t="shared" si="239"/>
        <v>0</v>
      </c>
      <c r="TS47" s="22">
        <f t="shared" si="239"/>
        <v>0</v>
      </c>
      <c r="TT47" s="22">
        <f t="shared" si="239"/>
        <v>0</v>
      </c>
      <c r="TU47" s="22">
        <f t="shared" si="239"/>
        <v>0</v>
      </c>
      <c r="TV47" s="22">
        <f t="shared" si="239"/>
        <v>0</v>
      </c>
      <c r="TW47" s="22">
        <f t="shared" si="239"/>
        <v>0</v>
      </c>
      <c r="TX47" s="22">
        <f t="shared" si="239"/>
        <v>0</v>
      </c>
      <c r="TY47" s="22">
        <f t="shared" si="239"/>
        <v>0</v>
      </c>
      <c r="TZ47" s="22">
        <f t="shared" si="239"/>
        <v>0</v>
      </c>
      <c r="UA47" s="22">
        <f t="shared" si="239"/>
        <v>0</v>
      </c>
      <c r="UB47" s="22">
        <f t="shared" si="239"/>
        <v>0</v>
      </c>
      <c r="UC47" s="22">
        <f t="shared" si="239"/>
        <v>0</v>
      </c>
      <c r="UD47" s="22">
        <f t="shared" si="239"/>
        <v>0</v>
      </c>
      <c r="UE47" s="22">
        <f t="shared" si="239"/>
        <v>0</v>
      </c>
      <c r="UF47" s="22">
        <f t="shared" si="239"/>
        <v>0</v>
      </c>
      <c r="UG47" s="22">
        <f t="shared" si="239"/>
        <v>0</v>
      </c>
      <c r="UH47" s="22">
        <f t="shared" si="239"/>
        <v>0</v>
      </c>
      <c r="UI47" s="22">
        <f t="shared" si="239"/>
        <v>0</v>
      </c>
      <c r="UJ47" s="22">
        <f t="shared" si="239"/>
        <v>0</v>
      </c>
      <c r="UK47" s="22">
        <f t="shared" si="239"/>
        <v>0</v>
      </c>
      <c r="UL47" s="22">
        <f t="shared" si="239"/>
        <v>0</v>
      </c>
      <c r="UM47" s="22">
        <f t="shared" si="239"/>
        <v>0</v>
      </c>
      <c r="UN47" s="22">
        <f t="shared" si="239"/>
        <v>0</v>
      </c>
      <c r="UO47" s="22">
        <f t="shared" si="239"/>
        <v>0</v>
      </c>
      <c r="UP47" s="22">
        <f t="shared" si="239"/>
        <v>0</v>
      </c>
      <c r="UQ47" s="22">
        <f t="shared" si="239"/>
        <v>0</v>
      </c>
      <c r="UR47" s="22">
        <f t="shared" si="239"/>
        <v>0</v>
      </c>
      <c r="US47" s="22">
        <f t="shared" si="239"/>
        <v>0</v>
      </c>
      <c r="UT47" s="22">
        <f t="shared" si="239"/>
        <v>0</v>
      </c>
      <c r="UU47" s="22">
        <f t="shared" si="239"/>
        <v>0</v>
      </c>
      <c r="UV47" s="22">
        <f t="shared" si="239"/>
        <v>0</v>
      </c>
      <c r="UW47" s="22">
        <f t="shared" si="239"/>
        <v>0</v>
      </c>
      <c r="UX47" s="22">
        <f t="shared" si="239"/>
        <v>0</v>
      </c>
      <c r="UY47" s="22">
        <f t="shared" si="239"/>
        <v>0</v>
      </c>
      <c r="UZ47" s="22">
        <f t="shared" si="239"/>
        <v>0</v>
      </c>
      <c r="VA47" s="22">
        <f t="shared" si="239"/>
        <v>0</v>
      </c>
      <c r="VB47" s="22">
        <f t="shared" si="239"/>
        <v>0</v>
      </c>
      <c r="VC47" s="22">
        <f t="shared" si="239"/>
        <v>0</v>
      </c>
      <c r="VD47" s="22">
        <f t="shared" si="239"/>
        <v>0</v>
      </c>
      <c r="VE47" s="22">
        <f t="shared" si="239"/>
        <v>0</v>
      </c>
      <c r="VF47" s="22">
        <f t="shared" si="239"/>
        <v>0</v>
      </c>
      <c r="VG47" s="22">
        <f t="shared" si="239"/>
        <v>0</v>
      </c>
      <c r="VH47" s="22">
        <f t="shared" si="239"/>
        <v>0</v>
      </c>
      <c r="VI47" s="22">
        <f t="shared" si="239"/>
        <v>0</v>
      </c>
      <c r="VJ47" s="22">
        <f t="shared" si="239"/>
        <v>0</v>
      </c>
      <c r="VK47" s="22">
        <f t="shared" ref="VK47:XV47" si="240">$E$47*VK34</f>
        <v>0</v>
      </c>
      <c r="VL47" s="22">
        <f t="shared" si="240"/>
        <v>0</v>
      </c>
      <c r="VM47" s="22">
        <f t="shared" si="240"/>
        <v>0</v>
      </c>
      <c r="VN47" s="22">
        <f t="shared" si="240"/>
        <v>0</v>
      </c>
      <c r="VO47" s="22">
        <f t="shared" si="240"/>
        <v>0</v>
      </c>
      <c r="VP47" s="22">
        <f t="shared" si="240"/>
        <v>0</v>
      </c>
      <c r="VQ47" s="22">
        <f t="shared" si="240"/>
        <v>0</v>
      </c>
      <c r="VR47" s="22">
        <f t="shared" si="240"/>
        <v>0</v>
      </c>
      <c r="VS47" s="22">
        <f t="shared" si="240"/>
        <v>0</v>
      </c>
      <c r="VT47" s="22">
        <f t="shared" si="240"/>
        <v>0</v>
      </c>
      <c r="VU47" s="22">
        <f t="shared" si="240"/>
        <v>0</v>
      </c>
      <c r="VV47" s="22">
        <f t="shared" si="240"/>
        <v>0</v>
      </c>
      <c r="VW47" s="22">
        <f t="shared" si="240"/>
        <v>0</v>
      </c>
      <c r="VX47" s="22">
        <f t="shared" si="240"/>
        <v>0</v>
      </c>
      <c r="VY47" s="22">
        <f t="shared" si="240"/>
        <v>0</v>
      </c>
      <c r="VZ47" s="22">
        <f t="shared" si="240"/>
        <v>0</v>
      </c>
      <c r="WA47" s="22">
        <f t="shared" si="240"/>
        <v>0</v>
      </c>
      <c r="WB47" s="22">
        <f t="shared" si="240"/>
        <v>0</v>
      </c>
      <c r="WC47" s="22">
        <f t="shared" si="240"/>
        <v>0</v>
      </c>
      <c r="WD47" s="22">
        <f t="shared" si="240"/>
        <v>0</v>
      </c>
      <c r="WE47" s="22">
        <f t="shared" si="240"/>
        <v>0</v>
      </c>
      <c r="WF47" s="22">
        <f t="shared" si="240"/>
        <v>0</v>
      </c>
      <c r="WG47" s="22">
        <f t="shared" si="240"/>
        <v>0</v>
      </c>
      <c r="WH47" s="22">
        <f t="shared" si="240"/>
        <v>0</v>
      </c>
      <c r="WI47" s="22">
        <f t="shared" si="240"/>
        <v>0</v>
      </c>
      <c r="WJ47" s="22">
        <f t="shared" si="240"/>
        <v>0</v>
      </c>
      <c r="WK47" s="22">
        <f t="shared" si="240"/>
        <v>0</v>
      </c>
      <c r="WL47" s="22">
        <f t="shared" si="240"/>
        <v>0</v>
      </c>
      <c r="WM47" s="22">
        <f t="shared" si="240"/>
        <v>0</v>
      </c>
      <c r="WN47" s="22">
        <f t="shared" si="240"/>
        <v>0</v>
      </c>
      <c r="WO47" s="22">
        <f t="shared" si="240"/>
        <v>0</v>
      </c>
      <c r="WP47" s="22">
        <f t="shared" si="240"/>
        <v>0</v>
      </c>
      <c r="WQ47" s="22">
        <f t="shared" si="240"/>
        <v>0</v>
      </c>
      <c r="WR47" s="22">
        <f t="shared" si="240"/>
        <v>0</v>
      </c>
      <c r="WS47" s="22">
        <f t="shared" si="240"/>
        <v>0</v>
      </c>
      <c r="WT47" s="22">
        <f t="shared" si="240"/>
        <v>0</v>
      </c>
      <c r="WU47" s="22">
        <f t="shared" si="240"/>
        <v>0</v>
      </c>
      <c r="WV47" s="22">
        <f t="shared" si="240"/>
        <v>0</v>
      </c>
      <c r="WW47" s="22">
        <f t="shared" si="240"/>
        <v>0</v>
      </c>
      <c r="WX47" s="22">
        <f t="shared" si="240"/>
        <v>0</v>
      </c>
      <c r="WY47" s="22">
        <f t="shared" si="240"/>
        <v>0</v>
      </c>
      <c r="WZ47" s="22">
        <f t="shared" si="240"/>
        <v>0</v>
      </c>
      <c r="XA47" s="22">
        <f t="shared" si="240"/>
        <v>0</v>
      </c>
      <c r="XB47" s="22">
        <f t="shared" si="240"/>
        <v>0</v>
      </c>
      <c r="XC47" s="22">
        <f t="shared" si="240"/>
        <v>0</v>
      </c>
      <c r="XD47" s="22">
        <f t="shared" si="240"/>
        <v>0</v>
      </c>
      <c r="XE47" s="22">
        <f t="shared" si="240"/>
        <v>0</v>
      </c>
      <c r="XF47" s="22">
        <f t="shared" si="240"/>
        <v>0</v>
      </c>
      <c r="XG47" s="22">
        <f t="shared" si="240"/>
        <v>0</v>
      </c>
      <c r="XH47" s="22">
        <f t="shared" si="240"/>
        <v>0</v>
      </c>
      <c r="XI47" s="22">
        <f t="shared" si="240"/>
        <v>0</v>
      </c>
      <c r="XJ47" s="22">
        <f t="shared" si="240"/>
        <v>0</v>
      </c>
      <c r="XK47" s="22">
        <f t="shared" si="240"/>
        <v>0</v>
      </c>
      <c r="XL47" s="22">
        <f t="shared" si="240"/>
        <v>0</v>
      </c>
      <c r="XM47" s="22">
        <f t="shared" si="240"/>
        <v>0</v>
      </c>
      <c r="XN47" s="22">
        <f t="shared" si="240"/>
        <v>0</v>
      </c>
      <c r="XO47" s="22">
        <f t="shared" si="240"/>
        <v>0</v>
      </c>
      <c r="XP47" s="22">
        <f t="shared" si="240"/>
        <v>0</v>
      </c>
      <c r="XQ47" s="22">
        <f t="shared" si="240"/>
        <v>0</v>
      </c>
      <c r="XR47" s="22">
        <f t="shared" si="240"/>
        <v>0</v>
      </c>
      <c r="XS47" s="22">
        <f t="shared" si="240"/>
        <v>0</v>
      </c>
      <c r="XT47" s="22">
        <f t="shared" si="240"/>
        <v>0</v>
      </c>
      <c r="XU47" s="22">
        <f t="shared" si="240"/>
        <v>0</v>
      </c>
      <c r="XV47" s="22">
        <f t="shared" si="240"/>
        <v>0</v>
      </c>
      <c r="XW47" s="22">
        <f t="shared" ref="XW47:AAH47" si="241">$E$47*XW34</f>
        <v>0</v>
      </c>
      <c r="XX47" s="22">
        <f t="shared" si="241"/>
        <v>0</v>
      </c>
      <c r="XY47" s="22">
        <f t="shared" si="241"/>
        <v>0</v>
      </c>
      <c r="XZ47" s="22">
        <f t="shared" si="241"/>
        <v>0</v>
      </c>
      <c r="YA47" s="22">
        <f t="shared" si="241"/>
        <v>0</v>
      </c>
      <c r="YB47" s="22">
        <f t="shared" si="241"/>
        <v>0</v>
      </c>
      <c r="YC47" s="22">
        <f t="shared" si="241"/>
        <v>0</v>
      </c>
      <c r="YD47" s="22">
        <f t="shared" si="241"/>
        <v>0</v>
      </c>
      <c r="YE47" s="22">
        <f t="shared" si="241"/>
        <v>0</v>
      </c>
      <c r="YF47" s="22">
        <f t="shared" si="241"/>
        <v>0</v>
      </c>
      <c r="YG47" s="22">
        <f t="shared" si="241"/>
        <v>0</v>
      </c>
      <c r="YH47" s="22">
        <f t="shared" si="241"/>
        <v>0</v>
      </c>
      <c r="YI47" s="22">
        <f t="shared" si="241"/>
        <v>0</v>
      </c>
      <c r="YJ47" s="22">
        <f t="shared" si="241"/>
        <v>0</v>
      </c>
      <c r="YK47" s="22">
        <f t="shared" si="241"/>
        <v>0</v>
      </c>
      <c r="YL47" s="22">
        <f t="shared" si="241"/>
        <v>0</v>
      </c>
      <c r="YM47" s="22">
        <f t="shared" si="241"/>
        <v>0</v>
      </c>
      <c r="YN47" s="22">
        <f t="shared" si="241"/>
        <v>0</v>
      </c>
      <c r="YO47" s="22">
        <f t="shared" si="241"/>
        <v>0</v>
      </c>
      <c r="YP47" s="22">
        <f t="shared" si="241"/>
        <v>0</v>
      </c>
      <c r="YQ47" s="22">
        <f t="shared" si="241"/>
        <v>0</v>
      </c>
      <c r="YR47" s="22">
        <f t="shared" si="241"/>
        <v>0</v>
      </c>
      <c r="YS47" s="22">
        <f t="shared" si="241"/>
        <v>0</v>
      </c>
      <c r="YT47" s="22">
        <f t="shared" si="241"/>
        <v>0</v>
      </c>
      <c r="YU47" s="22">
        <f t="shared" si="241"/>
        <v>0</v>
      </c>
      <c r="YV47" s="22">
        <f t="shared" si="241"/>
        <v>0</v>
      </c>
      <c r="YW47" s="22">
        <f t="shared" si="241"/>
        <v>0</v>
      </c>
      <c r="YX47" s="22">
        <f t="shared" si="241"/>
        <v>0</v>
      </c>
      <c r="YY47" s="22">
        <f t="shared" si="241"/>
        <v>0</v>
      </c>
      <c r="YZ47" s="22">
        <f t="shared" si="241"/>
        <v>0</v>
      </c>
      <c r="ZA47" s="22">
        <f t="shared" si="241"/>
        <v>0</v>
      </c>
      <c r="ZB47" s="22">
        <f t="shared" si="241"/>
        <v>0</v>
      </c>
      <c r="ZC47" s="22">
        <f t="shared" si="241"/>
        <v>0</v>
      </c>
      <c r="ZD47" s="22">
        <f t="shared" si="241"/>
        <v>0</v>
      </c>
      <c r="ZE47" s="22">
        <f t="shared" si="241"/>
        <v>0</v>
      </c>
      <c r="ZF47" s="22">
        <f t="shared" si="241"/>
        <v>0</v>
      </c>
      <c r="ZG47" s="22">
        <f t="shared" si="241"/>
        <v>0</v>
      </c>
      <c r="ZH47" s="22">
        <f t="shared" si="241"/>
        <v>0</v>
      </c>
      <c r="ZI47" s="22">
        <f t="shared" si="241"/>
        <v>0</v>
      </c>
      <c r="ZJ47" s="22">
        <f t="shared" si="241"/>
        <v>0</v>
      </c>
      <c r="ZK47" s="22">
        <f t="shared" si="241"/>
        <v>0</v>
      </c>
      <c r="ZL47" s="22">
        <f t="shared" si="241"/>
        <v>0</v>
      </c>
      <c r="ZM47" s="22">
        <f t="shared" si="241"/>
        <v>0</v>
      </c>
      <c r="ZN47" s="22">
        <f t="shared" si="241"/>
        <v>0</v>
      </c>
      <c r="ZO47" s="22">
        <f t="shared" si="241"/>
        <v>0</v>
      </c>
      <c r="ZP47" s="22">
        <f t="shared" si="241"/>
        <v>0</v>
      </c>
      <c r="ZQ47" s="22">
        <f t="shared" si="241"/>
        <v>0</v>
      </c>
      <c r="ZR47" s="22">
        <f t="shared" si="241"/>
        <v>0</v>
      </c>
      <c r="ZS47" s="22">
        <f t="shared" si="241"/>
        <v>0</v>
      </c>
      <c r="ZT47" s="22">
        <f t="shared" si="241"/>
        <v>0</v>
      </c>
      <c r="ZU47" s="22">
        <f t="shared" si="241"/>
        <v>0</v>
      </c>
      <c r="ZV47" s="22">
        <f t="shared" si="241"/>
        <v>0</v>
      </c>
      <c r="ZW47" s="22">
        <f t="shared" si="241"/>
        <v>0</v>
      </c>
      <c r="ZX47" s="22">
        <f t="shared" si="241"/>
        <v>0</v>
      </c>
      <c r="ZY47" s="22">
        <f t="shared" si="241"/>
        <v>0</v>
      </c>
      <c r="ZZ47" s="22">
        <f t="shared" si="241"/>
        <v>0</v>
      </c>
      <c r="AAA47" s="22">
        <f t="shared" si="241"/>
        <v>0</v>
      </c>
      <c r="AAB47" s="22">
        <f t="shared" si="241"/>
        <v>0</v>
      </c>
      <c r="AAC47" s="22">
        <f t="shared" si="241"/>
        <v>0</v>
      </c>
      <c r="AAD47" s="22">
        <f t="shared" si="241"/>
        <v>0</v>
      </c>
      <c r="AAE47" s="22">
        <f t="shared" si="241"/>
        <v>0</v>
      </c>
      <c r="AAF47" s="22">
        <f t="shared" si="241"/>
        <v>0</v>
      </c>
      <c r="AAG47" s="22">
        <f t="shared" si="241"/>
        <v>0</v>
      </c>
      <c r="AAH47" s="22">
        <f t="shared" si="241"/>
        <v>0</v>
      </c>
      <c r="AAI47" s="22">
        <f t="shared" ref="AAI47:ABI47" si="242">$E$47*AAI34</f>
        <v>0</v>
      </c>
      <c r="AAJ47" s="22">
        <f t="shared" si="242"/>
        <v>0</v>
      </c>
      <c r="AAK47" s="22">
        <f t="shared" si="242"/>
        <v>0</v>
      </c>
      <c r="AAL47" s="22">
        <f t="shared" si="242"/>
        <v>0</v>
      </c>
      <c r="AAM47" s="22">
        <f t="shared" si="242"/>
        <v>0</v>
      </c>
      <c r="AAN47" s="22">
        <f t="shared" si="242"/>
        <v>0</v>
      </c>
      <c r="AAO47" s="22">
        <f t="shared" si="242"/>
        <v>0</v>
      </c>
      <c r="AAP47" s="22">
        <f t="shared" si="242"/>
        <v>0</v>
      </c>
      <c r="AAQ47" s="22">
        <f t="shared" si="242"/>
        <v>0</v>
      </c>
      <c r="AAR47" s="22">
        <f t="shared" si="242"/>
        <v>0</v>
      </c>
      <c r="AAS47" s="22">
        <f t="shared" si="242"/>
        <v>0</v>
      </c>
      <c r="AAT47" s="22">
        <f t="shared" si="242"/>
        <v>0</v>
      </c>
      <c r="AAU47" s="22">
        <f t="shared" si="242"/>
        <v>0</v>
      </c>
      <c r="AAV47" s="22">
        <f t="shared" si="242"/>
        <v>0</v>
      </c>
      <c r="AAW47" s="22">
        <f t="shared" si="242"/>
        <v>0</v>
      </c>
      <c r="AAX47" s="22">
        <f t="shared" si="242"/>
        <v>0</v>
      </c>
      <c r="AAY47" s="22">
        <f t="shared" si="242"/>
        <v>0</v>
      </c>
      <c r="AAZ47" s="22">
        <f t="shared" si="242"/>
        <v>0</v>
      </c>
      <c r="ABA47" s="22">
        <f t="shared" si="242"/>
        <v>0</v>
      </c>
      <c r="ABB47" s="22">
        <f t="shared" si="242"/>
        <v>0</v>
      </c>
      <c r="ABC47" s="22">
        <f t="shared" si="242"/>
        <v>0</v>
      </c>
      <c r="ABD47" s="22">
        <f t="shared" si="242"/>
        <v>0</v>
      </c>
      <c r="ABE47" s="22">
        <f t="shared" si="242"/>
        <v>0</v>
      </c>
      <c r="ABF47" s="22">
        <f t="shared" si="242"/>
        <v>0</v>
      </c>
      <c r="ABG47" s="22">
        <f t="shared" si="242"/>
        <v>0</v>
      </c>
      <c r="ABH47" s="22">
        <f t="shared" si="242"/>
        <v>0</v>
      </c>
      <c r="ABI47" s="22">
        <f t="shared" si="242"/>
        <v>0</v>
      </c>
    </row>
    <row r="48" spans="2:737" ht="12.95" customHeight="1" x14ac:dyDescent="0.25">
      <c r="B48" s="24"/>
      <c r="C48" s="19">
        <f t="shared" si="146"/>
        <v>4881.5699999999943</v>
      </c>
      <c r="D48" s="20" t="s">
        <v>18</v>
      </c>
      <c r="E48" s="21">
        <v>26.970000000000002</v>
      </c>
      <c r="F48" s="22">
        <f>$E$48*F34</f>
        <v>26.970000000000002</v>
      </c>
      <c r="G48" s="22">
        <f t="shared" ref="G48:BR48" si="243">$E$48*G34</f>
        <v>26.970000000000002</v>
      </c>
      <c r="H48" s="22">
        <f t="shared" si="243"/>
        <v>26.970000000000002</v>
      </c>
      <c r="I48" s="22">
        <f t="shared" si="243"/>
        <v>26.970000000000002</v>
      </c>
      <c r="J48" s="22">
        <f t="shared" si="243"/>
        <v>26.970000000000002</v>
      </c>
      <c r="K48" s="22">
        <f t="shared" si="243"/>
        <v>26.970000000000002</v>
      </c>
      <c r="L48" s="22">
        <f t="shared" si="243"/>
        <v>26.970000000000002</v>
      </c>
      <c r="M48" s="22">
        <f t="shared" si="243"/>
        <v>26.970000000000002</v>
      </c>
      <c r="N48" s="22">
        <f t="shared" si="243"/>
        <v>26.970000000000002</v>
      </c>
      <c r="O48" s="22">
        <f t="shared" si="243"/>
        <v>26.970000000000002</v>
      </c>
      <c r="P48" s="22">
        <f t="shared" si="243"/>
        <v>26.970000000000002</v>
      </c>
      <c r="Q48" s="22">
        <f t="shared" si="243"/>
        <v>26.970000000000002</v>
      </c>
      <c r="R48" s="22">
        <f t="shared" si="243"/>
        <v>26.970000000000002</v>
      </c>
      <c r="S48" s="22">
        <f t="shared" si="243"/>
        <v>26.970000000000002</v>
      </c>
      <c r="T48" s="22">
        <f t="shared" si="243"/>
        <v>26.970000000000002</v>
      </c>
      <c r="U48" s="22">
        <f t="shared" si="243"/>
        <v>26.970000000000002</v>
      </c>
      <c r="V48" s="22">
        <f t="shared" si="243"/>
        <v>26.970000000000002</v>
      </c>
      <c r="W48" s="22">
        <f t="shared" si="243"/>
        <v>26.970000000000002</v>
      </c>
      <c r="X48" s="22">
        <f t="shared" si="243"/>
        <v>26.970000000000002</v>
      </c>
      <c r="Y48" s="22">
        <f t="shared" si="243"/>
        <v>26.970000000000002</v>
      </c>
      <c r="Z48" s="22">
        <f t="shared" si="243"/>
        <v>26.970000000000002</v>
      </c>
      <c r="AA48" s="22">
        <f t="shared" si="243"/>
        <v>26.970000000000002</v>
      </c>
      <c r="AB48" s="22">
        <f t="shared" si="243"/>
        <v>26.970000000000002</v>
      </c>
      <c r="AC48" s="22">
        <f t="shared" si="243"/>
        <v>26.970000000000002</v>
      </c>
      <c r="AD48" s="22">
        <f t="shared" si="243"/>
        <v>26.970000000000002</v>
      </c>
      <c r="AE48" s="22">
        <f t="shared" si="243"/>
        <v>26.970000000000002</v>
      </c>
      <c r="AF48" s="22">
        <f t="shared" si="243"/>
        <v>26.970000000000002</v>
      </c>
      <c r="AG48" s="22">
        <f t="shared" si="243"/>
        <v>26.970000000000002</v>
      </c>
      <c r="AH48" s="22">
        <f t="shared" si="243"/>
        <v>26.970000000000002</v>
      </c>
      <c r="AI48" s="22">
        <f t="shared" si="243"/>
        <v>26.970000000000002</v>
      </c>
      <c r="AJ48" s="22">
        <f t="shared" si="243"/>
        <v>26.970000000000002</v>
      </c>
      <c r="AK48" s="22">
        <f t="shared" si="243"/>
        <v>26.970000000000002</v>
      </c>
      <c r="AL48" s="22">
        <f t="shared" si="243"/>
        <v>26.970000000000002</v>
      </c>
      <c r="AM48" s="22">
        <f t="shared" si="243"/>
        <v>26.970000000000002</v>
      </c>
      <c r="AN48" s="22">
        <f t="shared" si="243"/>
        <v>26.970000000000002</v>
      </c>
      <c r="AO48" s="22">
        <f t="shared" si="243"/>
        <v>26.970000000000002</v>
      </c>
      <c r="AP48" s="22">
        <f t="shared" si="243"/>
        <v>26.970000000000002</v>
      </c>
      <c r="AQ48" s="22">
        <f t="shared" si="243"/>
        <v>26.970000000000002</v>
      </c>
      <c r="AR48" s="22">
        <f t="shared" si="243"/>
        <v>26.970000000000002</v>
      </c>
      <c r="AS48" s="22">
        <f t="shared" si="243"/>
        <v>26.970000000000002</v>
      </c>
      <c r="AT48" s="22">
        <f t="shared" si="243"/>
        <v>26.970000000000002</v>
      </c>
      <c r="AU48" s="22">
        <f t="shared" si="243"/>
        <v>26.970000000000002</v>
      </c>
      <c r="AV48" s="22">
        <f t="shared" si="243"/>
        <v>26.970000000000002</v>
      </c>
      <c r="AW48" s="22">
        <f t="shared" si="243"/>
        <v>26.970000000000002</v>
      </c>
      <c r="AX48" s="22">
        <f t="shared" si="243"/>
        <v>26.970000000000002</v>
      </c>
      <c r="AY48" s="22">
        <f t="shared" si="243"/>
        <v>26.970000000000002</v>
      </c>
      <c r="AZ48" s="22">
        <f t="shared" si="243"/>
        <v>26.970000000000002</v>
      </c>
      <c r="BA48" s="22">
        <f t="shared" si="243"/>
        <v>26.970000000000002</v>
      </c>
      <c r="BB48" s="22">
        <f t="shared" si="243"/>
        <v>26.970000000000002</v>
      </c>
      <c r="BC48" s="22">
        <f t="shared" si="243"/>
        <v>26.970000000000002</v>
      </c>
      <c r="BD48" s="22">
        <f t="shared" si="243"/>
        <v>26.970000000000002</v>
      </c>
      <c r="BE48" s="22">
        <f t="shared" si="243"/>
        <v>26.970000000000002</v>
      </c>
      <c r="BF48" s="22">
        <f t="shared" si="243"/>
        <v>26.970000000000002</v>
      </c>
      <c r="BG48" s="22">
        <f t="shared" si="243"/>
        <v>26.970000000000002</v>
      </c>
      <c r="BH48" s="22">
        <f t="shared" si="243"/>
        <v>26.970000000000002</v>
      </c>
      <c r="BI48" s="22">
        <f t="shared" si="243"/>
        <v>26.970000000000002</v>
      </c>
      <c r="BJ48" s="22">
        <f t="shared" si="243"/>
        <v>26.970000000000002</v>
      </c>
      <c r="BK48" s="22">
        <f t="shared" si="243"/>
        <v>26.970000000000002</v>
      </c>
      <c r="BL48" s="22">
        <f t="shared" si="243"/>
        <v>26.970000000000002</v>
      </c>
      <c r="BM48" s="22">
        <f t="shared" si="243"/>
        <v>26.970000000000002</v>
      </c>
      <c r="BN48" s="22">
        <f t="shared" si="243"/>
        <v>26.970000000000002</v>
      </c>
      <c r="BO48" s="22">
        <f t="shared" si="243"/>
        <v>26.970000000000002</v>
      </c>
      <c r="BP48" s="22">
        <f t="shared" si="243"/>
        <v>26.970000000000002</v>
      </c>
      <c r="BQ48" s="22">
        <f t="shared" si="243"/>
        <v>26.970000000000002</v>
      </c>
      <c r="BR48" s="22">
        <f t="shared" si="243"/>
        <v>26.970000000000002</v>
      </c>
      <c r="BS48" s="22">
        <f t="shared" ref="BS48:ED48" si="244">$E$48*BS34</f>
        <v>26.970000000000002</v>
      </c>
      <c r="BT48" s="22">
        <f t="shared" si="244"/>
        <v>26.970000000000002</v>
      </c>
      <c r="BU48" s="22">
        <f t="shared" si="244"/>
        <v>26.970000000000002</v>
      </c>
      <c r="BV48" s="22">
        <f t="shared" si="244"/>
        <v>26.970000000000002</v>
      </c>
      <c r="BW48" s="22">
        <f t="shared" si="244"/>
        <v>26.970000000000002</v>
      </c>
      <c r="BX48" s="22">
        <f t="shared" si="244"/>
        <v>26.970000000000002</v>
      </c>
      <c r="BY48" s="22">
        <f t="shared" si="244"/>
        <v>26.970000000000002</v>
      </c>
      <c r="BZ48" s="22">
        <f t="shared" si="244"/>
        <v>26.970000000000002</v>
      </c>
      <c r="CA48" s="22">
        <f t="shared" si="244"/>
        <v>26.970000000000002</v>
      </c>
      <c r="CB48" s="22">
        <f t="shared" si="244"/>
        <v>26.970000000000002</v>
      </c>
      <c r="CC48" s="22">
        <f t="shared" si="244"/>
        <v>26.970000000000002</v>
      </c>
      <c r="CD48" s="22">
        <f t="shared" si="244"/>
        <v>26.970000000000002</v>
      </c>
      <c r="CE48" s="22">
        <f t="shared" si="244"/>
        <v>26.970000000000002</v>
      </c>
      <c r="CF48" s="22">
        <f t="shared" si="244"/>
        <v>26.970000000000002</v>
      </c>
      <c r="CG48" s="22">
        <f t="shared" si="244"/>
        <v>26.970000000000002</v>
      </c>
      <c r="CH48" s="22">
        <f t="shared" si="244"/>
        <v>26.970000000000002</v>
      </c>
      <c r="CI48" s="22">
        <f t="shared" si="244"/>
        <v>26.970000000000002</v>
      </c>
      <c r="CJ48" s="22">
        <f t="shared" si="244"/>
        <v>26.970000000000002</v>
      </c>
      <c r="CK48" s="22">
        <f t="shared" si="244"/>
        <v>26.970000000000002</v>
      </c>
      <c r="CL48" s="22">
        <f t="shared" si="244"/>
        <v>26.970000000000002</v>
      </c>
      <c r="CM48" s="22">
        <f t="shared" si="244"/>
        <v>26.970000000000002</v>
      </c>
      <c r="CN48" s="22">
        <f t="shared" si="244"/>
        <v>26.970000000000002</v>
      </c>
      <c r="CO48" s="22">
        <f t="shared" si="244"/>
        <v>26.970000000000002</v>
      </c>
      <c r="CP48" s="22">
        <f t="shared" si="244"/>
        <v>26.970000000000002</v>
      </c>
      <c r="CQ48" s="22">
        <f t="shared" si="244"/>
        <v>26.970000000000002</v>
      </c>
      <c r="CR48" s="22">
        <f t="shared" si="244"/>
        <v>26.970000000000002</v>
      </c>
      <c r="CS48" s="22">
        <f t="shared" si="244"/>
        <v>26.970000000000002</v>
      </c>
      <c r="CT48" s="22">
        <f t="shared" si="244"/>
        <v>26.970000000000002</v>
      </c>
      <c r="CU48" s="22">
        <f t="shared" si="244"/>
        <v>26.970000000000002</v>
      </c>
      <c r="CV48" s="22">
        <f t="shared" si="244"/>
        <v>26.970000000000002</v>
      </c>
      <c r="CW48" s="22">
        <f t="shared" si="244"/>
        <v>26.970000000000002</v>
      </c>
      <c r="CX48" s="22">
        <f t="shared" si="244"/>
        <v>26.970000000000002</v>
      </c>
      <c r="CY48" s="22">
        <f t="shared" si="244"/>
        <v>26.970000000000002</v>
      </c>
      <c r="CZ48" s="22">
        <f t="shared" si="244"/>
        <v>26.970000000000002</v>
      </c>
      <c r="DA48" s="22">
        <f t="shared" si="244"/>
        <v>26.970000000000002</v>
      </c>
      <c r="DB48" s="22">
        <f t="shared" si="244"/>
        <v>26.970000000000002</v>
      </c>
      <c r="DC48" s="22">
        <f t="shared" si="244"/>
        <v>26.970000000000002</v>
      </c>
      <c r="DD48" s="22">
        <f t="shared" si="244"/>
        <v>26.970000000000002</v>
      </c>
      <c r="DE48" s="22">
        <f t="shared" si="244"/>
        <v>26.970000000000002</v>
      </c>
      <c r="DF48" s="22">
        <f t="shared" si="244"/>
        <v>26.970000000000002</v>
      </c>
      <c r="DG48" s="22">
        <f t="shared" si="244"/>
        <v>26.970000000000002</v>
      </c>
      <c r="DH48" s="22">
        <f t="shared" si="244"/>
        <v>26.970000000000002</v>
      </c>
      <c r="DI48" s="22">
        <f t="shared" si="244"/>
        <v>26.970000000000002</v>
      </c>
      <c r="DJ48" s="22">
        <f t="shared" si="244"/>
        <v>26.970000000000002</v>
      </c>
      <c r="DK48" s="22">
        <f t="shared" si="244"/>
        <v>26.970000000000002</v>
      </c>
      <c r="DL48" s="22">
        <f t="shared" si="244"/>
        <v>26.970000000000002</v>
      </c>
      <c r="DM48" s="22">
        <f t="shared" si="244"/>
        <v>26.970000000000002</v>
      </c>
      <c r="DN48" s="22">
        <f t="shared" si="244"/>
        <v>26.970000000000002</v>
      </c>
      <c r="DO48" s="22">
        <f t="shared" si="244"/>
        <v>26.970000000000002</v>
      </c>
      <c r="DP48" s="22">
        <f t="shared" si="244"/>
        <v>26.970000000000002</v>
      </c>
      <c r="DQ48" s="22">
        <f t="shared" si="244"/>
        <v>26.970000000000002</v>
      </c>
      <c r="DR48" s="22">
        <f t="shared" si="244"/>
        <v>26.970000000000002</v>
      </c>
      <c r="DS48" s="22">
        <f t="shared" si="244"/>
        <v>26.970000000000002</v>
      </c>
      <c r="DT48" s="22">
        <f t="shared" si="244"/>
        <v>26.970000000000002</v>
      </c>
      <c r="DU48" s="22">
        <f t="shared" si="244"/>
        <v>26.970000000000002</v>
      </c>
      <c r="DV48" s="22">
        <f t="shared" si="244"/>
        <v>26.970000000000002</v>
      </c>
      <c r="DW48" s="22">
        <f t="shared" si="244"/>
        <v>26.970000000000002</v>
      </c>
      <c r="DX48" s="22">
        <f t="shared" si="244"/>
        <v>26.970000000000002</v>
      </c>
      <c r="DY48" s="22">
        <f t="shared" si="244"/>
        <v>26.970000000000002</v>
      </c>
      <c r="DZ48" s="22">
        <f t="shared" si="244"/>
        <v>26.970000000000002</v>
      </c>
      <c r="EA48" s="22">
        <f t="shared" si="244"/>
        <v>26.970000000000002</v>
      </c>
      <c r="EB48" s="22">
        <f t="shared" si="244"/>
        <v>26.970000000000002</v>
      </c>
      <c r="EC48" s="22">
        <f t="shared" si="244"/>
        <v>26.970000000000002</v>
      </c>
      <c r="ED48" s="22">
        <f t="shared" si="244"/>
        <v>26.970000000000002</v>
      </c>
      <c r="EE48" s="22">
        <f t="shared" ref="EE48:GP48" si="245">$E$48*EE34</f>
        <v>26.970000000000002</v>
      </c>
      <c r="EF48" s="22">
        <f t="shared" si="245"/>
        <v>26.970000000000002</v>
      </c>
      <c r="EG48" s="22">
        <f t="shared" si="245"/>
        <v>26.970000000000002</v>
      </c>
      <c r="EH48" s="22">
        <f t="shared" si="245"/>
        <v>26.970000000000002</v>
      </c>
      <c r="EI48" s="22">
        <f t="shared" si="245"/>
        <v>26.970000000000002</v>
      </c>
      <c r="EJ48" s="22">
        <f t="shared" si="245"/>
        <v>26.970000000000002</v>
      </c>
      <c r="EK48" s="22">
        <f t="shared" si="245"/>
        <v>26.970000000000002</v>
      </c>
      <c r="EL48" s="22">
        <f t="shared" si="245"/>
        <v>26.970000000000002</v>
      </c>
      <c r="EM48" s="22">
        <f t="shared" si="245"/>
        <v>26.970000000000002</v>
      </c>
      <c r="EN48" s="22">
        <f t="shared" si="245"/>
        <v>26.970000000000002</v>
      </c>
      <c r="EO48" s="22">
        <f t="shared" si="245"/>
        <v>26.970000000000002</v>
      </c>
      <c r="EP48" s="22">
        <f t="shared" si="245"/>
        <v>26.970000000000002</v>
      </c>
      <c r="EQ48" s="22">
        <f t="shared" si="245"/>
        <v>26.970000000000002</v>
      </c>
      <c r="ER48" s="22">
        <f t="shared" si="245"/>
        <v>26.970000000000002</v>
      </c>
      <c r="ES48" s="22">
        <f t="shared" si="245"/>
        <v>26.970000000000002</v>
      </c>
      <c r="ET48" s="22">
        <f t="shared" si="245"/>
        <v>26.970000000000002</v>
      </c>
      <c r="EU48" s="22">
        <f t="shared" si="245"/>
        <v>26.970000000000002</v>
      </c>
      <c r="EV48" s="22">
        <f t="shared" si="245"/>
        <v>26.970000000000002</v>
      </c>
      <c r="EW48" s="22">
        <f t="shared" si="245"/>
        <v>26.970000000000002</v>
      </c>
      <c r="EX48" s="22">
        <f t="shared" si="245"/>
        <v>26.970000000000002</v>
      </c>
      <c r="EY48" s="22">
        <f t="shared" si="245"/>
        <v>26.970000000000002</v>
      </c>
      <c r="EZ48" s="22">
        <f t="shared" si="245"/>
        <v>26.970000000000002</v>
      </c>
      <c r="FA48" s="22">
        <f t="shared" si="245"/>
        <v>26.970000000000002</v>
      </c>
      <c r="FB48" s="22">
        <f t="shared" si="245"/>
        <v>26.970000000000002</v>
      </c>
      <c r="FC48" s="22">
        <f t="shared" si="245"/>
        <v>26.970000000000002</v>
      </c>
      <c r="FD48" s="22">
        <f t="shared" si="245"/>
        <v>26.970000000000002</v>
      </c>
      <c r="FE48" s="22">
        <f t="shared" si="245"/>
        <v>26.970000000000002</v>
      </c>
      <c r="FF48" s="22">
        <f t="shared" si="245"/>
        <v>26.970000000000002</v>
      </c>
      <c r="FG48" s="22">
        <f t="shared" si="245"/>
        <v>26.970000000000002</v>
      </c>
      <c r="FH48" s="22">
        <f t="shared" si="245"/>
        <v>26.970000000000002</v>
      </c>
      <c r="FI48" s="22">
        <f t="shared" si="245"/>
        <v>26.970000000000002</v>
      </c>
      <c r="FJ48" s="22">
        <f t="shared" si="245"/>
        <v>26.970000000000002</v>
      </c>
      <c r="FK48" s="22">
        <f t="shared" si="245"/>
        <v>26.970000000000002</v>
      </c>
      <c r="FL48" s="22">
        <f t="shared" si="245"/>
        <v>26.970000000000002</v>
      </c>
      <c r="FM48" s="22">
        <f t="shared" si="245"/>
        <v>26.970000000000002</v>
      </c>
      <c r="FN48" s="22">
        <f t="shared" si="245"/>
        <v>26.970000000000002</v>
      </c>
      <c r="FO48" s="22">
        <f t="shared" si="245"/>
        <v>26.970000000000002</v>
      </c>
      <c r="FP48" s="22">
        <f t="shared" si="245"/>
        <v>26.970000000000002</v>
      </c>
      <c r="FQ48" s="22">
        <f t="shared" si="245"/>
        <v>26.970000000000002</v>
      </c>
      <c r="FR48" s="22">
        <f t="shared" si="245"/>
        <v>26.970000000000002</v>
      </c>
      <c r="FS48" s="22">
        <f t="shared" si="245"/>
        <v>26.970000000000002</v>
      </c>
      <c r="FT48" s="22">
        <f t="shared" si="245"/>
        <v>26.970000000000002</v>
      </c>
      <c r="FU48" s="22">
        <f t="shared" si="245"/>
        <v>26.970000000000002</v>
      </c>
      <c r="FV48" s="22">
        <f t="shared" si="245"/>
        <v>26.970000000000002</v>
      </c>
      <c r="FW48" s="22">
        <f t="shared" si="245"/>
        <v>26.970000000000002</v>
      </c>
      <c r="FX48" s="22">
        <f t="shared" si="245"/>
        <v>26.970000000000002</v>
      </c>
      <c r="FY48" s="22">
        <f t="shared" si="245"/>
        <v>26.970000000000002</v>
      </c>
      <c r="FZ48" s="22">
        <f t="shared" si="245"/>
        <v>26.970000000000002</v>
      </c>
      <c r="GA48" s="22">
        <f t="shared" si="245"/>
        <v>26.970000000000002</v>
      </c>
      <c r="GB48" s="22">
        <f t="shared" si="245"/>
        <v>26.970000000000002</v>
      </c>
      <c r="GC48" s="22">
        <f t="shared" si="245"/>
        <v>26.970000000000002</v>
      </c>
      <c r="GD48" s="22">
        <f t="shared" si="245"/>
        <v>26.970000000000002</v>
      </c>
      <c r="GE48" s="22">
        <f t="shared" si="245"/>
        <v>0</v>
      </c>
      <c r="GF48" s="22">
        <f t="shared" si="245"/>
        <v>0</v>
      </c>
      <c r="GG48" s="22">
        <f t="shared" si="245"/>
        <v>0</v>
      </c>
      <c r="GH48" s="22">
        <f t="shared" si="245"/>
        <v>0</v>
      </c>
      <c r="GI48" s="22">
        <f t="shared" si="245"/>
        <v>0</v>
      </c>
      <c r="GJ48" s="22">
        <f t="shared" si="245"/>
        <v>0</v>
      </c>
      <c r="GK48" s="22">
        <f t="shared" si="245"/>
        <v>0</v>
      </c>
      <c r="GL48" s="22">
        <f t="shared" si="245"/>
        <v>0</v>
      </c>
      <c r="GM48" s="22">
        <f t="shared" si="245"/>
        <v>0</v>
      </c>
      <c r="GN48" s="22">
        <f t="shared" si="245"/>
        <v>0</v>
      </c>
      <c r="GO48" s="22">
        <f t="shared" si="245"/>
        <v>0</v>
      </c>
      <c r="GP48" s="22">
        <f t="shared" si="245"/>
        <v>0</v>
      </c>
      <c r="GQ48" s="22">
        <f t="shared" ref="GQ48:JB48" si="246">$E$48*GQ34</f>
        <v>0</v>
      </c>
      <c r="GR48" s="22">
        <f t="shared" si="246"/>
        <v>0</v>
      </c>
      <c r="GS48" s="22">
        <f t="shared" si="246"/>
        <v>0</v>
      </c>
      <c r="GT48" s="22">
        <f t="shared" si="246"/>
        <v>0</v>
      </c>
      <c r="GU48" s="22">
        <f t="shared" si="246"/>
        <v>0</v>
      </c>
      <c r="GV48" s="22">
        <f t="shared" si="246"/>
        <v>0</v>
      </c>
      <c r="GW48" s="22">
        <f t="shared" si="246"/>
        <v>0</v>
      </c>
      <c r="GX48" s="22">
        <f t="shared" si="246"/>
        <v>0</v>
      </c>
      <c r="GY48" s="22">
        <f t="shared" si="246"/>
        <v>0</v>
      </c>
      <c r="GZ48" s="22">
        <f t="shared" si="246"/>
        <v>0</v>
      </c>
      <c r="HA48" s="22">
        <f t="shared" si="246"/>
        <v>0</v>
      </c>
      <c r="HB48" s="22">
        <f t="shared" si="246"/>
        <v>0</v>
      </c>
      <c r="HC48" s="22">
        <f t="shared" si="246"/>
        <v>0</v>
      </c>
      <c r="HD48" s="22">
        <f t="shared" si="246"/>
        <v>0</v>
      </c>
      <c r="HE48" s="22">
        <f t="shared" si="246"/>
        <v>0</v>
      </c>
      <c r="HF48" s="22">
        <f t="shared" si="246"/>
        <v>0</v>
      </c>
      <c r="HG48" s="22">
        <f t="shared" si="246"/>
        <v>0</v>
      </c>
      <c r="HH48" s="22">
        <f t="shared" si="246"/>
        <v>0</v>
      </c>
      <c r="HI48" s="22">
        <f t="shared" si="246"/>
        <v>0</v>
      </c>
      <c r="HJ48" s="22">
        <f t="shared" si="246"/>
        <v>0</v>
      </c>
      <c r="HK48" s="22">
        <f t="shared" si="246"/>
        <v>0</v>
      </c>
      <c r="HL48" s="22">
        <f t="shared" si="246"/>
        <v>0</v>
      </c>
      <c r="HM48" s="22">
        <f t="shared" si="246"/>
        <v>0</v>
      </c>
      <c r="HN48" s="22">
        <f t="shared" si="246"/>
        <v>0</v>
      </c>
      <c r="HO48" s="22">
        <f t="shared" si="246"/>
        <v>0</v>
      </c>
      <c r="HP48" s="22">
        <f t="shared" si="246"/>
        <v>0</v>
      </c>
      <c r="HQ48" s="22">
        <f t="shared" si="246"/>
        <v>0</v>
      </c>
      <c r="HR48" s="22">
        <f t="shared" si="246"/>
        <v>0</v>
      </c>
      <c r="HS48" s="22">
        <f t="shared" si="246"/>
        <v>0</v>
      </c>
      <c r="HT48" s="22">
        <f t="shared" si="246"/>
        <v>0</v>
      </c>
      <c r="HU48" s="22">
        <f t="shared" si="246"/>
        <v>0</v>
      </c>
      <c r="HV48" s="22">
        <f t="shared" si="246"/>
        <v>0</v>
      </c>
      <c r="HW48" s="22">
        <f t="shared" si="246"/>
        <v>0</v>
      </c>
      <c r="HX48" s="22">
        <f t="shared" si="246"/>
        <v>0</v>
      </c>
      <c r="HY48" s="22">
        <f t="shared" si="246"/>
        <v>0</v>
      </c>
      <c r="HZ48" s="22">
        <f t="shared" si="246"/>
        <v>0</v>
      </c>
      <c r="IA48" s="22">
        <f t="shared" si="246"/>
        <v>0</v>
      </c>
      <c r="IB48" s="22">
        <f t="shared" si="246"/>
        <v>0</v>
      </c>
      <c r="IC48" s="22">
        <f t="shared" si="246"/>
        <v>0</v>
      </c>
      <c r="ID48" s="22">
        <f t="shared" si="246"/>
        <v>0</v>
      </c>
      <c r="IE48" s="22">
        <f t="shared" si="246"/>
        <v>0</v>
      </c>
      <c r="IF48" s="22">
        <f t="shared" si="246"/>
        <v>0</v>
      </c>
      <c r="IG48" s="22">
        <f t="shared" si="246"/>
        <v>0</v>
      </c>
      <c r="IH48" s="22">
        <f t="shared" si="246"/>
        <v>0</v>
      </c>
      <c r="II48" s="22">
        <f t="shared" si="246"/>
        <v>0</v>
      </c>
      <c r="IJ48" s="22">
        <f t="shared" si="246"/>
        <v>0</v>
      </c>
      <c r="IK48" s="22">
        <f t="shared" si="246"/>
        <v>0</v>
      </c>
      <c r="IL48" s="22">
        <f t="shared" si="246"/>
        <v>0</v>
      </c>
      <c r="IM48" s="22">
        <f t="shared" si="246"/>
        <v>0</v>
      </c>
      <c r="IN48" s="22">
        <f t="shared" si="246"/>
        <v>0</v>
      </c>
      <c r="IO48" s="22">
        <f t="shared" si="246"/>
        <v>0</v>
      </c>
      <c r="IP48" s="22">
        <f t="shared" si="246"/>
        <v>0</v>
      </c>
      <c r="IQ48" s="22">
        <f t="shared" si="246"/>
        <v>0</v>
      </c>
      <c r="IR48" s="22">
        <f t="shared" si="246"/>
        <v>0</v>
      </c>
      <c r="IS48" s="22">
        <f t="shared" si="246"/>
        <v>0</v>
      </c>
      <c r="IT48" s="22">
        <f t="shared" si="246"/>
        <v>0</v>
      </c>
      <c r="IU48" s="22">
        <f t="shared" si="246"/>
        <v>0</v>
      </c>
      <c r="IV48" s="22">
        <f t="shared" si="246"/>
        <v>0</v>
      </c>
      <c r="IW48" s="22">
        <f t="shared" si="246"/>
        <v>0</v>
      </c>
      <c r="IX48" s="22">
        <f t="shared" si="246"/>
        <v>0</v>
      </c>
      <c r="IY48" s="22">
        <f t="shared" si="246"/>
        <v>0</v>
      </c>
      <c r="IZ48" s="22">
        <f t="shared" si="246"/>
        <v>0</v>
      </c>
      <c r="JA48" s="22">
        <f t="shared" si="246"/>
        <v>0</v>
      </c>
      <c r="JB48" s="22">
        <f t="shared" si="246"/>
        <v>0</v>
      </c>
      <c r="JC48" s="22">
        <f t="shared" ref="JC48:LN48" si="247">$E$48*JC34</f>
        <v>0</v>
      </c>
      <c r="JD48" s="22">
        <f t="shared" si="247"/>
        <v>0</v>
      </c>
      <c r="JE48" s="22">
        <f t="shared" si="247"/>
        <v>0</v>
      </c>
      <c r="JF48" s="22">
        <f t="shared" si="247"/>
        <v>0</v>
      </c>
      <c r="JG48" s="22">
        <f t="shared" si="247"/>
        <v>0</v>
      </c>
      <c r="JH48" s="22">
        <f t="shared" si="247"/>
        <v>0</v>
      </c>
      <c r="JI48" s="22">
        <f t="shared" si="247"/>
        <v>0</v>
      </c>
      <c r="JJ48" s="22">
        <f t="shared" si="247"/>
        <v>0</v>
      </c>
      <c r="JK48" s="22">
        <f t="shared" si="247"/>
        <v>0</v>
      </c>
      <c r="JL48" s="22">
        <f t="shared" si="247"/>
        <v>0</v>
      </c>
      <c r="JM48" s="22">
        <f t="shared" si="247"/>
        <v>0</v>
      </c>
      <c r="JN48" s="22">
        <f t="shared" si="247"/>
        <v>0</v>
      </c>
      <c r="JO48" s="22">
        <f t="shared" si="247"/>
        <v>0</v>
      </c>
      <c r="JP48" s="22">
        <f t="shared" si="247"/>
        <v>0</v>
      </c>
      <c r="JQ48" s="22">
        <f t="shared" si="247"/>
        <v>0</v>
      </c>
      <c r="JR48" s="22">
        <f t="shared" si="247"/>
        <v>0</v>
      </c>
      <c r="JS48" s="22">
        <f t="shared" si="247"/>
        <v>0</v>
      </c>
      <c r="JT48" s="22">
        <f t="shared" si="247"/>
        <v>0</v>
      </c>
      <c r="JU48" s="22">
        <f t="shared" si="247"/>
        <v>0</v>
      </c>
      <c r="JV48" s="22">
        <f t="shared" si="247"/>
        <v>0</v>
      </c>
      <c r="JW48" s="22">
        <f t="shared" si="247"/>
        <v>0</v>
      </c>
      <c r="JX48" s="22">
        <f t="shared" si="247"/>
        <v>0</v>
      </c>
      <c r="JY48" s="22">
        <f t="shared" si="247"/>
        <v>0</v>
      </c>
      <c r="JZ48" s="22">
        <f t="shared" si="247"/>
        <v>0</v>
      </c>
      <c r="KA48" s="22">
        <f t="shared" si="247"/>
        <v>0</v>
      </c>
      <c r="KB48" s="22">
        <f t="shared" si="247"/>
        <v>0</v>
      </c>
      <c r="KC48" s="22">
        <f t="shared" si="247"/>
        <v>0</v>
      </c>
      <c r="KD48" s="22">
        <f t="shared" si="247"/>
        <v>0</v>
      </c>
      <c r="KE48" s="22">
        <f t="shared" si="247"/>
        <v>0</v>
      </c>
      <c r="KF48" s="22">
        <f t="shared" si="247"/>
        <v>0</v>
      </c>
      <c r="KG48" s="22">
        <f t="shared" si="247"/>
        <v>0</v>
      </c>
      <c r="KH48" s="22">
        <f t="shared" si="247"/>
        <v>0</v>
      </c>
      <c r="KI48" s="22">
        <f t="shared" si="247"/>
        <v>0</v>
      </c>
      <c r="KJ48" s="22">
        <f t="shared" si="247"/>
        <v>0</v>
      </c>
      <c r="KK48" s="22">
        <f t="shared" si="247"/>
        <v>0</v>
      </c>
      <c r="KL48" s="22">
        <f t="shared" si="247"/>
        <v>0</v>
      </c>
      <c r="KM48" s="22">
        <f t="shared" si="247"/>
        <v>0</v>
      </c>
      <c r="KN48" s="22">
        <f t="shared" si="247"/>
        <v>0</v>
      </c>
      <c r="KO48" s="22">
        <f t="shared" si="247"/>
        <v>0</v>
      </c>
      <c r="KP48" s="22">
        <f t="shared" si="247"/>
        <v>0</v>
      </c>
      <c r="KQ48" s="22">
        <f t="shared" si="247"/>
        <v>0</v>
      </c>
      <c r="KR48" s="22">
        <f t="shared" si="247"/>
        <v>0</v>
      </c>
      <c r="KS48" s="22">
        <f t="shared" si="247"/>
        <v>0</v>
      </c>
      <c r="KT48" s="22">
        <f t="shared" si="247"/>
        <v>0</v>
      </c>
      <c r="KU48" s="22">
        <f t="shared" si="247"/>
        <v>0</v>
      </c>
      <c r="KV48" s="22">
        <f t="shared" si="247"/>
        <v>0</v>
      </c>
      <c r="KW48" s="22">
        <f t="shared" si="247"/>
        <v>0</v>
      </c>
      <c r="KX48" s="22">
        <f t="shared" si="247"/>
        <v>0</v>
      </c>
      <c r="KY48" s="22">
        <f t="shared" si="247"/>
        <v>0</v>
      </c>
      <c r="KZ48" s="22">
        <f t="shared" si="247"/>
        <v>0</v>
      </c>
      <c r="LA48" s="22">
        <f t="shared" si="247"/>
        <v>0</v>
      </c>
      <c r="LB48" s="22">
        <f t="shared" si="247"/>
        <v>0</v>
      </c>
      <c r="LC48" s="22">
        <f t="shared" si="247"/>
        <v>0</v>
      </c>
      <c r="LD48" s="22">
        <f t="shared" si="247"/>
        <v>0</v>
      </c>
      <c r="LE48" s="22">
        <f t="shared" si="247"/>
        <v>0</v>
      </c>
      <c r="LF48" s="22">
        <f t="shared" si="247"/>
        <v>0</v>
      </c>
      <c r="LG48" s="22">
        <f t="shared" si="247"/>
        <v>0</v>
      </c>
      <c r="LH48" s="22">
        <f t="shared" si="247"/>
        <v>0</v>
      </c>
      <c r="LI48" s="22">
        <f t="shared" si="247"/>
        <v>0</v>
      </c>
      <c r="LJ48" s="22">
        <f t="shared" si="247"/>
        <v>0</v>
      </c>
      <c r="LK48" s="22">
        <f t="shared" si="247"/>
        <v>0</v>
      </c>
      <c r="LL48" s="22">
        <f t="shared" si="247"/>
        <v>0</v>
      </c>
      <c r="LM48" s="22">
        <f t="shared" si="247"/>
        <v>0</v>
      </c>
      <c r="LN48" s="22">
        <f t="shared" si="247"/>
        <v>0</v>
      </c>
      <c r="LO48" s="22">
        <f t="shared" ref="LO48:NZ48" si="248">$E$48*LO34</f>
        <v>0</v>
      </c>
      <c r="LP48" s="22">
        <f t="shared" si="248"/>
        <v>0</v>
      </c>
      <c r="LQ48" s="22">
        <f t="shared" si="248"/>
        <v>0</v>
      </c>
      <c r="LR48" s="22">
        <f t="shared" si="248"/>
        <v>0</v>
      </c>
      <c r="LS48" s="22">
        <f t="shared" si="248"/>
        <v>0</v>
      </c>
      <c r="LT48" s="22">
        <f t="shared" si="248"/>
        <v>0</v>
      </c>
      <c r="LU48" s="22">
        <f t="shared" si="248"/>
        <v>0</v>
      </c>
      <c r="LV48" s="22">
        <f t="shared" si="248"/>
        <v>0</v>
      </c>
      <c r="LW48" s="22">
        <f t="shared" si="248"/>
        <v>0</v>
      </c>
      <c r="LX48" s="22">
        <f t="shared" si="248"/>
        <v>0</v>
      </c>
      <c r="LY48" s="22">
        <f t="shared" si="248"/>
        <v>0</v>
      </c>
      <c r="LZ48" s="22">
        <f t="shared" si="248"/>
        <v>0</v>
      </c>
      <c r="MA48" s="22">
        <f t="shared" si="248"/>
        <v>0</v>
      </c>
      <c r="MB48" s="22">
        <f t="shared" si="248"/>
        <v>0</v>
      </c>
      <c r="MC48" s="22">
        <f t="shared" si="248"/>
        <v>0</v>
      </c>
      <c r="MD48" s="22">
        <f t="shared" si="248"/>
        <v>0</v>
      </c>
      <c r="ME48" s="22">
        <f t="shared" si="248"/>
        <v>0</v>
      </c>
      <c r="MF48" s="22">
        <f t="shared" si="248"/>
        <v>0</v>
      </c>
      <c r="MG48" s="22">
        <f t="shared" si="248"/>
        <v>0</v>
      </c>
      <c r="MH48" s="22">
        <f t="shared" si="248"/>
        <v>0</v>
      </c>
      <c r="MI48" s="22">
        <f t="shared" si="248"/>
        <v>0</v>
      </c>
      <c r="MJ48" s="22">
        <f t="shared" si="248"/>
        <v>0</v>
      </c>
      <c r="MK48" s="22">
        <f t="shared" si="248"/>
        <v>0</v>
      </c>
      <c r="ML48" s="22">
        <f t="shared" si="248"/>
        <v>0</v>
      </c>
      <c r="MM48" s="22">
        <f t="shared" si="248"/>
        <v>0</v>
      </c>
      <c r="MN48" s="22">
        <f t="shared" si="248"/>
        <v>0</v>
      </c>
      <c r="MO48" s="22">
        <f t="shared" si="248"/>
        <v>0</v>
      </c>
      <c r="MP48" s="22">
        <f t="shared" si="248"/>
        <v>0</v>
      </c>
      <c r="MQ48" s="22">
        <f t="shared" si="248"/>
        <v>0</v>
      </c>
      <c r="MR48" s="22">
        <f t="shared" si="248"/>
        <v>0</v>
      </c>
      <c r="MS48" s="22">
        <f t="shared" si="248"/>
        <v>0</v>
      </c>
      <c r="MT48" s="22">
        <f t="shared" si="248"/>
        <v>0</v>
      </c>
      <c r="MU48" s="22">
        <f t="shared" si="248"/>
        <v>0</v>
      </c>
      <c r="MV48" s="22">
        <f t="shared" si="248"/>
        <v>0</v>
      </c>
      <c r="MW48" s="22">
        <f t="shared" si="248"/>
        <v>0</v>
      </c>
      <c r="MX48" s="22">
        <f t="shared" si="248"/>
        <v>0</v>
      </c>
      <c r="MY48" s="22">
        <f t="shared" si="248"/>
        <v>0</v>
      </c>
      <c r="MZ48" s="22">
        <f t="shared" si="248"/>
        <v>0</v>
      </c>
      <c r="NA48" s="22">
        <f t="shared" si="248"/>
        <v>0</v>
      </c>
      <c r="NB48" s="22">
        <f t="shared" si="248"/>
        <v>0</v>
      </c>
      <c r="NC48" s="22">
        <f t="shared" si="248"/>
        <v>0</v>
      </c>
      <c r="ND48" s="22">
        <f t="shared" si="248"/>
        <v>0</v>
      </c>
      <c r="NE48" s="22">
        <f t="shared" si="248"/>
        <v>0</v>
      </c>
      <c r="NF48" s="22">
        <f t="shared" si="248"/>
        <v>0</v>
      </c>
      <c r="NG48" s="22">
        <f t="shared" si="248"/>
        <v>0</v>
      </c>
      <c r="NH48" s="22">
        <f t="shared" si="248"/>
        <v>0</v>
      </c>
      <c r="NI48" s="22">
        <f t="shared" si="248"/>
        <v>0</v>
      </c>
      <c r="NJ48" s="22">
        <f t="shared" si="248"/>
        <v>0</v>
      </c>
      <c r="NK48" s="22">
        <f t="shared" si="248"/>
        <v>0</v>
      </c>
      <c r="NL48" s="22">
        <f t="shared" si="248"/>
        <v>0</v>
      </c>
      <c r="NM48" s="22">
        <f t="shared" si="248"/>
        <v>0</v>
      </c>
      <c r="NN48" s="22">
        <f t="shared" si="248"/>
        <v>0</v>
      </c>
      <c r="NO48" s="22">
        <f t="shared" si="248"/>
        <v>0</v>
      </c>
      <c r="NP48" s="22">
        <f t="shared" si="248"/>
        <v>0</v>
      </c>
      <c r="NQ48" s="22">
        <f t="shared" si="248"/>
        <v>0</v>
      </c>
      <c r="NR48" s="22">
        <f t="shared" si="248"/>
        <v>0</v>
      </c>
      <c r="NS48" s="22">
        <f t="shared" si="248"/>
        <v>0</v>
      </c>
      <c r="NT48" s="22">
        <f t="shared" si="248"/>
        <v>0</v>
      </c>
      <c r="NU48" s="22">
        <f t="shared" si="248"/>
        <v>0</v>
      </c>
      <c r="NV48" s="22">
        <f t="shared" si="248"/>
        <v>0</v>
      </c>
      <c r="NW48" s="22">
        <f t="shared" si="248"/>
        <v>0</v>
      </c>
      <c r="NX48" s="22">
        <f t="shared" si="248"/>
        <v>0</v>
      </c>
      <c r="NY48" s="22">
        <f t="shared" si="248"/>
        <v>0</v>
      </c>
      <c r="NZ48" s="22">
        <f t="shared" si="248"/>
        <v>0</v>
      </c>
      <c r="OA48" s="22">
        <f t="shared" ref="OA48:QL48" si="249">$E$48*OA34</f>
        <v>0</v>
      </c>
      <c r="OB48" s="22">
        <f t="shared" si="249"/>
        <v>0</v>
      </c>
      <c r="OC48" s="22">
        <f t="shared" si="249"/>
        <v>0</v>
      </c>
      <c r="OD48" s="22">
        <f t="shared" si="249"/>
        <v>0</v>
      </c>
      <c r="OE48" s="22">
        <f t="shared" si="249"/>
        <v>0</v>
      </c>
      <c r="OF48" s="22">
        <f t="shared" si="249"/>
        <v>0</v>
      </c>
      <c r="OG48" s="22">
        <f t="shared" si="249"/>
        <v>0</v>
      </c>
      <c r="OH48" s="22">
        <f t="shared" si="249"/>
        <v>0</v>
      </c>
      <c r="OI48" s="22">
        <f t="shared" si="249"/>
        <v>0</v>
      </c>
      <c r="OJ48" s="22">
        <f t="shared" si="249"/>
        <v>0</v>
      </c>
      <c r="OK48" s="22">
        <f t="shared" si="249"/>
        <v>0</v>
      </c>
      <c r="OL48" s="22">
        <f t="shared" si="249"/>
        <v>0</v>
      </c>
      <c r="OM48" s="22">
        <f t="shared" si="249"/>
        <v>0</v>
      </c>
      <c r="ON48" s="22">
        <f t="shared" si="249"/>
        <v>0</v>
      </c>
      <c r="OO48" s="22">
        <f t="shared" si="249"/>
        <v>0</v>
      </c>
      <c r="OP48" s="22">
        <f t="shared" si="249"/>
        <v>0</v>
      </c>
      <c r="OQ48" s="22">
        <f t="shared" si="249"/>
        <v>0</v>
      </c>
      <c r="OR48" s="22">
        <f t="shared" si="249"/>
        <v>0</v>
      </c>
      <c r="OS48" s="22">
        <f t="shared" si="249"/>
        <v>0</v>
      </c>
      <c r="OT48" s="22">
        <f t="shared" si="249"/>
        <v>0</v>
      </c>
      <c r="OU48" s="22">
        <f t="shared" si="249"/>
        <v>0</v>
      </c>
      <c r="OV48" s="22">
        <f t="shared" si="249"/>
        <v>0</v>
      </c>
      <c r="OW48" s="22">
        <f t="shared" si="249"/>
        <v>0</v>
      </c>
      <c r="OX48" s="22">
        <f t="shared" si="249"/>
        <v>0</v>
      </c>
      <c r="OY48" s="22">
        <f t="shared" si="249"/>
        <v>0</v>
      </c>
      <c r="OZ48" s="22">
        <f t="shared" si="249"/>
        <v>0</v>
      </c>
      <c r="PA48" s="22">
        <f t="shared" si="249"/>
        <v>0</v>
      </c>
      <c r="PB48" s="22">
        <f t="shared" si="249"/>
        <v>0</v>
      </c>
      <c r="PC48" s="22">
        <f t="shared" si="249"/>
        <v>0</v>
      </c>
      <c r="PD48" s="22">
        <f t="shared" si="249"/>
        <v>0</v>
      </c>
      <c r="PE48" s="22">
        <f t="shared" si="249"/>
        <v>0</v>
      </c>
      <c r="PF48" s="22">
        <f t="shared" si="249"/>
        <v>0</v>
      </c>
      <c r="PG48" s="22">
        <f t="shared" si="249"/>
        <v>0</v>
      </c>
      <c r="PH48" s="22">
        <f t="shared" si="249"/>
        <v>0</v>
      </c>
      <c r="PI48" s="22">
        <f t="shared" si="249"/>
        <v>0</v>
      </c>
      <c r="PJ48" s="22">
        <f t="shared" si="249"/>
        <v>0</v>
      </c>
      <c r="PK48" s="22">
        <f t="shared" si="249"/>
        <v>0</v>
      </c>
      <c r="PL48" s="22">
        <f t="shared" si="249"/>
        <v>0</v>
      </c>
      <c r="PM48" s="22">
        <f t="shared" si="249"/>
        <v>0</v>
      </c>
      <c r="PN48" s="22">
        <f t="shared" si="249"/>
        <v>0</v>
      </c>
      <c r="PO48" s="22">
        <f t="shared" si="249"/>
        <v>0</v>
      </c>
      <c r="PP48" s="22">
        <f t="shared" si="249"/>
        <v>0</v>
      </c>
      <c r="PQ48" s="22">
        <f t="shared" si="249"/>
        <v>0</v>
      </c>
      <c r="PR48" s="22">
        <f t="shared" si="249"/>
        <v>0</v>
      </c>
      <c r="PS48" s="22">
        <f t="shared" si="249"/>
        <v>0</v>
      </c>
      <c r="PT48" s="22">
        <f t="shared" si="249"/>
        <v>0</v>
      </c>
      <c r="PU48" s="22">
        <f t="shared" si="249"/>
        <v>0</v>
      </c>
      <c r="PV48" s="22">
        <f t="shared" si="249"/>
        <v>0</v>
      </c>
      <c r="PW48" s="22">
        <f t="shared" si="249"/>
        <v>0</v>
      </c>
      <c r="PX48" s="22">
        <f t="shared" si="249"/>
        <v>0</v>
      </c>
      <c r="PY48" s="22">
        <f t="shared" si="249"/>
        <v>0</v>
      </c>
      <c r="PZ48" s="22">
        <f t="shared" si="249"/>
        <v>0</v>
      </c>
      <c r="QA48" s="22">
        <f t="shared" si="249"/>
        <v>0</v>
      </c>
      <c r="QB48" s="22">
        <f t="shared" si="249"/>
        <v>0</v>
      </c>
      <c r="QC48" s="22">
        <f t="shared" si="249"/>
        <v>0</v>
      </c>
      <c r="QD48" s="22">
        <f t="shared" si="249"/>
        <v>0</v>
      </c>
      <c r="QE48" s="22">
        <f t="shared" si="249"/>
        <v>0</v>
      </c>
      <c r="QF48" s="22">
        <f t="shared" si="249"/>
        <v>0</v>
      </c>
      <c r="QG48" s="22">
        <f t="shared" si="249"/>
        <v>0</v>
      </c>
      <c r="QH48" s="22">
        <f t="shared" si="249"/>
        <v>0</v>
      </c>
      <c r="QI48" s="22">
        <f t="shared" si="249"/>
        <v>0</v>
      </c>
      <c r="QJ48" s="22">
        <f t="shared" si="249"/>
        <v>0</v>
      </c>
      <c r="QK48" s="22">
        <f t="shared" si="249"/>
        <v>0</v>
      </c>
      <c r="QL48" s="22">
        <f t="shared" si="249"/>
        <v>0</v>
      </c>
      <c r="QM48" s="22">
        <f t="shared" ref="QM48:SX48" si="250">$E$48*QM34</f>
        <v>0</v>
      </c>
      <c r="QN48" s="22">
        <f t="shared" si="250"/>
        <v>0</v>
      </c>
      <c r="QO48" s="22">
        <f t="shared" si="250"/>
        <v>0</v>
      </c>
      <c r="QP48" s="22">
        <f t="shared" si="250"/>
        <v>0</v>
      </c>
      <c r="QQ48" s="22">
        <f t="shared" si="250"/>
        <v>0</v>
      </c>
      <c r="QR48" s="22">
        <f t="shared" si="250"/>
        <v>0</v>
      </c>
      <c r="QS48" s="22">
        <f t="shared" si="250"/>
        <v>0</v>
      </c>
      <c r="QT48" s="22">
        <f t="shared" si="250"/>
        <v>0</v>
      </c>
      <c r="QU48" s="22">
        <f t="shared" si="250"/>
        <v>0</v>
      </c>
      <c r="QV48" s="22">
        <f t="shared" si="250"/>
        <v>0</v>
      </c>
      <c r="QW48" s="22">
        <f t="shared" si="250"/>
        <v>0</v>
      </c>
      <c r="QX48" s="22">
        <f t="shared" si="250"/>
        <v>0</v>
      </c>
      <c r="QY48" s="22">
        <f t="shared" si="250"/>
        <v>0</v>
      </c>
      <c r="QZ48" s="22">
        <f t="shared" si="250"/>
        <v>0</v>
      </c>
      <c r="RA48" s="22">
        <f t="shared" si="250"/>
        <v>0</v>
      </c>
      <c r="RB48" s="22">
        <f t="shared" si="250"/>
        <v>0</v>
      </c>
      <c r="RC48" s="22">
        <f t="shared" si="250"/>
        <v>0</v>
      </c>
      <c r="RD48" s="22">
        <f t="shared" si="250"/>
        <v>0</v>
      </c>
      <c r="RE48" s="22">
        <f t="shared" si="250"/>
        <v>0</v>
      </c>
      <c r="RF48" s="22">
        <f t="shared" si="250"/>
        <v>0</v>
      </c>
      <c r="RG48" s="22">
        <f t="shared" si="250"/>
        <v>0</v>
      </c>
      <c r="RH48" s="22">
        <f t="shared" si="250"/>
        <v>0</v>
      </c>
      <c r="RI48" s="22">
        <f t="shared" si="250"/>
        <v>0</v>
      </c>
      <c r="RJ48" s="22">
        <f t="shared" si="250"/>
        <v>0</v>
      </c>
      <c r="RK48" s="22">
        <f t="shared" si="250"/>
        <v>0</v>
      </c>
      <c r="RL48" s="22">
        <f t="shared" si="250"/>
        <v>0</v>
      </c>
      <c r="RM48" s="22">
        <f t="shared" si="250"/>
        <v>0</v>
      </c>
      <c r="RN48" s="22">
        <f t="shared" si="250"/>
        <v>0</v>
      </c>
      <c r="RO48" s="22">
        <f t="shared" si="250"/>
        <v>0</v>
      </c>
      <c r="RP48" s="22">
        <f t="shared" si="250"/>
        <v>0</v>
      </c>
      <c r="RQ48" s="22">
        <f t="shared" si="250"/>
        <v>0</v>
      </c>
      <c r="RR48" s="22">
        <f t="shared" si="250"/>
        <v>0</v>
      </c>
      <c r="RS48" s="22">
        <f t="shared" si="250"/>
        <v>0</v>
      </c>
      <c r="RT48" s="22">
        <f t="shared" si="250"/>
        <v>0</v>
      </c>
      <c r="RU48" s="22">
        <f t="shared" si="250"/>
        <v>0</v>
      </c>
      <c r="RV48" s="22">
        <f t="shared" si="250"/>
        <v>0</v>
      </c>
      <c r="RW48" s="22">
        <f t="shared" si="250"/>
        <v>0</v>
      </c>
      <c r="RX48" s="22">
        <f t="shared" si="250"/>
        <v>0</v>
      </c>
      <c r="RY48" s="22">
        <f t="shared" si="250"/>
        <v>0</v>
      </c>
      <c r="RZ48" s="22">
        <f t="shared" si="250"/>
        <v>0</v>
      </c>
      <c r="SA48" s="22">
        <f t="shared" si="250"/>
        <v>0</v>
      </c>
      <c r="SB48" s="22">
        <f t="shared" si="250"/>
        <v>0</v>
      </c>
      <c r="SC48" s="22">
        <f t="shared" si="250"/>
        <v>0</v>
      </c>
      <c r="SD48" s="22">
        <f t="shared" si="250"/>
        <v>0</v>
      </c>
      <c r="SE48" s="22">
        <f t="shared" si="250"/>
        <v>0</v>
      </c>
      <c r="SF48" s="22">
        <f t="shared" si="250"/>
        <v>0</v>
      </c>
      <c r="SG48" s="22">
        <f t="shared" si="250"/>
        <v>0</v>
      </c>
      <c r="SH48" s="22">
        <f t="shared" si="250"/>
        <v>0</v>
      </c>
      <c r="SI48" s="22">
        <f t="shared" si="250"/>
        <v>0</v>
      </c>
      <c r="SJ48" s="22">
        <f t="shared" si="250"/>
        <v>0</v>
      </c>
      <c r="SK48" s="22">
        <f t="shared" si="250"/>
        <v>0</v>
      </c>
      <c r="SL48" s="22">
        <f t="shared" si="250"/>
        <v>0</v>
      </c>
      <c r="SM48" s="22">
        <f t="shared" si="250"/>
        <v>0</v>
      </c>
      <c r="SN48" s="22">
        <f t="shared" si="250"/>
        <v>0</v>
      </c>
      <c r="SO48" s="22">
        <f t="shared" si="250"/>
        <v>0</v>
      </c>
      <c r="SP48" s="22">
        <f t="shared" si="250"/>
        <v>0</v>
      </c>
      <c r="SQ48" s="22">
        <f t="shared" si="250"/>
        <v>0</v>
      </c>
      <c r="SR48" s="22">
        <f t="shared" si="250"/>
        <v>0</v>
      </c>
      <c r="SS48" s="22">
        <f t="shared" si="250"/>
        <v>0</v>
      </c>
      <c r="ST48" s="22">
        <f t="shared" si="250"/>
        <v>0</v>
      </c>
      <c r="SU48" s="22">
        <f t="shared" si="250"/>
        <v>0</v>
      </c>
      <c r="SV48" s="22">
        <f t="shared" si="250"/>
        <v>0</v>
      </c>
      <c r="SW48" s="22">
        <f t="shared" si="250"/>
        <v>0</v>
      </c>
      <c r="SX48" s="22">
        <f t="shared" si="250"/>
        <v>0</v>
      </c>
      <c r="SY48" s="22">
        <f t="shared" ref="SY48:VJ48" si="251">$E$48*SY34</f>
        <v>0</v>
      </c>
      <c r="SZ48" s="22">
        <f t="shared" si="251"/>
        <v>0</v>
      </c>
      <c r="TA48" s="22">
        <f t="shared" si="251"/>
        <v>0</v>
      </c>
      <c r="TB48" s="22">
        <f t="shared" si="251"/>
        <v>0</v>
      </c>
      <c r="TC48" s="22">
        <f t="shared" si="251"/>
        <v>0</v>
      </c>
      <c r="TD48" s="22">
        <f t="shared" si="251"/>
        <v>0</v>
      </c>
      <c r="TE48" s="22">
        <f t="shared" si="251"/>
        <v>0</v>
      </c>
      <c r="TF48" s="22">
        <f t="shared" si="251"/>
        <v>0</v>
      </c>
      <c r="TG48" s="22">
        <f t="shared" si="251"/>
        <v>0</v>
      </c>
      <c r="TH48" s="22">
        <f t="shared" si="251"/>
        <v>0</v>
      </c>
      <c r="TI48" s="22">
        <f t="shared" si="251"/>
        <v>0</v>
      </c>
      <c r="TJ48" s="22">
        <f t="shared" si="251"/>
        <v>0</v>
      </c>
      <c r="TK48" s="22">
        <f t="shared" si="251"/>
        <v>0</v>
      </c>
      <c r="TL48" s="22">
        <f t="shared" si="251"/>
        <v>0</v>
      </c>
      <c r="TM48" s="22">
        <f t="shared" si="251"/>
        <v>0</v>
      </c>
      <c r="TN48" s="22">
        <f t="shared" si="251"/>
        <v>0</v>
      </c>
      <c r="TO48" s="22">
        <f t="shared" si="251"/>
        <v>0</v>
      </c>
      <c r="TP48" s="22">
        <f t="shared" si="251"/>
        <v>0</v>
      </c>
      <c r="TQ48" s="22">
        <f t="shared" si="251"/>
        <v>0</v>
      </c>
      <c r="TR48" s="22">
        <f t="shared" si="251"/>
        <v>0</v>
      </c>
      <c r="TS48" s="22">
        <f t="shared" si="251"/>
        <v>0</v>
      </c>
      <c r="TT48" s="22">
        <f t="shared" si="251"/>
        <v>0</v>
      </c>
      <c r="TU48" s="22">
        <f t="shared" si="251"/>
        <v>0</v>
      </c>
      <c r="TV48" s="22">
        <f t="shared" si="251"/>
        <v>0</v>
      </c>
      <c r="TW48" s="22">
        <f t="shared" si="251"/>
        <v>0</v>
      </c>
      <c r="TX48" s="22">
        <f t="shared" si="251"/>
        <v>0</v>
      </c>
      <c r="TY48" s="22">
        <f t="shared" si="251"/>
        <v>0</v>
      </c>
      <c r="TZ48" s="22">
        <f t="shared" si="251"/>
        <v>0</v>
      </c>
      <c r="UA48" s="22">
        <f t="shared" si="251"/>
        <v>0</v>
      </c>
      <c r="UB48" s="22">
        <f t="shared" si="251"/>
        <v>0</v>
      </c>
      <c r="UC48" s="22">
        <f t="shared" si="251"/>
        <v>0</v>
      </c>
      <c r="UD48" s="22">
        <f t="shared" si="251"/>
        <v>0</v>
      </c>
      <c r="UE48" s="22">
        <f t="shared" si="251"/>
        <v>0</v>
      </c>
      <c r="UF48" s="22">
        <f t="shared" si="251"/>
        <v>0</v>
      </c>
      <c r="UG48" s="22">
        <f t="shared" si="251"/>
        <v>0</v>
      </c>
      <c r="UH48" s="22">
        <f t="shared" si="251"/>
        <v>0</v>
      </c>
      <c r="UI48" s="22">
        <f t="shared" si="251"/>
        <v>0</v>
      </c>
      <c r="UJ48" s="22">
        <f t="shared" si="251"/>
        <v>0</v>
      </c>
      <c r="UK48" s="22">
        <f t="shared" si="251"/>
        <v>0</v>
      </c>
      <c r="UL48" s="22">
        <f t="shared" si="251"/>
        <v>0</v>
      </c>
      <c r="UM48" s="22">
        <f t="shared" si="251"/>
        <v>0</v>
      </c>
      <c r="UN48" s="22">
        <f t="shared" si="251"/>
        <v>0</v>
      </c>
      <c r="UO48" s="22">
        <f t="shared" si="251"/>
        <v>0</v>
      </c>
      <c r="UP48" s="22">
        <f t="shared" si="251"/>
        <v>0</v>
      </c>
      <c r="UQ48" s="22">
        <f t="shared" si="251"/>
        <v>0</v>
      </c>
      <c r="UR48" s="22">
        <f t="shared" si="251"/>
        <v>0</v>
      </c>
      <c r="US48" s="22">
        <f t="shared" si="251"/>
        <v>0</v>
      </c>
      <c r="UT48" s="22">
        <f t="shared" si="251"/>
        <v>0</v>
      </c>
      <c r="UU48" s="22">
        <f t="shared" si="251"/>
        <v>0</v>
      </c>
      <c r="UV48" s="22">
        <f t="shared" si="251"/>
        <v>0</v>
      </c>
      <c r="UW48" s="22">
        <f t="shared" si="251"/>
        <v>0</v>
      </c>
      <c r="UX48" s="22">
        <f t="shared" si="251"/>
        <v>0</v>
      </c>
      <c r="UY48" s="22">
        <f t="shared" si="251"/>
        <v>0</v>
      </c>
      <c r="UZ48" s="22">
        <f t="shared" si="251"/>
        <v>0</v>
      </c>
      <c r="VA48" s="22">
        <f t="shared" si="251"/>
        <v>0</v>
      </c>
      <c r="VB48" s="22">
        <f t="shared" si="251"/>
        <v>0</v>
      </c>
      <c r="VC48" s="22">
        <f t="shared" si="251"/>
        <v>0</v>
      </c>
      <c r="VD48" s="22">
        <f t="shared" si="251"/>
        <v>0</v>
      </c>
      <c r="VE48" s="22">
        <f t="shared" si="251"/>
        <v>0</v>
      </c>
      <c r="VF48" s="22">
        <f t="shared" si="251"/>
        <v>0</v>
      </c>
      <c r="VG48" s="22">
        <f t="shared" si="251"/>
        <v>0</v>
      </c>
      <c r="VH48" s="22">
        <f t="shared" si="251"/>
        <v>0</v>
      </c>
      <c r="VI48" s="22">
        <f t="shared" si="251"/>
        <v>0</v>
      </c>
      <c r="VJ48" s="22">
        <f t="shared" si="251"/>
        <v>0</v>
      </c>
      <c r="VK48" s="22">
        <f t="shared" ref="VK48:XV48" si="252">$E$48*VK34</f>
        <v>0</v>
      </c>
      <c r="VL48" s="22">
        <f t="shared" si="252"/>
        <v>0</v>
      </c>
      <c r="VM48" s="22">
        <f t="shared" si="252"/>
        <v>0</v>
      </c>
      <c r="VN48" s="22">
        <f t="shared" si="252"/>
        <v>0</v>
      </c>
      <c r="VO48" s="22">
        <f t="shared" si="252"/>
        <v>0</v>
      </c>
      <c r="VP48" s="22">
        <f t="shared" si="252"/>
        <v>0</v>
      </c>
      <c r="VQ48" s="22">
        <f t="shared" si="252"/>
        <v>0</v>
      </c>
      <c r="VR48" s="22">
        <f t="shared" si="252"/>
        <v>0</v>
      </c>
      <c r="VS48" s="22">
        <f t="shared" si="252"/>
        <v>0</v>
      </c>
      <c r="VT48" s="22">
        <f t="shared" si="252"/>
        <v>0</v>
      </c>
      <c r="VU48" s="22">
        <f t="shared" si="252"/>
        <v>0</v>
      </c>
      <c r="VV48" s="22">
        <f t="shared" si="252"/>
        <v>0</v>
      </c>
      <c r="VW48" s="22">
        <f t="shared" si="252"/>
        <v>0</v>
      </c>
      <c r="VX48" s="22">
        <f t="shared" si="252"/>
        <v>0</v>
      </c>
      <c r="VY48" s="22">
        <f t="shared" si="252"/>
        <v>0</v>
      </c>
      <c r="VZ48" s="22">
        <f t="shared" si="252"/>
        <v>0</v>
      </c>
      <c r="WA48" s="22">
        <f t="shared" si="252"/>
        <v>0</v>
      </c>
      <c r="WB48" s="22">
        <f t="shared" si="252"/>
        <v>0</v>
      </c>
      <c r="WC48" s="22">
        <f t="shared" si="252"/>
        <v>0</v>
      </c>
      <c r="WD48" s="22">
        <f t="shared" si="252"/>
        <v>0</v>
      </c>
      <c r="WE48" s="22">
        <f t="shared" si="252"/>
        <v>0</v>
      </c>
      <c r="WF48" s="22">
        <f t="shared" si="252"/>
        <v>0</v>
      </c>
      <c r="WG48" s="22">
        <f t="shared" si="252"/>
        <v>0</v>
      </c>
      <c r="WH48" s="22">
        <f t="shared" si="252"/>
        <v>0</v>
      </c>
      <c r="WI48" s="22">
        <f t="shared" si="252"/>
        <v>0</v>
      </c>
      <c r="WJ48" s="22">
        <f t="shared" si="252"/>
        <v>0</v>
      </c>
      <c r="WK48" s="22">
        <f t="shared" si="252"/>
        <v>0</v>
      </c>
      <c r="WL48" s="22">
        <f t="shared" si="252"/>
        <v>0</v>
      </c>
      <c r="WM48" s="22">
        <f t="shared" si="252"/>
        <v>0</v>
      </c>
      <c r="WN48" s="22">
        <f t="shared" si="252"/>
        <v>0</v>
      </c>
      <c r="WO48" s="22">
        <f t="shared" si="252"/>
        <v>0</v>
      </c>
      <c r="WP48" s="22">
        <f t="shared" si="252"/>
        <v>0</v>
      </c>
      <c r="WQ48" s="22">
        <f t="shared" si="252"/>
        <v>0</v>
      </c>
      <c r="WR48" s="22">
        <f t="shared" si="252"/>
        <v>0</v>
      </c>
      <c r="WS48" s="22">
        <f t="shared" si="252"/>
        <v>0</v>
      </c>
      <c r="WT48" s="22">
        <f t="shared" si="252"/>
        <v>0</v>
      </c>
      <c r="WU48" s="22">
        <f t="shared" si="252"/>
        <v>0</v>
      </c>
      <c r="WV48" s="22">
        <f t="shared" si="252"/>
        <v>0</v>
      </c>
      <c r="WW48" s="22">
        <f t="shared" si="252"/>
        <v>0</v>
      </c>
      <c r="WX48" s="22">
        <f t="shared" si="252"/>
        <v>0</v>
      </c>
      <c r="WY48" s="22">
        <f t="shared" si="252"/>
        <v>0</v>
      </c>
      <c r="WZ48" s="22">
        <f t="shared" si="252"/>
        <v>0</v>
      </c>
      <c r="XA48" s="22">
        <f t="shared" si="252"/>
        <v>0</v>
      </c>
      <c r="XB48" s="22">
        <f t="shared" si="252"/>
        <v>0</v>
      </c>
      <c r="XC48" s="22">
        <f t="shared" si="252"/>
        <v>0</v>
      </c>
      <c r="XD48" s="22">
        <f t="shared" si="252"/>
        <v>0</v>
      </c>
      <c r="XE48" s="22">
        <f t="shared" si="252"/>
        <v>0</v>
      </c>
      <c r="XF48" s="22">
        <f t="shared" si="252"/>
        <v>0</v>
      </c>
      <c r="XG48" s="22">
        <f t="shared" si="252"/>
        <v>0</v>
      </c>
      <c r="XH48" s="22">
        <f t="shared" si="252"/>
        <v>0</v>
      </c>
      <c r="XI48" s="22">
        <f t="shared" si="252"/>
        <v>0</v>
      </c>
      <c r="XJ48" s="22">
        <f t="shared" si="252"/>
        <v>0</v>
      </c>
      <c r="XK48" s="22">
        <f t="shared" si="252"/>
        <v>0</v>
      </c>
      <c r="XL48" s="22">
        <f t="shared" si="252"/>
        <v>0</v>
      </c>
      <c r="XM48" s="22">
        <f t="shared" si="252"/>
        <v>0</v>
      </c>
      <c r="XN48" s="22">
        <f t="shared" si="252"/>
        <v>0</v>
      </c>
      <c r="XO48" s="22">
        <f t="shared" si="252"/>
        <v>0</v>
      </c>
      <c r="XP48" s="22">
        <f t="shared" si="252"/>
        <v>0</v>
      </c>
      <c r="XQ48" s="22">
        <f t="shared" si="252"/>
        <v>0</v>
      </c>
      <c r="XR48" s="22">
        <f t="shared" si="252"/>
        <v>0</v>
      </c>
      <c r="XS48" s="22">
        <f t="shared" si="252"/>
        <v>0</v>
      </c>
      <c r="XT48" s="22">
        <f t="shared" si="252"/>
        <v>0</v>
      </c>
      <c r="XU48" s="22">
        <f t="shared" si="252"/>
        <v>0</v>
      </c>
      <c r="XV48" s="22">
        <f t="shared" si="252"/>
        <v>0</v>
      </c>
      <c r="XW48" s="22">
        <f t="shared" ref="XW48:AAH48" si="253">$E$48*XW34</f>
        <v>0</v>
      </c>
      <c r="XX48" s="22">
        <f t="shared" si="253"/>
        <v>0</v>
      </c>
      <c r="XY48" s="22">
        <f t="shared" si="253"/>
        <v>0</v>
      </c>
      <c r="XZ48" s="22">
        <f t="shared" si="253"/>
        <v>0</v>
      </c>
      <c r="YA48" s="22">
        <f t="shared" si="253"/>
        <v>0</v>
      </c>
      <c r="YB48" s="22">
        <f t="shared" si="253"/>
        <v>0</v>
      </c>
      <c r="YC48" s="22">
        <f t="shared" si="253"/>
        <v>0</v>
      </c>
      <c r="YD48" s="22">
        <f t="shared" si="253"/>
        <v>0</v>
      </c>
      <c r="YE48" s="22">
        <f t="shared" si="253"/>
        <v>0</v>
      </c>
      <c r="YF48" s="22">
        <f t="shared" si="253"/>
        <v>0</v>
      </c>
      <c r="YG48" s="22">
        <f t="shared" si="253"/>
        <v>0</v>
      </c>
      <c r="YH48" s="22">
        <f t="shared" si="253"/>
        <v>0</v>
      </c>
      <c r="YI48" s="22">
        <f t="shared" si="253"/>
        <v>0</v>
      </c>
      <c r="YJ48" s="22">
        <f t="shared" si="253"/>
        <v>0</v>
      </c>
      <c r="YK48" s="22">
        <f t="shared" si="253"/>
        <v>0</v>
      </c>
      <c r="YL48" s="22">
        <f t="shared" si="253"/>
        <v>0</v>
      </c>
      <c r="YM48" s="22">
        <f t="shared" si="253"/>
        <v>0</v>
      </c>
      <c r="YN48" s="22">
        <f t="shared" si="253"/>
        <v>0</v>
      </c>
      <c r="YO48" s="22">
        <f t="shared" si="253"/>
        <v>0</v>
      </c>
      <c r="YP48" s="22">
        <f t="shared" si="253"/>
        <v>0</v>
      </c>
      <c r="YQ48" s="22">
        <f t="shared" si="253"/>
        <v>0</v>
      </c>
      <c r="YR48" s="22">
        <f t="shared" si="253"/>
        <v>0</v>
      </c>
      <c r="YS48" s="22">
        <f t="shared" si="253"/>
        <v>0</v>
      </c>
      <c r="YT48" s="22">
        <f t="shared" si="253"/>
        <v>0</v>
      </c>
      <c r="YU48" s="22">
        <f t="shared" si="253"/>
        <v>0</v>
      </c>
      <c r="YV48" s="22">
        <f t="shared" si="253"/>
        <v>0</v>
      </c>
      <c r="YW48" s="22">
        <f t="shared" si="253"/>
        <v>0</v>
      </c>
      <c r="YX48" s="22">
        <f t="shared" si="253"/>
        <v>0</v>
      </c>
      <c r="YY48" s="22">
        <f t="shared" si="253"/>
        <v>0</v>
      </c>
      <c r="YZ48" s="22">
        <f t="shared" si="253"/>
        <v>0</v>
      </c>
      <c r="ZA48" s="22">
        <f t="shared" si="253"/>
        <v>0</v>
      </c>
      <c r="ZB48" s="22">
        <f t="shared" si="253"/>
        <v>0</v>
      </c>
      <c r="ZC48" s="22">
        <f t="shared" si="253"/>
        <v>0</v>
      </c>
      <c r="ZD48" s="22">
        <f t="shared" si="253"/>
        <v>0</v>
      </c>
      <c r="ZE48" s="22">
        <f t="shared" si="253"/>
        <v>0</v>
      </c>
      <c r="ZF48" s="22">
        <f t="shared" si="253"/>
        <v>0</v>
      </c>
      <c r="ZG48" s="22">
        <f t="shared" si="253"/>
        <v>0</v>
      </c>
      <c r="ZH48" s="22">
        <f t="shared" si="253"/>
        <v>0</v>
      </c>
      <c r="ZI48" s="22">
        <f t="shared" si="253"/>
        <v>0</v>
      </c>
      <c r="ZJ48" s="22">
        <f t="shared" si="253"/>
        <v>0</v>
      </c>
      <c r="ZK48" s="22">
        <f t="shared" si="253"/>
        <v>0</v>
      </c>
      <c r="ZL48" s="22">
        <f t="shared" si="253"/>
        <v>0</v>
      </c>
      <c r="ZM48" s="22">
        <f t="shared" si="253"/>
        <v>0</v>
      </c>
      <c r="ZN48" s="22">
        <f t="shared" si="253"/>
        <v>0</v>
      </c>
      <c r="ZO48" s="22">
        <f t="shared" si="253"/>
        <v>0</v>
      </c>
      <c r="ZP48" s="22">
        <f t="shared" si="253"/>
        <v>0</v>
      </c>
      <c r="ZQ48" s="22">
        <f t="shared" si="253"/>
        <v>0</v>
      </c>
      <c r="ZR48" s="22">
        <f t="shared" si="253"/>
        <v>0</v>
      </c>
      <c r="ZS48" s="22">
        <f t="shared" si="253"/>
        <v>0</v>
      </c>
      <c r="ZT48" s="22">
        <f t="shared" si="253"/>
        <v>0</v>
      </c>
      <c r="ZU48" s="22">
        <f t="shared" si="253"/>
        <v>0</v>
      </c>
      <c r="ZV48" s="22">
        <f t="shared" si="253"/>
        <v>0</v>
      </c>
      <c r="ZW48" s="22">
        <f t="shared" si="253"/>
        <v>0</v>
      </c>
      <c r="ZX48" s="22">
        <f t="shared" si="253"/>
        <v>0</v>
      </c>
      <c r="ZY48" s="22">
        <f t="shared" si="253"/>
        <v>0</v>
      </c>
      <c r="ZZ48" s="22">
        <f t="shared" si="253"/>
        <v>0</v>
      </c>
      <c r="AAA48" s="22">
        <f t="shared" si="253"/>
        <v>0</v>
      </c>
      <c r="AAB48" s="22">
        <f t="shared" si="253"/>
        <v>0</v>
      </c>
      <c r="AAC48" s="22">
        <f t="shared" si="253"/>
        <v>0</v>
      </c>
      <c r="AAD48" s="22">
        <f t="shared" si="253"/>
        <v>0</v>
      </c>
      <c r="AAE48" s="22">
        <f t="shared" si="253"/>
        <v>0</v>
      </c>
      <c r="AAF48" s="22">
        <f t="shared" si="253"/>
        <v>0</v>
      </c>
      <c r="AAG48" s="22">
        <f t="shared" si="253"/>
        <v>0</v>
      </c>
      <c r="AAH48" s="22">
        <f t="shared" si="253"/>
        <v>0</v>
      </c>
      <c r="AAI48" s="22">
        <f t="shared" ref="AAI48:ABI48" si="254">$E$48*AAI34</f>
        <v>0</v>
      </c>
      <c r="AAJ48" s="22">
        <f t="shared" si="254"/>
        <v>0</v>
      </c>
      <c r="AAK48" s="22">
        <f t="shared" si="254"/>
        <v>0</v>
      </c>
      <c r="AAL48" s="22">
        <f t="shared" si="254"/>
        <v>0</v>
      </c>
      <c r="AAM48" s="22">
        <f t="shared" si="254"/>
        <v>0</v>
      </c>
      <c r="AAN48" s="22">
        <f t="shared" si="254"/>
        <v>0</v>
      </c>
      <c r="AAO48" s="22">
        <f t="shared" si="254"/>
        <v>0</v>
      </c>
      <c r="AAP48" s="22">
        <f t="shared" si="254"/>
        <v>0</v>
      </c>
      <c r="AAQ48" s="22">
        <f t="shared" si="254"/>
        <v>0</v>
      </c>
      <c r="AAR48" s="22">
        <f t="shared" si="254"/>
        <v>0</v>
      </c>
      <c r="AAS48" s="22">
        <f t="shared" si="254"/>
        <v>0</v>
      </c>
      <c r="AAT48" s="22">
        <f t="shared" si="254"/>
        <v>0</v>
      </c>
      <c r="AAU48" s="22">
        <f t="shared" si="254"/>
        <v>0</v>
      </c>
      <c r="AAV48" s="22">
        <f t="shared" si="254"/>
        <v>0</v>
      </c>
      <c r="AAW48" s="22">
        <f t="shared" si="254"/>
        <v>0</v>
      </c>
      <c r="AAX48" s="22">
        <f t="shared" si="254"/>
        <v>0</v>
      </c>
      <c r="AAY48" s="22">
        <f t="shared" si="254"/>
        <v>0</v>
      </c>
      <c r="AAZ48" s="22">
        <f t="shared" si="254"/>
        <v>0</v>
      </c>
      <c r="ABA48" s="22">
        <f t="shared" si="254"/>
        <v>0</v>
      </c>
      <c r="ABB48" s="22">
        <f t="shared" si="254"/>
        <v>0</v>
      </c>
      <c r="ABC48" s="22">
        <f t="shared" si="254"/>
        <v>0</v>
      </c>
      <c r="ABD48" s="22">
        <f t="shared" si="254"/>
        <v>0</v>
      </c>
      <c r="ABE48" s="22">
        <f t="shared" si="254"/>
        <v>0</v>
      </c>
      <c r="ABF48" s="22">
        <f t="shared" si="254"/>
        <v>0</v>
      </c>
      <c r="ABG48" s="22">
        <f t="shared" si="254"/>
        <v>0</v>
      </c>
      <c r="ABH48" s="22">
        <f t="shared" si="254"/>
        <v>0</v>
      </c>
      <c r="ABI48" s="22">
        <f t="shared" si="254"/>
        <v>0</v>
      </c>
    </row>
    <row r="49" spans="1:737" ht="12.95" customHeight="1" x14ac:dyDescent="0.25">
      <c r="B49" s="18" t="s">
        <v>11</v>
      </c>
      <c r="C49" s="19">
        <f t="shared" si="146"/>
        <v>57185.699999999881</v>
      </c>
      <c r="D49" s="20" t="s">
        <v>16</v>
      </c>
      <c r="E49" s="21">
        <v>9.3000000000000007</v>
      </c>
      <c r="F49" s="22">
        <f>$E$49*F35</f>
        <v>148.80000000000001</v>
      </c>
      <c r="G49" s="22">
        <f t="shared" ref="G49:BR49" si="255">$E$49*G35</f>
        <v>148.80000000000001</v>
      </c>
      <c r="H49" s="23">
        <f t="shared" si="255"/>
        <v>148.80000000000001</v>
      </c>
      <c r="I49" s="22">
        <f t="shared" si="255"/>
        <v>148.80000000000001</v>
      </c>
      <c r="J49" s="22">
        <f t="shared" si="255"/>
        <v>148.80000000000001</v>
      </c>
      <c r="K49" s="22">
        <f t="shared" si="255"/>
        <v>148.80000000000001</v>
      </c>
      <c r="L49" s="22">
        <f t="shared" si="255"/>
        <v>148.80000000000001</v>
      </c>
      <c r="M49" s="22">
        <f t="shared" si="255"/>
        <v>148.80000000000001</v>
      </c>
      <c r="N49" s="22">
        <f t="shared" si="255"/>
        <v>148.80000000000001</v>
      </c>
      <c r="O49" s="22">
        <f t="shared" si="255"/>
        <v>148.80000000000001</v>
      </c>
      <c r="P49" s="22">
        <f t="shared" si="255"/>
        <v>148.80000000000001</v>
      </c>
      <c r="Q49" s="22">
        <f t="shared" si="255"/>
        <v>148.80000000000001</v>
      </c>
      <c r="R49" s="22">
        <f t="shared" si="255"/>
        <v>148.80000000000001</v>
      </c>
      <c r="S49" s="22">
        <f t="shared" si="255"/>
        <v>148.80000000000001</v>
      </c>
      <c r="T49" s="22">
        <f t="shared" si="255"/>
        <v>148.80000000000001</v>
      </c>
      <c r="U49" s="22">
        <f t="shared" si="255"/>
        <v>148.80000000000001</v>
      </c>
      <c r="V49" s="22">
        <f t="shared" si="255"/>
        <v>148.80000000000001</v>
      </c>
      <c r="W49" s="22">
        <f t="shared" si="255"/>
        <v>148.80000000000001</v>
      </c>
      <c r="X49" s="22">
        <f t="shared" si="255"/>
        <v>148.80000000000001</v>
      </c>
      <c r="Y49" s="22">
        <f t="shared" si="255"/>
        <v>148.80000000000001</v>
      </c>
      <c r="Z49" s="22">
        <f t="shared" si="255"/>
        <v>148.80000000000001</v>
      </c>
      <c r="AA49" s="22">
        <f t="shared" si="255"/>
        <v>148.80000000000001</v>
      </c>
      <c r="AB49" s="22">
        <f t="shared" si="255"/>
        <v>148.80000000000001</v>
      </c>
      <c r="AC49" s="22">
        <f t="shared" si="255"/>
        <v>148.80000000000001</v>
      </c>
      <c r="AD49" s="22">
        <f t="shared" si="255"/>
        <v>148.80000000000001</v>
      </c>
      <c r="AE49" s="22">
        <f t="shared" si="255"/>
        <v>148.80000000000001</v>
      </c>
      <c r="AF49" s="22">
        <f t="shared" si="255"/>
        <v>148.80000000000001</v>
      </c>
      <c r="AG49" s="22">
        <f t="shared" si="255"/>
        <v>148.80000000000001</v>
      </c>
      <c r="AH49" s="22">
        <f t="shared" si="255"/>
        <v>204.60000000000002</v>
      </c>
      <c r="AI49" s="22">
        <f t="shared" si="255"/>
        <v>204.60000000000002</v>
      </c>
      <c r="AJ49" s="22">
        <f t="shared" si="255"/>
        <v>204.60000000000002</v>
      </c>
      <c r="AK49" s="23">
        <f t="shared" si="255"/>
        <v>204.60000000000002</v>
      </c>
      <c r="AL49" s="22">
        <f t="shared" si="255"/>
        <v>204.60000000000002</v>
      </c>
      <c r="AM49" s="22">
        <f t="shared" si="255"/>
        <v>204.60000000000002</v>
      </c>
      <c r="AN49" s="22">
        <f t="shared" si="255"/>
        <v>204.60000000000002</v>
      </c>
      <c r="AO49" s="22">
        <f t="shared" si="255"/>
        <v>204.60000000000002</v>
      </c>
      <c r="AP49" s="22">
        <f t="shared" si="255"/>
        <v>204.60000000000002</v>
      </c>
      <c r="AQ49" s="22">
        <f t="shared" si="255"/>
        <v>204.60000000000002</v>
      </c>
      <c r="AR49" s="22">
        <f t="shared" si="255"/>
        <v>204.60000000000002</v>
      </c>
      <c r="AS49" s="22">
        <f t="shared" si="255"/>
        <v>204.60000000000002</v>
      </c>
      <c r="AT49" s="22">
        <f t="shared" si="255"/>
        <v>204.60000000000002</v>
      </c>
      <c r="AU49" s="22">
        <f t="shared" si="255"/>
        <v>204.60000000000002</v>
      </c>
      <c r="AV49" s="22">
        <f t="shared" si="255"/>
        <v>204.60000000000002</v>
      </c>
      <c r="AW49" s="22">
        <f t="shared" si="255"/>
        <v>204.60000000000002</v>
      </c>
      <c r="AX49" s="22">
        <f t="shared" si="255"/>
        <v>204.60000000000002</v>
      </c>
      <c r="AY49" s="22">
        <f t="shared" si="255"/>
        <v>204.60000000000002</v>
      </c>
      <c r="AZ49" s="22">
        <f t="shared" si="255"/>
        <v>204.60000000000002</v>
      </c>
      <c r="BA49" s="22">
        <f t="shared" si="255"/>
        <v>204.60000000000002</v>
      </c>
      <c r="BB49" s="22">
        <f t="shared" si="255"/>
        <v>204.60000000000002</v>
      </c>
      <c r="BC49" s="22">
        <f t="shared" si="255"/>
        <v>483.6</v>
      </c>
      <c r="BD49" s="22">
        <f t="shared" si="255"/>
        <v>483.6</v>
      </c>
      <c r="BE49" s="22">
        <f t="shared" si="255"/>
        <v>483.6</v>
      </c>
      <c r="BF49" s="22">
        <f t="shared" si="255"/>
        <v>483.6</v>
      </c>
      <c r="BG49" s="22">
        <f t="shared" si="255"/>
        <v>483.6</v>
      </c>
      <c r="BH49" s="22">
        <f t="shared" si="255"/>
        <v>483.6</v>
      </c>
      <c r="BI49" s="22">
        <f t="shared" si="255"/>
        <v>483.6</v>
      </c>
      <c r="BJ49" s="22">
        <f t="shared" si="255"/>
        <v>483.6</v>
      </c>
      <c r="BK49" s="22">
        <f t="shared" si="255"/>
        <v>483.6</v>
      </c>
      <c r="BL49" s="22">
        <f t="shared" si="255"/>
        <v>483.6</v>
      </c>
      <c r="BM49" s="22">
        <f t="shared" si="255"/>
        <v>483.6</v>
      </c>
      <c r="BN49" s="22">
        <f t="shared" si="255"/>
        <v>483.6</v>
      </c>
      <c r="BO49" s="22">
        <f t="shared" si="255"/>
        <v>483.6</v>
      </c>
      <c r="BP49" s="22">
        <f t="shared" si="255"/>
        <v>483.6</v>
      </c>
      <c r="BQ49" s="22">
        <f t="shared" si="255"/>
        <v>483.6</v>
      </c>
      <c r="BR49" s="22">
        <f t="shared" si="255"/>
        <v>483.6</v>
      </c>
      <c r="BS49" s="22">
        <f t="shared" ref="BS49:ED49" si="256">$E$49*BS35</f>
        <v>483.6</v>
      </c>
      <c r="BT49" s="22">
        <f t="shared" si="256"/>
        <v>483.6</v>
      </c>
      <c r="BU49" s="22">
        <f t="shared" si="256"/>
        <v>483.6</v>
      </c>
      <c r="BV49" s="22">
        <f t="shared" si="256"/>
        <v>483.6</v>
      </c>
      <c r="BW49" s="22">
        <f t="shared" si="256"/>
        <v>483.6</v>
      </c>
      <c r="BX49" s="22">
        <f t="shared" si="256"/>
        <v>483.6</v>
      </c>
      <c r="BY49" s="22">
        <f t="shared" si="256"/>
        <v>483.6</v>
      </c>
      <c r="BZ49" s="22">
        <f t="shared" si="256"/>
        <v>483.6</v>
      </c>
      <c r="CA49" s="22">
        <f t="shared" si="256"/>
        <v>483.6</v>
      </c>
      <c r="CB49" s="22">
        <f t="shared" si="256"/>
        <v>483.6</v>
      </c>
      <c r="CC49" s="22">
        <f t="shared" si="256"/>
        <v>483.6</v>
      </c>
      <c r="CD49" s="22">
        <f t="shared" si="256"/>
        <v>483.6</v>
      </c>
      <c r="CE49" s="22">
        <f t="shared" si="256"/>
        <v>483.6</v>
      </c>
      <c r="CF49" s="22">
        <f t="shared" si="256"/>
        <v>483.6</v>
      </c>
      <c r="CG49" s="22">
        <f t="shared" si="256"/>
        <v>483.6</v>
      </c>
      <c r="CH49" s="22">
        <f t="shared" si="256"/>
        <v>483.6</v>
      </c>
      <c r="CI49" s="22">
        <f t="shared" si="256"/>
        <v>483.6</v>
      </c>
      <c r="CJ49" s="22">
        <f t="shared" si="256"/>
        <v>483.6</v>
      </c>
      <c r="CK49" s="22">
        <f t="shared" si="256"/>
        <v>483.6</v>
      </c>
      <c r="CL49" s="22">
        <f t="shared" si="256"/>
        <v>483.6</v>
      </c>
      <c r="CM49" s="22">
        <f t="shared" si="256"/>
        <v>483.6</v>
      </c>
      <c r="CN49" s="22">
        <f t="shared" si="256"/>
        <v>483.6</v>
      </c>
      <c r="CO49" s="22">
        <f t="shared" si="256"/>
        <v>483.6</v>
      </c>
      <c r="CP49" s="22">
        <f t="shared" si="256"/>
        <v>483.6</v>
      </c>
      <c r="CQ49" s="22">
        <f t="shared" si="256"/>
        <v>483.6</v>
      </c>
      <c r="CR49" s="22">
        <f t="shared" si="256"/>
        <v>483.6</v>
      </c>
      <c r="CS49" s="22">
        <f t="shared" si="256"/>
        <v>548.70000000000005</v>
      </c>
      <c r="CT49" s="22">
        <f t="shared" si="256"/>
        <v>548.70000000000005</v>
      </c>
      <c r="CU49" s="22">
        <f t="shared" si="256"/>
        <v>548.70000000000005</v>
      </c>
      <c r="CV49" s="22">
        <f t="shared" si="256"/>
        <v>548.70000000000005</v>
      </c>
      <c r="CW49" s="22">
        <f t="shared" si="256"/>
        <v>548.70000000000005</v>
      </c>
      <c r="CX49" s="22">
        <f t="shared" si="256"/>
        <v>548.70000000000005</v>
      </c>
      <c r="CY49" s="22">
        <f t="shared" si="256"/>
        <v>548.70000000000005</v>
      </c>
      <c r="CZ49" s="22">
        <f t="shared" si="256"/>
        <v>548.70000000000005</v>
      </c>
      <c r="DA49" s="22">
        <f t="shared" si="256"/>
        <v>548.70000000000005</v>
      </c>
      <c r="DB49" s="22">
        <f t="shared" si="256"/>
        <v>548.70000000000005</v>
      </c>
      <c r="DC49" s="22">
        <f t="shared" si="256"/>
        <v>548.70000000000005</v>
      </c>
      <c r="DD49" s="22">
        <f t="shared" si="256"/>
        <v>548.70000000000005</v>
      </c>
      <c r="DE49" s="22">
        <f t="shared" si="256"/>
        <v>548.70000000000005</v>
      </c>
      <c r="DF49" s="22">
        <f t="shared" si="256"/>
        <v>548.70000000000005</v>
      </c>
      <c r="DG49" s="22">
        <f t="shared" si="256"/>
        <v>502.20000000000005</v>
      </c>
      <c r="DH49" s="22">
        <f t="shared" si="256"/>
        <v>502.20000000000005</v>
      </c>
      <c r="DI49" s="22">
        <f t="shared" si="256"/>
        <v>502.20000000000005</v>
      </c>
      <c r="DJ49" s="22">
        <f t="shared" si="256"/>
        <v>502.20000000000005</v>
      </c>
      <c r="DK49" s="22">
        <f t="shared" si="256"/>
        <v>502.20000000000005</v>
      </c>
      <c r="DL49" s="22">
        <f t="shared" si="256"/>
        <v>502.20000000000005</v>
      </c>
      <c r="DM49" s="22">
        <f t="shared" si="256"/>
        <v>502.20000000000005</v>
      </c>
      <c r="DN49" s="22">
        <f t="shared" si="256"/>
        <v>502.20000000000005</v>
      </c>
      <c r="DO49" s="22">
        <f t="shared" si="256"/>
        <v>502.20000000000005</v>
      </c>
      <c r="DP49" s="22">
        <f t="shared" si="256"/>
        <v>502.20000000000005</v>
      </c>
      <c r="DQ49" s="22">
        <f t="shared" si="256"/>
        <v>502.20000000000005</v>
      </c>
      <c r="DR49" s="22">
        <f t="shared" si="256"/>
        <v>502.20000000000005</v>
      </c>
      <c r="DS49" s="22">
        <f t="shared" si="256"/>
        <v>502.20000000000005</v>
      </c>
      <c r="DT49" s="22">
        <f t="shared" si="256"/>
        <v>502.20000000000005</v>
      </c>
      <c r="DU49" s="22">
        <f t="shared" si="256"/>
        <v>502.20000000000005</v>
      </c>
      <c r="DV49" s="22">
        <f t="shared" si="256"/>
        <v>502.20000000000005</v>
      </c>
      <c r="DW49" s="22">
        <f t="shared" si="256"/>
        <v>502.20000000000005</v>
      </c>
      <c r="DX49" s="22">
        <f t="shared" si="256"/>
        <v>502.20000000000005</v>
      </c>
      <c r="DY49" s="22">
        <f t="shared" si="256"/>
        <v>502.20000000000005</v>
      </c>
      <c r="DZ49" s="22">
        <f t="shared" si="256"/>
        <v>502.20000000000005</v>
      </c>
      <c r="EA49" s="22">
        <f t="shared" si="256"/>
        <v>502.20000000000005</v>
      </c>
      <c r="EB49" s="22">
        <f t="shared" si="256"/>
        <v>502.20000000000005</v>
      </c>
      <c r="EC49" s="22">
        <f t="shared" si="256"/>
        <v>502.20000000000005</v>
      </c>
      <c r="ED49" s="22">
        <f t="shared" si="256"/>
        <v>502.20000000000005</v>
      </c>
      <c r="EE49" s="22">
        <f t="shared" ref="EE49:GP49" si="257">$E$49*EE35</f>
        <v>502.20000000000005</v>
      </c>
      <c r="EF49" s="22">
        <f t="shared" si="257"/>
        <v>502.20000000000005</v>
      </c>
      <c r="EG49" s="22">
        <f t="shared" si="257"/>
        <v>502.20000000000005</v>
      </c>
      <c r="EH49" s="22">
        <f t="shared" si="257"/>
        <v>502.20000000000005</v>
      </c>
      <c r="EI49" s="22">
        <f t="shared" si="257"/>
        <v>502.20000000000005</v>
      </c>
      <c r="EJ49" s="22">
        <f t="shared" si="257"/>
        <v>502.20000000000005</v>
      </c>
      <c r="EK49" s="22">
        <f t="shared" si="257"/>
        <v>502.20000000000005</v>
      </c>
      <c r="EL49" s="22">
        <f t="shared" si="257"/>
        <v>502.20000000000005</v>
      </c>
      <c r="EM49" s="22">
        <f t="shared" si="257"/>
        <v>502.20000000000005</v>
      </c>
      <c r="EN49" s="22">
        <f t="shared" si="257"/>
        <v>502.20000000000005</v>
      </c>
      <c r="EO49" s="22">
        <f t="shared" si="257"/>
        <v>502.20000000000005</v>
      </c>
      <c r="EP49" s="22">
        <f t="shared" si="257"/>
        <v>502.20000000000005</v>
      </c>
      <c r="EQ49" s="22">
        <f t="shared" si="257"/>
        <v>502.20000000000005</v>
      </c>
      <c r="ER49" s="22">
        <f t="shared" si="257"/>
        <v>344.1</v>
      </c>
      <c r="ES49" s="22">
        <f t="shared" si="257"/>
        <v>344.1</v>
      </c>
      <c r="ET49" s="22">
        <f t="shared" si="257"/>
        <v>344.1</v>
      </c>
      <c r="EU49" s="22">
        <f t="shared" si="257"/>
        <v>186</v>
      </c>
      <c r="EV49" s="22">
        <f t="shared" si="257"/>
        <v>27.900000000000002</v>
      </c>
      <c r="EW49" s="22">
        <f t="shared" si="257"/>
        <v>120.9</v>
      </c>
      <c r="EX49" s="22">
        <f t="shared" si="257"/>
        <v>120.9</v>
      </c>
      <c r="EY49" s="22">
        <f t="shared" si="257"/>
        <v>120.9</v>
      </c>
      <c r="EZ49" s="22">
        <f t="shared" si="257"/>
        <v>120.9</v>
      </c>
      <c r="FA49" s="22">
        <f t="shared" si="257"/>
        <v>120.9</v>
      </c>
      <c r="FB49" s="22">
        <f t="shared" si="257"/>
        <v>-37.200000000000003</v>
      </c>
      <c r="FC49" s="22">
        <f t="shared" si="257"/>
        <v>-195.3</v>
      </c>
      <c r="FD49" s="22">
        <f t="shared" si="257"/>
        <v>102.30000000000001</v>
      </c>
      <c r="FE49" s="22">
        <f t="shared" si="257"/>
        <v>102.30000000000001</v>
      </c>
      <c r="FF49" s="22">
        <f t="shared" si="257"/>
        <v>102.30000000000001</v>
      </c>
      <c r="FG49" s="22">
        <f t="shared" si="257"/>
        <v>102.30000000000001</v>
      </c>
      <c r="FH49" s="22">
        <f t="shared" si="257"/>
        <v>102.30000000000001</v>
      </c>
      <c r="FI49" s="22">
        <f t="shared" si="257"/>
        <v>-55.800000000000004</v>
      </c>
      <c r="FJ49" s="22">
        <f t="shared" si="257"/>
        <v>-213.9</v>
      </c>
      <c r="FK49" s="22">
        <f t="shared" si="257"/>
        <v>-372</v>
      </c>
      <c r="FL49" s="22">
        <f t="shared" si="257"/>
        <v>93</v>
      </c>
      <c r="FM49" s="22">
        <f t="shared" si="257"/>
        <v>93</v>
      </c>
      <c r="FN49" s="22">
        <f t="shared" si="257"/>
        <v>93</v>
      </c>
      <c r="FO49" s="22">
        <f t="shared" si="257"/>
        <v>93</v>
      </c>
      <c r="FP49" s="22">
        <f t="shared" si="257"/>
        <v>-65.100000000000009</v>
      </c>
      <c r="FQ49" s="22">
        <f t="shared" si="257"/>
        <v>-223.20000000000002</v>
      </c>
      <c r="FR49" s="22">
        <f t="shared" si="257"/>
        <v>93</v>
      </c>
      <c r="FS49" s="22">
        <f t="shared" si="257"/>
        <v>93</v>
      </c>
      <c r="FT49" s="22">
        <f t="shared" si="257"/>
        <v>93</v>
      </c>
      <c r="FU49" s="22">
        <f t="shared" si="257"/>
        <v>93</v>
      </c>
      <c r="FV49" s="22">
        <f t="shared" si="257"/>
        <v>93</v>
      </c>
      <c r="FW49" s="22">
        <f t="shared" si="257"/>
        <v>-65.100000000000009</v>
      </c>
      <c r="FX49" s="22">
        <f t="shared" si="257"/>
        <v>-223.20000000000002</v>
      </c>
      <c r="FY49" s="22">
        <f t="shared" si="257"/>
        <v>93</v>
      </c>
      <c r="FZ49" s="22">
        <f t="shared" si="257"/>
        <v>93</v>
      </c>
      <c r="GA49" s="22">
        <f t="shared" si="257"/>
        <v>93</v>
      </c>
      <c r="GB49" s="22">
        <f t="shared" si="257"/>
        <v>93</v>
      </c>
      <c r="GC49" s="22">
        <f t="shared" si="257"/>
        <v>93</v>
      </c>
      <c r="GD49" s="22">
        <f t="shared" si="257"/>
        <v>-65.100000000000009</v>
      </c>
      <c r="GE49" s="22">
        <f t="shared" si="257"/>
        <v>0</v>
      </c>
      <c r="GF49" s="22">
        <f t="shared" si="257"/>
        <v>0</v>
      </c>
      <c r="GG49" s="22">
        <f t="shared" si="257"/>
        <v>0</v>
      </c>
      <c r="GH49" s="22">
        <f t="shared" si="257"/>
        <v>0</v>
      </c>
      <c r="GI49" s="22">
        <f t="shared" si="257"/>
        <v>0</v>
      </c>
      <c r="GJ49" s="22">
        <f t="shared" si="257"/>
        <v>0</v>
      </c>
      <c r="GK49" s="22">
        <f t="shared" si="257"/>
        <v>0</v>
      </c>
      <c r="GL49" s="22">
        <f t="shared" si="257"/>
        <v>0</v>
      </c>
      <c r="GM49" s="22">
        <f t="shared" si="257"/>
        <v>0</v>
      </c>
      <c r="GN49" s="22">
        <f t="shared" si="257"/>
        <v>0</v>
      </c>
      <c r="GO49" s="22">
        <f t="shared" si="257"/>
        <v>0</v>
      </c>
      <c r="GP49" s="22">
        <f t="shared" si="257"/>
        <v>0</v>
      </c>
      <c r="GQ49" s="22">
        <f t="shared" ref="GQ49:JB49" si="258">$E$49*GQ35</f>
        <v>0</v>
      </c>
      <c r="GR49" s="22">
        <f t="shared" si="258"/>
        <v>0</v>
      </c>
      <c r="GS49" s="22">
        <f t="shared" si="258"/>
        <v>0</v>
      </c>
      <c r="GT49" s="22">
        <f t="shared" si="258"/>
        <v>0</v>
      </c>
      <c r="GU49" s="22">
        <f t="shared" si="258"/>
        <v>0</v>
      </c>
      <c r="GV49" s="22">
        <f t="shared" si="258"/>
        <v>0</v>
      </c>
      <c r="GW49" s="22">
        <f t="shared" si="258"/>
        <v>0</v>
      </c>
      <c r="GX49" s="22">
        <f t="shared" si="258"/>
        <v>0</v>
      </c>
      <c r="GY49" s="22">
        <f t="shared" si="258"/>
        <v>0</v>
      </c>
      <c r="GZ49" s="22">
        <f t="shared" si="258"/>
        <v>0</v>
      </c>
      <c r="HA49" s="22">
        <f t="shared" si="258"/>
        <v>0</v>
      </c>
      <c r="HB49" s="22">
        <f t="shared" si="258"/>
        <v>0</v>
      </c>
      <c r="HC49" s="22">
        <f t="shared" si="258"/>
        <v>0</v>
      </c>
      <c r="HD49" s="22">
        <f t="shared" si="258"/>
        <v>0</v>
      </c>
      <c r="HE49" s="22">
        <f t="shared" si="258"/>
        <v>0</v>
      </c>
      <c r="HF49" s="22">
        <f t="shared" si="258"/>
        <v>0</v>
      </c>
      <c r="HG49" s="22">
        <f t="shared" si="258"/>
        <v>0</v>
      </c>
      <c r="HH49" s="22">
        <f t="shared" si="258"/>
        <v>0</v>
      </c>
      <c r="HI49" s="22">
        <f t="shared" si="258"/>
        <v>0</v>
      </c>
      <c r="HJ49" s="22">
        <f t="shared" si="258"/>
        <v>0</v>
      </c>
      <c r="HK49" s="22">
        <f t="shared" si="258"/>
        <v>0</v>
      </c>
      <c r="HL49" s="22">
        <f t="shared" si="258"/>
        <v>0</v>
      </c>
      <c r="HM49" s="22">
        <f t="shared" si="258"/>
        <v>0</v>
      </c>
      <c r="HN49" s="22">
        <f t="shared" si="258"/>
        <v>0</v>
      </c>
      <c r="HO49" s="22">
        <f t="shared" si="258"/>
        <v>0</v>
      </c>
      <c r="HP49" s="22">
        <f t="shared" si="258"/>
        <v>0</v>
      </c>
      <c r="HQ49" s="22">
        <f t="shared" si="258"/>
        <v>0</v>
      </c>
      <c r="HR49" s="22">
        <f t="shared" si="258"/>
        <v>0</v>
      </c>
      <c r="HS49" s="22">
        <f t="shared" si="258"/>
        <v>0</v>
      </c>
      <c r="HT49" s="22">
        <f t="shared" si="258"/>
        <v>0</v>
      </c>
      <c r="HU49" s="22">
        <f t="shared" si="258"/>
        <v>0</v>
      </c>
      <c r="HV49" s="22">
        <f t="shared" si="258"/>
        <v>0</v>
      </c>
      <c r="HW49" s="22">
        <f t="shared" si="258"/>
        <v>0</v>
      </c>
      <c r="HX49" s="22">
        <f t="shared" si="258"/>
        <v>0</v>
      </c>
      <c r="HY49" s="22">
        <f t="shared" si="258"/>
        <v>0</v>
      </c>
      <c r="HZ49" s="22">
        <f t="shared" si="258"/>
        <v>0</v>
      </c>
      <c r="IA49" s="22">
        <f t="shared" si="258"/>
        <v>0</v>
      </c>
      <c r="IB49" s="22">
        <f t="shared" si="258"/>
        <v>0</v>
      </c>
      <c r="IC49" s="22">
        <f t="shared" si="258"/>
        <v>0</v>
      </c>
      <c r="ID49" s="22">
        <f t="shared" si="258"/>
        <v>0</v>
      </c>
      <c r="IE49" s="22">
        <f t="shared" si="258"/>
        <v>0</v>
      </c>
      <c r="IF49" s="22">
        <f t="shared" si="258"/>
        <v>0</v>
      </c>
      <c r="IG49" s="22">
        <f t="shared" si="258"/>
        <v>0</v>
      </c>
      <c r="IH49" s="22">
        <f t="shared" si="258"/>
        <v>0</v>
      </c>
      <c r="II49" s="22">
        <f t="shared" si="258"/>
        <v>0</v>
      </c>
      <c r="IJ49" s="22">
        <f t="shared" si="258"/>
        <v>0</v>
      </c>
      <c r="IK49" s="22">
        <f t="shared" si="258"/>
        <v>0</v>
      </c>
      <c r="IL49" s="22">
        <f t="shared" si="258"/>
        <v>0</v>
      </c>
      <c r="IM49" s="22">
        <f t="shared" si="258"/>
        <v>0</v>
      </c>
      <c r="IN49" s="22">
        <f t="shared" si="258"/>
        <v>0</v>
      </c>
      <c r="IO49" s="22">
        <f t="shared" si="258"/>
        <v>0</v>
      </c>
      <c r="IP49" s="22">
        <f t="shared" si="258"/>
        <v>0</v>
      </c>
      <c r="IQ49" s="22">
        <f t="shared" si="258"/>
        <v>0</v>
      </c>
      <c r="IR49" s="22">
        <f t="shared" si="258"/>
        <v>0</v>
      </c>
      <c r="IS49" s="22">
        <f t="shared" si="258"/>
        <v>0</v>
      </c>
      <c r="IT49" s="22">
        <f t="shared" si="258"/>
        <v>0</v>
      </c>
      <c r="IU49" s="22">
        <f t="shared" si="258"/>
        <v>0</v>
      </c>
      <c r="IV49" s="22">
        <f t="shared" si="258"/>
        <v>0</v>
      </c>
      <c r="IW49" s="22">
        <f t="shared" si="258"/>
        <v>0</v>
      </c>
      <c r="IX49" s="22">
        <f t="shared" si="258"/>
        <v>0</v>
      </c>
      <c r="IY49" s="22">
        <f t="shared" si="258"/>
        <v>0</v>
      </c>
      <c r="IZ49" s="22">
        <f t="shared" si="258"/>
        <v>0</v>
      </c>
      <c r="JA49" s="22">
        <f t="shared" si="258"/>
        <v>0</v>
      </c>
      <c r="JB49" s="22">
        <f t="shared" si="258"/>
        <v>0</v>
      </c>
      <c r="JC49" s="22">
        <f t="shared" ref="JC49:LN49" si="259">$E$49*JC35</f>
        <v>0</v>
      </c>
      <c r="JD49" s="22">
        <f t="shared" si="259"/>
        <v>0</v>
      </c>
      <c r="JE49" s="22">
        <f t="shared" si="259"/>
        <v>0</v>
      </c>
      <c r="JF49" s="22">
        <f t="shared" si="259"/>
        <v>0</v>
      </c>
      <c r="JG49" s="22">
        <f t="shared" si="259"/>
        <v>0</v>
      </c>
      <c r="JH49" s="22">
        <f t="shared" si="259"/>
        <v>0</v>
      </c>
      <c r="JI49" s="22">
        <f t="shared" si="259"/>
        <v>0</v>
      </c>
      <c r="JJ49" s="22">
        <f t="shared" si="259"/>
        <v>0</v>
      </c>
      <c r="JK49" s="22">
        <f t="shared" si="259"/>
        <v>0</v>
      </c>
      <c r="JL49" s="22">
        <f t="shared" si="259"/>
        <v>0</v>
      </c>
      <c r="JM49" s="22">
        <f t="shared" si="259"/>
        <v>0</v>
      </c>
      <c r="JN49" s="22">
        <f t="shared" si="259"/>
        <v>0</v>
      </c>
      <c r="JO49" s="22">
        <f t="shared" si="259"/>
        <v>0</v>
      </c>
      <c r="JP49" s="22">
        <f t="shared" si="259"/>
        <v>0</v>
      </c>
      <c r="JQ49" s="22">
        <f t="shared" si="259"/>
        <v>0</v>
      </c>
      <c r="JR49" s="22">
        <f t="shared" si="259"/>
        <v>0</v>
      </c>
      <c r="JS49" s="22">
        <f t="shared" si="259"/>
        <v>0</v>
      </c>
      <c r="JT49" s="22">
        <f t="shared" si="259"/>
        <v>0</v>
      </c>
      <c r="JU49" s="22">
        <f t="shared" si="259"/>
        <v>0</v>
      </c>
      <c r="JV49" s="22">
        <f t="shared" si="259"/>
        <v>0</v>
      </c>
      <c r="JW49" s="22">
        <f t="shared" si="259"/>
        <v>0</v>
      </c>
      <c r="JX49" s="22">
        <f t="shared" si="259"/>
        <v>0</v>
      </c>
      <c r="JY49" s="22">
        <f t="shared" si="259"/>
        <v>0</v>
      </c>
      <c r="JZ49" s="22">
        <f t="shared" si="259"/>
        <v>0</v>
      </c>
      <c r="KA49" s="22">
        <f t="shared" si="259"/>
        <v>0</v>
      </c>
      <c r="KB49" s="22">
        <f t="shared" si="259"/>
        <v>0</v>
      </c>
      <c r="KC49" s="22">
        <f t="shared" si="259"/>
        <v>0</v>
      </c>
      <c r="KD49" s="22">
        <f t="shared" si="259"/>
        <v>0</v>
      </c>
      <c r="KE49" s="22">
        <f t="shared" si="259"/>
        <v>0</v>
      </c>
      <c r="KF49" s="22">
        <f t="shared" si="259"/>
        <v>0</v>
      </c>
      <c r="KG49" s="22">
        <f t="shared" si="259"/>
        <v>0</v>
      </c>
      <c r="KH49" s="22">
        <f t="shared" si="259"/>
        <v>0</v>
      </c>
      <c r="KI49" s="22">
        <f t="shared" si="259"/>
        <v>0</v>
      </c>
      <c r="KJ49" s="22">
        <f t="shared" si="259"/>
        <v>0</v>
      </c>
      <c r="KK49" s="22">
        <f t="shared" si="259"/>
        <v>0</v>
      </c>
      <c r="KL49" s="22">
        <f t="shared" si="259"/>
        <v>0</v>
      </c>
      <c r="KM49" s="22">
        <f t="shared" si="259"/>
        <v>0</v>
      </c>
      <c r="KN49" s="22">
        <f t="shared" si="259"/>
        <v>0</v>
      </c>
      <c r="KO49" s="22">
        <f t="shared" si="259"/>
        <v>0</v>
      </c>
      <c r="KP49" s="22">
        <f t="shared" si="259"/>
        <v>0</v>
      </c>
      <c r="KQ49" s="22">
        <f t="shared" si="259"/>
        <v>0</v>
      </c>
      <c r="KR49" s="22">
        <f t="shared" si="259"/>
        <v>0</v>
      </c>
      <c r="KS49" s="22">
        <f t="shared" si="259"/>
        <v>0</v>
      </c>
      <c r="KT49" s="22">
        <f t="shared" si="259"/>
        <v>0</v>
      </c>
      <c r="KU49" s="22">
        <f t="shared" si="259"/>
        <v>0</v>
      </c>
      <c r="KV49" s="22">
        <f t="shared" si="259"/>
        <v>0</v>
      </c>
      <c r="KW49" s="22">
        <f t="shared" si="259"/>
        <v>0</v>
      </c>
      <c r="KX49" s="22">
        <f t="shared" si="259"/>
        <v>0</v>
      </c>
      <c r="KY49" s="22">
        <f t="shared" si="259"/>
        <v>0</v>
      </c>
      <c r="KZ49" s="22">
        <f t="shared" si="259"/>
        <v>0</v>
      </c>
      <c r="LA49" s="22">
        <f t="shared" si="259"/>
        <v>0</v>
      </c>
      <c r="LB49" s="22">
        <f t="shared" si="259"/>
        <v>0</v>
      </c>
      <c r="LC49" s="22">
        <f t="shared" si="259"/>
        <v>0</v>
      </c>
      <c r="LD49" s="22">
        <f t="shared" si="259"/>
        <v>0</v>
      </c>
      <c r="LE49" s="22">
        <f t="shared" si="259"/>
        <v>0</v>
      </c>
      <c r="LF49" s="22">
        <f t="shared" si="259"/>
        <v>0</v>
      </c>
      <c r="LG49" s="22">
        <f t="shared" si="259"/>
        <v>0</v>
      </c>
      <c r="LH49" s="22">
        <f t="shared" si="259"/>
        <v>0</v>
      </c>
      <c r="LI49" s="22">
        <f t="shared" si="259"/>
        <v>0</v>
      </c>
      <c r="LJ49" s="22">
        <f t="shared" si="259"/>
        <v>0</v>
      </c>
      <c r="LK49" s="22">
        <f t="shared" si="259"/>
        <v>0</v>
      </c>
      <c r="LL49" s="22">
        <f t="shared" si="259"/>
        <v>0</v>
      </c>
      <c r="LM49" s="22">
        <f t="shared" si="259"/>
        <v>0</v>
      </c>
      <c r="LN49" s="22">
        <f t="shared" si="259"/>
        <v>0</v>
      </c>
      <c r="LO49" s="22">
        <f t="shared" ref="LO49:NZ49" si="260">$E$49*LO35</f>
        <v>0</v>
      </c>
      <c r="LP49" s="22">
        <f t="shared" si="260"/>
        <v>0</v>
      </c>
      <c r="LQ49" s="22">
        <f t="shared" si="260"/>
        <v>0</v>
      </c>
      <c r="LR49" s="22">
        <f t="shared" si="260"/>
        <v>0</v>
      </c>
      <c r="LS49" s="22">
        <f t="shared" si="260"/>
        <v>0</v>
      </c>
      <c r="LT49" s="22">
        <f t="shared" si="260"/>
        <v>0</v>
      </c>
      <c r="LU49" s="22">
        <f t="shared" si="260"/>
        <v>0</v>
      </c>
      <c r="LV49" s="22">
        <f t="shared" si="260"/>
        <v>0</v>
      </c>
      <c r="LW49" s="22">
        <f t="shared" si="260"/>
        <v>0</v>
      </c>
      <c r="LX49" s="22">
        <f t="shared" si="260"/>
        <v>0</v>
      </c>
      <c r="LY49" s="22">
        <f t="shared" si="260"/>
        <v>0</v>
      </c>
      <c r="LZ49" s="22">
        <f t="shared" si="260"/>
        <v>0</v>
      </c>
      <c r="MA49" s="22">
        <f t="shared" si="260"/>
        <v>0</v>
      </c>
      <c r="MB49" s="22">
        <f t="shared" si="260"/>
        <v>0</v>
      </c>
      <c r="MC49" s="22">
        <f t="shared" si="260"/>
        <v>0</v>
      </c>
      <c r="MD49" s="22">
        <f t="shared" si="260"/>
        <v>0</v>
      </c>
      <c r="ME49" s="22">
        <f t="shared" si="260"/>
        <v>0</v>
      </c>
      <c r="MF49" s="22">
        <f t="shared" si="260"/>
        <v>0</v>
      </c>
      <c r="MG49" s="22">
        <f t="shared" si="260"/>
        <v>0</v>
      </c>
      <c r="MH49" s="22">
        <f t="shared" si="260"/>
        <v>0</v>
      </c>
      <c r="MI49" s="22">
        <f t="shared" si="260"/>
        <v>0</v>
      </c>
      <c r="MJ49" s="22">
        <f t="shared" si="260"/>
        <v>0</v>
      </c>
      <c r="MK49" s="22">
        <f t="shared" si="260"/>
        <v>0</v>
      </c>
      <c r="ML49" s="22">
        <f t="shared" si="260"/>
        <v>0</v>
      </c>
      <c r="MM49" s="22">
        <f t="shared" si="260"/>
        <v>0</v>
      </c>
      <c r="MN49" s="22">
        <f t="shared" si="260"/>
        <v>0</v>
      </c>
      <c r="MO49" s="22">
        <f t="shared" si="260"/>
        <v>0</v>
      </c>
      <c r="MP49" s="22">
        <f t="shared" si="260"/>
        <v>0</v>
      </c>
      <c r="MQ49" s="22">
        <f t="shared" si="260"/>
        <v>0</v>
      </c>
      <c r="MR49" s="22">
        <f t="shared" si="260"/>
        <v>0</v>
      </c>
      <c r="MS49" s="22">
        <f t="shared" si="260"/>
        <v>0</v>
      </c>
      <c r="MT49" s="22">
        <f t="shared" si="260"/>
        <v>0</v>
      </c>
      <c r="MU49" s="22">
        <f t="shared" si="260"/>
        <v>0</v>
      </c>
      <c r="MV49" s="22">
        <f t="shared" si="260"/>
        <v>0</v>
      </c>
      <c r="MW49" s="22">
        <f t="shared" si="260"/>
        <v>0</v>
      </c>
      <c r="MX49" s="22">
        <f t="shared" si="260"/>
        <v>0</v>
      </c>
      <c r="MY49" s="22">
        <f t="shared" si="260"/>
        <v>0</v>
      </c>
      <c r="MZ49" s="22">
        <f t="shared" si="260"/>
        <v>0</v>
      </c>
      <c r="NA49" s="22">
        <f t="shared" si="260"/>
        <v>0</v>
      </c>
      <c r="NB49" s="22">
        <f t="shared" si="260"/>
        <v>0</v>
      </c>
      <c r="NC49" s="22">
        <f t="shared" si="260"/>
        <v>0</v>
      </c>
      <c r="ND49" s="22">
        <f t="shared" si="260"/>
        <v>0</v>
      </c>
      <c r="NE49" s="22">
        <f t="shared" si="260"/>
        <v>0</v>
      </c>
      <c r="NF49" s="22">
        <f t="shared" si="260"/>
        <v>0</v>
      </c>
      <c r="NG49" s="22">
        <f t="shared" si="260"/>
        <v>0</v>
      </c>
      <c r="NH49" s="22">
        <f t="shared" si="260"/>
        <v>0</v>
      </c>
      <c r="NI49" s="22">
        <f t="shared" si="260"/>
        <v>0</v>
      </c>
      <c r="NJ49" s="22">
        <f t="shared" si="260"/>
        <v>0</v>
      </c>
      <c r="NK49" s="22">
        <f t="shared" si="260"/>
        <v>0</v>
      </c>
      <c r="NL49" s="22">
        <f t="shared" si="260"/>
        <v>0</v>
      </c>
      <c r="NM49" s="22">
        <f t="shared" si="260"/>
        <v>0</v>
      </c>
      <c r="NN49" s="22">
        <f t="shared" si="260"/>
        <v>0</v>
      </c>
      <c r="NO49" s="22">
        <f t="shared" si="260"/>
        <v>0</v>
      </c>
      <c r="NP49" s="22">
        <f t="shared" si="260"/>
        <v>0</v>
      </c>
      <c r="NQ49" s="22">
        <f t="shared" si="260"/>
        <v>0</v>
      </c>
      <c r="NR49" s="22">
        <f t="shared" si="260"/>
        <v>0</v>
      </c>
      <c r="NS49" s="22">
        <f t="shared" si="260"/>
        <v>0</v>
      </c>
      <c r="NT49" s="22">
        <f t="shared" si="260"/>
        <v>0</v>
      </c>
      <c r="NU49" s="22">
        <f t="shared" si="260"/>
        <v>0</v>
      </c>
      <c r="NV49" s="22">
        <f t="shared" si="260"/>
        <v>0</v>
      </c>
      <c r="NW49" s="22">
        <f t="shared" si="260"/>
        <v>0</v>
      </c>
      <c r="NX49" s="22">
        <f t="shared" si="260"/>
        <v>0</v>
      </c>
      <c r="NY49" s="22">
        <f t="shared" si="260"/>
        <v>0</v>
      </c>
      <c r="NZ49" s="22">
        <f t="shared" si="260"/>
        <v>0</v>
      </c>
      <c r="OA49" s="22">
        <f t="shared" ref="OA49:QL49" si="261">$E$49*OA35</f>
        <v>0</v>
      </c>
      <c r="OB49" s="22">
        <f t="shared" si="261"/>
        <v>0</v>
      </c>
      <c r="OC49" s="22">
        <f t="shared" si="261"/>
        <v>0</v>
      </c>
      <c r="OD49" s="22">
        <f t="shared" si="261"/>
        <v>0</v>
      </c>
      <c r="OE49" s="22">
        <f t="shared" si="261"/>
        <v>0</v>
      </c>
      <c r="OF49" s="22">
        <f t="shared" si="261"/>
        <v>0</v>
      </c>
      <c r="OG49" s="22">
        <f t="shared" si="261"/>
        <v>0</v>
      </c>
      <c r="OH49" s="22">
        <f t="shared" si="261"/>
        <v>0</v>
      </c>
      <c r="OI49" s="22">
        <f t="shared" si="261"/>
        <v>0</v>
      </c>
      <c r="OJ49" s="22">
        <f t="shared" si="261"/>
        <v>0</v>
      </c>
      <c r="OK49" s="22">
        <f t="shared" si="261"/>
        <v>0</v>
      </c>
      <c r="OL49" s="22">
        <f t="shared" si="261"/>
        <v>0</v>
      </c>
      <c r="OM49" s="22">
        <f t="shared" si="261"/>
        <v>0</v>
      </c>
      <c r="ON49" s="22">
        <f t="shared" si="261"/>
        <v>0</v>
      </c>
      <c r="OO49" s="22">
        <f t="shared" si="261"/>
        <v>0</v>
      </c>
      <c r="OP49" s="22">
        <f t="shared" si="261"/>
        <v>0</v>
      </c>
      <c r="OQ49" s="22">
        <f t="shared" si="261"/>
        <v>0</v>
      </c>
      <c r="OR49" s="22">
        <f t="shared" si="261"/>
        <v>0</v>
      </c>
      <c r="OS49" s="22">
        <f t="shared" si="261"/>
        <v>0</v>
      </c>
      <c r="OT49" s="22">
        <f t="shared" si="261"/>
        <v>0</v>
      </c>
      <c r="OU49" s="22">
        <f t="shared" si="261"/>
        <v>0</v>
      </c>
      <c r="OV49" s="22">
        <f t="shared" si="261"/>
        <v>0</v>
      </c>
      <c r="OW49" s="22">
        <f t="shared" si="261"/>
        <v>0</v>
      </c>
      <c r="OX49" s="22">
        <f t="shared" si="261"/>
        <v>0</v>
      </c>
      <c r="OY49" s="22">
        <f t="shared" si="261"/>
        <v>0</v>
      </c>
      <c r="OZ49" s="22">
        <f t="shared" si="261"/>
        <v>0</v>
      </c>
      <c r="PA49" s="22">
        <f t="shared" si="261"/>
        <v>0</v>
      </c>
      <c r="PB49" s="22">
        <f t="shared" si="261"/>
        <v>0</v>
      </c>
      <c r="PC49" s="22">
        <f t="shared" si="261"/>
        <v>0</v>
      </c>
      <c r="PD49" s="22">
        <f t="shared" si="261"/>
        <v>0</v>
      </c>
      <c r="PE49" s="22">
        <f t="shared" si="261"/>
        <v>0</v>
      </c>
      <c r="PF49" s="22">
        <f t="shared" si="261"/>
        <v>0</v>
      </c>
      <c r="PG49" s="22">
        <f t="shared" si="261"/>
        <v>0</v>
      </c>
      <c r="PH49" s="22">
        <f t="shared" si="261"/>
        <v>0</v>
      </c>
      <c r="PI49" s="22">
        <f t="shared" si="261"/>
        <v>0</v>
      </c>
      <c r="PJ49" s="22">
        <f t="shared" si="261"/>
        <v>0</v>
      </c>
      <c r="PK49" s="22">
        <f t="shared" si="261"/>
        <v>0</v>
      </c>
      <c r="PL49" s="22">
        <f t="shared" si="261"/>
        <v>0</v>
      </c>
      <c r="PM49" s="22">
        <f t="shared" si="261"/>
        <v>0</v>
      </c>
      <c r="PN49" s="22">
        <f t="shared" si="261"/>
        <v>0</v>
      </c>
      <c r="PO49" s="22">
        <f t="shared" si="261"/>
        <v>0</v>
      </c>
      <c r="PP49" s="22">
        <f t="shared" si="261"/>
        <v>0</v>
      </c>
      <c r="PQ49" s="22">
        <f t="shared" si="261"/>
        <v>0</v>
      </c>
      <c r="PR49" s="22">
        <f t="shared" si="261"/>
        <v>0</v>
      </c>
      <c r="PS49" s="22">
        <f t="shared" si="261"/>
        <v>0</v>
      </c>
      <c r="PT49" s="22">
        <f t="shared" si="261"/>
        <v>0</v>
      </c>
      <c r="PU49" s="22">
        <f t="shared" si="261"/>
        <v>0</v>
      </c>
      <c r="PV49" s="22">
        <f t="shared" si="261"/>
        <v>0</v>
      </c>
      <c r="PW49" s="22">
        <f t="shared" si="261"/>
        <v>0</v>
      </c>
      <c r="PX49" s="22">
        <f t="shared" si="261"/>
        <v>0</v>
      </c>
      <c r="PY49" s="22">
        <f t="shared" si="261"/>
        <v>0</v>
      </c>
      <c r="PZ49" s="22">
        <f t="shared" si="261"/>
        <v>0</v>
      </c>
      <c r="QA49" s="22">
        <f t="shared" si="261"/>
        <v>0</v>
      </c>
      <c r="QB49" s="22">
        <f t="shared" si="261"/>
        <v>0</v>
      </c>
      <c r="QC49" s="22">
        <f t="shared" si="261"/>
        <v>0</v>
      </c>
      <c r="QD49" s="22">
        <f t="shared" si="261"/>
        <v>0</v>
      </c>
      <c r="QE49" s="22">
        <f t="shared" si="261"/>
        <v>0</v>
      </c>
      <c r="QF49" s="22">
        <f t="shared" si="261"/>
        <v>0</v>
      </c>
      <c r="QG49" s="22">
        <f t="shared" si="261"/>
        <v>0</v>
      </c>
      <c r="QH49" s="22">
        <f t="shared" si="261"/>
        <v>0</v>
      </c>
      <c r="QI49" s="22">
        <f t="shared" si="261"/>
        <v>0</v>
      </c>
      <c r="QJ49" s="22">
        <f t="shared" si="261"/>
        <v>0</v>
      </c>
      <c r="QK49" s="22">
        <f t="shared" si="261"/>
        <v>0</v>
      </c>
      <c r="QL49" s="22">
        <f t="shared" si="261"/>
        <v>0</v>
      </c>
      <c r="QM49" s="22">
        <f t="shared" ref="QM49:SX49" si="262">$E$49*QM35</f>
        <v>0</v>
      </c>
      <c r="QN49" s="22">
        <f t="shared" si="262"/>
        <v>0</v>
      </c>
      <c r="QO49" s="22">
        <f t="shared" si="262"/>
        <v>0</v>
      </c>
      <c r="QP49" s="22">
        <f t="shared" si="262"/>
        <v>0</v>
      </c>
      <c r="QQ49" s="22">
        <f t="shared" si="262"/>
        <v>0</v>
      </c>
      <c r="QR49" s="22">
        <f t="shared" si="262"/>
        <v>0</v>
      </c>
      <c r="QS49" s="22">
        <f t="shared" si="262"/>
        <v>0</v>
      </c>
      <c r="QT49" s="22">
        <f t="shared" si="262"/>
        <v>0</v>
      </c>
      <c r="QU49" s="22">
        <f t="shared" si="262"/>
        <v>0</v>
      </c>
      <c r="QV49" s="22">
        <f t="shared" si="262"/>
        <v>0</v>
      </c>
      <c r="QW49" s="22">
        <f t="shared" si="262"/>
        <v>0</v>
      </c>
      <c r="QX49" s="22">
        <f t="shared" si="262"/>
        <v>0</v>
      </c>
      <c r="QY49" s="22">
        <f t="shared" si="262"/>
        <v>0</v>
      </c>
      <c r="QZ49" s="22">
        <f t="shared" si="262"/>
        <v>0</v>
      </c>
      <c r="RA49" s="22">
        <f t="shared" si="262"/>
        <v>0</v>
      </c>
      <c r="RB49" s="22">
        <f t="shared" si="262"/>
        <v>0</v>
      </c>
      <c r="RC49" s="22">
        <f t="shared" si="262"/>
        <v>0</v>
      </c>
      <c r="RD49" s="22">
        <f t="shared" si="262"/>
        <v>0</v>
      </c>
      <c r="RE49" s="22">
        <f t="shared" si="262"/>
        <v>0</v>
      </c>
      <c r="RF49" s="22">
        <f t="shared" si="262"/>
        <v>0</v>
      </c>
      <c r="RG49" s="22">
        <f t="shared" si="262"/>
        <v>0</v>
      </c>
      <c r="RH49" s="22">
        <f t="shared" si="262"/>
        <v>0</v>
      </c>
      <c r="RI49" s="22">
        <f t="shared" si="262"/>
        <v>0</v>
      </c>
      <c r="RJ49" s="22">
        <f t="shared" si="262"/>
        <v>0</v>
      </c>
      <c r="RK49" s="22">
        <f t="shared" si="262"/>
        <v>0</v>
      </c>
      <c r="RL49" s="22">
        <f t="shared" si="262"/>
        <v>0</v>
      </c>
      <c r="RM49" s="22">
        <f t="shared" si="262"/>
        <v>0</v>
      </c>
      <c r="RN49" s="22">
        <f t="shared" si="262"/>
        <v>0</v>
      </c>
      <c r="RO49" s="22">
        <f t="shared" si="262"/>
        <v>0</v>
      </c>
      <c r="RP49" s="22">
        <f t="shared" si="262"/>
        <v>0</v>
      </c>
      <c r="RQ49" s="22">
        <f t="shared" si="262"/>
        <v>0</v>
      </c>
      <c r="RR49" s="22">
        <f t="shared" si="262"/>
        <v>0</v>
      </c>
      <c r="RS49" s="22">
        <f t="shared" si="262"/>
        <v>0</v>
      </c>
      <c r="RT49" s="22">
        <f t="shared" si="262"/>
        <v>0</v>
      </c>
      <c r="RU49" s="22">
        <f t="shared" si="262"/>
        <v>0</v>
      </c>
      <c r="RV49" s="22">
        <f t="shared" si="262"/>
        <v>0</v>
      </c>
      <c r="RW49" s="22">
        <f t="shared" si="262"/>
        <v>0</v>
      </c>
      <c r="RX49" s="22">
        <f t="shared" si="262"/>
        <v>0</v>
      </c>
      <c r="RY49" s="22">
        <f t="shared" si="262"/>
        <v>0</v>
      </c>
      <c r="RZ49" s="22">
        <f t="shared" si="262"/>
        <v>0</v>
      </c>
      <c r="SA49" s="22">
        <f t="shared" si="262"/>
        <v>0</v>
      </c>
      <c r="SB49" s="22">
        <f t="shared" si="262"/>
        <v>0</v>
      </c>
      <c r="SC49" s="22">
        <f t="shared" si="262"/>
        <v>0</v>
      </c>
      <c r="SD49" s="22">
        <f t="shared" si="262"/>
        <v>0</v>
      </c>
      <c r="SE49" s="22">
        <f t="shared" si="262"/>
        <v>0</v>
      </c>
      <c r="SF49" s="22">
        <f t="shared" si="262"/>
        <v>0</v>
      </c>
      <c r="SG49" s="22">
        <f t="shared" si="262"/>
        <v>0</v>
      </c>
      <c r="SH49" s="22">
        <f t="shared" si="262"/>
        <v>0</v>
      </c>
      <c r="SI49" s="22">
        <f t="shared" si="262"/>
        <v>0</v>
      </c>
      <c r="SJ49" s="22">
        <f t="shared" si="262"/>
        <v>0</v>
      </c>
      <c r="SK49" s="22">
        <f t="shared" si="262"/>
        <v>0</v>
      </c>
      <c r="SL49" s="22">
        <f t="shared" si="262"/>
        <v>0</v>
      </c>
      <c r="SM49" s="22">
        <f t="shared" si="262"/>
        <v>0</v>
      </c>
      <c r="SN49" s="22">
        <f t="shared" si="262"/>
        <v>0</v>
      </c>
      <c r="SO49" s="22">
        <f t="shared" si="262"/>
        <v>0</v>
      </c>
      <c r="SP49" s="22">
        <f t="shared" si="262"/>
        <v>0</v>
      </c>
      <c r="SQ49" s="22">
        <f t="shared" si="262"/>
        <v>0</v>
      </c>
      <c r="SR49" s="22">
        <f t="shared" si="262"/>
        <v>0</v>
      </c>
      <c r="SS49" s="22">
        <f t="shared" si="262"/>
        <v>0</v>
      </c>
      <c r="ST49" s="22">
        <f t="shared" si="262"/>
        <v>0</v>
      </c>
      <c r="SU49" s="22">
        <f t="shared" si="262"/>
        <v>0</v>
      </c>
      <c r="SV49" s="22">
        <f t="shared" si="262"/>
        <v>0</v>
      </c>
      <c r="SW49" s="22">
        <f t="shared" si="262"/>
        <v>0</v>
      </c>
      <c r="SX49" s="22">
        <f t="shared" si="262"/>
        <v>0</v>
      </c>
      <c r="SY49" s="22">
        <f t="shared" ref="SY49:VJ49" si="263">$E$49*SY35</f>
        <v>0</v>
      </c>
      <c r="SZ49" s="22">
        <f t="shared" si="263"/>
        <v>0</v>
      </c>
      <c r="TA49" s="22">
        <f t="shared" si="263"/>
        <v>0</v>
      </c>
      <c r="TB49" s="22">
        <f t="shared" si="263"/>
        <v>0</v>
      </c>
      <c r="TC49" s="22">
        <f t="shared" si="263"/>
        <v>0</v>
      </c>
      <c r="TD49" s="22">
        <f t="shared" si="263"/>
        <v>0</v>
      </c>
      <c r="TE49" s="22">
        <f t="shared" si="263"/>
        <v>0</v>
      </c>
      <c r="TF49" s="22">
        <f t="shared" si="263"/>
        <v>0</v>
      </c>
      <c r="TG49" s="22">
        <f t="shared" si="263"/>
        <v>0</v>
      </c>
      <c r="TH49" s="22">
        <f t="shared" si="263"/>
        <v>0</v>
      </c>
      <c r="TI49" s="22">
        <f t="shared" si="263"/>
        <v>0</v>
      </c>
      <c r="TJ49" s="22">
        <f t="shared" si="263"/>
        <v>0</v>
      </c>
      <c r="TK49" s="22">
        <f t="shared" si="263"/>
        <v>0</v>
      </c>
      <c r="TL49" s="22">
        <f t="shared" si="263"/>
        <v>0</v>
      </c>
      <c r="TM49" s="22">
        <f t="shared" si="263"/>
        <v>0</v>
      </c>
      <c r="TN49" s="22">
        <f t="shared" si="263"/>
        <v>0</v>
      </c>
      <c r="TO49" s="22">
        <f t="shared" si="263"/>
        <v>0</v>
      </c>
      <c r="TP49" s="22">
        <f t="shared" si="263"/>
        <v>0</v>
      </c>
      <c r="TQ49" s="22">
        <f t="shared" si="263"/>
        <v>0</v>
      </c>
      <c r="TR49" s="22">
        <f t="shared" si="263"/>
        <v>0</v>
      </c>
      <c r="TS49" s="22">
        <f t="shared" si="263"/>
        <v>0</v>
      </c>
      <c r="TT49" s="22">
        <f t="shared" si="263"/>
        <v>0</v>
      </c>
      <c r="TU49" s="22">
        <f t="shared" si="263"/>
        <v>0</v>
      </c>
      <c r="TV49" s="22">
        <f t="shared" si="263"/>
        <v>0</v>
      </c>
      <c r="TW49" s="22">
        <f t="shared" si="263"/>
        <v>0</v>
      </c>
      <c r="TX49" s="22">
        <f t="shared" si="263"/>
        <v>0</v>
      </c>
      <c r="TY49" s="22">
        <f t="shared" si="263"/>
        <v>0</v>
      </c>
      <c r="TZ49" s="22">
        <f t="shared" si="263"/>
        <v>0</v>
      </c>
      <c r="UA49" s="22">
        <f t="shared" si="263"/>
        <v>0</v>
      </c>
      <c r="UB49" s="22">
        <f t="shared" si="263"/>
        <v>0</v>
      </c>
      <c r="UC49" s="22">
        <f t="shared" si="263"/>
        <v>0</v>
      </c>
      <c r="UD49" s="22">
        <f t="shared" si="263"/>
        <v>0</v>
      </c>
      <c r="UE49" s="22">
        <f t="shared" si="263"/>
        <v>0</v>
      </c>
      <c r="UF49" s="22">
        <f t="shared" si="263"/>
        <v>0</v>
      </c>
      <c r="UG49" s="22">
        <f t="shared" si="263"/>
        <v>0</v>
      </c>
      <c r="UH49" s="22">
        <f t="shared" si="263"/>
        <v>0</v>
      </c>
      <c r="UI49" s="22">
        <f t="shared" si="263"/>
        <v>0</v>
      </c>
      <c r="UJ49" s="22">
        <f t="shared" si="263"/>
        <v>0</v>
      </c>
      <c r="UK49" s="22">
        <f t="shared" si="263"/>
        <v>0</v>
      </c>
      <c r="UL49" s="22">
        <f t="shared" si="263"/>
        <v>0</v>
      </c>
      <c r="UM49" s="22">
        <f t="shared" si="263"/>
        <v>0</v>
      </c>
      <c r="UN49" s="22">
        <f t="shared" si="263"/>
        <v>0</v>
      </c>
      <c r="UO49" s="22">
        <f t="shared" si="263"/>
        <v>0</v>
      </c>
      <c r="UP49" s="22">
        <f t="shared" si="263"/>
        <v>0</v>
      </c>
      <c r="UQ49" s="22">
        <f t="shared" si="263"/>
        <v>0</v>
      </c>
      <c r="UR49" s="22">
        <f t="shared" si="263"/>
        <v>0</v>
      </c>
      <c r="US49" s="22">
        <f t="shared" si="263"/>
        <v>0</v>
      </c>
      <c r="UT49" s="22">
        <f t="shared" si="263"/>
        <v>0</v>
      </c>
      <c r="UU49" s="22">
        <f t="shared" si="263"/>
        <v>0</v>
      </c>
      <c r="UV49" s="22">
        <f t="shared" si="263"/>
        <v>0</v>
      </c>
      <c r="UW49" s="22">
        <f t="shared" si="263"/>
        <v>0</v>
      </c>
      <c r="UX49" s="22">
        <f t="shared" si="263"/>
        <v>0</v>
      </c>
      <c r="UY49" s="22">
        <f t="shared" si="263"/>
        <v>0</v>
      </c>
      <c r="UZ49" s="22">
        <f t="shared" si="263"/>
        <v>0</v>
      </c>
      <c r="VA49" s="22">
        <f t="shared" si="263"/>
        <v>0</v>
      </c>
      <c r="VB49" s="22">
        <f t="shared" si="263"/>
        <v>0</v>
      </c>
      <c r="VC49" s="22">
        <f t="shared" si="263"/>
        <v>0</v>
      </c>
      <c r="VD49" s="22">
        <f t="shared" si="263"/>
        <v>0</v>
      </c>
      <c r="VE49" s="22">
        <f t="shared" si="263"/>
        <v>0</v>
      </c>
      <c r="VF49" s="22">
        <f t="shared" si="263"/>
        <v>0</v>
      </c>
      <c r="VG49" s="22">
        <f t="shared" si="263"/>
        <v>0</v>
      </c>
      <c r="VH49" s="22">
        <f t="shared" si="263"/>
        <v>0</v>
      </c>
      <c r="VI49" s="22">
        <f t="shared" si="263"/>
        <v>0</v>
      </c>
      <c r="VJ49" s="22">
        <f t="shared" si="263"/>
        <v>0</v>
      </c>
      <c r="VK49" s="22">
        <f t="shared" ref="VK49:XV49" si="264">$E$49*VK35</f>
        <v>0</v>
      </c>
      <c r="VL49" s="22">
        <f t="shared" si="264"/>
        <v>0</v>
      </c>
      <c r="VM49" s="22">
        <f t="shared" si="264"/>
        <v>0</v>
      </c>
      <c r="VN49" s="22">
        <f t="shared" si="264"/>
        <v>0</v>
      </c>
      <c r="VO49" s="22">
        <f t="shared" si="264"/>
        <v>0</v>
      </c>
      <c r="VP49" s="22">
        <f t="shared" si="264"/>
        <v>0</v>
      </c>
      <c r="VQ49" s="22">
        <f t="shared" si="264"/>
        <v>0</v>
      </c>
      <c r="VR49" s="22">
        <f t="shared" si="264"/>
        <v>0</v>
      </c>
      <c r="VS49" s="22">
        <f t="shared" si="264"/>
        <v>0</v>
      </c>
      <c r="VT49" s="22">
        <f t="shared" si="264"/>
        <v>0</v>
      </c>
      <c r="VU49" s="22">
        <f t="shared" si="264"/>
        <v>0</v>
      </c>
      <c r="VV49" s="22">
        <f t="shared" si="264"/>
        <v>0</v>
      </c>
      <c r="VW49" s="22">
        <f t="shared" si="264"/>
        <v>0</v>
      </c>
      <c r="VX49" s="22">
        <f t="shared" si="264"/>
        <v>0</v>
      </c>
      <c r="VY49" s="22">
        <f t="shared" si="264"/>
        <v>0</v>
      </c>
      <c r="VZ49" s="22">
        <f t="shared" si="264"/>
        <v>0</v>
      </c>
      <c r="WA49" s="22">
        <f t="shared" si="264"/>
        <v>0</v>
      </c>
      <c r="WB49" s="22">
        <f t="shared" si="264"/>
        <v>0</v>
      </c>
      <c r="WC49" s="22">
        <f t="shared" si="264"/>
        <v>0</v>
      </c>
      <c r="WD49" s="22">
        <f t="shared" si="264"/>
        <v>0</v>
      </c>
      <c r="WE49" s="22">
        <f t="shared" si="264"/>
        <v>0</v>
      </c>
      <c r="WF49" s="22">
        <f t="shared" si="264"/>
        <v>0</v>
      </c>
      <c r="WG49" s="22">
        <f t="shared" si="264"/>
        <v>0</v>
      </c>
      <c r="WH49" s="22">
        <f t="shared" si="264"/>
        <v>0</v>
      </c>
      <c r="WI49" s="22">
        <f t="shared" si="264"/>
        <v>0</v>
      </c>
      <c r="WJ49" s="22">
        <f t="shared" si="264"/>
        <v>0</v>
      </c>
      <c r="WK49" s="22">
        <f t="shared" si="264"/>
        <v>0</v>
      </c>
      <c r="WL49" s="22">
        <f t="shared" si="264"/>
        <v>0</v>
      </c>
      <c r="WM49" s="22">
        <f t="shared" si="264"/>
        <v>0</v>
      </c>
      <c r="WN49" s="22">
        <f t="shared" si="264"/>
        <v>0</v>
      </c>
      <c r="WO49" s="22">
        <f t="shared" si="264"/>
        <v>0</v>
      </c>
      <c r="WP49" s="22">
        <f t="shared" si="264"/>
        <v>0</v>
      </c>
      <c r="WQ49" s="22">
        <f t="shared" si="264"/>
        <v>0</v>
      </c>
      <c r="WR49" s="22">
        <f t="shared" si="264"/>
        <v>0</v>
      </c>
      <c r="WS49" s="22">
        <f t="shared" si="264"/>
        <v>0</v>
      </c>
      <c r="WT49" s="22">
        <f t="shared" si="264"/>
        <v>0</v>
      </c>
      <c r="WU49" s="22">
        <f t="shared" si="264"/>
        <v>0</v>
      </c>
      <c r="WV49" s="22">
        <f t="shared" si="264"/>
        <v>0</v>
      </c>
      <c r="WW49" s="22">
        <f t="shared" si="264"/>
        <v>0</v>
      </c>
      <c r="WX49" s="22">
        <f t="shared" si="264"/>
        <v>0</v>
      </c>
      <c r="WY49" s="22">
        <f t="shared" si="264"/>
        <v>0</v>
      </c>
      <c r="WZ49" s="22">
        <f t="shared" si="264"/>
        <v>0</v>
      </c>
      <c r="XA49" s="22">
        <f t="shared" si="264"/>
        <v>0</v>
      </c>
      <c r="XB49" s="22">
        <f t="shared" si="264"/>
        <v>0</v>
      </c>
      <c r="XC49" s="22">
        <f t="shared" si="264"/>
        <v>0</v>
      </c>
      <c r="XD49" s="22">
        <f t="shared" si="264"/>
        <v>0</v>
      </c>
      <c r="XE49" s="22">
        <f t="shared" si="264"/>
        <v>0</v>
      </c>
      <c r="XF49" s="22">
        <f t="shared" si="264"/>
        <v>0</v>
      </c>
      <c r="XG49" s="22">
        <f t="shared" si="264"/>
        <v>0</v>
      </c>
      <c r="XH49" s="22">
        <f t="shared" si="264"/>
        <v>0</v>
      </c>
      <c r="XI49" s="22">
        <f t="shared" si="264"/>
        <v>0</v>
      </c>
      <c r="XJ49" s="22">
        <f t="shared" si="264"/>
        <v>0</v>
      </c>
      <c r="XK49" s="22">
        <f t="shared" si="264"/>
        <v>0</v>
      </c>
      <c r="XL49" s="22">
        <f t="shared" si="264"/>
        <v>0</v>
      </c>
      <c r="XM49" s="22">
        <f t="shared" si="264"/>
        <v>0</v>
      </c>
      <c r="XN49" s="22">
        <f t="shared" si="264"/>
        <v>0</v>
      </c>
      <c r="XO49" s="22">
        <f t="shared" si="264"/>
        <v>0</v>
      </c>
      <c r="XP49" s="22">
        <f t="shared" si="264"/>
        <v>0</v>
      </c>
      <c r="XQ49" s="22">
        <f t="shared" si="264"/>
        <v>0</v>
      </c>
      <c r="XR49" s="22">
        <f t="shared" si="264"/>
        <v>0</v>
      </c>
      <c r="XS49" s="22">
        <f t="shared" si="264"/>
        <v>0</v>
      </c>
      <c r="XT49" s="22">
        <f t="shared" si="264"/>
        <v>0</v>
      </c>
      <c r="XU49" s="22">
        <f t="shared" si="264"/>
        <v>0</v>
      </c>
      <c r="XV49" s="22">
        <f t="shared" si="264"/>
        <v>0</v>
      </c>
      <c r="XW49" s="22">
        <f t="shared" ref="XW49:AAH49" si="265">$E$49*XW35</f>
        <v>0</v>
      </c>
      <c r="XX49" s="22">
        <f t="shared" si="265"/>
        <v>0</v>
      </c>
      <c r="XY49" s="22">
        <f t="shared" si="265"/>
        <v>0</v>
      </c>
      <c r="XZ49" s="22">
        <f t="shared" si="265"/>
        <v>0</v>
      </c>
      <c r="YA49" s="22">
        <f t="shared" si="265"/>
        <v>0</v>
      </c>
      <c r="YB49" s="22">
        <f t="shared" si="265"/>
        <v>0</v>
      </c>
      <c r="YC49" s="22">
        <f t="shared" si="265"/>
        <v>0</v>
      </c>
      <c r="YD49" s="22">
        <f t="shared" si="265"/>
        <v>0</v>
      </c>
      <c r="YE49" s="22">
        <f t="shared" si="265"/>
        <v>0</v>
      </c>
      <c r="YF49" s="22">
        <f t="shared" si="265"/>
        <v>0</v>
      </c>
      <c r="YG49" s="22">
        <f t="shared" si="265"/>
        <v>0</v>
      </c>
      <c r="YH49" s="22">
        <f t="shared" si="265"/>
        <v>0</v>
      </c>
      <c r="YI49" s="22">
        <f t="shared" si="265"/>
        <v>0</v>
      </c>
      <c r="YJ49" s="22">
        <f t="shared" si="265"/>
        <v>0</v>
      </c>
      <c r="YK49" s="22">
        <f t="shared" si="265"/>
        <v>0</v>
      </c>
      <c r="YL49" s="22">
        <f t="shared" si="265"/>
        <v>0</v>
      </c>
      <c r="YM49" s="22">
        <f t="shared" si="265"/>
        <v>0</v>
      </c>
      <c r="YN49" s="22">
        <f t="shared" si="265"/>
        <v>0</v>
      </c>
      <c r="YO49" s="22">
        <f t="shared" si="265"/>
        <v>0</v>
      </c>
      <c r="YP49" s="22">
        <f t="shared" si="265"/>
        <v>0</v>
      </c>
      <c r="YQ49" s="22">
        <f t="shared" si="265"/>
        <v>0</v>
      </c>
      <c r="YR49" s="22">
        <f t="shared" si="265"/>
        <v>0</v>
      </c>
      <c r="YS49" s="22">
        <f t="shared" si="265"/>
        <v>0</v>
      </c>
      <c r="YT49" s="22">
        <f t="shared" si="265"/>
        <v>0</v>
      </c>
      <c r="YU49" s="22">
        <f t="shared" si="265"/>
        <v>0</v>
      </c>
      <c r="YV49" s="22">
        <f t="shared" si="265"/>
        <v>0</v>
      </c>
      <c r="YW49" s="22">
        <f t="shared" si="265"/>
        <v>0</v>
      </c>
      <c r="YX49" s="22">
        <f t="shared" si="265"/>
        <v>0</v>
      </c>
      <c r="YY49" s="22">
        <f t="shared" si="265"/>
        <v>0</v>
      </c>
      <c r="YZ49" s="22">
        <f t="shared" si="265"/>
        <v>0</v>
      </c>
      <c r="ZA49" s="22">
        <f t="shared" si="265"/>
        <v>0</v>
      </c>
      <c r="ZB49" s="22">
        <f t="shared" si="265"/>
        <v>0</v>
      </c>
      <c r="ZC49" s="22">
        <f t="shared" si="265"/>
        <v>0</v>
      </c>
      <c r="ZD49" s="22">
        <f t="shared" si="265"/>
        <v>0</v>
      </c>
      <c r="ZE49" s="22">
        <f t="shared" si="265"/>
        <v>0</v>
      </c>
      <c r="ZF49" s="22">
        <f t="shared" si="265"/>
        <v>0</v>
      </c>
      <c r="ZG49" s="22">
        <f t="shared" si="265"/>
        <v>0</v>
      </c>
      <c r="ZH49" s="22">
        <f t="shared" si="265"/>
        <v>0</v>
      </c>
      <c r="ZI49" s="22">
        <f t="shared" si="265"/>
        <v>0</v>
      </c>
      <c r="ZJ49" s="22">
        <f t="shared" si="265"/>
        <v>0</v>
      </c>
      <c r="ZK49" s="22">
        <f t="shared" si="265"/>
        <v>0</v>
      </c>
      <c r="ZL49" s="22">
        <f t="shared" si="265"/>
        <v>0</v>
      </c>
      <c r="ZM49" s="22">
        <f t="shared" si="265"/>
        <v>0</v>
      </c>
      <c r="ZN49" s="22">
        <f t="shared" si="265"/>
        <v>0</v>
      </c>
      <c r="ZO49" s="22">
        <f t="shared" si="265"/>
        <v>0</v>
      </c>
      <c r="ZP49" s="22">
        <f t="shared" si="265"/>
        <v>0</v>
      </c>
      <c r="ZQ49" s="22">
        <f t="shared" si="265"/>
        <v>0</v>
      </c>
      <c r="ZR49" s="22">
        <f t="shared" si="265"/>
        <v>0</v>
      </c>
      <c r="ZS49" s="22">
        <f t="shared" si="265"/>
        <v>0</v>
      </c>
      <c r="ZT49" s="22">
        <f t="shared" si="265"/>
        <v>0</v>
      </c>
      <c r="ZU49" s="22">
        <f t="shared" si="265"/>
        <v>0</v>
      </c>
      <c r="ZV49" s="22">
        <f t="shared" si="265"/>
        <v>0</v>
      </c>
      <c r="ZW49" s="22">
        <f t="shared" si="265"/>
        <v>0</v>
      </c>
      <c r="ZX49" s="22">
        <f t="shared" si="265"/>
        <v>0</v>
      </c>
      <c r="ZY49" s="22">
        <f t="shared" si="265"/>
        <v>0</v>
      </c>
      <c r="ZZ49" s="22">
        <f t="shared" si="265"/>
        <v>0</v>
      </c>
      <c r="AAA49" s="22">
        <f t="shared" si="265"/>
        <v>0</v>
      </c>
      <c r="AAB49" s="22">
        <f t="shared" si="265"/>
        <v>0</v>
      </c>
      <c r="AAC49" s="22">
        <f t="shared" si="265"/>
        <v>0</v>
      </c>
      <c r="AAD49" s="22">
        <f t="shared" si="265"/>
        <v>0</v>
      </c>
      <c r="AAE49" s="22">
        <f t="shared" si="265"/>
        <v>0</v>
      </c>
      <c r="AAF49" s="22">
        <f t="shared" si="265"/>
        <v>0</v>
      </c>
      <c r="AAG49" s="22">
        <f t="shared" si="265"/>
        <v>0</v>
      </c>
      <c r="AAH49" s="22">
        <f t="shared" si="265"/>
        <v>0</v>
      </c>
      <c r="AAI49" s="22">
        <f t="shared" ref="AAI49:ABI49" si="266">$E$49*AAI35</f>
        <v>0</v>
      </c>
      <c r="AAJ49" s="22">
        <f t="shared" si="266"/>
        <v>0</v>
      </c>
      <c r="AAK49" s="22">
        <f t="shared" si="266"/>
        <v>0</v>
      </c>
      <c r="AAL49" s="22">
        <f t="shared" si="266"/>
        <v>0</v>
      </c>
      <c r="AAM49" s="22">
        <f t="shared" si="266"/>
        <v>0</v>
      </c>
      <c r="AAN49" s="22">
        <f t="shared" si="266"/>
        <v>0</v>
      </c>
      <c r="AAO49" s="22">
        <f t="shared" si="266"/>
        <v>0</v>
      </c>
      <c r="AAP49" s="22">
        <f t="shared" si="266"/>
        <v>0</v>
      </c>
      <c r="AAQ49" s="22">
        <f t="shared" si="266"/>
        <v>0</v>
      </c>
      <c r="AAR49" s="22">
        <f t="shared" si="266"/>
        <v>0</v>
      </c>
      <c r="AAS49" s="22">
        <f t="shared" si="266"/>
        <v>0</v>
      </c>
      <c r="AAT49" s="22">
        <f t="shared" si="266"/>
        <v>0</v>
      </c>
      <c r="AAU49" s="22">
        <f t="shared" si="266"/>
        <v>0</v>
      </c>
      <c r="AAV49" s="22">
        <f t="shared" si="266"/>
        <v>0</v>
      </c>
      <c r="AAW49" s="22">
        <f t="shared" si="266"/>
        <v>0</v>
      </c>
      <c r="AAX49" s="22">
        <f t="shared" si="266"/>
        <v>0</v>
      </c>
      <c r="AAY49" s="22">
        <f t="shared" si="266"/>
        <v>0</v>
      </c>
      <c r="AAZ49" s="22">
        <f t="shared" si="266"/>
        <v>0</v>
      </c>
      <c r="ABA49" s="22">
        <f t="shared" si="266"/>
        <v>0</v>
      </c>
      <c r="ABB49" s="22">
        <f t="shared" si="266"/>
        <v>0</v>
      </c>
      <c r="ABC49" s="22">
        <f t="shared" si="266"/>
        <v>0</v>
      </c>
      <c r="ABD49" s="22">
        <f t="shared" si="266"/>
        <v>0</v>
      </c>
      <c r="ABE49" s="22">
        <f t="shared" si="266"/>
        <v>0</v>
      </c>
      <c r="ABF49" s="22">
        <f t="shared" si="266"/>
        <v>0</v>
      </c>
      <c r="ABG49" s="22">
        <f t="shared" si="266"/>
        <v>0</v>
      </c>
      <c r="ABH49" s="22">
        <f t="shared" si="266"/>
        <v>0</v>
      </c>
      <c r="ABI49" s="22">
        <f t="shared" si="266"/>
        <v>0</v>
      </c>
    </row>
    <row r="50" spans="1:737" ht="12.95" customHeight="1" x14ac:dyDescent="0.25">
      <c r="B50" s="24"/>
      <c r="C50" s="19">
        <f t="shared" si="146"/>
        <v>137543.28000000003</v>
      </c>
      <c r="D50" s="20" t="s">
        <v>17</v>
      </c>
      <c r="E50" s="21">
        <v>26.040000000000003</v>
      </c>
      <c r="F50" s="22">
        <f>$E$50*(F35-F38)</f>
        <v>416.64000000000004</v>
      </c>
      <c r="G50" s="22">
        <f t="shared" ref="G50:BR50" si="267">$E$50*(G35-G38)</f>
        <v>416.64000000000004</v>
      </c>
      <c r="H50" s="22">
        <f t="shared" si="267"/>
        <v>416.64000000000004</v>
      </c>
      <c r="I50" s="22">
        <f t="shared" si="267"/>
        <v>416.64000000000004</v>
      </c>
      <c r="J50" s="22">
        <f t="shared" si="267"/>
        <v>416.64000000000004</v>
      </c>
      <c r="K50" s="22">
        <f t="shared" si="267"/>
        <v>-26.040000000000003</v>
      </c>
      <c r="L50" s="22">
        <f t="shared" si="267"/>
        <v>-26.040000000000003</v>
      </c>
      <c r="M50" s="22">
        <f t="shared" si="267"/>
        <v>416.64000000000004</v>
      </c>
      <c r="N50" s="22">
        <f t="shared" si="267"/>
        <v>416.64000000000004</v>
      </c>
      <c r="O50" s="22">
        <f t="shared" si="267"/>
        <v>416.64000000000004</v>
      </c>
      <c r="P50" s="22">
        <f t="shared" si="267"/>
        <v>416.64000000000004</v>
      </c>
      <c r="Q50" s="22">
        <f t="shared" si="267"/>
        <v>416.64000000000004</v>
      </c>
      <c r="R50" s="22">
        <f t="shared" si="267"/>
        <v>-26.040000000000003</v>
      </c>
      <c r="S50" s="22">
        <f t="shared" si="267"/>
        <v>-26.040000000000003</v>
      </c>
      <c r="T50" s="22">
        <f t="shared" si="267"/>
        <v>416.64000000000004</v>
      </c>
      <c r="U50" s="22">
        <f t="shared" si="267"/>
        <v>416.64000000000004</v>
      </c>
      <c r="V50" s="22">
        <f t="shared" si="267"/>
        <v>416.64000000000004</v>
      </c>
      <c r="W50" s="22">
        <f t="shared" si="267"/>
        <v>416.64000000000004</v>
      </c>
      <c r="X50" s="22">
        <f t="shared" si="267"/>
        <v>416.64000000000004</v>
      </c>
      <c r="Y50" s="22">
        <f t="shared" si="267"/>
        <v>-26.040000000000003</v>
      </c>
      <c r="Z50" s="22">
        <f t="shared" si="267"/>
        <v>-26.040000000000003</v>
      </c>
      <c r="AA50" s="22">
        <f>$E$50*(AA35-AA38)</f>
        <v>416.64000000000004</v>
      </c>
      <c r="AB50" s="22">
        <f t="shared" si="267"/>
        <v>416.64000000000004</v>
      </c>
      <c r="AC50" s="22">
        <f t="shared" si="267"/>
        <v>416.64000000000004</v>
      </c>
      <c r="AD50" s="22">
        <f t="shared" si="267"/>
        <v>416.64000000000004</v>
      </c>
      <c r="AE50" s="22">
        <f t="shared" si="267"/>
        <v>416.64000000000004</v>
      </c>
      <c r="AF50" s="22">
        <f t="shared" si="267"/>
        <v>-26.040000000000003</v>
      </c>
      <c r="AG50" s="22">
        <f t="shared" si="267"/>
        <v>-26.040000000000003</v>
      </c>
      <c r="AH50" s="22">
        <f t="shared" si="267"/>
        <v>572.88000000000011</v>
      </c>
      <c r="AI50" s="22">
        <f t="shared" si="267"/>
        <v>572.88000000000011</v>
      </c>
      <c r="AJ50" s="22">
        <f t="shared" si="267"/>
        <v>572.88000000000011</v>
      </c>
      <c r="AK50" s="22">
        <f t="shared" si="267"/>
        <v>572.88000000000011</v>
      </c>
      <c r="AL50" s="22">
        <f t="shared" si="267"/>
        <v>572.88000000000011</v>
      </c>
      <c r="AM50" s="22">
        <f t="shared" si="267"/>
        <v>130.20000000000002</v>
      </c>
      <c r="AN50" s="22">
        <f t="shared" si="267"/>
        <v>130.20000000000002</v>
      </c>
      <c r="AO50" s="22">
        <f t="shared" si="267"/>
        <v>572.88000000000011</v>
      </c>
      <c r="AP50" s="22">
        <f t="shared" si="267"/>
        <v>572.88000000000011</v>
      </c>
      <c r="AQ50" s="22">
        <f t="shared" si="267"/>
        <v>572.88000000000011</v>
      </c>
      <c r="AR50" s="22">
        <f t="shared" si="267"/>
        <v>572.88000000000011</v>
      </c>
      <c r="AS50" s="22">
        <f t="shared" si="267"/>
        <v>572.88000000000011</v>
      </c>
      <c r="AT50" s="22">
        <f t="shared" si="267"/>
        <v>130.20000000000002</v>
      </c>
      <c r="AU50" s="22">
        <f t="shared" si="267"/>
        <v>130.20000000000002</v>
      </c>
      <c r="AV50" s="22">
        <f t="shared" si="267"/>
        <v>572.88000000000011</v>
      </c>
      <c r="AW50" s="22">
        <f t="shared" si="267"/>
        <v>572.88000000000011</v>
      </c>
      <c r="AX50" s="22">
        <f t="shared" si="267"/>
        <v>572.88000000000011</v>
      </c>
      <c r="AY50" s="22">
        <f t="shared" si="267"/>
        <v>572.88000000000011</v>
      </c>
      <c r="AZ50" s="22">
        <f t="shared" si="267"/>
        <v>572.88000000000011</v>
      </c>
      <c r="BA50" s="22">
        <f t="shared" si="267"/>
        <v>130.20000000000002</v>
      </c>
      <c r="BB50" s="22">
        <f t="shared" si="267"/>
        <v>130.20000000000002</v>
      </c>
      <c r="BC50" s="22">
        <f t="shared" si="267"/>
        <v>1354.0800000000002</v>
      </c>
      <c r="BD50" s="22">
        <f t="shared" si="267"/>
        <v>1354.0800000000002</v>
      </c>
      <c r="BE50" s="22">
        <f t="shared" si="267"/>
        <v>1354.0800000000002</v>
      </c>
      <c r="BF50" s="22">
        <f t="shared" si="267"/>
        <v>1354.0800000000002</v>
      </c>
      <c r="BG50" s="22">
        <f t="shared" si="267"/>
        <v>1354.0800000000002</v>
      </c>
      <c r="BH50" s="22">
        <f t="shared" si="267"/>
        <v>911.40000000000009</v>
      </c>
      <c r="BI50" s="22">
        <f t="shared" si="267"/>
        <v>911.40000000000009</v>
      </c>
      <c r="BJ50" s="22">
        <f t="shared" si="267"/>
        <v>1354.0800000000002</v>
      </c>
      <c r="BK50" s="22">
        <f t="shared" si="267"/>
        <v>1354.0800000000002</v>
      </c>
      <c r="BL50" s="22">
        <f t="shared" si="267"/>
        <v>1354.0800000000002</v>
      </c>
      <c r="BM50" s="22">
        <f t="shared" si="267"/>
        <v>1354.0800000000002</v>
      </c>
      <c r="BN50" s="22">
        <f t="shared" si="267"/>
        <v>1354.0800000000002</v>
      </c>
      <c r="BO50" s="22">
        <f t="shared" si="267"/>
        <v>911.40000000000009</v>
      </c>
      <c r="BP50" s="22">
        <f t="shared" si="267"/>
        <v>911.40000000000009</v>
      </c>
      <c r="BQ50" s="22">
        <f t="shared" si="267"/>
        <v>1354.0800000000002</v>
      </c>
      <c r="BR50" s="22">
        <f t="shared" si="267"/>
        <v>1354.0800000000002</v>
      </c>
      <c r="BS50" s="22">
        <f t="shared" ref="BS50:ED50" si="268">$E$50*(BS35-BS38)</f>
        <v>1354.0800000000002</v>
      </c>
      <c r="BT50" s="22">
        <f t="shared" si="268"/>
        <v>1354.0800000000002</v>
      </c>
      <c r="BU50" s="22">
        <f t="shared" si="268"/>
        <v>1354.0800000000002</v>
      </c>
      <c r="BV50" s="22">
        <f t="shared" si="268"/>
        <v>911.40000000000009</v>
      </c>
      <c r="BW50" s="22">
        <f t="shared" si="268"/>
        <v>911.40000000000009</v>
      </c>
      <c r="BX50" s="22">
        <f t="shared" si="268"/>
        <v>1354.0800000000002</v>
      </c>
      <c r="BY50" s="22">
        <f t="shared" si="268"/>
        <v>1354.0800000000002</v>
      </c>
      <c r="BZ50" s="22">
        <f t="shared" si="268"/>
        <v>1354.0800000000002</v>
      </c>
      <c r="CA50" s="22">
        <f t="shared" si="268"/>
        <v>1354.0800000000002</v>
      </c>
      <c r="CB50" s="22">
        <f t="shared" si="268"/>
        <v>1354.0800000000002</v>
      </c>
      <c r="CC50" s="22">
        <f t="shared" si="268"/>
        <v>911.40000000000009</v>
      </c>
      <c r="CD50" s="22">
        <f t="shared" si="268"/>
        <v>911.40000000000009</v>
      </c>
      <c r="CE50" s="22">
        <f t="shared" si="268"/>
        <v>1354.0800000000002</v>
      </c>
      <c r="CF50" s="22">
        <f t="shared" si="268"/>
        <v>1354.0800000000002</v>
      </c>
      <c r="CG50" s="22">
        <f t="shared" si="268"/>
        <v>1354.0800000000002</v>
      </c>
      <c r="CH50" s="22">
        <f t="shared" si="268"/>
        <v>1354.0800000000002</v>
      </c>
      <c r="CI50" s="22">
        <f t="shared" si="268"/>
        <v>1354.0800000000002</v>
      </c>
      <c r="CJ50" s="22">
        <f t="shared" si="268"/>
        <v>911.40000000000009</v>
      </c>
      <c r="CK50" s="22">
        <f t="shared" si="268"/>
        <v>911.40000000000009</v>
      </c>
      <c r="CL50" s="22">
        <f t="shared" si="268"/>
        <v>1354.0800000000002</v>
      </c>
      <c r="CM50" s="22">
        <f t="shared" si="268"/>
        <v>1354.0800000000002</v>
      </c>
      <c r="CN50" s="22">
        <f t="shared" si="268"/>
        <v>1354.0800000000002</v>
      </c>
      <c r="CO50" s="22">
        <f t="shared" si="268"/>
        <v>1354.0800000000002</v>
      </c>
      <c r="CP50" s="22">
        <f t="shared" si="268"/>
        <v>1354.0800000000002</v>
      </c>
      <c r="CQ50" s="22">
        <f t="shared" si="268"/>
        <v>911.40000000000009</v>
      </c>
      <c r="CR50" s="22">
        <f t="shared" si="268"/>
        <v>911.40000000000009</v>
      </c>
      <c r="CS50" s="22">
        <f t="shared" si="268"/>
        <v>1536.3600000000001</v>
      </c>
      <c r="CT50" s="22">
        <f t="shared" si="268"/>
        <v>1536.3600000000001</v>
      </c>
      <c r="CU50" s="22">
        <f t="shared" si="268"/>
        <v>1536.3600000000001</v>
      </c>
      <c r="CV50" s="22">
        <f t="shared" si="268"/>
        <v>1536.3600000000001</v>
      </c>
      <c r="CW50" s="22">
        <f t="shared" si="268"/>
        <v>1536.3600000000001</v>
      </c>
      <c r="CX50" s="22">
        <f t="shared" si="268"/>
        <v>1093.68</v>
      </c>
      <c r="CY50" s="22">
        <f t="shared" si="268"/>
        <v>1093.68</v>
      </c>
      <c r="CZ50" s="22">
        <f t="shared" si="268"/>
        <v>1536.3600000000001</v>
      </c>
      <c r="DA50" s="22">
        <f t="shared" si="268"/>
        <v>1536.3600000000001</v>
      </c>
      <c r="DB50" s="22">
        <f t="shared" si="268"/>
        <v>1536.3600000000001</v>
      </c>
      <c r="DC50" s="22">
        <f t="shared" si="268"/>
        <v>1536.3600000000001</v>
      </c>
      <c r="DD50" s="22">
        <f t="shared" si="268"/>
        <v>1536.3600000000001</v>
      </c>
      <c r="DE50" s="22">
        <f t="shared" si="268"/>
        <v>1093.68</v>
      </c>
      <c r="DF50" s="22">
        <f t="shared" si="268"/>
        <v>1093.68</v>
      </c>
      <c r="DG50" s="22">
        <f t="shared" si="268"/>
        <v>1406.16</v>
      </c>
      <c r="DH50" s="22">
        <f t="shared" si="268"/>
        <v>1406.16</v>
      </c>
      <c r="DI50" s="22">
        <f t="shared" si="268"/>
        <v>1406.16</v>
      </c>
      <c r="DJ50" s="22">
        <f t="shared" si="268"/>
        <v>1406.16</v>
      </c>
      <c r="DK50" s="22">
        <f t="shared" si="268"/>
        <v>1406.16</v>
      </c>
      <c r="DL50" s="22">
        <f t="shared" si="268"/>
        <v>963.48000000000013</v>
      </c>
      <c r="DM50" s="22">
        <f t="shared" si="268"/>
        <v>963.48000000000013</v>
      </c>
      <c r="DN50" s="22">
        <f t="shared" si="268"/>
        <v>1406.16</v>
      </c>
      <c r="DO50" s="22">
        <f t="shared" si="268"/>
        <v>1406.16</v>
      </c>
      <c r="DP50" s="22">
        <f t="shared" si="268"/>
        <v>1406.16</v>
      </c>
      <c r="DQ50" s="22">
        <f t="shared" si="268"/>
        <v>1406.16</v>
      </c>
      <c r="DR50" s="22">
        <f t="shared" si="268"/>
        <v>1406.16</v>
      </c>
      <c r="DS50" s="22">
        <f t="shared" si="268"/>
        <v>963.48000000000013</v>
      </c>
      <c r="DT50" s="22">
        <f t="shared" si="268"/>
        <v>963.48000000000013</v>
      </c>
      <c r="DU50" s="22">
        <f t="shared" si="268"/>
        <v>1406.16</v>
      </c>
      <c r="DV50" s="22">
        <f t="shared" si="268"/>
        <v>1406.16</v>
      </c>
      <c r="DW50" s="22">
        <f t="shared" si="268"/>
        <v>1406.16</v>
      </c>
      <c r="DX50" s="22">
        <f t="shared" si="268"/>
        <v>1406.16</v>
      </c>
      <c r="DY50" s="22">
        <f t="shared" si="268"/>
        <v>1406.16</v>
      </c>
      <c r="DZ50" s="22">
        <f t="shared" si="268"/>
        <v>963.48000000000013</v>
      </c>
      <c r="EA50" s="22">
        <f t="shared" si="268"/>
        <v>963.48000000000013</v>
      </c>
      <c r="EB50" s="22">
        <f t="shared" si="268"/>
        <v>1406.16</v>
      </c>
      <c r="EC50" s="22">
        <f t="shared" si="268"/>
        <v>1406.16</v>
      </c>
      <c r="ED50" s="22">
        <f t="shared" si="268"/>
        <v>1406.16</v>
      </c>
      <c r="EE50" s="22">
        <f t="shared" ref="EE50:GP50" si="269">$E$50*(EE35-EE38)</f>
        <v>1406.16</v>
      </c>
      <c r="EF50" s="22">
        <f t="shared" si="269"/>
        <v>1406.16</v>
      </c>
      <c r="EG50" s="22">
        <f t="shared" si="269"/>
        <v>963.48000000000013</v>
      </c>
      <c r="EH50" s="22">
        <f t="shared" si="269"/>
        <v>963.48000000000013</v>
      </c>
      <c r="EI50" s="22">
        <f t="shared" si="269"/>
        <v>1406.16</v>
      </c>
      <c r="EJ50" s="22">
        <f t="shared" si="269"/>
        <v>1406.16</v>
      </c>
      <c r="EK50" s="22">
        <f t="shared" si="269"/>
        <v>1406.16</v>
      </c>
      <c r="EL50" s="22">
        <f t="shared" si="269"/>
        <v>1406.16</v>
      </c>
      <c r="EM50" s="22">
        <f t="shared" si="269"/>
        <v>1406.16</v>
      </c>
      <c r="EN50" s="22">
        <f t="shared" si="269"/>
        <v>963.48000000000013</v>
      </c>
      <c r="EO50" s="22">
        <f t="shared" si="269"/>
        <v>963.48000000000013</v>
      </c>
      <c r="EP50" s="22">
        <f t="shared" si="269"/>
        <v>1406.16</v>
      </c>
      <c r="EQ50" s="22">
        <f t="shared" si="269"/>
        <v>1406.16</v>
      </c>
      <c r="ER50" s="22">
        <f t="shared" si="269"/>
        <v>963.48000000000013</v>
      </c>
      <c r="ES50" s="22">
        <f t="shared" si="269"/>
        <v>963.48000000000013</v>
      </c>
      <c r="ET50" s="22">
        <f t="shared" si="269"/>
        <v>963.48000000000013</v>
      </c>
      <c r="EU50" s="22">
        <f t="shared" si="269"/>
        <v>78.12</v>
      </c>
      <c r="EV50" s="22">
        <f t="shared" si="269"/>
        <v>-364.56000000000006</v>
      </c>
      <c r="EW50" s="22">
        <f t="shared" si="269"/>
        <v>338.52000000000004</v>
      </c>
      <c r="EX50" s="22">
        <f t="shared" si="269"/>
        <v>338.52000000000004</v>
      </c>
      <c r="EY50" s="22">
        <f t="shared" si="269"/>
        <v>338.52000000000004</v>
      </c>
      <c r="EZ50" s="22">
        <f t="shared" si="269"/>
        <v>338.52000000000004</v>
      </c>
      <c r="FA50" s="22">
        <f t="shared" si="269"/>
        <v>338.52000000000004</v>
      </c>
      <c r="FB50" s="22">
        <f t="shared" si="269"/>
        <v>-546.84</v>
      </c>
      <c r="FC50" s="22">
        <f t="shared" si="269"/>
        <v>-989.5200000000001</v>
      </c>
      <c r="FD50" s="22">
        <f t="shared" si="269"/>
        <v>286.44000000000005</v>
      </c>
      <c r="FE50" s="22">
        <f t="shared" si="269"/>
        <v>286.44000000000005</v>
      </c>
      <c r="FF50" s="22">
        <f t="shared" si="269"/>
        <v>286.44000000000005</v>
      </c>
      <c r="FG50" s="22">
        <f t="shared" si="269"/>
        <v>286.44000000000005</v>
      </c>
      <c r="FH50" s="22">
        <f t="shared" si="269"/>
        <v>286.44000000000005</v>
      </c>
      <c r="FI50" s="22">
        <f t="shared" si="269"/>
        <v>-598.92000000000007</v>
      </c>
      <c r="FJ50" s="22">
        <f t="shared" si="269"/>
        <v>-1041.6000000000001</v>
      </c>
      <c r="FK50" s="22">
        <f t="shared" si="269"/>
        <v>-1041.6000000000001</v>
      </c>
      <c r="FL50" s="22">
        <f t="shared" si="269"/>
        <v>260.40000000000003</v>
      </c>
      <c r="FM50" s="22">
        <f t="shared" si="269"/>
        <v>260.40000000000003</v>
      </c>
      <c r="FN50" s="22">
        <f t="shared" si="269"/>
        <v>260.40000000000003</v>
      </c>
      <c r="FO50" s="22">
        <f t="shared" si="269"/>
        <v>260.40000000000003</v>
      </c>
      <c r="FP50" s="22">
        <f t="shared" si="269"/>
        <v>-624.96</v>
      </c>
      <c r="FQ50" s="22">
        <f t="shared" si="269"/>
        <v>-1067.6400000000001</v>
      </c>
      <c r="FR50" s="22">
        <f t="shared" si="269"/>
        <v>260.40000000000003</v>
      </c>
      <c r="FS50" s="22">
        <f t="shared" si="269"/>
        <v>260.40000000000003</v>
      </c>
      <c r="FT50" s="22">
        <f t="shared" si="269"/>
        <v>260.40000000000003</v>
      </c>
      <c r="FU50" s="22">
        <f t="shared" si="269"/>
        <v>260.40000000000003</v>
      </c>
      <c r="FV50" s="22">
        <f t="shared" si="269"/>
        <v>260.40000000000003</v>
      </c>
      <c r="FW50" s="22">
        <f t="shared" si="269"/>
        <v>-624.96</v>
      </c>
      <c r="FX50" s="22">
        <f t="shared" si="269"/>
        <v>-1067.6400000000001</v>
      </c>
      <c r="FY50" s="22">
        <f t="shared" si="269"/>
        <v>260.40000000000003</v>
      </c>
      <c r="FZ50" s="22">
        <f t="shared" si="269"/>
        <v>260.40000000000003</v>
      </c>
      <c r="GA50" s="22">
        <f t="shared" si="269"/>
        <v>260.40000000000003</v>
      </c>
      <c r="GB50" s="22">
        <f t="shared" si="269"/>
        <v>260.40000000000003</v>
      </c>
      <c r="GC50" s="22">
        <f t="shared" si="269"/>
        <v>260.40000000000003</v>
      </c>
      <c r="GD50" s="22">
        <f t="shared" si="269"/>
        <v>-624.96</v>
      </c>
      <c r="GE50" s="22">
        <f t="shared" si="269"/>
        <v>0</v>
      </c>
      <c r="GF50" s="22">
        <f t="shared" si="269"/>
        <v>0</v>
      </c>
      <c r="GG50" s="22">
        <f t="shared" si="269"/>
        <v>0</v>
      </c>
      <c r="GH50" s="22">
        <f t="shared" si="269"/>
        <v>0</v>
      </c>
      <c r="GI50" s="22">
        <f t="shared" si="269"/>
        <v>0</v>
      </c>
      <c r="GJ50" s="22">
        <f t="shared" si="269"/>
        <v>0</v>
      </c>
      <c r="GK50" s="22">
        <f t="shared" si="269"/>
        <v>0</v>
      </c>
      <c r="GL50" s="22">
        <f t="shared" si="269"/>
        <v>0</v>
      </c>
      <c r="GM50" s="22">
        <f t="shared" si="269"/>
        <v>0</v>
      </c>
      <c r="GN50" s="22">
        <f t="shared" si="269"/>
        <v>0</v>
      </c>
      <c r="GO50" s="22">
        <f t="shared" si="269"/>
        <v>0</v>
      </c>
      <c r="GP50" s="22">
        <f t="shared" si="269"/>
        <v>0</v>
      </c>
      <c r="GQ50" s="22">
        <f t="shared" ref="GQ50:JB50" si="270">$E$50*(GQ35-GQ38)</f>
        <v>0</v>
      </c>
      <c r="GR50" s="22">
        <f t="shared" si="270"/>
        <v>0</v>
      </c>
      <c r="GS50" s="22">
        <f t="shared" si="270"/>
        <v>0</v>
      </c>
      <c r="GT50" s="22">
        <f t="shared" si="270"/>
        <v>0</v>
      </c>
      <c r="GU50" s="22">
        <f t="shared" si="270"/>
        <v>0</v>
      </c>
      <c r="GV50" s="22">
        <f t="shared" si="270"/>
        <v>0</v>
      </c>
      <c r="GW50" s="22">
        <f t="shared" si="270"/>
        <v>0</v>
      </c>
      <c r="GX50" s="22">
        <f t="shared" si="270"/>
        <v>0</v>
      </c>
      <c r="GY50" s="22">
        <f t="shared" si="270"/>
        <v>0</v>
      </c>
      <c r="GZ50" s="22">
        <f t="shared" si="270"/>
        <v>0</v>
      </c>
      <c r="HA50" s="22">
        <f t="shared" si="270"/>
        <v>0</v>
      </c>
      <c r="HB50" s="22">
        <f t="shared" si="270"/>
        <v>0</v>
      </c>
      <c r="HC50" s="22">
        <f t="shared" si="270"/>
        <v>0</v>
      </c>
      <c r="HD50" s="22">
        <f t="shared" si="270"/>
        <v>0</v>
      </c>
      <c r="HE50" s="22">
        <f t="shared" si="270"/>
        <v>0</v>
      </c>
      <c r="HF50" s="22">
        <f t="shared" si="270"/>
        <v>0</v>
      </c>
      <c r="HG50" s="22">
        <f t="shared" si="270"/>
        <v>0</v>
      </c>
      <c r="HH50" s="22">
        <f t="shared" si="270"/>
        <v>0</v>
      </c>
      <c r="HI50" s="22">
        <f t="shared" si="270"/>
        <v>0</v>
      </c>
      <c r="HJ50" s="22">
        <f t="shared" si="270"/>
        <v>0</v>
      </c>
      <c r="HK50" s="22">
        <f t="shared" si="270"/>
        <v>0</v>
      </c>
      <c r="HL50" s="22">
        <f t="shared" si="270"/>
        <v>0</v>
      </c>
      <c r="HM50" s="22">
        <f t="shared" si="270"/>
        <v>0</v>
      </c>
      <c r="HN50" s="22">
        <f t="shared" si="270"/>
        <v>0</v>
      </c>
      <c r="HO50" s="22">
        <f t="shared" si="270"/>
        <v>0</v>
      </c>
      <c r="HP50" s="22">
        <f t="shared" si="270"/>
        <v>0</v>
      </c>
      <c r="HQ50" s="22">
        <f t="shared" si="270"/>
        <v>0</v>
      </c>
      <c r="HR50" s="22">
        <f t="shared" si="270"/>
        <v>0</v>
      </c>
      <c r="HS50" s="22">
        <f t="shared" si="270"/>
        <v>0</v>
      </c>
      <c r="HT50" s="22">
        <f t="shared" si="270"/>
        <v>0</v>
      </c>
      <c r="HU50" s="22">
        <f t="shared" si="270"/>
        <v>0</v>
      </c>
      <c r="HV50" s="22">
        <f t="shared" si="270"/>
        <v>0</v>
      </c>
      <c r="HW50" s="22">
        <f t="shared" si="270"/>
        <v>0</v>
      </c>
      <c r="HX50" s="22">
        <f t="shared" si="270"/>
        <v>0</v>
      </c>
      <c r="HY50" s="22">
        <f t="shared" si="270"/>
        <v>0</v>
      </c>
      <c r="HZ50" s="22">
        <f t="shared" si="270"/>
        <v>0</v>
      </c>
      <c r="IA50" s="22">
        <f t="shared" si="270"/>
        <v>0</v>
      </c>
      <c r="IB50" s="22">
        <f t="shared" si="270"/>
        <v>0</v>
      </c>
      <c r="IC50" s="22">
        <f t="shared" si="270"/>
        <v>0</v>
      </c>
      <c r="ID50" s="22">
        <f t="shared" si="270"/>
        <v>0</v>
      </c>
      <c r="IE50" s="22">
        <f t="shared" si="270"/>
        <v>0</v>
      </c>
      <c r="IF50" s="22">
        <f t="shared" si="270"/>
        <v>0</v>
      </c>
      <c r="IG50" s="22">
        <f t="shared" si="270"/>
        <v>0</v>
      </c>
      <c r="IH50" s="22">
        <f t="shared" si="270"/>
        <v>0</v>
      </c>
      <c r="II50" s="22">
        <f t="shared" si="270"/>
        <v>0</v>
      </c>
      <c r="IJ50" s="22">
        <f t="shared" si="270"/>
        <v>0</v>
      </c>
      <c r="IK50" s="22">
        <f t="shared" si="270"/>
        <v>0</v>
      </c>
      <c r="IL50" s="22">
        <f t="shared" si="270"/>
        <v>0</v>
      </c>
      <c r="IM50" s="22">
        <f t="shared" si="270"/>
        <v>0</v>
      </c>
      <c r="IN50" s="22">
        <f t="shared" si="270"/>
        <v>0</v>
      </c>
      <c r="IO50" s="22">
        <f t="shared" si="270"/>
        <v>0</v>
      </c>
      <c r="IP50" s="22">
        <f t="shared" si="270"/>
        <v>0</v>
      </c>
      <c r="IQ50" s="22">
        <f t="shared" si="270"/>
        <v>0</v>
      </c>
      <c r="IR50" s="22">
        <f t="shared" si="270"/>
        <v>0</v>
      </c>
      <c r="IS50" s="22">
        <f t="shared" si="270"/>
        <v>0</v>
      </c>
      <c r="IT50" s="22">
        <f t="shared" si="270"/>
        <v>0</v>
      </c>
      <c r="IU50" s="22">
        <f t="shared" si="270"/>
        <v>0</v>
      </c>
      <c r="IV50" s="22">
        <f t="shared" si="270"/>
        <v>0</v>
      </c>
      <c r="IW50" s="22">
        <f t="shared" si="270"/>
        <v>0</v>
      </c>
      <c r="IX50" s="22">
        <f t="shared" si="270"/>
        <v>0</v>
      </c>
      <c r="IY50" s="22">
        <f t="shared" si="270"/>
        <v>0</v>
      </c>
      <c r="IZ50" s="22">
        <f t="shared" si="270"/>
        <v>0</v>
      </c>
      <c r="JA50" s="22">
        <f t="shared" si="270"/>
        <v>0</v>
      </c>
      <c r="JB50" s="22">
        <f t="shared" si="270"/>
        <v>0</v>
      </c>
      <c r="JC50" s="22">
        <f t="shared" ref="JC50:LN50" si="271">$E$50*(JC35-JC38)</f>
        <v>0</v>
      </c>
      <c r="JD50" s="22">
        <f t="shared" si="271"/>
        <v>0</v>
      </c>
      <c r="JE50" s="22">
        <f t="shared" si="271"/>
        <v>0</v>
      </c>
      <c r="JF50" s="22">
        <f t="shared" si="271"/>
        <v>0</v>
      </c>
      <c r="JG50" s="22">
        <f t="shared" si="271"/>
        <v>0</v>
      </c>
      <c r="JH50" s="22">
        <f t="shared" si="271"/>
        <v>0</v>
      </c>
      <c r="JI50" s="22">
        <f t="shared" si="271"/>
        <v>0</v>
      </c>
      <c r="JJ50" s="22">
        <f t="shared" si="271"/>
        <v>0</v>
      </c>
      <c r="JK50" s="22">
        <f t="shared" si="271"/>
        <v>0</v>
      </c>
      <c r="JL50" s="22">
        <f t="shared" si="271"/>
        <v>0</v>
      </c>
      <c r="JM50" s="22">
        <f t="shared" si="271"/>
        <v>0</v>
      </c>
      <c r="JN50" s="22">
        <f t="shared" si="271"/>
        <v>0</v>
      </c>
      <c r="JO50" s="22">
        <f t="shared" si="271"/>
        <v>0</v>
      </c>
      <c r="JP50" s="22">
        <f t="shared" si="271"/>
        <v>0</v>
      </c>
      <c r="JQ50" s="22">
        <f t="shared" si="271"/>
        <v>0</v>
      </c>
      <c r="JR50" s="22">
        <f t="shared" si="271"/>
        <v>0</v>
      </c>
      <c r="JS50" s="22">
        <f t="shared" si="271"/>
        <v>0</v>
      </c>
      <c r="JT50" s="22">
        <f t="shared" si="271"/>
        <v>0</v>
      </c>
      <c r="JU50" s="22">
        <f t="shared" si="271"/>
        <v>0</v>
      </c>
      <c r="JV50" s="22">
        <f t="shared" si="271"/>
        <v>0</v>
      </c>
      <c r="JW50" s="22">
        <f t="shared" si="271"/>
        <v>0</v>
      </c>
      <c r="JX50" s="22">
        <f t="shared" si="271"/>
        <v>0</v>
      </c>
      <c r="JY50" s="22">
        <f t="shared" si="271"/>
        <v>0</v>
      </c>
      <c r="JZ50" s="22">
        <f t="shared" si="271"/>
        <v>0</v>
      </c>
      <c r="KA50" s="22">
        <f t="shared" si="271"/>
        <v>0</v>
      </c>
      <c r="KB50" s="22">
        <f t="shared" si="271"/>
        <v>0</v>
      </c>
      <c r="KC50" s="22">
        <f t="shared" si="271"/>
        <v>0</v>
      </c>
      <c r="KD50" s="22">
        <f t="shared" si="271"/>
        <v>0</v>
      </c>
      <c r="KE50" s="22">
        <f t="shared" si="271"/>
        <v>0</v>
      </c>
      <c r="KF50" s="22">
        <f t="shared" si="271"/>
        <v>0</v>
      </c>
      <c r="KG50" s="22">
        <f t="shared" si="271"/>
        <v>0</v>
      </c>
      <c r="KH50" s="22">
        <f t="shared" si="271"/>
        <v>0</v>
      </c>
      <c r="KI50" s="22">
        <f t="shared" si="271"/>
        <v>0</v>
      </c>
      <c r="KJ50" s="22">
        <f t="shared" si="271"/>
        <v>0</v>
      </c>
      <c r="KK50" s="22">
        <f t="shared" si="271"/>
        <v>0</v>
      </c>
      <c r="KL50" s="22">
        <f t="shared" si="271"/>
        <v>0</v>
      </c>
      <c r="KM50" s="22">
        <f t="shared" si="271"/>
        <v>0</v>
      </c>
      <c r="KN50" s="22">
        <f t="shared" si="271"/>
        <v>0</v>
      </c>
      <c r="KO50" s="22">
        <f t="shared" si="271"/>
        <v>0</v>
      </c>
      <c r="KP50" s="22">
        <f t="shared" si="271"/>
        <v>0</v>
      </c>
      <c r="KQ50" s="22">
        <f t="shared" si="271"/>
        <v>0</v>
      </c>
      <c r="KR50" s="22">
        <f t="shared" si="271"/>
        <v>0</v>
      </c>
      <c r="KS50" s="22">
        <f t="shared" si="271"/>
        <v>0</v>
      </c>
      <c r="KT50" s="22">
        <f t="shared" si="271"/>
        <v>0</v>
      </c>
      <c r="KU50" s="22">
        <f t="shared" si="271"/>
        <v>0</v>
      </c>
      <c r="KV50" s="22">
        <f t="shared" si="271"/>
        <v>0</v>
      </c>
      <c r="KW50" s="22">
        <f t="shared" si="271"/>
        <v>0</v>
      </c>
      <c r="KX50" s="22">
        <f t="shared" si="271"/>
        <v>0</v>
      </c>
      <c r="KY50" s="22">
        <f t="shared" si="271"/>
        <v>0</v>
      </c>
      <c r="KZ50" s="22">
        <f t="shared" si="271"/>
        <v>0</v>
      </c>
      <c r="LA50" s="22">
        <f t="shared" si="271"/>
        <v>0</v>
      </c>
      <c r="LB50" s="22">
        <f t="shared" si="271"/>
        <v>0</v>
      </c>
      <c r="LC50" s="22">
        <f t="shared" si="271"/>
        <v>0</v>
      </c>
      <c r="LD50" s="22">
        <f t="shared" si="271"/>
        <v>0</v>
      </c>
      <c r="LE50" s="22">
        <f t="shared" si="271"/>
        <v>0</v>
      </c>
      <c r="LF50" s="22">
        <f t="shared" si="271"/>
        <v>0</v>
      </c>
      <c r="LG50" s="22">
        <f t="shared" si="271"/>
        <v>0</v>
      </c>
      <c r="LH50" s="22">
        <f t="shared" si="271"/>
        <v>0</v>
      </c>
      <c r="LI50" s="22">
        <f t="shared" si="271"/>
        <v>0</v>
      </c>
      <c r="LJ50" s="22">
        <f t="shared" si="271"/>
        <v>0</v>
      </c>
      <c r="LK50" s="22">
        <f t="shared" si="271"/>
        <v>0</v>
      </c>
      <c r="LL50" s="22">
        <f t="shared" si="271"/>
        <v>0</v>
      </c>
      <c r="LM50" s="22">
        <f t="shared" si="271"/>
        <v>0</v>
      </c>
      <c r="LN50" s="22">
        <f t="shared" si="271"/>
        <v>0</v>
      </c>
      <c r="LO50" s="22">
        <f t="shared" ref="LO50:NZ50" si="272">$E$50*(LO35-LO38)</f>
        <v>0</v>
      </c>
      <c r="LP50" s="22">
        <f t="shared" si="272"/>
        <v>0</v>
      </c>
      <c r="LQ50" s="22">
        <f t="shared" si="272"/>
        <v>0</v>
      </c>
      <c r="LR50" s="22">
        <f t="shared" si="272"/>
        <v>0</v>
      </c>
      <c r="LS50" s="22">
        <f t="shared" si="272"/>
        <v>0</v>
      </c>
      <c r="LT50" s="22">
        <f t="shared" si="272"/>
        <v>0</v>
      </c>
      <c r="LU50" s="22">
        <f t="shared" si="272"/>
        <v>0</v>
      </c>
      <c r="LV50" s="22">
        <f t="shared" si="272"/>
        <v>0</v>
      </c>
      <c r="LW50" s="22">
        <f t="shared" si="272"/>
        <v>0</v>
      </c>
      <c r="LX50" s="22">
        <f t="shared" si="272"/>
        <v>0</v>
      </c>
      <c r="LY50" s="22">
        <f t="shared" si="272"/>
        <v>0</v>
      </c>
      <c r="LZ50" s="22">
        <f t="shared" si="272"/>
        <v>0</v>
      </c>
      <c r="MA50" s="22">
        <f t="shared" si="272"/>
        <v>0</v>
      </c>
      <c r="MB50" s="22">
        <f t="shared" si="272"/>
        <v>0</v>
      </c>
      <c r="MC50" s="22">
        <f t="shared" si="272"/>
        <v>0</v>
      </c>
      <c r="MD50" s="22">
        <f t="shared" si="272"/>
        <v>0</v>
      </c>
      <c r="ME50" s="22">
        <f t="shared" si="272"/>
        <v>0</v>
      </c>
      <c r="MF50" s="22">
        <f t="shared" si="272"/>
        <v>0</v>
      </c>
      <c r="MG50" s="22">
        <f t="shared" si="272"/>
        <v>0</v>
      </c>
      <c r="MH50" s="22">
        <f t="shared" si="272"/>
        <v>0</v>
      </c>
      <c r="MI50" s="22">
        <f t="shared" si="272"/>
        <v>0</v>
      </c>
      <c r="MJ50" s="22">
        <f t="shared" si="272"/>
        <v>0</v>
      </c>
      <c r="MK50" s="22">
        <f t="shared" si="272"/>
        <v>0</v>
      </c>
      <c r="ML50" s="22">
        <f t="shared" si="272"/>
        <v>0</v>
      </c>
      <c r="MM50" s="22">
        <f t="shared" si="272"/>
        <v>0</v>
      </c>
      <c r="MN50" s="22">
        <f t="shared" si="272"/>
        <v>0</v>
      </c>
      <c r="MO50" s="22">
        <f t="shared" si="272"/>
        <v>0</v>
      </c>
      <c r="MP50" s="22">
        <f t="shared" si="272"/>
        <v>0</v>
      </c>
      <c r="MQ50" s="22">
        <f t="shared" si="272"/>
        <v>0</v>
      </c>
      <c r="MR50" s="22">
        <f t="shared" si="272"/>
        <v>0</v>
      </c>
      <c r="MS50" s="22">
        <f t="shared" si="272"/>
        <v>0</v>
      </c>
      <c r="MT50" s="22">
        <f t="shared" si="272"/>
        <v>0</v>
      </c>
      <c r="MU50" s="22">
        <f t="shared" si="272"/>
        <v>0</v>
      </c>
      <c r="MV50" s="22">
        <f t="shared" si="272"/>
        <v>0</v>
      </c>
      <c r="MW50" s="22">
        <f t="shared" si="272"/>
        <v>0</v>
      </c>
      <c r="MX50" s="22">
        <f t="shared" si="272"/>
        <v>0</v>
      </c>
      <c r="MY50" s="22">
        <f t="shared" si="272"/>
        <v>0</v>
      </c>
      <c r="MZ50" s="22">
        <f t="shared" si="272"/>
        <v>0</v>
      </c>
      <c r="NA50" s="22">
        <f t="shared" si="272"/>
        <v>0</v>
      </c>
      <c r="NB50" s="22">
        <f t="shared" si="272"/>
        <v>0</v>
      </c>
      <c r="NC50" s="22">
        <f t="shared" si="272"/>
        <v>0</v>
      </c>
      <c r="ND50" s="22">
        <f t="shared" si="272"/>
        <v>0</v>
      </c>
      <c r="NE50" s="22">
        <f t="shared" si="272"/>
        <v>0</v>
      </c>
      <c r="NF50" s="22">
        <f t="shared" si="272"/>
        <v>0</v>
      </c>
      <c r="NG50" s="22">
        <f t="shared" si="272"/>
        <v>0</v>
      </c>
      <c r="NH50" s="22">
        <f t="shared" si="272"/>
        <v>0</v>
      </c>
      <c r="NI50" s="22">
        <f t="shared" si="272"/>
        <v>0</v>
      </c>
      <c r="NJ50" s="22">
        <f t="shared" si="272"/>
        <v>0</v>
      </c>
      <c r="NK50" s="22">
        <f t="shared" si="272"/>
        <v>0</v>
      </c>
      <c r="NL50" s="22">
        <f t="shared" si="272"/>
        <v>0</v>
      </c>
      <c r="NM50" s="22">
        <f t="shared" si="272"/>
        <v>0</v>
      </c>
      <c r="NN50" s="22">
        <f t="shared" si="272"/>
        <v>0</v>
      </c>
      <c r="NO50" s="22">
        <f t="shared" si="272"/>
        <v>0</v>
      </c>
      <c r="NP50" s="22">
        <f t="shared" si="272"/>
        <v>0</v>
      </c>
      <c r="NQ50" s="22">
        <f t="shared" si="272"/>
        <v>0</v>
      </c>
      <c r="NR50" s="22">
        <f t="shared" si="272"/>
        <v>0</v>
      </c>
      <c r="NS50" s="22">
        <f t="shared" si="272"/>
        <v>0</v>
      </c>
      <c r="NT50" s="22">
        <f t="shared" si="272"/>
        <v>0</v>
      </c>
      <c r="NU50" s="22">
        <f t="shared" si="272"/>
        <v>0</v>
      </c>
      <c r="NV50" s="22">
        <f t="shared" si="272"/>
        <v>0</v>
      </c>
      <c r="NW50" s="22">
        <f t="shared" si="272"/>
        <v>0</v>
      </c>
      <c r="NX50" s="22">
        <f t="shared" si="272"/>
        <v>0</v>
      </c>
      <c r="NY50" s="22">
        <f t="shared" si="272"/>
        <v>0</v>
      </c>
      <c r="NZ50" s="22">
        <f t="shared" si="272"/>
        <v>0</v>
      </c>
      <c r="OA50" s="22">
        <f t="shared" ref="OA50:QL50" si="273">$E$50*(OA35-OA38)</f>
        <v>0</v>
      </c>
      <c r="OB50" s="22">
        <f t="shared" si="273"/>
        <v>0</v>
      </c>
      <c r="OC50" s="22">
        <f t="shared" si="273"/>
        <v>0</v>
      </c>
      <c r="OD50" s="22">
        <f t="shared" si="273"/>
        <v>0</v>
      </c>
      <c r="OE50" s="22">
        <f t="shared" si="273"/>
        <v>0</v>
      </c>
      <c r="OF50" s="22">
        <f t="shared" si="273"/>
        <v>0</v>
      </c>
      <c r="OG50" s="22">
        <f t="shared" si="273"/>
        <v>0</v>
      </c>
      <c r="OH50" s="22">
        <f t="shared" si="273"/>
        <v>0</v>
      </c>
      <c r="OI50" s="22">
        <f t="shared" si="273"/>
        <v>0</v>
      </c>
      <c r="OJ50" s="22">
        <f t="shared" si="273"/>
        <v>0</v>
      </c>
      <c r="OK50" s="22">
        <f t="shared" si="273"/>
        <v>0</v>
      </c>
      <c r="OL50" s="22">
        <f t="shared" si="273"/>
        <v>0</v>
      </c>
      <c r="OM50" s="22">
        <f t="shared" si="273"/>
        <v>0</v>
      </c>
      <c r="ON50" s="22">
        <f t="shared" si="273"/>
        <v>0</v>
      </c>
      <c r="OO50" s="22">
        <f t="shared" si="273"/>
        <v>0</v>
      </c>
      <c r="OP50" s="22">
        <f t="shared" si="273"/>
        <v>0</v>
      </c>
      <c r="OQ50" s="22">
        <f t="shared" si="273"/>
        <v>0</v>
      </c>
      <c r="OR50" s="22">
        <f t="shared" si="273"/>
        <v>0</v>
      </c>
      <c r="OS50" s="22">
        <f t="shared" si="273"/>
        <v>0</v>
      </c>
      <c r="OT50" s="22">
        <f t="shared" si="273"/>
        <v>0</v>
      </c>
      <c r="OU50" s="22">
        <f t="shared" si="273"/>
        <v>0</v>
      </c>
      <c r="OV50" s="22">
        <f t="shared" si="273"/>
        <v>0</v>
      </c>
      <c r="OW50" s="22">
        <f t="shared" si="273"/>
        <v>0</v>
      </c>
      <c r="OX50" s="22">
        <f t="shared" si="273"/>
        <v>0</v>
      </c>
      <c r="OY50" s="22">
        <f t="shared" si="273"/>
        <v>0</v>
      </c>
      <c r="OZ50" s="22">
        <f t="shared" si="273"/>
        <v>0</v>
      </c>
      <c r="PA50" s="22">
        <f t="shared" si="273"/>
        <v>0</v>
      </c>
      <c r="PB50" s="22">
        <f t="shared" si="273"/>
        <v>0</v>
      </c>
      <c r="PC50" s="22">
        <f t="shared" si="273"/>
        <v>0</v>
      </c>
      <c r="PD50" s="22">
        <f t="shared" si="273"/>
        <v>0</v>
      </c>
      <c r="PE50" s="22">
        <f t="shared" si="273"/>
        <v>0</v>
      </c>
      <c r="PF50" s="22">
        <f t="shared" si="273"/>
        <v>0</v>
      </c>
      <c r="PG50" s="22">
        <f t="shared" si="273"/>
        <v>0</v>
      </c>
      <c r="PH50" s="22">
        <f t="shared" si="273"/>
        <v>0</v>
      </c>
      <c r="PI50" s="22">
        <f t="shared" si="273"/>
        <v>0</v>
      </c>
      <c r="PJ50" s="22">
        <f t="shared" si="273"/>
        <v>0</v>
      </c>
      <c r="PK50" s="22">
        <f t="shared" si="273"/>
        <v>0</v>
      </c>
      <c r="PL50" s="22">
        <f t="shared" si="273"/>
        <v>0</v>
      </c>
      <c r="PM50" s="22">
        <f t="shared" si="273"/>
        <v>0</v>
      </c>
      <c r="PN50" s="22">
        <f t="shared" si="273"/>
        <v>0</v>
      </c>
      <c r="PO50" s="22">
        <f t="shared" si="273"/>
        <v>0</v>
      </c>
      <c r="PP50" s="22">
        <f t="shared" si="273"/>
        <v>0</v>
      </c>
      <c r="PQ50" s="22">
        <f t="shared" si="273"/>
        <v>0</v>
      </c>
      <c r="PR50" s="22">
        <f t="shared" si="273"/>
        <v>0</v>
      </c>
      <c r="PS50" s="22">
        <f t="shared" si="273"/>
        <v>0</v>
      </c>
      <c r="PT50" s="22">
        <f t="shared" si="273"/>
        <v>0</v>
      </c>
      <c r="PU50" s="22">
        <f t="shared" si="273"/>
        <v>0</v>
      </c>
      <c r="PV50" s="22">
        <f t="shared" si="273"/>
        <v>0</v>
      </c>
      <c r="PW50" s="22">
        <f t="shared" si="273"/>
        <v>0</v>
      </c>
      <c r="PX50" s="22">
        <f t="shared" si="273"/>
        <v>0</v>
      </c>
      <c r="PY50" s="22">
        <f t="shared" si="273"/>
        <v>0</v>
      </c>
      <c r="PZ50" s="22">
        <f t="shared" si="273"/>
        <v>0</v>
      </c>
      <c r="QA50" s="22">
        <f t="shared" si="273"/>
        <v>0</v>
      </c>
      <c r="QB50" s="22">
        <f t="shared" si="273"/>
        <v>0</v>
      </c>
      <c r="QC50" s="22">
        <f t="shared" si="273"/>
        <v>0</v>
      </c>
      <c r="QD50" s="22">
        <f t="shared" si="273"/>
        <v>0</v>
      </c>
      <c r="QE50" s="22">
        <f t="shared" si="273"/>
        <v>0</v>
      </c>
      <c r="QF50" s="22">
        <f t="shared" si="273"/>
        <v>0</v>
      </c>
      <c r="QG50" s="22">
        <f t="shared" si="273"/>
        <v>0</v>
      </c>
      <c r="QH50" s="22">
        <f t="shared" si="273"/>
        <v>0</v>
      </c>
      <c r="QI50" s="22">
        <f t="shared" si="273"/>
        <v>0</v>
      </c>
      <c r="QJ50" s="22">
        <f t="shared" si="273"/>
        <v>0</v>
      </c>
      <c r="QK50" s="22">
        <f t="shared" si="273"/>
        <v>0</v>
      </c>
      <c r="QL50" s="22">
        <f t="shared" si="273"/>
        <v>0</v>
      </c>
      <c r="QM50" s="22">
        <f t="shared" ref="QM50:SX50" si="274">$E$50*(QM35-QM38)</f>
        <v>0</v>
      </c>
      <c r="QN50" s="22">
        <f t="shared" si="274"/>
        <v>0</v>
      </c>
      <c r="QO50" s="22">
        <f t="shared" si="274"/>
        <v>0</v>
      </c>
      <c r="QP50" s="22">
        <f t="shared" si="274"/>
        <v>0</v>
      </c>
      <c r="QQ50" s="22">
        <f t="shared" si="274"/>
        <v>0</v>
      </c>
      <c r="QR50" s="22">
        <f t="shared" si="274"/>
        <v>0</v>
      </c>
      <c r="QS50" s="22">
        <f t="shared" si="274"/>
        <v>0</v>
      </c>
      <c r="QT50" s="22">
        <f t="shared" si="274"/>
        <v>0</v>
      </c>
      <c r="QU50" s="22">
        <f t="shared" si="274"/>
        <v>0</v>
      </c>
      <c r="QV50" s="22">
        <f t="shared" si="274"/>
        <v>0</v>
      </c>
      <c r="QW50" s="22">
        <f t="shared" si="274"/>
        <v>0</v>
      </c>
      <c r="QX50" s="22">
        <f t="shared" si="274"/>
        <v>0</v>
      </c>
      <c r="QY50" s="22">
        <f t="shared" si="274"/>
        <v>0</v>
      </c>
      <c r="QZ50" s="22">
        <f t="shared" si="274"/>
        <v>0</v>
      </c>
      <c r="RA50" s="22">
        <f t="shared" si="274"/>
        <v>0</v>
      </c>
      <c r="RB50" s="22">
        <f t="shared" si="274"/>
        <v>0</v>
      </c>
      <c r="RC50" s="22">
        <f t="shared" si="274"/>
        <v>0</v>
      </c>
      <c r="RD50" s="22">
        <f t="shared" si="274"/>
        <v>0</v>
      </c>
      <c r="RE50" s="22">
        <f t="shared" si="274"/>
        <v>0</v>
      </c>
      <c r="RF50" s="22">
        <f t="shared" si="274"/>
        <v>0</v>
      </c>
      <c r="RG50" s="22">
        <f t="shared" si="274"/>
        <v>0</v>
      </c>
      <c r="RH50" s="22">
        <f t="shared" si="274"/>
        <v>0</v>
      </c>
      <c r="RI50" s="22">
        <f t="shared" si="274"/>
        <v>0</v>
      </c>
      <c r="RJ50" s="22">
        <f t="shared" si="274"/>
        <v>0</v>
      </c>
      <c r="RK50" s="22">
        <f t="shared" si="274"/>
        <v>0</v>
      </c>
      <c r="RL50" s="22">
        <f t="shared" si="274"/>
        <v>0</v>
      </c>
      <c r="RM50" s="22">
        <f t="shared" si="274"/>
        <v>0</v>
      </c>
      <c r="RN50" s="22">
        <f t="shared" si="274"/>
        <v>0</v>
      </c>
      <c r="RO50" s="22">
        <f t="shared" si="274"/>
        <v>0</v>
      </c>
      <c r="RP50" s="22">
        <f t="shared" si="274"/>
        <v>0</v>
      </c>
      <c r="RQ50" s="22">
        <f t="shared" si="274"/>
        <v>0</v>
      </c>
      <c r="RR50" s="22">
        <f t="shared" si="274"/>
        <v>0</v>
      </c>
      <c r="RS50" s="22">
        <f t="shared" si="274"/>
        <v>0</v>
      </c>
      <c r="RT50" s="22">
        <f t="shared" si="274"/>
        <v>0</v>
      </c>
      <c r="RU50" s="22">
        <f t="shared" si="274"/>
        <v>0</v>
      </c>
      <c r="RV50" s="22">
        <f t="shared" si="274"/>
        <v>0</v>
      </c>
      <c r="RW50" s="22">
        <f t="shared" si="274"/>
        <v>0</v>
      </c>
      <c r="RX50" s="22">
        <f t="shared" si="274"/>
        <v>0</v>
      </c>
      <c r="RY50" s="22">
        <f t="shared" si="274"/>
        <v>0</v>
      </c>
      <c r="RZ50" s="22">
        <f t="shared" si="274"/>
        <v>0</v>
      </c>
      <c r="SA50" s="22">
        <f t="shared" si="274"/>
        <v>0</v>
      </c>
      <c r="SB50" s="22">
        <f t="shared" si="274"/>
        <v>0</v>
      </c>
      <c r="SC50" s="22">
        <f t="shared" si="274"/>
        <v>0</v>
      </c>
      <c r="SD50" s="22">
        <f t="shared" si="274"/>
        <v>0</v>
      </c>
      <c r="SE50" s="22">
        <f t="shared" si="274"/>
        <v>0</v>
      </c>
      <c r="SF50" s="22">
        <f t="shared" si="274"/>
        <v>0</v>
      </c>
      <c r="SG50" s="22">
        <f t="shared" si="274"/>
        <v>0</v>
      </c>
      <c r="SH50" s="22">
        <f t="shared" si="274"/>
        <v>0</v>
      </c>
      <c r="SI50" s="22">
        <f t="shared" si="274"/>
        <v>0</v>
      </c>
      <c r="SJ50" s="22">
        <f t="shared" si="274"/>
        <v>0</v>
      </c>
      <c r="SK50" s="22">
        <f t="shared" si="274"/>
        <v>0</v>
      </c>
      <c r="SL50" s="22">
        <f t="shared" si="274"/>
        <v>0</v>
      </c>
      <c r="SM50" s="22">
        <f t="shared" si="274"/>
        <v>0</v>
      </c>
      <c r="SN50" s="22">
        <f t="shared" si="274"/>
        <v>0</v>
      </c>
      <c r="SO50" s="22">
        <f t="shared" si="274"/>
        <v>0</v>
      </c>
      <c r="SP50" s="22">
        <f t="shared" si="274"/>
        <v>0</v>
      </c>
      <c r="SQ50" s="22">
        <f t="shared" si="274"/>
        <v>0</v>
      </c>
      <c r="SR50" s="22">
        <f t="shared" si="274"/>
        <v>0</v>
      </c>
      <c r="SS50" s="22">
        <f t="shared" si="274"/>
        <v>0</v>
      </c>
      <c r="ST50" s="22">
        <f t="shared" si="274"/>
        <v>0</v>
      </c>
      <c r="SU50" s="22">
        <f t="shared" si="274"/>
        <v>0</v>
      </c>
      <c r="SV50" s="22">
        <f t="shared" si="274"/>
        <v>0</v>
      </c>
      <c r="SW50" s="22">
        <f t="shared" si="274"/>
        <v>0</v>
      </c>
      <c r="SX50" s="22">
        <f t="shared" si="274"/>
        <v>0</v>
      </c>
      <c r="SY50" s="22">
        <f t="shared" ref="SY50:VJ50" si="275">$E$50*(SY35-SY38)</f>
        <v>0</v>
      </c>
      <c r="SZ50" s="22">
        <f t="shared" si="275"/>
        <v>0</v>
      </c>
      <c r="TA50" s="22">
        <f t="shared" si="275"/>
        <v>0</v>
      </c>
      <c r="TB50" s="22">
        <f t="shared" si="275"/>
        <v>0</v>
      </c>
      <c r="TC50" s="22">
        <f t="shared" si="275"/>
        <v>0</v>
      </c>
      <c r="TD50" s="22">
        <f t="shared" si="275"/>
        <v>0</v>
      </c>
      <c r="TE50" s="22">
        <f t="shared" si="275"/>
        <v>0</v>
      </c>
      <c r="TF50" s="22">
        <f t="shared" si="275"/>
        <v>0</v>
      </c>
      <c r="TG50" s="22">
        <f t="shared" si="275"/>
        <v>0</v>
      </c>
      <c r="TH50" s="22">
        <f t="shared" si="275"/>
        <v>0</v>
      </c>
      <c r="TI50" s="22">
        <f t="shared" si="275"/>
        <v>0</v>
      </c>
      <c r="TJ50" s="22">
        <f t="shared" si="275"/>
        <v>0</v>
      </c>
      <c r="TK50" s="22">
        <f t="shared" si="275"/>
        <v>0</v>
      </c>
      <c r="TL50" s="22">
        <f t="shared" si="275"/>
        <v>0</v>
      </c>
      <c r="TM50" s="22">
        <f t="shared" si="275"/>
        <v>0</v>
      </c>
      <c r="TN50" s="22">
        <f t="shared" si="275"/>
        <v>0</v>
      </c>
      <c r="TO50" s="22">
        <f t="shared" si="275"/>
        <v>0</v>
      </c>
      <c r="TP50" s="22">
        <f t="shared" si="275"/>
        <v>0</v>
      </c>
      <c r="TQ50" s="22">
        <f t="shared" si="275"/>
        <v>0</v>
      </c>
      <c r="TR50" s="22">
        <f t="shared" si="275"/>
        <v>0</v>
      </c>
      <c r="TS50" s="22">
        <f t="shared" si="275"/>
        <v>0</v>
      </c>
      <c r="TT50" s="22">
        <f t="shared" si="275"/>
        <v>0</v>
      </c>
      <c r="TU50" s="22">
        <f t="shared" si="275"/>
        <v>0</v>
      </c>
      <c r="TV50" s="22">
        <f t="shared" si="275"/>
        <v>0</v>
      </c>
      <c r="TW50" s="22">
        <f t="shared" si="275"/>
        <v>0</v>
      </c>
      <c r="TX50" s="22">
        <f t="shared" si="275"/>
        <v>0</v>
      </c>
      <c r="TY50" s="22">
        <f t="shared" si="275"/>
        <v>0</v>
      </c>
      <c r="TZ50" s="22">
        <f t="shared" si="275"/>
        <v>0</v>
      </c>
      <c r="UA50" s="22">
        <f t="shared" si="275"/>
        <v>0</v>
      </c>
      <c r="UB50" s="22">
        <f t="shared" si="275"/>
        <v>0</v>
      </c>
      <c r="UC50" s="22">
        <f t="shared" si="275"/>
        <v>0</v>
      </c>
      <c r="UD50" s="22">
        <f t="shared" si="275"/>
        <v>0</v>
      </c>
      <c r="UE50" s="22">
        <f t="shared" si="275"/>
        <v>0</v>
      </c>
      <c r="UF50" s="22">
        <f t="shared" si="275"/>
        <v>0</v>
      </c>
      <c r="UG50" s="22">
        <f t="shared" si="275"/>
        <v>0</v>
      </c>
      <c r="UH50" s="22">
        <f t="shared" si="275"/>
        <v>0</v>
      </c>
      <c r="UI50" s="22">
        <f t="shared" si="275"/>
        <v>0</v>
      </c>
      <c r="UJ50" s="22">
        <f t="shared" si="275"/>
        <v>0</v>
      </c>
      <c r="UK50" s="22">
        <f t="shared" si="275"/>
        <v>0</v>
      </c>
      <c r="UL50" s="22">
        <f t="shared" si="275"/>
        <v>0</v>
      </c>
      <c r="UM50" s="22">
        <f t="shared" si="275"/>
        <v>0</v>
      </c>
      <c r="UN50" s="22">
        <f t="shared" si="275"/>
        <v>0</v>
      </c>
      <c r="UO50" s="22">
        <f t="shared" si="275"/>
        <v>0</v>
      </c>
      <c r="UP50" s="22">
        <f t="shared" si="275"/>
        <v>0</v>
      </c>
      <c r="UQ50" s="22">
        <f t="shared" si="275"/>
        <v>0</v>
      </c>
      <c r="UR50" s="22">
        <f t="shared" si="275"/>
        <v>0</v>
      </c>
      <c r="US50" s="22">
        <f t="shared" si="275"/>
        <v>0</v>
      </c>
      <c r="UT50" s="22">
        <f t="shared" si="275"/>
        <v>0</v>
      </c>
      <c r="UU50" s="22">
        <f t="shared" si="275"/>
        <v>0</v>
      </c>
      <c r="UV50" s="22">
        <f t="shared" si="275"/>
        <v>0</v>
      </c>
      <c r="UW50" s="22">
        <f t="shared" si="275"/>
        <v>0</v>
      </c>
      <c r="UX50" s="22">
        <f t="shared" si="275"/>
        <v>0</v>
      </c>
      <c r="UY50" s="22">
        <f t="shared" si="275"/>
        <v>0</v>
      </c>
      <c r="UZ50" s="22">
        <f t="shared" si="275"/>
        <v>0</v>
      </c>
      <c r="VA50" s="22">
        <f t="shared" si="275"/>
        <v>0</v>
      </c>
      <c r="VB50" s="22">
        <f t="shared" si="275"/>
        <v>0</v>
      </c>
      <c r="VC50" s="22">
        <f t="shared" si="275"/>
        <v>0</v>
      </c>
      <c r="VD50" s="22">
        <f t="shared" si="275"/>
        <v>0</v>
      </c>
      <c r="VE50" s="22">
        <f t="shared" si="275"/>
        <v>0</v>
      </c>
      <c r="VF50" s="22">
        <f t="shared" si="275"/>
        <v>0</v>
      </c>
      <c r="VG50" s="22">
        <f t="shared" si="275"/>
        <v>0</v>
      </c>
      <c r="VH50" s="22">
        <f t="shared" si="275"/>
        <v>0</v>
      </c>
      <c r="VI50" s="22">
        <f t="shared" si="275"/>
        <v>0</v>
      </c>
      <c r="VJ50" s="22">
        <f t="shared" si="275"/>
        <v>0</v>
      </c>
      <c r="VK50" s="22">
        <f t="shared" ref="VK50:XV50" si="276">$E$50*(VK35-VK38)</f>
        <v>0</v>
      </c>
      <c r="VL50" s="22">
        <f t="shared" si="276"/>
        <v>0</v>
      </c>
      <c r="VM50" s="22">
        <f t="shared" si="276"/>
        <v>0</v>
      </c>
      <c r="VN50" s="22">
        <f t="shared" si="276"/>
        <v>0</v>
      </c>
      <c r="VO50" s="22">
        <f t="shared" si="276"/>
        <v>0</v>
      </c>
      <c r="VP50" s="22">
        <f t="shared" si="276"/>
        <v>0</v>
      </c>
      <c r="VQ50" s="22">
        <f t="shared" si="276"/>
        <v>0</v>
      </c>
      <c r="VR50" s="22">
        <f t="shared" si="276"/>
        <v>0</v>
      </c>
      <c r="VS50" s="22">
        <f t="shared" si="276"/>
        <v>0</v>
      </c>
      <c r="VT50" s="22">
        <f t="shared" si="276"/>
        <v>0</v>
      </c>
      <c r="VU50" s="22">
        <f t="shared" si="276"/>
        <v>0</v>
      </c>
      <c r="VV50" s="22">
        <f t="shared" si="276"/>
        <v>0</v>
      </c>
      <c r="VW50" s="22">
        <f t="shared" si="276"/>
        <v>0</v>
      </c>
      <c r="VX50" s="22">
        <f t="shared" si="276"/>
        <v>0</v>
      </c>
      <c r="VY50" s="22">
        <f t="shared" si="276"/>
        <v>0</v>
      </c>
      <c r="VZ50" s="22">
        <f t="shared" si="276"/>
        <v>0</v>
      </c>
      <c r="WA50" s="22">
        <f t="shared" si="276"/>
        <v>0</v>
      </c>
      <c r="WB50" s="22">
        <f t="shared" si="276"/>
        <v>0</v>
      </c>
      <c r="WC50" s="22">
        <f t="shared" si="276"/>
        <v>0</v>
      </c>
      <c r="WD50" s="22">
        <f t="shared" si="276"/>
        <v>0</v>
      </c>
      <c r="WE50" s="22">
        <f t="shared" si="276"/>
        <v>0</v>
      </c>
      <c r="WF50" s="22">
        <f t="shared" si="276"/>
        <v>0</v>
      </c>
      <c r="WG50" s="22">
        <f t="shared" si="276"/>
        <v>0</v>
      </c>
      <c r="WH50" s="22">
        <f t="shared" si="276"/>
        <v>0</v>
      </c>
      <c r="WI50" s="22">
        <f t="shared" si="276"/>
        <v>0</v>
      </c>
      <c r="WJ50" s="22">
        <f t="shared" si="276"/>
        <v>0</v>
      </c>
      <c r="WK50" s="22">
        <f t="shared" si="276"/>
        <v>0</v>
      </c>
      <c r="WL50" s="22">
        <f t="shared" si="276"/>
        <v>0</v>
      </c>
      <c r="WM50" s="22">
        <f t="shared" si="276"/>
        <v>0</v>
      </c>
      <c r="WN50" s="22">
        <f t="shared" si="276"/>
        <v>0</v>
      </c>
      <c r="WO50" s="22">
        <f t="shared" si="276"/>
        <v>0</v>
      </c>
      <c r="WP50" s="22">
        <f t="shared" si="276"/>
        <v>0</v>
      </c>
      <c r="WQ50" s="22">
        <f t="shared" si="276"/>
        <v>0</v>
      </c>
      <c r="WR50" s="22">
        <f t="shared" si="276"/>
        <v>0</v>
      </c>
      <c r="WS50" s="22">
        <f t="shared" si="276"/>
        <v>0</v>
      </c>
      <c r="WT50" s="22">
        <f t="shared" si="276"/>
        <v>0</v>
      </c>
      <c r="WU50" s="22">
        <f t="shared" si="276"/>
        <v>0</v>
      </c>
      <c r="WV50" s="22">
        <f t="shared" si="276"/>
        <v>0</v>
      </c>
      <c r="WW50" s="22">
        <f t="shared" si="276"/>
        <v>0</v>
      </c>
      <c r="WX50" s="22">
        <f t="shared" si="276"/>
        <v>0</v>
      </c>
      <c r="WY50" s="22">
        <f t="shared" si="276"/>
        <v>0</v>
      </c>
      <c r="WZ50" s="22">
        <f t="shared" si="276"/>
        <v>0</v>
      </c>
      <c r="XA50" s="22">
        <f t="shared" si="276"/>
        <v>0</v>
      </c>
      <c r="XB50" s="22">
        <f t="shared" si="276"/>
        <v>0</v>
      </c>
      <c r="XC50" s="22">
        <f t="shared" si="276"/>
        <v>0</v>
      </c>
      <c r="XD50" s="22">
        <f t="shared" si="276"/>
        <v>0</v>
      </c>
      <c r="XE50" s="22">
        <f t="shared" si="276"/>
        <v>0</v>
      </c>
      <c r="XF50" s="22">
        <f t="shared" si="276"/>
        <v>0</v>
      </c>
      <c r="XG50" s="22">
        <f t="shared" si="276"/>
        <v>0</v>
      </c>
      <c r="XH50" s="22">
        <f t="shared" si="276"/>
        <v>0</v>
      </c>
      <c r="XI50" s="22">
        <f t="shared" si="276"/>
        <v>0</v>
      </c>
      <c r="XJ50" s="22">
        <f t="shared" si="276"/>
        <v>0</v>
      </c>
      <c r="XK50" s="22">
        <f t="shared" si="276"/>
        <v>0</v>
      </c>
      <c r="XL50" s="22">
        <f t="shared" si="276"/>
        <v>0</v>
      </c>
      <c r="XM50" s="22">
        <f t="shared" si="276"/>
        <v>0</v>
      </c>
      <c r="XN50" s="22">
        <f t="shared" si="276"/>
        <v>0</v>
      </c>
      <c r="XO50" s="22">
        <f t="shared" si="276"/>
        <v>0</v>
      </c>
      <c r="XP50" s="22">
        <f t="shared" si="276"/>
        <v>0</v>
      </c>
      <c r="XQ50" s="22">
        <f t="shared" si="276"/>
        <v>0</v>
      </c>
      <c r="XR50" s="22">
        <f t="shared" si="276"/>
        <v>0</v>
      </c>
      <c r="XS50" s="22">
        <f t="shared" si="276"/>
        <v>0</v>
      </c>
      <c r="XT50" s="22">
        <f t="shared" si="276"/>
        <v>0</v>
      </c>
      <c r="XU50" s="22">
        <f t="shared" si="276"/>
        <v>0</v>
      </c>
      <c r="XV50" s="22">
        <f t="shared" si="276"/>
        <v>0</v>
      </c>
      <c r="XW50" s="22">
        <f t="shared" ref="XW50:AAH50" si="277">$E$50*(XW35-XW38)</f>
        <v>0</v>
      </c>
      <c r="XX50" s="22">
        <f t="shared" si="277"/>
        <v>0</v>
      </c>
      <c r="XY50" s="22">
        <f t="shared" si="277"/>
        <v>0</v>
      </c>
      <c r="XZ50" s="22">
        <f t="shared" si="277"/>
        <v>0</v>
      </c>
      <c r="YA50" s="22">
        <f t="shared" si="277"/>
        <v>0</v>
      </c>
      <c r="YB50" s="22">
        <f t="shared" si="277"/>
        <v>0</v>
      </c>
      <c r="YC50" s="22">
        <f t="shared" si="277"/>
        <v>0</v>
      </c>
      <c r="YD50" s="22">
        <f t="shared" si="277"/>
        <v>0</v>
      </c>
      <c r="YE50" s="22">
        <f t="shared" si="277"/>
        <v>0</v>
      </c>
      <c r="YF50" s="22">
        <f t="shared" si="277"/>
        <v>0</v>
      </c>
      <c r="YG50" s="22">
        <f t="shared" si="277"/>
        <v>0</v>
      </c>
      <c r="YH50" s="22">
        <f t="shared" si="277"/>
        <v>0</v>
      </c>
      <c r="YI50" s="22">
        <f t="shared" si="277"/>
        <v>0</v>
      </c>
      <c r="YJ50" s="22">
        <f t="shared" si="277"/>
        <v>0</v>
      </c>
      <c r="YK50" s="22">
        <f t="shared" si="277"/>
        <v>0</v>
      </c>
      <c r="YL50" s="22">
        <f t="shared" si="277"/>
        <v>0</v>
      </c>
      <c r="YM50" s="22">
        <f t="shared" si="277"/>
        <v>0</v>
      </c>
      <c r="YN50" s="22">
        <f t="shared" si="277"/>
        <v>0</v>
      </c>
      <c r="YO50" s="22">
        <f t="shared" si="277"/>
        <v>0</v>
      </c>
      <c r="YP50" s="22">
        <f t="shared" si="277"/>
        <v>0</v>
      </c>
      <c r="YQ50" s="22">
        <f t="shared" si="277"/>
        <v>0</v>
      </c>
      <c r="YR50" s="22">
        <f t="shared" si="277"/>
        <v>0</v>
      </c>
      <c r="YS50" s="22">
        <f t="shared" si="277"/>
        <v>0</v>
      </c>
      <c r="YT50" s="22">
        <f t="shared" si="277"/>
        <v>0</v>
      </c>
      <c r="YU50" s="22">
        <f t="shared" si="277"/>
        <v>0</v>
      </c>
      <c r="YV50" s="22">
        <f t="shared" si="277"/>
        <v>0</v>
      </c>
      <c r="YW50" s="22">
        <f t="shared" si="277"/>
        <v>0</v>
      </c>
      <c r="YX50" s="22">
        <f t="shared" si="277"/>
        <v>0</v>
      </c>
      <c r="YY50" s="22">
        <f t="shared" si="277"/>
        <v>0</v>
      </c>
      <c r="YZ50" s="22">
        <f t="shared" si="277"/>
        <v>0</v>
      </c>
      <c r="ZA50" s="22">
        <f t="shared" si="277"/>
        <v>0</v>
      </c>
      <c r="ZB50" s="22">
        <f t="shared" si="277"/>
        <v>0</v>
      </c>
      <c r="ZC50" s="22">
        <f t="shared" si="277"/>
        <v>0</v>
      </c>
      <c r="ZD50" s="22">
        <f t="shared" si="277"/>
        <v>0</v>
      </c>
      <c r="ZE50" s="22">
        <f t="shared" si="277"/>
        <v>0</v>
      </c>
      <c r="ZF50" s="22">
        <f t="shared" si="277"/>
        <v>0</v>
      </c>
      <c r="ZG50" s="22">
        <f t="shared" si="277"/>
        <v>0</v>
      </c>
      <c r="ZH50" s="22">
        <f t="shared" si="277"/>
        <v>0</v>
      </c>
      <c r="ZI50" s="22">
        <f t="shared" si="277"/>
        <v>0</v>
      </c>
      <c r="ZJ50" s="22">
        <f t="shared" si="277"/>
        <v>0</v>
      </c>
      <c r="ZK50" s="22">
        <f t="shared" si="277"/>
        <v>0</v>
      </c>
      <c r="ZL50" s="22">
        <f t="shared" si="277"/>
        <v>0</v>
      </c>
      <c r="ZM50" s="22">
        <f t="shared" si="277"/>
        <v>0</v>
      </c>
      <c r="ZN50" s="22">
        <f t="shared" si="277"/>
        <v>0</v>
      </c>
      <c r="ZO50" s="22">
        <f t="shared" si="277"/>
        <v>0</v>
      </c>
      <c r="ZP50" s="22">
        <f t="shared" si="277"/>
        <v>0</v>
      </c>
      <c r="ZQ50" s="22">
        <f t="shared" si="277"/>
        <v>0</v>
      </c>
      <c r="ZR50" s="22">
        <f t="shared" si="277"/>
        <v>0</v>
      </c>
      <c r="ZS50" s="22">
        <f t="shared" si="277"/>
        <v>0</v>
      </c>
      <c r="ZT50" s="22">
        <f t="shared" si="277"/>
        <v>0</v>
      </c>
      <c r="ZU50" s="22">
        <f t="shared" si="277"/>
        <v>0</v>
      </c>
      <c r="ZV50" s="22">
        <f t="shared" si="277"/>
        <v>0</v>
      </c>
      <c r="ZW50" s="22">
        <f t="shared" si="277"/>
        <v>0</v>
      </c>
      <c r="ZX50" s="22">
        <f t="shared" si="277"/>
        <v>0</v>
      </c>
      <c r="ZY50" s="22">
        <f t="shared" si="277"/>
        <v>0</v>
      </c>
      <c r="ZZ50" s="22">
        <f t="shared" si="277"/>
        <v>0</v>
      </c>
      <c r="AAA50" s="22">
        <f t="shared" si="277"/>
        <v>0</v>
      </c>
      <c r="AAB50" s="22">
        <f t="shared" si="277"/>
        <v>0</v>
      </c>
      <c r="AAC50" s="22">
        <f t="shared" si="277"/>
        <v>0</v>
      </c>
      <c r="AAD50" s="22">
        <f t="shared" si="277"/>
        <v>0</v>
      </c>
      <c r="AAE50" s="22">
        <f t="shared" si="277"/>
        <v>0</v>
      </c>
      <c r="AAF50" s="22">
        <f t="shared" si="277"/>
        <v>0</v>
      </c>
      <c r="AAG50" s="22">
        <f t="shared" si="277"/>
        <v>0</v>
      </c>
      <c r="AAH50" s="22">
        <f t="shared" si="277"/>
        <v>0</v>
      </c>
      <c r="AAI50" s="22">
        <f t="shared" ref="AAI50:ABI50" si="278">$E$50*(AAI35-AAI38)</f>
        <v>0</v>
      </c>
      <c r="AAJ50" s="22">
        <f t="shared" si="278"/>
        <v>0</v>
      </c>
      <c r="AAK50" s="22">
        <f t="shared" si="278"/>
        <v>0</v>
      </c>
      <c r="AAL50" s="22">
        <f t="shared" si="278"/>
        <v>0</v>
      </c>
      <c r="AAM50" s="22">
        <f t="shared" si="278"/>
        <v>0</v>
      </c>
      <c r="AAN50" s="22">
        <f t="shared" si="278"/>
        <v>0</v>
      </c>
      <c r="AAO50" s="22">
        <f t="shared" si="278"/>
        <v>0</v>
      </c>
      <c r="AAP50" s="22">
        <f t="shared" si="278"/>
        <v>0</v>
      </c>
      <c r="AAQ50" s="22">
        <f t="shared" si="278"/>
        <v>0</v>
      </c>
      <c r="AAR50" s="22">
        <f t="shared" si="278"/>
        <v>0</v>
      </c>
      <c r="AAS50" s="22">
        <f t="shared" si="278"/>
        <v>0</v>
      </c>
      <c r="AAT50" s="22">
        <f t="shared" si="278"/>
        <v>0</v>
      </c>
      <c r="AAU50" s="22">
        <f t="shared" si="278"/>
        <v>0</v>
      </c>
      <c r="AAV50" s="22">
        <f t="shared" si="278"/>
        <v>0</v>
      </c>
      <c r="AAW50" s="22">
        <f t="shared" si="278"/>
        <v>0</v>
      </c>
      <c r="AAX50" s="22">
        <f t="shared" si="278"/>
        <v>0</v>
      </c>
      <c r="AAY50" s="22">
        <f t="shared" si="278"/>
        <v>0</v>
      </c>
      <c r="AAZ50" s="22">
        <f t="shared" si="278"/>
        <v>0</v>
      </c>
      <c r="ABA50" s="22">
        <f t="shared" si="278"/>
        <v>0</v>
      </c>
      <c r="ABB50" s="22">
        <f t="shared" si="278"/>
        <v>0</v>
      </c>
      <c r="ABC50" s="22">
        <f t="shared" si="278"/>
        <v>0</v>
      </c>
      <c r="ABD50" s="22">
        <f t="shared" si="278"/>
        <v>0</v>
      </c>
      <c r="ABE50" s="22">
        <f t="shared" si="278"/>
        <v>0</v>
      </c>
      <c r="ABF50" s="22">
        <f t="shared" si="278"/>
        <v>0</v>
      </c>
      <c r="ABG50" s="22">
        <f t="shared" si="278"/>
        <v>0</v>
      </c>
      <c r="ABH50" s="22">
        <f t="shared" si="278"/>
        <v>0</v>
      </c>
      <c r="ABI50" s="22">
        <f t="shared" si="278"/>
        <v>0</v>
      </c>
    </row>
    <row r="51" spans="1:737" ht="12.95" customHeight="1" x14ac:dyDescent="0.25">
      <c r="B51" s="24"/>
      <c r="C51" s="19">
        <f t="shared" si="146"/>
        <v>165838.53000000038</v>
      </c>
      <c r="D51" s="20" t="s">
        <v>18</v>
      </c>
      <c r="E51" s="21">
        <v>26.970000000000002</v>
      </c>
      <c r="F51" s="22">
        <f>$E$51*F35</f>
        <v>431.52000000000004</v>
      </c>
      <c r="G51" s="22">
        <f t="shared" ref="G51:BR51" si="279">$E$51*G35</f>
        <v>431.52000000000004</v>
      </c>
      <c r="H51" s="23">
        <f t="shared" si="279"/>
        <v>431.52000000000004</v>
      </c>
      <c r="I51" s="22">
        <f t="shared" si="279"/>
        <v>431.52000000000004</v>
      </c>
      <c r="J51" s="22">
        <f t="shared" si="279"/>
        <v>431.52000000000004</v>
      </c>
      <c r="K51" s="22">
        <f t="shared" si="279"/>
        <v>431.52000000000004</v>
      </c>
      <c r="L51" s="22">
        <f t="shared" si="279"/>
        <v>431.52000000000004</v>
      </c>
      <c r="M51" s="22">
        <f t="shared" si="279"/>
        <v>431.52000000000004</v>
      </c>
      <c r="N51" s="22">
        <f t="shared" si="279"/>
        <v>431.52000000000004</v>
      </c>
      <c r="O51" s="22">
        <f t="shared" si="279"/>
        <v>431.52000000000004</v>
      </c>
      <c r="P51" s="22">
        <f t="shared" si="279"/>
        <v>431.52000000000004</v>
      </c>
      <c r="Q51" s="22">
        <f t="shared" si="279"/>
        <v>431.52000000000004</v>
      </c>
      <c r="R51" s="22">
        <f t="shared" si="279"/>
        <v>431.52000000000004</v>
      </c>
      <c r="S51" s="22">
        <f t="shared" si="279"/>
        <v>431.52000000000004</v>
      </c>
      <c r="T51" s="22">
        <f t="shared" si="279"/>
        <v>431.52000000000004</v>
      </c>
      <c r="U51" s="22">
        <f t="shared" si="279"/>
        <v>431.52000000000004</v>
      </c>
      <c r="V51" s="22">
        <f t="shared" si="279"/>
        <v>431.52000000000004</v>
      </c>
      <c r="W51" s="22">
        <f t="shared" si="279"/>
        <v>431.52000000000004</v>
      </c>
      <c r="X51" s="22">
        <f t="shared" si="279"/>
        <v>431.52000000000004</v>
      </c>
      <c r="Y51" s="22">
        <f t="shared" si="279"/>
        <v>431.52000000000004</v>
      </c>
      <c r="Z51" s="22">
        <f t="shared" si="279"/>
        <v>431.52000000000004</v>
      </c>
      <c r="AA51" s="22">
        <f t="shared" si="279"/>
        <v>431.52000000000004</v>
      </c>
      <c r="AB51" s="22">
        <f t="shared" si="279"/>
        <v>431.52000000000004</v>
      </c>
      <c r="AC51" s="22">
        <f t="shared" si="279"/>
        <v>431.52000000000004</v>
      </c>
      <c r="AD51" s="22">
        <f t="shared" si="279"/>
        <v>431.52000000000004</v>
      </c>
      <c r="AE51" s="22">
        <f t="shared" si="279"/>
        <v>431.52000000000004</v>
      </c>
      <c r="AF51" s="22">
        <f t="shared" si="279"/>
        <v>431.52000000000004</v>
      </c>
      <c r="AG51" s="22">
        <f t="shared" si="279"/>
        <v>431.52000000000004</v>
      </c>
      <c r="AH51" s="22">
        <f t="shared" si="279"/>
        <v>593.34</v>
      </c>
      <c r="AI51" s="22">
        <f t="shared" si="279"/>
        <v>593.34</v>
      </c>
      <c r="AJ51" s="22">
        <f t="shared" si="279"/>
        <v>593.34</v>
      </c>
      <c r="AK51" s="23">
        <f t="shared" si="279"/>
        <v>593.34</v>
      </c>
      <c r="AL51" s="22">
        <f t="shared" si="279"/>
        <v>593.34</v>
      </c>
      <c r="AM51" s="22">
        <f t="shared" si="279"/>
        <v>593.34</v>
      </c>
      <c r="AN51" s="22">
        <f t="shared" si="279"/>
        <v>593.34</v>
      </c>
      <c r="AO51" s="22">
        <f t="shared" si="279"/>
        <v>593.34</v>
      </c>
      <c r="AP51" s="22">
        <f t="shared" si="279"/>
        <v>593.34</v>
      </c>
      <c r="AQ51" s="22">
        <f t="shared" si="279"/>
        <v>593.34</v>
      </c>
      <c r="AR51" s="22">
        <f t="shared" si="279"/>
        <v>593.34</v>
      </c>
      <c r="AS51" s="22">
        <f t="shared" si="279"/>
        <v>593.34</v>
      </c>
      <c r="AT51" s="22">
        <f t="shared" si="279"/>
        <v>593.34</v>
      </c>
      <c r="AU51" s="22">
        <f t="shared" si="279"/>
        <v>593.34</v>
      </c>
      <c r="AV51" s="22">
        <f t="shared" si="279"/>
        <v>593.34</v>
      </c>
      <c r="AW51" s="22">
        <f t="shared" si="279"/>
        <v>593.34</v>
      </c>
      <c r="AX51" s="22">
        <f t="shared" si="279"/>
        <v>593.34</v>
      </c>
      <c r="AY51" s="22">
        <f t="shared" si="279"/>
        <v>593.34</v>
      </c>
      <c r="AZ51" s="22">
        <f t="shared" si="279"/>
        <v>593.34</v>
      </c>
      <c r="BA51" s="22">
        <f t="shared" si="279"/>
        <v>593.34</v>
      </c>
      <c r="BB51" s="22">
        <f t="shared" si="279"/>
        <v>593.34</v>
      </c>
      <c r="BC51" s="22">
        <f t="shared" si="279"/>
        <v>1402.44</v>
      </c>
      <c r="BD51" s="22">
        <f t="shared" si="279"/>
        <v>1402.44</v>
      </c>
      <c r="BE51" s="22">
        <f t="shared" si="279"/>
        <v>1402.44</v>
      </c>
      <c r="BF51" s="22">
        <f t="shared" si="279"/>
        <v>1402.44</v>
      </c>
      <c r="BG51" s="22">
        <f t="shared" si="279"/>
        <v>1402.44</v>
      </c>
      <c r="BH51" s="22">
        <f t="shared" si="279"/>
        <v>1402.44</v>
      </c>
      <c r="BI51" s="22">
        <f t="shared" si="279"/>
        <v>1402.44</v>
      </c>
      <c r="BJ51" s="22">
        <f t="shared" si="279"/>
        <v>1402.44</v>
      </c>
      <c r="BK51" s="22">
        <f t="shared" si="279"/>
        <v>1402.44</v>
      </c>
      <c r="BL51" s="22">
        <f t="shared" si="279"/>
        <v>1402.44</v>
      </c>
      <c r="BM51" s="22">
        <f t="shared" si="279"/>
        <v>1402.44</v>
      </c>
      <c r="BN51" s="22">
        <f t="shared" si="279"/>
        <v>1402.44</v>
      </c>
      <c r="BO51" s="22">
        <f t="shared" si="279"/>
        <v>1402.44</v>
      </c>
      <c r="BP51" s="22">
        <f t="shared" si="279"/>
        <v>1402.44</v>
      </c>
      <c r="BQ51" s="22">
        <f t="shared" si="279"/>
        <v>1402.44</v>
      </c>
      <c r="BR51" s="22">
        <f t="shared" si="279"/>
        <v>1402.44</v>
      </c>
      <c r="BS51" s="22">
        <f t="shared" ref="BS51:ED51" si="280">$E$51*BS35</f>
        <v>1402.44</v>
      </c>
      <c r="BT51" s="22">
        <f t="shared" si="280"/>
        <v>1402.44</v>
      </c>
      <c r="BU51" s="22">
        <f t="shared" si="280"/>
        <v>1402.44</v>
      </c>
      <c r="BV51" s="22">
        <f t="shared" si="280"/>
        <v>1402.44</v>
      </c>
      <c r="BW51" s="22">
        <f t="shared" si="280"/>
        <v>1402.44</v>
      </c>
      <c r="BX51" s="22">
        <f t="shared" si="280"/>
        <v>1402.44</v>
      </c>
      <c r="BY51" s="22">
        <f t="shared" si="280"/>
        <v>1402.44</v>
      </c>
      <c r="BZ51" s="22">
        <f t="shared" si="280"/>
        <v>1402.44</v>
      </c>
      <c r="CA51" s="22">
        <f t="shared" si="280"/>
        <v>1402.44</v>
      </c>
      <c r="CB51" s="22">
        <f t="shared" si="280"/>
        <v>1402.44</v>
      </c>
      <c r="CC51" s="22">
        <f t="shared" si="280"/>
        <v>1402.44</v>
      </c>
      <c r="CD51" s="22">
        <f t="shared" si="280"/>
        <v>1402.44</v>
      </c>
      <c r="CE51" s="22">
        <f t="shared" si="280"/>
        <v>1402.44</v>
      </c>
      <c r="CF51" s="22">
        <f t="shared" si="280"/>
        <v>1402.44</v>
      </c>
      <c r="CG51" s="22">
        <f t="shared" si="280"/>
        <v>1402.44</v>
      </c>
      <c r="CH51" s="22">
        <f t="shared" si="280"/>
        <v>1402.44</v>
      </c>
      <c r="CI51" s="22">
        <f t="shared" si="280"/>
        <v>1402.44</v>
      </c>
      <c r="CJ51" s="22">
        <f t="shared" si="280"/>
        <v>1402.44</v>
      </c>
      <c r="CK51" s="22">
        <f t="shared" si="280"/>
        <v>1402.44</v>
      </c>
      <c r="CL51" s="22">
        <f t="shared" si="280"/>
        <v>1402.44</v>
      </c>
      <c r="CM51" s="22">
        <f t="shared" si="280"/>
        <v>1402.44</v>
      </c>
      <c r="CN51" s="22">
        <f t="shared" si="280"/>
        <v>1402.44</v>
      </c>
      <c r="CO51" s="22">
        <f t="shared" si="280"/>
        <v>1402.44</v>
      </c>
      <c r="CP51" s="22">
        <f t="shared" si="280"/>
        <v>1402.44</v>
      </c>
      <c r="CQ51" s="22">
        <f t="shared" si="280"/>
        <v>1402.44</v>
      </c>
      <c r="CR51" s="22">
        <f t="shared" si="280"/>
        <v>1402.44</v>
      </c>
      <c r="CS51" s="22">
        <f t="shared" si="280"/>
        <v>1591.2300000000002</v>
      </c>
      <c r="CT51" s="22">
        <f t="shared" si="280"/>
        <v>1591.2300000000002</v>
      </c>
      <c r="CU51" s="22">
        <f t="shared" si="280"/>
        <v>1591.2300000000002</v>
      </c>
      <c r="CV51" s="22">
        <f t="shared" si="280"/>
        <v>1591.2300000000002</v>
      </c>
      <c r="CW51" s="22">
        <f t="shared" si="280"/>
        <v>1591.2300000000002</v>
      </c>
      <c r="CX51" s="22">
        <f t="shared" si="280"/>
        <v>1591.2300000000002</v>
      </c>
      <c r="CY51" s="22">
        <f t="shared" si="280"/>
        <v>1591.2300000000002</v>
      </c>
      <c r="CZ51" s="22">
        <f t="shared" si="280"/>
        <v>1591.2300000000002</v>
      </c>
      <c r="DA51" s="22">
        <f t="shared" si="280"/>
        <v>1591.2300000000002</v>
      </c>
      <c r="DB51" s="22">
        <f t="shared" si="280"/>
        <v>1591.2300000000002</v>
      </c>
      <c r="DC51" s="22">
        <f t="shared" si="280"/>
        <v>1591.2300000000002</v>
      </c>
      <c r="DD51" s="22">
        <f t="shared" si="280"/>
        <v>1591.2300000000002</v>
      </c>
      <c r="DE51" s="22">
        <f t="shared" si="280"/>
        <v>1591.2300000000002</v>
      </c>
      <c r="DF51" s="22">
        <f t="shared" si="280"/>
        <v>1591.2300000000002</v>
      </c>
      <c r="DG51" s="22">
        <f t="shared" si="280"/>
        <v>1456.38</v>
      </c>
      <c r="DH51" s="22">
        <f t="shared" si="280"/>
        <v>1456.38</v>
      </c>
      <c r="DI51" s="22">
        <f t="shared" si="280"/>
        <v>1456.38</v>
      </c>
      <c r="DJ51" s="22">
        <f t="shared" si="280"/>
        <v>1456.38</v>
      </c>
      <c r="DK51" s="22">
        <f t="shared" si="280"/>
        <v>1456.38</v>
      </c>
      <c r="DL51" s="22">
        <f t="shared" si="280"/>
        <v>1456.38</v>
      </c>
      <c r="DM51" s="22">
        <f t="shared" si="280"/>
        <v>1456.38</v>
      </c>
      <c r="DN51" s="22">
        <f t="shared" si="280"/>
        <v>1456.38</v>
      </c>
      <c r="DO51" s="22">
        <f t="shared" si="280"/>
        <v>1456.38</v>
      </c>
      <c r="DP51" s="22">
        <f t="shared" si="280"/>
        <v>1456.38</v>
      </c>
      <c r="DQ51" s="22">
        <f t="shared" si="280"/>
        <v>1456.38</v>
      </c>
      <c r="DR51" s="22">
        <f t="shared" si="280"/>
        <v>1456.38</v>
      </c>
      <c r="DS51" s="22">
        <f t="shared" si="280"/>
        <v>1456.38</v>
      </c>
      <c r="DT51" s="22">
        <f t="shared" si="280"/>
        <v>1456.38</v>
      </c>
      <c r="DU51" s="22">
        <f t="shared" si="280"/>
        <v>1456.38</v>
      </c>
      <c r="DV51" s="22">
        <f t="shared" si="280"/>
        <v>1456.38</v>
      </c>
      <c r="DW51" s="22">
        <f t="shared" si="280"/>
        <v>1456.38</v>
      </c>
      <c r="DX51" s="22">
        <f t="shared" si="280"/>
        <v>1456.38</v>
      </c>
      <c r="DY51" s="22">
        <f t="shared" si="280"/>
        <v>1456.38</v>
      </c>
      <c r="DZ51" s="22">
        <f t="shared" si="280"/>
        <v>1456.38</v>
      </c>
      <c r="EA51" s="22">
        <f t="shared" si="280"/>
        <v>1456.38</v>
      </c>
      <c r="EB51" s="22">
        <f t="shared" si="280"/>
        <v>1456.38</v>
      </c>
      <c r="EC51" s="22">
        <f t="shared" si="280"/>
        <v>1456.38</v>
      </c>
      <c r="ED51" s="22">
        <f t="shared" si="280"/>
        <v>1456.38</v>
      </c>
      <c r="EE51" s="22">
        <f t="shared" ref="EE51:GP51" si="281">$E$51*EE35</f>
        <v>1456.38</v>
      </c>
      <c r="EF51" s="22">
        <f t="shared" si="281"/>
        <v>1456.38</v>
      </c>
      <c r="EG51" s="22">
        <f t="shared" si="281"/>
        <v>1456.38</v>
      </c>
      <c r="EH51" s="22">
        <f t="shared" si="281"/>
        <v>1456.38</v>
      </c>
      <c r="EI51" s="22">
        <f t="shared" si="281"/>
        <v>1456.38</v>
      </c>
      <c r="EJ51" s="22">
        <f t="shared" si="281"/>
        <v>1456.38</v>
      </c>
      <c r="EK51" s="22">
        <f t="shared" si="281"/>
        <v>1456.38</v>
      </c>
      <c r="EL51" s="22">
        <f t="shared" si="281"/>
        <v>1456.38</v>
      </c>
      <c r="EM51" s="22">
        <f t="shared" si="281"/>
        <v>1456.38</v>
      </c>
      <c r="EN51" s="22">
        <f t="shared" si="281"/>
        <v>1456.38</v>
      </c>
      <c r="EO51" s="22">
        <f t="shared" si="281"/>
        <v>1456.38</v>
      </c>
      <c r="EP51" s="22">
        <f t="shared" si="281"/>
        <v>1456.38</v>
      </c>
      <c r="EQ51" s="22">
        <f t="shared" si="281"/>
        <v>1456.38</v>
      </c>
      <c r="ER51" s="22">
        <f t="shared" si="281"/>
        <v>997.8900000000001</v>
      </c>
      <c r="ES51" s="22">
        <f t="shared" si="281"/>
        <v>997.8900000000001</v>
      </c>
      <c r="ET51" s="22">
        <f t="shared" si="281"/>
        <v>997.8900000000001</v>
      </c>
      <c r="EU51" s="22">
        <f t="shared" si="281"/>
        <v>539.40000000000009</v>
      </c>
      <c r="EV51" s="22">
        <f t="shared" si="281"/>
        <v>80.910000000000011</v>
      </c>
      <c r="EW51" s="22">
        <f t="shared" si="281"/>
        <v>350.61</v>
      </c>
      <c r="EX51" s="22">
        <f t="shared" si="281"/>
        <v>350.61</v>
      </c>
      <c r="EY51" s="22">
        <f t="shared" si="281"/>
        <v>350.61</v>
      </c>
      <c r="EZ51" s="22">
        <f t="shared" si="281"/>
        <v>350.61</v>
      </c>
      <c r="FA51" s="22">
        <f t="shared" si="281"/>
        <v>350.61</v>
      </c>
      <c r="FB51" s="22">
        <f t="shared" si="281"/>
        <v>-107.88000000000001</v>
      </c>
      <c r="FC51" s="22">
        <f t="shared" si="281"/>
        <v>-566.37</v>
      </c>
      <c r="FD51" s="22">
        <f t="shared" si="281"/>
        <v>296.67</v>
      </c>
      <c r="FE51" s="22">
        <f t="shared" si="281"/>
        <v>296.67</v>
      </c>
      <c r="FF51" s="22">
        <f t="shared" si="281"/>
        <v>296.67</v>
      </c>
      <c r="FG51" s="22">
        <f t="shared" si="281"/>
        <v>296.67</v>
      </c>
      <c r="FH51" s="22">
        <f t="shared" si="281"/>
        <v>296.67</v>
      </c>
      <c r="FI51" s="22">
        <f t="shared" si="281"/>
        <v>-161.82000000000002</v>
      </c>
      <c r="FJ51" s="22">
        <f t="shared" si="281"/>
        <v>-620.31000000000006</v>
      </c>
      <c r="FK51" s="22">
        <f t="shared" si="281"/>
        <v>-1078.8000000000002</v>
      </c>
      <c r="FL51" s="22">
        <f t="shared" si="281"/>
        <v>269.70000000000005</v>
      </c>
      <c r="FM51" s="22">
        <f t="shared" si="281"/>
        <v>269.70000000000005</v>
      </c>
      <c r="FN51" s="22">
        <f t="shared" si="281"/>
        <v>269.70000000000005</v>
      </c>
      <c r="FO51" s="22">
        <f t="shared" si="281"/>
        <v>269.70000000000005</v>
      </c>
      <c r="FP51" s="22">
        <f t="shared" si="281"/>
        <v>-188.79000000000002</v>
      </c>
      <c r="FQ51" s="22">
        <f t="shared" si="281"/>
        <v>-647.28000000000009</v>
      </c>
      <c r="FR51" s="22">
        <f t="shared" si="281"/>
        <v>269.70000000000005</v>
      </c>
      <c r="FS51" s="22">
        <f t="shared" si="281"/>
        <v>269.70000000000005</v>
      </c>
      <c r="FT51" s="22">
        <f t="shared" si="281"/>
        <v>269.70000000000005</v>
      </c>
      <c r="FU51" s="22">
        <f t="shared" si="281"/>
        <v>269.70000000000005</v>
      </c>
      <c r="FV51" s="22">
        <f t="shared" si="281"/>
        <v>269.70000000000005</v>
      </c>
      <c r="FW51" s="22">
        <f t="shared" si="281"/>
        <v>-188.79000000000002</v>
      </c>
      <c r="FX51" s="22">
        <f t="shared" si="281"/>
        <v>-647.28000000000009</v>
      </c>
      <c r="FY51" s="22">
        <f t="shared" si="281"/>
        <v>269.70000000000005</v>
      </c>
      <c r="FZ51" s="22">
        <f t="shared" si="281"/>
        <v>269.70000000000005</v>
      </c>
      <c r="GA51" s="22">
        <f t="shared" si="281"/>
        <v>269.70000000000005</v>
      </c>
      <c r="GB51" s="22">
        <f t="shared" si="281"/>
        <v>269.70000000000005</v>
      </c>
      <c r="GC51" s="22">
        <f t="shared" si="281"/>
        <v>269.70000000000005</v>
      </c>
      <c r="GD51" s="22">
        <f t="shared" si="281"/>
        <v>-188.79000000000002</v>
      </c>
      <c r="GE51" s="22">
        <f t="shared" si="281"/>
        <v>0</v>
      </c>
      <c r="GF51" s="22">
        <f t="shared" si="281"/>
        <v>0</v>
      </c>
      <c r="GG51" s="22">
        <f t="shared" si="281"/>
        <v>0</v>
      </c>
      <c r="GH51" s="22">
        <f t="shared" si="281"/>
        <v>0</v>
      </c>
      <c r="GI51" s="22">
        <f t="shared" si="281"/>
        <v>0</v>
      </c>
      <c r="GJ51" s="22">
        <f t="shared" si="281"/>
        <v>0</v>
      </c>
      <c r="GK51" s="22">
        <f t="shared" si="281"/>
        <v>0</v>
      </c>
      <c r="GL51" s="22">
        <f t="shared" si="281"/>
        <v>0</v>
      </c>
      <c r="GM51" s="22">
        <f t="shared" si="281"/>
        <v>0</v>
      </c>
      <c r="GN51" s="22">
        <f t="shared" si="281"/>
        <v>0</v>
      </c>
      <c r="GO51" s="22">
        <f t="shared" si="281"/>
        <v>0</v>
      </c>
      <c r="GP51" s="22">
        <f t="shared" si="281"/>
        <v>0</v>
      </c>
      <c r="GQ51" s="22">
        <f t="shared" ref="GQ51:JB51" si="282">$E$51*GQ35</f>
        <v>0</v>
      </c>
      <c r="GR51" s="22">
        <f t="shared" si="282"/>
        <v>0</v>
      </c>
      <c r="GS51" s="22">
        <f t="shared" si="282"/>
        <v>0</v>
      </c>
      <c r="GT51" s="22">
        <f t="shared" si="282"/>
        <v>0</v>
      </c>
      <c r="GU51" s="22">
        <f t="shared" si="282"/>
        <v>0</v>
      </c>
      <c r="GV51" s="22">
        <f t="shared" si="282"/>
        <v>0</v>
      </c>
      <c r="GW51" s="22">
        <f t="shared" si="282"/>
        <v>0</v>
      </c>
      <c r="GX51" s="22">
        <f t="shared" si="282"/>
        <v>0</v>
      </c>
      <c r="GY51" s="22">
        <f t="shared" si="282"/>
        <v>0</v>
      </c>
      <c r="GZ51" s="22">
        <f t="shared" si="282"/>
        <v>0</v>
      </c>
      <c r="HA51" s="22">
        <f t="shared" si="282"/>
        <v>0</v>
      </c>
      <c r="HB51" s="22">
        <f t="shared" si="282"/>
        <v>0</v>
      </c>
      <c r="HC51" s="22">
        <f t="shared" si="282"/>
        <v>0</v>
      </c>
      <c r="HD51" s="22">
        <f t="shared" si="282"/>
        <v>0</v>
      </c>
      <c r="HE51" s="22">
        <f t="shared" si="282"/>
        <v>0</v>
      </c>
      <c r="HF51" s="22">
        <f t="shared" si="282"/>
        <v>0</v>
      </c>
      <c r="HG51" s="22">
        <f t="shared" si="282"/>
        <v>0</v>
      </c>
      <c r="HH51" s="22">
        <f t="shared" si="282"/>
        <v>0</v>
      </c>
      <c r="HI51" s="22">
        <f t="shared" si="282"/>
        <v>0</v>
      </c>
      <c r="HJ51" s="22">
        <f t="shared" si="282"/>
        <v>0</v>
      </c>
      <c r="HK51" s="22">
        <f t="shared" si="282"/>
        <v>0</v>
      </c>
      <c r="HL51" s="22">
        <f t="shared" si="282"/>
        <v>0</v>
      </c>
      <c r="HM51" s="22">
        <f t="shared" si="282"/>
        <v>0</v>
      </c>
      <c r="HN51" s="22">
        <f t="shared" si="282"/>
        <v>0</v>
      </c>
      <c r="HO51" s="22">
        <f t="shared" si="282"/>
        <v>0</v>
      </c>
      <c r="HP51" s="22">
        <f t="shared" si="282"/>
        <v>0</v>
      </c>
      <c r="HQ51" s="22">
        <f t="shared" si="282"/>
        <v>0</v>
      </c>
      <c r="HR51" s="22">
        <f t="shared" si="282"/>
        <v>0</v>
      </c>
      <c r="HS51" s="22">
        <f t="shared" si="282"/>
        <v>0</v>
      </c>
      <c r="HT51" s="22">
        <f t="shared" si="282"/>
        <v>0</v>
      </c>
      <c r="HU51" s="22">
        <f t="shared" si="282"/>
        <v>0</v>
      </c>
      <c r="HV51" s="22">
        <f t="shared" si="282"/>
        <v>0</v>
      </c>
      <c r="HW51" s="22">
        <f t="shared" si="282"/>
        <v>0</v>
      </c>
      <c r="HX51" s="22">
        <f t="shared" si="282"/>
        <v>0</v>
      </c>
      <c r="HY51" s="22">
        <f t="shared" si="282"/>
        <v>0</v>
      </c>
      <c r="HZ51" s="22">
        <f t="shared" si="282"/>
        <v>0</v>
      </c>
      <c r="IA51" s="22">
        <f t="shared" si="282"/>
        <v>0</v>
      </c>
      <c r="IB51" s="22">
        <f t="shared" si="282"/>
        <v>0</v>
      </c>
      <c r="IC51" s="22">
        <f t="shared" si="282"/>
        <v>0</v>
      </c>
      <c r="ID51" s="22">
        <f t="shared" si="282"/>
        <v>0</v>
      </c>
      <c r="IE51" s="22">
        <f t="shared" si="282"/>
        <v>0</v>
      </c>
      <c r="IF51" s="22">
        <f t="shared" si="282"/>
        <v>0</v>
      </c>
      <c r="IG51" s="22">
        <f t="shared" si="282"/>
        <v>0</v>
      </c>
      <c r="IH51" s="22">
        <f t="shared" si="282"/>
        <v>0</v>
      </c>
      <c r="II51" s="22">
        <f t="shared" si="282"/>
        <v>0</v>
      </c>
      <c r="IJ51" s="22">
        <f t="shared" si="282"/>
        <v>0</v>
      </c>
      <c r="IK51" s="22">
        <f t="shared" si="282"/>
        <v>0</v>
      </c>
      <c r="IL51" s="22">
        <f t="shared" si="282"/>
        <v>0</v>
      </c>
      <c r="IM51" s="22">
        <f t="shared" si="282"/>
        <v>0</v>
      </c>
      <c r="IN51" s="22">
        <f t="shared" si="282"/>
        <v>0</v>
      </c>
      <c r="IO51" s="22">
        <f t="shared" si="282"/>
        <v>0</v>
      </c>
      <c r="IP51" s="22">
        <f t="shared" si="282"/>
        <v>0</v>
      </c>
      <c r="IQ51" s="22">
        <f t="shared" si="282"/>
        <v>0</v>
      </c>
      <c r="IR51" s="22">
        <f t="shared" si="282"/>
        <v>0</v>
      </c>
      <c r="IS51" s="22">
        <f t="shared" si="282"/>
        <v>0</v>
      </c>
      <c r="IT51" s="22">
        <f t="shared" si="282"/>
        <v>0</v>
      </c>
      <c r="IU51" s="22">
        <f t="shared" si="282"/>
        <v>0</v>
      </c>
      <c r="IV51" s="22">
        <f t="shared" si="282"/>
        <v>0</v>
      </c>
      <c r="IW51" s="22">
        <f t="shared" si="282"/>
        <v>0</v>
      </c>
      <c r="IX51" s="22">
        <f t="shared" si="282"/>
        <v>0</v>
      </c>
      <c r="IY51" s="22">
        <f t="shared" si="282"/>
        <v>0</v>
      </c>
      <c r="IZ51" s="22">
        <f t="shared" si="282"/>
        <v>0</v>
      </c>
      <c r="JA51" s="22">
        <f t="shared" si="282"/>
        <v>0</v>
      </c>
      <c r="JB51" s="22">
        <f t="shared" si="282"/>
        <v>0</v>
      </c>
      <c r="JC51" s="22">
        <f t="shared" ref="JC51:LN51" si="283">$E$51*JC35</f>
        <v>0</v>
      </c>
      <c r="JD51" s="22">
        <f t="shared" si="283"/>
        <v>0</v>
      </c>
      <c r="JE51" s="22">
        <f t="shared" si="283"/>
        <v>0</v>
      </c>
      <c r="JF51" s="22">
        <f t="shared" si="283"/>
        <v>0</v>
      </c>
      <c r="JG51" s="22">
        <f t="shared" si="283"/>
        <v>0</v>
      </c>
      <c r="JH51" s="22">
        <f t="shared" si="283"/>
        <v>0</v>
      </c>
      <c r="JI51" s="22">
        <f t="shared" si="283"/>
        <v>0</v>
      </c>
      <c r="JJ51" s="22">
        <f t="shared" si="283"/>
        <v>0</v>
      </c>
      <c r="JK51" s="22">
        <f t="shared" si="283"/>
        <v>0</v>
      </c>
      <c r="JL51" s="22">
        <f t="shared" si="283"/>
        <v>0</v>
      </c>
      <c r="JM51" s="22">
        <f t="shared" si="283"/>
        <v>0</v>
      </c>
      <c r="JN51" s="22">
        <f t="shared" si="283"/>
        <v>0</v>
      </c>
      <c r="JO51" s="22">
        <f t="shared" si="283"/>
        <v>0</v>
      </c>
      <c r="JP51" s="22">
        <f t="shared" si="283"/>
        <v>0</v>
      </c>
      <c r="JQ51" s="22">
        <f t="shared" si="283"/>
        <v>0</v>
      </c>
      <c r="JR51" s="22">
        <f t="shared" si="283"/>
        <v>0</v>
      </c>
      <c r="JS51" s="22">
        <f t="shared" si="283"/>
        <v>0</v>
      </c>
      <c r="JT51" s="22">
        <f t="shared" si="283"/>
        <v>0</v>
      </c>
      <c r="JU51" s="22">
        <f t="shared" si="283"/>
        <v>0</v>
      </c>
      <c r="JV51" s="22">
        <f t="shared" si="283"/>
        <v>0</v>
      </c>
      <c r="JW51" s="22">
        <f t="shared" si="283"/>
        <v>0</v>
      </c>
      <c r="JX51" s="22">
        <f t="shared" si="283"/>
        <v>0</v>
      </c>
      <c r="JY51" s="22">
        <f t="shared" si="283"/>
        <v>0</v>
      </c>
      <c r="JZ51" s="22">
        <f t="shared" si="283"/>
        <v>0</v>
      </c>
      <c r="KA51" s="22">
        <f t="shared" si="283"/>
        <v>0</v>
      </c>
      <c r="KB51" s="22">
        <f t="shared" si="283"/>
        <v>0</v>
      </c>
      <c r="KC51" s="22">
        <f t="shared" si="283"/>
        <v>0</v>
      </c>
      <c r="KD51" s="22">
        <f t="shared" si="283"/>
        <v>0</v>
      </c>
      <c r="KE51" s="22">
        <f t="shared" si="283"/>
        <v>0</v>
      </c>
      <c r="KF51" s="22">
        <f t="shared" si="283"/>
        <v>0</v>
      </c>
      <c r="KG51" s="22">
        <f t="shared" si="283"/>
        <v>0</v>
      </c>
      <c r="KH51" s="22">
        <f t="shared" si="283"/>
        <v>0</v>
      </c>
      <c r="KI51" s="22">
        <f t="shared" si="283"/>
        <v>0</v>
      </c>
      <c r="KJ51" s="22">
        <f t="shared" si="283"/>
        <v>0</v>
      </c>
      <c r="KK51" s="22">
        <f t="shared" si="283"/>
        <v>0</v>
      </c>
      <c r="KL51" s="22">
        <f t="shared" si="283"/>
        <v>0</v>
      </c>
      <c r="KM51" s="22">
        <f t="shared" si="283"/>
        <v>0</v>
      </c>
      <c r="KN51" s="22">
        <f t="shared" si="283"/>
        <v>0</v>
      </c>
      <c r="KO51" s="22">
        <f t="shared" si="283"/>
        <v>0</v>
      </c>
      <c r="KP51" s="22">
        <f t="shared" si="283"/>
        <v>0</v>
      </c>
      <c r="KQ51" s="22">
        <f t="shared" si="283"/>
        <v>0</v>
      </c>
      <c r="KR51" s="22">
        <f t="shared" si="283"/>
        <v>0</v>
      </c>
      <c r="KS51" s="22">
        <f t="shared" si="283"/>
        <v>0</v>
      </c>
      <c r="KT51" s="22">
        <f t="shared" si="283"/>
        <v>0</v>
      </c>
      <c r="KU51" s="22">
        <f t="shared" si="283"/>
        <v>0</v>
      </c>
      <c r="KV51" s="22">
        <f t="shared" si="283"/>
        <v>0</v>
      </c>
      <c r="KW51" s="22">
        <f t="shared" si="283"/>
        <v>0</v>
      </c>
      <c r="KX51" s="22">
        <f t="shared" si="283"/>
        <v>0</v>
      </c>
      <c r="KY51" s="22">
        <f t="shared" si="283"/>
        <v>0</v>
      </c>
      <c r="KZ51" s="22">
        <f t="shared" si="283"/>
        <v>0</v>
      </c>
      <c r="LA51" s="22">
        <f t="shared" si="283"/>
        <v>0</v>
      </c>
      <c r="LB51" s="22">
        <f t="shared" si="283"/>
        <v>0</v>
      </c>
      <c r="LC51" s="22">
        <f t="shared" si="283"/>
        <v>0</v>
      </c>
      <c r="LD51" s="22">
        <f t="shared" si="283"/>
        <v>0</v>
      </c>
      <c r="LE51" s="22">
        <f t="shared" si="283"/>
        <v>0</v>
      </c>
      <c r="LF51" s="22">
        <f t="shared" si="283"/>
        <v>0</v>
      </c>
      <c r="LG51" s="22">
        <f t="shared" si="283"/>
        <v>0</v>
      </c>
      <c r="LH51" s="22">
        <f t="shared" si="283"/>
        <v>0</v>
      </c>
      <c r="LI51" s="22">
        <f t="shared" si="283"/>
        <v>0</v>
      </c>
      <c r="LJ51" s="22">
        <f t="shared" si="283"/>
        <v>0</v>
      </c>
      <c r="LK51" s="22">
        <f t="shared" si="283"/>
        <v>0</v>
      </c>
      <c r="LL51" s="22">
        <f t="shared" si="283"/>
        <v>0</v>
      </c>
      <c r="LM51" s="22">
        <f t="shared" si="283"/>
        <v>0</v>
      </c>
      <c r="LN51" s="22">
        <f t="shared" si="283"/>
        <v>0</v>
      </c>
      <c r="LO51" s="22">
        <f t="shared" ref="LO51:NZ51" si="284">$E$51*LO35</f>
        <v>0</v>
      </c>
      <c r="LP51" s="22">
        <f t="shared" si="284"/>
        <v>0</v>
      </c>
      <c r="LQ51" s="22">
        <f t="shared" si="284"/>
        <v>0</v>
      </c>
      <c r="LR51" s="22">
        <f t="shared" si="284"/>
        <v>0</v>
      </c>
      <c r="LS51" s="22">
        <f t="shared" si="284"/>
        <v>0</v>
      </c>
      <c r="LT51" s="22">
        <f t="shared" si="284"/>
        <v>0</v>
      </c>
      <c r="LU51" s="22">
        <f t="shared" si="284"/>
        <v>0</v>
      </c>
      <c r="LV51" s="22">
        <f t="shared" si="284"/>
        <v>0</v>
      </c>
      <c r="LW51" s="22">
        <f t="shared" si="284"/>
        <v>0</v>
      </c>
      <c r="LX51" s="22">
        <f t="shared" si="284"/>
        <v>0</v>
      </c>
      <c r="LY51" s="22">
        <f t="shared" si="284"/>
        <v>0</v>
      </c>
      <c r="LZ51" s="22">
        <f t="shared" si="284"/>
        <v>0</v>
      </c>
      <c r="MA51" s="22">
        <f t="shared" si="284"/>
        <v>0</v>
      </c>
      <c r="MB51" s="22">
        <f t="shared" si="284"/>
        <v>0</v>
      </c>
      <c r="MC51" s="22">
        <f t="shared" si="284"/>
        <v>0</v>
      </c>
      <c r="MD51" s="22">
        <f t="shared" si="284"/>
        <v>0</v>
      </c>
      <c r="ME51" s="22">
        <f t="shared" si="284"/>
        <v>0</v>
      </c>
      <c r="MF51" s="22">
        <f t="shared" si="284"/>
        <v>0</v>
      </c>
      <c r="MG51" s="22">
        <f t="shared" si="284"/>
        <v>0</v>
      </c>
      <c r="MH51" s="22">
        <f t="shared" si="284"/>
        <v>0</v>
      </c>
      <c r="MI51" s="22">
        <f t="shared" si="284"/>
        <v>0</v>
      </c>
      <c r="MJ51" s="22">
        <f t="shared" si="284"/>
        <v>0</v>
      </c>
      <c r="MK51" s="22">
        <f t="shared" si="284"/>
        <v>0</v>
      </c>
      <c r="ML51" s="22">
        <f t="shared" si="284"/>
        <v>0</v>
      </c>
      <c r="MM51" s="22">
        <f t="shared" si="284"/>
        <v>0</v>
      </c>
      <c r="MN51" s="22">
        <f t="shared" si="284"/>
        <v>0</v>
      </c>
      <c r="MO51" s="22">
        <f t="shared" si="284"/>
        <v>0</v>
      </c>
      <c r="MP51" s="22">
        <f t="shared" si="284"/>
        <v>0</v>
      </c>
      <c r="MQ51" s="22">
        <f t="shared" si="284"/>
        <v>0</v>
      </c>
      <c r="MR51" s="22">
        <f t="shared" si="284"/>
        <v>0</v>
      </c>
      <c r="MS51" s="22">
        <f t="shared" si="284"/>
        <v>0</v>
      </c>
      <c r="MT51" s="22">
        <f t="shared" si="284"/>
        <v>0</v>
      </c>
      <c r="MU51" s="22">
        <f t="shared" si="284"/>
        <v>0</v>
      </c>
      <c r="MV51" s="22">
        <f t="shared" si="284"/>
        <v>0</v>
      </c>
      <c r="MW51" s="22">
        <f t="shared" si="284"/>
        <v>0</v>
      </c>
      <c r="MX51" s="22">
        <f t="shared" si="284"/>
        <v>0</v>
      </c>
      <c r="MY51" s="22">
        <f t="shared" si="284"/>
        <v>0</v>
      </c>
      <c r="MZ51" s="22">
        <f t="shared" si="284"/>
        <v>0</v>
      </c>
      <c r="NA51" s="22">
        <f t="shared" si="284"/>
        <v>0</v>
      </c>
      <c r="NB51" s="22">
        <f t="shared" si="284"/>
        <v>0</v>
      </c>
      <c r="NC51" s="22">
        <f t="shared" si="284"/>
        <v>0</v>
      </c>
      <c r="ND51" s="22">
        <f t="shared" si="284"/>
        <v>0</v>
      </c>
      <c r="NE51" s="22">
        <f t="shared" si="284"/>
        <v>0</v>
      </c>
      <c r="NF51" s="22">
        <f t="shared" si="284"/>
        <v>0</v>
      </c>
      <c r="NG51" s="22">
        <f t="shared" si="284"/>
        <v>0</v>
      </c>
      <c r="NH51" s="22">
        <f t="shared" si="284"/>
        <v>0</v>
      </c>
      <c r="NI51" s="22">
        <f t="shared" si="284"/>
        <v>0</v>
      </c>
      <c r="NJ51" s="22">
        <f t="shared" si="284"/>
        <v>0</v>
      </c>
      <c r="NK51" s="22">
        <f t="shared" si="284"/>
        <v>0</v>
      </c>
      <c r="NL51" s="22">
        <f t="shared" si="284"/>
        <v>0</v>
      </c>
      <c r="NM51" s="22">
        <f t="shared" si="284"/>
        <v>0</v>
      </c>
      <c r="NN51" s="22">
        <f t="shared" si="284"/>
        <v>0</v>
      </c>
      <c r="NO51" s="22">
        <f t="shared" si="284"/>
        <v>0</v>
      </c>
      <c r="NP51" s="22">
        <f t="shared" si="284"/>
        <v>0</v>
      </c>
      <c r="NQ51" s="22">
        <f t="shared" si="284"/>
        <v>0</v>
      </c>
      <c r="NR51" s="22">
        <f t="shared" si="284"/>
        <v>0</v>
      </c>
      <c r="NS51" s="22">
        <f t="shared" si="284"/>
        <v>0</v>
      </c>
      <c r="NT51" s="22">
        <f t="shared" si="284"/>
        <v>0</v>
      </c>
      <c r="NU51" s="22">
        <f t="shared" si="284"/>
        <v>0</v>
      </c>
      <c r="NV51" s="22">
        <f t="shared" si="284"/>
        <v>0</v>
      </c>
      <c r="NW51" s="22">
        <f t="shared" si="284"/>
        <v>0</v>
      </c>
      <c r="NX51" s="22">
        <f t="shared" si="284"/>
        <v>0</v>
      </c>
      <c r="NY51" s="22">
        <f t="shared" si="284"/>
        <v>0</v>
      </c>
      <c r="NZ51" s="22">
        <f t="shared" si="284"/>
        <v>0</v>
      </c>
      <c r="OA51" s="22">
        <f t="shared" ref="OA51:QL51" si="285">$E$51*OA35</f>
        <v>0</v>
      </c>
      <c r="OB51" s="22">
        <f t="shared" si="285"/>
        <v>0</v>
      </c>
      <c r="OC51" s="22">
        <f t="shared" si="285"/>
        <v>0</v>
      </c>
      <c r="OD51" s="22">
        <f t="shared" si="285"/>
        <v>0</v>
      </c>
      <c r="OE51" s="22">
        <f t="shared" si="285"/>
        <v>0</v>
      </c>
      <c r="OF51" s="22">
        <f t="shared" si="285"/>
        <v>0</v>
      </c>
      <c r="OG51" s="22">
        <f t="shared" si="285"/>
        <v>0</v>
      </c>
      <c r="OH51" s="22">
        <f t="shared" si="285"/>
        <v>0</v>
      </c>
      <c r="OI51" s="22">
        <f t="shared" si="285"/>
        <v>0</v>
      </c>
      <c r="OJ51" s="22">
        <f t="shared" si="285"/>
        <v>0</v>
      </c>
      <c r="OK51" s="22">
        <f t="shared" si="285"/>
        <v>0</v>
      </c>
      <c r="OL51" s="22">
        <f t="shared" si="285"/>
        <v>0</v>
      </c>
      <c r="OM51" s="22">
        <f t="shared" si="285"/>
        <v>0</v>
      </c>
      <c r="ON51" s="22">
        <f t="shared" si="285"/>
        <v>0</v>
      </c>
      <c r="OO51" s="22">
        <f t="shared" si="285"/>
        <v>0</v>
      </c>
      <c r="OP51" s="22">
        <f t="shared" si="285"/>
        <v>0</v>
      </c>
      <c r="OQ51" s="22">
        <f t="shared" si="285"/>
        <v>0</v>
      </c>
      <c r="OR51" s="22">
        <f t="shared" si="285"/>
        <v>0</v>
      </c>
      <c r="OS51" s="22">
        <f t="shared" si="285"/>
        <v>0</v>
      </c>
      <c r="OT51" s="22">
        <f t="shared" si="285"/>
        <v>0</v>
      </c>
      <c r="OU51" s="22">
        <f t="shared" si="285"/>
        <v>0</v>
      </c>
      <c r="OV51" s="22">
        <f t="shared" si="285"/>
        <v>0</v>
      </c>
      <c r="OW51" s="22">
        <f t="shared" si="285"/>
        <v>0</v>
      </c>
      <c r="OX51" s="22">
        <f t="shared" si="285"/>
        <v>0</v>
      </c>
      <c r="OY51" s="22">
        <f t="shared" si="285"/>
        <v>0</v>
      </c>
      <c r="OZ51" s="22">
        <f t="shared" si="285"/>
        <v>0</v>
      </c>
      <c r="PA51" s="22">
        <f t="shared" si="285"/>
        <v>0</v>
      </c>
      <c r="PB51" s="22">
        <f t="shared" si="285"/>
        <v>0</v>
      </c>
      <c r="PC51" s="22">
        <f t="shared" si="285"/>
        <v>0</v>
      </c>
      <c r="PD51" s="22">
        <f t="shared" si="285"/>
        <v>0</v>
      </c>
      <c r="PE51" s="22">
        <f t="shared" si="285"/>
        <v>0</v>
      </c>
      <c r="PF51" s="22">
        <f t="shared" si="285"/>
        <v>0</v>
      </c>
      <c r="PG51" s="22">
        <f t="shared" si="285"/>
        <v>0</v>
      </c>
      <c r="PH51" s="22">
        <f t="shared" si="285"/>
        <v>0</v>
      </c>
      <c r="PI51" s="22">
        <f t="shared" si="285"/>
        <v>0</v>
      </c>
      <c r="PJ51" s="22">
        <f t="shared" si="285"/>
        <v>0</v>
      </c>
      <c r="PK51" s="22">
        <f t="shared" si="285"/>
        <v>0</v>
      </c>
      <c r="PL51" s="22">
        <f t="shared" si="285"/>
        <v>0</v>
      </c>
      <c r="PM51" s="22">
        <f t="shared" si="285"/>
        <v>0</v>
      </c>
      <c r="PN51" s="22">
        <f t="shared" si="285"/>
        <v>0</v>
      </c>
      <c r="PO51" s="22">
        <f t="shared" si="285"/>
        <v>0</v>
      </c>
      <c r="PP51" s="22">
        <f t="shared" si="285"/>
        <v>0</v>
      </c>
      <c r="PQ51" s="22">
        <f t="shared" si="285"/>
        <v>0</v>
      </c>
      <c r="PR51" s="22">
        <f t="shared" si="285"/>
        <v>0</v>
      </c>
      <c r="PS51" s="22">
        <f t="shared" si="285"/>
        <v>0</v>
      </c>
      <c r="PT51" s="22">
        <f t="shared" si="285"/>
        <v>0</v>
      </c>
      <c r="PU51" s="22">
        <f t="shared" si="285"/>
        <v>0</v>
      </c>
      <c r="PV51" s="22">
        <f t="shared" si="285"/>
        <v>0</v>
      </c>
      <c r="PW51" s="22">
        <f t="shared" si="285"/>
        <v>0</v>
      </c>
      <c r="PX51" s="22">
        <f t="shared" si="285"/>
        <v>0</v>
      </c>
      <c r="PY51" s="22">
        <f t="shared" si="285"/>
        <v>0</v>
      </c>
      <c r="PZ51" s="22">
        <f t="shared" si="285"/>
        <v>0</v>
      </c>
      <c r="QA51" s="22">
        <f t="shared" si="285"/>
        <v>0</v>
      </c>
      <c r="QB51" s="22">
        <f t="shared" si="285"/>
        <v>0</v>
      </c>
      <c r="QC51" s="22">
        <f t="shared" si="285"/>
        <v>0</v>
      </c>
      <c r="QD51" s="22">
        <f t="shared" si="285"/>
        <v>0</v>
      </c>
      <c r="QE51" s="22">
        <f t="shared" si="285"/>
        <v>0</v>
      </c>
      <c r="QF51" s="22">
        <f t="shared" si="285"/>
        <v>0</v>
      </c>
      <c r="QG51" s="22">
        <f t="shared" si="285"/>
        <v>0</v>
      </c>
      <c r="QH51" s="22">
        <f t="shared" si="285"/>
        <v>0</v>
      </c>
      <c r="QI51" s="22">
        <f t="shared" si="285"/>
        <v>0</v>
      </c>
      <c r="QJ51" s="22">
        <f t="shared" si="285"/>
        <v>0</v>
      </c>
      <c r="QK51" s="22">
        <f t="shared" si="285"/>
        <v>0</v>
      </c>
      <c r="QL51" s="22">
        <f t="shared" si="285"/>
        <v>0</v>
      </c>
      <c r="QM51" s="22">
        <f t="shared" ref="QM51:SX51" si="286">$E$51*QM35</f>
        <v>0</v>
      </c>
      <c r="QN51" s="22">
        <f t="shared" si="286"/>
        <v>0</v>
      </c>
      <c r="QO51" s="22">
        <f t="shared" si="286"/>
        <v>0</v>
      </c>
      <c r="QP51" s="22">
        <f t="shared" si="286"/>
        <v>0</v>
      </c>
      <c r="QQ51" s="22">
        <f t="shared" si="286"/>
        <v>0</v>
      </c>
      <c r="QR51" s="22">
        <f t="shared" si="286"/>
        <v>0</v>
      </c>
      <c r="QS51" s="22">
        <f t="shared" si="286"/>
        <v>0</v>
      </c>
      <c r="QT51" s="22">
        <f t="shared" si="286"/>
        <v>0</v>
      </c>
      <c r="QU51" s="22">
        <f t="shared" si="286"/>
        <v>0</v>
      </c>
      <c r="QV51" s="22">
        <f t="shared" si="286"/>
        <v>0</v>
      </c>
      <c r="QW51" s="22">
        <f t="shared" si="286"/>
        <v>0</v>
      </c>
      <c r="QX51" s="22">
        <f t="shared" si="286"/>
        <v>0</v>
      </c>
      <c r="QY51" s="22">
        <f t="shared" si="286"/>
        <v>0</v>
      </c>
      <c r="QZ51" s="22">
        <f t="shared" si="286"/>
        <v>0</v>
      </c>
      <c r="RA51" s="22">
        <f t="shared" si="286"/>
        <v>0</v>
      </c>
      <c r="RB51" s="22">
        <f t="shared" si="286"/>
        <v>0</v>
      </c>
      <c r="RC51" s="22">
        <f t="shared" si="286"/>
        <v>0</v>
      </c>
      <c r="RD51" s="22">
        <f t="shared" si="286"/>
        <v>0</v>
      </c>
      <c r="RE51" s="22">
        <f t="shared" si="286"/>
        <v>0</v>
      </c>
      <c r="RF51" s="22">
        <f t="shared" si="286"/>
        <v>0</v>
      </c>
      <c r="RG51" s="22">
        <f t="shared" si="286"/>
        <v>0</v>
      </c>
      <c r="RH51" s="22">
        <f t="shared" si="286"/>
        <v>0</v>
      </c>
      <c r="RI51" s="22">
        <f t="shared" si="286"/>
        <v>0</v>
      </c>
      <c r="RJ51" s="22">
        <f t="shared" si="286"/>
        <v>0</v>
      </c>
      <c r="RK51" s="22">
        <f t="shared" si="286"/>
        <v>0</v>
      </c>
      <c r="RL51" s="22">
        <f t="shared" si="286"/>
        <v>0</v>
      </c>
      <c r="RM51" s="22">
        <f t="shared" si="286"/>
        <v>0</v>
      </c>
      <c r="RN51" s="22">
        <f t="shared" si="286"/>
        <v>0</v>
      </c>
      <c r="RO51" s="22">
        <f t="shared" si="286"/>
        <v>0</v>
      </c>
      <c r="RP51" s="22">
        <f t="shared" si="286"/>
        <v>0</v>
      </c>
      <c r="RQ51" s="22">
        <f t="shared" si="286"/>
        <v>0</v>
      </c>
      <c r="RR51" s="22">
        <f t="shared" si="286"/>
        <v>0</v>
      </c>
      <c r="RS51" s="22">
        <f t="shared" si="286"/>
        <v>0</v>
      </c>
      <c r="RT51" s="22">
        <f t="shared" si="286"/>
        <v>0</v>
      </c>
      <c r="RU51" s="22">
        <f t="shared" si="286"/>
        <v>0</v>
      </c>
      <c r="RV51" s="22">
        <f t="shared" si="286"/>
        <v>0</v>
      </c>
      <c r="RW51" s="22">
        <f t="shared" si="286"/>
        <v>0</v>
      </c>
      <c r="RX51" s="22">
        <f t="shared" si="286"/>
        <v>0</v>
      </c>
      <c r="RY51" s="22">
        <f t="shared" si="286"/>
        <v>0</v>
      </c>
      <c r="RZ51" s="22">
        <f t="shared" si="286"/>
        <v>0</v>
      </c>
      <c r="SA51" s="22">
        <f t="shared" si="286"/>
        <v>0</v>
      </c>
      <c r="SB51" s="22">
        <f t="shared" si="286"/>
        <v>0</v>
      </c>
      <c r="SC51" s="22">
        <f t="shared" si="286"/>
        <v>0</v>
      </c>
      <c r="SD51" s="22">
        <f t="shared" si="286"/>
        <v>0</v>
      </c>
      <c r="SE51" s="22">
        <f t="shared" si="286"/>
        <v>0</v>
      </c>
      <c r="SF51" s="22">
        <f t="shared" si="286"/>
        <v>0</v>
      </c>
      <c r="SG51" s="22">
        <f t="shared" si="286"/>
        <v>0</v>
      </c>
      <c r="SH51" s="22">
        <f t="shared" si="286"/>
        <v>0</v>
      </c>
      <c r="SI51" s="22">
        <f t="shared" si="286"/>
        <v>0</v>
      </c>
      <c r="SJ51" s="22">
        <f t="shared" si="286"/>
        <v>0</v>
      </c>
      <c r="SK51" s="22">
        <f t="shared" si="286"/>
        <v>0</v>
      </c>
      <c r="SL51" s="22">
        <f t="shared" si="286"/>
        <v>0</v>
      </c>
      <c r="SM51" s="22">
        <f t="shared" si="286"/>
        <v>0</v>
      </c>
      <c r="SN51" s="22">
        <f t="shared" si="286"/>
        <v>0</v>
      </c>
      <c r="SO51" s="22">
        <f t="shared" si="286"/>
        <v>0</v>
      </c>
      <c r="SP51" s="22">
        <f t="shared" si="286"/>
        <v>0</v>
      </c>
      <c r="SQ51" s="22">
        <f t="shared" si="286"/>
        <v>0</v>
      </c>
      <c r="SR51" s="22">
        <f t="shared" si="286"/>
        <v>0</v>
      </c>
      <c r="SS51" s="22">
        <f t="shared" si="286"/>
        <v>0</v>
      </c>
      <c r="ST51" s="22">
        <f t="shared" si="286"/>
        <v>0</v>
      </c>
      <c r="SU51" s="22">
        <f t="shared" si="286"/>
        <v>0</v>
      </c>
      <c r="SV51" s="22">
        <f t="shared" si="286"/>
        <v>0</v>
      </c>
      <c r="SW51" s="22">
        <f t="shared" si="286"/>
        <v>0</v>
      </c>
      <c r="SX51" s="22">
        <f t="shared" si="286"/>
        <v>0</v>
      </c>
      <c r="SY51" s="22">
        <f t="shared" ref="SY51:VJ51" si="287">$E$51*SY35</f>
        <v>0</v>
      </c>
      <c r="SZ51" s="22">
        <f t="shared" si="287"/>
        <v>0</v>
      </c>
      <c r="TA51" s="22">
        <f t="shared" si="287"/>
        <v>0</v>
      </c>
      <c r="TB51" s="22">
        <f t="shared" si="287"/>
        <v>0</v>
      </c>
      <c r="TC51" s="22">
        <f t="shared" si="287"/>
        <v>0</v>
      </c>
      <c r="TD51" s="22">
        <f t="shared" si="287"/>
        <v>0</v>
      </c>
      <c r="TE51" s="22">
        <f t="shared" si="287"/>
        <v>0</v>
      </c>
      <c r="TF51" s="22">
        <f t="shared" si="287"/>
        <v>0</v>
      </c>
      <c r="TG51" s="22">
        <f t="shared" si="287"/>
        <v>0</v>
      </c>
      <c r="TH51" s="22">
        <f t="shared" si="287"/>
        <v>0</v>
      </c>
      <c r="TI51" s="22">
        <f t="shared" si="287"/>
        <v>0</v>
      </c>
      <c r="TJ51" s="22">
        <f t="shared" si="287"/>
        <v>0</v>
      </c>
      <c r="TK51" s="22">
        <f t="shared" si="287"/>
        <v>0</v>
      </c>
      <c r="TL51" s="22">
        <f t="shared" si="287"/>
        <v>0</v>
      </c>
      <c r="TM51" s="22">
        <f t="shared" si="287"/>
        <v>0</v>
      </c>
      <c r="TN51" s="22">
        <f t="shared" si="287"/>
        <v>0</v>
      </c>
      <c r="TO51" s="22">
        <f t="shared" si="287"/>
        <v>0</v>
      </c>
      <c r="TP51" s="22">
        <f t="shared" si="287"/>
        <v>0</v>
      </c>
      <c r="TQ51" s="22">
        <f t="shared" si="287"/>
        <v>0</v>
      </c>
      <c r="TR51" s="22">
        <f t="shared" si="287"/>
        <v>0</v>
      </c>
      <c r="TS51" s="22">
        <f t="shared" si="287"/>
        <v>0</v>
      </c>
      <c r="TT51" s="22">
        <f t="shared" si="287"/>
        <v>0</v>
      </c>
      <c r="TU51" s="22">
        <f t="shared" si="287"/>
        <v>0</v>
      </c>
      <c r="TV51" s="22">
        <f t="shared" si="287"/>
        <v>0</v>
      </c>
      <c r="TW51" s="22">
        <f t="shared" si="287"/>
        <v>0</v>
      </c>
      <c r="TX51" s="22">
        <f t="shared" si="287"/>
        <v>0</v>
      </c>
      <c r="TY51" s="22">
        <f t="shared" si="287"/>
        <v>0</v>
      </c>
      <c r="TZ51" s="22">
        <f t="shared" si="287"/>
        <v>0</v>
      </c>
      <c r="UA51" s="22">
        <f t="shared" si="287"/>
        <v>0</v>
      </c>
      <c r="UB51" s="22">
        <f t="shared" si="287"/>
        <v>0</v>
      </c>
      <c r="UC51" s="22">
        <f t="shared" si="287"/>
        <v>0</v>
      </c>
      <c r="UD51" s="22">
        <f t="shared" si="287"/>
        <v>0</v>
      </c>
      <c r="UE51" s="22">
        <f t="shared" si="287"/>
        <v>0</v>
      </c>
      <c r="UF51" s="22">
        <f t="shared" si="287"/>
        <v>0</v>
      </c>
      <c r="UG51" s="22">
        <f t="shared" si="287"/>
        <v>0</v>
      </c>
      <c r="UH51" s="22">
        <f t="shared" si="287"/>
        <v>0</v>
      </c>
      <c r="UI51" s="22">
        <f t="shared" si="287"/>
        <v>0</v>
      </c>
      <c r="UJ51" s="22">
        <f t="shared" si="287"/>
        <v>0</v>
      </c>
      <c r="UK51" s="22">
        <f t="shared" si="287"/>
        <v>0</v>
      </c>
      <c r="UL51" s="22">
        <f t="shared" si="287"/>
        <v>0</v>
      </c>
      <c r="UM51" s="22">
        <f t="shared" si="287"/>
        <v>0</v>
      </c>
      <c r="UN51" s="22">
        <f t="shared" si="287"/>
        <v>0</v>
      </c>
      <c r="UO51" s="22">
        <f t="shared" si="287"/>
        <v>0</v>
      </c>
      <c r="UP51" s="22">
        <f t="shared" si="287"/>
        <v>0</v>
      </c>
      <c r="UQ51" s="22">
        <f t="shared" si="287"/>
        <v>0</v>
      </c>
      <c r="UR51" s="22">
        <f t="shared" si="287"/>
        <v>0</v>
      </c>
      <c r="US51" s="22">
        <f t="shared" si="287"/>
        <v>0</v>
      </c>
      <c r="UT51" s="22">
        <f t="shared" si="287"/>
        <v>0</v>
      </c>
      <c r="UU51" s="22">
        <f t="shared" si="287"/>
        <v>0</v>
      </c>
      <c r="UV51" s="22">
        <f t="shared" si="287"/>
        <v>0</v>
      </c>
      <c r="UW51" s="22">
        <f t="shared" si="287"/>
        <v>0</v>
      </c>
      <c r="UX51" s="22">
        <f t="shared" si="287"/>
        <v>0</v>
      </c>
      <c r="UY51" s="22">
        <f t="shared" si="287"/>
        <v>0</v>
      </c>
      <c r="UZ51" s="22">
        <f t="shared" si="287"/>
        <v>0</v>
      </c>
      <c r="VA51" s="22">
        <f t="shared" si="287"/>
        <v>0</v>
      </c>
      <c r="VB51" s="22">
        <f t="shared" si="287"/>
        <v>0</v>
      </c>
      <c r="VC51" s="22">
        <f t="shared" si="287"/>
        <v>0</v>
      </c>
      <c r="VD51" s="22">
        <f t="shared" si="287"/>
        <v>0</v>
      </c>
      <c r="VE51" s="22">
        <f t="shared" si="287"/>
        <v>0</v>
      </c>
      <c r="VF51" s="22">
        <f t="shared" si="287"/>
        <v>0</v>
      </c>
      <c r="VG51" s="22">
        <f t="shared" si="287"/>
        <v>0</v>
      </c>
      <c r="VH51" s="22">
        <f t="shared" si="287"/>
        <v>0</v>
      </c>
      <c r="VI51" s="22">
        <f t="shared" si="287"/>
        <v>0</v>
      </c>
      <c r="VJ51" s="22">
        <f t="shared" si="287"/>
        <v>0</v>
      </c>
      <c r="VK51" s="22">
        <f t="shared" ref="VK51:XV51" si="288">$E$51*VK35</f>
        <v>0</v>
      </c>
      <c r="VL51" s="22">
        <f t="shared" si="288"/>
        <v>0</v>
      </c>
      <c r="VM51" s="22">
        <f t="shared" si="288"/>
        <v>0</v>
      </c>
      <c r="VN51" s="22">
        <f t="shared" si="288"/>
        <v>0</v>
      </c>
      <c r="VO51" s="22">
        <f t="shared" si="288"/>
        <v>0</v>
      </c>
      <c r="VP51" s="22">
        <f t="shared" si="288"/>
        <v>0</v>
      </c>
      <c r="VQ51" s="22">
        <f t="shared" si="288"/>
        <v>0</v>
      </c>
      <c r="VR51" s="22">
        <f t="shared" si="288"/>
        <v>0</v>
      </c>
      <c r="VS51" s="22">
        <f t="shared" si="288"/>
        <v>0</v>
      </c>
      <c r="VT51" s="22">
        <f t="shared" si="288"/>
        <v>0</v>
      </c>
      <c r="VU51" s="22">
        <f t="shared" si="288"/>
        <v>0</v>
      </c>
      <c r="VV51" s="22">
        <f t="shared" si="288"/>
        <v>0</v>
      </c>
      <c r="VW51" s="22">
        <f t="shared" si="288"/>
        <v>0</v>
      </c>
      <c r="VX51" s="22">
        <f t="shared" si="288"/>
        <v>0</v>
      </c>
      <c r="VY51" s="22">
        <f t="shared" si="288"/>
        <v>0</v>
      </c>
      <c r="VZ51" s="22">
        <f t="shared" si="288"/>
        <v>0</v>
      </c>
      <c r="WA51" s="22">
        <f t="shared" si="288"/>
        <v>0</v>
      </c>
      <c r="WB51" s="22">
        <f t="shared" si="288"/>
        <v>0</v>
      </c>
      <c r="WC51" s="22">
        <f t="shared" si="288"/>
        <v>0</v>
      </c>
      <c r="WD51" s="22">
        <f t="shared" si="288"/>
        <v>0</v>
      </c>
      <c r="WE51" s="22">
        <f t="shared" si="288"/>
        <v>0</v>
      </c>
      <c r="WF51" s="22">
        <f t="shared" si="288"/>
        <v>0</v>
      </c>
      <c r="WG51" s="22">
        <f t="shared" si="288"/>
        <v>0</v>
      </c>
      <c r="WH51" s="22">
        <f t="shared" si="288"/>
        <v>0</v>
      </c>
      <c r="WI51" s="22">
        <f t="shared" si="288"/>
        <v>0</v>
      </c>
      <c r="WJ51" s="22">
        <f t="shared" si="288"/>
        <v>0</v>
      </c>
      <c r="WK51" s="22">
        <f t="shared" si="288"/>
        <v>0</v>
      </c>
      <c r="WL51" s="22">
        <f t="shared" si="288"/>
        <v>0</v>
      </c>
      <c r="WM51" s="22">
        <f t="shared" si="288"/>
        <v>0</v>
      </c>
      <c r="WN51" s="22">
        <f t="shared" si="288"/>
        <v>0</v>
      </c>
      <c r="WO51" s="22">
        <f t="shared" si="288"/>
        <v>0</v>
      </c>
      <c r="WP51" s="22">
        <f t="shared" si="288"/>
        <v>0</v>
      </c>
      <c r="WQ51" s="22">
        <f t="shared" si="288"/>
        <v>0</v>
      </c>
      <c r="WR51" s="22">
        <f t="shared" si="288"/>
        <v>0</v>
      </c>
      <c r="WS51" s="22">
        <f t="shared" si="288"/>
        <v>0</v>
      </c>
      <c r="WT51" s="22">
        <f t="shared" si="288"/>
        <v>0</v>
      </c>
      <c r="WU51" s="22">
        <f t="shared" si="288"/>
        <v>0</v>
      </c>
      <c r="WV51" s="22">
        <f t="shared" si="288"/>
        <v>0</v>
      </c>
      <c r="WW51" s="22">
        <f t="shared" si="288"/>
        <v>0</v>
      </c>
      <c r="WX51" s="22">
        <f t="shared" si="288"/>
        <v>0</v>
      </c>
      <c r="WY51" s="22">
        <f t="shared" si="288"/>
        <v>0</v>
      </c>
      <c r="WZ51" s="22">
        <f t="shared" si="288"/>
        <v>0</v>
      </c>
      <c r="XA51" s="22">
        <f t="shared" si="288"/>
        <v>0</v>
      </c>
      <c r="XB51" s="22">
        <f t="shared" si="288"/>
        <v>0</v>
      </c>
      <c r="XC51" s="22">
        <f t="shared" si="288"/>
        <v>0</v>
      </c>
      <c r="XD51" s="22">
        <f t="shared" si="288"/>
        <v>0</v>
      </c>
      <c r="XE51" s="22">
        <f t="shared" si="288"/>
        <v>0</v>
      </c>
      <c r="XF51" s="22">
        <f t="shared" si="288"/>
        <v>0</v>
      </c>
      <c r="XG51" s="22">
        <f t="shared" si="288"/>
        <v>0</v>
      </c>
      <c r="XH51" s="22">
        <f t="shared" si="288"/>
        <v>0</v>
      </c>
      <c r="XI51" s="22">
        <f t="shared" si="288"/>
        <v>0</v>
      </c>
      <c r="XJ51" s="22">
        <f t="shared" si="288"/>
        <v>0</v>
      </c>
      <c r="XK51" s="22">
        <f t="shared" si="288"/>
        <v>0</v>
      </c>
      <c r="XL51" s="22">
        <f t="shared" si="288"/>
        <v>0</v>
      </c>
      <c r="XM51" s="22">
        <f t="shared" si="288"/>
        <v>0</v>
      </c>
      <c r="XN51" s="22">
        <f t="shared" si="288"/>
        <v>0</v>
      </c>
      <c r="XO51" s="22">
        <f t="shared" si="288"/>
        <v>0</v>
      </c>
      <c r="XP51" s="22">
        <f t="shared" si="288"/>
        <v>0</v>
      </c>
      <c r="XQ51" s="22">
        <f t="shared" si="288"/>
        <v>0</v>
      </c>
      <c r="XR51" s="22">
        <f t="shared" si="288"/>
        <v>0</v>
      </c>
      <c r="XS51" s="22">
        <f t="shared" si="288"/>
        <v>0</v>
      </c>
      <c r="XT51" s="22">
        <f t="shared" si="288"/>
        <v>0</v>
      </c>
      <c r="XU51" s="22">
        <f t="shared" si="288"/>
        <v>0</v>
      </c>
      <c r="XV51" s="22">
        <f t="shared" si="288"/>
        <v>0</v>
      </c>
      <c r="XW51" s="22">
        <f t="shared" ref="XW51:AAH51" si="289">$E$51*XW35</f>
        <v>0</v>
      </c>
      <c r="XX51" s="22">
        <f t="shared" si="289"/>
        <v>0</v>
      </c>
      <c r="XY51" s="22">
        <f t="shared" si="289"/>
        <v>0</v>
      </c>
      <c r="XZ51" s="22">
        <f t="shared" si="289"/>
        <v>0</v>
      </c>
      <c r="YA51" s="22">
        <f t="shared" si="289"/>
        <v>0</v>
      </c>
      <c r="YB51" s="22">
        <f t="shared" si="289"/>
        <v>0</v>
      </c>
      <c r="YC51" s="22">
        <f t="shared" si="289"/>
        <v>0</v>
      </c>
      <c r="YD51" s="22">
        <f t="shared" si="289"/>
        <v>0</v>
      </c>
      <c r="YE51" s="22">
        <f t="shared" si="289"/>
        <v>0</v>
      </c>
      <c r="YF51" s="22">
        <f t="shared" si="289"/>
        <v>0</v>
      </c>
      <c r="YG51" s="22">
        <f t="shared" si="289"/>
        <v>0</v>
      </c>
      <c r="YH51" s="22">
        <f t="shared" si="289"/>
        <v>0</v>
      </c>
      <c r="YI51" s="22">
        <f t="shared" si="289"/>
        <v>0</v>
      </c>
      <c r="YJ51" s="22">
        <f t="shared" si="289"/>
        <v>0</v>
      </c>
      <c r="YK51" s="22">
        <f t="shared" si="289"/>
        <v>0</v>
      </c>
      <c r="YL51" s="22">
        <f t="shared" si="289"/>
        <v>0</v>
      </c>
      <c r="YM51" s="22">
        <f t="shared" si="289"/>
        <v>0</v>
      </c>
      <c r="YN51" s="22">
        <f t="shared" si="289"/>
        <v>0</v>
      </c>
      <c r="YO51" s="22">
        <f t="shared" si="289"/>
        <v>0</v>
      </c>
      <c r="YP51" s="22">
        <f t="shared" si="289"/>
        <v>0</v>
      </c>
      <c r="YQ51" s="22">
        <f t="shared" si="289"/>
        <v>0</v>
      </c>
      <c r="YR51" s="22">
        <f t="shared" si="289"/>
        <v>0</v>
      </c>
      <c r="YS51" s="22">
        <f t="shared" si="289"/>
        <v>0</v>
      </c>
      <c r="YT51" s="22">
        <f t="shared" si="289"/>
        <v>0</v>
      </c>
      <c r="YU51" s="22">
        <f t="shared" si="289"/>
        <v>0</v>
      </c>
      <c r="YV51" s="22">
        <f t="shared" si="289"/>
        <v>0</v>
      </c>
      <c r="YW51" s="22">
        <f t="shared" si="289"/>
        <v>0</v>
      </c>
      <c r="YX51" s="22">
        <f t="shared" si="289"/>
        <v>0</v>
      </c>
      <c r="YY51" s="22">
        <f t="shared" si="289"/>
        <v>0</v>
      </c>
      <c r="YZ51" s="22">
        <f t="shared" si="289"/>
        <v>0</v>
      </c>
      <c r="ZA51" s="22">
        <f t="shared" si="289"/>
        <v>0</v>
      </c>
      <c r="ZB51" s="22">
        <f t="shared" si="289"/>
        <v>0</v>
      </c>
      <c r="ZC51" s="22">
        <f t="shared" si="289"/>
        <v>0</v>
      </c>
      <c r="ZD51" s="22">
        <f t="shared" si="289"/>
        <v>0</v>
      </c>
      <c r="ZE51" s="22">
        <f t="shared" si="289"/>
        <v>0</v>
      </c>
      <c r="ZF51" s="22">
        <f t="shared" si="289"/>
        <v>0</v>
      </c>
      <c r="ZG51" s="22">
        <f t="shared" si="289"/>
        <v>0</v>
      </c>
      <c r="ZH51" s="22">
        <f t="shared" si="289"/>
        <v>0</v>
      </c>
      <c r="ZI51" s="22">
        <f t="shared" si="289"/>
        <v>0</v>
      </c>
      <c r="ZJ51" s="22">
        <f t="shared" si="289"/>
        <v>0</v>
      </c>
      <c r="ZK51" s="22">
        <f t="shared" si="289"/>
        <v>0</v>
      </c>
      <c r="ZL51" s="22">
        <f t="shared" si="289"/>
        <v>0</v>
      </c>
      <c r="ZM51" s="22">
        <f t="shared" si="289"/>
        <v>0</v>
      </c>
      <c r="ZN51" s="22">
        <f t="shared" si="289"/>
        <v>0</v>
      </c>
      <c r="ZO51" s="22">
        <f t="shared" si="289"/>
        <v>0</v>
      </c>
      <c r="ZP51" s="22">
        <f t="shared" si="289"/>
        <v>0</v>
      </c>
      <c r="ZQ51" s="22">
        <f t="shared" si="289"/>
        <v>0</v>
      </c>
      <c r="ZR51" s="22">
        <f t="shared" si="289"/>
        <v>0</v>
      </c>
      <c r="ZS51" s="22">
        <f t="shared" si="289"/>
        <v>0</v>
      </c>
      <c r="ZT51" s="22">
        <f t="shared" si="289"/>
        <v>0</v>
      </c>
      <c r="ZU51" s="22">
        <f t="shared" si="289"/>
        <v>0</v>
      </c>
      <c r="ZV51" s="22">
        <f t="shared" si="289"/>
        <v>0</v>
      </c>
      <c r="ZW51" s="22">
        <f t="shared" si="289"/>
        <v>0</v>
      </c>
      <c r="ZX51" s="22">
        <f t="shared" si="289"/>
        <v>0</v>
      </c>
      <c r="ZY51" s="22">
        <f t="shared" si="289"/>
        <v>0</v>
      </c>
      <c r="ZZ51" s="22">
        <f t="shared" si="289"/>
        <v>0</v>
      </c>
      <c r="AAA51" s="22">
        <f t="shared" si="289"/>
        <v>0</v>
      </c>
      <c r="AAB51" s="22">
        <f t="shared" si="289"/>
        <v>0</v>
      </c>
      <c r="AAC51" s="22">
        <f t="shared" si="289"/>
        <v>0</v>
      </c>
      <c r="AAD51" s="22">
        <f t="shared" si="289"/>
        <v>0</v>
      </c>
      <c r="AAE51" s="22">
        <f t="shared" si="289"/>
        <v>0</v>
      </c>
      <c r="AAF51" s="22">
        <f t="shared" si="289"/>
        <v>0</v>
      </c>
      <c r="AAG51" s="22">
        <f t="shared" si="289"/>
        <v>0</v>
      </c>
      <c r="AAH51" s="22">
        <f t="shared" si="289"/>
        <v>0</v>
      </c>
      <c r="AAI51" s="22">
        <f t="shared" ref="AAI51:ABI51" si="290">$E$51*AAI35</f>
        <v>0</v>
      </c>
      <c r="AAJ51" s="22">
        <f t="shared" si="290"/>
        <v>0</v>
      </c>
      <c r="AAK51" s="22">
        <f t="shared" si="290"/>
        <v>0</v>
      </c>
      <c r="AAL51" s="22">
        <f t="shared" si="290"/>
        <v>0</v>
      </c>
      <c r="AAM51" s="22">
        <f t="shared" si="290"/>
        <v>0</v>
      </c>
      <c r="AAN51" s="22">
        <f t="shared" si="290"/>
        <v>0</v>
      </c>
      <c r="AAO51" s="22">
        <f t="shared" si="290"/>
        <v>0</v>
      </c>
      <c r="AAP51" s="22">
        <f t="shared" si="290"/>
        <v>0</v>
      </c>
      <c r="AAQ51" s="22">
        <f t="shared" si="290"/>
        <v>0</v>
      </c>
      <c r="AAR51" s="22">
        <f t="shared" si="290"/>
        <v>0</v>
      </c>
      <c r="AAS51" s="22">
        <f t="shared" si="290"/>
        <v>0</v>
      </c>
      <c r="AAT51" s="22">
        <f t="shared" si="290"/>
        <v>0</v>
      </c>
      <c r="AAU51" s="22">
        <f t="shared" si="290"/>
        <v>0</v>
      </c>
      <c r="AAV51" s="22">
        <f t="shared" si="290"/>
        <v>0</v>
      </c>
      <c r="AAW51" s="22">
        <f t="shared" si="290"/>
        <v>0</v>
      </c>
      <c r="AAX51" s="22">
        <f t="shared" si="290"/>
        <v>0</v>
      </c>
      <c r="AAY51" s="22">
        <f t="shared" si="290"/>
        <v>0</v>
      </c>
      <c r="AAZ51" s="22">
        <f t="shared" si="290"/>
        <v>0</v>
      </c>
      <c r="ABA51" s="22">
        <f t="shared" si="290"/>
        <v>0</v>
      </c>
      <c r="ABB51" s="22">
        <f t="shared" si="290"/>
        <v>0</v>
      </c>
      <c r="ABC51" s="22">
        <f t="shared" si="290"/>
        <v>0</v>
      </c>
      <c r="ABD51" s="22">
        <f t="shared" si="290"/>
        <v>0</v>
      </c>
      <c r="ABE51" s="22">
        <f t="shared" si="290"/>
        <v>0</v>
      </c>
      <c r="ABF51" s="22">
        <f t="shared" si="290"/>
        <v>0</v>
      </c>
      <c r="ABG51" s="22">
        <f t="shared" si="290"/>
        <v>0</v>
      </c>
      <c r="ABH51" s="22">
        <f t="shared" si="290"/>
        <v>0</v>
      </c>
      <c r="ABI51" s="22">
        <f t="shared" si="290"/>
        <v>0</v>
      </c>
    </row>
    <row r="52" spans="1:737" ht="12.95" customHeight="1" x14ac:dyDescent="0.25">
      <c r="B52" s="24" t="s">
        <v>13</v>
      </c>
      <c r="C52" s="19">
        <f>[1]TESTE_LOG_OBRA!D12*[1]TESTE_LOG_OBRA!D11*[1]TESTE_LOG_OBRA!C32</f>
        <v>30770</v>
      </c>
      <c r="D52" s="25" t="s">
        <v>16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8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/>
      <c r="NW52" s="27"/>
      <c r="NX52" s="27"/>
      <c r="NY52" s="27"/>
      <c r="NZ52" s="27"/>
      <c r="OA52" s="27"/>
      <c r="OB52" s="27"/>
      <c r="OC52" s="27"/>
      <c r="OD52" s="27"/>
      <c r="OE52" s="27"/>
      <c r="OF52" s="27"/>
      <c r="OG52" s="27"/>
      <c r="OH52" s="27"/>
      <c r="OI52" s="27"/>
      <c r="OJ52" s="27"/>
      <c r="OK52" s="27"/>
      <c r="OL52" s="27"/>
      <c r="OM52" s="27"/>
      <c r="ON52" s="27"/>
      <c r="OO52" s="27"/>
      <c r="OP52" s="27"/>
      <c r="OQ52" s="27"/>
      <c r="OR52" s="27"/>
      <c r="OS52" s="27"/>
      <c r="OT52" s="27"/>
      <c r="OU52" s="27"/>
      <c r="OV52" s="27"/>
      <c r="OW52" s="27"/>
      <c r="OX52" s="27"/>
      <c r="OY52" s="27"/>
      <c r="OZ52" s="27"/>
      <c r="PA52" s="27"/>
      <c r="PB52" s="27"/>
      <c r="PC52" s="27"/>
      <c r="PD52" s="27"/>
      <c r="PE52" s="27"/>
      <c r="PF52" s="27"/>
      <c r="PG52" s="27"/>
      <c r="PH52" s="27"/>
      <c r="PI52" s="27"/>
      <c r="PJ52" s="27"/>
      <c r="PK52" s="27"/>
      <c r="PL52" s="27"/>
      <c r="PM52" s="27"/>
      <c r="PN52" s="27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7"/>
      <c r="QE52" s="27"/>
      <c r="QF52" s="27"/>
      <c r="QG52" s="27"/>
      <c r="QH52" s="27"/>
      <c r="QI52" s="27"/>
      <c r="QJ52" s="27"/>
      <c r="QK52" s="27"/>
      <c r="QL52" s="27"/>
      <c r="QM52" s="27"/>
      <c r="QN52" s="27"/>
      <c r="QO52" s="27"/>
      <c r="QP52" s="27"/>
      <c r="QQ52" s="27"/>
      <c r="QR52" s="27"/>
      <c r="QS52" s="27"/>
      <c r="QT52" s="27"/>
      <c r="QU52" s="27"/>
      <c r="QV52" s="27"/>
      <c r="QW52" s="27"/>
      <c r="QX52" s="27"/>
      <c r="QY52" s="27"/>
      <c r="QZ52" s="27"/>
      <c r="RA52" s="27"/>
      <c r="RB52" s="27"/>
      <c r="RC52" s="27"/>
      <c r="RD52" s="27"/>
      <c r="RE52" s="27"/>
      <c r="RF52" s="27"/>
      <c r="RG52" s="27"/>
      <c r="RH52" s="27"/>
      <c r="RI52" s="27"/>
      <c r="RJ52" s="27"/>
      <c r="RK52" s="27"/>
      <c r="RL52" s="27"/>
      <c r="RM52" s="27"/>
      <c r="RN52" s="27"/>
      <c r="RO52" s="27"/>
      <c r="RP52" s="27"/>
      <c r="RQ52" s="27"/>
      <c r="RR52" s="27"/>
      <c r="RS52" s="27"/>
      <c r="RT52" s="27"/>
      <c r="RU52" s="27"/>
      <c r="RV52" s="27"/>
      <c r="RW52" s="27"/>
      <c r="RX52" s="27"/>
      <c r="RY52" s="27"/>
      <c r="RZ52" s="27"/>
      <c r="SA52" s="27"/>
      <c r="SB52" s="27"/>
      <c r="SC52" s="27"/>
      <c r="SD52" s="27"/>
      <c r="SE52" s="27"/>
      <c r="SF52" s="27"/>
      <c r="SG52" s="27"/>
      <c r="SH52" s="27"/>
      <c r="SI52" s="27"/>
      <c r="SJ52" s="27"/>
      <c r="SK52" s="27"/>
      <c r="SL52" s="27"/>
      <c r="SM52" s="27"/>
      <c r="SN52" s="27"/>
      <c r="SO52" s="27"/>
      <c r="SP52" s="27"/>
      <c r="SQ52" s="27"/>
      <c r="SR52" s="27"/>
      <c r="SS52" s="27"/>
      <c r="ST52" s="27"/>
      <c r="SU52" s="27"/>
      <c r="SV52" s="27"/>
      <c r="SW52" s="27"/>
      <c r="SX52" s="27"/>
      <c r="SY52" s="27"/>
      <c r="SZ52" s="27"/>
      <c r="TA52" s="27"/>
      <c r="TB52" s="27"/>
      <c r="TC52" s="27"/>
      <c r="TD52" s="27"/>
      <c r="TE52" s="27"/>
      <c r="TF52" s="27"/>
      <c r="TG52" s="27"/>
      <c r="TH52" s="27"/>
      <c r="TI52" s="27"/>
      <c r="TJ52" s="27"/>
      <c r="TK52" s="27"/>
      <c r="TL52" s="27"/>
      <c r="TM52" s="27"/>
      <c r="TN52" s="27"/>
      <c r="TO52" s="27"/>
      <c r="TP52" s="27"/>
      <c r="TQ52" s="27"/>
      <c r="TR52" s="27"/>
      <c r="TS52" s="27"/>
      <c r="TT52" s="27"/>
      <c r="TU52" s="27"/>
      <c r="TV52" s="27"/>
      <c r="TW52" s="27"/>
      <c r="TX52" s="27"/>
      <c r="TY52" s="27"/>
      <c r="TZ52" s="27"/>
      <c r="UA52" s="27"/>
      <c r="UB52" s="27"/>
      <c r="UC52" s="27"/>
      <c r="UD52" s="27"/>
      <c r="UE52" s="27"/>
      <c r="UF52" s="27"/>
      <c r="UG52" s="27"/>
      <c r="UH52" s="27"/>
      <c r="UI52" s="27"/>
      <c r="UJ52" s="27"/>
      <c r="UK52" s="27"/>
      <c r="UL52" s="27"/>
      <c r="UM52" s="27"/>
      <c r="UN52" s="27"/>
      <c r="UO52" s="27"/>
      <c r="UP52" s="27"/>
      <c r="UQ52" s="27"/>
      <c r="UR52" s="27"/>
      <c r="US52" s="27"/>
      <c r="UT52" s="27"/>
      <c r="UU52" s="27"/>
      <c r="UV52" s="27"/>
      <c r="UW52" s="27"/>
      <c r="UX52" s="27"/>
      <c r="UY52" s="27"/>
      <c r="UZ52" s="27"/>
      <c r="VA52" s="27"/>
      <c r="VB52" s="27"/>
      <c r="VC52" s="27"/>
      <c r="VD52" s="27"/>
      <c r="VE52" s="27"/>
      <c r="VF52" s="27"/>
      <c r="VG52" s="27"/>
      <c r="VH52" s="27"/>
      <c r="VI52" s="27"/>
      <c r="VJ52" s="27"/>
      <c r="VK52" s="27"/>
      <c r="VL52" s="27"/>
      <c r="VM52" s="27"/>
      <c r="VN52" s="27"/>
      <c r="VO52" s="27"/>
      <c r="VP52" s="27"/>
      <c r="VQ52" s="27"/>
      <c r="VR52" s="27"/>
      <c r="VS52" s="27"/>
      <c r="VT52" s="27"/>
      <c r="VU52" s="27"/>
      <c r="VV52" s="27"/>
      <c r="VW52" s="27"/>
      <c r="VX52" s="27"/>
      <c r="VY52" s="27"/>
      <c r="VZ52" s="27"/>
      <c r="WA52" s="27"/>
      <c r="WB52" s="27"/>
      <c r="WC52" s="27"/>
      <c r="WD52" s="27"/>
      <c r="WE52" s="27"/>
      <c r="WF52" s="27"/>
      <c r="WG52" s="27"/>
      <c r="WH52" s="27"/>
      <c r="WI52" s="27"/>
      <c r="WJ52" s="27"/>
      <c r="WK52" s="27"/>
      <c r="WL52" s="27"/>
      <c r="WM52" s="27"/>
      <c r="WN52" s="27"/>
      <c r="WO52" s="27"/>
      <c r="WP52" s="27"/>
      <c r="WQ52" s="27"/>
      <c r="WR52" s="27"/>
      <c r="WS52" s="27"/>
      <c r="WT52" s="27"/>
      <c r="WU52" s="27"/>
      <c r="WV52" s="27"/>
      <c r="WW52" s="27"/>
      <c r="WX52" s="27"/>
      <c r="WY52" s="27"/>
      <c r="WZ52" s="27"/>
      <c r="XA52" s="27"/>
      <c r="XB52" s="27"/>
      <c r="XC52" s="27"/>
      <c r="XD52" s="27"/>
      <c r="XE52" s="27"/>
      <c r="XF52" s="27"/>
      <c r="XG52" s="27"/>
      <c r="XH52" s="27"/>
      <c r="XI52" s="27"/>
      <c r="XJ52" s="27"/>
      <c r="XK52" s="27"/>
      <c r="XL52" s="27"/>
      <c r="XM52" s="27"/>
      <c r="XN52" s="27"/>
      <c r="XO52" s="27"/>
      <c r="XP52" s="27"/>
      <c r="XQ52" s="27"/>
      <c r="XR52" s="27"/>
      <c r="XS52" s="27"/>
      <c r="XT52" s="27"/>
      <c r="XU52" s="27"/>
      <c r="XV52" s="27"/>
      <c r="XW52" s="27"/>
      <c r="XX52" s="27"/>
      <c r="XY52" s="27"/>
      <c r="XZ52" s="27"/>
      <c r="YA52" s="27"/>
      <c r="YB52" s="27"/>
      <c r="YC52" s="27"/>
      <c r="YD52" s="27"/>
      <c r="YE52" s="27"/>
      <c r="YF52" s="27"/>
      <c r="YG52" s="27"/>
      <c r="YH52" s="27"/>
      <c r="YI52" s="27"/>
      <c r="YJ52" s="27"/>
      <c r="YK52" s="27"/>
      <c r="YL52" s="27"/>
      <c r="YM52" s="27"/>
      <c r="YN52" s="27"/>
      <c r="YO52" s="27"/>
      <c r="YP52" s="27"/>
      <c r="YQ52" s="27"/>
      <c r="YR52" s="27"/>
      <c r="YS52" s="27"/>
      <c r="YT52" s="27"/>
      <c r="YU52" s="27"/>
      <c r="YV52" s="27"/>
      <c r="YW52" s="27"/>
      <c r="YX52" s="27"/>
      <c r="YY52" s="27"/>
      <c r="YZ52" s="27"/>
      <c r="ZA52" s="27"/>
      <c r="ZB52" s="27"/>
      <c r="ZC52" s="27"/>
      <c r="ZD52" s="27"/>
      <c r="ZE52" s="27"/>
      <c r="ZF52" s="27"/>
      <c r="ZG52" s="27"/>
      <c r="ZH52" s="27"/>
      <c r="ZI52" s="27"/>
      <c r="ZJ52" s="27"/>
      <c r="ZK52" s="27"/>
      <c r="ZL52" s="27"/>
      <c r="ZM52" s="27"/>
      <c r="ZN52" s="27"/>
      <c r="ZO52" s="27"/>
      <c r="ZP52" s="27"/>
      <c r="ZQ52" s="27"/>
      <c r="ZR52" s="27"/>
      <c r="ZS52" s="27"/>
      <c r="ZT52" s="27"/>
      <c r="ZU52" s="27"/>
      <c r="ZV52" s="27"/>
      <c r="ZW52" s="27"/>
      <c r="ZX52" s="27"/>
      <c r="ZY52" s="27"/>
      <c r="ZZ52" s="27"/>
      <c r="AAA52" s="27"/>
      <c r="AAB52" s="27"/>
      <c r="AAC52" s="27"/>
      <c r="AAD52" s="27"/>
      <c r="AAE52" s="27"/>
      <c r="AAF52" s="27"/>
      <c r="AAG52" s="27"/>
      <c r="AAH52" s="27"/>
      <c r="AAI52" s="27"/>
      <c r="AAJ52" s="27"/>
      <c r="AAK52" s="27"/>
      <c r="AAL52" s="27"/>
      <c r="AAM52" s="27"/>
      <c r="AAN52" s="27"/>
      <c r="AAO52" s="27"/>
      <c r="AAP52" s="27"/>
      <c r="AAQ52" s="27"/>
      <c r="AAR52" s="27"/>
      <c r="AAS52" s="27"/>
      <c r="AAT52" s="27"/>
      <c r="AAU52" s="27"/>
      <c r="AAV52" s="27"/>
      <c r="AAW52" s="27"/>
      <c r="AAX52" s="27"/>
      <c r="AAY52" s="27"/>
      <c r="AAZ52" s="27"/>
      <c r="ABA52" s="27"/>
      <c r="ABB52" s="27"/>
      <c r="ABC52" s="27"/>
      <c r="ABD52" s="27"/>
      <c r="ABE52" s="27"/>
      <c r="ABF52" s="27"/>
      <c r="ABG52" s="27"/>
      <c r="ABH52" s="27"/>
      <c r="ABI52" s="27"/>
    </row>
    <row r="53" spans="1:737" ht="12.95" customHeight="1" x14ac:dyDescent="0.25">
      <c r="B53" s="24"/>
      <c r="C53" s="19">
        <f>[1]TESTE_LOG_OBRA!$F$33*[1]TESTE_LOG_OBRA!$E$32</f>
        <v>75922</v>
      </c>
      <c r="D53" s="25" t="s">
        <v>18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8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  <c r="SG53" s="27"/>
      <c r="SH53" s="27"/>
      <c r="SI53" s="27"/>
      <c r="SJ53" s="27"/>
      <c r="SK53" s="27"/>
      <c r="SL53" s="27"/>
      <c r="SM53" s="27"/>
      <c r="SN53" s="27"/>
      <c r="SO53" s="27"/>
      <c r="SP53" s="27"/>
      <c r="SQ53" s="27"/>
      <c r="SR53" s="27"/>
      <c r="SS53" s="27"/>
      <c r="ST53" s="27"/>
      <c r="SU53" s="27"/>
      <c r="SV53" s="27"/>
      <c r="SW53" s="27"/>
      <c r="SX53" s="27"/>
      <c r="SY53" s="27"/>
      <c r="SZ53" s="27"/>
      <c r="TA53" s="27"/>
      <c r="TB53" s="27"/>
      <c r="TC53" s="27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  <c r="UU53" s="27"/>
      <c r="UV53" s="27"/>
      <c r="UW53" s="27"/>
      <c r="UX53" s="27"/>
      <c r="UY53" s="27"/>
      <c r="UZ53" s="27"/>
      <c r="VA53" s="27"/>
      <c r="VB53" s="27"/>
      <c r="VC53" s="27"/>
      <c r="VD53" s="27"/>
      <c r="VE53" s="27"/>
      <c r="VF53" s="27"/>
      <c r="VG53" s="27"/>
      <c r="VH53" s="27"/>
      <c r="VI53" s="27"/>
      <c r="VJ53" s="27"/>
      <c r="VK53" s="27"/>
      <c r="VL53" s="27"/>
      <c r="VM53" s="27"/>
      <c r="VN53" s="27"/>
      <c r="VO53" s="27"/>
      <c r="VP53" s="27"/>
      <c r="VQ53" s="27"/>
      <c r="VR53" s="27"/>
      <c r="VS53" s="27"/>
      <c r="VT53" s="27"/>
      <c r="VU53" s="27"/>
      <c r="VV53" s="27"/>
      <c r="VW53" s="27"/>
      <c r="VX53" s="27"/>
      <c r="VY53" s="27"/>
      <c r="VZ53" s="27"/>
      <c r="WA53" s="27"/>
      <c r="WB53" s="27"/>
      <c r="WC53" s="27"/>
      <c r="WD53" s="27"/>
      <c r="WE53" s="27"/>
      <c r="WF53" s="27"/>
      <c r="WG53" s="27"/>
      <c r="WH53" s="27"/>
      <c r="WI53" s="27"/>
      <c r="WJ53" s="27"/>
      <c r="WK53" s="27"/>
      <c r="WL53" s="27"/>
      <c r="WM53" s="27"/>
      <c r="WN53" s="27"/>
      <c r="WO53" s="27"/>
      <c r="WP53" s="27"/>
      <c r="WQ53" s="27"/>
      <c r="WR53" s="27"/>
      <c r="WS53" s="27"/>
      <c r="WT53" s="27"/>
      <c r="WU53" s="27"/>
      <c r="WV53" s="27"/>
      <c r="WW53" s="27"/>
      <c r="WX53" s="27"/>
      <c r="WY53" s="27"/>
      <c r="WZ53" s="27"/>
      <c r="XA53" s="27"/>
      <c r="XB53" s="27"/>
      <c r="XC53" s="27"/>
      <c r="XD53" s="27"/>
      <c r="XE53" s="27"/>
      <c r="XF53" s="27"/>
      <c r="XG53" s="27"/>
      <c r="XH53" s="27"/>
      <c r="XI53" s="27"/>
      <c r="XJ53" s="27"/>
      <c r="XK53" s="27"/>
      <c r="XL53" s="27"/>
      <c r="XM53" s="27"/>
      <c r="XN53" s="27"/>
      <c r="XO53" s="27"/>
      <c r="XP53" s="27"/>
      <c r="XQ53" s="27"/>
      <c r="XR53" s="27"/>
      <c r="XS53" s="27"/>
      <c r="XT53" s="27"/>
      <c r="XU53" s="27"/>
      <c r="XV53" s="27"/>
      <c r="XW53" s="27"/>
      <c r="XX53" s="27"/>
      <c r="XY53" s="27"/>
      <c r="XZ53" s="27"/>
      <c r="YA53" s="27"/>
      <c r="YB53" s="27"/>
      <c r="YC53" s="27"/>
      <c r="YD53" s="27"/>
      <c r="YE53" s="27"/>
      <c r="YF53" s="27"/>
      <c r="YG53" s="27"/>
      <c r="YH53" s="27"/>
      <c r="YI53" s="27"/>
      <c r="YJ53" s="27"/>
      <c r="YK53" s="27"/>
      <c r="YL53" s="27"/>
      <c r="YM53" s="27"/>
      <c r="YN53" s="27"/>
      <c r="YO53" s="27"/>
      <c r="YP53" s="27"/>
      <c r="YQ53" s="27"/>
      <c r="YR53" s="27"/>
      <c r="YS53" s="27"/>
      <c r="YT53" s="27"/>
      <c r="YU53" s="27"/>
      <c r="YV53" s="27"/>
      <c r="YW53" s="27"/>
      <c r="YX53" s="27"/>
      <c r="YY53" s="27"/>
      <c r="YZ53" s="27"/>
      <c r="ZA53" s="27"/>
      <c r="ZB53" s="27"/>
      <c r="ZC53" s="27"/>
      <c r="ZD53" s="27"/>
      <c r="ZE53" s="27"/>
      <c r="ZF53" s="27"/>
      <c r="ZG53" s="27"/>
      <c r="ZH53" s="27"/>
      <c r="ZI53" s="27"/>
      <c r="ZJ53" s="27"/>
      <c r="ZK53" s="27"/>
      <c r="ZL53" s="27"/>
      <c r="ZM53" s="27"/>
      <c r="ZN53" s="27"/>
      <c r="ZO53" s="27"/>
      <c r="ZP53" s="27"/>
      <c r="ZQ53" s="27"/>
      <c r="ZR53" s="27"/>
      <c r="ZS53" s="27"/>
      <c r="ZT53" s="27"/>
      <c r="ZU53" s="27"/>
      <c r="ZV53" s="27"/>
      <c r="ZW53" s="27"/>
      <c r="ZX53" s="27"/>
      <c r="ZY53" s="27"/>
      <c r="ZZ53" s="27"/>
      <c r="AAA53" s="27"/>
      <c r="AAB53" s="27"/>
      <c r="AAC53" s="27"/>
      <c r="AAD53" s="27"/>
      <c r="AAE53" s="27"/>
      <c r="AAF53" s="27"/>
      <c r="AAG53" s="27"/>
      <c r="AAH53" s="27"/>
      <c r="AAI53" s="27"/>
      <c r="AAJ53" s="27"/>
      <c r="AAK53" s="27"/>
      <c r="AAL53" s="27"/>
      <c r="AAM53" s="27"/>
      <c r="AAN53" s="27"/>
      <c r="AAO53" s="27"/>
      <c r="AAP53" s="27"/>
      <c r="AAQ53" s="27"/>
      <c r="AAR53" s="27"/>
      <c r="AAS53" s="27"/>
      <c r="AAT53" s="27"/>
      <c r="AAU53" s="27"/>
      <c r="AAV53" s="27"/>
      <c r="AAW53" s="27"/>
      <c r="AAX53" s="27"/>
      <c r="AAY53" s="27"/>
      <c r="AAZ53" s="27"/>
      <c r="ABA53" s="27"/>
      <c r="ABB53" s="27"/>
      <c r="ABC53" s="27"/>
      <c r="ABD53" s="27"/>
      <c r="ABE53" s="27"/>
      <c r="ABF53" s="27"/>
      <c r="ABG53" s="27"/>
      <c r="ABH53" s="27"/>
      <c r="ABI53" s="27"/>
    </row>
    <row r="54" spans="1:737" ht="12.95" customHeight="1" x14ac:dyDescent="0.25">
      <c r="B54" s="2"/>
      <c r="C54" s="29"/>
      <c r="D54" s="2"/>
      <c r="E54" s="26"/>
      <c r="K54" s="27"/>
      <c r="AK54" s="4"/>
    </row>
    <row r="55" spans="1:737" ht="12.95" hidden="1" customHeight="1" x14ac:dyDescent="0.25">
      <c r="C55" s="11" t="s">
        <v>20</v>
      </c>
      <c r="D55" s="30" t="s">
        <v>21</v>
      </c>
      <c r="E55" s="31">
        <f>SUMIFS($F$44:$ABI$44,$F$24:$ABI$24,"Sáb")+SUMIFS($F$47:$ABI$47,$F$24:$ABI$24,"Sáb")+SUMIFS($F$50:$ABI$50,$F$24:$ABI$24,"Sáb")+SUMIFS($F$41:$ABI$41,$F$24:$ABI$24,"Sáb")</f>
        <v>14580.54</v>
      </c>
      <c r="K55" s="27"/>
      <c r="AK55" s="4"/>
    </row>
    <row r="56" spans="1:737" ht="12.95" hidden="1" customHeight="1" x14ac:dyDescent="0.25">
      <c r="C56" s="11" t="s">
        <v>20</v>
      </c>
      <c r="D56" s="30" t="s">
        <v>22</v>
      </c>
      <c r="E56" s="31">
        <f>SUMIFS($F$44:$ABI$44,$F$24:$ABI$24,"Dom")+SUMIFS($F$47:$ABI$47,$F$24:$ABI$24,"Dom")+SUMIFS($F$50:$ABI$50,$F$24:$ABI$24,"Dom")+SUMIFS($F$41:$ABI$41,$F$24:$ABI$24,"Dom")</f>
        <v>12860.969999999998</v>
      </c>
      <c r="K56" s="27"/>
      <c r="AK56" s="4"/>
    </row>
    <row r="57" spans="1:737" ht="12.95" hidden="1" customHeight="1" x14ac:dyDescent="0.25">
      <c r="C57" s="11" t="s">
        <v>20</v>
      </c>
      <c r="D57" s="30" t="s">
        <v>23</v>
      </c>
      <c r="E57" s="31">
        <f>SUMIFS($F$44:$ABI$44,$F$24:$ABI$24,"Fer")+SUMIFS($F$47:$ABI$47,$F$24:$ABI$24,"Fer")+SUMIFS($F$50:$ABI$50,$F$24:$ABI$24,"Fer")+SUMIFS($F$41:$ABI$41,$F$24:$ABI$24,"Fer")</f>
        <v>1461.0300000000002</v>
      </c>
      <c r="K57" s="27"/>
      <c r="AK57" s="4"/>
    </row>
    <row r="58" spans="1:737" ht="12.95" hidden="1" customHeight="1" x14ac:dyDescent="0.25">
      <c r="C58" s="2"/>
      <c r="K58" s="27"/>
      <c r="AK58" s="4"/>
    </row>
    <row r="59" spans="1:737" ht="12.95" hidden="1" customHeight="1" x14ac:dyDescent="0.25">
      <c r="C59" s="11" t="s">
        <v>20</v>
      </c>
      <c r="D59" s="30" t="s">
        <v>24</v>
      </c>
      <c r="E59" s="32">
        <f>(C41+C50+C47+C44)-E60</f>
        <v>141853.83000000002</v>
      </c>
      <c r="K59" s="27"/>
      <c r="AK59" s="4"/>
    </row>
    <row r="60" spans="1:737" ht="12.95" hidden="1" customHeight="1" x14ac:dyDescent="0.25">
      <c r="C60" s="11" t="s">
        <v>20</v>
      </c>
      <c r="D60" s="30" t="s">
        <v>25</v>
      </c>
      <c r="E60" s="32">
        <f>E55+E56+E57</f>
        <v>28902.539999999997</v>
      </c>
      <c r="G60" s="33"/>
      <c r="K60" s="27"/>
      <c r="AK60" s="4"/>
    </row>
    <row r="61" spans="1:737" ht="12.95" hidden="1" customHeight="1" x14ac:dyDescent="0.25">
      <c r="C61" s="11" t="s">
        <v>20</v>
      </c>
      <c r="D61" s="30" t="s">
        <v>26</v>
      </c>
      <c r="E61" s="32">
        <f>C42+C51+C45+C48</f>
        <v>201073.44000000038</v>
      </c>
      <c r="K61" s="27"/>
      <c r="AK61" s="4"/>
    </row>
    <row r="62" spans="1:737" ht="12.95" hidden="1" customHeight="1" x14ac:dyDescent="0.25">
      <c r="C62" s="11" t="s">
        <v>20</v>
      </c>
      <c r="D62" s="30" t="s">
        <v>16</v>
      </c>
      <c r="E62" s="32">
        <f>C40+C49+C43+C46</f>
        <v>69324.059999999881</v>
      </c>
      <c r="K62" s="27"/>
      <c r="AK62" s="4"/>
    </row>
    <row r="63" spans="1:737" ht="12.95" hidden="1" customHeight="1" x14ac:dyDescent="0.25">
      <c r="C63" s="11" t="s">
        <v>27</v>
      </c>
      <c r="D63" s="30" t="s">
        <v>28</v>
      </c>
      <c r="E63" s="32">
        <f>C52+C53</f>
        <v>106692</v>
      </c>
      <c r="K63" s="27"/>
      <c r="AK63" s="4"/>
    </row>
    <row r="64" spans="1:737" ht="12.95" hidden="1" customHeight="1" x14ac:dyDescent="0.25">
      <c r="A64" s="34"/>
      <c r="B64" s="34"/>
      <c r="C64" s="11" t="s">
        <v>29</v>
      </c>
      <c r="D64" s="30" t="s">
        <v>12</v>
      </c>
      <c r="E64" s="32">
        <f>SUM(E59:E63)</f>
        <v>547845.87000000034</v>
      </c>
      <c r="K64" s="27"/>
      <c r="AK64" s="4"/>
    </row>
    <row r="65" spans="1:11" ht="12.95" hidden="1" customHeight="1" x14ac:dyDescent="0.25">
      <c r="A65" s="34"/>
      <c r="B65" s="35">
        <f>-(C52+C53)</f>
        <v>-106692</v>
      </c>
      <c r="C65" s="2"/>
      <c r="K65" s="27"/>
    </row>
    <row r="66" spans="1:11" ht="23.1" customHeight="1" x14ac:dyDescent="0.25">
      <c r="A66" s="34"/>
      <c r="B66" s="35">
        <f>SUM(D67:D80)</f>
        <v>270397.5</v>
      </c>
      <c r="C66" s="36" t="s">
        <v>30</v>
      </c>
      <c r="D66" s="37" t="s">
        <v>31</v>
      </c>
      <c r="E66" s="36" t="s">
        <v>32</v>
      </c>
      <c r="F66" s="36" t="s">
        <v>33</v>
      </c>
      <c r="G66" s="36" t="s">
        <v>17</v>
      </c>
      <c r="H66" s="36" t="s">
        <v>12</v>
      </c>
      <c r="K66" s="27"/>
    </row>
    <row r="67" spans="1:11" ht="12.95" customHeight="1" x14ac:dyDescent="0.25">
      <c r="A67" s="35">
        <f>$B$65*B67</f>
        <v>-8897.9109750644948</v>
      </c>
      <c r="B67" s="38">
        <f>D67/$B$66</f>
        <v>8.3398108340498767E-2</v>
      </c>
      <c r="C67" s="11">
        <v>1</v>
      </c>
      <c r="D67" s="39">
        <f t="shared" ref="D67:D79" si="291">SUMIFS($F$40:$ABI$40,$F$4:$ABI$4,C67)+SUMIFS($F$42:$ABI$42,$F$4:$ABI$4,C67)+SUMIFS($F$43:$ABI$43,$F$4:$ABI$4,C67)+SUMIFS($F$45:$ABI$45,$F$4:$ABI$4,C67)+SUMIFS($F$46:$ABI$46,$F$4:$ABI$4,C67)+SUMIFS($F$48:$ABI$48,$F$4:$ABI$4,C67)+SUMIFS($F$49:$ABI$49,$F$4:$ABI$4,C67)+SUMIFS($F$51:$ABI$51,$F$4:$ABI$4,C67)</f>
        <v>22550.640000000014</v>
      </c>
      <c r="E67" s="32">
        <f t="shared" ref="E67:E80" si="292">SUMIFS($F$44:$ABI$44,$F$4:$ABI$4,C67,$F$24:$ABI$24,"Sáb")+SUMIFS($F$44:$ABI$44,$F$4:$ABI$4,C67,$F$24:$ABI$24,"Dom")+SUMIFS($F$47:$ABI$47,$F$4:$ABI$4,C67,$F$24:$ABI$24,"Sáb")+SUMIFS($F$47:$ABI$47,$F$4:$ABI$4,C67,$F$24:$ABI$24,"Dom")+SUMIFS($F$50:$ABI$50,$F$4:$ABI$4,C67,$F$24:$ABI$24,"Sáb")+SUMIFS($F$50:$ABI$50,$F$4:$ABI$4,C67,$F$24:$ABI$24,"Dom")+SUMIFS($F$41:$ABI$41,$F$4:$ABI$4,C67,$F$24:$ABI$24,"Sáb")+SUMIFS($F$41:$ABI$41,$F$4:$ABI$4,C67,$F$24:$ABI$24,"Dom")</f>
        <v>1049.0400000000002</v>
      </c>
      <c r="F67" s="32">
        <f>IFERROR((D67+E67)-A67,0)</f>
        <v>32497.590975064508</v>
      </c>
      <c r="G67" s="31">
        <f t="shared" ref="G67:G80" si="293">SUMIFS($F$44:$AIB$44,$F$4:$AIB$4,C67)+SUMIFS($F$47:$AIB$47,$F$4:$AIB$4,C67)+SUMIFS($F$50:$AIB$50,$F$4:$AIB$4,C67)+SUMIFS($F$41:$AIB$41,$F$4:$AIB$4,C67)-E67</f>
        <v>11476.2</v>
      </c>
      <c r="H67" s="32">
        <f>F67+G67</f>
        <v>43973.790975064505</v>
      </c>
      <c r="K67" s="27"/>
    </row>
    <row r="68" spans="1:11" ht="12.95" customHeight="1" x14ac:dyDescent="0.25">
      <c r="A68" s="35">
        <f t="shared" ref="A68:A80" si="294">$B$65*B68</f>
        <v>-16431.485386070504</v>
      </c>
      <c r="B68" s="38">
        <f t="shared" ref="B68:B80" si="295">D68/$B$66</f>
        <v>0.15400859845227857</v>
      </c>
      <c r="C68" s="11">
        <v>2</v>
      </c>
      <c r="D68" s="39">
        <f t="shared" si="291"/>
        <v>41643.539999999994</v>
      </c>
      <c r="E68" s="32">
        <f t="shared" si="292"/>
        <v>4069.6800000000003</v>
      </c>
      <c r="F68" s="32">
        <f t="shared" ref="F68:F80" si="296">IFERROR((D68+E68)-A68,0)</f>
        <v>62144.705386070498</v>
      </c>
      <c r="G68" s="31">
        <f t="shared" si="293"/>
        <v>22154.460000000006</v>
      </c>
      <c r="H68" s="32">
        <f t="shared" ref="H68:H80" si="297">F68+G68</f>
        <v>84299.165386070497</v>
      </c>
      <c r="K68" s="27"/>
    </row>
    <row r="69" spans="1:11" ht="12.95" customHeight="1" x14ac:dyDescent="0.25">
      <c r="A69" s="35">
        <f t="shared" si="294"/>
        <v>-26709.878920034396</v>
      </c>
      <c r="B69" s="38">
        <f t="shared" si="295"/>
        <v>0.25034565778159934</v>
      </c>
      <c r="C69" s="11">
        <v>3</v>
      </c>
      <c r="D69" s="39">
        <f t="shared" si="291"/>
        <v>67692.840000000011</v>
      </c>
      <c r="E69" s="32">
        <f t="shared" si="292"/>
        <v>8965.1999999999989</v>
      </c>
      <c r="F69" s="32">
        <f t="shared" si="296"/>
        <v>103367.9189200344</v>
      </c>
      <c r="G69" s="31">
        <f t="shared" si="293"/>
        <v>35956.590000000033</v>
      </c>
      <c r="H69" s="32">
        <f t="shared" si="297"/>
        <v>139324.50892003442</v>
      </c>
      <c r="K69" s="27"/>
    </row>
    <row r="70" spans="1:11" ht="12.95" customHeight="1" x14ac:dyDescent="0.25">
      <c r="A70" s="35">
        <f t="shared" si="294"/>
        <v>-28541.715425623384</v>
      </c>
      <c r="B70" s="38">
        <f t="shared" si="295"/>
        <v>0.26751504729148751</v>
      </c>
      <c r="C70" s="11">
        <v>4</v>
      </c>
      <c r="D70" s="39">
        <f t="shared" si="291"/>
        <v>72335.399999999994</v>
      </c>
      <c r="E70" s="32">
        <f t="shared" si="292"/>
        <v>12143.940000000002</v>
      </c>
      <c r="F70" s="32">
        <f t="shared" si="296"/>
        <v>113021.05542562337</v>
      </c>
      <c r="G70" s="31">
        <f t="shared" si="293"/>
        <v>35225.610000000022</v>
      </c>
      <c r="H70" s="32">
        <f t="shared" si="297"/>
        <v>148246.66542562339</v>
      </c>
      <c r="K70" s="27"/>
    </row>
    <row r="71" spans="1:11" ht="12.95" customHeight="1" x14ac:dyDescent="0.25">
      <c r="A71" s="35">
        <f t="shared" si="294"/>
        <v>-22914.469269131565</v>
      </c>
      <c r="B71" s="38">
        <f t="shared" si="295"/>
        <v>0.21477214101461745</v>
      </c>
      <c r="C71" s="11">
        <v>5</v>
      </c>
      <c r="D71" s="39">
        <f t="shared" si="291"/>
        <v>58073.85000000002</v>
      </c>
      <c r="E71" s="32">
        <f t="shared" si="292"/>
        <v>7168.4400000000023</v>
      </c>
      <c r="F71" s="32">
        <f t="shared" si="296"/>
        <v>88156.75926913158</v>
      </c>
      <c r="G71" s="31">
        <f t="shared" si="293"/>
        <v>30851.819999999992</v>
      </c>
      <c r="H71" s="32">
        <f t="shared" si="297"/>
        <v>119008.57926913157</v>
      </c>
      <c r="K71" s="27"/>
    </row>
    <row r="72" spans="1:11" ht="12.95" customHeight="1" x14ac:dyDescent="0.25">
      <c r="A72" s="35">
        <f t="shared" si="294"/>
        <v>-3196.5400240756662</v>
      </c>
      <c r="B72" s="38">
        <f t="shared" si="295"/>
        <v>2.9960447119518487E-2</v>
      </c>
      <c r="C72" s="11">
        <v>6</v>
      </c>
      <c r="D72" s="39">
        <f t="shared" si="291"/>
        <v>8101.23</v>
      </c>
      <c r="E72" s="32">
        <f t="shared" si="292"/>
        <v>-5954.79</v>
      </c>
      <c r="F72" s="32">
        <f t="shared" si="296"/>
        <v>5342.9800240756658</v>
      </c>
      <c r="G72" s="31">
        <f t="shared" si="293"/>
        <v>7650.18</v>
      </c>
      <c r="H72" s="32">
        <f t="shared" si="297"/>
        <v>12993.160024075667</v>
      </c>
      <c r="K72" s="27"/>
    </row>
    <row r="73" spans="1:11" ht="12.95" customHeight="1" x14ac:dyDescent="0.25">
      <c r="A73" s="35">
        <f t="shared" si="294"/>
        <v>0</v>
      </c>
      <c r="B73" s="38">
        <f t="shared" si="295"/>
        <v>0</v>
      </c>
      <c r="C73" s="11">
        <v>7</v>
      </c>
      <c r="D73" s="39">
        <f t="shared" si="291"/>
        <v>0</v>
      </c>
      <c r="E73" s="32">
        <f t="shared" si="292"/>
        <v>0</v>
      </c>
      <c r="F73" s="32">
        <f t="shared" si="296"/>
        <v>0</v>
      </c>
      <c r="G73" s="31">
        <f t="shared" si="293"/>
        <v>0</v>
      </c>
      <c r="H73" s="32">
        <f t="shared" si="297"/>
        <v>0</v>
      </c>
      <c r="K73" s="27"/>
    </row>
    <row r="74" spans="1:11" ht="12.95" customHeight="1" x14ac:dyDescent="0.25">
      <c r="A74" s="35">
        <f t="shared" si="294"/>
        <v>0</v>
      </c>
      <c r="B74" s="38">
        <f t="shared" si="295"/>
        <v>0</v>
      </c>
      <c r="C74" s="11">
        <v>8</v>
      </c>
      <c r="D74" s="39">
        <f t="shared" si="291"/>
        <v>0</v>
      </c>
      <c r="E74" s="32">
        <f t="shared" si="292"/>
        <v>0</v>
      </c>
      <c r="F74" s="32">
        <f t="shared" si="296"/>
        <v>0</v>
      </c>
      <c r="G74" s="31">
        <f t="shared" si="293"/>
        <v>0</v>
      </c>
      <c r="H74" s="32">
        <f t="shared" si="297"/>
        <v>0</v>
      </c>
      <c r="K74" s="27"/>
    </row>
    <row r="75" spans="1:11" ht="12.95" customHeight="1" x14ac:dyDescent="0.25">
      <c r="A75" s="35">
        <f t="shared" si="294"/>
        <v>0</v>
      </c>
      <c r="B75" s="38">
        <f t="shared" si="295"/>
        <v>0</v>
      </c>
      <c r="C75" s="11">
        <v>9</v>
      </c>
      <c r="D75" s="39">
        <f t="shared" si="291"/>
        <v>0</v>
      </c>
      <c r="E75" s="32">
        <f t="shared" si="292"/>
        <v>0</v>
      </c>
      <c r="F75" s="32">
        <f t="shared" si="296"/>
        <v>0</v>
      </c>
      <c r="G75" s="31">
        <f t="shared" si="293"/>
        <v>0</v>
      </c>
      <c r="H75" s="32">
        <f t="shared" si="297"/>
        <v>0</v>
      </c>
      <c r="K75" s="27"/>
    </row>
    <row r="76" spans="1:11" ht="12.95" customHeight="1" x14ac:dyDescent="0.25">
      <c r="A76" s="35">
        <f t="shared" si="294"/>
        <v>0</v>
      </c>
      <c r="B76" s="38">
        <f t="shared" si="295"/>
        <v>0</v>
      </c>
      <c r="C76" s="11">
        <v>10</v>
      </c>
      <c r="D76" s="39">
        <f t="shared" si="291"/>
        <v>0</v>
      </c>
      <c r="E76" s="32">
        <f t="shared" si="292"/>
        <v>0</v>
      </c>
      <c r="F76" s="32">
        <f t="shared" si="296"/>
        <v>0</v>
      </c>
      <c r="G76" s="31">
        <f t="shared" si="293"/>
        <v>0</v>
      </c>
      <c r="H76" s="32">
        <f t="shared" si="297"/>
        <v>0</v>
      </c>
    </row>
    <row r="77" spans="1:11" ht="12.95" customHeight="1" x14ac:dyDescent="0.25">
      <c r="A77" s="35">
        <f t="shared" si="294"/>
        <v>0</v>
      </c>
      <c r="B77" s="38">
        <f t="shared" si="295"/>
        <v>0</v>
      </c>
      <c r="C77" s="11">
        <v>11</v>
      </c>
      <c r="D77" s="39">
        <f t="shared" si="291"/>
        <v>0</v>
      </c>
      <c r="E77" s="32">
        <f t="shared" si="292"/>
        <v>0</v>
      </c>
      <c r="F77" s="32">
        <f t="shared" si="296"/>
        <v>0</v>
      </c>
      <c r="G77" s="31">
        <f t="shared" si="293"/>
        <v>0</v>
      </c>
      <c r="H77" s="32">
        <f t="shared" si="297"/>
        <v>0</v>
      </c>
    </row>
    <row r="78" spans="1:11" ht="12.95" customHeight="1" x14ac:dyDescent="0.25">
      <c r="A78" s="35">
        <f t="shared" si="294"/>
        <v>0</v>
      </c>
      <c r="B78" s="38">
        <f t="shared" si="295"/>
        <v>0</v>
      </c>
      <c r="C78" s="11">
        <v>12</v>
      </c>
      <c r="D78" s="39">
        <f t="shared" si="291"/>
        <v>0</v>
      </c>
      <c r="E78" s="32">
        <f t="shared" si="292"/>
        <v>0</v>
      </c>
      <c r="F78" s="32">
        <f t="shared" si="296"/>
        <v>0</v>
      </c>
      <c r="G78" s="31">
        <f t="shared" si="293"/>
        <v>0</v>
      </c>
      <c r="H78" s="32">
        <f t="shared" si="297"/>
        <v>0</v>
      </c>
    </row>
    <row r="79" spans="1:11" ht="12.95" customHeight="1" x14ac:dyDescent="0.25">
      <c r="A79" s="35">
        <f t="shared" si="294"/>
        <v>0</v>
      </c>
      <c r="B79" s="38">
        <f t="shared" si="295"/>
        <v>0</v>
      </c>
      <c r="C79" s="11">
        <v>13</v>
      </c>
      <c r="D79" s="39">
        <f t="shared" si="291"/>
        <v>0</v>
      </c>
      <c r="E79" s="32">
        <f t="shared" si="292"/>
        <v>0</v>
      </c>
      <c r="F79" s="32">
        <f t="shared" si="296"/>
        <v>0</v>
      </c>
      <c r="G79" s="31">
        <f t="shared" si="293"/>
        <v>0</v>
      </c>
      <c r="H79" s="32">
        <f t="shared" si="297"/>
        <v>0</v>
      </c>
    </row>
    <row r="80" spans="1:11" ht="12.95" customHeight="1" x14ac:dyDescent="0.25">
      <c r="A80" s="35">
        <f t="shared" si="294"/>
        <v>0</v>
      </c>
      <c r="B80" s="38">
        <f t="shared" si="295"/>
        <v>0</v>
      </c>
      <c r="C80" s="11">
        <v>14</v>
      </c>
      <c r="D80" s="39">
        <f>SUMIFS($F$40:$ABI$40,$F$4:$ABI$4,C80)+SUMIFS($F$42:$ABI$42,$F$4:$ABI$4,C80)+SUMIFS($F$43:$ABI$43,$F$4:$ABI$4,C80)+SUMIFS($F$45:$ABI$45,$F$4:$ABI$4,C80)+SUMIFS($F$46:$ABI$46,$F$4:$ABI$4,C80)+SUMIFS($F$48:$ABI$48,$F$4:$ABI$4,C80)+SUMIFS($F$49:$ABI$49,$F$4:$ABI$4,C80)+SUMIFS($F$51:$ABI$51,$F$4:$ABI$4,C80)</f>
        <v>0</v>
      </c>
      <c r="E80" s="32">
        <f t="shared" si="292"/>
        <v>0</v>
      </c>
      <c r="F80" s="32">
        <f t="shared" si="296"/>
        <v>0</v>
      </c>
      <c r="G80" s="31">
        <f t="shared" si="293"/>
        <v>0</v>
      </c>
      <c r="H80" s="32">
        <f t="shared" si="297"/>
        <v>0</v>
      </c>
    </row>
  </sheetData>
  <mergeCells count="6">
    <mergeCell ref="D13:Y13"/>
    <mergeCell ref="B40:B42"/>
    <mergeCell ref="B43:B45"/>
    <mergeCell ref="B46:B48"/>
    <mergeCell ref="B49:B51"/>
    <mergeCell ref="B52:B53"/>
  </mergeCells>
  <pageMargins left="0.511811024" right="0.511811024" top="0.78740157499999996" bottom="0.78740157499999996" header="0.31496062000000002" footer="0.31496062000000002"/>
  <headerFooter>
    <oddHeader>&amp;L&amp;"Calibri"&amp;10&amp;K000000 Documento protegido,  direitos exclusivos da empresa.&amp;1#_x000D_</oddHeader>
    <oddFooter>&amp;L_x000D_&amp;1#&amp;"Calibri"&amp;10&amp;K000000 Documento protegido,  direitos exclusivos da empresa.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4C24F738-11C1-4CD2-A23F-7B998297C3D5}"/>
</file>

<file path=customXml/itemProps2.xml><?xml version="1.0" encoding="utf-8"?>
<ds:datastoreItem xmlns:ds="http://schemas.openxmlformats.org/officeDocument/2006/customXml" ds:itemID="{9FAAA9BA-B9DB-4C50-84C0-1C95D255AB2D}"/>
</file>

<file path=customXml/itemProps3.xml><?xml version="1.0" encoding="utf-8"?>
<ds:datastoreItem xmlns:ds="http://schemas.openxmlformats.org/officeDocument/2006/customXml" ds:itemID="{E6E6D812-698A-4E52-867F-66C843B67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M. Castro</dc:creator>
  <cp:lastModifiedBy>Marcela M. Castro</cp:lastModifiedBy>
  <dcterms:created xsi:type="dcterms:W3CDTF">2026-02-09T16:23:50Z</dcterms:created>
  <dcterms:modified xsi:type="dcterms:W3CDTF">2026-02-09T16:38:31Z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