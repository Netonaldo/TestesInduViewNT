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N:\ENGENHARIA\Clientes\Em Andamento\SADA\Eber Bio\ATK_102_25_REV02_R3_(SADA_EBER_Montagem Processo Milho)\Dados de Entrada\Documentos Internos\"/>
    </mc:Choice>
  </mc:AlternateContent>
  <xr:revisionPtr revIDLastSave="0" documentId="8_{7DD67375-CD41-467E-9292-363E12AC21F5}" xr6:coauthVersionLast="47" xr6:coauthVersionMax="47" xr10:uidLastSave="{00000000-0000-0000-0000-000000000000}"/>
  <bookViews>
    <workbookView xWindow="20370" yWindow="-120" windowWidth="29040" windowHeight="15840" xr2:uid="{AC931487-39CF-4E63-8076-F4AD3A8F4582}"/>
  </bookViews>
  <sheets>
    <sheet name="THEO" sheetId="1" r:id="rId1"/>
  </sheets>
  <externalReferences>
    <externalReference r:id="rId2"/>
  </externalReferences>
  <definedNames>
    <definedName name="__123Graph_A" localSheetId="0" hidden="1">#REF!</definedName>
    <definedName name="__123Graph_A" hidden="1">#REF!</definedName>
    <definedName name="__123Graph_X" localSheetId="0" hidden="1">#REF!</definedName>
    <definedName name="__123Graph_X" hidden="1">#REF!</definedName>
    <definedName name="_Fill" localSheetId="0" hidden="1">#REF!</definedName>
    <definedName name="_Fill" hidden="1">#REF!</definedName>
    <definedName name="_xlnm._FilterDatabase" localSheetId="0" hidden="1">THEO!$A$108:$BG$609</definedName>
    <definedName name="_Key1" localSheetId="0" hidden="1">#REF!</definedName>
    <definedName name="_Key1" hidden="1">#REF!</definedName>
    <definedName name="_Order1" hidden="1">255</definedName>
    <definedName name="_Sort" localSheetId="0" hidden="1">#REF!</definedName>
    <definedName name="_Sort" hidden="1">#REF!</definedName>
    <definedName name="Administrativo_Custo_Fx">'[1]Cockpit Retorno'!$D$41</definedName>
    <definedName name="_xlnm.Print_Area" localSheetId="0">THEO!$M$108:$AE$188</definedName>
    <definedName name="Atendentes_Instr_Campo_QT" comment="Total de Atendentes especialistas em Comissionamento de instrumentos em campo. Parte integrante do time de Startup ">'[1]Calc Eng'!$B$53</definedName>
    <definedName name="Atendentes_Senior_QT" comment="Porcentagem estimada de atendentes especialistas, diretoria, gerente Enegenharia definida para Obra">'[1]Calc Eng'!$B$51</definedName>
    <definedName name="Atendentes_Sistema_Processo_QT" comment="Total de atendente de sistema, de desenvolvimento de Software e sistema">'[1]Calc Eng'!$B$52</definedName>
    <definedName name="Atendentes_Total" comment="Total de Atendentes previsto Comissionamento, Startup e Operação Assistida">'[1]Calc Eng'!$B$28</definedName>
    <definedName name="ATK_INTEG" comment="Custo HH para Integração para Efetivo">SUM('[1]Resumo_HIA_HIC_HOC '!$Q$6:$Q$8)</definedName>
    <definedName name="ATK_LOG" comment="Custo Logística de Campo + Logística de Integração">'[1]Resumo_HIA_HIC_HOC '!$E$13</definedName>
    <definedName name="ATK_LOG_INT">'[1]Resumo_HIA_HIC_HOC '!$F$13</definedName>
    <definedName name="ATK_LOG_MOB" comment="Logistica da mobilização">'[1]Resumo_HIA_HIC_HOC '!$G$13</definedName>
    <definedName name="ATK_MOA" comment="Custo Mão de Obra Adminsitrativa Obra">'[1]Resumo_HIA_HIC_HOC '!$E$6</definedName>
    <definedName name="ATK_MOA_INT">'[1]Resumo_HIA_HIC_HOC '!$F$6</definedName>
    <definedName name="ATK_MOA_MOB">'[1]Resumo_HIA_HIC_HOC '!$G$6</definedName>
    <definedName name="ATK_MOB" comment="Custo de Mobilização">'[1]Resumo_HIA_HIC_HOC '!$L$12</definedName>
    <definedName name="ATK_MOD" comment="Custo Mão de Obra Direta">'[1]Resumo_HIA_HIC_HOC '!$E$8</definedName>
    <definedName name="ATK_MOD_INT">'[1]Resumo_HIA_HIC_HOC '!$F$8</definedName>
    <definedName name="ATK_MOD_MOB">'[1]Resumo_HIA_HIC_HOC '!$G$8</definedName>
    <definedName name="ATK_MOI" comment="Custo Mão de Obra Insireta">'[1]Resumo_HIA_HIC_HOC '!$E$7</definedName>
    <definedName name="ATK_MOI_INT">'[1]Resumo_HIA_HIC_HOC '!$F$7</definedName>
    <definedName name="ATK_MOI_MOB">'[1]Resumo_HIA_HIC_HOC '!$G$7</definedName>
    <definedName name="ATK_periculosidade">'[1]Resumo_HIA_HIC_HOC '!$E$10</definedName>
    <definedName name="ATK_Serviços">'[1]Cockpit Retorno'!$L$2</definedName>
    <definedName name="ATK_SSMA" comment="Custo de Exames Admissionais, Treinamentos, EPIs e EPCs">'[1]Resumo_HIA_HIC_HOC '!$L$11</definedName>
    <definedName name="ATK_Turnover" comment="Custo Turnover (HH + SSMA + RH)">'[1]Resumo_HIA_HIC_HOC '!$E$9</definedName>
    <definedName name="Base_REAJUSTE_MOD_E_MOI" comment="Fator de reajuste da tabela base da COLUNA QJ">'[1]Custo MO Impostos Obras'!$F$6</definedName>
    <definedName name="BDI" comment="Taxa BDI BENEFICIOS DE DESPESAS INDIRETAS">[1]BDI!$G$24</definedName>
    <definedName name="C_ADM_Geral" comment="Custo administrativo geral. Para emissão de notas , para trabalho interno etc..">0.1</definedName>
    <definedName name="Capital_Giro_ATM" comment="Capital Giro Bancar Fluxo">'[1]Cockpit Retorno'!$C$42</definedName>
    <definedName name="Capital_Giro_Passivo_BNC_Passivo_Tributario_Tarifas_Advogados">'[1]Cockpit Retorno'!$AFR$174</definedName>
    <definedName name="Capital_Giro_Passivo_Custo_Fx">'[1]Cockpit Retorno'!$D$42</definedName>
    <definedName name="Casa_Total_Ocupantes" comment="Numero médio de funcionários">[1]TESTE_LOG_OBRA!$J$38</definedName>
    <definedName name="Cesta_Básica_Total">'[1]Resumo_HIA_HIC_HOC '!$G$23</definedName>
    <definedName name="CODENOME1" hidden="1">#N/A</definedName>
    <definedName name="Cofins__ATK">[1]Impostos_Taxas_ICMs!$I$31</definedName>
    <definedName name="Cofins__Sistema">[1]Impostos_Taxas_ICMs!$H$31</definedName>
    <definedName name="COFINS_lOG_MOB" comment="Logistica ou Mob Lucro Presumido COFINS">[1]Impostos_Taxas_ICMs!$K$25</definedName>
    <definedName name="COFINS_M_S" comment="COFINS Lucro Real Sistema">[1]Impostos_Taxas_ICMs!$H$6</definedName>
    <definedName name="Comercial_Custo_Fx">'[1]Cockpit Retorno'!$AFB$174</definedName>
    <definedName name="Conteiner_Aluguel_Mes" comment="Custo Médio de Locação de Conteiner. Não considerado Transporte">'[1]Calc Eng'!$B$44</definedName>
    <definedName name="Contratação_LOG_Integração_Cliente">[1]HIC_Histograma_Integra_Cliente!$I$51</definedName>
    <definedName name="Contratação_Total__Logística" comment="Custo que o RH tem para contratar para obra. Este custo deve se somar ao custo geral da obra. Na venda deve se estimar isto">[1]HIA_Histograma_Integração_ATM!$J$51</definedName>
    <definedName name="CSLL" comment="CSLL Lucro Presumido ou Real">[1]Impostos_Taxas_ICMs!$H$28</definedName>
    <definedName name="Custo_Comercial__Plus" comment="Custo comercial da Venda, custo extra devido a complexiadade do negocio">'[1]Cockpit Retorno'!$C$38</definedName>
    <definedName name="Custo_comercial_1" comment="Custo comercial direto da Venda padrões. Comissoes e custo comercial do negocio">'[1]Cockpit Retorno'!$C$37</definedName>
    <definedName name="Custo_Contingência" comment="Custo de contingencia da Obra">'[1]Cockpit Retorno'!$C$45</definedName>
    <definedName name="Custo_Financeiro_Exclusivo_do_Contrato" comment="finacanceiro do Contrato">'[1]Cockpit Retorno'!$C$43</definedName>
    <definedName name="Custo_fixo___Administrativo__Cartões__Carros__Manutenção__Custo_Consumo_interno__SSMA_interno__Alugueis__Luz__Água__Internet_Telefone__Material_escritório__Aquisições_Extra_OS__Totvs__Softwares" comment="Parte do custo admnistrativo, carros, que não sejam considerados na venda, material de ssma, telefones, custo de intra estrutura, que não foram considerados na venda">'[1]Cockpit Retorno'!$AFK$174</definedName>
    <definedName name="Custo_fixo_Adminstrativo" comment="Custo admnistrativo interno da OS">'[1]Cockpit Retorno'!$C$41</definedName>
    <definedName name="Custo_Impostos_Credito__Débito" comment="Resumo dos impostos a serem Pagos diretos">'[1]Cockpit Retorno'!$K$32</definedName>
    <definedName name="Custo_Total" comment="Custo total plnilha de retorno">'[1]Cockpit Retorno'!$C$47</definedName>
    <definedName name="Custos_Viagens__Feiras__Marketing__Filiais">'[1]Cockpit Retorno'!$AFB$171</definedName>
    <definedName name="Debito_Impostos" comment="Debito de impostos da Venda . Ja considerando Debito e credito impostos ICM">'[1]Cockpit Retorno'!$K$32</definedName>
    <definedName name="Diária_Casa_Custo_Atendente" comment="Custo por profissional da  Diária considerando ficar  em casa , base  Alugada. Considerado: Aluguel, Roupa Lavada, Luz, Agua e empregada. Não considerado Refeição. (Nota: cada Casa estima-se 5 profissionais). 6 meses minimo">'[1]Calc Eng'!$B$3</definedName>
    <definedName name="Diária_Casa_Geral" comment="Custo Diária casa estimada para no média de 6 atendentes">'[1]Calc Eng'!$B$4</definedName>
    <definedName name="Diária_Completa_Sem_Transporte" comment="Custo de uma diária Completa de um Atendente. Considerado:  Diaria de estadia (Hotel avulso), HH (10h) e Refeições. Sem Translado, sem km">'[1]Calc Eng'!$B$42</definedName>
    <definedName name="Diárias_Hotel_Avulsas_Custo" comment="Custo médio de diárias de hoteis avulsas, temporários.">'[1]Calc Eng'!$B$5</definedName>
    <definedName name="Diárias_Hotel_Negociada_Custo" comment="Custo Diária Hotel negociado em locais de Obras, de startup.">'[1]Calc Eng'!$B$6</definedName>
    <definedName name="Dias_Campo" comment="Padrão de dias fora de STZ. Dias na OBRA Considerado na Proposta">'[1]Calc Eng'!$B$33</definedName>
    <definedName name="Dificuldade_Projeto">'[1]Calc Eng'!$K$68</definedName>
    <definedName name="Distância_Base_PLANTA" comment="Distancia, em KM, da Planta até a cidade, ou local de hospedagem">'[1]Calc Eng'!$B$38</definedName>
    <definedName name="Distância_STZ_BASE" comment="Distancia da Base da ATK , na Cidade até STZ, Matriz">'[1]Calc Eng'!$B$37</definedName>
    <definedName name="Dolar_Referencia" comment="Ref Dolar">'[1]Cockpit Retorno'!$C$48</definedName>
    <definedName name="Domingo_H" comment="Horas Domingo">'[1]Calc Eng'!$B$61</definedName>
    <definedName name="Duração_Comissionamento__Startup" comment="Tempo considerado para Comissionamento, Startup e operação Assistida">'[1]Calc Eng'!$B$43</definedName>
    <definedName name="Duração_da_Obra_Efetiva_Em_Meses" comment="Duraçao efetiva da obra. Estimada para calculo de preposto e apoio">'[1]Calc Eng'!$I$101</definedName>
    <definedName name="Duração_Obra_Mês" comment="Tempo considerado para duração efetiva da Obra.">'[1]Calc Eng'!$B$32</definedName>
    <definedName name="Eficiencia_meta_venda" comment="ESta eficiencia esta correlacionada com valores">'[1]Cockpit Retorno'!$D$62</definedName>
    <definedName name="Equipe_Numero" comment="Equipe estiamda para Comissionamento, Startup e Operação Assistida. ">'[1]Calc Eng'!$B$34</definedName>
    <definedName name="Estimativa_Annual" comment="Estimativa vendas Ano">'[1]Cockpit Retorno'!$D$50</definedName>
    <definedName name="Fator_Venda" comment="Fator Multiplicador Venda Final">'[1]Cockpit Retorno'!$C$35</definedName>
    <definedName name="fill" localSheetId="0" hidden="1">#REF!</definedName>
    <definedName name="fill" hidden="1">#REF!</definedName>
    <definedName name="FN_CQ_Fator_Diluido" comment="Fator de custo interno do finceiro e da qualidade, considerando mais um tecnico CQ campo diluido na venda com base fat de 2020.">'[1]Cockpit Retorno'!$E$116</definedName>
    <definedName name="Frete_KM" comment="Custo básico de frete por KM. Multiplicar sempre quantidade estimada de viagem de transporte.">'[1]Calc Eng'!$B$18</definedName>
    <definedName name="HH_Extra_DIA" comment="Horas extras estimadas Dia">'[1]Calc Eng'!$B$63</definedName>
    <definedName name="HH_Histograma_Total" comment="Total de horas consideradas no Histograma Trabalhada, espera e da lei.">[1]HOC_Histograma_Obra!$F$41</definedName>
    <definedName name="HH_Total_Eng_Interna" comment="Total Geral de HH Engenharia interna Prevista">'[1]Calc Eng'!$O$56</definedName>
    <definedName name="Horas_Ajudantes_THEO" localSheetId="0">THEO!$O$103</definedName>
    <definedName name="Horas_Comissionamento_Startup" comment="Total de Horas previstas para Comissionamento, Startup e Operação Assistida">'[1]Calc Eng'!$B$48</definedName>
    <definedName name="Horas_de_OFICIAIS_THEO" localSheetId="0">THEO!$O$104</definedName>
    <definedName name="Horas_Instr_Startup" comment="Total de Horas previstas para equipe de Instrumentistas de campo em comissionamento e Startup">'[1]Calc Eng'!$B$50</definedName>
    <definedName name="Horas_Normais_Mês" comment="Horas normais Trabalhadas Mês">'[1]Calc Eng'!$B$62</definedName>
    <definedName name="Horas_Preposto" comment="Total de HH prevista para Todos Prepostos somados na Obra">'[1]Calc Eng'!$L$53</definedName>
    <definedName name="Horas_Senior_Startup" comment="Horas previstas dee Seniores, Diretoria e Auditoria">'[1]Calc Eng'!$B$49</definedName>
    <definedName name="Horas_Sistema_Proj_Startup" comment="Horas Previstas para equipe de Startup Equipe direcionada a Sistema">'[1]Calc Eng'!$B$54</definedName>
    <definedName name="Horas_Trabalho_Média" comment="Quantidade prevista média máxima de Horas diária de Trabalho.">'[1]Calc Eng'!$B$29</definedName>
    <definedName name="ICM_a_ser_Descontado" comment="ICM que usaremos do nosso Crédito">[1]Impostos_Taxas_ICMs!$S$10</definedName>
    <definedName name="ICMS" comment="Venda No cliente">[1]Impostos_Taxas_ICMs!$P$6</definedName>
    <definedName name="ICMs_Mercadoria" comment="ICMS  Sistema Venda Débito LR=Lucro REAL">[1]Impostos_Taxas_ICMs!$H$4</definedName>
    <definedName name="Imposto_Venda">'[1]Cockpit Retorno'!$I$4</definedName>
    <definedName name="Início_do_projeto">#REF!</definedName>
    <definedName name="IRPJ" comment="Imposto renda Lucro Presumido ou Real">[1]Impostos_Taxas_ICMs!$H$27</definedName>
    <definedName name="ISSQN">[1]Impostos_Taxas_ICMs!$P$3</definedName>
    <definedName name="ISSQN__do_Municipio" comment="ISS no municipo do cliente ou onde pagaremos">[1]Impostos_Taxas_ICMs!$P$3</definedName>
    <definedName name="JBs_Total" comment="Custo Total de JBs- Hart, e ou 4 a 20 ma">'[1]Calc Eng'!$B$25</definedName>
    <definedName name="KM" comment="Custo do quilômetro rodado puro.">'[1]Calc Eng'!$B$8</definedName>
    <definedName name="KM_HH_D_REF_Motorista" comment="Custo por  Quilometro rodado, considerando, Refeição no percurso, horas de (1) UM Atendente, e Estadia necessária. Se multiplicarmos este valor pela hora de viagem teremos custo completo da viagem de um Funcionario+ O custo do KM">'[1]Calc Eng'!$B$9</definedName>
    <definedName name="Lanche" comment="Valor médio de lanches, incluindo café da manhã">'[1]Valores médios Ref_Lanches'!$AI$26</definedName>
    <definedName name="LOG" comment="Custo estimado de Logistica para o projeto">'[1]Calc Eng'!$H$9</definedName>
    <definedName name="LOG_HH_Médio_Obra" comment="Custo médio de LOG, MOB, EPIs, Viagens, Estadia. Acrescentar ao custo hora. Nunca usar para um atendimento exclusivo. Apenas para caso de Obras acima de 3 meses e com no minimo 5 atenendentes, com casa Alugada , van e equipe">'[1]Calc Eng'!$DA$128</definedName>
    <definedName name="Log_In_MOI_Custo_HH" comment="Custo de Logistica e para  ajudantes e montadores. Calculo rápido. Tem de se estudar caso a caso.">'[1]Custos de HH_LOG'!$K$21</definedName>
    <definedName name="LOG_Mão_Obra_Indireta" comment="Custo de logistica equipe de mão obra indireta da obra. Se a Obra For ATM, considere novamente um Histograma e os custod calculados">'[1]Calc Eng'!$Q$44</definedName>
    <definedName name="lOG_MOB_ISSQN" comment="Logistica e Mobilização ISS Presumido Ou real">[1]Impostos_Taxas_ICMs!$H$26</definedName>
    <definedName name="LOG_MOB_PIS" comment="Pis Logistica Real">[1]Impostos_Taxas_ICMs!$H$24</definedName>
    <definedName name="Logistica_Preposto" comment="Custo estimado de Logistica para o Preposto. Tudo considerado">'[1]Calc Eng'!$B$47</definedName>
    <definedName name="Lucro" comment="Lucro Presumido =0 e Lucro Real = 1">'[1]Cockpit Retorno'!$GS$6</definedName>
    <definedName name="Marketing_Viagens_Custo_Fx">'[1]Cockpit Retorno'!$D$39</definedName>
    <definedName name="Markup_Bruto__Contribuição" comment="Markup bruto da negociação">'[1]Cockpit Retorno'!$C$58</definedName>
    <definedName name="Média_Dias_de_integração_ATM" comment="Dias médios gastos para integrar o funcionários á empresa. Exames, Treinamentos NRs, Ferramental, Procedimentos e integração.">'[1]Turnover Absenteismo Folgas'!$H$82</definedName>
    <definedName name="Média_km_h">'[1]Calc Eng'!$G$60</definedName>
    <definedName name="MK_Calc" comment="OVER HEAD + LUCRO Calculado">'[1]Cockpit Retorno'!$K$44</definedName>
    <definedName name="MO__Terceiros__Serviços_fixo_não_considerado_OS__RH_SSMA__Fábrica__Administrativo__Terceiros_Operacionais__Compras__Parte_Eng.__Parte_Fabrica__Logística_Interna__Qualidade__Apoio__TI." comment="Mão de obra geral para mantenimanto da empresa. Terceiros adm de softwares, pimtor, manutenção interna, todas valores que não são considerads na venda">'[1]Cockpit Retorno'!$AFD$174</definedName>
    <definedName name="MO_Terceiros_Custo_Fx">'[1]Cockpit Retorno'!$D$40</definedName>
    <definedName name="MOA_C" comment="Mão Obra de Admnsitração, Segurança e serviços básicos">'[1]Calc Eng'!$B$66</definedName>
    <definedName name="MOB" comment="Custo Mobilização Campo. Cerca, Conteiner, Pedras . Enfermeiros, Segurança e Logistica do Preposto">'[1]Calc Eng'!$H$10</definedName>
    <definedName name="Mob_Canteiro" comment="Mobilização do Canteiro. Tudo, inclusive enfermeiros, Segurança.">'[1]Calc Eng'!$O$52</definedName>
    <definedName name="MOC_Atendente_Custo" comment="Custo Médio HH  Atendente Campo">'[1]Calc Eng'!$EZ$245</definedName>
    <definedName name="MOC_C_ST" comment="Custo estimado de Mão de Obra de campo destinado a Startup, comissionamento e operação Assistida.">'[1]Calc Eng'!$H$5</definedName>
    <definedName name="MOC_COFINS_LR" comment="COFINS MOC Lucro Real">[1]Impostos_Taxas_ICMs!$H$16</definedName>
    <definedName name="MOC_PIS_LR" comment="PIS MOC Lucro Real">[1]Impostos_Taxas_ICMs!$H$15</definedName>
    <definedName name="MOE_H" comment="Custo HH Engenharia Senior">'[1]Calc Eng'!$EZ$243</definedName>
    <definedName name="MOE_HM" comment="Hora média da Engenharia. Geral Projeto , Desenvolvimento e Engenharia">'[1]Calc Eng'!$EZ$244</definedName>
    <definedName name="MOE_IRRF_LR" comment="IRRF MOE Lucro Real">[1]Impostos_Taxas_ICMs!$H$13</definedName>
    <definedName name="MOE_ISSQN_LR_LP" comment="ISS MOE Lucro Reala ou Presumido">[1]Impostos_Taxas_ICMs!$H$14</definedName>
    <definedName name="MOE_M" comment="Custo HH Engenharia Média">'[1]Calc Eng'!$EZ$241</definedName>
    <definedName name="MOE_P" comment="Custo de Mão de obra de Projeto interno, elétrico, paineis e documentação">'[1]Calc Eng'!$EZ$242</definedName>
    <definedName name="MOF" comment="Custo estimado para HH Fabrica no Campo">'[1]Calc Eng'!$H$11</definedName>
    <definedName name="MOF_Custo" comment="Custo do HH Fábrica Paineis">'[1]Calc Eng'!$EZ$247</definedName>
    <definedName name="MOF_Total_Campo" comment="Total de Mão de Obra da Fábrica que será utilizada em campo. Prevista">'[1]Calc Eng'!$B$57</definedName>
    <definedName name="MOFC_Fabrica_Campo_Custo" comment="Custo da HH da Fábrica em Campo">'[1]Calc Eng'!$EZ$246</definedName>
    <definedName name="MOI_ISSQN_LR_LP" comment="ISS MOI lucro Real e Presumido">[1]Impostos_Taxas_ICMs!$H$20</definedName>
    <definedName name="MOL_Custo_Instr" comment="Custo Médio HH da equipe de Instrumentação de Campo, para equipamentos, comissionamento, ajustes.">'[1]Calc Eng'!$EZ$248</definedName>
    <definedName name="MOM_MO_Média_Custo" comment="Custo médio da mão de obra geral da empresa. Services, ATK Eng , ADM">'[1]Calc Eng'!$EZ$251</definedName>
    <definedName name="MOS" comment="Custo HH de Enfermeiro, Segurança na Obra, secretária.">'[1]Calc Eng'!$B$45</definedName>
    <definedName name="MOSV__Services_Custo_MO" comment="Custo da Mão Obra Services">'[1]Calc Eng'!$EZ$250</definedName>
    <definedName name="MOTK_Adm_Custo" comment="Custo HH Preposto Turnkey em campo">'[1]Calc Eng'!$EZ$249</definedName>
    <definedName name="Não" comment="Indicador">'[1]Calc Eng'!$A$79</definedName>
    <definedName name="Necesssidade_preposto" comment="Necessidade de Preposto na OBRA">'[1]Calc Eng'!$K$100</definedName>
    <definedName name="Obra_Adm_Profissionais" comment="Numero de profissionais na Obra, Enfermeiro, Segurança. Não considera o Preposto">'[1]Calc Eng'!$B$46</definedName>
    <definedName name="Obra_Certa_MO_CLT_Fee">'[1]Custo Impostos Sobre HH'!$B$35</definedName>
    <definedName name="Operação_Assistida" comment="Total de Horas prevista Para Operação Assistida">'[1]Calc Eng'!$B$55</definedName>
    <definedName name="PAINEL" comment="Custo Mão OBRA PAINEL">'[1]Calc Eng'!$H$13</definedName>
    <definedName name="Parte_Custos_fixo___Docs__RH_e_SSMA" comment="Custos fixos do RH e Documentaçao da OS">'[1]Cockpit Retorno'!$C$40</definedName>
    <definedName name="PercentualConcluído">PercentualConcluídoAlém*PeríodonoPlano</definedName>
    <definedName name="PercentualConcluídoAlém">(#REF!=MEDIAN(#REF!,#REF!,#REF!+#REF!)*(#REF!&gt;0))*((#REF!&lt;(INT(#REF!+#REF!*#REF!)))+(#REF!=#REF!))*(#REF!&gt;0)</definedName>
    <definedName name="PercentualCustofixo" comment="Numero que repreenta % do valor com relacao a espectativa de venda">'[1]Cockpit Retorno'!$D$64</definedName>
    <definedName name="período_selecionado">#REF!</definedName>
    <definedName name="PeríodonoPlano">#REF!=MEDIAN(#REF!,#REF!,#REF!+#REF!-1)</definedName>
    <definedName name="PeríodoReal">#REF!=MEDIAN(#REF!,#REF!,#REF!+#REF!-1)</definedName>
    <definedName name="Pis__ATK">[1]Impostos_Taxas_ICMs!$I$30</definedName>
    <definedName name="Pis__Sistema">[1]Impostos_Taxas_ICMs!$H$30</definedName>
    <definedName name="Plano">PeríodonoPlano*(#REF!&gt;0)</definedName>
    <definedName name="Plano_Saúde" comment="caso tenha plano de saúde, considerar neste item">'[1]Resumo_HIA_HIC_HOC '!$E$34</definedName>
    <definedName name="Pontos_Ponderado" comment="Numero de Pontos Ponderados">'[1]Calc Eng'!$B$30</definedName>
    <definedName name="PorcentagemConcluída" comment="Evoluçao">PorcentagemConcluídaPosterior*[0]!PeriodoInPlanejado</definedName>
    <definedName name="Preposto_total" comment="Total e Preposto estimado para Obra">'[1]Calc Eng'!$B$31</definedName>
    <definedName name="Preposto_Viagens_Base_Planta" comment="Numero de  Idas e vindas entre Base e Planta, do Preposto">'[1]Calc Eng'!$B$41</definedName>
    <definedName name="Preposto_Viagens_STZ_Base" comment="Numero de viagens estimadas do Preposto entre Base e Sertãozinho">'[1]Calc Eng'!$B$40</definedName>
    <definedName name="Previsão_FAT_ANUAL_Normalizada">'[1]Cockpit Retorno'!$AEK$166</definedName>
    <definedName name="Prod_MI_PIS_LR" comment="PIS venda MI Lucro real">[1]Impostos_Taxas_ICMs!$H$9</definedName>
    <definedName name="QDTC_Total" comment="Custo Total de QDTC para o projeto">'[1]Calc Eng'!$B$24</definedName>
    <definedName name="Real">(PeríodoReal*(#REF!&gt;0))*PeríodonoPlano</definedName>
    <definedName name="RealAlém">PeríodoReal*(#REF!&gt;0)</definedName>
    <definedName name="Refeição_Cliente_Custo" comment="Custo estimado do valor da Refeição no cliente. Na Obra">'[1]Calc Eng'!$B$23</definedName>
    <definedName name="Refeição_Lanches_DIA__Custo" comment="Custo total de refeições no dia . Lanche, Almoço e Jantar.">'[1]Valores médios Ref_Lanches'!$AJ$30</definedName>
    <definedName name="Refeições_Custo" comment="Custo Médio por refeição, somado ao Lanche diário.">'[1]Calc Eng'!$B$7</definedName>
    <definedName name="RegiãodoTítulo..BO60">#REF!</definedName>
    <definedName name="Sábado_H" comment="Horas Sabado">'[1]Calc Eng'!$B$60</definedName>
    <definedName name="Seguros_e_Garantias" comment="Seguros e garantias">'[1]Cockpit Retorno'!$C$44</definedName>
    <definedName name="Semana_de_exibição">#REF!</definedName>
    <definedName name="Sim">'[1]Calc Eng'!$A$78</definedName>
    <definedName name="Sist_PIS_LR" comment="PIS  sistema LR Lucro Real">[1]Impostos_Taxas_ICMs!$H$5</definedName>
    <definedName name="Sistema_Produto">'[1]Cockpit Retorno'!$J$2</definedName>
    <definedName name="Sistema_Serviços">'[1]Cockpit Retorno'!$J$3</definedName>
    <definedName name="Tarifa_Serviços">'[1]Cockpit Retorno'!$L$1</definedName>
    <definedName name="Tempo_indeterminado_MO_CLT_Fee">'[1]Custo Impostos Sobre HH'!$B$34</definedName>
    <definedName name="Tempo_Preposto__Obra" comment="Estimativa do período que o Preposto deve permanecer na Obra. Desde Mobilização,obra e Desmobilização.">'[1]Calc Eng'!$B$56</definedName>
    <definedName name="Tempo_Total_Paineis" comment="Tempo estimado para montagem dos Paineis">'[1]Calc Eng'!$AB$136</definedName>
    <definedName name="Total_Funcionários" comment="Numero de funcionários">'[1]Calc Eng'!$R$14</definedName>
    <definedName name="Total_HH_Mês" comment="Total HH Mês Externo, Considerando Horas Extras e Duas HH extra Dia">'[1]Calc Eng'!$B$59</definedName>
    <definedName name="Total_Horas_THEO" localSheetId="0">THEO!$O$102</definedName>
    <definedName name="Total_JBs" comment="Quantidade total de JBs 4 a 20 mA com Bornes Completa">'[1]Calc Eng'!$P$80</definedName>
    <definedName name="Total_Painéis_HD" comment="Total de Painéis com Muitos Pontos">'[1]Calc Eng'!$P$81</definedName>
    <definedName name="Total_Painéis_MD" comment="Total de Painéis de média e baixa Densidade">'[1]Calc Eng'!$P$82</definedName>
    <definedName name="Total_pequenas_caixas" comment="Pequenas (Caixas) apenas Montagem">'[1]Calc Eng'!$P$83</definedName>
    <definedName name="Total_QDTC" comment="Número de QDTCs completos">'[1]Calc Eng'!$P$79</definedName>
    <definedName name="Valor_Liquido_a_Receber" comment="Valor Liquido da Operação - Sem IPI, PIS COFINS, ISSQN e IRPF">'[1]Cockpit Retorno'!$D$55</definedName>
    <definedName name="Valor_Proposta">'[1]Cockpit Retorno'!$C$51</definedName>
    <definedName name="Valor_Venda_Com_IPI" comment="Valor total Proposta Sem IPI">'[1]Cockpit Retorno'!$C$54</definedName>
    <definedName name="Valor_Venda_sem_IPI" comment="Venda sem IPI">'[1]Cockpit Retorno'!$C$53</definedName>
    <definedName name="Valor_Venda_Usando_CREDITO_ICM">'[1]Cockpit Retorno'!$C$55</definedName>
    <definedName name="Viagens_Atendentes__Base_Planta" comment="Total de estimativa de Idas e Vindas entre a BAse e a Planta, dos Atendentes de Comissionamento, Startup e Operação assistida">'[1]Calc Eng'!$B$35</definedName>
    <definedName name="Viagens_Atendentes__Base_STZ" comment="Numero Total de viagens estimadas para equipe de Startup entre, STZ e BASE">'[1]Calc Eng'!$B$36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89" i="1" l="1"/>
  <c r="L1088" i="1"/>
  <c r="L1087" i="1"/>
  <c r="L1086" i="1"/>
  <c r="L1085" i="1"/>
  <c r="L1084" i="1"/>
  <c r="L1083" i="1"/>
  <c r="L1082" i="1"/>
  <c r="L1081" i="1"/>
  <c r="L1080" i="1"/>
  <c r="L1079" i="1"/>
  <c r="L1078" i="1"/>
  <c r="L1077" i="1"/>
  <c r="L1076" i="1"/>
  <c r="L1075" i="1"/>
  <c r="L1074" i="1"/>
  <c r="L1073" i="1"/>
  <c r="L1072" i="1"/>
  <c r="L1071" i="1"/>
  <c r="L1070" i="1"/>
  <c r="F1067" i="1"/>
  <c r="BA609" i="1"/>
  <c r="AZ609" i="1"/>
  <c r="AU609" i="1"/>
  <c r="AR609" i="1"/>
  <c r="BB609" i="1" s="1"/>
  <c r="AQ609" i="1"/>
  <c r="AP609" i="1"/>
  <c r="AJ609" i="1"/>
  <c r="AV609" i="1" s="1"/>
  <c r="AI609" i="1"/>
  <c r="AW609" i="1" s="1"/>
  <c r="AC609" i="1"/>
  <c r="AA609" i="1"/>
  <c r="Z609" i="1" s="1"/>
  <c r="W609" i="1"/>
  <c r="U609" i="1"/>
  <c r="C609" i="1"/>
  <c r="BA608" i="1"/>
  <c r="AZ608" i="1"/>
  <c r="AU608" i="1"/>
  <c r="AR608" i="1"/>
  <c r="BB608" i="1" s="1"/>
  <c r="AQ608" i="1"/>
  <c r="AP608" i="1"/>
  <c r="AJ608" i="1"/>
  <c r="AV608" i="1" s="1"/>
  <c r="AI608" i="1"/>
  <c r="AW608" i="1" s="1"/>
  <c r="AC608" i="1"/>
  <c r="BG608" i="1" s="1"/>
  <c r="AA608" i="1"/>
  <c r="Z608" i="1" s="1"/>
  <c r="W608" i="1"/>
  <c r="U608" i="1"/>
  <c r="C608" i="1"/>
  <c r="BG607" i="1"/>
  <c r="BB607" i="1"/>
  <c r="BA607" i="1"/>
  <c r="AZ607" i="1"/>
  <c r="AU607" i="1"/>
  <c r="AR607" i="1"/>
  <c r="AQ607" i="1"/>
  <c r="AP607" i="1"/>
  <c r="AL607" i="1"/>
  <c r="AJ607" i="1"/>
  <c r="AV607" i="1" s="1"/>
  <c r="AI607" i="1"/>
  <c r="AW607" i="1" s="1"/>
  <c r="AC607" i="1"/>
  <c r="AA607" i="1"/>
  <c r="Z607" i="1" s="1"/>
  <c r="W607" i="1"/>
  <c r="U607" i="1"/>
  <c r="C607" i="1"/>
  <c r="BG606" i="1"/>
  <c r="BB606" i="1"/>
  <c r="BA606" i="1"/>
  <c r="AZ606" i="1"/>
  <c r="AW606" i="1"/>
  <c r="AU606" i="1"/>
  <c r="AR606" i="1"/>
  <c r="AQ606" i="1"/>
  <c r="AP606" i="1"/>
  <c r="AL606" i="1"/>
  <c r="AJ606" i="1"/>
  <c r="AV606" i="1" s="1"/>
  <c r="AI606" i="1"/>
  <c r="AC606" i="1"/>
  <c r="AA606" i="1"/>
  <c r="Z606" i="1"/>
  <c r="U606" i="1"/>
  <c r="W606" i="1" s="1"/>
  <c r="C606" i="1"/>
  <c r="BA605" i="1"/>
  <c r="AZ605" i="1"/>
  <c r="AW605" i="1"/>
  <c r="AU605" i="1"/>
  <c r="AR605" i="1"/>
  <c r="BB605" i="1" s="1"/>
  <c r="AQ605" i="1"/>
  <c r="AP605" i="1"/>
  <c r="AJ605" i="1"/>
  <c r="AV605" i="1" s="1"/>
  <c r="AI605" i="1"/>
  <c r="AC605" i="1"/>
  <c r="AA605" i="1"/>
  <c r="Z605" i="1"/>
  <c r="U605" i="1"/>
  <c r="W605" i="1" s="1"/>
  <c r="C605" i="1"/>
  <c r="BA604" i="1"/>
  <c r="AZ604" i="1"/>
  <c r="AU604" i="1"/>
  <c r="BC604" i="1" s="1"/>
  <c r="AR604" i="1"/>
  <c r="BB604" i="1" s="1"/>
  <c r="AQ604" i="1"/>
  <c r="AP604" i="1"/>
  <c r="AJ604" i="1"/>
  <c r="AV604" i="1" s="1"/>
  <c r="AI604" i="1"/>
  <c r="AW604" i="1" s="1"/>
  <c r="AC604" i="1"/>
  <c r="BG604" i="1" s="1"/>
  <c r="AA604" i="1"/>
  <c r="Z604" i="1" s="1"/>
  <c r="W604" i="1"/>
  <c r="U604" i="1"/>
  <c r="C604" i="1"/>
  <c r="BG603" i="1"/>
  <c r="BB603" i="1"/>
  <c r="BA603" i="1"/>
  <c r="AZ603" i="1"/>
  <c r="AU603" i="1"/>
  <c r="AR603" i="1"/>
  <c r="AQ603" i="1"/>
  <c r="AP603" i="1"/>
  <c r="AL603" i="1"/>
  <c r="AJ603" i="1"/>
  <c r="AV603" i="1" s="1"/>
  <c r="AI603" i="1"/>
  <c r="AW603" i="1" s="1"/>
  <c r="AC603" i="1"/>
  <c r="AA603" i="1"/>
  <c r="Z603" i="1" s="1"/>
  <c r="W603" i="1"/>
  <c r="U603" i="1"/>
  <c r="C603" i="1"/>
  <c r="BG602" i="1"/>
  <c r="BB602" i="1"/>
  <c r="BA602" i="1"/>
  <c r="AZ602" i="1"/>
  <c r="AW602" i="1"/>
  <c r="AU602" i="1"/>
  <c r="AR602" i="1"/>
  <c r="AQ602" i="1"/>
  <c r="AP602" i="1"/>
  <c r="AL602" i="1"/>
  <c r="AJ602" i="1"/>
  <c r="AV602" i="1" s="1"/>
  <c r="AI602" i="1"/>
  <c r="AC602" i="1"/>
  <c r="AA602" i="1"/>
  <c r="Z602" i="1"/>
  <c r="U602" i="1"/>
  <c r="W602" i="1" s="1"/>
  <c r="C602" i="1"/>
  <c r="BA601" i="1"/>
  <c r="AZ601" i="1"/>
  <c r="AW601" i="1"/>
  <c r="AU601" i="1"/>
  <c r="AR601" i="1"/>
  <c r="BB601" i="1" s="1"/>
  <c r="AQ601" i="1"/>
  <c r="AP601" i="1"/>
  <c r="AJ601" i="1"/>
  <c r="AV601" i="1" s="1"/>
  <c r="AI601" i="1"/>
  <c r="AC601" i="1"/>
  <c r="AA601" i="1"/>
  <c r="Z601" i="1"/>
  <c r="U601" i="1"/>
  <c r="W601" i="1" s="1"/>
  <c r="C601" i="1"/>
  <c r="BA600" i="1"/>
  <c r="AZ600" i="1"/>
  <c r="AU600" i="1"/>
  <c r="BC600" i="1" s="1"/>
  <c r="AR600" i="1"/>
  <c r="BB600" i="1" s="1"/>
  <c r="AQ600" i="1"/>
  <c r="AP600" i="1"/>
  <c r="AJ600" i="1"/>
  <c r="AV600" i="1" s="1"/>
  <c r="AI600" i="1"/>
  <c r="AW600" i="1" s="1"/>
  <c r="AC600" i="1"/>
  <c r="BG600" i="1" s="1"/>
  <c r="AA600" i="1"/>
  <c r="Z600" i="1" s="1"/>
  <c r="W600" i="1"/>
  <c r="U600" i="1"/>
  <c r="C600" i="1"/>
  <c r="BG599" i="1"/>
  <c r="BB599" i="1"/>
  <c r="BA599" i="1"/>
  <c r="AZ599" i="1"/>
  <c r="AU599" i="1"/>
  <c r="AR599" i="1"/>
  <c r="AQ599" i="1"/>
  <c r="AP599" i="1"/>
  <c r="AL599" i="1"/>
  <c r="AJ599" i="1"/>
  <c r="AV599" i="1" s="1"/>
  <c r="AI599" i="1"/>
  <c r="AW599" i="1" s="1"/>
  <c r="AC599" i="1"/>
  <c r="AA599" i="1"/>
  <c r="Z599" i="1" s="1"/>
  <c r="W599" i="1"/>
  <c r="U599" i="1"/>
  <c r="C599" i="1"/>
  <c r="BG598" i="1"/>
  <c r="BB598" i="1"/>
  <c r="BA598" i="1"/>
  <c r="AZ598" i="1"/>
  <c r="AW598" i="1"/>
  <c r="AU598" i="1"/>
  <c r="AR598" i="1"/>
  <c r="AQ598" i="1"/>
  <c r="AP598" i="1"/>
  <c r="AL598" i="1"/>
  <c r="AJ598" i="1"/>
  <c r="AV598" i="1" s="1"/>
  <c r="AI598" i="1"/>
  <c r="AC598" i="1"/>
  <c r="AA598" i="1"/>
  <c r="Z598" i="1"/>
  <c r="U598" i="1"/>
  <c r="W598" i="1" s="1"/>
  <c r="C598" i="1"/>
  <c r="BA597" i="1"/>
  <c r="AZ597" i="1"/>
  <c r="AW597" i="1"/>
  <c r="AV597" i="1"/>
  <c r="AU597" i="1"/>
  <c r="AR597" i="1"/>
  <c r="BB597" i="1" s="1"/>
  <c r="AQ597" i="1"/>
  <c r="AP597" i="1"/>
  <c r="AJ597" i="1"/>
  <c r="AI597" i="1"/>
  <c r="AC597" i="1"/>
  <c r="AA597" i="1"/>
  <c r="Z597" i="1"/>
  <c r="U597" i="1"/>
  <c r="W597" i="1" s="1"/>
  <c r="C597" i="1"/>
  <c r="BC596" i="1"/>
  <c r="BA596" i="1"/>
  <c r="AZ596" i="1"/>
  <c r="AV596" i="1"/>
  <c r="AU596" i="1"/>
  <c r="AR596" i="1"/>
  <c r="BB596" i="1" s="1"/>
  <c r="AQ596" i="1"/>
  <c r="AP596" i="1"/>
  <c r="AJ596" i="1"/>
  <c r="AI596" i="1"/>
  <c r="AW596" i="1" s="1"/>
  <c r="AC596" i="1"/>
  <c r="AA596" i="1"/>
  <c r="Z596" i="1" s="1"/>
  <c r="W596" i="1"/>
  <c r="U596" i="1"/>
  <c r="C596" i="1"/>
  <c r="BG595" i="1"/>
  <c r="BA595" i="1"/>
  <c r="AZ595" i="1"/>
  <c r="AU595" i="1"/>
  <c r="AR595" i="1"/>
  <c r="BB595" i="1" s="1"/>
  <c r="AQ595" i="1"/>
  <c r="AP595" i="1"/>
  <c r="AJ595" i="1"/>
  <c r="AV595" i="1" s="1"/>
  <c r="AI595" i="1"/>
  <c r="AW595" i="1" s="1"/>
  <c r="AC595" i="1"/>
  <c r="AA595" i="1"/>
  <c r="Z595" i="1"/>
  <c r="W595" i="1"/>
  <c r="U595" i="1"/>
  <c r="C595" i="1"/>
  <c r="BG594" i="1"/>
  <c r="BB594" i="1"/>
  <c r="BA594" i="1"/>
  <c r="AZ594" i="1"/>
  <c r="AU594" i="1"/>
  <c r="AR594" i="1"/>
  <c r="AQ594" i="1"/>
  <c r="AP594" i="1"/>
  <c r="AL594" i="1"/>
  <c r="AJ594" i="1"/>
  <c r="AV594" i="1" s="1"/>
  <c r="AI594" i="1"/>
  <c r="AW594" i="1" s="1"/>
  <c r="AC594" i="1"/>
  <c r="AA594" i="1"/>
  <c r="Z594" i="1" s="1"/>
  <c r="W594" i="1"/>
  <c r="U594" i="1"/>
  <c r="C594" i="1"/>
  <c r="BG593" i="1"/>
  <c r="BB593" i="1"/>
  <c r="BA593" i="1"/>
  <c r="AZ593" i="1"/>
  <c r="AW593" i="1"/>
  <c r="AU593" i="1"/>
  <c r="AR593" i="1"/>
  <c r="AQ593" i="1"/>
  <c r="AP593" i="1"/>
  <c r="AL593" i="1"/>
  <c r="AJ593" i="1"/>
  <c r="AV593" i="1" s="1"/>
  <c r="AI593" i="1"/>
  <c r="AC593" i="1"/>
  <c r="AA593" i="1"/>
  <c r="Z593" i="1" s="1"/>
  <c r="U593" i="1"/>
  <c r="W593" i="1" s="1"/>
  <c r="C593" i="1"/>
  <c r="BA592" i="1"/>
  <c r="AZ592" i="1"/>
  <c r="AW592" i="1"/>
  <c r="AU592" i="1"/>
  <c r="BC592" i="1" s="1"/>
  <c r="AR592" i="1"/>
  <c r="BB592" i="1" s="1"/>
  <c r="AQ592" i="1"/>
  <c r="AP592" i="1"/>
  <c r="AJ592" i="1"/>
  <c r="AV592" i="1" s="1"/>
  <c r="AI592" i="1"/>
  <c r="AC592" i="1"/>
  <c r="BG592" i="1" s="1"/>
  <c r="AA592" i="1"/>
  <c r="Z592" i="1"/>
  <c r="U592" i="1"/>
  <c r="W592" i="1" s="1"/>
  <c r="C592" i="1"/>
  <c r="BA591" i="1"/>
  <c r="AZ591" i="1"/>
  <c r="AU591" i="1"/>
  <c r="AR591" i="1"/>
  <c r="BB591" i="1" s="1"/>
  <c r="AQ591" i="1"/>
  <c r="AP591" i="1"/>
  <c r="AJ591" i="1"/>
  <c r="AV591" i="1" s="1"/>
  <c r="AI591" i="1"/>
  <c r="AW591" i="1" s="1"/>
  <c r="AC591" i="1"/>
  <c r="AA591" i="1"/>
  <c r="Z591" i="1"/>
  <c r="W591" i="1"/>
  <c r="U591" i="1"/>
  <c r="C591" i="1"/>
  <c r="BG590" i="1"/>
  <c r="BB590" i="1"/>
  <c r="BA590" i="1"/>
  <c r="AZ590" i="1"/>
  <c r="AU590" i="1"/>
  <c r="BC590" i="1" s="1"/>
  <c r="AR590" i="1"/>
  <c r="AQ590" i="1"/>
  <c r="AP590" i="1"/>
  <c r="AL590" i="1"/>
  <c r="AJ590" i="1"/>
  <c r="AV590" i="1" s="1"/>
  <c r="AI590" i="1"/>
  <c r="AW590" i="1" s="1"/>
  <c r="AC590" i="1"/>
  <c r="AA590" i="1"/>
  <c r="Z590" i="1" s="1"/>
  <c r="W590" i="1"/>
  <c r="U590" i="1"/>
  <c r="C590" i="1"/>
  <c r="BG589" i="1"/>
  <c r="BB589" i="1"/>
  <c r="BA589" i="1"/>
  <c r="AZ589" i="1"/>
  <c r="AW589" i="1"/>
  <c r="AU589" i="1"/>
  <c r="AR589" i="1"/>
  <c r="AQ589" i="1"/>
  <c r="AP589" i="1"/>
  <c r="AL589" i="1"/>
  <c r="AJ589" i="1"/>
  <c r="AV589" i="1" s="1"/>
  <c r="AI589" i="1"/>
  <c r="AC589" i="1"/>
  <c r="AA589" i="1"/>
  <c r="Z589" i="1" s="1"/>
  <c r="U589" i="1"/>
  <c r="W589" i="1" s="1"/>
  <c r="C589" i="1"/>
  <c r="BA588" i="1"/>
  <c r="AZ588" i="1"/>
  <c r="AW588" i="1"/>
  <c r="AU588" i="1"/>
  <c r="AR588" i="1"/>
  <c r="BB588" i="1" s="1"/>
  <c r="AQ588" i="1"/>
  <c r="AP588" i="1"/>
  <c r="AJ588" i="1"/>
  <c r="AV588" i="1" s="1"/>
  <c r="AI588" i="1"/>
  <c r="AC588" i="1"/>
  <c r="AA588" i="1"/>
  <c r="Z588" i="1"/>
  <c r="U588" i="1"/>
  <c r="W588" i="1" s="1"/>
  <c r="C588" i="1"/>
  <c r="BA587" i="1"/>
  <c r="AZ587" i="1"/>
  <c r="AU587" i="1"/>
  <c r="AR587" i="1"/>
  <c r="BB587" i="1" s="1"/>
  <c r="BD587" i="1" s="1"/>
  <c r="AX587" i="1" s="1"/>
  <c r="AQ587" i="1"/>
  <c r="AP587" i="1"/>
  <c r="AJ587" i="1"/>
  <c r="AV587" i="1" s="1"/>
  <c r="BC587" i="1" s="1"/>
  <c r="AI587" i="1"/>
  <c r="AW587" i="1" s="1"/>
  <c r="AC587" i="1"/>
  <c r="AA587" i="1"/>
  <c r="Z587" i="1"/>
  <c r="W587" i="1"/>
  <c r="U587" i="1"/>
  <c r="C587" i="1"/>
  <c r="BA586" i="1"/>
  <c r="AZ586" i="1"/>
  <c r="AV586" i="1"/>
  <c r="AU586" i="1"/>
  <c r="AR586" i="1"/>
  <c r="BB586" i="1" s="1"/>
  <c r="AQ586" i="1"/>
  <c r="AP586" i="1"/>
  <c r="AJ586" i="1"/>
  <c r="AI586" i="1"/>
  <c r="AW586" i="1" s="1"/>
  <c r="BC586" i="1" s="1"/>
  <c r="AC586" i="1"/>
  <c r="BG586" i="1" s="1"/>
  <c r="AA586" i="1"/>
  <c r="Z586" i="1" s="1"/>
  <c r="W586" i="1"/>
  <c r="U586" i="1"/>
  <c r="C586" i="1"/>
  <c r="BB585" i="1"/>
  <c r="BA585" i="1"/>
  <c r="AZ585" i="1"/>
  <c r="AU585" i="1"/>
  <c r="BC585" i="1" s="1"/>
  <c r="AR585" i="1"/>
  <c r="AQ585" i="1"/>
  <c r="AP585" i="1"/>
  <c r="AL585" i="1"/>
  <c r="AJ585" i="1"/>
  <c r="AV585" i="1" s="1"/>
  <c r="AI585" i="1"/>
  <c r="AW585" i="1" s="1"/>
  <c r="AC585" i="1"/>
  <c r="BG585" i="1" s="1"/>
  <c r="AA585" i="1"/>
  <c r="Z585" i="1" s="1"/>
  <c r="W585" i="1"/>
  <c r="U585" i="1"/>
  <c r="C585" i="1"/>
  <c r="BG584" i="1"/>
  <c r="BB584" i="1"/>
  <c r="BA584" i="1"/>
  <c r="AZ584" i="1"/>
  <c r="AW584" i="1"/>
  <c r="AU584" i="1"/>
  <c r="BC584" i="1" s="1"/>
  <c r="AR584" i="1"/>
  <c r="AQ584" i="1"/>
  <c r="AP584" i="1"/>
  <c r="AL584" i="1"/>
  <c r="AJ584" i="1"/>
  <c r="AV584" i="1" s="1"/>
  <c r="AI584" i="1"/>
  <c r="AC584" i="1"/>
  <c r="AA584" i="1"/>
  <c r="Z584" i="1" s="1"/>
  <c r="U584" i="1"/>
  <c r="W584" i="1" s="1"/>
  <c r="C584" i="1"/>
  <c r="BA583" i="1"/>
  <c r="AZ583" i="1"/>
  <c r="AW583" i="1"/>
  <c r="AU583" i="1"/>
  <c r="AR583" i="1"/>
  <c r="BB583" i="1" s="1"/>
  <c r="AQ583" i="1"/>
  <c r="AP583" i="1"/>
  <c r="AJ583" i="1"/>
  <c r="AV583" i="1" s="1"/>
  <c r="AI583" i="1"/>
  <c r="AC583" i="1"/>
  <c r="AA583" i="1"/>
  <c r="Z583" i="1"/>
  <c r="U583" i="1"/>
  <c r="W583" i="1" s="1"/>
  <c r="C583" i="1"/>
  <c r="BA582" i="1"/>
  <c r="AZ582" i="1"/>
  <c r="AU582" i="1"/>
  <c r="AR582" i="1"/>
  <c r="BB582" i="1" s="1"/>
  <c r="AQ582" i="1"/>
  <c r="AP582" i="1"/>
  <c r="AJ582" i="1"/>
  <c r="AV582" i="1" s="1"/>
  <c r="AI582" i="1"/>
  <c r="AW582" i="1" s="1"/>
  <c r="AC582" i="1"/>
  <c r="AA582" i="1"/>
  <c r="Z582" i="1" s="1"/>
  <c r="W582" i="1"/>
  <c r="U582" i="1"/>
  <c r="C582" i="1"/>
  <c r="BG581" i="1"/>
  <c r="BB581" i="1"/>
  <c r="BA581" i="1"/>
  <c r="AZ581" i="1"/>
  <c r="AU581" i="1"/>
  <c r="BC581" i="1" s="1"/>
  <c r="AR581" i="1"/>
  <c r="AQ581" i="1"/>
  <c r="AP581" i="1"/>
  <c r="AL581" i="1"/>
  <c r="AJ581" i="1"/>
  <c r="AV581" i="1" s="1"/>
  <c r="AI581" i="1"/>
  <c r="AW581" i="1" s="1"/>
  <c r="AC581" i="1"/>
  <c r="AA581" i="1"/>
  <c r="Z581" i="1" s="1"/>
  <c r="W581" i="1"/>
  <c r="U581" i="1"/>
  <c r="C581" i="1"/>
  <c r="BG580" i="1"/>
  <c r="BB580" i="1"/>
  <c r="BA580" i="1"/>
  <c r="AZ580" i="1"/>
  <c r="AW580" i="1"/>
  <c r="AU580" i="1"/>
  <c r="BC580" i="1" s="1"/>
  <c r="AR580" i="1"/>
  <c r="AQ580" i="1"/>
  <c r="AP580" i="1"/>
  <c r="AL580" i="1"/>
  <c r="AJ580" i="1"/>
  <c r="AV580" i="1" s="1"/>
  <c r="AI580" i="1"/>
  <c r="AC580" i="1"/>
  <c r="AA580" i="1"/>
  <c r="Z580" i="1"/>
  <c r="U580" i="1"/>
  <c r="W580" i="1" s="1"/>
  <c r="C580" i="1"/>
  <c r="BA579" i="1"/>
  <c r="AZ579" i="1"/>
  <c r="AW579" i="1"/>
  <c r="AV579" i="1"/>
  <c r="AU579" i="1"/>
  <c r="AR579" i="1"/>
  <c r="BB579" i="1" s="1"/>
  <c r="AQ579" i="1"/>
  <c r="AP579" i="1"/>
  <c r="AJ579" i="1"/>
  <c r="AI579" i="1"/>
  <c r="AC579" i="1"/>
  <c r="AA579" i="1"/>
  <c r="Z579" i="1"/>
  <c r="U579" i="1"/>
  <c r="W579" i="1" s="1"/>
  <c r="C579" i="1"/>
  <c r="BA578" i="1"/>
  <c r="AZ578" i="1"/>
  <c r="AV578" i="1"/>
  <c r="AU578" i="1"/>
  <c r="BC578" i="1" s="1"/>
  <c r="BD578" i="1" s="1"/>
  <c r="AX578" i="1" s="1"/>
  <c r="AR578" i="1"/>
  <c r="BB578" i="1" s="1"/>
  <c r="AQ578" i="1"/>
  <c r="AP578" i="1"/>
  <c r="AJ578" i="1"/>
  <c r="AI578" i="1"/>
  <c r="AW578" i="1" s="1"/>
  <c r="AC578" i="1"/>
  <c r="AA578" i="1"/>
  <c r="Z578" i="1" s="1"/>
  <c r="W578" i="1"/>
  <c r="U578" i="1"/>
  <c r="C578" i="1"/>
  <c r="BG577" i="1"/>
  <c r="BC577" i="1"/>
  <c r="BB577" i="1"/>
  <c r="BA577" i="1"/>
  <c r="AZ577" i="1"/>
  <c r="AU577" i="1"/>
  <c r="AR577" i="1"/>
  <c r="AQ577" i="1"/>
  <c r="AP577" i="1"/>
  <c r="AL577" i="1"/>
  <c r="AJ577" i="1"/>
  <c r="AV577" i="1" s="1"/>
  <c r="AI577" i="1"/>
  <c r="AW577" i="1" s="1"/>
  <c r="AC577" i="1"/>
  <c r="AA577" i="1"/>
  <c r="Z577" i="1" s="1"/>
  <c r="W577" i="1"/>
  <c r="U577" i="1"/>
  <c r="C577" i="1"/>
  <c r="BG576" i="1"/>
  <c r="BB576" i="1"/>
  <c r="BA576" i="1"/>
  <c r="AZ576" i="1"/>
  <c r="AW576" i="1"/>
  <c r="AU576" i="1"/>
  <c r="AR576" i="1"/>
  <c r="AQ576" i="1"/>
  <c r="AP576" i="1"/>
  <c r="AL576" i="1"/>
  <c r="AJ576" i="1"/>
  <c r="AV576" i="1" s="1"/>
  <c r="AI576" i="1"/>
  <c r="AC576" i="1"/>
  <c r="AA576" i="1"/>
  <c r="Z576" i="1" s="1"/>
  <c r="W576" i="1"/>
  <c r="U576" i="1"/>
  <c r="C576" i="1"/>
  <c r="BG575" i="1"/>
  <c r="BB575" i="1"/>
  <c r="BA575" i="1"/>
  <c r="AZ575" i="1"/>
  <c r="AW575" i="1"/>
  <c r="AU575" i="1"/>
  <c r="AR575" i="1"/>
  <c r="AQ575" i="1"/>
  <c r="AP575" i="1"/>
  <c r="AL575" i="1"/>
  <c r="AJ575" i="1"/>
  <c r="AV575" i="1" s="1"/>
  <c r="AI575" i="1"/>
  <c r="AC575" i="1"/>
  <c r="AA575" i="1"/>
  <c r="Z575" i="1"/>
  <c r="U575" i="1"/>
  <c r="W575" i="1" s="1"/>
  <c r="C575" i="1"/>
  <c r="BA574" i="1"/>
  <c r="AZ574" i="1"/>
  <c r="AW574" i="1"/>
  <c r="AU574" i="1"/>
  <c r="BC574" i="1" s="1"/>
  <c r="AR574" i="1"/>
  <c r="BB574" i="1" s="1"/>
  <c r="AQ574" i="1"/>
  <c r="AP574" i="1"/>
  <c r="AJ574" i="1"/>
  <c r="AV574" i="1" s="1"/>
  <c r="AI574" i="1"/>
  <c r="AC574" i="1"/>
  <c r="AA574" i="1"/>
  <c r="Z574" i="1"/>
  <c r="U574" i="1"/>
  <c r="W574" i="1" s="1"/>
  <c r="C574" i="1"/>
  <c r="BA573" i="1"/>
  <c r="AZ573" i="1"/>
  <c r="AU573" i="1"/>
  <c r="BC573" i="1" s="1"/>
  <c r="AR573" i="1"/>
  <c r="BB573" i="1" s="1"/>
  <c r="AQ573" i="1"/>
  <c r="AP573" i="1"/>
  <c r="AJ573" i="1"/>
  <c r="AV573" i="1" s="1"/>
  <c r="AI573" i="1"/>
  <c r="AW573" i="1" s="1"/>
  <c r="AC573" i="1"/>
  <c r="BG573" i="1" s="1"/>
  <c r="AA573" i="1"/>
  <c r="Z573" i="1"/>
  <c r="W573" i="1"/>
  <c r="U573" i="1"/>
  <c r="C573" i="1"/>
  <c r="BG572" i="1"/>
  <c r="BB572" i="1"/>
  <c r="BD572" i="1" s="1"/>
  <c r="AX572" i="1" s="1"/>
  <c r="BA572" i="1"/>
  <c r="AZ572" i="1"/>
  <c r="AU572" i="1"/>
  <c r="BC572" i="1" s="1"/>
  <c r="AR572" i="1"/>
  <c r="AQ572" i="1"/>
  <c r="AP572" i="1"/>
  <c r="AL572" i="1"/>
  <c r="AJ572" i="1"/>
  <c r="AV572" i="1" s="1"/>
  <c r="AI572" i="1"/>
  <c r="AW572" i="1" s="1"/>
  <c r="AC572" i="1"/>
  <c r="AA572" i="1"/>
  <c r="Z572" i="1" s="1"/>
  <c r="W572" i="1"/>
  <c r="U572" i="1"/>
  <c r="C572" i="1"/>
  <c r="BG571" i="1"/>
  <c r="BB571" i="1"/>
  <c r="BA571" i="1"/>
  <c r="AZ571" i="1"/>
  <c r="AW571" i="1"/>
  <c r="AU571" i="1"/>
  <c r="AR571" i="1"/>
  <c r="AQ571" i="1"/>
  <c r="AP571" i="1"/>
  <c r="AL571" i="1"/>
  <c r="AJ571" i="1"/>
  <c r="AV571" i="1" s="1"/>
  <c r="AI571" i="1"/>
  <c r="AC571" i="1"/>
  <c r="AA571" i="1"/>
  <c r="Z571" i="1"/>
  <c r="U571" i="1"/>
  <c r="W571" i="1" s="1"/>
  <c r="C571" i="1"/>
  <c r="BA570" i="1"/>
  <c r="AZ570" i="1"/>
  <c r="AW570" i="1"/>
  <c r="AU570" i="1"/>
  <c r="AR570" i="1"/>
  <c r="BB570" i="1" s="1"/>
  <c r="AQ570" i="1"/>
  <c r="AP570" i="1"/>
  <c r="AJ570" i="1"/>
  <c r="AV570" i="1" s="1"/>
  <c r="AI570" i="1"/>
  <c r="AC570" i="1"/>
  <c r="AA570" i="1"/>
  <c r="Z570" i="1"/>
  <c r="U570" i="1"/>
  <c r="W570" i="1" s="1"/>
  <c r="C570" i="1"/>
  <c r="BA569" i="1"/>
  <c r="AZ569" i="1"/>
  <c r="AU569" i="1"/>
  <c r="AR569" i="1"/>
  <c r="BB569" i="1" s="1"/>
  <c r="AQ569" i="1"/>
  <c r="AP569" i="1"/>
  <c r="AJ569" i="1"/>
  <c r="AV569" i="1" s="1"/>
  <c r="AI569" i="1"/>
  <c r="AW569" i="1" s="1"/>
  <c r="AC569" i="1"/>
  <c r="BG569" i="1" s="1"/>
  <c r="AA569" i="1"/>
  <c r="Z569" i="1"/>
  <c r="W569" i="1"/>
  <c r="U569" i="1"/>
  <c r="C569" i="1"/>
  <c r="BG568" i="1"/>
  <c r="BB568" i="1"/>
  <c r="BA568" i="1"/>
  <c r="AZ568" i="1"/>
  <c r="AU568" i="1"/>
  <c r="AR568" i="1"/>
  <c r="AQ568" i="1"/>
  <c r="AP568" i="1"/>
  <c r="AL568" i="1"/>
  <c r="AJ568" i="1"/>
  <c r="AV568" i="1" s="1"/>
  <c r="AI568" i="1"/>
  <c r="AW568" i="1" s="1"/>
  <c r="AC568" i="1"/>
  <c r="AA568" i="1"/>
  <c r="Z568" i="1" s="1"/>
  <c r="W568" i="1"/>
  <c r="U568" i="1"/>
  <c r="C568" i="1"/>
  <c r="BG567" i="1"/>
  <c r="BB567" i="1"/>
  <c r="BA567" i="1"/>
  <c r="AZ567" i="1"/>
  <c r="AW567" i="1"/>
  <c r="AU567" i="1"/>
  <c r="AR567" i="1"/>
  <c r="AQ567" i="1"/>
  <c r="AP567" i="1"/>
  <c r="AL567" i="1"/>
  <c r="AJ567" i="1"/>
  <c r="AV567" i="1" s="1"/>
  <c r="AI567" i="1"/>
  <c r="AC567" i="1"/>
  <c r="AA567" i="1"/>
  <c r="Z567" i="1"/>
  <c r="U567" i="1"/>
  <c r="W567" i="1" s="1"/>
  <c r="C567" i="1"/>
  <c r="BA566" i="1"/>
  <c r="AZ566" i="1"/>
  <c r="AW566" i="1"/>
  <c r="AU566" i="1"/>
  <c r="AR566" i="1"/>
  <c r="BB566" i="1" s="1"/>
  <c r="AQ566" i="1"/>
  <c r="AP566" i="1"/>
  <c r="AJ566" i="1"/>
  <c r="AV566" i="1" s="1"/>
  <c r="AI566" i="1"/>
  <c r="AC566" i="1"/>
  <c r="AA566" i="1"/>
  <c r="Z566" i="1"/>
  <c r="U566" i="1"/>
  <c r="W566" i="1" s="1"/>
  <c r="C566" i="1"/>
  <c r="BA565" i="1"/>
  <c r="AZ565" i="1"/>
  <c r="AU565" i="1"/>
  <c r="BC565" i="1" s="1"/>
  <c r="AR565" i="1"/>
  <c r="BB565" i="1" s="1"/>
  <c r="AQ565" i="1"/>
  <c r="AP565" i="1"/>
  <c r="AJ565" i="1"/>
  <c r="AV565" i="1" s="1"/>
  <c r="AI565" i="1"/>
  <c r="AW565" i="1" s="1"/>
  <c r="AC565" i="1"/>
  <c r="BG565" i="1" s="1"/>
  <c r="AA565" i="1"/>
  <c r="Z565" i="1"/>
  <c r="W565" i="1"/>
  <c r="U565" i="1"/>
  <c r="C565" i="1"/>
  <c r="BG564" i="1"/>
  <c r="BB564" i="1"/>
  <c r="BA564" i="1"/>
  <c r="AZ564" i="1"/>
  <c r="AU564" i="1"/>
  <c r="BC564" i="1" s="1"/>
  <c r="AR564" i="1"/>
  <c r="AQ564" i="1"/>
  <c r="AP564" i="1"/>
  <c r="AL564" i="1"/>
  <c r="AJ564" i="1"/>
  <c r="AV564" i="1" s="1"/>
  <c r="AI564" i="1"/>
  <c r="AW564" i="1" s="1"/>
  <c r="AC564" i="1"/>
  <c r="AA564" i="1"/>
  <c r="Z564" i="1" s="1"/>
  <c r="W564" i="1"/>
  <c r="U564" i="1"/>
  <c r="C564" i="1"/>
  <c r="BG563" i="1"/>
  <c r="BB563" i="1"/>
  <c r="BA563" i="1"/>
  <c r="AZ563" i="1"/>
  <c r="AW563" i="1"/>
  <c r="AU563" i="1"/>
  <c r="AR563" i="1"/>
  <c r="AQ563" i="1"/>
  <c r="AP563" i="1"/>
  <c r="AL563" i="1"/>
  <c r="AJ563" i="1"/>
  <c r="AV563" i="1" s="1"/>
  <c r="AI563" i="1"/>
  <c r="AC563" i="1"/>
  <c r="AA563" i="1"/>
  <c r="Z563" i="1"/>
  <c r="U563" i="1"/>
  <c r="W563" i="1" s="1"/>
  <c r="C563" i="1"/>
  <c r="BA562" i="1"/>
  <c r="AZ562" i="1"/>
  <c r="AW562" i="1"/>
  <c r="AU562" i="1"/>
  <c r="AR562" i="1"/>
  <c r="BB562" i="1" s="1"/>
  <c r="AQ562" i="1"/>
  <c r="AP562" i="1"/>
  <c r="AJ562" i="1"/>
  <c r="AV562" i="1" s="1"/>
  <c r="AI562" i="1"/>
  <c r="AC562" i="1"/>
  <c r="AA562" i="1"/>
  <c r="Z562" i="1"/>
  <c r="U562" i="1"/>
  <c r="W562" i="1" s="1"/>
  <c r="C562" i="1"/>
  <c r="BA561" i="1"/>
  <c r="AZ561" i="1"/>
  <c r="AU561" i="1"/>
  <c r="AR561" i="1"/>
  <c r="BB561" i="1" s="1"/>
  <c r="AQ561" i="1"/>
  <c r="AP561" i="1"/>
  <c r="AJ561" i="1"/>
  <c r="AV561" i="1" s="1"/>
  <c r="AI561" i="1"/>
  <c r="AW561" i="1" s="1"/>
  <c r="AC561" i="1"/>
  <c r="BG561" i="1" s="1"/>
  <c r="AA561" i="1"/>
  <c r="Z561" i="1"/>
  <c r="W561" i="1"/>
  <c r="U561" i="1"/>
  <c r="C561" i="1"/>
  <c r="BG560" i="1"/>
  <c r="BB560" i="1"/>
  <c r="BA560" i="1"/>
  <c r="AZ560" i="1"/>
  <c r="AU560" i="1"/>
  <c r="AR560" i="1"/>
  <c r="AQ560" i="1"/>
  <c r="AP560" i="1"/>
  <c r="AL560" i="1"/>
  <c r="AJ560" i="1"/>
  <c r="AV560" i="1" s="1"/>
  <c r="AI560" i="1"/>
  <c r="AW560" i="1" s="1"/>
  <c r="AC560" i="1"/>
  <c r="AA560" i="1"/>
  <c r="Z560" i="1" s="1"/>
  <c r="W560" i="1"/>
  <c r="U560" i="1"/>
  <c r="C560" i="1"/>
  <c r="BG559" i="1"/>
  <c r="BB559" i="1"/>
  <c r="BA559" i="1"/>
  <c r="AZ559" i="1"/>
  <c r="AW559" i="1"/>
  <c r="AU559" i="1"/>
  <c r="BC559" i="1" s="1"/>
  <c r="AR559" i="1"/>
  <c r="AQ559" i="1"/>
  <c r="AP559" i="1"/>
  <c r="AL559" i="1"/>
  <c r="AJ559" i="1"/>
  <c r="AV559" i="1" s="1"/>
  <c r="AI559" i="1"/>
  <c r="AC559" i="1"/>
  <c r="AA559" i="1"/>
  <c r="Z559" i="1"/>
  <c r="U559" i="1"/>
  <c r="W559" i="1" s="1"/>
  <c r="C559" i="1"/>
  <c r="BA558" i="1"/>
  <c r="AZ558" i="1"/>
  <c r="AW558" i="1"/>
  <c r="AV558" i="1"/>
  <c r="AU558" i="1"/>
  <c r="AR558" i="1"/>
  <c r="BB558" i="1" s="1"/>
  <c r="AQ558" i="1"/>
  <c r="AP558" i="1"/>
  <c r="AJ558" i="1"/>
  <c r="AI558" i="1"/>
  <c r="AC558" i="1"/>
  <c r="AA558" i="1"/>
  <c r="Z558" i="1"/>
  <c r="U558" i="1"/>
  <c r="W558" i="1" s="1"/>
  <c r="C558" i="1"/>
  <c r="BA557" i="1"/>
  <c r="AZ557" i="1"/>
  <c r="AU557" i="1"/>
  <c r="AR557" i="1"/>
  <c r="BB557" i="1" s="1"/>
  <c r="AQ557" i="1"/>
  <c r="AP557" i="1"/>
  <c r="AJ557" i="1"/>
  <c r="AV557" i="1" s="1"/>
  <c r="AI557" i="1"/>
  <c r="AW557" i="1" s="1"/>
  <c r="AC557" i="1"/>
  <c r="AA557" i="1"/>
  <c r="Z557" i="1" s="1"/>
  <c r="W557" i="1"/>
  <c r="U557" i="1"/>
  <c r="C557" i="1"/>
  <c r="BG556" i="1"/>
  <c r="BC556" i="1"/>
  <c r="BB556" i="1"/>
  <c r="BA556" i="1"/>
  <c r="AZ556" i="1"/>
  <c r="AU556" i="1"/>
  <c r="AR556" i="1"/>
  <c r="AQ556" i="1"/>
  <c r="AP556" i="1"/>
  <c r="AL556" i="1"/>
  <c r="AJ556" i="1"/>
  <c r="AV556" i="1" s="1"/>
  <c r="AI556" i="1"/>
  <c r="AW556" i="1" s="1"/>
  <c r="AC556" i="1"/>
  <c r="AA556" i="1"/>
  <c r="Z556" i="1" s="1"/>
  <c r="W556" i="1"/>
  <c r="U556" i="1"/>
  <c r="C556" i="1"/>
  <c r="BG555" i="1"/>
  <c r="BB555" i="1"/>
  <c r="BA555" i="1"/>
  <c r="AZ555" i="1"/>
  <c r="AW555" i="1"/>
  <c r="AU555" i="1"/>
  <c r="AR555" i="1"/>
  <c r="AQ555" i="1"/>
  <c r="AP555" i="1"/>
  <c r="AL555" i="1"/>
  <c r="AJ555" i="1"/>
  <c r="AV555" i="1" s="1"/>
  <c r="AI555" i="1"/>
  <c r="AC555" i="1"/>
  <c r="AA555" i="1"/>
  <c r="Z555" i="1" s="1"/>
  <c r="U555" i="1"/>
  <c r="W555" i="1" s="1"/>
  <c r="C555" i="1"/>
  <c r="BA554" i="1"/>
  <c r="AZ554" i="1"/>
  <c r="AW554" i="1"/>
  <c r="AU554" i="1"/>
  <c r="AR554" i="1"/>
  <c r="BB554" i="1" s="1"/>
  <c r="AQ554" i="1"/>
  <c r="AP554" i="1"/>
  <c r="AJ554" i="1"/>
  <c r="AV554" i="1" s="1"/>
  <c r="AI554" i="1"/>
  <c r="AC554" i="1"/>
  <c r="AA554" i="1"/>
  <c r="Z554" i="1"/>
  <c r="U554" i="1"/>
  <c r="W554" i="1" s="1"/>
  <c r="C554" i="1"/>
  <c r="BA553" i="1"/>
  <c r="AZ553" i="1"/>
  <c r="AU553" i="1"/>
  <c r="AR553" i="1"/>
  <c r="BB553" i="1" s="1"/>
  <c r="AQ553" i="1"/>
  <c r="AP553" i="1"/>
  <c r="AJ553" i="1"/>
  <c r="AV553" i="1" s="1"/>
  <c r="BC553" i="1" s="1"/>
  <c r="BD553" i="1" s="1"/>
  <c r="AX553" i="1" s="1"/>
  <c r="AI553" i="1"/>
  <c r="AW553" i="1" s="1"/>
  <c r="AC553" i="1"/>
  <c r="AA553" i="1"/>
  <c r="Z553" i="1"/>
  <c r="W553" i="1"/>
  <c r="U553" i="1"/>
  <c r="C553" i="1"/>
  <c r="BB552" i="1"/>
  <c r="BA552" i="1"/>
  <c r="AZ552" i="1"/>
  <c r="AU552" i="1"/>
  <c r="AR552" i="1"/>
  <c r="AQ552" i="1"/>
  <c r="AP552" i="1"/>
  <c r="AJ552" i="1"/>
  <c r="AV552" i="1" s="1"/>
  <c r="BC552" i="1" s="1"/>
  <c r="AI552" i="1"/>
  <c r="AW552" i="1" s="1"/>
  <c r="AC552" i="1"/>
  <c r="AL552" i="1" s="1"/>
  <c r="AA552" i="1"/>
  <c r="Z552" i="1" s="1"/>
  <c r="W552" i="1"/>
  <c r="U552" i="1"/>
  <c r="C552" i="1"/>
  <c r="BG551" i="1"/>
  <c r="BB551" i="1"/>
  <c r="BA551" i="1"/>
  <c r="AZ551" i="1"/>
  <c r="AU551" i="1"/>
  <c r="AR551" i="1"/>
  <c r="AQ551" i="1"/>
  <c r="AP551" i="1"/>
  <c r="AL551" i="1"/>
  <c r="AJ551" i="1"/>
  <c r="AV551" i="1" s="1"/>
  <c r="AI551" i="1"/>
  <c r="AW551" i="1" s="1"/>
  <c r="AC551" i="1"/>
  <c r="AA551" i="1"/>
  <c r="Z551" i="1" s="1"/>
  <c r="W551" i="1"/>
  <c r="U551" i="1"/>
  <c r="C551" i="1"/>
  <c r="BG550" i="1"/>
  <c r="BA550" i="1"/>
  <c r="AZ550" i="1"/>
  <c r="AV550" i="1"/>
  <c r="AU550" i="1"/>
  <c r="BC550" i="1" s="1"/>
  <c r="AR550" i="1"/>
  <c r="BB550" i="1" s="1"/>
  <c r="BD550" i="1" s="1"/>
  <c r="AX550" i="1" s="1"/>
  <c r="AQ550" i="1"/>
  <c r="AP550" i="1"/>
  <c r="AL550" i="1"/>
  <c r="AJ550" i="1"/>
  <c r="AI550" i="1"/>
  <c r="AW550" i="1" s="1"/>
  <c r="AC550" i="1"/>
  <c r="AA550" i="1"/>
  <c r="Z550" i="1" s="1"/>
  <c r="W550" i="1"/>
  <c r="U550" i="1"/>
  <c r="C550" i="1"/>
  <c r="BA549" i="1"/>
  <c r="AZ549" i="1"/>
  <c r="AW549" i="1"/>
  <c r="AU549" i="1"/>
  <c r="AR549" i="1"/>
  <c r="BB549" i="1" s="1"/>
  <c r="AQ549" i="1"/>
  <c r="AP549" i="1"/>
  <c r="AJ549" i="1"/>
  <c r="AV549" i="1" s="1"/>
  <c r="AI549" i="1"/>
  <c r="AC549" i="1"/>
  <c r="BG549" i="1" s="1"/>
  <c r="AA549" i="1"/>
  <c r="Z549" i="1"/>
  <c r="U549" i="1"/>
  <c r="W549" i="1" s="1"/>
  <c r="C549" i="1"/>
  <c r="BA548" i="1"/>
  <c r="AZ548" i="1"/>
  <c r="AV548" i="1"/>
  <c r="AU548" i="1"/>
  <c r="BC548" i="1" s="1"/>
  <c r="BD548" i="1" s="1"/>
  <c r="AX548" i="1" s="1"/>
  <c r="AR548" i="1"/>
  <c r="BB548" i="1" s="1"/>
  <c r="AQ548" i="1"/>
  <c r="AP548" i="1"/>
  <c r="AJ548" i="1"/>
  <c r="AI548" i="1"/>
  <c r="AW548" i="1" s="1"/>
  <c r="AC548" i="1"/>
  <c r="AA548" i="1"/>
  <c r="Z548" i="1"/>
  <c r="W548" i="1"/>
  <c r="U548" i="1"/>
  <c r="C548" i="1"/>
  <c r="BG547" i="1"/>
  <c r="BB547" i="1"/>
  <c r="BD547" i="1" s="1"/>
  <c r="AX547" i="1" s="1"/>
  <c r="BA547" i="1"/>
  <c r="AZ547" i="1"/>
  <c r="AU547" i="1"/>
  <c r="BC547" i="1" s="1"/>
  <c r="AR547" i="1"/>
  <c r="AQ547" i="1"/>
  <c r="AP547" i="1"/>
  <c r="AL547" i="1"/>
  <c r="AJ547" i="1"/>
  <c r="AV547" i="1" s="1"/>
  <c r="AI547" i="1"/>
  <c r="AW547" i="1" s="1"/>
  <c r="AC547" i="1"/>
  <c r="AA547" i="1"/>
  <c r="Z547" i="1" s="1"/>
  <c r="W547" i="1"/>
  <c r="U547" i="1"/>
  <c r="C547" i="1"/>
  <c r="BG546" i="1"/>
  <c r="BB546" i="1"/>
  <c r="BA546" i="1"/>
  <c r="AZ546" i="1"/>
  <c r="AW546" i="1"/>
  <c r="AU546" i="1"/>
  <c r="BC546" i="1" s="1"/>
  <c r="AR546" i="1"/>
  <c r="AQ546" i="1"/>
  <c r="AP546" i="1"/>
  <c r="AL546" i="1"/>
  <c r="AJ546" i="1"/>
  <c r="AV546" i="1" s="1"/>
  <c r="AI546" i="1"/>
  <c r="AC546" i="1"/>
  <c r="AA546" i="1"/>
  <c r="Z546" i="1" s="1"/>
  <c r="U546" i="1"/>
  <c r="W546" i="1" s="1"/>
  <c r="C546" i="1"/>
  <c r="BA545" i="1"/>
  <c r="AZ545" i="1"/>
  <c r="AW545" i="1"/>
  <c r="AU545" i="1"/>
  <c r="AR545" i="1"/>
  <c r="BB545" i="1" s="1"/>
  <c r="AQ545" i="1"/>
  <c r="AP545" i="1"/>
  <c r="AJ545" i="1"/>
  <c r="AV545" i="1" s="1"/>
  <c r="AI545" i="1"/>
  <c r="AC545" i="1"/>
  <c r="AA545" i="1"/>
  <c r="Z545" i="1"/>
  <c r="U545" i="1"/>
  <c r="W545" i="1" s="1"/>
  <c r="C545" i="1"/>
  <c r="BA544" i="1"/>
  <c r="AZ544" i="1"/>
  <c r="AU544" i="1"/>
  <c r="AR544" i="1"/>
  <c r="BB544" i="1" s="1"/>
  <c r="AQ544" i="1"/>
  <c r="AP544" i="1"/>
  <c r="AJ544" i="1"/>
  <c r="AV544" i="1" s="1"/>
  <c r="AI544" i="1"/>
  <c r="AW544" i="1" s="1"/>
  <c r="AC544" i="1"/>
  <c r="AA544" i="1"/>
  <c r="Z544" i="1"/>
  <c r="W544" i="1"/>
  <c r="U544" i="1"/>
  <c r="C544" i="1"/>
  <c r="BG543" i="1"/>
  <c r="BB543" i="1"/>
  <c r="BD543" i="1" s="1"/>
  <c r="BA543" i="1"/>
  <c r="AZ543" i="1"/>
  <c r="AX543" i="1"/>
  <c r="AU543" i="1"/>
  <c r="AR543" i="1"/>
  <c r="AQ543" i="1"/>
  <c r="AP543" i="1"/>
  <c r="AL543" i="1"/>
  <c r="AJ543" i="1"/>
  <c r="AV543" i="1" s="1"/>
  <c r="BC543" i="1" s="1"/>
  <c r="AI543" i="1"/>
  <c r="AW543" i="1" s="1"/>
  <c r="AC543" i="1"/>
  <c r="AA543" i="1"/>
  <c r="Z543" i="1" s="1"/>
  <c r="W543" i="1"/>
  <c r="U543" i="1"/>
  <c r="C543" i="1"/>
  <c r="BG542" i="1"/>
  <c r="BB542" i="1"/>
  <c r="BA542" i="1"/>
  <c r="AZ542" i="1"/>
  <c r="AW542" i="1"/>
  <c r="AU542" i="1"/>
  <c r="AR542" i="1"/>
  <c r="AQ542" i="1"/>
  <c r="AP542" i="1"/>
  <c r="AL542" i="1"/>
  <c r="AJ542" i="1"/>
  <c r="AV542" i="1" s="1"/>
  <c r="AI542" i="1"/>
  <c r="AC542" i="1"/>
  <c r="AA542" i="1"/>
  <c r="Z542" i="1"/>
  <c r="U542" i="1"/>
  <c r="W542" i="1" s="1"/>
  <c r="C542" i="1"/>
  <c r="BA541" i="1"/>
  <c r="AZ541" i="1"/>
  <c r="AW541" i="1"/>
  <c r="AU541" i="1"/>
  <c r="AR541" i="1"/>
  <c r="BB541" i="1" s="1"/>
  <c r="AQ541" i="1"/>
  <c r="AP541" i="1"/>
  <c r="AJ541" i="1"/>
  <c r="AV541" i="1" s="1"/>
  <c r="AI541" i="1"/>
  <c r="AC541" i="1"/>
  <c r="AA541" i="1"/>
  <c r="Z541" i="1"/>
  <c r="U541" i="1"/>
  <c r="W541" i="1" s="1"/>
  <c r="C541" i="1"/>
  <c r="BA540" i="1"/>
  <c r="AZ540" i="1"/>
  <c r="AV540" i="1"/>
  <c r="BC540" i="1" s="1"/>
  <c r="BD540" i="1" s="1"/>
  <c r="AX540" i="1" s="1"/>
  <c r="AU540" i="1"/>
  <c r="AR540" i="1"/>
  <c r="BB540" i="1" s="1"/>
  <c r="AQ540" i="1"/>
  <c r="AP540" i="1"/>
  <c r="AJ540" i="1"/>
  <c r="AI540" i="1"/>
  <c r="AW540" i="1" s="1"/>
  <c r="AC540" i="1"/>
  <c r="AA540" i="1"/>
  <c r="Z540" i="1" s="1"/>
  <c r="W540" i="1"/>
  <c r="U540" i="1"/>
  <c r="C540" i="1"/>
  <c r="BG539" i="1"/>
  <c r="BB539" i="1"/>
  <c r="BA539" i="1"/>
  <c r="AZ539" i="1"/>
  <c r="AU539" i="1"/>
  <c r="BC539" i="1" s="1"/>
  <c r="AR539" i="1"/>
  <c r="AQ539" i="1"/>
  <c r="AP539" i="1"/>
  <c r="AL539" i="1"/>
  <c r="AJ539" i="1"/>
  <c r="AV539" i="1" s="1"/>
  <c r="AI539" i="1"/>
  <c r="AW539" i="1" s="1"/>
  <c r="AC539" i="1"/>
  <c r="AA539" i="1"/>
  <c r="Z539" i="1" s="1"/>
  <c r="W539" i="1"/>
  <c r="U539" i="1"/>
  <c r="C539" i="1"/>
  <c r="BG538" i="1"/>
  <c r="BB538" i="1"/>
  <c r="BA538" i="1"/>
  <c r="AZ538" i="1"/>
  <c r="AW538" i="1"/>
  <c r="AU538" i="1"/>
  <c r="AR538" i="1"/>
  <c r="AQ538" i="1"/>
  <c r="AP538" i="1"/>
  <c r="AL538" i="1"/>
  <c r="AJ538" i="1"/>
  <c r="AV538" i="1" s="1"/>
  <c r="AI538" i="1"/>
  <c r="AC538" i="1"/>
  <c r="AA538" i="1"/>
  <c r="Z538" i="1"/>
  <c r="U538" i="1"/>
  <c r="W538" i="1" s="1"/>
  <c r="C538" i="1"/>
  <c r="BA537" i="1"/>
  <c r="AZ537" i="1"/>
  <c r="AW537" i="1"/>
  <c r="AU537" i="1"/>
  <c r="AR537" i="1"/>
  <c r="BB537" i="1" s="1"/>
  <c r="AQ537" i="1"/>
  <c r="AP537" i="1"/>
  <c r="AJ537" i="1"/>
  <c r="AV537" i="1" s="1"/>
  <c r="AI537" i="1"/>
  <c r="AC537" i="1"/>
  <c r="AA537" i="1"/>
  <c r="Z537" i="1"/>
  <c r="U537" i="1"/>
  <c r="W537" i="1" s="1"/>
  <c r="C537" i="1"/>
  <c r="BA536" i="1"/>
  <c r="AZ536" i="1"/>
  <c r="AV536" i="1"/>
  <c r="AU536" i="1"/>
  <c r="BC536" i="1" s="1"/>
  <c r="AR536" i="1"/>
  <c r="BB536" i="1" s="1"/>
  <c r="AQ536" i="1"/>
  <c r="AP536" i="1"/>
  <c r="AJ536" i="1"/>
  <c r="AI536" i="1"/>
  <c r="AW536" i="1" s="1"/>
  <c r="AC536" i="1"/>
  <c r="AA536" i="1"/>
  <c r="Z536" i="1"/>
  <c r="W536" i="1"/>
  <c r="U536" i="1"/>
  <c r="C536" i="1"/>
  <c r="BG535" i="1"/>
  <c r="BC535" i="1"/>
  <c r="BB535" i="1"/>
  <c r="BA535" i="1"/>
  <c r="AZ535" i="1"/>
  <c r="AU535" i="1"/>
  <c r="AR535" i="1"/>
  <c r="AQ535" i="1"/>
  <c r="AP535" i="1"/>
  <c r="AL535" i="1"/>
  <c r="AJ535" i="1"/>
  <c r="AV535" i="1" s="1"/>
  <c r="AI535" i="1"/>
  <c r="AW535" i="1" s="1"/>
  <c r="AC535" i="1"/>
  <c r="AA535" i="1"/>
  <c r="Z535" i="1" s="1"/>
  <c r="W535" i="1"/>
  <c r="U535" i="1"/>
  <c r="C535" i="1"/>
  <c r="BG534" i="1"/>
  <c r="BB534" i="1"/>
  <c r="BA534" i="1"/>
  <c r="AZ534" i="1"/>
  <c r="AU534" i="1"/>
  <c r="AR534" i="1"/>
  <c r="AQ534" i="1"/>
  <c r="AP534" i="1"/>
  <c r="AL534" i="1"/>
  <c r="AJ534" i="1"/>
  <c r="AV534" i="1" s="1"/>
  <c r="AI534" i="1"/>
  <c r="AW534" i="1" s="1"/>
  <c r="AC534" i="1"/>
  <c r="AA534" i="1"/>
  <c r="Z534" i="1"/>
  <c r="W534" i="1"/>
  <c r="U534" i="1"/>
  <c r="C534" i="1"/>
  <c r="BG533" i="1"/>
  <c r="BA533" i="1"/>
  <c r="AZ533" i="1"/>
  <c r="AW533" i="1"/>
  <c r="AV533" i="1"/>
  <c r="AU533" i="1"/>
  <c r="BC533" i="1" s="1"/>
  <c r="AR533" i="1"/>
  <c r="BB533" i="1" s="1"/>
  <c r="BD533" i="1" s="1"/>
  <c r="AX533" i="1" s="1"/>
  <c r="AQ533" i="1"/>
  <c r="AP533" i="1"/>
  <c r="AL533" i="1"/>
  <c r="AJ533" i="1"/>
  <c r="AI533" i="1"/>
  <c r="AC533" i="1"/>
  <c r="AA533" i="1"/>
  <c r="Z533" i="1"/>
  <c r="U533" i="1"/>
  <c r="W533" i="1" s="1"/>
  <c r="C533" i="1"/>
  <c r="BA532" i="1"/>
  <c r="AZ532" i="1"/>
  <c r="AW532" i="1"/>
  <c r="AU532" i="1"/>
  <c r="AR532" i="1"/>
  <c r="BB532" i="1" s="1"/>
  <c r="AQ532" i="1"/>
  <c r="AP532" i="1"/>
  <c r="AL532" i="1"/>
  <c r="AJ532" i="1"/>
  <c r="AV532" i="1" s="1"/>
  <c r="AI532" i="1"/>
  <c r="AC532" i="1"/>
  <c r="BG532" i="1" s="1"/>
  <c r="AA532" i="1"/>
  <c r="Z532" i="1"/>
  <c r="U532" i="1"/>
  <c r="W532" i="1" s="1"/>
  <c r="C532" i="1"/>
  <c r="BA531" i="1"/>
  <c r="AZ531" i="1"/>
  <c r="AW531" i="1"/>
  <c r="AU531" i="1"/>
  <c r="BC531" i="1" s="1"/>
  <c r="AR531" i="1"/>
  <c r="BB531" i="1" s="1"/>
  <c r="AQ531" i="1"/>
  <c r="AP531" i="1"/>
  <c r="AJ531" i="1"/>
  <c r="AV531" i="1" s="1"/>
  <c r="AI531" i="1"/>
  <c r="AC531" i="1"/>
  <c r="AA531" i="1"/>
  <c r="Z531" i="1"/>
  <c r="U531" i="1"/>
  <c r="W531" i="1" s="1"/>
  <c r="C531" i="1"/>
  <c r="BA530" i="1"/>
  <c r="AZ530" i="1"/>
  <c r="AU530" i="1"/>
  <c r="BC530" i="1" s="1"/>
  <c r="AR530" i="1"/>
  <c r="BB530" i="1" s="1"/>
  <c r="AQ530" i="1"/>
  <c r="AP530" i="1"/>
  <c r="AJ530" i="1"/>
  <c r="AV530" i="1" s="1"/>
  <c r="AI530" i="1"/>
  <c r="AW530" i="1" s="1"/>
  <c r="AC530" i="1"/>
  <c r="BG530" i="1" s="1"/>
  <c r="AA530" i="1"/>
  <c r="Z530" i="1" s="1"/>
  <c r="W530" i="1"/>
  <c r="U530" i="1"/>
  <c r="C530" i="1"/>
  <c r="BG529" i="1"/>
  <c r="BB529" i="1"/>
  <c r="BA529" i="1"/>
  <c r="AZ529" i="1"/>
  <c r="AU529" i="1"/>
  <c r="AR529" i="1"/>
  <c r="AQ529" i="1"/>
  <c r="AP529" i="1"/>
  <c r="AL529" i="1"/>
  <c r="AJ529" i="1"/>
  <c r="AV529" i="1" s="1"/>
  <c r="AI529" i="1"/>
  <c r="AW529" i="1" s="1"/>
  <c r="AC529" i="1"/>
  <c r="AA529" i="1"/>
  <c r="Z529" i="1" s="1"/>
  <c r="W529" i="1"/>
  <c r="U529" i="1"/>
  <c r="C529" i="1"/>
  <c r="BG528" i="1"/>
  <c r="BB528" i="1"/>
  <c r="BA528" i="1"/>
  <c r="AZ528" i="1"/>
  <c r="AW528" i="1"/>
  <c r="AU528" i="1"/>
  <c r="BC528" i="1" s="1"/>
  <c r="AR528" i="1"/>
  <c r="AQ528" i="1"/>
  <c r="AP528" i="1"/>
  <c r="AL528" i="1"/>
  <c r="AJ528" i="1"/>
  <c r="AV528" i="1" s="1"/>
  <c r="AI528" i="1"/>
  <c r="AC528" i="1"/>
  <c r="AA528" i="1"/>
  <c r="Z528" i="1"/>
  <c r="U528" i="1"/>
  <c r="W528" i="1" s="1"/>
  <c r="C528" i="1"/>
  <c r="BA527" i="1"/>
  <c r="AZ527" i="1"/>
  <c r="AW527" i="1"/>
  <c r="AV527" i="1"/>
  <c r="AU527" i="1"/>
  <c r="AR527" i="1"/>
  <c r="BB527" i="1" s="1"/>
  <c r="AQ527" i="1"/>
  <c r="AP527" i="1"/>
  <c r="AJ527" i="1"/>
  <c r="AI527" i="1"/>
  <c r="AC527" i="1"/>
  <c r="AA527" i="1"/>
  <c r="Z527" i="1"/>
  <c r="U527" i="1"/>
  <c r="W527" i="1" s="1"/>
  <c r="C527" i="1"/>
  <c r="BA526" i="1"/>
  <c r="AZ526" i="1"/>
  <c r="AU526" i="1"/>
  <c r="AR526" i="1"/>
  <c r="BB526" i="1" s="1"/>
  <c r="AQ526" i="1"/>
  <c r="AP526" i="1"/>
  <c r="AJ526" i="1"/>
  <c r="AV526" i="1" s="1"/>
  <c r="AI526" i="1"/>
  <c r="AW526" i="1" s="1"/>
  <c r="AC526" i="1"/>
  <c r="BG526" i="1" s="1"/>
  <c r="AA526" i="1"/>
  <c r="Z526" i="1"/>
  <c r="W526" i="1"/>
  <c r="U526" i="1"/>
  <c r="C526" i="1"/>
  <c r="BG525" i="1"/>
  <c r="BB525" i="1"/>
  <c r="BA525" i="1"/>
  <c r="AZ525" i="1"/>
  <c r="AU525" i="1"/>
  <c r="AR525" i="1"/>
  <c r="AQ525" i="1"/>
  <c r="AP525" i="1"/>
  <c r="AL525" i="1"/>
  <c r="AJ525" i="1"/>
  <c r="AV525" i="1" s="1"/>
  <c r="AI525" i="1"/>
  <c r="AW525" i="1" s="1"/>
  <c r="AC525" i="1"/>
  <c r="AA525" i="1"/>
  <c r="Z525" i="1" s="1"/>
  <c r="W525" i="1"/>
  <c r="U525" i="1"/>
  <c r="C525" i="1"/>
  <c r="BG524" i="1"/>
  <c r="BB524" i="1"/>
  <c r="BA524" i="1"/>
  <c r="AZ524" i="1"/>
  <c r="AW524" i="1"/>
  <c r="AU524" i="1"/>
  <c r="AR524" i="1"/>
  <c r="AQ524" i="1"/>
  <c r="AP524" i="1"/>
  <c r="AL524" i="1"/>
  <c r="AJ524" i="1"/>
  <c r="AV524" i="1" s="1"/>
  <c r="AI524" i="1"/>
  <c r="AC524" i="1"/>
  <c r="AA524" i="1"/>
  <c r="Z524" i="1"/>
  <c r="U524" i="1"/>
  <c r="W524" i="1" s="1"/>
  <c r="C524" i="1"/>
  <c r="BA523" i="1"/>
  <c r="AZ523" i="1"/>
  <c r="AW523" i="1"/>
  <c r="AU523" i="1"/>
  <c r="AR523" i="1"/>
  <c r="BB523" i="1" s="1"/>
  <c r="AQ523" i="1"/>
  <c r="AP523" i="1"/>
  <c r="AJ523" i="1"/>
  <c r="AV523" i="1" s="1"/>
  <c r="AI523" i="1"/>
  <c r="AC523" i="1"/>
  <c r="AA523" i="1"/>
  <c r="Z523" i="1"/>
  <c r="U523" i="1"/>
  <c r="W523" i="1" s="1"/>
  <c r="C523" i="1"/>
  <c r="BA522" i="1"/>
  <c r="AZ522" i="1"/>
  <c r="AU522" i="1"/>
  <c r="BC522" i="1" s="1"/>
  <c r="AR522" i="1"/>
  <c r="BB522" i="1" s="1"/>
  <c r="AQ522" i="1"/>
  <c r="AP522" i="1"/>
  <c r="AJ522" i="1"/>
  <c r="AV522" i="1" s="1"/>
  <c r="AI522" i="1"/>
  <c r="AW522" i="1" s="1"/>
  <c r="AC522" i="1"/>
  <c r="BG522" i="1" s="1"/>
  <c r="AA522" i="1"/>
  <c r="Z522" i="1" s="1"/>
  <c r="W522" i="1"/>
  <c r="U522" i="1"/>
  <c r="C522" i="1"/>
  <c r="BG521" i="1"/>
  <c r="BB521" i="1"/>
  <c r="BA521" i="1"/>
  <c r="AZ521" i="1"/>
  <c r="AU521" i="1"/>
  <c r="AR521" i="1"/>
  <c r="AQ521" i="1"/>
  <c r="AP521" i="1"/>
  <c r="AL521" i="1"/>
  <c r="AJ521" i="1"/>
  <c r="AV521" i="1" s="1"/>
  <c r="AI521" i="1"/>
  <c r="AW521" i="1" s="1"/>
  <c r="AC521" i="1"/>
  <c r="AA521" i="1"/>
  <c r="Z521" i="1" s="1"/>
  <c r="W521" i="1"/>
  <c r="U521" i="1"/>
  <c r="C521" i="1"/>
  <c r="BG520" i="1"/>
  <c r="BB520" i="1"/>
  <c r="BA520" i="1"/>
  <c r="AZ520" i="1"/>
  <c r="AW520" i="1"/>
  <c r="AU520" i="1"/>
  <c r="AR520" i="1"/>
  <c r="AQ520" i="1"/>
  <c r="AP520" i="1"/>
  <c r="AL520" i="1"/>
  <c r="AJ520" i="1"/>
  <c r="AV520" i="1" s="1"/>
  <c r="AI520" i="1"/>
  <c r="AC520" i="1"/>
  <c r="AA520" i="1"/>
  <c r="Z520" i="1"/>
  <c r="U520" i="1"/>
  <c r="W520" i="1" s="1"/>
  <c r="C520" i="1"/>
  <c r="BA519" i="1"/>
  <c r="AZ519" i="1"/>
  <c r="AU519" i="1"/>
  <c r="AR519" i="1"/>
  <c r="BB519" i="1" s="1"/>
  <c r="AQ519" i="1"/>
  <c r="AP519" i="1"/>
  <c r="AJ519" i="1"/>
  <c r="AV519" i="1" s="1"/>
  <c r="AI519" i="1"/>
  <c r="AW519" i="1" s="1"/>
  <c r="AC519" i="1"/>
  <c r="AA519" i="1"/>
  <c r="Z519" i="1"/>
  <c r="W519" i="1"/>
  <c r="U519" i="1"/>
  <c r="C519" i="1"/>
  <c r="BG518" i="1"/>
  <c r="BB518" i="1"/>
  <c r="BA518" i="1"/>
  <c r="AZ518" i="1"/>
  <c r="AU518" i="1"/>
  <c r="AR518" i="1"/>
  <c r="AQ518" i="1"/>
  <c r="AP518" i="1"/>
  <c r="AL518" i="1"/>
  <c r="AJ518" i="1"/>
  <c r="AV518" i="1" s="1"/>
  <c r="AI518" i="1"/>
  <c r="AW518" i="1" s="1"/>
  <c r="AC518" i="1"/>
  <c r="AA518" i="1"/>
  <c r="Z518" i="1" s="1"/>
  <c r="W518" i="1"/>
  <c r="U518" i="1"/>
  <c r="C518" i="1"/>
  <c r="BG517" i="1"/>
  <c r="BB517" i="1"/>
  <c r="BA517" i="1"/>
  <c r="AZ517" i="1"/>
  <c r="AW517" i="1"/>
  <c r="AU517" i="1"/>
  <c r="AR517" i="1"/>
  <c r="AQ517" i="1"/>
  <c r="AP517" i="1"/>
  <c r="AL517" i="1"/>
  <c r="AJ517" i="1"/>
  <c r="AV517" i="1" s="1"/>
  <c r="AI517" i="1"/>
  <c r="AC517" i="1"/>
  <c r="AA517" i="1"/>
  <c r="Z517" i="1"/>
  <c r="U517" i="1"/>
  <c r="W517" i="1" s="1"/>
  <c r="C517" i="1"/>
  <c r="BA516" i="1"/>
  <c r="AZ516" i="1"/>
  <c r="AW516" i="1"/>
  <c r="AU516" i="1"/>
  <c r="AR516" i="1"/>
  <c r="BB516" i="1" s="1"/>
  <c r="AQ516" i="1"/>
  <c r="AP516" i="1"/>
  <c r="AJ516" i="1"/>
  <c r="AV516" i="1" s="1"/>
  <c r="AI516" i="1"/>
  <c r="AC516" i="1"/>
  <c r="AA516" i="1"/>
  <c r="Z516" i="1"/>
  <c r="U516" i="1"/>
  <c r="W516" i="1" s="1"/>
  <c r="C516" i="1"/>
  <c r="BC515" i="1"/>
  <c r="BA515" i="1"/>
  <c r="AZ515" i="1"/>
  <c r="AV515" i="1"/>
  <c r="AU515" i="1"/>
  <c r="AR515" i="1"/>
  <c r="BB515" i="1" s="1"/>
  <c r="AQ515" i="1"/>
  <c r="AP515" i="1"/>
  <c r="AJ515" i="1"/>
  <c r="AI515" i="1"/>
  <c r="AW515" i="1" s="1"/>
  <c r="AC515" i="1"/>
  <c r="AA515" i="1"/>
  <c r="Z515" i="1"/>
  <c r="W515" i="1"/>
  <c r="U515" i="1"/>
  <c r="C515" i="1"/>
  <c r="BG514" i="1"/>
  <c r="BB514" i="1"/>
  <c r="BA514" i="1"/>
  <c r="AZ514" i="1"/>
  <c r="AU514" i="1"/>
  <c r="AR514" i="1"/>
  <c r="AQ514" i="1"/>
  <c r="AP514" i="1"/>
  <c r="AL514" i="1"/>
  <c r="AJ514" i="1"/>
  <c r="AV514" i="1" s="1"/>
  <c r="AI514" i="1"/>
  <c r="AW514" i="1" s="1"/>
  <c r="AC514" i="1"/>
  <c r="AA514" i="1"/>
  <c r="Z514" i="1" s="1"/>
  <c r="W514" i="1"/>
  <c r="U514" i="1"/>
  <c r="C514" i="1"/>
  <c r="BG513" i="1"/>
  <c r="BB513" i="1"/>
  <c r="BA513" i="1"/>
  <c r="AZ513" i="1"/>
  <c r="AW513" i="1"/>
  <c r="AU513" i="1"/>
  <c r="BC513" i="1" s="1"/>
  <c r="AR513" i="1"/>
  <c r="AQ513" i="1"/>
  <c r="AP513" i="1"/>
  <c r="AL513" i="1"/>
  <c r="AJ513" i="1"/>
  <c r="AV513" i="1" s="1"/>
  <c r="AI513" i="1"/>
  <c r="AC513" i="1"/>
  <c r="AA513" i="1"/>
  <c r="Z513" i="1" s="1"/>
  <c r="U513" i="1"/>
  <c r="W513" i="1" s="1"/>
  <c r="C513" i="1"/>
  <c r="BA512" i="1"/>
  <c r="AZ512" i="1"/>
  <c r="AW512" i="1"/>
  <c r="AV512" i="1"/>
  <c r="AU512" i="1"/>
  <c r="AR512" i="1"/>
  <c r="BB512" i="1" s="1"/>
  <c r="AQ512" i="1"/>
  <c r="AP512" i="1"/>
  <c r="AJ512" i="1"/>
  <c r="AI512" i="1"/>
  <c r="AC512" i="1"/>
  <c r="AA512" i="1"/>
  <c r="Z512" i="1"/>
  <c r="U512" i="1"/>
  <c r="W512" i="1" s="1"/>
  <c r="C512" i="1"/>
  <c r="BA511" i="1"/>
  <c r="AZ511" i="1"/>
  <c r="AU511" i="1"/>
  <c r="BC511" i="1" s="1"/>
  <c r="BD511" i="1" s="1"/>
  <c r="AX511" i="1" s="1"/>
  <c r="AR511" i="1"/>
  <c r="BB511" i="1" s="1"/>
  <c r="AQ511" i="1"/>
  <c r="AP511" i="1"/>
  <c r="AJ511" i="1"/>
  <c r="AV511" i="1" s="1"/>
  <c r="AI511" i="1"/>
  <c r="AW511" i="1" s="1"/>
  <c r="AC511" i="1"/>
  <c r="AA511" i="1"/>
  <c r="Z511" i="1"/>
  <c r="W511" i="1"/>
  <c r="U511" i="1"/>
  <c r="C511" i="1"/>
  <c r="BG510" i="1"/>
  <c r="BA510" i="1"/>
  <c r="AZ510" i="1"/>
  <c r="AU510" i="1"/>
  <c r="AR510" i="1"/>
  <c r="BB510" i="1" s="1"/>
  <c r="AQ510" i="1"/>
  <c r="AP510" i="1"/>
  <c r="AJ510" i="1"/>
  <c r="AV510" i="1" s="1"/>
  <c r="AI510" i="1"/>
  <c r="AW510" i="1" s="1"/>
  <c r="BC510" i="1" s="1"/>
  <c r="AC510" i="1"/>
  <c r="AA510" i="1"/>
  <c r="Z510" i="1" s="1"/>
  <c r="W510" i="1"/>
  <c r="U510" i="1"/>
  <c r="C510" i="1"/>
  <c r="BG509" i="1"/>
  <c r="BB509" i="1"/>
  <c r="BA509" i="1"/>
  <c r="AZ509" i="1"/>
  <c r="AU509" i="1"/>
  <c r="BC509" i="1" s="1"/>
  <c r="AR509" i="1"/>
  <c r="AQ509" i="1"/>
  <c r="AP509" i="1"/>
  <c r="AL509" i="1"/>
  <c r="AJ509" i="1"/>
  <c r="AV509" i="1" s="1"/>
  <c r="AI509" i="1"/>
  <c r="AW509" i="1" s="1"/>
  <c r="AC509" i="1"/>
  <c r="AA509" i="1"/>
  <c r="Z509" i="1" s="1"/>
  <c r="W509" i="1"/>
  <c r="U509" i="1"/>
  <c r="C509" i="1"/>
  <c r="BG508" i="1"/>
  <c r="BB508" i="1"/>
  <c r="BA508" i="1"/>
  <c r="AZ508" i="1"/>
  <c r="AW508" i="1"/>
  <c r="AU508" i="1"/>
  <c r="BC508" i="1" s="1"/>
  <c r="AR508" i="1"/>
  <c r="AQ508" i="1"/>
  <c r="AP508" i="1"/>
  <c r="AL508" i="1"/>
  <c r="AJ508" i="1"/>
  <c r="AV508" i="1" s="1"/>
  <c r="AI508" i="1"/>
  <c r="AC508" i="1"/>
  <c r="AA508" i="1"/>
  <c r="Z508" i="1" s="1"/>
  <c r="U508" i="1"/>
  <c r="W508" i="1" s="1"/>
  <c r="C508" i="1"/>
  <c r="BA507" i="1"/>
  <c r="AZ507" i="1"/>
  <c r="AW507" i="1"/>
  <c r="AU507" i="1"/>
  <c r="BC507" i="1" s="1"/>
  <c r="AR507" i="1"/>
  <c r="BB507" i="1" s="1"/>
  <c r="BD507" i="1" s="1"/>
  <c r="AX507" i="1" s="1"/>
  <c r="AQ507" i="1"/>
  <c r="AP507" i="1"/>
  <c r="AJ507" i="1"/>
  <c r="AV507" i="1" s="1"/>
  <c r="AI507" i="1"/>
  <c r="AC507" i="1"/>
  <c r="BG507" i="1" s="1"/>
  <c r="AA507" i="1"/>
  <c r="Z507" i="1"/>
  <c r="U507" i="1"/>
  <c r="W507" i="1" s="1"/>
  <c r="C507" i="1"/>
  <c r="BA506" i="1"/>
  <c r="AZ506" i="1"/>
  <c r="AV506" i="1"/>
  <c r="AU506" i="1"/>
  <c r="AR506" i="1"/>
  <c r="BB506" i="1" s="1"/>
  <c r="AQ506" i="1"/>
  <c r="AP506" i="1"/>
  <c r="AJ506" i="1"/>
  <c r="AI506" i="1"/>
  <c r="AW506" i="1" s="1"/>
  <c r="AC506" i="1"/>
  <c r="AA506" i="1"/>
  <c r="Z506" i="1" s="1"/>
  <c r="W506" i="1"/>
  <c r="U506" i="1"/>
  <c r="C506" i="1"/>
  <c r="BG505" i="1"/>
  <c r="BB505" i="1"/>
  <c r="BA505" i="1"/>
  <c r="AZ505" i="1"/>
  <c r="AU505" i="1"/>
  <c r="BC505" i="1" s="1"/>
  <c r="AR505" i="1"/>
  <c r="AQ505" i="1"/>
  <c r="AP505" i="1"/>
  <c r="AL505" i="1"/>
  <c r="AJ505" i="1"/>
  <c r="AV505" i="1" s="1"/>
  <c r="AI505" i="1"/>
  <c r="AW505" i="1" s="1"/>
  <c r="AC505" i="1"/>
  <c r="AA505" i="1"/>
  <c r="Z505" i="1" s="1"/>
  <c r="W505" i="1"/>
  <c r="U505" i="1"/>
  <c r="C505" i="1"/>
  <c r="BG504" i="1"/>
  <c r="BB504" i="1"/>
  <c r="BA504" i="1"/>
  <c r="AZ504" i="1"/>
  <c r="AW504" i="1"/>
  <c r="AU504" i="1"/>
  <c r="BC504" i="1" s="1"/>
  <c r="AR504" i="1"/>
  <c r="AQ504" i="1"/>
  <c r="AP504" i="1"/>
  <c r="AL504" i="1"/>
  <c r="AJ504" i="1"/>
  <c r="AV504" i="1" s="1"/>
  <c r="AI504" i="1"/>
  <c r="AC504" i="1"/>
  <c r="AA504" i="1"/>
  <c r="Z504" i="1" s="1"/>
  <c r="U504" i="1"/>
  <c r="W504" i="1" s="1"/>
  <c r="C504" i="1"/>
  <c r="BA503" i="1"/>
  <c r="AZ503" i="1"/>
  <c r="AW503" i="1"/>
  <c r="AU503" i="1"/>
  <c r="BC503" i="1" s="1"/>
  <c r="AR503" i="1"/>
  <c r="BB503" i="1" s="1"/>
  <c r="BD503" i="1" s="1"/>
  <c r="AX503" i="1" s="1"/>
  <c r="AQ503" i="1"/>
  <c r="AP503" i="1"/>
  <c r="AJ503" i="1"/>
  <c r="AV503" i="1" s="1"/>
  <c r="AI503" i="1"/>
  <c r="AC503" i="1"/>
  <c r="BG503" i="1" s="1"/>
  <c r="AA503" i="1"/>
  <c r="Z503" i="1"/>
  <c r="U503" i="1"/>
  <c r="W503" i="1" s="1"/>
  <c r="C503" i="1"/>
  <c r="BA502" i="1"/>
  <c r="AZ502" i="1"/>
  <c r="AV502" i="1"/>
  <c r="AU502" i="1"/>
  <c r="AR502" i="1"/>
  <c r="BB502" i="1" s="1"/>
  <c r="AQ502" i="1"/>
  <c r="AP502" i="1"/>
  <c r="AJ502" i="1"/>
  <c r="AI502" i="1"/>
  <c r="AW502" i="1" s="1"/>
  <c r="AC502" i="1"/>
  <c r="AA502" i="1"/>
  <c r="Z502" i="1" s="1"/>
  <c r="W502" i="1"/>
  <c r="U502" i="1"/>
  <c r="C502" i="1"/>
  <c r="BB501" i="1"/>
  <c r="BA501" i="1"/>
  <c r="AZ501" i="1"/>
  <c r="AU501" i="1"/>
  <c r="AR501" i="1"/>
  <c r="AQ501" i="1"/>
  <c r="AP501" i="1"/>
  <c r="AJ501" i="1"/>
  <c r="AV501" i="1" s="1"/>
  <c r="AI501" i="1"/>
  <c r="AW501" i="1" s="1"/>
  <c r="AC501" i="1"/>
  <c r="BG501" i="1" s="1"/>
  <c r="AA501" i="1"/>
  <c r="Z501" i="1" s="1"/>
  <c r="W501" i="1"/>
  <c r="U501" i="1"/>
  <c r="C501" i="1"/>
  <c r="BG500" i="1"/>
  <c r="BB500" i="1"/>
  <c r="BA500" i="1"/>
  <c r="AZ500" i="1"/>
  <c r="AU500" i="1"/>
  <c r="AR500" i="1"/>
  <c r="AQ500" i="1"/>
  <c r="AP500" i="1"/>
  <c r="AL500" i="1"/>
  <c r="AJ500" i="1"/>
  <c r="AV500" i="1" s="1"/>
  <c r="AI500" i="1"/>
  <c r="AW500" i="1" s="1"/>
  <c r="AC500" i="1"/>
  <c r="AA500" i="1"/>
  <c r="Z500" i="1" s="1"/>
  <c r="W500" i="1"/>
  <c r="U500" i="1"/>
  <c r="C500" i="1"/>
  <c r="BG499" i="1"/>
  <c r="BB499" i="1"/>
  <c r="BA499" i="1"/>
  <c r="AZ499" i="1"/>
  <c r="AW499" i="1"/>
  <c r="AU499" i="1"/>
  <c r="AR499" i="1"/>
  <c r="AQ499" i="1"/>
  <c r="AP499" i="1"/>
  <c r="AL499" i="1"/>
  <c r="AJ499" i="1"/>
  <c r="AV499" i="1" s="1"/>
  <c r="AI499" i="1"/>
  <c r="AC499" i="1"/>
  <c r="AA499" i="1"/>
  <c r="Z499" i="1"/>
  <c r="U499" i="1"/>
  <c r="W499" i="1" s="1"/>
  <c r="C499" i="1"/>
  <c r="BA498" i="1"/>
  <c r="AZ498" i="1"/>
  <c r="AW498" i="1"/>
  <c r="AU498" i="1"/>
  <c r="AR498" i="1"/>
  <c r="BB498" i="1" s="1"/>
  <c r="AQ498" i="1"/>
  <c r="AP498" i="1"/>
  <c r="AJ498" i="1"/>
  <c r="AV498" i="1" s="1"/>
  <c r="AI498" i="1"/>
  <c r="AC498" i="1"/>
  <c r="AA498" i="1"/>
  <c r="Z498" i="1"/>
  <c r="U498" i="1"/>
  <c r="W498" i="1" s="1"/>
  <c r="C498" i="1"/>
  <c r="BC497" i="1"/>
  <c r="BA497" i="1"/>
  <c r="AZ497" i="1"/>
  <c r="AU497" i="1"/>
  <c r="AR497" i="1"/>
  <c r="BB497" i="1" s="1"/>
  <c r="AQ497" i="1"/>
  <c r="AP497" i="1"/>
  <c r="AJ497" i="1"/>
  <c r="AV497" i="1" s="1"/>
  <c r="AI497" i="1"/>
  <c r="AW497" i="1" s="1"/>
  <c r="AC497" i="1"/>
  <c r="BG497" i="1" s="1"/>
  <c r="AA497" i="1"/>
  <c r="Z497" i="1"/>
  <c r="W497" i="1"/>
  <c r="U497" i="1"/>
  <c r="C497" i="1"/>
  <c r="BG496" i="1"/>
  <c r="BB496" i="1"/>
  <c r="BA496" i="1"/>
  <c r="AZ496" i="1"/>
  <c r="AU496" i="1"/>
  <c r="BC496" i="1" s="1"/>
  <c r="AR496" i="1"/>
  <c r="AQ496" i="1"/>
  <c r="AP496" i="1"/>
  <c r="AL496" i="1"/>
  <c r="AJ496" i="1"/>
  <c r="AV496" i="1" s="1"/>
  <c r="AI496" i="1"/>
  <c r="AW496" i="1" s="1"/>
  <c r="AC496" i="1"/>
  <c r="AA496" i="1"/>
  <c r="Z496" i="1" s="1"/>
  <c r="W496" i="1"/>
  <c r="U496" i="1"/>
  <c r="C496" i="1"/>
  <c r="BG495" i="1"/>
  <c r="BB495" i="1"/>
  <c r="BA495" i="1"/>
  <c r="AZ495" i="1"/>
  <c r="AW495" i="1"/>
  <c r="AU495" i="1"/>
  <c r="AR495" i="1"/>
  <c r="AQ495" i="1"/>
  <c r="AP495" i="1"/>
  <c r="AL495" i="1"/>
  <c r="AJ495" i="1"/>
  <c r="AV495" i="1" s="1"/>
  <c r="AI495" i="1"/>
  <c r="AC495" i="1"/>
  <c r="AA495" i="1"/>
  <c r="Z495" i="1"/>
  <c r="U495" i="1"/>
  <c r="W495" i="1" s="1"/>
  <c r="C495" i="1"/>
  <c r="BA494" i="1"/>
  <c r="AZ494" i="1"/>
  <c r="AW494" i="1"/>
  <c r="AV494" i="1"/>
  <c r="AU494" i="1"/>
  <c r="AR494" i="1"/>
  <c r="BB494" i="1" s="1"/>
  <c r="AQ494" i="1"/>
  <c r="AP494" i="1"/>
  <c r="AJ494" i="1"/>
  <c r="AI494" i="1"/>
  <c r="AC494" i="1"/>
  <c r="AA494" i="1"/>
  <c r="Z494" i="1"/>
  <c r="U494" i="1"/>
  <c r="W494" i="1" s="1"/>
  <c r="C494" i="1"/>
  <c r="BA493" i="1"/>
  <c r="AZ493" i="1"/>
  <c r="AU493" i="1"/>
  <c r="BC493" i="1" s="1"/>
  <c r="AR493" i="1"/>
  <c r="BB493" i="1" s="1"/>
  <c r="AQ493" i="1"/>
  <c r="AP493" i="1"/>
  <c r="AJ493" i="1"/>
  <c r="AV493" i="1" s="1"/>
  <c r="AI493" i="1"/>
  <c r="AW493" i="1" s="1"/>
  <c r="AC493" i="1"/>
  <c r="BG493" i="1" s="1"/>
  <c r="AA493" i="1"/>
  <c r="Z493" i="1"/>
  <c r="W493" i="1"/>
  <c r="U493" i="1"/>
  <c r="C493" i="1"/>
  <c r="BG492" i="1"/>
  <c r="BB492" i="1"/>
  <c r="BA492" i="1"/>
  <c r="AZ492" i="1"/>
  <c r="AU492" i="1"/>
  <c r="AR492" i="1"/>
  <c r="AQ492" i="1"/>
  <c r="AP492" i="1"/>
  <c r="AL492" i="1"/>
  <c r="AJ492" i="1"/>
  <c r="AV492" i="1" s="1"/>
  <c r="AI492" i="1"/>
  <c r="AW492" i="1" s="1"/>
  <c r="AC492" i="1"/>
  <c r="AA492" i="1"/>
  <c r="Z492" i="1" s="1"/>
  <c r="W492" i="1"/>
  <c r="U492" i="1"/>
  <c r="C492" i="1"/>
  <c r="BG491" i="1"/>
  <c r="BB491" i="1"/>
  <c r="BA491" i="1"/>
  <c r="AZ491" i="1"/>
  <c r="AW491" i="1"/>
  <c r="AU491" i="1"/>
  <c r="AR491" i="1"/>
  <c r="AQ491" i="1"/>
  <c r="AP491" i="1"/>
  <c r="AL491" i="1"/>
  <c r="AJ491" i="1"/>
  <c r="AV491" i="1" s="1"/>
  <c r="AI491" i="1"/>
  <c r="AC491" i="1"/>
  <c r="AA491" i="1"/>
  <c r="Z491" i="1"/>
  <c r="U491" i="1"/>
  <c r="W491" i="1" s="1"/>
  <c r="C491" i="1"/>
  <c r="BA490" i="1"/>
  <c r="AZ490" i="1"/>
  <c r="AW490" i="1"/>
  <c r="AU490" i="1"/>
  <c r="AR490" i="1"/>
  <c r="BB490" i="1" s="1"/>
  <c r="AQ490" i="1"/>
  <c r="AP490" i="1"/>
  <c r="AJ490" i="1"/>
  <c r="AV490" i="1" s="1"/>
  <c r="AI490" i="1"/>
  <c r="AC490" i="1"/>
  <c r="AA490" i="1"/>
  <c r="Z490" i="1"/>
  <c r="U490" i="1"/>
  <c r="W490" i="1" s="1"/>
  <c r="C490" i="1"/>
  <c r="BA489" i="1"/>
  <c r="AZ489" i="1"/>
  <c r="AU489" i="1"/>
  <c r="BC489" i="1" s="1"/>
  <c r="AR489" i="1"/>
  <c r="BB489" i="1" s="1"/>
  <c r="AQ489" i="1"/>
  <c r="AP489" i="1"/>
  <c r="AJ489" i="1"/>
  <c r="AV489" i="1" s="1"/>
  <c r="AI489" i="1"/>
  <c r="AW489" i="1" s="1"/>
  <c r="AC489" i="1"/>
  <c r="BG489" i="1" s="1"/>
  <c r="AA489" i="1"/>
  <c r="Z489" i="1"/>
  <c r="W489" i="1"/>
  <c r="U489" i="1"/>
  <c r="C489" i="1"/>
  <c r="BG488" i="1"/>
  <c r="BB488" i="1"/>
  <c r="BA488" i="1"/>
  <c r="AZ488" i="1"/>
  <c r="AU488" i="1"/>
  <c r="AR488" i="1"/>
  <c r="AQ488" i="1"/>
  <c r="AP488" i="1"/>
  <c r="AL488" i="1"/>
  <c r="AJ488" i="1"/>
  <c r="AV488" i="1" s="1"/>
  <c r="AI488" i="1"/>
  <c r="AW488" i="1" s="1"/>
  <c r="AC488" i="1"/>
  <c r="AA488" i="1"/>
  <c r="Z488" i="1" s="1"/>
  <c r="W488" i="1"/>
  <c r="U488" i="1"/>
  <c r="C488" i="1"/>
  <c r="BG487" i="1"/>
  <c r="BB487" i="1"/>
  <c r="BA487" i="1"/>
  <c r="AZ487" i="1"/>
  <c r="AW487" i="1"/>
  <c r="AU487" i="1"/>
  <c r="BC487" i="1" s="1"/>
  <c r="AR487" i="1"/>
  <c r="AQ487" i="1"/>
  <c r="AP487" i="1"/>
  <c r="AL487" i="1"/>
  <c r="AJ487" i="1"/>
  <c r="AV487" i="1" s="1"/>
  <c r="AI487" i="1"/>
  <c r="AC487" i="1"/>
  <c r="AA487" i="1"/>
  <c r="Z487" i="1"/>
  <c r="U487" i="1"/>
  <c r="W487" i="1" s="1"/>
  <c r="C487" i="1"/>
  <c r="BA486" i="1"/>
  <c r="AZ486" i="1"/>
  <c r="AW486" i="1"/>
  <c r="AV486" i="1"/>
  <c r="AU486" i="1"/>
  <c r="AR486" i="1"/>
  <c r="BB486" i="1" s="1"/>
  <c r="AQ486" i="1"/>
  <c r="AP486" i="1"/>
  <c r="AJ486" i="1"/>
  <c r="AI486" i="1"/>
  <c r="AC486" i="1"/>
  <c r="AA486" i="1"/>
  <c r="Z486" i="1"/>
  <c r="U486" i="1"/>
  <c r="W486" i="1" s="1"/>
  <c r="C486" i="1"/>
  <c r="BA485" i="1"/>
  <c r="AZ485" i="1"/>
  <c r="AU485" i="1"/>
  <c r="AR485" i="1"/>
  <c r="BB485" i="1" s="1"/>
  <c r="AQ485" i="1"/>
  <c r="AP485" i="1"/>
  <c r="AJ485" i="1"/>
  <c r="AV485" i="1" s="1"/>
  <c r="AI485" i="1"/>
  <c r="AW485" i="1" s="1"/>
  <c r="AC485" i="1"/>
  <c r="BG485" i="1" s="1"/>
  <c r="AA485" i="1"/>
  <c r="Z485" i="1"/>
  <c r="W485" i="1"/>
  <c r="U485" i="1"/>
  <c r="C485" i="1"/>
  <c r="BG484" i="1"/>
  <c r="BB484" i="1"/>
  <c r="BA484" i="1"/>
  <c r="AZ484" i="1"/>
  <c r="AU484" i="1"/>
  <c r="AR484" i="1"/>
  <c r="AQ484" i="1"/>
  <c r="AP484" i="1"/>
  <c r="AL484" i="1"/>
  <c r="AJ484" i="1"/>
  <c r="AV484" i="1" s="1"/>
  <c r="AI484" i="1"/>
  <c r="AW484" i="1" s="1"/>
  <c r="AC484" i="1"/>
  <c r="AA484" i="1"/>
  <c r="Z484" i="1" s="1"/>
  <c r="W484" i="1"/>
  <c r="U484" i="1"/>
  <c r="C484" i="1"/>
  <c r="BG483" i="1"/>
  <c r="BB483" i="1"/>
  <c r="BA483" i="1"/>
  <c r="AZ483" i="1"/>
  <c r="AW483" i="1"/>
  <c r="AU483" i="1"/>
  <c r="AR483" i="1"/>
  <c r="AQ483" i="1"/>
  <c r="AP483" i="1"/>
  <c r="AL483" i="1"/>
  <c r="AJ483" i="1"/>
  <c r="AV483" i="1" s="1"/>
  <c r="AI483" i="1"/>
  <c r="AC483" i="1"/>
  <c r="AA483" i="1"/>
  <c r="Z483" i="1"/>
  <c r="U483" i="1"/>
  <c r="W483" i="1" s="1"/>
  <c r="C483" i="1"/>
  <c r="BA482" i="1"/>
  <c r="AZ482" i="1"/>
  <c r="AW482" i="1"/>
  <c r="AU482" i="1"/>
  <c r="AR482" i="1"/>
  <c r="BB482" i="1" s="1"/>
  <c r="AQ482" i="1"/>
  <c r="AP482" i="1"/>
  <c r="AJ482" i="1"/>
  <c r="AV482" i="1" s="1"/>
  <c r="AI482" i="1"/>
  <c r="AC482" i="1"/>
  <c r="AA482" i="1"/>
  <c r="Z482" i="1"/>
  <c r="U482" i="1"/>
  <c r="W482" i="1" s="1"/>
  <c r="C482" i="1"/>
  <c r="BC481" i="1"/>
  <c r="BA481" i="1"/>
  <c r="AZ481" i="1"/>
  <c r="AU481" i="1"/>
  <c r="AR481" i="1"/>
  <c r="BB481" i="1" s="1"/>
  <c r="AQ481" i="1"/>
  <c r="AP481" i="1"/>
  <c r="AJ481" i="1"/>
  <c r="AV481" i="1" s="1"/>
  <c r="AI481" i="1"/>
  <c r="AW481" i="1" s="1"/>
  <c r="AC481" i="1"/>
  <c r="BG481" i="1" s="1"/>
  <c r="AA481" i="1"/>
  <c r="Z481" i="1"/>
  <c r="W481" i="1"/>
  <c r="U481" i="1"/>
  <c r="C481" i="1"/>
  <c r="BG480" i="1"/>
  <c r="BB480" i="1"/>
  <c r="BA480" i="1"/>
  <c r="AZ480" i="1"/>
  <c r="AU480" i="1"/>
  <c r="AR480" i="1"/>
  <c r="AQ480" i="1"/>
  <c r="AP480" i="1"/>
  <c r="AL480" i="1"/>
  <c r="AJ480" i="1"/>
  <c r="AV480" i="1" s="1"/>
  <c r="AI480" i="1"/>
  <c r="AW480" i="1" s="1"/>
  <c r="AC480" i="1"/>
  <c r="AA480" i="1"/>
  <c r="Z480" i="1" s="1"/>
  <c r="W480" i="1"/>
  <c r="U480" i="1"/>
  <c r="C480" i="1"/>
  <c r="BG479" i="1"/>
  <c r="BB479" i="1"/>
  <c r="BA479" i="1"/>
  <c r="AZ479" i="1"/>
  <c r="AW479" i="1"/>
  <c r="AU479" i="1"/>
  <c r="AR479" i="1"/>
  <c r="AQ479" i="1"/>
  <c r="AP479" i="1"/>
  <c r="AL479" i="1"/>
  <c r="AJ479" i="1"/>
  <c r="AV479" i="1" s="1"/>
  <c r="AI479" i="1"/>
  <c r="AC479" i="1"/>
  <c r="AA479" i="1"/>
  <c r="Z479" i="1"/>
  <c r="U479" i="1"/>
  <c r="W479" i="1" s="1"/>
  <c r="C479" i="1"/>
  <c r="BA478" i="1"/>
  <c r="AZ478" i="1"/>
  <c r="AW478" i="1"/>
  <c r="AV478" i="1"/>
  <c r="AU478" i="1"/>
  <c r="AR478" i="1"/>
  <c r="BB478" i="1" s="1"/>
  <c r="AQ478" i="1"/>
  <c r="AP478" i="1"/>
  <c r="AJ478" i="1"/>
  <c r="AI478" i="1"/>
  <c r="AC478" i="1"/>
  <c r="AA478" i="1"/>
  <c r="Z478" i="1"/>
  <c r="U478" i="1"/>
  <c r="W478" i="1" s="1"/>
  <c r="C478" i="1"/>
  <c r="BA477" i="1"/>
  <c r="AZ477" i="1"/>
  <c r="AU477" i="1"/>
  <c r="BC477" i="1" s="1"/>
  <c r="AR477" i="1"/>
  <c r="BB477" i="1" s="1"/>
  <c r="AQ477" i="1"/>
  <c r="AP477" i="1"/>
  <c r="AJ477" i="1"/>
  <c r="AV477" i="1" s="1"/>
  <c r="AI477" i="1"/>
  <c r="AW477" i="1" s="1"/>
  <c r="AC477" i="1"/>
  <c r="BG477" i="1" s="1"/>
  <c r="AA477" i="1"/>
  <c r="Z477" i="1"/>
  <c r="W477" i="1"/>
  <c r="U477" i="1"/>
  <c r="C477" i="1"/>
  <c r="BG476" i="1"/>
  <c r="BB476" i="1"/>
  <c r="BA476" i="1"/>
  <c r="AZ476" i="1"/>
  <c r="AU476" i="1"/>
  <c r="AR476" i="1"/>
  <c r="AQ476" i="1"/>
  <c r="AP476" i="1"/>
  <c r="AL476" i="1"/>
  <c r="AJ476" i="1"/>
  <c r="AV476" i="1" s="1"/>
  <c r="AI476" i="1"/>
  <c r="AW476" i="1" s="1"/>
  <c r="AC476" i="1"/>
  <c r="AA476" i="1"/>
  <c r="Z476" i="1" s="1"/>
  <c r="W476" i="1"/>
  <c r="U476" i="1"/>
  <c r="C476" i="1"/>
  <c r="BG475" i="1"/>
  <c r="BB475" i="1"/>
  <c r="BA475" i="1"/>
  <c r="AZ475" i="1"/>
  <c r="AW475" i="1"/>
  <c r="AU475" i="1"/>
  <c r="AR475" i="1"/>
  <c r="AQ475" i="1"/>
  <c r="AP475" i="1"/>
  <c r="AL475" i="1"/>
  <c r="AJ475" i="1"/>
  <c r="AV475" i="1" s="1"/>
  <c r="AI475" i="1"/>
  <c r="AC475" i="1"/>
  <c r="AA475" i="1"/>
  <c r="Z475" i="1"/>
  <c r="U475" i="1"/>
  <c r="W475" i="1" s="1"/>
  <c r="C475" i="1"/>
  <c r="BA474" i="1"/>
  <c r="AZ474" i="1"/>
  <c r="AW474" i="1"/>
  <c r="AU474" i="1"/>
  <c r="AR474" i="1"/>
  <c r="BB474" i="1" s="1"/>
  <c r="AQ474" i="1"/>
  <c r="AP474" i="1"/>
  <c r="AJ474" i="1"/>
  <c r="AV474" i="1" s="1"/>
  <c r="AI474" i="1"/>
  <c r="AC474" i="1"/>
  <c r="AA474" i="1"/>
  <c r="Z474" i="1"/>
  <c r="U474" i="1"/>
  <c r="W474" i="1" s="1"/>
  <c r="C474" i="1"/>
  <c r="BA473" i="1"/>
  <c r="AZ473" i="1"/>
  <c r="AU473" i="1"/>
  <c r="BC473" i="1" s="1"/>
  <c r="AR473" i="1"/>
  <c r="BB473" i="1" s="1"/>
  <c r="AQ473" i="1"/>
  <c r="AP473" i="1"/>
  <c r="AJ473" i="1"/>
  <c r="AV473" i="1" s="1"/>
  <c r="AI473" i="1"/>
  <c r="AW473" i="1" s="1"/>
  <c r="AC473" i="1"/>
  <c r="BG473" i="1" s="1"/>
  <c r="AA473" i="1"/>
  <c r="Z473" i="1" s="1"/>
  <c r="W473" i="1"/>
  <c r="U473" i="1"/>
  <c r="C473" i="1"/>
  <c r="BG472" i="1"/>
  <c r="BB472" i="1"/>
  <c r="BA472" i="1"/>
  <c r="AZ472" i="1"/>
  <c r="AU472" i="1"/>
  <c r="AR472" i="1"/>
  <c r="AQ472" i="1"/>
  <c r="AP472" i="1"/>
  <c r="AL472" i="1"/>
  <c r="AJ472" i="1"/>
  <c r="AV472" i="1" s="1"/>
  <c r="AI472" i="1"/>
  <c r="AW472" i="1" s="1"/>
  <c r="AC472" i="1"/>
  <c r="AA472" i="1"/>
  <c r="Z472" i="1" s="1"/>
  <c r="W472" i="1"/>
  <c r="U472" i="1"/>
  <c r="C472" i="1"/>
  <c r="BG471" i="1"/>
  <c r="BB471" i="1"/>
  <c r="BA471" i="1"/>
  <c r="AZ471" i="1"/>
  <c r="AW471" i="1"/>
  <c r="AU471" i="1"/>
  <c r="AR471" i="1"/>
  <c r="AQ471" i="1"/>
  <c r="AP471" i="1"/>
  <c r="AL471" i="1"/>
  <c r="AJ471" i="1"/>
  <c r="AV471" i="1" s="1"/>
  <c r="AI471" i="1"/>
  <c r="AC471" i="1"/>
  <c r="AA471" i="1"/>
  <c r="Z471" i="1"/>
  <c r="U471" i="1"/>
  <c r="W471" i="1" s="1"/>
  <c r="C471" i="1"/>
  <c r="BA470" i="1"/>
  <c r="AZ470" i="1"/>
  <c r="AW470" i="1"/>
  <c r="AU470" i="1"/>
  <c r="AR470" i="1"/>
  <c r="BB470" i="1" s="1"/>
  <c r="AQ470" i="1"/>
  <c r="AP470" i="1"/>
  <c r="AJ470" i="1"/>
  <c r="AV470" i="1" s="1"/>
  <c r="AI470" i="1"/>
  <c r="AC470" i="1"/>
  <c r="AA470" i="1"/>
  <c r="Z470" i="1"/>
  <c r="U470" i="1"/>
  <c r="W470" i="1" s="1"/>
  <c r="C470" i="1"/>
  <c r="BA469" i="1"/>
  <c r="AZ469" i="1"/>
  <c r="AV469" i="1"/>
  <c r="BC469" i="1" s="1"/>
  <c r="AU469" i="1"/>
  <c r="AR469" i="1"/>
  <c r="BB469" i="1" s="1"/>
  <c r="AQ469" i="1"/>
  <c r="AP469" i="1"/>
  <c r="AJ469" i="1"/>
  <c r="AI469" i="1"/>
  <c r="AW469" i="1" s="1"/>
  <c r="AC469" i="1"/>
  <c r="AA469" i="1"/>
  <c r="Z469" i="1"/>
  <c r="W469" i="1"/>
  <c r="U469" i="1"/>
  <c r="C469" i="1"/>
  <c r="BG468" i="1"/>
  <c r="BC468" i="1"/>
  <c r="BB468" i="1"/>
  <c r="BA468" i="1"/>
  <c r="AZ468" i="1"/>
  <c r="AU468" i="1"/>
  <c r="AR468" i="1"/>
  <c r="AQ468" i="1"/>
  <c r="AP468" i="1"/>
  <c r="AL468" i="1"/>
  <c r="AJ468" i="1"/>
  <c r="AV468" i="1" s="1"/>
  <c r="AI468" i="1"/>
  <c r="AW468" i="1" s="1"/>
  <c r="AC468" i="1"/>
  <c r="AA468" i="1"/>
  <c r="Z468" i="1" s="1"/>
  <c r="W468" i="1"/>
  <c r="U468" i="1"/>
  <c r="C468" i="1"/>
  <c r="BG467" i="1"/>
  <c r="BB467" i="1"/>
  <c r="BA467" i="1"/>
  <c r="AZ467" i="1"/>
  <c r="AW467" i="1"/>
  <c r="AU467" i="1"/>
  <c r="BC467" i="1" s="1"/>
  <c r="AR467" i="1"/>
  <c r="AQ467" i="1"/>
  <c r="AP467" i="1"/>
  <c r="AL467" i="1"/>
  <c r="AJ467" i="1"/>
  <c r="AV467" i="1" s="1"/>
  <c r="AI467" i="1"/>
  <c r="AC467" i="1"/>
  <c r="AA467" i="1"/>
  <c r="Z467" i="1" s="1"/>
  <c r="U467" i="1"/>
  <c r="W467" i="1" s="1"/>
  <c r="C467" i="1"/>
  <c r="BA466" i="1"/>
  <c r="AZ466" i="1"/>
  <c r="AW466" i="1"/>
  <c r="AV466" i="1"/>
  <c r="AU466" i="1"/>
  <c r="AR466" i="1"/>
  <c r="BB466" i="1" s="1"/>
  <c r="AQ466" i="1"/>
  <c r="AP466" i="1"/>
  <c r="AJ466" i="1"/>
  <c r="AI466" i="1"/>
  <c r="AC466" i="1"/>
  <c r="AA466" i="1"/>
  <c r="Z466" i="1"/>
  <c r="U466" i="1"/>
  <c r="W466" i="1" s="1"/>
  <c r="C466" i="1"/>
  <c r="BA465" i="1"/>
  <c r="AZ465" i="1"/>
  <c r="AU465" i="1"/>
  <c r="AR465" i="1"/>
  <c r="BB465" i="1" s="1"/>
  <c r="AQ465" i="1"/>
  <c r="AP465" i="1"/>
  <c r="AJ465" i="1"/>
  <c r="AV465" i="1" s="1"/>
  <c r="AI465" i="1"/>
  <c r="AW465" i="1" s="1"/>
  <c r="AC465" i="1"/>
  <c r="AA465" i="1"/>
  <c r="Z465" i="1"/>
  <c r="W465" i="1"/>
  <c r="U465" i="1"/>
  <c r="C465" i="1"/>
  <c r="BG464" i="1"/>
  <c r="BB464" i="1"/>
  <c r="BD464" i="1" s="1"/>
  <c r="AX464" i="1" s="1"/>
  <c r="BA464" i="1"/>
  <c r="AZ464" i="1"/>
  <c r="AU464" i="1"/>
  <c r="AR464" i="1"/>
  <c r="AQ464" i="1"/>
  <c r="AP464" i="1"/>
  <c r="AL464" i="1"/>
  <c r="AJ464" i="1"/>
  <c r="AV464" i="1" s="1"/>
  <c r="BC464" i="1" s="1"/>
  <c r="AI464" i="1"/>
  <c r="AW464" i="1" s="1"/>
  <c r="AC464" i="1"/>
  <c r="AA464" i="1"/>
  <c r="Z464" i="1" s="1"/>
  <c r="W464" i="1"/>
  <c r="U464" i="1"/>
  <c r="C464" i="1"/>
  <c r="BG463" i="1"/>
  <c r="BB463" i="1"/>
  <c r="BA463" i="1"/>
  <c r="AZ463" i="1"/>
  <c r="AW463" i="1"/>
  <c r="AU463" i="1"/>
  <c r="AR463" i="1"/>
  <c r="AQ463" i="1"/>
  <c r="AP463" i="1"/>
  <c r="AL463" i="1"/>
  <c r="AJ463" i="1"/>
  <c r="AV463" i="1" s="1"/>
  <c r="AI463" i="1"/>
  <c r="AC463" i="1"/>
  <c r="AA463" i="1"/>
  <c r="Z463" i="1"/>
  <c r="U463" i="1"/>
  <c r="W463" i="1" s="1"/>
  <c r="C463" i="1"/>
  <c r="BA462" i="1"/>
  <c r="AZ462" i="1"/>
  <c r="AW462" i="1"/>
  <c r="AU462" i="1"/>
  <c r="AR462" i="1"/>
  <c r="BB462" i="1" s="1"/>
  <c r="AQ462" i="1"/>
  <c r="AP462" i="1"/>
  <c r="AJ462" i="1"/>
  <c r="AV462" i="1" s="1"/>
  <c r="AI462" i="1"/>
  <c r="AC462" i="1"/>
  <c r="BG462" i="1" s="1"/>
  <c r="AA462" i="1"/>
  <c r="Z462" i="1" s="1"/>
  <c r="U462" i="1"/>
  <c r="W462" i="1" s="1"/>
  <c r="C462" i="1"/>
  <c r="BA461" i="1"/>
  <c r="AZ461" i="1"/>
  <c r="AU461" i="1"/>
  <c r="AR461" i="1"/>
  <c r="BB461" i="1" s="1"/>
  <c r="AQ461" i="1"/>
  <c r="AP461" i="1"/>
  <c r="AJ461" i="1"/>
  <c r="AV461" i="1" s="1"/>
  <c r="AI461" i="1"/>
  <c r="AW461" i="1" s="1"/>
  <c r="AC461" i="1"/>
  <c r="AA461" i="1"/>
  <c r="Z461" i="1"/>
  <c r="U461" i="1"/>
  <c r="W461" i="1" s="1"/>
  <c r="C461" i="1"/>
  <c r="BA460" i="1"/>
  <c r="AZ460" i="1"/>
  <c r="AU460" i="1"/>
  <c r="AR460" i="1"/>
  <c r="BB460" i="1" s="1"/>
  <c r="BD460" i="1" s="1"/>
  <c r="AX460" i="1" s="1"/>
  <c r="AQ460" i="1"/>
  <c r="AP460" i="1"/>
  <c r="AJ460" i="1"/>
  <c r="AV460" i="1" s="1"/>
  <c r="BC460" i="1" s="1"/>
  <c r="AI460" i="1"/>
  <c r="AW460" i="1" s="1"/>
  <c r="AC460" i="1"/>
  <c r="AA460" i="1"/>
  <c r="Z460" i="1"/>
  <c r="W460" i="1"/>
  <c r="U460" i="1"/>
  <c r="C460" i="1"/>
  <c r="BG459" i="1"/>
  <c r="BB459" i="1"/>
  <c r="BA459" i="1"/>
  <c r="AZ459" i="1"/>
  <c r="AU459" i="1"/>
  <c r="AR459" i="1"/>
  <c r="AQ459" i="1"/>
  <c r="AP459" i="1"/>
  <c r="AL459" i="1"/>
  <c r="AJ459" i="1"/>
  <c r="AV459" i="1" s="1"/>
  <c r="AI459" i="1"/>
  <c r="AW459" i="1" s="1"/>
  <c r="AC459" i="1"/>
  <c r="AA459" i="1"/>
  <c r="Z459" i="1" s="1"/>
  <c r="W459" i="1"/>
  <c r="U459" i="1"/>
  <c r="C459" i="1"/>
  <c r="BG458" i="1"/>
  <c r="BB458" i="1"/>
  <c r="BA458" i="1"/>
  <c r="AZ458" i="1"/>
  <c r="AW458" i="1"/>
  <c r="AU458" i="1"/>
  <c r="AR458" i="1"/>
  <c r="AQ458" i="1"/>
  <c r="AP458" i="1"/>
  <c r="AL458" i="1"/>
  <c r="AJ458" i="1"/>
  <c r="AV458" i="1" s="1"/>
  <c r="AI458" i="1"/>
  <c r="AC458" i="1"/>
  <c r="AA458" i="1"/>
  <c r="Z458" i="1"/>
  <c r="U458" i="1"/>
  <c r="W458" i="1" s="1"/>
  <c r="C458" i="1"/>
  <c r="BA457" i="1"/>
  <c r="AZ457" i="1"/>
  <c r="AW457" i="1"/>
  <c r="AV457" i="1"/>
  <c r="AU457" i="1"/>
  <c r="BC457" i="1" s="1"/>
  <c r="BD457" i="1" s="1"/>
  <c r="AX457" i="1" s="1"/>
  <c r="AR457" i="1"/>
  <c r="BB457" i="1" s="1"/>
  <c r="AQ457" i="1"/>
  <c r="AP457" i="1"/>
  <c r="AJ457" i="1"/>
  <c r="AI457" i="1"/>
  <c r="AC457" i="1"/>
  <c r="AA457" i="1"/>
  <c r="Z457" i="1" s="1"/>
  <c r="U457" i="1"/>
  <c r="W457" i="1" s="1"/>
  <c r="C457" i="1"/>
  <c r="BA456" i="1"/>
  <c r="AZ456" i="1"/>
  <c r="AU456" i="1"/>
  <c r="BC456" i="1" s="1"/>
  <c r="AR456" i="1"/>
  <c r="BB456" i="1" s="1"/>
  <c r="AQ456" i="1"/>
  <c r="AP456" i="1"/>
  <c r="AJ456" i="1"/>
  <c r="AV456" i="1" s="1"/>
  <c r="AI456" i="1"/>
  <c r="AW456" i="1" s="1"/>
  <c r="AC456" i="1"/>
  <c r="BG456" i="1" s="1"/>
  <c r="AA456" i="1"/>
  <c r="Z456" i="1"/>
  <c r="W456" i="1"/>
  <c r="U456" i="1"/>
  <c r="C456" i="1"/>
  <c r="BG455" i="1"/>
  <c r="BB455" i="1"/>
  <c r="BA455" i="1"/>
  <c r="AZ455" i="1"/>
  <c r="AU455" i="1"/>
  <c r="BC455" i="1" s="1"/>
  <c r="AR455" i="1"/>
  <c r="AQ455" i="1"/>
  <c r="AP455" i="1"/>
  <c r="AL455" i="1"/>
  <c r="AJ455" i="1"/>
  <c r="AV455" i="1" s="1"/>
  <c r="AI455" i="1"/>
  <c r="AW455" i="1" s="1"/>
  <c r="AC455" i="1"/>
  <c r="AA455" i="1"/>
  <c r="Z455" i="1" s="1"/>
  <c r="W455" i="1"/>
  <c r="U455" i="1"/>
  <c r="C455" i="1"/>
  <c r="BG454" i="1"/>
  <c r="BB454" i="1"/>
  <c r="BA454" i="1"/>
  <c r="AZ454" i="1"/>
  <c r="AW454" i="1"/>
  <c r="AU454" i="1"/>
  <c r="BC454" i="1" s="1"/>
  <c r="AR454" i="1"/>
  <c r="AQ454" i="1"/>
  <c r="AP454" i="1"/>
  <c r="AL454" i="1"/>
  <c r="AJ454" i="1"/>
  <c r="AV454" i="1" s="1"/>
  <c r="AI454" i="1"/>
  <c r="AC454" i="1"/>
  <c r="AA454" i="1"/>
  <c r="Z454" i="1"/>
  <c r="U454" i="1"/>
  <c r="W454" i="1" s="1"/>
  <c r="C454" i="1"/>
  <c r="BA453" i="1"/>
  <c r="AZ453" i="1"/>
  <c r="AW453" i="1"/>
  <c r="AV453" i="1"/>
  <c r="AU453" i="1"/>
  <c r="AR453" i="1"/>
  <c r="BB453" i="1" s="1"/>
  <c r="AQ453" i="1"/>
  <c r="AP453" i="1"/>
  <c r="AJ453" i="1"/>
  <c r="AI453" i="1"/>
  <c r="AC453" i="1"/>
  <c r="AA453" i="1"/>
  <c r="Z453" i="1"/>
  <c r="U453" i="1"/>
  <c r="W453" i="1" s="1"/>
  <c r="C453" i="1"/>
  <c r="BA452" i="1"/>
  <c r="AZ452" i="1"/>
  <c r="AU452" i="1"/>
  <c r="AR452" i="1"/>
  <c r="BB452" i="1" s="1"/>
  <c r="AQ452" i="1"/>
  <c r="AP452" i="1"/>
  <c r="AJ452" i="1"/>
  <c r="AV452" i="1" s="1"/>
  <c r="AI452" i="1"/>
  <c r="AW452" i="1" s="1"/>
  <c r="AC452" i="1"/>
  <c r="BG452" i="1" s="1"/>
  <c r="AA452" i="1"/>
  <c r="Z452" i="1"/>
  <c r="W452" i="1"/>
  <c r="U452" i="1"/>
  <c r="C452" i="1"/>
  <c r="BG451" i="1"/>
  <c r="BB451" i="1"/>
  <c r="BA451" i="1"/>
  <c r="AZ451" i="1"/>
  <c r="AU451" i="1"/>
  <c r="AR451" i="1"/>
  <c r="AQ451" i="1"/>
  <c r="AP451" i="1"/>
  <c r="AL451" i="1"/>
  <c r="AJ451" i="1"/>
  <c r="AV451" i="1" s="1"/>
  <c r="AI451" i="1"/>
  <c r="AW451" i="1" s="1"/>
  <c r="AC451" i="1"/>
  <c r="AA451" i="1"/>
  <c r="Z451" i="1" s="1"/>
  <c r="W451" i="1"/>
  <c r="U451" i="1"/>
  <c r="C451" i="1"/>
  <c r="BG450" i="1"/>
  <c r="BB450" i="1"/>
  <c r="BA450" i="1"/>
  <c r="AZ450" i="1"/>
  <c r="AW450" i="1"/>
  <c r="AU450" i="1"/>
  <c r="AR450" i="1"/>
  <c r="AQ450" i="1"/>
  <c r="AP450" i="1"/>
  <c r="AL450" i="1"/>
  <c r="AJ450" i="1"/>
  <c r="AV450" i="1" s="1"/>
  <c r="AI450" i="1"/>
  <c r="AC450" i="1"/>
  <c r="AA450" i="1"/>
  <c r="Z450" i="1"/>
  <c r="U450" i="1"/>
  <c r="W450" i="1" s="1"/>
  <c r="C450" i="1"/>
  <c r="BA449" i="1"/>
  <c r="AZ449" i="1"/>
  <c r="AW449" i="1"/>
  <c r="AU449" i="1"/>
  <c r="AR449" i="1"/>
  <c r="BB449" i="1" s="1"/>
  <c r="AQ449" i="1"/>
  <c r="AP449" i="1"/>
  <c r="AJ449" i="1"/>
  <c r="AV449" i="1" s="1"/>
  <c r="AI449" i="1"/>
  <c r="AC449" i="1"/>
  <c r="AA449" i="1"/>
  <c r="Z449" i="1"/>
  <c r="U449" i="1"/>
  <c r="W449" i="1" s="1"/>
  <c r="C449" i="1"/>
  <c r="BA448" i="1"/>
  <c r="AZ448" i="1"/>
  <c r="AU448" i="1"/>
  <c r="BC448" i="1" s="1"/>
  <c r="AR448" i="1"/>
  <c r="BB448" i="1" s="1"/>
  <c r="AQ448" i="1"/>
  <c r="AP448" i="1"/>
  <c r="AJ448" i="1"/>
  <c r="AV448" i="1" s="1"/>
  <c r="AI448" i="1"/>
  <c r="AW448" i="1" s="1"/>
  <c r="AC448" i="1"/>
  <c r="BG448" i="1" s="1"/>
  <c r="AA448" i="1"/>
  <c r="Z448" i="1"/>
  <c r="W448" i="1"/>
  <c r="U448" i="1"/>
  <c r="C448" i="1"/>
  <c r="BG447" i="1"/>
  <c r="BB447" i="1"/>
  <c r="BA447" i="1"/>
  <c r="AZ447" i="1"/>
  <c r="AU447" i="1"/>
  <c r="BC447" i="1" s="1"/>
  <c r="AR447" i="1"/>
  <c r="AQ447" i="1"/>
  <c r="AP447" i="1"/>
  <c r="AL447" i="1"/>
  <c r="AJ447" i="1"/>
  <c r="AV447" i="1" s="1"/>
  <c r="AI447" i="1"/>
  <c r="AW447" i="1" s="1"/>
  <c r="AC447" i="1"/>
  <c r="AA447" i="1"/>
  <c r="Z447" i="1" s="1"/>
  <c r="W447" i="1"/>
  <c r="U447" i="1"/>
  <c r="C447" i="1"/>
  <c r="BG446" i="1"/>
  <c r="BB446" i="1"/>
  <c r="BA446" i="1"/>
  <c r="AZ446" i="1"/>
  <c r="AW446" i="1"/>
  <c r="AU446" i="1"/>
  <c r="BC446" i="1" s="1"/>
  <c r="AR446" i="1"/>
  <c r="AQ446" i="1"/>
  <c r="AP446" i="1"/>
  <c r="AL446" i="1"/>
  <c r="AJ446" i="1"/>
  <c r="AV446" i="1" s="1"/>
  <c r="AI446" i="1"/>
  <c r="AC446" i="1"/>
  <c r="AA446" i="1"/>
  <c r="Z446" i="1"/>
  <c r="U446" i="1"/>
  <c r="W446" i="1" s="1"/>
  <c r="C446" i="1"/>
  <c r="BA445" i="1"/>
  <c r="AZ445" i="1"/>
  <c r="AW445" i="1"/>
  <c r="AV445" i="1"/>
  <c r="AU445" i="1"/>
  <c r="AR445" i="1"/>
  <c r="BB445" i="1" s="1"/>
  <c r="AQ445" i="1"/>
  <c r="AP445" i="1"/>
  <c r="AJ445" i="1"/>
  <c r="AI445" i="1"/>
  <c r="AC445" i="1"/>
  <c r="AA445" i="1"/>
  <c r="Z445" i="1"/>
  <c r="U445" i="1"/>
  <c r="W445" i="1" s="1"/>
  <c r="C445" i="1"/>
  <c r="BA444" i="1"/>
  <c r="AZ444" i="1"/>
  <c r="AU444" i="1"/>
  <c r="BC444" i="1" s="1"/>
  <c r="AR444" i="1"/>
  <c r="BB444" i="1" s="1"/>
  <c r="AQ444" i="1"/>
  <c r="AP444" i="1"/>
  <c r="AJ444" i="1"/>
  <c r="AV444" i="1" s="1"/>
  <c r="AI444" i="1"/>
  <c r="AW444" i="1" s="1"/>
  <c r="AC444" i="1"/>
  <c r="BG444" i="1" s="1"/>
  <c r="AA444" i="1"/>
  <c r="Z444" i="1"/>
  <c r="W444" i="1"/>
  <c r="U444" i="1"/>
  <c r="C444" i="1"/>
  <c r="BG443" i="1"/>
  <c r="BB443" i="1"/>
  <c r="BA443" i="1"/>
  <c r="AZ443" i="1"/>
  <c r="AU443" i="1"/>
  <c r="AR443" i="1"/>
  <c r="AQ443" i="1"/>
  <c r="AP443" i="1"/>
  <c r="AL443" i="1"/>
  <c r="AJ443" i="1"/>
  <c r="AV443" i="1" s="1"/>
  <c r="AI443" i="1"/>
  <c r="AW443" i="1" s="1"/>
  <c r="AC443" i="1"/>
  <c r="AA443" i="1"/>
  <c r="Z443" i="1" s="1"/>
  <c r="W443" i="1"/>
  <c r="U443" i="1"/>
  <c r="C443" i="1"/>
  <c r="BG442" i="1"/>
  <c r="BB442" i="1"/>
  <c r="BA442" i="1"/>
  <c r="AZ442" i="1"/>
  <c r="AW442" i="1"/>
  <c r="AU442" i="1"/>
  <c r="AR442" i="1"/>
  <c r="AQ442" i="1"/>
  <c r="AP442" i="1"/>
  <c r="AL442" i="1"/>
  <c r="AJ442" i="1"/>
  <c r="AV442" i="1" s="1"/>
  <c r="AI442" i="1"/>
  <c r="AC442" i="1"/>
  <c r="AA442" i="1"/>
  <c r="Z442" i="1"/>
  <c r="U442" i="1"/>
  <c r="W442" i="1" s="1"/>
  <c r="C442" i="1"/>
  <c r="BA441" i="1"/>
  <c r="AZ441" i="1"/>
  <c r="AW441" i="1"/>
  <c r="AU441" i="1"/>
  <c r="AR441" i="1"/>
  <c r="BB441" i="1" s="1"/>
  <c r="AQ441" i="1"/>
  <c r="AP441" i="1"/>
  <c r="AJ441" i="1"/>
  <c r="AV441" i="1" s="1"/>
  <c r="AI441" i="1"/>
  <c r="AC441" i="1"/>
  <c r="AA441" i="1"/>
  <c r="Z441" i="1"/>
  <c r="U441" i="1"/>
  <c r="W441" i="1" s="1"/>
  <c r="C441" i="1"/>
  <c r="BA440" i="1"/>
  <c r="AZ440" i="1"/>
  <c r="AU440" i="1"/>
  <c r="BC440" i="1" s="1"/>
  <c r="AR440" i="1"/>
  <c r="BB440" i="1" s="1"/>
  <c r="AQ440" i="1"/>
  <c r="AP440" i="1"/>
  <c r="AJ440" i="1"/>
  <c r="AV440" i="1" s="1"/>
  <c r="AI440" i="1"/>
  <c r="AW440" i="1" s="1"/>
  <c r="AC440" i="1"/>
  <c r="BG440" i="1" s="1"/>
  <c r="AA440" i="1"/>
  <c r="Z440" i="1"/>
  <c r="W440" i="1"/>
  <c r="U440" i="1"/>
  <c r="C440" i="1"/>
  <c r="BG439" i="1"/>
  <c r="BB439" i="1"/>
  <c r="BA439" i="1"/>
  <c r="AZ439" i="1"/>
  <c r="AU439" i="1"/>
  <c r="BC439" i="1" s="1"/>
  <c r="AR439" i="1"/>
  <c r="AQ439" i="1"/>
  <c r="AP439" i="1"/>
  <c r="AL439" i="1"/>
  <c r="AJ439" i="1"/>
  <c r="AV439" i="1" s="1"/>
  <c r="AI439" i="1"/>
  <c r="AW439" i="1" s="1"/>
  <c r="AC439" i="1"/>
  <c r="AA439" i="1"/>
  <c r="Z439" i="1" s="1"/>
  <c r="W439" i="1"/>
  <c r="U439" i="1"/>
  <c r="C439" i="1"/>
  <c r="BG438" i="1"/>
  <c r="BB438" i="1"/>
  <c r="BA438" i="1"/>
  <c r="AZ438" i="1"/>
  <c r="AW438" i="1"/>
  <c r="AU438" i="1"/>
  <c r="BC438" i="1" s="1"/>
  <c r="AR438" i="1"/>
  <c r="AQ438" i="1"/>
  <c r="AP438" i="1"/>
  <c r="AL438" i="1"/>
  <c r="AJ438" i="1"/>
  <c r="AV438" i="1" s="1"/>
  <c r="AI438" i="1"/>
  <c r="AC438" i="1"/>
  <c r="AA438" i="1"/>
  <c r="Z438" i="1"/>
  <c r="U438" i="1"/>
  <c r="W438" i="1" s="1"/>
  <c r="C438" i="1"/>
  <c r="BA437" i="1"/>
  <c r="AZ437" i="1"/>
  <c r="AW437" i="1"/>
  <c r="AV437" i="1"/>
  <c r="AU437" i="1"/>
  <c r="AR437" i="1"/>
  <c r="BB437" i="1" s="1"/>
  <c r="AQ437" i="1"/>
  <c r="AP437" i="1"/>
  <c r="AJ437" i="1"/>
  <c r="AI437" i="1"/>
  <c r="AC437" i="1"/>
  <c r="AA437" i="1"/>
  <c r="Z437" i="1"/>
  <c r="U437" i="1"/>
  <c r="W437" i="1" s="1"/>
  <c r="C437" i="1"/>
  <c r="BA436" i="1"/>
  <c r="AZ436" i="1"/>
  <c r="AV436" i="1"/>
  <c r="AU436" i="1"/>
  <c r="BC436" i="1" s="1"/>
  <c r="AR436" i="1"/>
  <c r="BB436" i="1" s="1"/>
  <c r="BD436" i="1" s="1"/>
  <c r="AX436" i="1" s="1"/>
  <c r="AQ436" i="1"/>
  <c r="AP436" i="1"/>
  <c r="AJ436" i="1"/>
  <c r="AI436" i="1"/>
  <c r="AW436" i="1" s="1"/>
  <c r="AC436" i="1"/>
  <c r="AA436" i="1"/>
  <c r="Z436" i="1" s="1"/>
  <c r="W436" i="1"/>
  <c r="U436" i="1"/>
  <c r="C436" i="1"/>
  <c r="BG435" i="1"/>
  <c r="BB435" i="1"/>
  <c r="BA435" i="1"/>
  <c r="AZ435" i="1"/>
  <c r="AU435" i="1"/>
  <c r="AR435" i="1"/>
  <c r="AQ435" i="1"/>
  <c r="AP435" i="1"/>
  <c r="AL435" i="1"/>
  <c r="AJ435" i="1"/>
  <c r="AV435" i="1" s="1"/>
  <c r="BC435" i="1" s="1"/>
  <c r="AI435" i="1"/>
  <c r="AW435" i="1" s="1"/>
  <c r="AC435" i="1"/>
  <c r="AA435" i="1"/>
  <c r="Z435" i="1" s="1"/>
  <c r="W435" i="1"/>
  <c r="U435" i="1"/>
  <c r="C435" i="1"/>
  <c r="BG434" i="1"/>
  <c r="BB434" i="1"/>
  <c r="BA434" i="1"/>
  <c r="AZ434" i="1"/>
  <c r="AW434" i="1"/>
  <c r="AU434" i="1"/>
  <c r="AR434" i="1"/>
  <c r="AQ434" i="1"/>
  <c r="AP434" i="1"/>
  <c r="AL434" i="1"/>
  <c r="AJ434" i="1"/>
  <c r="AV434" i="1" s="1"/>
  <c r="AI434" i="1"/>
  <c r="AC434" i="1"/>
  <c r="AA434" i="1"/>
  <c r="Z434" i="1"/>
  <c r="U434" i="1"/>
  <c r="W434" i="1" s="1"/>
  <c r="C434" i="1"/>
  <c r="BA433" i="1"/>
  <c r="AZ433" i="1"/>
  <c r="AW433" i="1"/>
  <c r="AU433" i="1"/>
  <c r="AR433" i="1"/>
  <c r="BB433" i="1" s="1"/>
  <c r="AQ433" i="1"/>
  <c r="AP433" i="1"/>
  <c r="AJ433" i="1"/>
  <c r="AV433" i="1" s="1"/>
  <c r="AI433" i="1"/>
  <c r="AC433" i="1"/>
  <c r="AA433" i="1"/>
  <c r="Z433" i="1"/>
  <c r="U433" i="1"/>
  <c r="W433" i="1" s="1"/>
  <c r="C433" i="1"/>
  <c r="BA432" i="1"/>
  <c r="AZ432" i="1"/>
  <c r="AV432" i="1"/>
  <c r="BC432" i="1" s="1"/>
  <c r="BD432" i="1" s="1"/>
  <c r="AX432" i="1" s="1"/>
  <c r="AU432" i="1"/>
  <c r="AR432" i="1"/>
  <c r="BB432" i="1" s="1"/>
  <c r="AQ432" i="1"/>
  <c r="AP432" i="1"/>
  <c r="AJ432" i="1"/>
  <c r="AI432" i="1"/>
  <c r="AW432" i="1" s="1"/>
  <c r="AC432" i="1"/>
  <c r="AA432" i="1"/>
  <c r="Z432" i="1" s="1"/>
  <c r="W432" i="1"/>
  <c r="U432" i="1"/>
  <c r="C432" i="1"/>
  <c r="BG431" i="1"/>
  <c r="BB431" i="1"/>
  <c r="BA431" i="1"/>
  <c r="AZ431" i="1"/>
  <c r="AU431" i="1"/>
  <c r="BC431" i="1" s="1"/>
  <c r="AR431" i="1"/>
  <c r="AQ431" i="1"/>
  <c r="AP431" i="1"/>
  <c r="AL431" i="1"/>
  <c r="AJ431" i="1"/>
  <c r="AV431" i="1" s="1"/>
  <c r="AI431" i="1"/>
  <c r="AW431" i="1" s="1"/>
  <c r="AC431" i="1"/>
  <c r="AA431" i="1"/>
  <c r="Z431" i="1" s="1"/>
  <c r="W431" i="1"/>
  <c r="U431" i="1"/>
  <c r="C431" i="1"/>
  <c r="BG430" i="1"/>
  <c r="BB430" i="1"/>
  <c r="BA430" i="1"/>
  <c r="AZ430" i="1"/>
  <c r="AW430" i="1"/>
  <c r="AU430" i="1"/>
  <c r="AR430" i="1"/>
  <c r="AQ430" i="1"/>
  <c r="AP430" i="1"/>
  <c r="AL430" i="1"/>
  <c r="AJ430" i="1"/>
  <c r="AV430" i="1" s="1"/>
  <c r="AI430" i="1"/>
  <c r="AC430" i="1"/>
  <c r="AA430" i="1"/>
  <c r="Z430" i="1"/>
  <c r="U430" i="1"/>
  <c r="W430" i="1" s="1"/>
  <c r="C430" i="1"/>
  <c r="BA429" i="1"/>
  <c r="AZ429" i="1"/>
  <c r="AW429" i="1"/>
  <c r="AU429" i="1"/>
  <c r="AR429" i="1"/>
  <c r="BB429" i="1" s="1"/>
  <c r="AQ429" i="1"/>
  <c r="AP429" i="1"/>
  <c r="AJ429" i="1"/>
  <c r="AV429" i="1" s="1"/>
  <c r="AI429" i="1"/>
  <c r="AC429" i="1"/>
  <c r="AA429" i="1"/>
  <c r="Z429" i="1"/>
  <c r="U429" i="1"/>
  <c r="W429" i="1" s="1"/>
  <c r="C429" i="1"/>
  <c r="BA428" i="1"/>
  <c r="AZ428" i="1"/>
  <c r="AV428" i="1"/>
  <c r="AU428" i="1"/>
  <c r="BC428" i="1" s="1"/>
  <c r="AR428" i="1"/>
  <c r="BB428" i="1" s="1"/>
  <c r="AQ428" i="1"/>
  <c r="AP428" i="1"/>
  <c r="AJ428" i="1"/>
  <c r="AI428" i="1"/>
  <c r="AW428" i="1" s="1"/>
  <c r="AC428" i="1"/>
  <c r="AA428" i="1"/>
  <c r="Z428" i="1" s="1"/>
  <c r="W428" i="1"/>
  <c r="U428" i="1"/>
  <c r="C428" i="1"/>
  <c r="BG427" i="1"/>
  <c r="BB427" i="1"/>
  <c r="BD427" i="1" s="1"/>
  <c r="AX427" i="1" s="1"/>
  <c r="BA427" i="1"/>
  <c r="AZ427" i="1"/>
  <c r="AU427" i="1"/>
  <c r="AR427" i="1"/>
  <c r="AQ427" i="1"/>
  <c r="AP427" i="1"/>
  <c r="AL427" i="1"/>
  <c r="AJ427" i="1"/>
  <c r="AV427" i="1" s="1"/>
  <c r="BC427" i="1" s="1"/>
  <c r="AI427" i="1"/>
  <c r="AW427" i="1" s="1"/>
  <c r="AC427" i="1"/>
  <c r="AA427" i="1"/>
  <c r="Z427" i="1" s="1"/>
  <c r="W427" i="1"/>
  <c r="U427" i="1"/>
  <c r="C427" i="1"/>
  <c r="BG426" i="1"/>
  <c r="BB426" i="1"/>
  <c r="BA426" i="1"/>
  <c r="AZ426" i="1"/>
  <c r="AW426" i="1"/>
  <c r="AU426" i="1"/>
  <c r="AR426" i="1"/>
  <c r="AQ426" i="1"/>
  <c r="AP426" i="1"/>
  <c r="AL426" i="1"/>
  <c r="AJ426" i="1"/>
  <c r="AV426" i="1" s="1"/>
  <c r="AI426" i="1"/>
  <c r="AC426" i="1"/>
  <c r="AA426" i="1"/>
  <c r="Z426" i="1"/>
  <c r="U426" i="1"/>
  <c r="W426" i="1" s="1"/>
  <c r="C426" i="1"/>
  <c r="BA425" i="1"/>
  <c r="AZ425" i="1"/>
  <c r="AW425" i="1"/>
  <c r="AU425" i="1"/>
  <c r="AR425" i="1"/>
  <c r="BB425" i="1" s="1"/>
  <c r="AQ425" i="1"/>
  <c r="AP425" i="1"/>
  <c r="AJ425" i="1"/>
  <c r="AV425" i="1" s="1"/>
  <c r="AI425" i="1"/>
  <c r="AC425" i="1"/>
  <c r="AA425" i="1"/>
  <c r="Z425" i="1"/>
  <c r="U425" i="1"/>
  <c r="W425" i="1" s="1"/>
  <c r="C425" i="1"/>
  <c r="BA424" i="1"/>
  <c r="AZ424" i="1"/>
  <c r="AV424" i="1"/>
  <c r="AU424" i="1"/>
  <c r="AR424" i="1"/>
  <c r="BB424" i="1" s="1"/>
  <c r="AQ424" i="1"/>
  <c r="AP424" i="1"/>
  <c r="AJ424" i="1"/>
  <c r="AI424" i="1"/>
  <c r="AW424" i="1" s="1"/>
  <c r="AC424" i="1"/>
  <c r="AA424" i="1"/>
  <c r="Z424" i="1"/>
  <c r="W424" i="1"/>
  <c r="U424" i="1"/>
  <c r="C424" i="1"/>
  <c r="BG423" i="1"/>
  <c r="BB423" i="1"/>
  <c r="BA423" i="1"/>
  <c r="AZ423" i="1"/>
  <c r="AU423" i="1"/>
  <c r="AR423" i="1"/>
  <c r="AQ423" i="1"/>
  <c r="AP423" i="1"/>
  <c r="AL423" i="1"/>
  <c r="AJ423" i="1"/>
  <c r="AV423" i="1" s="1"/>
  <c r="AI423" i="1"/>
  <c r="AW423" i="1" s="1"/>
  <c r="AC423" i="1"/>
  <c r="AA423" i="1"/>
  <c r="Z423" i="1" s="1"/>
  <c r="W423" i="1"/>
  <c r="U423" i="1"/>
  <c r="C423" i="1"/>
  <c r="BG422" i="1"/>
  <c r="BB422" i="1"/>
  <c r="BA422" i="1"/>
  <c r="AZ422" i="1"/>
  <c r="AW422" i="1"/>
  <c r="AU422" i="1"/>
  <c r="BC422" i="1" s="1"/>
  <c r="AR422" i="1"/>
  <c r="AQ422" i="1"/>
  <c r="AP422" i="1"/>
  <c r="AL422" i="1"/>
  <c r="AJ422" i="1"/>
  <c r="AV422" i="1" s="1"/>
  <c r="AI422" i="1"/>
  <c r="AC422" i="1"/>
  <c r="AA422" i="1"/>
  <c r="Z422" i="1"/>
  <c r="U422" i="1"/>
  <c r="W422" i="1" s="1"/>
  <c r="C422" i="1"/>
  <c r="BA421" i="1"/>
  <c r="AZ421" i="1"/>
  <c r="AW421" i="1"/>
  <c r="AV421" i="1"/>
  <c r="AU421" i="1"/>
  <c r="AR421" i="1"/>
  <c r="BB421" i="1" s="1"/>
  <c r="AQ421" i="1"/>
  <c r="AP421" i="1"/>
  <c r="AJ421" i="1"/>
  <c r="AI421" i="1"/>
  <c r="AC421" i="1"/>
  <c r="AA421" i="1"/>
  <c r="Z421" i="1"/>
  <c r="U421" i="1"/>
  <c r="W421" i="1" s="1"/>
  <c r="C421" i="1"/>
  <c r="BA420" i="1"/>
  <c r="AZ420" i="1"/>
  <c r="AV420" i="1"/>
  <c r="AU420" i="1"/>
  <c r="BC420" i="1" s="1"/>
  <c r="BD420" i="1" s="1"/>
  <c r="AX420" i="1" s="1"/>
  <c r="AR420" i="1"/>
  <c r="BB420" i="1" s="1"/>
  <c r="AQ420" i="1"/>
  <c r="AP420" i="1"/>
  <c r="AJ420" i="1"/>
  <c r="AI420" i="1"/>
  <c r="AW420" i="1" s="1"/>
  <c r="AC420" i="1"/>
  <c r="AA420" i="1"/>
  <c r="Z420" i="1"/>
  <c r="W420" i="1"/>
  <c r="U420" i="1"/>
  <c r="C420" i="1"/>
  <c r="BG419" i="1"/>
  <c r="BB419" i="1"/>
  <c r="BA419" i="1"/>
  <c r="AZ419" i="1"/>
  <c r="AU419" i="1"/>
  <c r="BC419" i="1" s="1"/>
  <c r="AR419" i="1"/>
  <c r="AQ419" i="1"/>
  <c r="AP419" i="1"/>
  <c r="AL419" i="1"/>
  <c r="AJ419" i="1"/>
  <c r="AV419" i="1" s="1"/>
  <c r="AI419" i="1"/>
  <c r="AW419" i="1" s="1"/>
  <c r="AC419" i="1"/>
  <c r="AA419" i="1"/>
  <c r="Z419" i="1" s="1"/>
  <c r="W419" i="1"/>
  <c r="U419" i="1"/>
  <c r="C419" i="1"/>
  <c r="BG418" i="1"/>
  <c r="BB418" i="1"/>
  <c r="BA418" i="1"/>
  <c r="AZ418" i="1"/>
  <c r="AW418" i="1"/>
  <c r="AU418" i="1"/>
  <c r="AR418" i="1"/>
  <c r="AQ418" i="1"/>
  <c r="AP418" i="1"/>
  <c r="AL418" i="1"/>
  <c r="AJ418" i="1"/>
  <c r="AV418" i="1" s="1"/>
  <c r="AI418" i="1"/>
  <c r="AC418" i="1"/>
  <c r="AA418" i="1"/>
  <c r="Z418" i="1"/>
  <c r="U418" i="1"/>
  <c r="W418" i="1" s="1"/>
  <c r="C418" i="1"/>
  <c r="BA417" i="1"/>
  <c r="AZ417" i="1"/>
  <c r="AW417" i="1"/>
  <c r="AU417" i="1"/>
  <c r="AR417" i="1"/>
  <c r="BB417" i="1" s="1"/>
  <c r="AQ417" i="1"/>
  <c r="AP417" i="1"/>
  <c r="AJ417" i="1"/>
  <c r="AV417" i="1" s="1"/>
  <c r="AI417" i="1"/>
  <c r="AC417" i="1"/>
  <c r="AA417" i="1"/>
  <c r="Z417" i="1" s="1"/>
  <c r="U417" i="1"/>
  <c r="W417" i="1" s="1"/>
  <c r="C417" i="1"/>
  <c r="BA416" i="1"/>
  <c r="AZ416" i="1"/>
  <c r="AW416" i="1"/>
  <c r="AU416" i="1"/>
  <c r="AR416" i="1"/>
  <c r="BB416" i="1" s="1"/>
  <c r="AQ416" i="1"/>
  <c r="AP416" i="1"/>
  <c r="AJ416" i="1"/>
  <c r="AV416" i="1" s="1"/>
  <c r="BC416" i="1" s="1"/>
  <c r="AI416" i="1"/>
  <c r="AC416" i="1"/>
  <c r="AA416" i="1"/>
  <c r="Z416" i="1"/>
  <c r="W416" i="1"/>
  <c r="U416" i="1"/>
  <c r="C416" i="1"/>
  <c r="BG415" i="1"/>
  <c r="BB415" i="1"/>
  <c r="BA415" i="1"/>
  <c r="AZ415" i="1"/>
  <c r="AW415" i="1"/>
  <c r="AU415" i="1"/>
  <c r="AR415" i="1"/>
  <c r="AQ415" i="1"/>
  <c r="AP415" i="1"/>
  <c r="AL415" i="1"/>
  <c r="AJ415" i="1"/>
  <c r="AV415" i="1" s="1"/>
  <c r="AI415" i="1"/>
  <c r="AC415" i="1"/>
  <c r="AA415" i="1"/>
  <c r="Z415" i="1"/>
  <c r="U415" i="1"/>
  <c r="W415" i="1" s="1"/>
  <c r="C415" i="1"/>
  <c r="BA414" i="1"/>
  <c r="AZ414" i="1"/>
  <c r="AW414" i="1"/>
  <c r="AU414" i="1"/>
  <c r="BC414" i="1" s="1"/>
  <c r="AR414" i="1"/>
  <c r="BB414" i="1" s="1"/>
  <c r="AQ414" i="1"/>
  <c r="AP414" i="1"/>
  <c r="AJ414" i="1"/>
  <c r="AV414" i="1" s="1"/>
  <c r="AI414" i="1"/>
  <c r="AC414" i="1"/>
  <c r="AA414" i="1"/>
  <c r="Z414" i="1"/>
  <c r="U414" i="1"/>
  <c r="W414" i="1" s="1"/>
  <c r="C414" i="1"/>
  <c r="BA413" i="1"/>
  <c r="AZ413" i="1"/>
  <c r="AU413" i="1"/>
  <c r="BC413" i="1" s="1"/>
  <c r="AR413" i="1"/>
  <c r="BB413" i="1" s="1"/>
  <c r="AQ413" i="1"/>
  <c r="AP413" i="1"/>
  <c r="AJ413" i="1"/>
  <c r="AV413" i="1" s="1"/>
  <c r="AI413" i="1"/>
  <c r="AW413" i="1" s="1"/>
  <c r="AC413" i="1"/>
  <c r="BG413" i="1" s="1"/>
  <c r="AA413" i="1"/>
  <c r="Z413" i="1" s="1"/>
  <c r="W413" i="1"/>
  <c r="U413" i="1"/>
  <c r="C413" i="1"/>
  <c r="BG412" i="1"/>
  <c r="BB412" i="1"/>
  <c r="BA412" i="1"/>
  <c r="AZ412" i="1"/>
  <c r="AU412" i="1"/>
  <c r="AR412" i="1"/>
  <c r="AQ412" i="1"/>
  <c r="AP412" i="1"/>
  <c r="AL412" i="1"/>
  <c r="AJ412" i="1"/>
  <c r="AV412" i="1" s="1"/>
  <c r="AI412" i="1"/>
  <c r="AW412" i="1" s="1"/>
  <c r="AC412" i="1"/>
  <c r="AA412" i="1"/>
  <c r="Z412" i="1" s="1"/>
  <c r="W412" i="1"/>
  <c r="U412" i="1"/>
  <c r="C412" i="1"/>
  <c r="BG411" i="1"/>
  <c r="BB411" i="1"/>
  <c r="BA411" i="1"/>
  <c r="AZ411" i="1"/>
  <c r="AW411" i="1"/>
  <c r="AU411" i="1"/>
  <c r="BC411" i="1" s="1"/>
  <c r="AR411" i="1"/>
  <c r="AQ411" i="1"/>
  <c r="AP411" i="1"/>
  <c r="AL411" i="1"/>
  <c r="AJ411" i="1"/>
  <c r="AV411" i="1" s="1"/>
  <c r="AI411" i="1"/>
  <c r="AC411" i="1"/>
  <c r="AA411" i="1"/>
  <c r="Z411" i="1"/>
  <c r="U411" i="1"/>
  <c r="W411" i="1" s="1"/>
  <c r="C411" i="1"/>
  <c r="BA410" i="1"/>
  <c r="AZ410" i="1"/>
  <c r="AW410" i="1"/>
  <c r="AV410" i="1"/>
  <c r="AU410" i="1"/>
  <c r="AR410" i="1"/>
  <c r="BB410" i="1" s="1"/>
  <c r="AQ410" i="1"/>
  <c r="AP410" i="1"/>
  <c r="AJ410" i="1"/>
  <c r="AI410" i="1"/>
  <c r="AC410" i="1"/>
  <c r="AA410" i="1"/>
  <c r="Z410" i="1"/>
  <c r="U410" i="1"/>
  <c r="W410" i="1" s="1"/>
  <c r="C410" i="1"/>
  <c r="BA409" i="1"/>
  <c r="AZ409" i="1"/>
  <c r="AU409" i="1"/>
  <c r="BC409" i="1" s="1"/>
  <c r="AR409" i="1"/>
  <c r="BB409" i="1" s="1"/>
  <c r="AQ409" i="1"/>
  <c r="AP409" i="1"/>
  <c r="AJ409" i="1"/>
  <c r="AV409" i="1" s="1"/>
  <c r="AI409" i="1"/>
  <c r="AW409" i="1" s="1"/>
  <c r="AC409" i="1"/>
  <c r="BG409" i="1" s="1"/>
  <c r="AA409" i="1"/>
  <c r="Z409" i="1" s="1"/>
  <c r="W409" i="1"/>
  <c r="U409" i="1"/>
  <c r="C409" i="1"/>
  <c r="BG408" i="1"/>
  <c r="BB408" i="1"/>
  <c r="BA408" i="1"/>
  <c r="AZ408" i="1"/>
  <c r="AU408" i="1"/>
  <c r="BC408" i="1" s="1"/>
  <c r="AR408" i="1"/>
  <c r="AQ408" i="1"/>
  <c r="AP408" i="1"/>
  <c r="AL408" i="1"/>
  <c r="AJ408" i="1"/>
  <c r="AV408" i="1" s="1"/>
  <c r="AI408" i="1"/>
  <c r="AW408" i="1" s="1"/>
  <c r="AC408" i="1"/>
  <c r="AA408" i="1"/>
  <c r="Z408" i="1" s="1"/>
  <c r="W408" i="1"/>
  <c r="U408" i="1"/>
  <c r="C408" i="1"/>
  <c r="BG407" i="1"/>
  <c r="BB407" i="1"/>
  <c r="BA407" i="1"/>
  <c r="AZ407" i="1"/>
  <c r="AW407" i="1"/>
  <c r="AU407" i="1"/>
  <c r="AR407" i="1"/>
  <c r="AQ407" i="1"/>
  <c r="AP407" i="1"/>
  <c r="AL407" i="1"/>
  <c r="AJ407" i="1"/>
  <c r="AV407" i="1" s="1"/>
  <c r="AI407" i="1"/>
  <c r="AC407" i="1"/>
  <c r="AA407" i="1"/>
  <c r="Z407" i="1"/>
  <c r="U407" i="1"/>
  <c r="W407" i="1" s="1"/>
  <c r="C407" i="1"/>
  <c r="BA406" i="1"/>
  <c r="AZ406" i="1"/>
  <c r="AW406" i="1"/>
  <c r="AU406" i="1"/>
  <c r="AR406" i="1"/>
  <c r="BB406" i="1" s="1"/>
  <c r="AQ406" i="1"/>
  <c r="AP406" i="1"/>
  <c r="AJ406" i="1"/>
  <c r="AV406" i="1" s="1"/>
  <c r="AI406" i="1"/>
  <c r="AC406" i="1"/>
  <c r="AA406" i="1"/>
  <c r="Z406" i="1"/>
  <c r="U406" i="1"/>
  <c r="W406" i="1" s="1"/>
  <c r="C406" i="1"/>
  <c r="BA405" i="1"/>
  <c r="AZ405" i="1"/>
  <c r="AU405" i="1"/>
  <c r="AR405" i="1"/>
  <c r="BB405" i="1" s="1"/>
  <c r="AQ405" i="1"/>
  <c r="AP405" i="1"/>
  <c r="AJ405" i="1"/>
  <c r="AV405" i="1" s="1"/>
  <c r="AI405" i="1"/>
  <c r="AW405" i="1" s="1"/>
  <c r="AC405" i="1"/>
  <c r="BG405" i="1" s="1"/>
  <c r="AA405" i="1"/>
  <c r="Z405" i="1"/>
  <c r="W405" i="1"/>
  <c r="U405" i="1"/>
  <c r="C405" i="1"/>
  <c r="BG404" i="1"/>
  <c r="BB404" i="1"/>
  <c r="BA404" i="1"/>
  <c r="AZ404" i="1"/>
  <c r="AU404" i="1"/>
  <c r="AR404" i="1"/>
  <c r="AQ404" i="1"/>
  <c r="AP404" i="1"/>
  <c r="AL404" i="1"/>
  <c r="AJ404" i="1"/>
  <c r="AV404" i="1" s="1"/>
  <c r="AI404" i="1"/>
  <c r="AW404" i="1" s="1"/>
  <c r="AC404" i="1"/>
  <c r="AA404" i="1"/>
  <c r="Z404" i="1" s="1"/>
  <c r="W404" i="1"/>
  <c r="U404" i="1"/>
  <c r="C404" i="1"/>
  <c r="BG403" i="1"/>
  <c r="BB403" i="1"/>
  <c r="BA403" i="1"/>
  <c r="AZ403" i="1"/>
  <c r="AW403" i="1"/>
  <c r="AU403" i="1"/>
  <c r="AR403" i="1"/>
  <c r="AQ403" i="1"/>
  <c r="AP403" i="1"/>
  <c r="AL403" i="1"/>
  <c r="AJ403" i="1"/>
  <c r="AV403" i="1" s="1"/>
  <c r="AI403" i="1"/>
  <c r="AC403" i="1"/>
  <c r="AA403" i="1"/>
  <c r="Z403" i="1"/>
  <c r="U403" i="1"/>
  <c r="W403" i="1" s="1"/>
  <c r="C403" i="1"/>
  <c r="BA402" i="1"/>
  <c r="AZ402" i="1"/>
  <c r="AW402" i="1"/>
  <c r="AU402" i="1"/>
  <c r="BC402" i="1" s="1"/>
  <c r="AR402" i="1"/>
  <c r="BB402" i="1" s="1"/>
  <c r="AQ402" i="1"/>
  <c r="AP402" i="1"/>
  <c r="AJ402" i="1"/>
  <c r="AV402" i="1" s="1"/>
  <c r="AI402" i="1"/>
  <c r="AC402" i="1"/>
  <c r="AA402" i="1"/>
  <c r="Z402" i="1"/>
  <c r="U402" i="1"/>
  <c r="W402" i="1" s="1"/>
  <c r="C402" i="1"/>
  <c r="BA401" i="1"/>
  <c r="AZ401" i="1"/>
  <c r="AU401" i="1"/>
  <c r="BC401" i="1" s="1"/>
  <c r="AR401" i="1"/>
  <c r="BB401" i="1" s="1"/>
  <c r="AQ401" i="1"/>
  <c r="AP401" i="1"/>
  <c r="AJ401" i="1"/>
  <c r="AV401" i="1" s="1"/>
  <c r="AI401" i="1"/>
  <c r="AW401" i="1" s="1"/>
  <c r="AC401" i="1"/>
  <c r="BG401" i="1" s="1"/>
  <c r="AA401" i="1"/>
  <c r="Z401" i="1"/>
  <c r="W401" i="1"/>
  <c r="U401" i="1"/>
  <c r="C401" i="1"/>
  <c r="BG400" i="1"/>
  <c r="BB400" i="1"/>
  <c r="BA400" i="1"/>
  <c r="AZ400" i="1"/>
  <c r="AU400" i="1"/>
  <c r="BC400" i="1" s="1"/>
  <c r="AR400" i="1"/>
  <c r="AQ400" i="1"/>
  <c r="AP400" i="1"/>
  <c r="AL400" i="1"/>
  <c r="AJ400" i="1"/>
  <c r="AV400" i="1" s="1"/>
  <c r="AI400" i="1"/>
  <c r="AW400" i="1" s="1"/>
  <c r="AC400" i="1"/>
  <c r="AA400" i="1"/>
  <c r="Z400" i="1" s="1"/>
  <c r="W400" i="1"/>
  <c r="U400" i="1"/>
  <c r="C400" i="1"/>
  <c r="BG399" i="1"/>
  <c r="BB399" i="1"/>
  <c r="BA399" i="1"/>
  <c r="AZ399" i="1"/>
  <c r="AW399" i="1"/>
  <c r="AU399" i="1"/>
  <c r="AR399" i="1"/>
  <c r="AQ399" i="1"/>
  <c r="AP399" i="1"/>
  <c r="AL399" i="1"/>
  <c r="AJ399" i="1"/>
  <c r="AV399" i="1" s="1"/>
  <c r="AI399" i="1"/>
  <c r="AC399" i="1"/>
  <c r="AA399" i="1"/>
  <c r="Z399" i="1"/>
  <c r="U399" i="1"/>
  <c r="W399" i="1" s="1"/>
  <c r="C399" i="1"/>
  <c r="BA398" i="1"/>
  <c r="AZ398" i="1"/>
  <c r="AW398" i="1"/>
  <c r="AU398" i="1"/>
  <c r="AR398" i="1"/>
  <c r="BB398" i="1" s="1"/>
  <c r="AQ398" i="1"/>
  <c r="AP398" i="1"/>
  <c r="AJ398" i="1"/>
  <c r="AV398" i="1" s="1"/>
  <c r="AI398" i="1"/>
  <c r="AC398" i="1"/>
  <c r="AA398" i="1"/>
  <c r="Z398" i="1"/>
  <c r="U398" i="1"/>
  <c r="W398" i="1" s="1"/>
  <c r="C398" i="1"/>
  <c r="BA397" i="1"/>
  <c r="AZ397" i="1"/>
  <c r="AU397" i="1"/>
  <c r="AR397" i="1"/>
  <c r="BB397" i="1" s="1"/>
  <c r="AQ397" i="1"/>
  <c r="AP397" i="1"/>
  <c r="AJ397" i="1"/>
  <c r="AV397" i="1" s="1"/>
  <c r="AI397" i="1"/>
  <c r="AW397" i="1" s="1"/>
  <c r="AC397" i="1"/>
  <c r="BG397" i="1" s="1"/>
  <c r="AA397" i="1"/>
  <c r="Z397" i="1"/>
  <c r="W397" i="1"/>
  <c r="U397" i="1"/>
  <c r="C397" i="1"/>
  <c r="BG396" i="1"/>
  <c r="BB396" i="1"/>
  <c r="BA396" i="1"/>
  <c r="AZ396" i="1"/>
  <c r="AU396" i="1"/>
  <c r="AR396" i="1"/>
  <c r="AQ396" i="1"/>
  <c r="AP396" i="1"/>
  <c r="AL396" i="1"/>
  <c r="AJ396" i="1"/>
  <c r="AV396" i="1" s="1"/>
  <c r="AI396" i="1"/>
  <c r="AW396" i="1" s="1"/>
  <c r="AC396" i="1"/>
  <c r="AA396" i="1"/>
  <c r="Z396" i="1" s="1"/>
  <c r="W396" i="1"/>
  <c r="U396" i="1"/>
  <c r="C396" i="1"/>
  <c r="BG395" i="1"/>
  <c r="BB395" i="1"/>
  <c r="BA395" i="1"/>
  <c r="AZ395" i="1"/>
  <c r="AW395" i="1"/>
  <c r="AU395" i="1"/>
  <c r="AR395" i="1"/>
  <c r="AQ395" i="1"/>
  <c r="AP395" i="1"/>
  <c r="AL395" i="1"/>
  <c r="AJ395" i="1"/>
  <c r="AV395" i="1" s="1"/>
  <c r="AI395" i="1"/>
  <c r="AC395" i="1"/>
  <c r="AA395" i="1"/>
  <c r="Z395" i="1"/>
  <c r="U395" i="1"/>
  <c r="W395" i="1" s="1"/>
  <c r="C395" i="1"/>
  <c r="BA394" i="1"/>
  <c r="AZ394" i="1"/>
  <c r="AW394" i="1"/>
  <c r="AU394" i="1"/>
  <c r="BC394" i="1" s="1"/>
  <c r="AR394" i="1"/>
  <c r="BB394" i="1" s="1"/>
  <c r="AQ394" i="1"/>
  <c r="AP394" i="1"/>
  <c r="AJ394" i="1"/>
  <c r="AV394" i="1" s="1"/>
  <c r="AI394" i="1"/>
  <c r="AC394" i="1"/>
  <c r="AA394" i="1"/>
  <c r="Z394" i="1"/>
  <c r="U394" i="1"/>
  <c r="W394" i="1" s="1"/>
  <c r="C394" i="1"/>
  <c r="BA393" i="1"/>
  <c r="AZ393" i="1"/>
  <c r="AU393" i="1"/>
  <c r="BC393" i="1" s="1"/>
  <c r="AR393" i="1"/>
  <c r="BB393" i="1" s="1"/>
  <c r="AQ393" i="1"/>
  <c r="AP393" i="1"/>
  <c r="AJ393" i="1"/>
  <c r="AV393" i="1" s="1"/>
  <c r="AI393" i="1"/>
  <c r="AW393" i="1" s="1"/>
  <c r="AC393" i="1"/>
  <c r="BG393" i="1" s="1"/>
  <c r="AA393" i="1"/>
  <c r="Z393" i="1"/>
  <c r="W393" i="1"/>
  <c r="U393" i="1"/>
  <c r="C393" i="1"/>
  <c r="BG392" i="1"/>
  <c r="BB392" i="1"/>
  <c r="BD392" i="1" s="1"/>
  <c r="AX392" i="1" s="1"/>
  <c r="BA392" i="1"/>
  <c r="AZ392" i="1"/>
  <c r="AU392" i="1"/>
  <c r="BC392" i="1" s="1"/>
  <c r="AR392" i="1"/>
  <c r="AQ392" i="1"/>
  <c r="AP392" i="1"/>
  <c r="AL392" i="1"/>
  <c r="AJ392" i="1"/>
  <c r="AV392" i="1" s="1"/>
  <c r="AI392" i="1"/>
  <c r="AW392" i="1" s="1"/>
  <c r="AC392" i="1"/>
  <c r="AA392" i="1"/>
  <c r="Z392" i="1" s="1"/>
  <c r="W392" i="1"/>
  <c r="U392" i="1"/>
  <c r="C392" i="1"/>
  <c r="BG391" i="1"/>
  <c r="BB391" i="1"/>
  <c r="BA391" i="1"/>
  <c r="AZ391" i="1"/>
  <c r="AW391" i="1"/>
  <c r="AU391" i="1"/>
  <c r="AR391" i="1"/>
  <c r="AQ391" i="1"/>
  <c r="AP391" i="1"/>
  <c r="AL391" i="1"/>
  <c r="AJ391" i="1"/>
  <c r="AV391" i="1" s="1"/>
  <c r="AI391" i="1"/>
  <c r="AC391" i="1"/>
  <c r="AA391" i="1"/>
  <c r="Z391" i="1"/>
  <c r="U391" i="1"/>
  <c r="W391" i="1" s="1"/>
  <c r="C391" i="1"/>
  <c r="BA390" i="1"/>
  <c r="AZ390" i="1"/>
  <c r="AW390" i="1"/>
  <c r="AU390" i="1"/>
  <c r="AR390" i="1"/>
  <c r="BB390" i="1" s="1"/>
  <c r="AQ390" i="1"/>
  <c r="AP390" i="1"/>
  <c r="AJ390" i="1"/>
  <c r="AV390" i="1" s="1"/>
  <c r="AI390" i="1"/>
  <c r="AC390" i="1"/>
  <c r="AA390" i="1"/>
  <c r="Z390" i="1"/>
  <c r="U390" i="1"/>
  <c r="W390" i="1" s="1"/>
  <c r="C390" i="1"/>
  <c r="BA389" i="1"/>
  <c r="AZ389" i="1"/>
  <c r="AU389" i="1"/>
  <c r="AR389" i="1"/>
  <c r="BB389" i="1" s="1"/>
  <c r="AQ389" i="1"/>
  <c r="AP389" i="1"/>
  <c r="AJ389" i="1"/>
  <c r="AV389" i="1" s="1"/>
  <c r="AI389" i="1"/>
  <c r="AW389" i="1" s="1"/>
  <c r="AC389" i="1"/>
  <c r="BG389" i="1" s="1"/>
  <c r="AA389" i="1"/>
  <c r="Z389" i="1"/>
  <c r="W389" i="1"/>
  <c r="U389" i="1"/>
  <c r="C389" i="1"/>
  <c r="BG388" i="1"/>
  <c r="BB388" i="1"/>
  <c r="BA388" i="1"/>
  <c r="AZ388" i="1"/>
  <c r="AU388" i="1"/>
  <c r="AR388" i="1"/>
  <c r="AQ388" i="1"/>
  <c r="AP388" i="1"/>
  <c r="AL388" i="1"/>
  <c r="AJ388" i="1"/>
  <c r="AV388" i="1" s="1"/>
  <c r="AI388" i="1"/>
  <c r="AW388" i="1" s="1"/>
  <c r="AC388" i="1"/>
  <c r="AA388" i="1"/>
  <c r="Z388" i="1" s="1"/>
  <c r="W388" i="1"/>
  <c r="U388" i="1"/>
  <c r="C388" i="1"/>
  <c r="BG387" i="1"/>
  <c r="BB387" i="1"/>
  <c r="BA387" i="1"/>
  <c r="AZ387" i="1"/>
  <c r="AW387" i="1"/>
  <c r="AU387" i="1"/>
  <c r="AR387" i="1"/>
  <c r="AQ387" i="1"/>
  <c r="AP387" i="1"/>
  <c r="AL387" i="1"/>
  <c r="AJ387" i="1"/>
  <c r="AV387" i="1" s="1"/>
  <c r="AI387" i="1"/>
  <c r="AC387" i="1"/>
  <c r="AA387" i="1"/>
  <c r="Z387" i="1"/>
  <c r="U387" i="1"/>
  <c r="W387" i="1" s="1"/>
  <c r="C387" i="1"/>
  <c r="BA386" i="1"/>
  <c r="AZ386" i="1"/>
  <c r="AW386" i="1"/>
  <c r="AU386" i="1"/>
  <c r="AR386" i="1"/>
  <c r="BB386" i="1" s="1"/>
  <c r="AQ386" i="1"/>
  <c r="AP386" i="1"/>
  <c r="AJ386" i="1"/>
  <c r="AV386" i="1" s="1"/>
  <c r="AI386" i="1"/>
  <c r="AC386" i="1"/>
  <c r="AA386" i="1"/>
  <c r="Z386" i="1"/>
  <c r="U386" i="1"/>
  <c r="W386" i="1" s="1"/>
  <c r="C386" i="1"/>
  <c r="BA385" i="1"/>
  <c r="AZ385" i="1"/>
  <c r="AU385" i="1"/>
  <c r="BC385" i="1" s="1"/>
  <c r="AR385" i="1"/>
  <c r="BB385" i="1" s="1"/>
  <c r="AQ385" i="1"/>
  <c r="AP385" i="1"/>
  <c r="AJ385" i="1"/>
  <c r="AV385" i="1" s="1"/>
  <c r="AI385" i="1"/>
  <c r="AW385" i="1" s="1"/>
  <c r="AC385" i="1"/>
  <c r="BG385" i="1" s="1"/>
  <c r="AA385" i="1"/>
  <c r="Z385" i="1"/>
  <c r="W385" i="1"/>
  <c r="U385" i="1"/>
  <c r="C385" i="1"/>
  <c r="BG384" i="1"/>
  <c r="BB384" i="1"/>
  <c r="BA384" i="1"/>
  <c r="AZ384" i="1"/>
  <c r="AU384" i="1"/>
  <c r="BC384" i="1" s="1"/>
  <c r="AR384" i="1"/>
  <c r="AQ384" i="1"/>
  <c r="AP384" i="1"/>
  <c r="AL384" i="1"/>
  <c r="AJ384" i="1"/>
  <c r="AV384" i="1" s="1"/>
  <c r="AI384" i="1"/>
  <c r="AW384" i="1" s="1"/>
  <c r="AC384" i="1"/>
  <c r="AA384" i="1"/>
  <c r="Z384" i="1" s="1"/>
  <c r="W384" i="1"/>
  <c r="U384" i="1"/>
  <c r="C384" i="1"/>
  <c r="BG383" i="1"/>
  <c r="BB383" i="1"/>
  <c r="BA383" i="1"/>
  <c r="AZ383" i="1"/>
  <c r="AW383" i="1"/>
  <c r="AU383" i="1"/>
  <c r="AR383" i="1"/>
  <c r="AQ383" i="1"/>
  <c r="AP383" i="1"/>
  <c r="AL383" i="1"/>
  <c r="AJ383" i="1"/>
  <c r="AV383" i="1" s="1"/>
  <c r="AI383" i="1"/>
  <c r="AC383" i="1"/>
  <c r="AA383" i="1"/>
  <c r="Z383" i="1"/>
  <c r="U383" i="1"/>
  <c r="W383" i="1" s="1"/>
  <c r="C383" i="1"/>
  <c r="BA382" i="1"/>
  <c r="AZ382" i="1"/>
  <c r="AW382" i="1"/>
  <c r="AU382" i="1"/>
  <c r="AR382" i="1"/>
  <c r="BB382" i="1" s="1"/>
  <c r="AQ382" i="1"/>
  <c r="AP382" i="1"/>
  <c r="AJ382" i="1"/>
  <c r="AV382" i="1" s="1"/>
  <c r="AI382" i="1"/>
  <c r="AC382" i="1"/>
  <c r="AA382" i="1"/>
  <c r="Z382" i="1"/>
  <c r="U382" i="1"/>
  <c r="W382" i="1" s="1"/>
  <c r="C382" i="1"/>
  <c r="BA381" i="1"/>
  <c r="AZ381" i="1"/>
  <c r="AU381" i="1"/>
  <c r="AR381" i="1"/>
  <c r="BB381" i="1" s="1"/>
  <c r="AQ381" i="1"/>
  <c r="AP381" i="1"/>
  <c r="AJ381" i="1"/>
  <c r="AV381" i="1" s="1"/>
  <c r="AI381" i="1"/>
  <c r="AW381" i="1" s="1"/>
  <c r="AC381" i="1"/>
  <c r="BG381" i="1" s="1"/>
  <c r="AA381" i="1"/>
  <c r="Z381" i="1" s="1"/>
  <c r="W381" i="1"/>
  <c r="U381" i="1"/>
  <c r="C381" i="1"/>
  <c r="BG380" i="1"/>
  <c r="BB380" i="1"/>
  <c r="BA380" i="1"/>
  <c r="AZ380" i="1"/>
  <c r="AU380" i="1"/>
  <c r="AR380" i="1"/>
  <c r="AQ380" i="1"/>
  <c r="AP380" i="1"/>
  <c r="AL380" i="1"/>
  <c r="AJ380" i="1"/>
  <c r="AV380" i="1" s="1"/>
  <c r="AI380" i="1"/>
  <c r="AW380" i="1" s="1"/>
  <c r="AC380" i="1"/>
  <c r="AA380" i="1"/>
  <c r="Z380" i="1" s="1"/>
  <c r="W380" i="1"/>
  <c r="U380" i="1"/>
  <c r="C380" i="1"/>
  <c r="BG379" i="1"/>
  <c r="BB379" i="1"/>
  <c r="BA379" i="1"/>
  <c r="AZ379" i="1"/>
  <c r="AW379" i="1"/>
  <c r="AU379" i="1"/>
  <c r="AR379" i="1"/>
  <c r="AQ379" i="1"/>
  <c r="AP379" i="1"/>
  <c r="AL379" i="1"/>
  <c r="AJ379" i="1"/>
  <c r="AV379" i="1" s="1"/>
  <c r="AI379" i="1"/>
  <c r="AC379" i="1"/>
  <c r="AA379" i="1"/>
  <c r="Z379" i="1"/>
  <c r="U379" i="1"/>
  <c r="W379" i="1" s="1"/>
  <c r="C379" i="1"/>
  <c r="BA378" i="1"/>
  <c r="AZ378" i="1"/>
  <c r="AW378" i="1"/>
  <c r="AU378" i="1"/>
  <c r="AR378" i="1"/>
  <c r="BB378" i="1" s="1"/>
  <c r="AQ378" i="1"/>
  <c r="AP378" i="1"/>
  <c r="AJ378" i="1"/>
  <c r="AV378" i="1" s="1"/>
  <c r="AI378" i="1"/>
  <c r="AC378" i="1"/>
  <c r="AA378" i="1"/>
  <c r="Z378" i="1"/>
  <c r="U378" i="1"/>
  <c r="W378" i="1" s="1"/>
  <c r="C378" i="1"/>
  <c r="BC377" i="1"/>
  <c r="BA377" i="1"/>
  <c r="AZ377" i="1"/>
  <c r="AU377" i="1"/>
  <c r="AR377" i="1"/>
  <c r="BB377" i="1" s="1"/>
  <c r="AQ377" i="1"/>
  <c r="AP377" i="1"/>
  <c r="AJ377" i="1"/>
  <c r="AV377" i="1" s="1"/>
  <c r="AI377" i="1"/>
  <c r="AW377" i="1" s="1"/>
  <c r="AC377" i="1"/>
  <c r="BG377" i="1" s="1"/>
  <c r="AA377" i="1"/>
  <c r="Z377" i="1"/>
  <c r="W377" i="1"/>
  <c r="U377" i="1"/>
  <c r="C377" i="1"/>
  <c r="BG376" i="1"/>
  <c r="BB376" i="1"/>
  <c r="BA376" i="1"/>
  <c r="AZ376" i="1"/>
  <c r="AU376" i="1"/>
  <c r="BC376" i="1" s="1"/>
  <c r="AR376" i="1"/>
  <c r="AQ376" i="1"/>
  <c r="AP376" i="1"/>
  <c r="AL376" i="1"/>
  <c r="AJ376" i="1"/>
  <c r="AV376" i="1" s="1"/>
  <c r="AI376" i="1"/>
  <c r="AW376" i="1" s="1"/>
  <c r="AC376" i="1"/>
  <c r="AA376" i="1"/>
  <c r="Z376" i="1" s="1"/>
  <c r="W376" i="1"/>
  <c r="U376" i="1"/>
  <c r="C376" i="1"/>
  <c r="BG375" i="1"/>
  <c r="BB375" i="1"/>
  <c r="BA375" i="1"/>
  <c r="AZ375" i="1"/>
  <c r="AW375" i="1"/>
  <c r="AU375" i="1"/>
  <c r="AR375" i="1"/>
  <c r="AQ375" i="1"/>
  <c r="AP375" i="1"/>
  <c r="AL375" i="1"/>
  <c r="AJ375" i="1"/>
  <c r="AV375" i="1" s="1"/>
  <c r="AI375" i="1"/>
  <c r="AC375" i="1"/>
  <c r="AA375" i="1"/>
  <c r="Z375" i="1"/>
  <c r="U375" i="1"/>
  <c r="W375" i="1" s="1"/>
  <c r="C375" i="1"/>
  <c r="BA374" i="1"/>
  <c r="AZ374" i="1"/>
  <c r="AW374" i="1"/>
  <c r="AV374" i="1"/>
  <c r="AU374" i="1"/>
  <c r="AR374" i="1"/>
  <c r="BB374" i="1" s="1"/>
  <c r="AQ374" i="1"/>
  <c r="AP374" i="1"/>
  <c r="AJ374" i="1"/>
  <c r="AI374" i="1"/>
  <c r="AC374" i="1"/>
  <c r="AA374" i="1"/>
  <c r="Z374" i="1"/>
  <c r="U374" i="1"/>
  <c r="W374" i="1" s="1"/>
  <c r="C374" i="1"/>
  <c r="BA373" i="1"/>
  <c r="AZ373" i="1"/>
  <c r="AU373" i="1"/>
  <c r="BC373" i="1" s="1"/>
  <c r="AR373" i="1"/>
  <c r="BB373" i="1" s="1"/>
  <c r="AQ373" i="1"/>
  <c r="AP373" i="1"/>
  <c r="AJ373" i="1"/>
  <c r="AV373" i="1" s="1"/>
  <c r="AI373" i="1"/>
  <c r="AW373" i="1" s="1"/>
  <c r="AC373" i="1"/>
  <c r="BG373" i="1" s="1"/>
  <c r="AA373" i="1"/>
  <c r="Z373" i="1"/>
  <c r="W373" i="1"/>
  <c r="U373" i="1"/>
  <c r="C373" i="1"/>
  <c r="BG372" i="1"/>
  <c r="BB372" i="1"/>
  <c r="BA372" i="1"/>
  <c r="AZ372" i="1"/>
  <c r="AU372" i="1"/>
  <c r="AR372" i="1"/>
  <c r="AQ372" i="1"/>
  <c r="AP372" i="1"/>
  <c r="AL372" i="1"/>
  <c r="AJ372" i="1"/>
  <c r="AV372" i="1" s="1"/>
  <c r="AI372" i="1"/>
  <c r="AW372" i="1" s="1"/>
  <c r="AC372" i="1"/>
  <c r="AA372" i="1"/>
  <c r="Z372" i="1" s="1"/>
  <c r="W372" i="1"/>
  <c r="U372" i="1"/>
  <c r="C372" i="1"/>
  <c r="BG371" i="1"/>
  <c r="BB371" i="1"/>
  <c r="BA371" i="1"/>
  <c r="AZ371" i="1"/>
  <c r="AW371" i="1"/>
  <c r="AU371" i="1"/>
  <c r="AR371" i="1"/>
  <c r="AQ371" i="1"/>
  <c r="AP371" i="1"/>
  <c r="AL371" i="1"/>
  <c r="AJ371" i="1"/>
  <c r="AV371" i="1" s="1"/>
  <c r="AI371" i="1"/>
  <c r="AC371" i="1"/>
  <c r="AA371" i="1"/>
  <c r="Z371" i="1"/>
  <c r="U371" i="1"/>
  <c r="W371" i="1" s="1"/>
  <c r="C371" i="1"/>
  <c r="BA370" i="1"/>
  <c r="AZ370" i="1"/>
  <c r="AW370" i="1"/>
  <c r="AU370" i="1"/>
  <c r="AR370" i="1"/>
  <c r="BB370" i="1" s="1"/>
  <c r="AQ370" i="1"/>
  <c r="AP370" i="1"/>
  <c r="AJ370" i="1"/>
  <c r="AV370" i="1" s="1"/>
  <c r="AI370" i="1"/>
  <c r="AC370" i="1"/>
  <c r="AA370" i="1"/>
  <c r="Z370" i="1"/>
  <c r="U370" i="1"/>
  <c r="W370" i="1" s="1"/>
  <c r="C370" i="1"/>
  <c r="BA369" i="1"/>
  <c r="AZ369" i="1"/>
  <c r="AU369" i="1"/>
  <c r="BC369" i="1" s="1"/>
  <c r="AR369" i="1"/>
  <c r="BB369" i="1" s="1"/>
  <c r="AQ369" i="1"/>
  <c r="AP369" i="1"/>
  <c r="AJ369" i="1"/>
  <c r="AV369" i="1" s="1"/>
  <c r="AI369" i="1"/>
  <c r="AW369" i="1" s="1"/>
  <c r="AC369" i="1"/>
  <c r="BG369" i="1" s="1"/>
  <c r="AA369" i="1"/>
  <c r="Z369" i="1"/>
  <c r="W369" i="1"/>
  <c r="U369" i="1"/>
  <c r="C369" i="1"/>
  <c r="BG368" i="1"/>
  <c r="BB368" i="1"/>
  <c r="BA368" i="1"/>
  <c r="AZ368" i="1"/>
  <c r="AU368" i="1"/>
  <c r="BC368" i="1" s="1"/>
  <c r="AR368" i="1"/>
  <c r="AQ368" i="1"/>
  <c r="AP368" i="1"/>
  <c r="AL368" i="1"/>
  <c r="AJ368" i="1"/>
  <c r="AV368" i="1" s="1"/>
  <c r="AI368" i="1"/>
  <c r="AW368" i="1" s="1"/>
  <c r="AC368" i="1"/>
  <c r="AA368" i="1"/>
  <c r="Z368" i="1" s="1"/>
  <c r="W368" i="1"/>
  <c r="U368" i="1"/>
  <c r="C368" i="1"/>
  <c r="BG367" i="1"/>
  <c r="BB367" i="1"/>
  <c r="BA367" i="1"/>
  <c r="AZ367" i="1"/>
  <c r="AW367" i="1"/>
  <c r="AU367" i="1"/>
  <c r="BC367" i="1" s="1"/>
  <c r="AR367" i="1"/>
  <c r="AQ367" i="1"/>
  <c r="AP367" i="1"/>
  <c r="AL367" i="1"/>
  <c r="AJ367" i="1"/>
  <c r="AV367" i="1" s="1"/>
  <c r="AI367" i="1"/>
  <c r="AC367" i="1"/>
  <c r="AA367" i="1"/>
  <c r="Z367" i="1"/>
  <c r="U367" i="1"/>
  <c r="W367" i="1" s="1"/>
  <c r="C367" i="1"/>
  <c r="BA366" i="1"/>
  <c r="AZ366" i="1"/>
  <c r="AW366" i="1"/>
  <c r="AV366" i="1"/>
  <c r="AU366" i="1"/>
  <c r="AR366" i="1"/>
  <c r="BB366" i="1" s="1"/>
  <c r="AQ366" i="1"/>
  <c r="AP366" i="1"/>
  <c r="AJ366" i="1"/>
  <c r="AI366" i="1"/>
  <c r="AC366" i="1"/>
  <c r="AA366" i="1"/>
  <c r="Z366" i="1"/>
  <c r="U366" i="1"/>
  <c r="W366" i="1" s="1"/>
  <c r="C366" i="1"/>
  <c r="BA365" i="1"/>
  <c r="AZ365" i="1"/>
  <c r="AU365" i="1"/>
  <c r="BC365" i="1" s="1"/>
  <c r="AR365" i="1"/>
  <c r="BB365" i="1" s="1"/>
  <c r="AQ365" i="1"/>
  <c r="AP365" i="1"/>
  <c r="AJ365" i="1"/>
  <c r="AV365" i="1" s="1"/>
  <c r="AI365" i="1"/>
  <c r="AW365" i="1" s="1"/>
  <c r="AC365" i="1"/>
  <c r="AA365" i="1"/>
  <c r="Z365" i="1"/>
  <c r="W365" i="1"/>
  <c r="U365" i="1"/>
  <c r="C365" i="1"/>
  <c r="BG364" i="1"/>
  <c r="BC364" i="1"/>
  <c r="BB364" i="1"/>
  <c r="BA364" i="1"/>
  <c r="AZ364" i="1"/>
  <c r="AU364" i="1"/>
  <c r="AR364" i="1"/>
  <c r="AQ364" i="1"/>
  <c r="AP364" i="1"/>
  <c r="AL364" i="1"/>
  <c r="AJ364" i="1"/>
  <c r="AV364" i="1" s="1"/>
  <c r="AI364" i="1"/>
  <c r="AW364" i="1" s="1"/>
  <c r="AC364" i="1"/>
  <c r="AA364" i="1"/>
  <c r="Z364" i="1" s="1"/>
  <c r="W364" i="1"/>
  <c r="U364" i="1"/>
  <c r="C364" i="1"/>
  <c r="BG363" i="1"/>
  <c r="BB363" i="1"/>
  <c r="BA363" i="1"/>
  <c r="AZ363" i="1"/>
  <c r="AW363" i="1"/>
  <c r="AU363" i="1"/>
  <c r="AR363" i="1"/>
  <c r="AQ363" i="1"/>
  <c r="AP363" i="1"/>
  <c r="AL363" i="1"/>
  <c r="AJ363" i="1"/>
  <c r="AV363" i="1" s="1"/>
  <c r="AI363" i="1"/>
  <c r="AC363" i="1"/>
  <c r="AA363" i="1"/>
  <c r="Z363" i="1" s="1"/>
  <c r="U363" i="1"/>
  <c r="W363" i="1" s="1"/>
  <c r="C363" i="1"/>
  <c r="BA362" i="1"/>
  <c r="AZ362" i="1"/>
  <c r="AW362" i="1"/>
  <c r="AU362" i="1"/>
  <c r="AR362" i="1"/>
  <c r="BB362" i="1" s="1"/>
  <c r="AQ362" i="1"/>
  <c r="AP362" i="1"/>
  <c r="AJ362" i="1"/>
  <c r="AV362" i="1" s="1"/>
  <c r="AI362" i="1"/>
  <c r="AC362" i="1"/>
  <c r="AA362" i="1"/>
  <c r="Z362" i="1"/>
  <c r="U362" i="1"/>
  <c r="W362" i="1" s="1"/>
  <c r="C362" i="1"/>
  <c r="BA361" i="1"/>
  <c r="AZ361" i="1"/>
  <c r="AU361" i="1"/>
  <c r="AR361" i="1"/>
  <c r="BB361" i="1" s="1"/>
  <c r="BD361" i="1" s="1"/>
  <c r="AX361" i="1" s="1"/>
  <c r="AQ361" i="1"/>
  <c r="AP361" i="1"/>
  <c r="AJ361" i="1"/>
  <c r="AV361" i="1" s="1"/>
  <c r="BC361" i="1" s="1"/>
  <c r="AI361" i="1"/>
  <c r="AW361" i="1" s="1"/>
  <c r="AC361" i="1"/>
  <c r="AA361" i="1"/>
  <c r="Z361" i="1"/>
  <c r="W361" i="1"/>
  <c r="U361" i="1"/>
  <c r="C361" i="1"/>
  <c r="BG360" i="1"/>
  <c r="BC360" i="1"/>
  <c r="BB360" i="1"/>
  <c r="BA360" i="1"/>
  <c r="AZ360" i="1"/>
  <c r="AU360" i="1"/>
  <c r="AR360" i="1"/>
  <c r="AQ360" i="1"/>
  <c r="AP360" i="1"/>
  <c r="AL360" i="1"/>
  <c r="AJ360" i="1"/>
  <c r="AV360" i="1" s="1"/>
  <c r="AI360" i="1"/>
  <c r="AW360" i="1" s="1"/>
  <c r="AC360" i="1"/>
  <c r="AA360" i="1"/>
  <c r="Z360" i="1" s="1"/>
  <c r="W360" i="1"/>
  <c r="U360" i="1"/>
  <c r="C360" i="1"/>
  <c r="BG359" i="1"/>
  <c r="BB359" i="1"/>
  <c r="BA359" i="1"/>
  <c r="AZ359" i="1"/>
  <c r="AW359" i="1"/>
  <c r="AU359" i="1"/>
  <c r="AR359" i="1"/>
  <c r="AQ359" i="1"/>
  <c r="AP359" i="1"/>
  <c r="AL359" i="1"/>
  <c r="AJ359" i="1"/>
  <c r="AV359" i="1" s="1"/>
  <c r="AI359" i="1"/>
  <c r="AC359" i="1"/>
  <c r="AA359" i="1"/>
  <c r="Z359" i="1" s="1"/>
  <c r="U359" i="1"/>
  <c r="W359" i="1" s="1"/>
  <c r="C359" i="1"/>
  <c r="BA358" i="1"/>
  <c r="AZ358" i="1"/>
  <c r="AW358" i="1"/>
  <c r="AU358" i="1"/>
  <c r="AR358" i="1"/>
  <c r="BB358" i="1" s="1"/>
  <c r="AQ358" i="1"/>
  <c r="AP358" i="1"/>
  <c r="AJ358" i="1"/>
  <c r="AV358" i="1" s="1"/>
  <c r="AI358" i="1"/>
  <c r="AC358" i="1"/>
  <c r="AA358" i="1"/>
  <c r="Z358" i="1"/>
  <c r="U358" i="1"/>
  <c r="W358" i="1" s="1"/>
  <c r="C358" i="1"/>
  <c r="BA357" i="1"/>
  <c r="AZ357" i="1"/>
  <c r="AU357" i="1"/>
  <c r="AR357" i="1"/>
  <c r="BB357" i="1" s="1"/>
  <c r="AQ357" i="1"/>
  <c r="AP357" i="1"/>
  <c r="AJ357" i="1"/>
  <c r="AV357" i="1" s="1"/>
  <c r="BC357" i="1" s="1"/>
  <c r="BD357" i="1" s="1"/>
  <c r="AX357" i="1" s="1"/>
  <c r="AI357" i="1"/>
  <c r="AW357" i="1" s="1"/>
  <c r="AC357" i="1"/>
  <c r="AA357" i="1"/>
  <c r="Z357" i="1" s="1"/>
  <c r="W357" i="1"/>
  <c r="U357" i="1"/>
  <c r="C357" i="1"/>
  <c r="BG356" i="1"/>
  <c r="BB356" i="1"/>
  <c r="BA356" i="1"/>
  <c r="AZ356" i="1"/>
  <c r="AU356" i="1"/>
  <c r="AR356" i="1"/>
  <c r="AQ356" i="1"/>
  <c r="AP356" i="1"/>
  <c r="AL356" i="1"/>
  <c r="AJ356" i="1"/>
  <c r="AV356" i="1" s="1"/>
  <c r="AI356" i="1"/>
  <c r="AW356" i="1" s="1"/>
  <c r="AC356" i="1"/>
  <c r="AA356" i="1"/>
  <c r="Z356" i="1" s="1"/>
  <c r="W356" i="1"/>
  <c r="U356" i="1"/>
  <c r="C356" i="1"/>
  <c r="BG355" i="1"/>
  <c r="BB355" i="1"/>
  <c r="BA355" i="1"/>
  <c r="AZ355" i="1"/>
  <c r="AW355" i="1"/>
  <c r="AU355" i="1"/>
  <c r="BC355" i="1" s="1"/>
  <c r="AR355" i="1"/>
  <c r="AQ355" i="1"/>
  <c r="AP355" i="1"/>
  <c r="AL355" i="1"/>
  <c r="AJ355" i="1"/>
  <c r="AV355" i="1" s="1"/>
  <c r="AI355" i="1"/>
  <c r="AC355" i="1"/>
  <c r="AA355" i="1"/>
  <c r="Z355" i="1"/>
  <c r="U355" i="1"/>
  <c r="W355" i="1" s="1"/>
  <c r="C355" i="1"/>
  <c r="BA354" i="1"/>
  <c r="AZ354" i="1"/>
  <c r="AW354" i="1"/>
  <c r="AV354" i="1"/>
  <c r="AU354" i="1"/>
  <c r="AR354" i="1"/>
  <c r="BB354" i="1" s="1"/>
  <c r="AQ354" i="1"/>
  <c r="AP354" i="1"/>
  <c r="AJ354" i="1"/>
  <c r="AI354" i="1"/>
  <c r="AC354" i="1"/>
  <c r="AA354" i="1"/>
  <c r="Z354" i="1"/>
  <c r="U354" i="1"/>
  <c r="W354" i="1" s="1"/>
  <c r="C354" i="1"/>
  <c r="BA353" i="1"/>
  <c r="AZ353" i="1"/>
  <c r="AU353" i="1"/>
  <c r="BC353" i="1" s="1"/>
  <c r="AR353" i="1"/>
  <c r="BB353" i="1" s="1"/>
  <c r="AQ353" i="1"/>
  <c r="AP353" i="1"/>
  <c r="AJ353" i="1"/>
  <c r="AV353" i="1" s="1"/>
  <c r="AI353" i="1"/>
  <c r="AW353" i="1" s="1"/>
  <c r="AC353" i="1"/>
  <c r="AA353" i="1"/>
  <c r="Z353" i="1" s="1"/>
  <c r="W353" i="1"/>
  <c r="U353" i="1"/>
  <c r="C353" i="1"/>
  <c r="BG352" i="1"/>
  <c r="BC352" i="1"/>
  <c r="BB352" i="1"/>
  <c r="BA352" i="1"/>
  <c r="AZ352" i="1"/>
  <c r="AU352" i="1"/>
  <c r="AR352" i="1"/>
  <c r="AQ352" i="1"/>
  <c r="AP352" i="1"/>
  <c r="AL352" i="1"/>
  <c r="AJ352" i="1"/>
  <c r="AV352" i="1" s="1"/>
  <c r="AI352" i="1"/>
  <c r="AW352" i="1" s="1"/>
  <c r="AC352" i="1"/>
  <c r="AA352" i="1"/>
  <c r="Z352" i="1" s="1"/>
  <c r="W352" i="1"/>
  <c r="U352" i="1"/>
  <c r="C352" i="1"/>
  <c r="BG351" i="1"/>
  <c r="BB351" i="1"/>
  <c r="BA351" i="1"/>
  <c r="AZ351" i="1"/>
  <c r="AW351" i="1"/>
  <c r="AU351" i="1"/>
  <c r="AR351" i="1"/>
  <c r="AQ351" i="1"/>
  <c r="AP351" i="1"/>
  <c r="AL351" i="1"/>
  <c r="AJ351" i="1"/>
  <c r="AV351" i="1" s="1"/>
  <c r="AI351" i="1"/>
  <c r="AC351" i="1"/>
  <c r="AA351" i="1"/>
  <c r="Z351" i="1" s="1"/>
  <c r="U351" i="1"/>
  <c r="W351" i="1" s="1"/>
  <c r="C351" i="1"/>
  <c r="BA350" i="1"/>
  <c r="AZ350" i="1"/>
  <c r="AW350" i="1"/>
  <c r="AU350" i="1"/>
  <c r="AR350" i="1"/>
  <c r="BB350" i="1" s="1"/>
  <c r="AQ350" i="1"/>
  <c r="AP350" i="1"/>
  <c r="AJ350" i="1"/>
  <c r="AV350" i="1" s="1"/>
  <c r="AI350" i="1"/>
  <c r="AC350" i="1"/>
  <c r="AA350" i="1"/>
  <c r="Z350" i="1"/>
  <c r="U350" i="1"/>
  <c r="W350" i="1" s="1"/>
  <c r="C350" i="1"/>
  <c r="BA349" i="1"/>
  <c r="AZ349" i="1"/>
  <c r="AU349" i="1"/>
  <c r="AR349" i="1"/>
  <c r="BB349" i="1" s="1"/>
  <c r="AQ349" i="1"/>
  <c r="AP349" i="1"/>
  <c r="AJ349" i="1"/>
  <c r="AV349" i="1" s="1"/>
  <c r="BC349" i="1" s="1"/>
  <c r="BD349" i="1" s="1"/>
  <c r="AX349" i="1" s="1"/>
  <c r="AI349" i="1"/>
  <c r="AW349" i="1" s="1"/>
  <c r="AC349" i="1"/>
  <c r="AA349" i="1"/>
  <c r="Z349" i="1" s="1"/>
  <c r="W349" i="1"/>
  <c r="U349" i="1"/>
  <c r="C349" i="1"/>
  <c r="BG348" i="1"/>
  <c r="BB348" i="1"/>
  <c r="BA348" i="1"/>
  <c r="AZ348" i="1"/>
  <c r="AU348" i="1"/>
  <c r="BC348" i="1" s="1"/>
  <c r="AR348" i="1"/>
  <c r="AQ348" i="1"/>
  <c r="AP348" i="1"/>
  <c r="AL348" i="1"/>
  <c r="AJ348" i="1"/>
  <c r="AV348" i="1" s="1"/>
  <c r="AI348" i="1"/>
  <c r="AW348" i="1" s="1"/>
  <c r="AC348" i="1"/>
  <c r="AA348" i="1"/>
  <c r="Z348" i="1" s="1"/>
  <c r="W348" i="1"/>
  <c r="U348" i="1"/>
  <c r="C348" i="1"/>
  <c r="BG347" i="1"/>
  <c r="BB347" i="1"/>
  <c r="BA347" i="1"/>
  <c r="AZ347" i="1"/>
  <c r="AW347" i="1"/>
  <c r="AU347" i="1"/>
  <c r="BC347" i="1" s="1"/>
  <c r="AR347" i="1"/>
  <c r="AQ347" i="1"/>
  <c r="AP347" i="1"/>
  <c r="AL347" i="1"/>
  <c r="AJ347" i="1"/>
  <c r="AV347" i="1" s="1"/>
  <c r="AI347" i="1"/>
  <c r="AC347" i="1"/>
  <c r="AA347" i="1"/>
  <c r="Z347" i="1"/>
  <c r="U347" i="1"/>
  <c r="W347" i="1" s="1"/>
  <c r="C347" i="1"/>
  <c r="BA346" i="1"/>
  <c r="AZ346" i="1"/>
  <c r="AW346" i="1"/>
  <c r="AV346" i="1"/>
  <c r="AU346" i="1"/>
  <c r="AR346" i="1"/>
  <c r="BB346" i="1" s="1"/>
  <c r="AQ346" i="1"/>
  <c r="AP346" i="1"/>
  <c r="AJ346" i="1"/>
  <c r="AI346" i="1"/>
  <c r="AC346" i="1"/>
  <c r="AA346" i="1"/>
  <c r="Z346" i="1"/>
  <c r="U346" i="1"/>
  <c r="W346" i="1" s="1"/>
  <c r="C346" i="1"/>
  <c r="BA345" i="1"/>
  <c r="AZ345" i="1"/>
  <c r="AV345" i="1"/>
  <c r="AU345" i="1"/>
  <c r="BC345" i="1" s="1"/>
  <c r="AR345" i="1"/>
  <c r="BB345" i="1" s="1"/>
  <c r="AQ345" i="1"/>
  <c r="AP345" i="1"/>
  <c r="AJ345" i="1"/>
  <c r="AI345" i="1"/>
  <c r="AW345" i="1" s="1"/>
  <c r="AC345" i="1"/>
  <c r="AA345" i="1"/>
  <c r="Z345" i="1"/>
  <c r="W345" i="1"/>
  <c r="U345" i="1"/>
  <c r="C345" i="1"/>
  <c r="BG344" i="1"/>
  <c r="BC344" i="1"/>
  <c r="BB344" i="1"/>
  <c r="BA344" i="1"/>
  <c r="AZ344" i="1"/>
  <c r="AU344" i="1"/>
  <c r="AR344" i="1"/>
  <c r="AQ344" i="1"/>
  <c r="AP344" i="1"/>
  <c r="AL344" i="1"/>
  <c r="AJ344" i="1"/>
  <c r="AV344" i="1" s="1"/>
  <c r="AI344" i="1"/>
  <c r="AW344" i="1" s="1"/>
  <c r="AC344" i="1"/>
  <c r="AA344" i="1"/>
  <c r="Z344" i="1" s="1"/>
  <c r="W344" i="1"/>
  <c r="U344" i="1"/>
  <c r="C344" i="1"/>
  <c r="BG343" i="1"/>
  <c r="BB343" i="1"/>
  <c r="BA343" i="1"/>
  <c r="AZ343" i="1"/>
  <c r="AW343" i="1"/>
  <c r="AU343" i="1"/>
  <c r="AR343" i="1"/>
  <c r="AQ343" i="1"/>
  <c r="AP343" i="1"/>
  <c r="AL343" i="1"/>
  <c r="AJ343" i="1"/>
  <c r="AV343" i="1" s="1"/>
  <c r="AI343" i="1"/>
  <c r="AC343" i="1"/>
  <c r="AA343" i="1"/>
  <c r="Z343" i="1" s="1"/>
  <c r="U343" i="1"/>
  <c r="W343" i="1" s="1"/>
  <c r="C343" i="1"/>
  <c r="BA342" i="1"/>
  <c r="AZ342" i="1"/>
  <c r="AW342" i="1"/>
  <c r="AU342" i="1"/>
  <c r="AR342" i="1"/>
  <c r="BB342" i="1" s="1"/>
  <c r="AQ342" i="1"/>
  <c r="AP342" i="1"/>
  <c r="AJ342" i="1"/>
  <c r="AV342" i="1" s="1"/>
  <c r="AI342" i="1"/>
  <c r="AC342" i="1"/>
  <c r="AA342" i="1"/>
  <c r="Z342" i="1"/>
  <c r="U342" i="1"/>
  <c r="W342" i="1" s="1"/>
  <c r="C342" i="1"/>
  <c r="BA341" i="1"/>
  <c r="AZ341" i="1"/>
  <c r="AU341" i="1"/>
  <c r="AR341" i="1"/>
  <c r="BB341" i="1" s="1"/>
  <c r="AQ341" i="1"/>
  <c r="AP341" i="1"/>
  <c r="AJ341" i="1"/>
  <c r="AV341" i="1" s="1"/>
  <c r="AI341" i="1"/>
  <c r="AW341" i="1" s="1"/>
  <c r="AC341" i="1"/>
  <c r="AA341" i="1"/>
  <c r="Z341" i="1"/>
  <c r="W341" i="1"/>
  <c r="U341" i="1"/>
  <c r="C341" i="1"/>
  <c r="BG340" i="1"/>
  <c r="BC340" i="1"/>
  <c r="BB340" i="1"/>
  <c r="BA340" i="1"/>
  <c r="AZ340" i="1"/>
  <c r="AU340" i="1"/>
  <c r="AR340" i="1"/>
  <c r="AQ340" i="1"/>
  <c r="AP340" i="1"/>
  <c r="AL340" i="1"/>
  <c r="AJ340" i="1"/>
  <c r="AV340" i="1" s="1"/>
  <c r="AI340" i="1"/>
  <c r="AW340" i="1" s="1"/>
  <c r="AC340" i="1"/>
  <c r="AA340" i="1"/>
  <c r="Z340" i="1" s="1"/>
  <c r="W340" i="1"/>
  <c r="U340" i="1"/>
  <c r="C340" i="1"/>
  <c r="BG339" i="1"/>
  <c r="BB339" i="1"/>
  <c r="BA339" i="1"/>
  <c r="AZ339" i="1"/>
  <c r="AW339" i="1"/>
  <c r="AU339" i="1"/>
  <c r="AR339" i="1"/>
  <c r="AQ339" i="1"/>
  <c r="AP339" i="1"/>
  <c r="AL339" i="1"/>
  <c r="AJ339" i="1"/>
  <c r="AV339" i="1" s="1"/>
  <c r="AI339" i="1"/>
  <c r="AC339" i="1"/>
  <c r="AA339" i="1"/>
  <c r="Z339" i="1" s="1"/>
  <c r="U339" i="1"/>
  <c r="W339" i="1" s="1"/>
  <c r="C339" i="1"/>
  <c r="BA338" i="1"/>
  <c r="AZ338" i="1"/>
  <c r="AW338" i="1"/>
  <c r="AU338" i="1"/>
  <c r="AR338" i="1"/>
  <c r="BB338" i="1" s="1"/>
  <c r="AQ338" i="1"/>
  <c r="AP338" i="1"/>
  <c r="AJ338" i="1"/>
  <c r="AV338" i="1" s="1"/>
  <c r="AI338" i="1"/>
  <c r="AC338" i="1"/>
  <c r="AA338" i="1"/>
  <c r="Z338" i="1"/>
  <c r="U338" i="1"/>
  <c r="W338" i="1" s="1"/>
  <c r="C338" i="1"/>
  <c r="BA337" i="1"/>
  <c r="AZ337" i="1"/>
  <c r="AU337" i="1"/>
  <c r="AR337" i="1"/>
  <c r="BB337" i="1" s="1"/>
  <c r="AQ337" i="1"/>
  <c r="AP337" i="1"/>
  <c r="AJ337" i="1"/>
  <c r="AV337" i="1" s="1"/>
  <c r="BC337" i="1" s="1"/>
  <c r="BD337" i="1" s="1"/>
  <c r="AX337" i="1" s="1"/>
  <c r="AI337" i="1"/>
  <c r="AW337" i="1" s="1"/>
  <c r="AC337" i="1"/>
  <c r="AA337" i="1"/>
  <c r="Z337" i="1"/>
  <c r="W337" i="1"/>
  <c r="U337" i="1"/>
  <c r="C337" i="1"/>
  <c r="BG336" i="1"/>
  <c r="BB336" i="1"/>
  <c r="BA336" i="1"/>
  <c r="AZ336" i="1"/>
  <c r="AU336" i="1"/>
  <c r="BC336" i="1" s="1"/>
  <c r="AR336" i="1"/>
  <c r="AQ336" i="1"/>
  <c r="AP336" i="1"/>
  <c r="AL336" i="1"/>
  <c r="AJ336" i="1"/>
  <c r="AV336" i="1" s="1"/>
  <c r="AI336" i="1"/>
  <c r="AW336" i="1" s="1"/>
  <c r="AC336" i="1"/>
  <c r="AA336" i="1"/>
  <c r="Z336" i="1" s="1"/>
  <c r="W336" i="1"/>
  <c r="U336" i="1"/>
  <c r="C336" i="1"/>
  <c r="BG335" i="1"/>
  <c r="BB335" i="1"/>
  <c r="BA335" i="1"/>
  <c r="AZ335" i="1"/>
  <c r="AW335" i="1"/>
  <c r="AU335" i="1"/>
  <c r="AR335" i="1"/>
  <c r="AQ335" i="1"/>
  <c r="AP335" i="1"/>
  <c r="AL335" i="1"/>
  <c r="AJ335" i="1"/>
  <c r="AV335" i="1" s="1"/>
  <c r="AI335" i="1"/>
  <c r="AC335" i="1"/>
  <c r="AA335" i="1"/>
  <c r="Z335" i="1"/>
  <c r="U335" i="1"/>
  <c r="W335" i="1" s="1"/>
  <c r="C335" i="1"/>
  <c r="BA334" i="1"/>
  <c r="AZ334" i="1"/>
  <c r="AW334" i="1"/>
  <c r="AV334" i="1"/>
  <c r="AU334" i="1"/>
  <c r="AR334" i="1"/>
  <c r="BB334" i="1" s="1"/>
  <c r="AQ334" i="1"/>
  <c r="AP334" i="1"/>
  <c r="AJ334" i="1"/>
  <c r="AI334" i="1"/>
  <c r="AC334" i="1"/>
  <c r="AA334" i="1"/>
  <c r="Z334" i="1"/>
  <c r="U334" i="1"/>
  <c r="W334" i="1" s="1"/>
  <c r="C334" i="1"/>
  <c r="BA333" i="1"/>
  <c r="AZ333" i="1"/>
  <c r="AV333" i="1"/>
  <c r="BC333" i="1" s="1"/>
  <c r="BD333" i="1" s="1"/>
  <c r="AX333" i="1" s="1"/>
  <c r="AU333" i="1"/>
  <c r="AR333" i="1"/>
  <c r="BB333" i="1" s="1"/>
  <c r="AQ333" i="1"/>
  <c r="AP333" i="1"/>
  <c r="AJ333" i="1"/>
  <c r="AI333" i="1"/>
  <c r="AW333" i="1" s="1"/>
  <c r="AC333" i="1"/>
  <c r="AA333" i="1"/>
  <c r="Z333" i="1"/>
  <c r="U333" i="1"/>
  <c r="W333" i="1" s="1"/>
  <c r="C333" i="1"/>
  <c r="BB332" i="1"/>
  <c r="BA332" i="1"/>
  <c r="AZ332" i="1"/>
  <c r="AU332" i="1"/>
  <c r="BC332" i="1" s="1"/>
  <c r="AR332" i="1"/>
  <c r="AQ332" i="1"/>
  <c r="AP332" i="1"/>
  <c r="AJ332" i="1"/>
  <c r="AV332" i="1" s="1"/>
  <c r="AI332" i="1"/>
  <c r="AW332" i="1" s="1"/>
  <c r="AC332" i="1"/>
  <c r="AA332" i="1"/>
  <c r="Z332" i="1" s="1"/>
  <c r="W332" i="1"/>
  <c r="U332" i="1"/>
  <c r="C332" i="1"/>
  <c r="BG331" i="1"/>
  <c r="BB331" i="1"/>
  <c r="BA331" i="1"/>
  <c r="AZ331" i="1"/>
  <c r="AU331" i="1"/>
  <c r="AR331" i="1"/>
  <c r="AQ331" i="1"/>
  <c r="AP331" i="1"/>
  <c r="AL331" i="1"/>
  <c r="AJ331" i="1"/>
  <c r="AV331" i="1" s="1"/>
  <c r="AI331" i="1"/>
  <c r="AW331" i="1" s="1"/>
  <c r="BC331" i="1" s="1"/>
  <c r="AC331" i="1"/>
  <c r="AA331" i="1"/>
  <c r="Z331" i="1" s="1"/>
  <c r="W331" i="1"/>
  <c r="U331" i="1"/>
  <c r="C331" i="1"/>
  <c r="BG330" i="1"/>
  <c r="BB330" i="1"/>
  <c r="BD330" i="1" s="1"/>
  <c r="AX330" i="1" s="1"/>
  <c r="BA330" i="1"/>
  <c r="AZ330" i="1"/>
  <c r="AW330" i="1"/>
  <c r="AU330" i="1"/>
  <c r="BC330" i="1" s="1"/>
  <c r="AR330" i="1"/>
  <c r="AQ330" i="1"/>
  <c r="AP330" i="1"/>
  <c r="AL330" i="1"/>
  <c r="AJ330" i="1"/>
  <c r="AV330" i="1" s="1"/>
  <c r="AI330" i="1"/>
  <c r="AC330" i="1"/>
  <c r="AA330" i="1"/>
  <c r="Z330" i="1" s="1"/>
  <c r="U330" i="1"/>
  <c r="W330" i="1" s="1"/>
  <c r="C330" i="1"/>
  <c r="BA329" i="1"/>
  <c r="AZ329" i="1"/>
  <c r="AW329" i="1"/>
  <c r="AU329" i="1"/>
  <c r="AR329" i="1"/>
  <c r="BB329" i="1" s="1"/>
  <c r="AQ329" i="1"/>
  <c r="AP329" i="1"/>
  <c r="AJ329" i="1"/>
  <c r="AV329" i="1" s="1"/>
  <c r="AI329" i="1"/>
  <c r="AC329" i="1"/>
  <c r="BG329" i="1" s="1"/>
  <c r="AA329" i="1"/>
  <c r="Z329" i="1"/>
  <c r="U329" i="1"/>
  <c r="W329" i="1" s="1"/>
  <c r="C329" i="1"/>
  <c r="BA328" i="1"/>
  <c r="AZ328" i="1"/>
  <c r="AV328" i="1"/>
  <c r="AU328" i="1"/>
  <c r="AR328" i="1"/>
  <c r="BB328" i="1" s="1"/>
  <c r="AQ328" i="1"/>
  <c r="AP328" i="1"/>
  <c r="AJ328" i="1"/>
  <c r="AI328" i="1"/>
  <c r="AW328" i="1" s="1"/>
  <c r="AC328" i="1"/>
  <c r="AA328" i="1"/>
  <c r="Z328" i="1" s="1"/>
  <c r="W328" i="1"/>
  <c r="U328" i="1"/>
  <c r="C328" i="1"/>
  <c r="BG327" i="1"/>
  <c r="BC327" i="1"/>
  <c r="BB327" i="1"/>
  <c r="BA327" i="1"/>
  <c r="AZ327" i="1"/>
  <c r="AU327" i="1"/>
  <c r="AR327" i="1"/>
  <c r="AQ327" i="1"/>
  <c r="AP327" i="1"/>
  <c r="AL327" i="1"/>
  <c r="AJ327" i="1"/>
  <c r="AV327" i="1" s="1"/>
  <c r="AI327" i="1"/>
  <c r="AW327" i="1" s="1"/>
  <c r="AC327" i="1"/>
  <c r="AA327" i="1"/>
  <c r="Z327" i="1" s="1"/>
  <c r="W327" i="1"/>
  <c r="U327" i="1"/>
  <c r="C327" i="1"/>
  <c r="BG326" i="1"/>
  <c r="BB326" i="1"/>
  <c r="BD326" i="1" s="1"/>
  <c r="AX326" i="1" s="1"/>
  <c r="BA326" i="1"/>
  <c r="AZ326" i="1"/>
  <c r="AW326" i="1"/>
  <c r="AU326" i="1"/>
  <c r="BC326" i="1" s="1"/>
  <c r="AR326" i="1"/>
  <c r="AQ326" i="1"/>
  <c r="AP326" i="1"/>
  <c r="AL326" i="1"/>
  <c r="AJ326" i="1"/>
  <c r="AV326" i="1" s="1"/>
  <c r="AI326" i="1"/>
  <c r="AC326" i="1"/>
  <c r="AA326" i="1"/>
  <c r="Z326" i="1" s="1"/>
  <c r="V326" i="1"/>
  <c r="U326" i="1"/>
  <c r="W326" i="1" s="1"/>
  <c r="C326" i="1"/>
  <c r="BA325" i="1"/>
  <c r="AZ325" i="1"/>
  <c r="AW325" i="1"/>
  <c r="AU325" i="1"/>
  <c r="AR325" i="1"/>
  <c r="BB325" i="1" s="1"/>
  <c r="AQ325" i="1"/>
  <c r="AP325" i="1"/>
  <c r="AJ325" i="1"/>
  <c r="AV325" i="1" s="1"/>
  <c r="AI325" i="1"/>
  <c r="AC325" i="1"/>
  <c r="BG325" i="1" s="1"/>
  <c r="AA325" i="1"/>
  <c r="Z325" i="1"/>
  <c r="U325" i="1"/>
  <c r="W325" i="1" s="1"/>
  <c r="C325" i="1"/>
  <c r="BA324" i="1"/>
  <c r="AZ324" i="1"/>
  <c r="AV324" i="1"/>
  <c r="AU324" i="1"/>
  <c r="AR324" i="1"/>
  <c r="BB324" i="1" s="1"/>
  <c r="AQ324" i="1"/>
  <c r="AP324" i="1"/>
  <c r="AJ324" i="1"/>
  <c r="AI324" i="1"/>
  <c r="AW324" i="1" s="1"/>
  <c r="AC324" i="1"/>
  <c r="AA324" i="1"/>
  <c r="Z324" i="1" s="1"/>
  <c r="W324" i="1"/>
  <c r="U324" i="1"/>
  <c r="C324" i="1"/>
  <c r="BG323" i="1"/>
  <c r="BB323" i="1"/>
  <c r="BA323" i="1"/>
  <c r="AZ323" i="1"/>
  <c r="AU323" i="1"/>
  <c r="AR323" i="1"/>
  <c r="AQ323" i="1"/>
  <c r="AP323" i="1"/>
  <c r="AL323" i="1"/>
  <c r="AJ323" i="1"/>
  <c r="AV323" i="1" s="1"/>
  <c r="AI323" i="1"/>
  <c r="AW323" i="1" s="1"/>
  <c r="BC323" i="1" s="1"/>
  <c r="AC323" i="1"/>
  <c r="AA323" i="1"/>
  <c r="Z323" i="1" s="1"/>
  <c r="W323" i="1"/>
  <c r="U323" i="1"/>
  <c r="C323" i="1"/>
  <c r="BG322" i="1"/>
  <c r="BB322" i="1"/>
  <c r="BD322" i="1" s="1"/>
  <c r="AX322" i="1" s="1"/>
  <c r="BA322" i="1"/>
  <c r="AZ322" i="1"/>
  <c r="AW322" i="1"/>
  <c r="AU322" i="1"/>
  <c r="BC322" i="1" s="1"/>
  <c r="AR322" i="1"/>
  <c r="AQ322" i="1"/>
  <c r="AP322" i="1"/>
  <c r="AL322" i="1"/>
  <c r="AJ322" i="1"/>
  <c r="AV322" i="1" s="1"/>
  <c r="AI322" i="1"/>
  <c r="AC322" i="1"/>
  <c r="AA322" i="1"/>
  <c r="Z322" i="1" s="1"/>
  <c r="U322" i="1"/>
  <c r="W322" i="1" s="1"/>
  <c r="C322" i="1"/>
  <c r="BA321" i="1"/>
  <c r="AZ321" i="1"/>
  <c r="AW321" i="1"/>
  <c r="AU321" i="1"/>
  <c r="AR321" i="1"/>
  <c r="BB321" i="1" s="1"/>
  <c r="AQ321" i="1"/>
  <c r="AP321" i="1"/>
  <c r="AJ321" i="1"/>
  <c r="AV321" i="1" s="1"/>
  <c r="AI321" i="1"/>
  <c r="AC321" i="1"/>
  <c r="BG321" i="1" s="1"/>
  <c r="AA321" i="1"/>
  <c r="Z321" i="1"/>
  <c r="U321" i="1"/>
  <c r="W321" i="1" s="1"/>
  <c r="C321" i="1"/>
  <c r="BA320" i="1"/>
  <c r="AZ320" i="1"/>
  <c r="AV320" i="1"/>
  <c r="AU320" i="1"/>
  <c r="AR320" i="1"/>
  <c r="BB320" i="1" s="1"/>
  <c r="AQ320" i="1"/>
  <c r="AP320" i="1"/>
  <c r="AJ320" i="1"/>
  <c r="AI320" i="1"/>
  <c r="AW320" i="1" s="1"/>
  <c r="AC320" i="1"/>
  <c r="AA320" i="1"/>
  <c r="Z320" i="1" s="1"/>
  <c r="W320" i="1"/>
  <c r="U320" i="1"/>
  <c r="C320" i="1"/>
  <c r="BG319" i="1"/>
  <c r="BC319" i="1"/>
  <c r="BB319" i="1"/>
  <c r="BA319" i="1"/>
  <c r="AZ319" i="1"/>
  <c r="AU319" i="1"/>
  <c r="AR319" i="1"/>
  <c r="AQ319" i="1"/>
  <c r="AP319" i="1"/>
  <c r="AL319" i="1"/>
  <c r="AJ319" i="1"/>
  <c r="AV319" i="1" s="1"/>
  <c r="AI319" i="1"/>
  <c r="AW319" i="1" s="1"/>
  <c r="AC319" i="1"/>
  <c r="AA319" i="1"/>
  <c r="Z319" i="1" s="1"/>
  <c r="W319" i="1"/>
  <c r="U319" i="1"/>
  <c r="C319" i="1"/>
  <c r="BG318" i="1"/>
  <c r="BB318" i="1"/>
  <c r="BD318" i="1" s="1"/>
  <c r="AX318" i="1" s="1"/>
  <c r="BA318" i="1"/>
  <c r="AZ318" i="1"/>
  <c r="AW318" i="1"/>
  <c r="AU318" i="1"/>
  <c r="BC318" i="1" s="1"/>
  <c r="AR318" i="1"/>
  <c r="AQ318" i="1"/>
  <c r="AP318" i="1"/>
  <c r="AL318" i="1"/>
  <c r="AJ318" i="1"/>
  <c r="AV318" i="1" s="1"/>
  <c r="AI318" i="1"/>
  <c r="AC318" i="1"/>
  <c r="AA318" i="1"/>
  <c r="Z318" i="1" s="1"/>
  <c r="V318" i="1"/>
  <c r="U318" i="1"/>
  <c r="W318" i="1" s="1"/>
  <c r="C318" i="1"/>
  <c r="BA317" i="1"/>
  <c r="AZ317" i="1"/>
  <c r="AW317" i="1"/>
  <c r="AU317" i="1"/>
  <c r="AR317" i="1"/>
  <c r="BB317" i="1" s="1"/>
  <c r="AQ317" i="1"/>
  <c r="AP317" i="1"/>
  <c r="AJ317" i="1"/>
  <c r="AV317" i="1" s="1"/>
  <c r="AI317" i="1"/>
  <c r="AC317" i="1"/>
  <c r="BG317" i="1" s="1"/>
  <c r="AA317" i="1"/>
  <c r="Z317" i="1"/>
  <c r="U317" i="1"/>
  <c r="W317" i="1" s="1"/>
  <c r="C317" i="1"/>
  <c r="BA316" i="1"/>
  <c r="AZ316" i="1"/>
  <c r="AV316" i="1"/>
  <c r="AU316" i="1"/>
  <c r="AR316" i="1"/>
  <c r="BB316" i="1" s="1"/>
  <c r="AQ316" i="1"/>
  <c r="AP316" i="1"/>
  <c r="AJ316" i="1"/>
  <c r="AI316" i="1"/>
  <c r="AW316" i="1" s="1"/>
  <c r="AC316" i="1"/>
  <c r="AA316" i="1"/>
  <c r="Z316" i="1" s="1"/>
  <c r="W316" i="1"/>
  <c r="U316" i="1"/>
  <c r="C316" i="1"/>
  <c r="BG315" i="1"/>
  <c r="BB315" i="1"/>
  <c r="BA315" i="1"/>
  <c r="AZ315" i="1"/>
  <c r="AU315" i="1"/>
  <c r="AR315" i="1"/>
  <c r="AQ315" i="1"/>
  <c r="AP315" i="1"/>
  <c r="AL315" i="1"/>
  <c r="AJ315" i="1"/>
  <c r="AV315" i="1" s="1"/>
  <c r="AI315" i="1"/>
  <c r="AW315" i="1" s="1"/>
  <c r="BC315" i="1" s="1"/>
  <c r="AC315" i="1"/>
  <c r="AA315" i="1"/>
  <c r="Z315" i="1" s="1"/>
  <c r="W315" i="1"/>
  <c r="U315" i="1"/>
  <c r="C315" i="1"/>
  <c r="BG314" i="1"/>
  <c r="BB314" i="1"/>
  <c r="BD314" i="1" s="1"/>
  <c r="AX314" i="1" s="1"/>
  <c r="BA314" i="1"/>
  <c r="AZ314" i="1"/>
  <c r="AW314" i="1"/>
  <c r="AU314" i="1"/>
  <c r="BC314" i="1" s="1"/>
  <c r="AR314" i="1"/>
  <c r="AQ314" i="1"/>
  <c r="AP314" i="1"/>
  <c r="AL314" i="1"/>
  <c r="AJ314" i="1"/>
  <c r="AV314" i="1" s="1"/>
  <c r="AI314" i="1"/>
  <c r="AC314" i="1"/>
  <c r="AA314" i="1"/>
  <c r="Z314" i="1" s="1"/>
  <c r="U314" i="1"/>
  <c r="W314" i="1" s="1"/>
  <c r="C314" i="1"/>
  <c r="BA313" i="1"/>
  <c r="AZ313" i="1"/>
  <c r="AW313" i="1"/>
  <c r="AU313" i="1"/>
  <c r="AR313" i="1"/>
  <c r="BB313" i="1" s="1"/>
  <c r="AQ313" i="1"/>
  <c r="AP313" i="1"/>
  <c r="AJ313" i="1"/>
  <c r="AV313" i="1" s="1"/>
  <c r="AI313" i="1"/>
  <c r="AC313" i="1"/>
  <c r="BG313" i="1" s="1"/>
  <c r="AA313" i="1"/>
  <c r="Z313" i="1"/>
  <c r="U313" i="1"/>
  <c r="W313" i="1" s="1"/>
  <c r="C313" i="1"/>
  <c r="BA312" i="1"/>
  <c r="AZ312" i="1"/>
  <c r="AV312" i="1"/>
  <c r="AU312" i="1"/>
  <c r="AR312" i="1"/>
  <c r="BB312" i="1" s="1"/>
  <c r="AQ312" i="1"/>
  <c r="AP312" i="1"/>
  <c r="AJ312" i="1"/>
  <c r="AI312" i="1"/>
  <c r="AW312" i="1" s="1"/>
  <c r="AC312" i="1"/>
  <c r="AA312" i="1"/>
  <c r="Z312" i="1" s="1"/>
  <c r="W312" i="1"/>
  <c r="U312" i="1"/>
  <c r="C312" i="1"/>
  <c r="BG311" i="1"/>
  <c r="BC311" i="1"/>
  <c r="BB311" i="1"/>
  <c r="BA311" i="1"/>
  <c r="AZ311" i="1"/>
  <c r="AU311" i="1"/>
  <c r="AR311" i="1"/>
  <c r="AQ311" i="1"/>
  <c r="AP311" i="1"/>
  <c r="AL311" i="1"/>
  <c r="AJ311" i="1"/>
  <c r="AV311" i="1" s="1"/>
  <c r="AI311" i="1"/>
  <c r="AW311" i="1" s="1"/>
  <c r="AC311" i="1"/>
  <c r="AA311" i="1"/>
  <c r="Z311" i="1" s="1"/>
  <c r="W311" i="1"/>
  <c r="U311" i="1"/>
  <c r="C311" i="1"/>
  <c r="BG310" i="1"/>
  <c r="BB310" i="1"/>
  <c r="BD310" i="1" s="1"/>
  <c r="AX310" i="1" s="1"/>
  <c r="BA310" i="1"/>
  <c r="AZ310" i="1"/>
  <c r="AW310" i="1"/>
  <c r="AU310" i="1"/>
  <c r="BC310" i="1" s="1"/>
  <c r="AR310" i="1"/>
  <c r="AQ310" i="1"/>
  <c r="AP310" i="1"/>
  <c r="AL310" i="1"/>
  <c r="AJ310" i="1"/>
  <c r="AV310" i="1" s="1"/>
  <c r="AI310" i="1"/>
  <c r="AC310" i="1"/>
  <c r="AA310" i="1"/>
  <c r="Z310" i="1" s="1"/>
  <c r="V310" i="1"/>
  <c r="U310" i="1"/>
  <c r="W310" i="1" s="1"/>
  <c r="C310" i="1"/>
  <c r="BA309" i="1"/>
  <c r="AZ309" i="1"/>
  <c r="AW309" i="1"/>
  <c r="AU309" i="1"/>
  <c r="AR309" i="1"/>
  <c r="BB309" i="1" s="1"/>
  <c r="AQ309" i="1"/>
  <c r="AP309" i="1"/>
  <c r="AJ309" i="1"/>
  <c r="AV309" i="1" s="1"/>
  <c r="AI309" i="1"/>
  <c r="AC309" i="1"/>
  <c r="BG309" i="1" s="1"/>
  <c r="AA309" i="1"/>
  <c r="Z309" i="1"/>
  <c r="U309" i="1"/>
  <c r="W309" i="1" s="1"/>
  <c r="C309" i="1"/>
  <c r="BA308" i="1"/>
  <c r="AZ308" i="1"/>
  <c r="AV308" i="1"/>
  <c r="AU308" i="1"/>
  <c r="AR308" i="1"/>
  <c r="BB308" i="1" s="1"/>
  <c r="AQ308" i="1"/>
  <c r="AP308" i="1"/>
  <c r="AJ308" i="1"/>
  <c r="AI308" i="1"/>
  <c r="AW308" i="1" s="1"/>
  <c r="AC308" i="1"/>
  <c r="AA308" i="1"/>
  <c r="Z308" i="1" s="1"/>
  <c r="W308" i="1"/>
  <c r="U308" i="1"/>
  <c r="C308" i="1"/>
  <c r="BG307" i="1"/>
  <c r="BB307" i="1"/>
  <c r="BA307" i="1"/>
  <c r="AZ307" i="1"/>
  <c r="AU307" i="1"/>
  <c r="AR307" i="1"/>
  <c r="AQ307" i="1"/>
  <c r="AP307" i="1"/>
  <c r="AL307" i="1"/>
  <c r="AJ307" i="1"/>
  <c r="AV307" i="1" s="1"/>
  <c r="AI307" i="1"/>
  <c r="AW307" i="1" s="1"/>
  <c r="BC307" i="1" s="1"/>
  <c r="AC307" i="1"/>
  <c r="AA307" i="1"/>
  <c r="Z307" i="1" s="1"/>
  <c r="W307" i="1"/>
  <c r="U307" i="1"/>
  <c r="C307" i="1"/>
  <c r="BG306" i="1"/>
  <c r="BB306" i="1"/>
  <c r="BD306" i="1" s="1"/>
  <c r="AX306" i="1" s="1"/>
  <c r="BA306" i="1"/>
  <c r="AZ306" i="1"/>
  <c r="AW306" i="1"/>
  <c r="AU306" i="1"/>
  <c r="BC306" i="1" s="1"/>
  <c r="AR306" i="1"/>
  <c r="AQ306" i="1"/>
  <c r="AP306" i="1"/>
  <c r="AL306" i="1"/>
  <c r="AJ306" i="1"/>
  <c r="AV306" i="1" s="1"/>
  <c r="AI306" i="1"/>
  <c r="AC306" i="1"/>
  <c r="AA306" i="1"/>
  <c r="Z306" i="1" s="1"/>
  <c r="U306" i="1"/>
  <c r="W306" i="1" s="1"/>
  <c r="C306" i="1"/>
  <c r="BA305" i="1"/>
  <c r="AZ305" i="1"/>
  <c r="AW305" i="1"/>
  <c r="AU305" i="1"/>
  <c r="AR305" i="1"/>
  <c r="BB305" i="1" s="1"/>
  <c r="AQ305" i="1"/>
  <c r="AP305" i="1"/>
  <c r="AJ305" i="1"/>
  <c r="AV305" i="1" s="1"/>
  <c r="AI305" i="1"/>
  <c r="AC305" i="1"/>
  <c r="BG305" i="1" s="1"/>
  <c r="AA305" i="1"/>
  <c r="Z305" i="1"/>
  <c r="U305" i="1"/>
  <c r="W305" i="1" s="1"/>
  <c r="C305" i="1"/>
  <c r="BA304" i="1"/>
  <c r="AZ304" i="1"/>
  <c r="AV304" i="1"/>
  <c r="AU304" i="1"/>
  <c r="AR304" i="1"/>
  <c r="BB304" i="1" s="1"/>
  <c r="AQ304" i="1"/>
  <c r="AP304" i="1"/>
  <c r="AJ304" i="1"/>
  <c r="AI304" i="1"/>
  <c r="AW304" i="1" s="1"/>
  <c r="AC304" i="1"/>
  <c r="AA304" i="1"/>
  <c r="Z304" i="1" s="1"/>
  <c r="W304" i="1"/>
  <c r="U304" i="1"/>
  <c r="C304" i="1"/>
  <c r="BG303" i="1"/>
  <c r="BC303" i="1"/>
  <c r="BB303" i="1"/>
  <c r="BA303" i="1"/>
  <c r="AZ303" i="1"/>
  <c r="AU303" i="1"/>
  <c r="AR303" i="1"/>
  <c r="AQ303" i="1"/>
  <c r="AP303" i="1"/>
  <c r="AL303" i="1"/>
  <c r="AJ303" i="1"/>
  <c r="AV303" i="1" s="1"/>
  <c r="AI303" i="1"/>
  <c r="AW303" i="1" s="1"/>
  <c r="AC303" i="1"/>
  <c r="AA303" i="1"/>
  <c r="Z303" i="1" s="1"/>
  <c r="W303" i="1"/>
  <c r="U303" i="1"/>
  <c r="C303" i="1"/>
  <c r="BG302" i="1"/>
  <c r="BB302" i="1"/>
  <c r="BD302" i="1" s="1"/>
  <c r="AX302" i="1" s="1"/>
  <c r="BA302" i="1"/>
  <c r="AZ302" i="1"/>
  <c r="AW302" i="1"/>
  <c r="AU302" i="1"/>
  <c r="BC302" i="1" s="1"/>
  <c r="AR302" i="1"/>
  <c r="AQ302" i="1"/>
  <c r="AP302" i="1"/>
  <c r="AL302" i="1"/>
  <c r="AJ302" i="1"/>
  <c r="AV302" i="1" s="1"/>
  <c r="AI302" i="1"/>
  <c r="AC302" i="1"/>
  <c r="AA302" i="1"/>
  <c r="Z302" i="1" s="1"/>
  <c r="V302" i="1"/>
  <c r="U302" i="1"/>
  <c r="W302" i="1" s="1"/>
  <c r="C302" i="1"/>
  <c r="BA301" i="1"/>
  <c r="AZ301" i="1"/>
  <c r="AW301" i="1"/>
  <c r="AU301" i="1"/>
  <c r="AR301" i="1"/>
  <c r="BB301" i="1" s="1"/>
  <c r="AQ301" i="1"/>
  <c r="AP301" i="1"/>
  <c r="AJ301" i="1"/>
  <c r="AV301" i="1" s="1"/>
  <c r="AI301" i="1"/>
  <c r="AC301" i="1"/>
  <c r="BG301" i="1" s="1"/>
  <c r="AA301" i="1"/>
  <c r="Z301" i="1"/>
  <c r="U301" i="1"/>
  <c r="W301" i="1" s="1"/>
  <c r="C301" i="1"/>
  <c r="BA300" i="1"/>
  <c r="AZ300" i="1"/>
  <c r="AV300" i="1"/>
  <c r="AU300" i="1"/>
  <c r="AR300" i="1"/>
  <c r="BB300" i="1" s="1"/>
  <c r="AQ300" i="1"/>
  <c r="AP300" i="1"/>
  <c r="AJ300" i="1"/>
  <c r="AI300" i="1"/>
  <c r="AW300" i="1" s="1"/>
  <c r="AC300" i="1"/>
  <c r="AA300" i="1"/>
  <c r="Z300" i="1" s="1"/>
  <c r="W300" i="1"/>
  <c r="U300" i="1"/>
  <c r="C300" i="1"/>
  <c r="BG299" i="1"/>
  <c r="BC299" i="1"/>
  <c r="BB299" i="1"/>
  <c r="BA299" i="1"/>
  <c r="AZ299" i="1"/>
  <c r="AU299" i="1"/>
  <c r="AR299" i="1"/>
  <c r="AQ299" i="1"/>
  <c r="AP299" i="1"/>
  <c r="AL299" i="1"/>
  <c r="AJ299" i="1"/>
  <c r="AV299" i="1" s="1"/>
  <c r="AI299" i="1"/>
  <c r="AW299" i="1" s="1"/>
  <c r="AC299" i="1"/>
  <c r="AA299" i="1"/>
  <c r="Z299" i="1" s="1"/>
  <c r="W299" i="1"/>
  <c r="U299" i="1"/>
  <c r="C299" i="1"/>
  <c r="BG298" i="1"/>
  <c r="BB298" i="1"/>
  <c r="BD298" i="1" s="1"/>
  <c r="AX298" i="1" s="1"/>
  <c r="BA298" i="1"/>
  <c r="AZ298" i="1"/>
  <c r="AW298" i="1"/>
  <c r="AU298" i="1"/>
  <c r="BC298" i="1" s="1"/>
  <c r="AR298" i="1"/>
  <c r="AQ298" i="1"/>
  <c r="AP298" i="1"/>
  <c r="AL298" i="1"/>
  <c r="AJ298" i="1"/>
  <c r="AV298" i="1" s="1"/>
  <c r="AI298" i="1"/>
  <c r="AC298" i="1"/>
  <c r="AA298" i="1"/>
  <c r="Z298" i="1" s="1"/>
  <c r="U298" i="1"/>
  <c r="W298" i="1" s="1"/>
  <c r="C298" i="1"/>
  <c r="BA297" i="1"/>
  <c r="AZ297" i="1"/>
  <c r="AW297" i="1"/>
  <c r="AU297" i="1"/>
  <c r="AR297" i="1"/>
  <c r="BB297" i="1" s="1"/>
  <c r="AQ297" i="1"/>
  <c r="AP297" i="1"/>
  <c r="AJ297" i="1"/>
  <c r="AV297" i="1" s="1"/>
  <c r="AI297" i="1"/>
  <c r="AC297" i="1"/>
  <c r="BG297" i="1" s="1"/>
  <c r="AA297" i="1"/>
  <c r="Z297" i="1"/>
  <c r="U297" i="1"/>
  <c r="W297" i="1" s="1"/>
  <c r="C297" i="1"/>
  <c r="BA296" i="1"/>
  <c r="AZ296" i="1"/>
  <c r="AV296" i="1"/>
  <c r="AU296" i="1"/>
  <c r="AR296" i="1"/>
  <c r="BB296" i="1" s="1"/>
  <c r="AQ296" i="1"/>
  <c r="AP296" i="1"/>
  <c r="AJ296" i="1"/>
  <c r="AI296" i="1"/>
  <c r="AW296" i="1" s="1"/>
  <c r="AC296" i="1"/>
  <c r="AA296" i="1"/>
  <c r="Z296" i="1" s="1"/>
  <c r="W296" i="1"/>
  <c r="U296" i="1"/>
  <c r="C296" i="1"/>
  <c r="BG295" i="1"/>
  <c r="BC295" i="1"/>
  <c r="BB295" i="1"/>
  <c r="BA295" i="1"/>
  <c r="AZ295" i="1"/>
  <c r="AU295" i="1"/>
  <c r="AR295" i="1"/>
  <c r="AQ295" i="1"/>
  <c r="AP295" i="1"/>
  <c r="AL295" i="1"/>
  <c r="AJ295" i="1"/>
  <c r="AV295" i="1" s="1"/>
  <c r="AI295" i="1"/>
  <c r="AW295" i="1" s="1"/>
  <c r="AC295" i="1"/>
  <c r="AA295" i="1"/>
  <c r="Z295" i="1" s="1"/>
  <c r="W295" i="1"/>
  <c r="U295" i="1"/>
  <c r="C295" i="1"/>
  <c r="BG294" i="1"/>
  <c r="BB294" i="1"/>
  <c r="BD294" i="1" s="1"/>
  <c r="AX294" i="1" s="1"/>
  <c r="BA294" i="1"/>
  <c r="AZ294" i="1"/>
  <c r="AW294" i="1"/>
  <c r="AU294" i="1"/>
  <c r="BC294" i="1" s="1"/>
  <c r="AR294" i="1"/>
  <c r="AQ294" i="1"/>
  <c r="AP294" i="1"/>
  <c r="AL294" i="1"/>
  <c r="AJ294" i="1"/>
  <c r="AV294" i="1" s="1"/>
  <c r="AI294" i="1"/>
  <c r="AC294" i="1"/>
  <c r="AA294" i="1"/>
  <c r="Z294" i="1" s="1"/>
  <c r="V294" i="1"/>
  <c r="U294" i="1"/>
  <c r="W294" i="1" s="1"/>
  <c r="C294" i="1"/>
  <c r="BA293" i="1"/>
  <c r="AZ293" i="1"/>
  <c r="AW293" i="1"/>
  <c r="AU293" i="1"/>
  <c r="AR293" i="1"/>
  <c r="BB293" i="1" s="1"/>
  <c r="AQ293" i="1"/>
  <c r="AP293" i="1"/>
  <c r="AJ293" i="1"/>
  <c r="AV293" i="1" s="1"/>
  <c r="AI293" i="1"/>
  <c r="AC293" i="1"/>
  <c r="BG293" i="1" s="1"/>
  <c r="AA293" i="1"/>
  <c r="Z293" i="1"/>
  <c r="U293" i="1"/>
  <c r="W293" i="1" s="1"/>
  <c r="C293" i="1"/>
  <c r="BA292" i="1"/>
  <c r="AZ292" i="1"/>
  <c r="AV292" i="1"/>
  <c r="AU292" i="1"/>
  <c r="AR292" i="1"/>
  <c r="BB292" i="1" s="1"/>
  <c r="AQ292" i="1"/>
  <c r="AP292" i="1"/>
  <c r="AJ292" i="1"/>
  <c r="AI292" i="1"/>
  <c r="AW292" i="1" s="1"/>
  <c r="AC292" i="1"/>
  <c r="AA292" i="1"/>
  <c r="Z292" i="1" s="1"/>
  <c r="W292" i="1"/>
  <c r="U292" i="1"/>
  <c r="C292" i="1"/>
  <c r="BG291" i="1"/>
  <c r="BC291" i="1"/>
  <c r="BB291" i="1"/>
  <c r="BA291" i="1"/>
  <c r="AZ291" i="1"/>
  <c r="AU291" i="1"/>
  <c r="AR291" i="1"/>
  <c r="AQ291" i="1"/>
  <c r="AP291" i="1"/>
  <c r="AL291" i="1"/>
  <c r="AJ291" i="1"/>
  <c r="AV291" i="1" s="1"/>
  <c r="AI291" i="1"/>
  <c r="AW291" i="1" s="1"/>
  <c r="AC291" i="1"/>
  <c r="AA291" i="1"/>
  <c r="Z291" i="1" s="1"/>
  <c r="W291" i="1"/>
  <c r="U291" i="1"/>
  <c r="C291" i="1"/>
  <c r="BG290" i="1"/>
  <c r="BB290" i="1"/>
  <c r="BD290" i="1" s="1"/>
  <c r="AX290" i="1" s="1"/>
  <c r="BA290" i="1"/>
  <c r="AZ290" i="1"/>
  <c r="AW290" i="1"/>
  <c r="AU290" i="1"/>
  <c r="BC290" i="1" s="1"/>
  <c r="AR290" i="1"/>
  <c r="AQ290" i="1"/>
  <c r="AP290" i="1"/>
  <c r="AL290" i="1"/>
  <c r="AJ290" i="1"/>
  <c r="AV290" i="1" s="1"/>
  <c r="AI290" i="1"/>
  <c r="AC290" i="1"/>
  <c r="AA290" i="1"/>
  <c r="Z290" i="1" s="1"/>
  <c r="U290" i="1"/>
  <c r="W290" i="1" s="1"/>
  <c r="C290" i="1"/>
  <c r="BA289" i="1"/>
  <c r="AZ289" i="1"/>
  <c r="AW289" i="1"/>
  <c r="AU289" i="1"/>
  <c r="AR289" i="1"/>
  <c r="BB289" i="1" s="1"/>
  <c r="AQ289" i="1"/>
  <c r="AP289" i="1"/>
  <c r="AJ289" i="1"/>
  <c r="AV289" i="1" s="1"/>
  <c r="AI289" i="1"/>
  <c r="AC289" i="1"/>
  <c r="BG289" i="1" s="1"/>
  <c r="AA289" i="1"/>
  <c r="Z289" i="1"/>
  <c r="U289" i="1"/>
  <c r="W289" i="1" s="1"/>
  <c r="C289" i="1"/>
  <c r="BA288" i="1"/>
  <c r="AZ288" i="1"/>
  <c r="AV288" i="1"/>
  <c r="AU288" i="1"/>
  <c r="AR288" i="1"/>
  <c r="BB288" i="1" s="1"/>
  <c r="AQ288" i="1"/>
  <c r="AP288" i="1"/>
  <c r="AJ288" i="1"/>
  <c r="AI288" i="1"/>
  <c r="AW288" i="1" s="1"/>
  <c r="AC288" i="1"/>
  <c r="AA288" i="1"/>
  <c r="Z288" i="1" s="1"/>
  <c r="W288" i="1"/>
  <c r="U288" i="1"/>
  <c r="C288" i="1"/>
  <c r="BA287" i="1"/>
  <c r="AZ287" i="1"/>
  <c r="AU287" i="1"/>
  <c r="AR287" i="1"/>
  <c r="BB287" i="1" s="1"/>
  <c r="AQ287" i="1"/>
  <c r="AP287" i="1"/>
  <c r="AJ287" i="1"/>
  <c r="AV287" i="1" s="1"/>
  <c r="AI287" i="1"/>
  <c r="AW287" i="1" s="1"/>
  <c r="AC287" i="1"/>
  <c r="AA287" i="1"/>
  <c r="Z287" i="1" s="1"/>
  <c r="W287" i="1"/>
  <c r="U287" i="1"/>
  <c r="C287" i="1"/>
  <c r="BG286" i="1"/>
  <c r="BC286" i="1"/>
  <c r="BB286" i="1"/>
  <c r="BA286" i="1"/>
  <c r="AZ286" i="1"/>
  <c r="AU286" i="1"/>
  <c r="AR286" i="1"/>
  <c r="AQ286" i="1"/>
  <c r="AP286" i="1"/>
  <c r="AL286" i="1"/>
  <c r="AJ286" i="1"/>
  <c r="AV286" i="1" s="1"/>
  <c r="AI286" i="1"/>
  <c r="AW286" i="1" s="1"/>
  <c r="AC286" i="1"/>
  <c r="AA286" i="1"/>
  <c r="Z286" i="1" s="1"/>
  <c r="W286" i="1"/>
  <c r="U286" i="1"/>
  <c r="C286" i="1"/>
  <c r="BG285" i="1"/>
  <c r="BB285" i="1"/>
  <c r="BA285" i="1"/>
  <c r="AZ285" i="1"/>
  <c r="AW285" i="1"/>
  <c r="AU285" i="1"/>
  <c r="AR285" i="1"/>
  <c r="AQ285" i="1"/>
  <c r="AP285" i="1"/>
  <c r="AL285" i="1"/>
  <c r="AJ285" i="1"/>
  <c r="AV285" i="1" s="1"/>
  <c r="AI285" i="1"/>
  <c r="AC285" i="1"/>
  <c r="AA285" i="1"/>
  <c r="Z285" i="1" s="1"/>
  <c r="U285" i="1"/>
  <c r="W285" i="1" s="1"/>
  <c r="C285" i="1"/>
  <c r="BA284" i="1"/>
  <c r="AZ284" i="1"/>
  <c r="AW284" i="1"/>
  <c r="AU284" i="1"/>
  <c r="AR284" i="1"/>
  <c r="BB284" i="1" s="1"/>
  <c r="AQ284" i="1"/>
  <c r="AP284" i="1"/>
  <c r="AJ284" i="1"/>
  <c r="AV284" i="1" s="1"/>
  <c r="AI284" i="1"/>
  <c r="AC284" i="1"/>
  <c r="AA284" i="1"/>
  <c r="Z284" i="1"/>
  <c r="U284" i="1"/>
  <c r="W284" i="1" s="1"/>
  <c r="C284" i="1"/>
  <c r="BA283" i="1"/>
  <c r="AZ283" i="1"/>
  <c r="AU283" i="1"/>
  <c r="AR283" i="1"/>
  <c r="BB283" i="1" s="1"/>
  <c r="AQ283" i="1"/>
  <c r="AP283" i="1"/>
  <c r="AJ283" i="1"/>
  <c r="AV283" i="1" s="1"/>
  <c r="BC283" i="1" s="1"/>
  <c r="BD283" i="1" s="1"/>
  <c r="AX283" i="1" s="1"/>
  <c r="AI283" i="1"/>
  <c r="AW283" i="1" s="1"/>
  <c r="AC283" i="1"/>
  <c r="AA283" i="1"/>
  <c r="Z283" i="1" s="1"/>
  <c r="W283" i="1"/>
  <c r="U283" i="1"/>
  <c r="C283" i="1"/>
  <c r="BG282" i="1"/>
  <c r="BB282" i="1"/>
  <c r="BA282" i="1"/>
  <c r="AZ282" i="1"/>
  <c r="AU282" i="1"/>
  <c r="BC282" i="1" s="1"/>
  <c r="AR282" i="1"/>
  <c r="AQ282" i="1"/>
  <c r="AP282" i="1"/>
  <c r="AL282" i="1"/>
  <c r="AJ282" i="1"/>
  <c r="AV282" i="1" s="1"/>
  <c r="AI282" i="1"/>
  <c r="AW282" i="1" s="1"/>
  <c r="AC282" i="1"/>
  <c r="AA282" i="1"/>
  <c r="Z282" i="1" s="1"/>
  <c r="W282" i="1"/>
  <c r="U282" i="1"/>
  <c r="C282" i="1"/>
  <c r="BB281" i="1"/>
  <c r="BA281" i="1"/>
  <c r="AZ281" i="1"/>
  <c r="AW281" i="1"/>
  <c r="AU281" i="1"/>
  <c r="BC281" i="1" s="1"/>
  <c r="AR281" i="1"/>
  <c r="AQ281" i="1"/>
  <c r="AP281" i="1"/>
  <c r="AJ281" i="1"/>
  <c r="AV281" i="1" s="1"/>
  <c r="AI281" i="1"/>
  <c r="AC281" i="1"/>
  <c r="BG281" i="1" s="1"/>
  <c r="AA281" i="1"/>
  <c r="Z281" i="1"/>
  <c r="U281" i="1"/>
  <c r="W281" i="1" s="1"/>
  <c r="C281" i="1"/>
  <c r="BA280" i="1"/>
  <c r="AZ280" i="1"/>
  <c r="AU280" i="1"/>
  <c r="BC280" i="1" s="1"/>
  <c r="BD280" i="1" s="1"/>
  <c r="AX280" i="1" s="1"/>
  <c r="AT280" i="1" s="1"/>
  <c r="AR280" i="1"/>
  <c r="BB280" i="1" s="1"/>
  <c r="AQ280" i="1"/>
  <c r="AP280" i="1"/>
  <c r="AJ280" i="1"/>
  <c r="AV280" i="1" s="1"/>
  <c r="AI280" i="1"/>
  <c r="AW280" i="1" s="1"/>
  <c r="AC280" i="1"/>
  <c r="AA280" i="1"/>
  <c r="Z280" i="1"/>
  <c r="W280" i="1"/>
  <c r="U280" i="1"/>
  <c r="C280" i="1"/>
  <c r="BG279" i="1"/>
  <c r="BA279" i="1"/>
  <c r="AZ279" i="1"/>
  <c r="AV279" i="1"/>
  <c r="AU279" i="1"/>
  <c r="BC279" i="1" s="1"/>
  <c r="AR279" i="1"/>
  <c r="BB279" i="1" s="1"/>
  <c r="BD279" i="1" s="1"/>
  <c r="AX279" i="1" s="1"/>
  <c r="AQ279" i="1"/>
  <c r="AP279" i="1"/>
  <c r="AL279" i="1"/>
  <c r="AJ279" i="1"/>
  <c r="AI279" i="1"/>
  <c r="AW279" i="1" s="1"/>
  <c r="AC279" i="1"/>
  <c r="AA279" i="1"/>
  <c r="Z279" i="1" s="1"/>
  <c r="W279" i="1"/>
  <c r="U279" i="1"/>
  <c r="C279" i="1"/>
  <c r="BG278" i="1"/>
  <c r="BB278" i="1"/>
  <c r="BA278" i="1"/>
  <c r="AZ278" i="1"/>
  <c r="AU278" i="1"/>
  <c r="AR278" i="1"/>
  <c r="AQ278" i="1"/>
  <c r="AP278" i="1"/>
  <c r="AL278" i="1"/>
  <c r="AJ278" i="1"/>
  <c r="AV278" i="1" s="1"/>
  <c r="AI278" i="1"/>
  <c r="AW278" i="1" s="1"/>
  <c r="AC278" i="1"/>
  <c r="AA278" i="1"/>
  <c r="Z278" i="1" s="1"/>
  <c r="U278" i="1"/>
  <c r="W278" i="1" s="1"/>
  <c r="C278" i="1"/>
  <c r="BG277" i="1"/>
  <c r="BA277" i="1"/>
  <c r="AZ277" i="1"/>
  <c r="AW277" i="1"/>
  <c r="AV277" i="1"/>
  <c r="AU277" i="1"/>
  <c r="BC277" i="1" s="1"/>
  <c r="AR277" i="1"/>
  <c r="BB277" i="1" s="1"/>
  <c r="BD277" i="1" s="1"/>
  <c r="AX277" i="1" s="1"/>
  <c r="AQ277" i="1"/>
  <c r="AP277" i="1"/>
  <c r="AL277" i="1"/>
  <c r="AJ277" i="1"/>
  <c r="AI277" i="1"/>
  <c r="AC277" i="1"/>
  <c r="AA277" i="1"/>
  <c r="Z277" i="1"/>
  <c r="U277" i="1"/>
  <c r="W277" i="1" s="1"/>
  <c r="C277" i="1"/>
  <c r="BA276" i="1"/>
  <c r="AZ276" i="1"/>
  <c r="AV276" i="1"/>
  <c r="AU276" i="1"/>
  <c r="BC276" i="1" s="1"/>
  <c r="AR276" i="1"/>
  <c r="BB276" i="1" s="1"/>
  <c r="BD276" i="1" s="1"/>
  <c r="AX276" i="1" s="1"/>
  <c r="AQ276" i="1"/>
  <c r="AP276" i="1"/>
  <c r="AJ276" i="1"/>
  <c r="AI276" i="1"/>
  <c r="AW276" i="1" s="1"/>
  <c r="AC276" i="1"/>
  <c r="AA276" i="1"/>
  <c r="Z276" i="1"/>
  <c r="U276" i="1"/>
  <c r="W276" i="1" s="1"/>
  <c r="C276" i="1"/>
  <c r="BB275" i="1"/>
  <c r="BA275" i="1"/>
  <c r="AZ275" i="1"/>
  <c r="AV275" i="1"/>
  <c r="BC275" i="1" s="1"/>
  <c r="AU275" i="1"/>
  <c r="AR275" i="1"/>
  <c r="AQ275" i="1"/>
  <c r="AP275" i="1"/>
  <c r="AJ275" i="1"/>
  <c r="AI275" i="1"/>
  <c r="AW275" i="1" s="1"/>
  <c r="AC275" i="1"/>
  <c r="AA275" i="1"/>
  <c r="Z275" i="1" s="1"/>
  <c r="W275" i="1"/>
  <c r="U275" i="1"/>
  <c r="C275" i="1"/>
  <c r="BG274" i="1"/>
  <c r="BB274" i="1"/>
  <c r="BA274" i="1"/>
  <c r="AZ274" i="1"/>
  <c r="AU274" i="1"/>
  <c r="AR274" i="1"/>
  <c r="AQ274" i="1"/>
  <c r="AP274" i="1"/>
  <c r="AL274" i="1"/>
  <c r="AJ274" i="1"/>
  <c r="AV274" i="1" s="1"/>
  <c r="AI274" i="1"/>
  <c r="AW274" i="1" s="1"/>
  <c r="AC274" i="1"/>
  <c r="AA274" i="1"/>
  <c r="Z274" i="1"/>
  <c r="W274" i="1"/>
  <c r="U274" i="1"/>
  <c r="C274" i="1"/>
  <c r="BG273" i="1"/>
  <c r="BA273" i="1"/>
  <c r="AZ273" i="1"/>
  <c r="AW273" i="1"/>
  <c r="AV273" i="1"/>
  <c r="AU273" i="1"/>
  <c r="AR273" i="1"/>
  <c r="BB273" i="1" s="1"/>
  <c r="AQ273" i="1"/>
  <c r="AP273" i="1"/>
  <c r="AL273" i="1"/>
  <c r="AJ273" i="1"/>
  <c r="AI273" i="1"/>
  <c r="AC273" i="1"/>
  <c r="AA273" i="1"/>
  <c r="Z273" i="1" s="1"/>
  <c r="U273" i="1"/>
  <c r="W273" i="1" s="1"/>
  <c r="C273" i="1"/>
  <c r="BA272" i="1"/>
  <c r="AZ272" i="1"/>
  <c r="AV272" i="1"/>
  <c r="AU272" i="1"/>
  <c r="AR272" i="1"/>
  <c r="BB272" i="1" s="1"/>
  <c r="AQ272" i="1"/>
  <c r="AP272" i="1"/>
  <c r="AJ272" i="1"/>
  <c r="AI272" i="1"/>
  <c r="AW272" i="1" s="1"/>
  <c r="BC272" i="1" s="1"/>
  <c r="AC272" i="1"/>
  <c r="AA272" i="1"/>
  <c r="Z272" i="1"/>
  <c r="U272" i="1"/>
  <c r="W272" i="1" s="1"/>
  <c r="C272" i="1"/>
  <c r="BA271" i="1"/>
  <c r="AZ271" i="1"/>
  <c r="AU271" i="1"/>
  <c r="AR271" i="1"/>
  <c r="BB271" i="1" s="1"/>
  <c r="AQ271" i="1"/>
  <c r="AP271" i="1"/>
  <c r="AJ271" i="1"/>
  <c r="AV271" i="1" s="1"/>
  <c r="BC271" i="1" s="1"/>
  <c r="AI271" i="1"/>
  <c r="AW271" i="1" s="1"/>
  <c r="AC271" i="1"/>
  <c r="AA271" i="1"/>
  <c r="Z271" i="1" s="1"/>
  <c r="W271" i="1"/>
  <c r="U271" i="1"/>
  <c r="C271" i="1"/>
  <c r="BG270" i="1"/>
  <c r="BB270" i="1"/>
  <c r="BA270" i="1"/>
  <c r="AZ270" i="1"/>
  <c r="AU270" i="1"/>
  <c r="AR270" i="1"/>
  <c r="AQ270" i="1"/>
  <c r="AP270" i="1"/>
  <c r="AL270" i="1"/>
  <c r="AJ270" i="1"/>
  <c r="AV270" i="1" s="1"/>
  <c r="AI270" i="1"/>
  <c r="AW270" i="1" s="1"/>
  <c r="BC270" i="1" s="1"/>
  <c r="AC270" i="1"/>
  <c r="AA270" i="1"/>
  <c r="Z270" i="1"/>
  <c r="W270" i="1"/>
  <c r="U270" i="1"/>
  <c r="C270" i="1"/>
  <c r="BB269" i="1"/>
  <c r="BA269" i="1"/>
  <c r="AZ269" i="1"/>
  <c r="AW269" i="1"/>
  <c r="AU269" i="1"/>
  <c r="AR269" i="1"/>
  <c r="AQ269" i="1"/>
  <c r="AP269" i="1"/>
  <c r="AJ269" i="1"/>
  <c r="AV269" i="1" s="1"/>
  <c r="AI269" i="1"/>
  <c r="AC269" i="1"/>
  <c r="AA269" i="1"/>
  <c r="Z269" i="1" s="1"/>
  <c r="U269" i="1"/>
  <c r="W269" i="1" s="1"/>
  <c r="C269" i="1"/>
  <c r="BA268" i="1"/>
  <c r="AZ268" i="1"/>
  <c r="AU268" i="1"/>
  <c r="AR268" i="1"/>
  <c r="BB268" i="1" s="1"/>
  <c r="AQ268" i="1"/>
  <c r="AP268" i="1"/>
  <c r="AJ268" i="1"/>
  <c r="AV268" i="1" s="1"/>
  <c r="AI268" i="1"/>
  <c r="AW268" i="1" s="1"/>
  <c r="AC268" i="1"/>
  <c r="AA268" i="1"/>
  <c r="Z268" i="1"/>
  <c r="W268" i="1"/>
  <c r="U268" i="1"/>
  <c r="C268" i="1"/>
  <c r="BA267" i="1"/>
  <c r="AZ267" i="1"/>
  <c r="AU267" i="1"/>
  <c r="AR267" i="1"/>
  <c r="BB267" i="1" s="1"/>
  <c r="AQ267" i="1"/>
  <c r="AP267" i="1"/>
  <c r="AJ267" i="1"/>
  <c r="AV267" i="1" s="1"/>
  <c r="AI267" i="1"/>
  <c r="AW267" i="1" s="1"/>
  <c r="AC267" i="1"/>
  <c r="AA267" i="1"/>
  <c r="Z267" i="1" s="1"/>
  <c r="W267" i="1"/>
  <c r="U267" i="1"/>
  <c r="C267" i="1"/>
  <c r="BG266" i="1"/>
  <c r="BB266" i="1"/>
  <c r="BA266" i="1"/>
  <c r="AZ266" i="1"/>
  <c r="AU266" i="1"/>
  <c r="AR266" i="1"/>
  <c r="AQ266" i="1"/>
  <c r="AP266" i="1"/>
  <c r="AL266" i="1"/>
  <c r="AJ266" i="1"/>
  <c r="AV266" i="1" s="1"/>
  <c r="AI266" i="1"/>
  <c r="AW266" i="1" s="1"/>
  <c r="AC266" i="1"/>
  <c r="AA266" i="1"/>
  <c r="Z266" i="1" s="1"/>
  <c r="U266" i="1"/>
  <c r="W266" i="1" s="1"/>
  <c r="C266" i="1"/>
  <c r="BB265" i="1"/>
  <c r="BA265" i="1"/>
  <c r="AZ265" i="1"/>
  <c r="AW265" i="1"/>
  <c r="AU265" i="1"/>
  <c r="AR265" i="1"/>
  <c r="AQ265" i="1"/>
  <c r="AP265" i="1"/>
  <c r="AJ265" i="1"/>
  <c r="AV265" i="1" s="1"/>
  <c r="AI265" i="1"/>
  <c r="AC265" i="1"/>
  <c r="BG265" i="1" s="1"/>
  <c r="AA265" i="1"/>
  <c r="Z265" i="1"/>
  <c r="U265" i="1"/>
  <c r="W265" i="1" s="1"/>
  <c r="C265" i="1"/>
  <c r="BA264" i="1"/>
  <c r="AZ264" i="1"/>
  <c r="AU264" i="1"/>
  <c r="AR264" i="1"/>
  <c r="BB264" i="1" s="1"/>
  <c r="AQ264" i="1"/>
  <c r="AP264" i="1"/>
  <c r="AJ264" i="1"/>
  <c r="AV264" i="1" s="1"/>
  <c r="AI264" i="1"/>
  <c r="AW264" i="1" s="1"/>
  <c r="AC264" i="1"/>
  <c r="BE264" i="1" s="1"/>
  <c r="AA264" i="1"/>
  <c r="Z264" i="1"/>
  <c r="W264" i="1"/>
  <c r="U264" i="1"/>
  <c r="C264" i="1"/>
  <c r="BG263" i="1"/>
  <c r="BA263" i="1"/>
  <c r="AZ263" i="1"/>
  <c r="AV263" i="1"/>
  <c r="AU263" i="1"/>
  <c r="BC263" i="1" s="1"/>
  <c r="AR263" i="1"/>
  <c r="BB263" i="1" s="1"/>
  <c r="BD263" i="1" s="1"/>
  <c r="AX263" i="1" s="1"/>
  <c r="AQ263" i="1"/>
  <c r="AP263" i="1"/>
  <c r="AL263" i="1"/>
  <c r="AJ263" i="1"/>
  <c r="AI263" i="1"/>
  <c r="AW263" i="1" s="1"/>
  <c r="AC263" i="1"/>
  <c r="AA263" i="1"/>
  <c r="Z263" i="1" s="1"/>
  <c r="W263" i="1"/>
  <c r="U263" i="1"/>
  <c r="C263" i="1"/>
  <c r="BG262" i="1"/>
  <c r="BB262" i="1"/>
  <c r="BA262" i="1"/>
  <c r="AZ262" i="1"/>
  <c r="AU262" i="1"/>
  <c r="AR262" i="1"/>
  <c r="AQ262" i="1"/>
  <c r="AP262" i="1"/>
  <c r="AL262" i="1"/>
  <c r="AJ262" i="1"/>
  <c r="AV262" i="1" s="1"/>
  <c r="AI262" i="1"/>
  <c r="AW262" i="1" s="1"/>
  <c r="AC262" i="1"/>
  <c r="AA262" i="1"/>
  <c r="Z262" i="1" s="1"/>
  <c r="U262" i="1"/>
  <c r="W262" i="1" s="1"/>
  <c r="C262" i="1"/>
  <c r="BG261" i="1"/>
  <c r="BA261" i="1"/>
  <c r="AZ261" i="1"/>
  <c r="AW261" i="1"/>
  <c r="AV261" i="1"/>
  <c r="AU261" i="1"/>
  <c r="BC261" i="1" s="1"/>
  <c r="AR261" i="1"/>
  <c r="BB261" i="1" s="1"/>
  <c r="AQ261" i="1"/>
  <c r="AP261" i="1"/>
  <c r="AL261" i="1"/>
  <c r="AJ261" i="1"/>
  <c r="AI261" i="1"/>
  <c r="AC261" i="1"/>
  <c r="AA261" i="1"/>
  <c r="Z261" i="1"/>
  <c r="U261" i="1"/>
  <c r="W261" i="1" s="1"/>
  <c r="C261" i="1"/>
  <c r="BA260" i="1"/>
  <c r="AZ260" i="1"/>
  <c r="AV260" i="1"/>
  <c r="AU260" i="1"/>
  <c r="BC260" i="1" s="1"/>
  <c r="AR260" i="1"/>
  <c r="BB260" i="1" s="1"/>
  <c r="AQ260" i="1"/>
  <c r="AP260" i="1"/>
  <c r="AJ260" i="1"/>
  <c r="AI260" i="1"/>
  <c r="AW260" i="1" s="1"/>
  <c r="AC260" i="1"/>
  <c r="AA260" i="1"/>
  <c r="Z260" i="1"/>
  <c r="U260" i="1"/>
  <c r="W260" i="1" s="1"/>
  <c r="C260" i="1"/>
  <c r="BA259" i="1"/>
  <c r="AZ259" i="1"/>
  <c r="AV259" i="1"/>
  <c r="BC259" i="1" s="1"/>
  <c r="AU259" i="1"/>
  <c r="AR259" i="1"/>
  <c r="BB259" i="1" s="1"/>
  <c r="BD259" i="1" s="1"/>
  <c r="AX259" i="1" s="1"/>
  <c r="AQ259" i="1"/>
  <c r="AP259" i="1"/>
  <c r="AJ259" i="1"/>
  <c r="AI259" i="1"/>
  <c r="AW259" i="1" s="1"/>
  <c r="AC259" i="1"/>
  <c r="AA259" i="1"/>
  <c r="Z259" i="1" s="1"/>
  <c r="W259" i="1"/>
  <c r="U259" i="1"/>
  <c r="C259" i="1"/>
  <c r="BG258" i="1"/>
  <c r="BB258" i="1"/>
  <c r="BA258" i="1"/>
  <c r="AZ258" i="1"/>
  <c r="AU258" i="1"/>
  <c r="AR258" i="1"/>
  <c r="AQ258" i="1"/>
  <c r="AP258" i="1"/>
  <c r="AL258" i="1"/>
  <c r="AJ258" i="1"/>
  <c r="AV258" i="1" s="1"/>
  <c r="BC258" i="1" s="1"/>
  <c r="AI258" i="1"/>
  <c r="AW258" i="1" s="1"/>
  <c r="AC258" i="1"/>
  <c r="AA258" i="1"/>
  <c r="Z258" i="1"/>
  <c r="W258" i="1"/>
  <c r="U258" i="1"/>
  <c r="C258" i="1"/>
  <c r="BG257" i="1"/>
  <c r="BA257" i="1"/>
  <c r="AZ257" i="1"/>
  <c r="AW257" i="1"/>
  <c r="AV257" i="1"/>
  <c r="AU257" i="1"/>
  <c r="AR257" i="1"/>
  <c r="BB257" i="1" s="1"/>
  <c r="AQ257" i="1"/>
  <c r="AP257" i="1"/>
  <c r="AL257" i="1"/>
  <c r="AJ257" i="1"/>
  <c r="AI257" i="1"/>
  <c r="AC257" i="1"/>
  <c r="AA257" i="1"/>
  <c r="Z257" i="1" s="1"/>
  <c r="U257" i="1"/>
  <c r="W257" i="1" s="1"/>
  <c r="C257" i="1"/>
  <c r="BA256" i="1"/>
  <c r="AZ256" i="1"/>
  <c r="AV256" i="1"/>
  <c r="AU256" i="1"/>
  <c r="AR256" i="1"/>
  <c r="BB256" i="1" s="1"/>
  <c r="AQ256" i="1"/>
  <c r="AP256" i="1"/>
  <c r="AJ256" i="1"/>
  <c r="AI256" i="1"/>
  <c r="AW256" i="1" s="1"/>
  <c r="BC256" i="1" s="1"/>
  <c r="AC256" i="1"/>
  <c r="AA256" i="1"/>
  <c r="Z256" i="1"/>
  <c r="U256" i="1"/>
  <c r="W256" i="1" s="1"/>
  <c r="C256" i="1"/>
  <c r="BA255" i="1"/>
  <c r="AZ255" i="1"/>
  <c r="AU255" i="1"/>
  <c r="AR255" i="1"/>
  <c r="BB255" i="1" s="1"/>
  <c r="AQ255" i="1"/>
  <c r="AP255" i="1"/>
  <c r="AJ255" i="1"/>
  <c r="AV255" i="1" s="1"/>
  <c r="BC255" i="1" s="1"/>
  <c r="AI255" i="1"/>
  <c r="AW255" i="1" s="1"/>
  <c r="AC255" i="1"/>
  <c r="AA255" i="1"/>
  <c r="Z255" i="1" s="1"/>
  <c r="W255" i="1"/>
  <c r="U255" i="1"/>
  <c r="C255" i="1"/>
  <c r="BG254" i="1"/>
  <c r="BC254" i="1"/>
  <c r="BB254" i="1"/>
  <c r="BA254" i="1"/>
  <c r="AZ254" i="1"/>
  <c r="AU254" i="1"/>
  <c r="AR254" i="1"/>
  <c r="AQ254" i="1"/>
  <c r="AP254" i="1"/>
  <c r="AL254" i="1"/>
  <c r="AJ254" i="1"/>
  <c r="AV254" i="1" s="1"/>
  <c r="AI254" i="1"/>
  <c r="AW254" i="1" s="1"/>
  <c r="AC254" i="1"/>
  <c r="AA254" i="1"/>
  <c r="Z254" i="1"/>
  <c r="W254" i="1"/>
  <c r="U254" i="1"/>
  <c r="C254" i="1"/>
  <c r="BB253" i="1"/>
  <c r="BA253" i="1"/>
  <c r="AZ253" i="1"/>
  <c r="AW253" i="1"/>
  <c r="AU253" i="1"/>
  <c r="AR253" i="1"/>
  <c r="AQ253" i="1"/>
  <c r="AP253" i="1"/>
  <c r="AJ253" i="1"/>
  <c r="AV253" i="1" s="1"/>
  <c r="AI253" i="1"/>
  <c r="AC253" i="1"/>
  <c r="AA253" i="1"/>
  <c r="Z253" i="1" s="1"/>
  <c r="U253" i="1"/>
  <c r="W253" i="1" s="1"/>
  <c r="C253" i="1"/>
  <c r="BA252" i="1"/>
  <c r="AZ252" i="1"/>
  <c r="AU252" i="1"/>
  <c r="AR252" i="1"/>
  <c r="BB252" i="1" s="1"/>
  <c r="AQ252" i="1"/>
  <c r="AP252" i="1"/>
  <c r="AJ252" i="1"/>
  <c r="AV252" i="1" s="1"/>
  <c r="BC252" i="1" s="1"/>
  <c r="BD252" i="1" s="1"/>
  <c r="AX252" i="1" s="1"/>
  <c r="AI252" i="1"/>
  <c r="AW252" i="1" s="1"/>
  <c r="AC252" i="1"/>
  <c r="AA252" i="1"/>
  <c r="Z252" i="1"/>
  <c r="W252" i="1"/>
  <c r="U252" i="1"/>
  <c r="C252" i="1"/>
  <c r="BA251" i="1"/>
  <c r="AZ251" i="1"/>
  <c r="AU251" i="1"/>
  <c r="AR251" i="1"/>
  <c r="BB251" i="1" s="1"/>
  <c r="AQ251" i="1"/>
  <c r="AP251" i="1"/>
  <c r="AJ251" i="1"/>
  <c r="AV251" i="1" s="1"/>
  <c r="AI251" i="1"/>
  <c r="AW251" i="1" s="1"/>
  <c r="AC251" i="1"/>
  <c r="AA251" i="1"/>
  <c r="Z251" i="1" s="1"/>
  <c r="W251" i="1"/>
  <c r="U251" i="1"/>
  <c r="C251" i="1"/>
  <c r="BG250" i="1"/>
  <c r="BB250" i="1"/>
  <c r="BA250" i="1"/>
  <c r="AZ250" i="1"/>
  <c r="AU250" i="1"/>
  <c r="AR250" i="1"/>
  <c r="AQ250" i="1"/>
  <c r="AP250" i="1"/>
  <c r="AL250" i="1"/>
  <c r="AJ250" i="1"/>
  <c r="AV250" i="1" s="1"/>
  <c r="AI250" i="1"/>
  <c r="AW250" i="1" s="1"/>
  <c r="AC250" i="1"/>
  <c r="AA250" i="1"/>
  <c r="Z250" i="1" s="1"/>
  <c r="U250" i="1"/>
  <c r="W250" i="1" s="1"/>
  <c r="C250" i="1"/>
  <c r="BB249" i="1"/>
  <c r="BA249" i="1"/>
  <c r="AZ249" i="1"/>
  <c r="AW249" i="1"/>
  <c r="AU249" i="1"/>
  <c r="AR249" i="1"/>
  <c r="AQ249" i="1"/>
  <c r="AP249" i="1"/>
  <c r="AJ249" i="1"/>
  <c r="AV249" i="1" s="1"/>
  <c r="AI249" i="1"/>
  <c r="AC249" i="1"/>
  <c r="BG249" i="1" s="1"/>
  <c r="AA249" i="1"/>
  <c r="Z249" i="1"/>
  <c r="U249" i="1"/>
  <c r="W249" i="1" s="1"/>
  <c r="C249" i="1"/>
  <c r="BA248" i="1"/>
  <c r="AZ248" i="1"/>
  <c r="AU248" i="1"/>
  <c r="AR248" i="1"/>
  <c r="BB248" i="1" s="1"/>
  <c r="AQ248" i="1"/>
  <c r="AP248" i="1"/>
  <c r="AJ248" i="1"/>
  <c r="AV248" i="1" s="1"/>
  <c r="AI248" i="1"/>
  <c r="AW248" i="1" s="1"/>
  <c r="AC248" i="1"/>
  <c r="AA248" i="1"/>
  <c r="Z248" i="1"/>
  <c r="W248" i="1"/>
  <c r="U248" i="1"/>
  <c r="C248" i="1"/>
  <c r="BG247" i="1"/>
  <c r="BB247" i="1"/>
  <c r="BA247" i="1"/>
  <c r="AZ247" i="1"/>
  <c r="AU247" i="1"/>
  <c r="BC247" i="1" s="1"/>
  <c r="AR247" i="1"/>
  <c r="AQ247" i="1"/>
  <c r="AP247" i="1"/>
  <c r="AL247" i="1"/>
  <c r="AJ247" i="1"/>
  <c r="AV247" i="1" s="1"/>
  <c r="AI247" i="1"/>
  <c r="AW247" i="1" s="1"/>
  <c r="AC247" i="1"/>
  <c r="AA247" i="1"/>
  <c r="Z247" i="1" s="1"/>
  <c r="W247" i="1"/>
  <c r="U247" i="1"/>
  <c r="C247" i="1"/>
  <c r="BG246" i="1"/>
  <c r="BB246" i="1"/>
  <c r="BA246" i="1"/>
  <c r="AZ246" i="1"/>
  <c r="AW246" i="1"/>
  <c r="AU246" i="1"/>
  <c r="AR246" i="1"/>
  <c r="AQ246" i="1"/>
  <c r="AP246" i="1"/>
  <c r="AL246" i="1"/>
  <c r="AJ246" i="1"/>
  <c r="AV246" i="1" s="1"/>
  <c r="AI246" i="1"/>
  <c r="AC246" i="1"/>
  <c r="AA246" i="1"/>
  <c r="Z246" i="1" s="1"/>
  <c r="U246" i="1"/>
  <c r="W246" i="1" s="1"/>
  <c r="C246" i="1"/>
  <c r="BE245" i="1"/>
  <c r="BA245" i="1"/>
  <c r="AZ245" i="1"/>
  <c r="AW245" i="1"/>
  <c r="AU245" i="1"/>
  <c r="BC245" i="1" s="1"/>
  <c r="AR245" i="1"/>
  <c r="BB245" i="1" s="1"/>
  <c r="AQ245" i="1"/>
  <c r="AP245" i="1"/>
  <c r="AJ245" i="1"/>
  <c r="AV245" i="1" s="1"/>
  <c r="AI245" i="1"/>
  <c r="AC245" i="1"/>
  <c r="BG245" i="1" s="1"/>
  <c r="AA245" i="1"/>
  <c r="Z245" i="1"/>
  <c r="U245" i="1"/>
  <c r="W245" i="1" s="1"/>
  <c r="C245" i="1"/>
  <c r="BA244" i="1"/>
  <c r="AZ244" i="1"/>
  <c r="AU244" i="1"/>
  <c r="AR244" i="1"/>
  <c r="BB244" i="1" s="1"/>
  <c r="AQ244" i="1"/>
  <c r="AP244" i="1"/>
  <c r="AJ244" i="1"/>
  <c r="AV244" i="1" s="1"/>
  <c r="AI244" i="1"/>
  <c r="AW244" i="1" s="1"/>
  <c r="AC244" i="1"/>
  <c r="AA244" i="1"/>
  <c r="Z244" i="1"/>
  <c r="W244" i="1"/>
  <c r="U244" i="1"/>
  <c r="C244" i="1"/>
  <c r="BG243" i="1"/>
  <c r="BB243" i="1"/>
  <c r="BA243" i="1"/>
  <c r="AZ243" i="1"/>
  <c r="AU243" i="1"/>
  <c r="BC243" i="1" s="1"/>
  <c r="AR243" i="1"/>
  <c r="AQ243" i="1"/>
  <c r="AP243" i="1"/>
  <c r="AL243" i="1"/>
  <c r="AJ243" i="1"/>
  <c r="AV243" i="1" s="1"/>
  <c r="AI243" i="1"/>
  <c r="AW243" i="1" s="1"/>
  <c r="AC243" i="1"/>
  <c r="AA243" i="1"/>
  <c r="Z243" i="1" s="1"/>
  <c r="W243" i="1"/>
  <c r="U243" i="1"/>
  <c r="C243" i="1"/>
  <c r="BG242" i="1"/>
  <c r="BB242" i="1"/>
  <c r="BA242" i="1"/>
  <c r="AZ242" i="1"/>
  <c r="AW242" i="1"/>
  <c r="AU242" i="1"/>
  <c r="BC242" i="1" s="1"/>
  <c r="AR242" i="1"/>
  <c r="AQ242" i="1"/>
  <c r="AP242" i="1"/>
  <c r="AL242" i="1"/>
  <c r="AJ242" i="1"/>
  <c r="AV242" i="1" s="1"/>
  <c r="AI242" i="1"/>
  <c r="AC242" i="1"/>
  <c r="AA242" i="1"/>
  <c r="Z242" i="1" s="1"/>
  <c r="U242" i="1"/>
  <c r="W242" i="1" s="1"/>
  <c r="C242" i="1"/>
  <c r="BA241" i="1"/>
  <c r="AZ241" i="1"/>
  <c r="AW241" i="1"/>
  <c r="AU241" i="1"/>
  <c r="AR241" i="1"/>
  <c r="BB241" i="1" s="1"/>
  <c r="AQ241" i="1"/>
  <c r="AP241" i="1"/>
  <c r="AJ241" i="1"/>
  <c r="AV241" i="1" s="1"/>
  <c r="AI241" i="1"/>
  <c r="AC241" i="1"/>
  <c r="BG241" i="1" s="1"/>
  <c r="AA241" i="1"/>
  <c r="Z241" i="1"/>
  <c r="U241" i="1"/>
  <c r="W241" i="1" s="1"/>
  <c r="C241" i="1"/>
  <c r="BA240" i="1"/>
  <c r="AZ240" i="1"/>
  <c r="AV240" i="1"/>
  <c r="AU240" i="1"/>
  <c r="BC240" i="1" s="1"/>
  <c r="BD240" i="1" s="1"/>
  <c r="AX240" i="1" s="1"/>
  <c r="AR240" i="1"/>
  <c r="BB240" i="1" s="1"/>
  <c r="AQ240" i="1"/>
  <c r="AP240" i="1"/>
  <c r="AJ240" i="1"/>
  <c r="AI240" i="1"/>
  <c r="AW240" i="1" s="1"/>
  <c r="AC240" i="1"/>
  <c r="AA240" i="1"/>
  <c r="Z240" i="1"/>
  <c r="W240" i="1"/>
  <c r="U240" i="1"/>
  <c r="C240" i="1"/>
  <c r="BG239" i="1"/>
  <c r="BB239" i="1"/>
  <c r="BA239" i="1"/>
  <c r="AZ239" i="1"/>
  <c r="AU239" i="1"/>
  <c r="BC239" i="1" s="1"/>
  <c r="AR239" i="1"/>
  <c r="AQ239" i="1"/>
  <c r="AP239" i="1"/>
  <c r="AL239" i="1"/>
  <c r="AJ239" i="1"/>
  <c r="AV239" i="1" s="1"/>
  <c r="AI239" i="1"/>
  <c r="AW239" i="1" s="1"/>
  <c r="AC239" i="1"/>
  <c r="BE239" i="1" s="1"/>
  <c r="AA239" i="1"/>
  <c r="Z239" i="1" s="1"/>
  <c r="W239" i="1"/>
  <c r="U239" i="1"/>
  <c r="C239" i="1"/>
  <c r="BG238" i="1"/>
  <c r="BB238" i="1"/>
  <c r="BA238" i="1"/>
  <c r="AZ238" i="1"/>
  <c r="AW238" i="1"/>
  <c r="AU238" i="1"/>
  <c r="BC238" i="1" s="1"/>
  <c r="AR238" i="1"/>
  <c r="AQ238" i="1"/>
  <c r="AP238" i="1"/>
  <c r="AL238" i="1"/>
  <c r="AJ238" i="1"/>
  <c r="AV238" i="1" s="1"/>
  <c r="AI238" i="1"/>
  <c r="AC238" i="1"/>
  <c r="AA238" i="1"/>
  <c r="Z238" i="1" s="1"/>
  <c r="U238" i="1"/>
  <c r="W238" i="1" s="1"/>
  <c r="C238" i="1"/>
  <c r="BA237" i="1"/>
  <c r="AZ237" i="1"/>
  <c r="AW237" i="1"/>
  <c r="AU237" i="1"/>
  <c r="BC237" i="1" s="1"/>
  <c r="AR237" i="1"/>
  <c r="BB237" i="1" s="1"/>
  <c r="BD237" i="1" s="1"/>
  <c r="AX237" i="1" s="1"/>
  <c r="AQ237" i="1"/>
  <c r="AP237" i="1"/>
  <c r="AJ237" i="1"/>
  <c r="AV237" i="1" s="1"/>
  <c r="AI237" i="1"/>
  <c r="AC237" i="1"/>
  <c r="BG237" i="1" s="1"/>
  <c r="AA237" i="1"/>
  <c r="Z237" i="1"/>
  <c r="U237" i="1"/>
  <c r="W237" i="1" s="1"/>
  <c r="C237" i="1"/>
  <c r="BA236" i="1"/>
  <c r="AZ236" i="1"/>
  <c r="AV236" i="1"/>
  <c r="AU236" i="1"/>
  <c r="AR236" i="1"/>
  <c r="BB236" i="1" s="1"/>
  <c r="AQ236" i="1"/>
  <c r="AP236" i="1"/>
  <c r="AJ236" i="1"/>
  <c r="AI236" i="1"/>
  <c r="AW236" i="1" s="1"/>
  <c r="AC236" i="1"/>
  <c r="AA236" i="1"/>
  <c r="Z236" i="1"/>
  <c r="W236" i="1"/>
  <c r="U236" i="1"/>
  <c r="C236" i="1"/>
  <c r="BG235" i="1"/>
  <c r="BB235" i="1"/>
  <c r="BA235" i="1"/>
  <c r="AZ235" i="1"/>
  <c r="AU235" i="1"/>
  <c r="AR235" i="1"/>
  <c r="AQ235" i="1"/>
  <c r="AP235" i="1"/>
  <c r="AL235" i="1"/>
  <c r="AJ235" i="1"/>
  <c r="AV235" i="1" s="1"/>
  <c r="AI235" i="1"/>
  <c r="AW235" i="1" s="1"/>
  <c r="BC235" i="1" s="1"/>
  <c r="AC235" i="1"/>
  <c r="AA235" i="1"/>
  <c r="Z235" i="1" s="1"/>
  <c r="W235" i="1"/>
  <c r="U235" i="1"/>
  <c r="C235" i="1"/>
  <c r="BG234" i="1"/>
  <c r="BB234" i="1"/>
  <c r="BA234" i="1"/>
  <c r="AZ234" i="1"/>
  <c r="AW234" i="1"/>
  <c r="AU234" i="1"/>
  <c r="AR234" i="1"/>
  <c r="AQ234" i="1"/>
  <c r="AP234" i="1"/>
  <c r="AL234" i="1"/>
  <c r="AJ234" i="1"/>
  <c r="AV234" i="1" s="1"/>
  <c r="AI234" i="1"/>
  <c r="AC234" i="1"/>
  <c r="AA234" i="1"/>
  <c r="Z234" i="1" s="1"/>
  <c r="U234" i="1"/>
  <c r="W234" i="1" s="1"/>
  <c r="C234" i="1"/>
  <c r="BA233" i="1"/>
  <c r="AZ233" i="1"/>
  <c r="AW233" i="1"/>
  <c r="AU233" i="1"/>
  <c r="BC233" i="1" s="1"/>
  <c r="AR233" i="1"/>
  <c r="BB233" i="1" s="1"/>
  <c r="AQ233" i="1"/>
  <c r="AP233" i="1"/>
  <c r="AJ233" i="1"/>
  <c r="AV233" i="1" s="1"/>
  <c r="AI233" i="1"/>
  <c r="AC233" i="1"/>
  <c r="BG233" i="1" s="1"/>
  <c r="AA233" i="1"/>
  <c r="Z233" i="1"/>
  <c r="U233" i="1"/>
  <c r="W233" i="1" s="1"/>
  <c r="C233" i="1"/>
  <c r="BA232" i="1"/>
  <c r="AZ232" i="1"/>
  <c r="AU232" i="1"/>
  <c r="AR232" i="1"/>
  <c r="BB232" i="1" s="1"/>
  <c r="AQ232" i="1"/>
  <c r="AP232" i="1"/>
  <c r="AJ232" i="1"/>
  <c r="AV232" i="1" s="1"/>
  <c r="AI232" i="1"/>
  <c r="AW232" i="1" s="1"/>
  <c r="AC232" i="1"/>
  <c r="AA232" i="1"/>
  <c r="Z232" i="1"/>
  <c r="W232" i="1"/>
  <c r="U232" i="1"/>
  <c r="C232" i="1"/>
  <c r="BG231" i="1"/>
  <c r="BB231" i="1"/>
  <c r="BA231" i="1"/>
  <c r="AZ231" i="1"/>
  <c r="AU231" i="1"/>
  <c r="BC231" i="1" s="1"/>
  <c r="AR231" i="1"/>
  <c r="AQ231" i="1"/>
  <c r="AP231" i="1"/>
  <c r="AL231" i="1"/>
  <c r="AJ231" i="1"/>
  <c r="AV231" i="1" s="1"/>
  <c r="AI231" i="1"/>
  <c r="AW231" i="1" s="1"/>
  <c r="AC231" i="1"/>
  <c r="AA231" i="1"/>
  <c r="Z231" i="1" s="1"/>
  <c r="W231" i="1"/>
  <c r="U231" i="1"/>
  <c r="C231" i="1"/>
  <c r="BG230" i="1"/>
  <c r="BB230" i="1"/>
  <c r="BA230" i="1"/>
  <c r="AZ230" i="1"/>
  <c r="AW230" i="1"/>
  <c r="AU230" i="1"/>
  <c r="AR230" i="1"/>
  <c r="AQ230" i="1"/>
  <c r="AP230" i="1"/>
  <c r="AL230" i="1"/>
  <c r="AJ230" i="1"/>
  <c r="AV230" i="1" s="1"/>
  <c r="AI230" i="1"/>
  <c r="AC230" i="1"/>
  <c r="AA230" i="1"/>
  <c r="Z230" i="1" s="1"/>
  <c r="U230" i="1"/>
  <c r="W230" i="1" s="1"/>
  <c r="C230" i="1"/>
  <c r="BE229" i="1"/>
  <c r="BA229" i="1"/>
  <c r="AZ229" i="1"/>
  <c r="AW229" i="1"/>
  <c r="AU229" i="1"/>
  <c r="BC229" i="1" s="1"/>
  <c r="AR229" i="1"/>
  <c r="BB229" i="1" s="1"/>
  <c r="AQ229" i="1"/>
  <c r="AP229" i="1"/>
  <c r="AJ229" i="1"/>
  <c r="AV229" i="1" s="1"/>
  <c r="AI229" i="1"/>
  <c r="AC229" i="1"/>
  <c r="BG229" i="1" s="1"/>
  <c r="AA229" i="1"/>
  <c r="Z229" i="1"/>
  <c r="U229" i="1"/>
  <c r="W229" i="1" s="1"/>
  <c r="C229" i="1"/>
  <c r="BA228" i="1"/>
  <c r="AZ228" i="1"/>
  <c r="AU228" i="1"/>
  <c r="AR228" i="1"/>
  <c r="BB228" i="1" s="1"/>
  <c r="AQ228" i="1"/>
  <c r="AP228" i="1"/>
  <c r="AJ228" i="1"/>
  <c r="AV228" i="1" s="1"/>
  <c r="AI228" i="1"/>
  <c r="AW228" i="1" s="1"/>
  <c r="AC228" i="1"/>
  <c r="AA228" i="1"/>
  <c r="Z228" i="1"/>
  <c r="W228" i="1"/>
  <c r="U228" i="1"/>
  <c r="C228" i="1"/>
  <c r="BG227" i="1"/>
  <c r="BB227" i="1"/>
  <c r="BA227" i="1"/>
  <c r="AZ227" i="1"/>
  <c r="AU227" i="1"/>
  <c r="BC227" i="1" s="1"/>
  <c r="AR227" i="1"/>
  <c r="AQ227" i="1"/>
  <c r="AP227" i="1"/>
  <c r="AL227" i="1"/>
  <c r="AJ227" i="1"/>
  <c r="AV227" i="1" s="1"/>
  <c r="AI227" i="1"/>
  <c r="AW227" i="1" s="1"/>
  <c r="AC227" i="1"/>
  <c r="AA227" i="1"/>
  <c r="Z227" i="1" s="1"/>
  <c r="W227" i="1"/>
  <c r="U227" i="1"/>
  <c r="C227" i="1"/>
  <c r="BG226" i="1"/>
  <c r="BB226" i="1"/>
  <c r="BA226" i="1"/>
  <c r="AZ226" i="1"/>
  <c r="AW226" i="1"/>
  <c r="AU226" i="1"/>
  <c r="BC226" i="1" s="1"/>
  <c r="AR226" i="1"/>
  <c r="AQ226" i="1"/>
  <c r="AP226" i="1"/>
  <c r="AL226" i="1"/>
  <c r="AJ226" i="1"/>
  <c r="AV226" i="1" s="1"/>
  <c r="AI226" i="1"/>
  <c r="AC226" i="1"/>
  <c r="AA226" i="1"/>
  <c r="Z226" i="1" s="1"/>
  <c r="U226" i="1"/>
  <c r="W226" i="1" s="1"/>
  <c r="C226" i="1"/>
  <c r="BA225" i="1"/>
  <c r="AZ225" i="1"/>
  <c r="AW225" i="1"/>
  <c r="AU225" i="1"/>
  <c r="AR225" i="1"/>
  <c r="BB225" i="1" s="1"/>
  <c r="AQ225" i="1"/>
  <c r="AP225" i="1"/>
  <c r="AJ225" i="1"/>
  <c r="AV225" i="1" s="1"/>
  <c r="AI225" i="1"/>
  <c r="AC225" i="1"/>
  <c r="BG225" i="1" s="1"/>
  <c r="AA225" i="1"/>
  <c r="Z225" i="1"/>
  <c r="U225" i="1"/>
  <c r="W225" i="1" s="1"/>
  <c r="C225" i="1"/>
  <c r="BD224" i="1"/>
  <c r="AX224" i="1" s="1"/>
  <c r="AT224" i="1" s="1"/>
  <c r="BA224" i="1"/>
  <c r="AZ224" i="1"/>
  <c r="AV224" i="1"/>
  <c r="AU224" i="1"/>
  <c r="BC224" i="1" s="1"/>
  <c r="AR224" i="1"/>
  <c r="BB224" i="1" s="1"/>
  <c r="AQ224" i="1"/>
  <c r="AP224" i="1"/>
  <c r="AJ224" i="1"/>
  <c r="AI224" i="1"/>
  <c r="AW224" i="1" s="1"/>
  <c r="AC224" i="1"/>
  <c r="AA224" i="1"/>
  <c r="Z224" i="1"/>
  <c r="W224" i="1"/>
  <c r="U224" i="1"/>
  <c r="C224" i="1"/>
  <c r="BG223" i="1"/>
  <c r="BB223" i="1"/>
  <c r="BA223" i="1"/>
  <c r="AZ223" i="1"/>
  <c r="AU223" i="1"/>
  <c r="BC223" i="1" s="1"/>
  <c r="AR223" i="1"/>
  <c r="AQ223" i="1"/>
  <c r="AP223" i="1"/>
  <c r="AL223" i="1"/>
  <c r="AJ223" i="1"/>
  <c r="AV223" i="1" s="1"/>
  <c r="AI223" i="1"/>
  <c r="AW223" i="1" s="1"/>
  <c r="AC223" i="1"/>
  <c r="BE223" i="1" s="1"/>
  <c r="AA223" i="1"/>
  <c r="Z223" i="1" s="1"/>
  <c r="W223" i="1"/>
  <c r="U223" i="1"/>
  <c r="C223" i="1"/>
  <c r="BG222" i="1"/>
  <c r="BB222" i="1"/>
  <c r="BA222" i="1"/>
  <c r="AZ222" i="1"/>
  <c r="AW222" i="1"/>
  <c r="AU222" i="1"/>
  <c r="BC222" i="1" s="1"/>
  <c r="AR222" i="1"/>
  <c r="AQ222" i="1"/>
  <c r="AP222" i="1"/>
  <c r="AL222" i="1"/>
  <c r="AJ222" i="1"/>
  <c r="AV222" i="1" s="1"/>
  <c r="AI222" i="1"/>
  <c r="AC222" i="1"/>
  <c r="AA222" i="1"/>
  <c r="Z222" i="1" s="1"/>
  <c r="U222" i="1"/>
  <c r="W222" i="1" s="1"/>
  <c r="C222" i="1"/>
  <c r="BA221" i="1"/>
  <c r="AZ221" i="1"/>
  <c r="AW221" i="1"/>
  <c r="AU221" i="1"/>
  <c r="AR221" i="1"/>
  <c r="BB221" i="1" s="1"/>
  <c r="AQ221" i="1"/>
  <c r="AP221" i="1"/>
  <c r="AJ221" i="1"/>
  <c r="AV221" i="1" s="1"/>
  <c r="AI221" i="1"/>
  <c r="AC221" i="1"/>
  <c r="BG221" i="1" s="1"/>
  <c r="AA221" i="1"/>
  <c r="Z221" i="1"/>
  <c r="U221" i="1"/>
  <c r="W221" i="1" s="1"/>
  <c r="C221" i="1"/>
  <c r="BA220" i="1"/>
  <c r="AZ220" i="1"/>
  <c r="AV220" i="1"/>
  <c r="AU220" i="1"/>
  <c r="AR220" i="1"/>
  <c r="BB220" i="1" s="1"/>
  <c r="AQ220" i="1"/>
  <c r="AP220" i="1"/>
  <c r="AJ220" i="1"/>
  <c r="AI220" i="1"/>
  <c r="AW220" i="1" s="1"/>
  <c r="AC220" i="1"/>
  <c r="AA220" i="1"/>
  <c r="Z220" i="1"/>
  <c r="W220" i="1"/>
  <c r="U220" i="1"/>
  <c r="C220" i="1"/>
  <c r="BG219" i="1"/>
  <c r="BB219" i="1"/>
  <c r="BA219" i="1"/>
  <c r="AZ219" i="1"/>
  <c r="AU219" i="1"/>
  <c r="AR219" i="1"/>
  <c r="AQ219" i="1"/>
  <c r="AP219" i="1"/>
  <c r="AL219" i="1"/>
  <c r="AJ219" i="1"/>
  <c r="AV219" i="1" s="1"/>
  <c r="AI219" i="1"/>
  <c r="AW219" i="1" s="1"/>
  <c r="BC219" i="1" s="1"/>
  <c r="AC219" i="1"/>
  <c r="AA219" i="1"/>
  <c r="Z219" i="1" s="1"/>
  <c r="W219" i="1"/>
  <c r="U219" i="1"/>
  <c r="C219" i="1"/>
  <c r="BG218" i="1"/>
  <c r="BB218" i="1"/>
  <c r="BA218" i="1"/>
  <c r="AZ218" i="1"/>
  <c r="AW218" i="1"/>
  <c r="AU218" i="1"/>
  <c r="AR218" i="1"/>
  <c r="AQ218" i="1"/>
  <c r="AP218" i="1"/>
  <c r="AL218" i="1"/>
  <c r="AJ218" i="1"/>
  <c r="AV218" i="1" s="1"/>
  <c r="AI218" i="1"/>
  <c r="AC218" i="1"/>
  <c r="AA218" i="1"/>
  <c r="Z218" i="1" s="1"/>
  <c r="U218" i="1"/>
  <c r="W218" i="1" s="1"/>
  <c r="C218" i="1"/>
  <c r="BA217" i="1"/>
  <c r="AZ217" i="1"/>
  <c r="AW217" i="1"/>
  <c r="AU217" i="1"/>
  <c r="BC217" i="1" s="1"/>
  <c r="AR217" i="1"/>
  <c r="BB217" i="1" s="1"/>
  <c r="AQ217" i="1"/>
  <c r="AP217" i="1"/>
  <c r="AJ217" i="1"/>
  <c r="AV217" i="1" s="1"/>
  <c r="AI217" i="1"/>
  <c r="AC217" i="1"/>
  <c r="BG217" i="1" s="1"/>
  <c r="AA217" i="1"/>
  <c r="Z217" i="1"/>
  <c r="U217" i="1"/>
  <c r="W217" i="1" s="1"/>
  <c r="C217" i="1"/>
  <c r="BA216" i="1"/>
  <c r="AZ216" i="1"/>
  <c r="AU216" i="1"/>
  <c r="AR216" i="1"/>
  <c r="BB216" i="1" s="1"/>
  <c r="AQ216" i="1"/>
  <c r="AP216" i="1"/>
  <c r="AJ216" i="1"/>
  <c r="AV216" i="1" s="1"/>
  <c r="AI216" i="1"/>
  <c r="AW216" i="1" s="1"/>
  <c r="AC216" i="1"/>
  <c r="AA216" i="1"/>
  <c r="Z216" i="1"/>
  <c r="W216" i="1"/>
  <c r="U216" i="1"/>
  <c r="C216" i="1"/>
  <c r="BG215" i="1"/>
  <c r="BB215" i="1"/>
  <c r="BA215" i="1"/>
  <c r="AZ215" i="1"/>
  <c r="AU215" i="1"/>
  <c r="BC215" i="1" s="1"/>
  <c r="AR215" i="1"/>
  <c r="AQ215" i="1"/>
  <c r="AP215" i="1"/>
  <c r="AL215" i="1"/>
  <c r="AJ215" i="1"/>
  <c r="AV215" i="1" s="1"/>
  <c r="AI215" i="1"/>
  <c r="AW215" i="1" s="1"/>
  <c r="AC215" i="1"/>
  <c r="AA215" i="1"/>
  <c r="Z215" i="1" s="1"/>
  <c r="W215" i="1"/>
  <c r="U215" i="1"/>
  <c r="C215" i="1"/>
  <c r="BG214" i="1"/>
  <c r="BB214" i="1"/>
  <c r="BA214" i="1"/>
  <c r="AZ214" i="1"/>
  <c r="AW214" i="1"/>
  <c r="AU214" i="1"/>
  <c r="AR214" i="1"/>
  <c r="AQ214" i="1"/>
  <c r="AP214" i="1"/>
  <c r="AL214" i="1"/>
  <c r="AJ214" i="1"/>
  <c r="AV214" i="1" s="1"/>
  <c r="AI214" i="1"/>
  <c r="AC214" i="1"/>
  <c r="AA214" i="1"/>
  <c r="Z214" i="1" s="1"/>
  <c r="U214" i="1"/>
  <c r="W214" i="1" s="1"/>
  <c r="C214" i="1"/>
  <c r="BE213" i="1"/>
  <c r="BA213" i="1"/>
  <c r="AZ213" i="1"/>
  <c r="AW213" i="1"/>
  <c r="AU213" i="1"/>
  <c r="BC213" i="1" s="1"/>
  <c r="AR213" i="1"/>
  <c r="BB213" i="1" s="1"/>
  <c r="AQ213" i="1"/>
  <c r="AP213" i="1"/>
  <c r="AJ213" i="1"/>
  <c r="AV213" i="1" s="1"/>
  <c r="AI213" i="1"/>
  <c r="AC213" i="1"/>
  <c r="BG213" i="1" s="1"/>
  <c r="AA213" i="1"/>
  <c r="Z213" i="1"/>
  <c r="U213" i="1"/>
  <c r="W213" i="1" s="1"/>
  <c r="C213" i="1"/>
  <c r="BA212" i="1"/>
  <c r="AZ212" i="1"/>
  <c r="AU212" i="1"/>
  <c r="AR212" i="1"/>
  <c r="BB212" i="1" s="1"/>
  <c r="AQ212" i="1"/>
  <c r="AP212" i="1"/>
  <c r="AJ212" i="1"/>
  <c r="AV212" i="1" s="1"/>
  <c r="AI212" i="1"/>
  <c r="AW212" i="1" s="1"/>
  <c r="AC212" i="1"/>
  <c r="AA212" i="1"/>
  <c r="Z212" i="1" s="1"/>
  <c r="W212" i="1"/>
  <c r="U212" i="1"/>
  <c r="C212" i="1"/>
  <c r="BG211" i="1"/>
  <c r="BB211" i="1"/>
  <c r="BA211" i="1"/>
  <c r="AZ211" i="1"/>
  <c r="AU211" i="1"/>
  <c r="AR211" i="1"/>
  <c r="AQ211" i="1"/>
  <c r="AP211" i="1"/>
  <c r="AL211" i="1"/>
  <c r="AJ211" i="1"/>
  <c r="AV211" i="1" s="1"/>
  <c r="BC211" i="1" s="1"/>
  <c r="AI211" i="1"/>
  <c r="AW211" i="1" s="1"/>
  <c r="AC211" i="1"/>
  <c r="AA211" i="1"/>
  <c r="Z211" i="1" s="1"/>
  <c r="W211" i="1"/>
  <c r="U211" i="1"/>
  <c r="C211" i="1"/>
  <c r="BG210" i="1"/>
  <c r="BB210" i="1"/>
  <c r="BA210" i="1"/>
  <c r="AZ210" i="1"/>
  <c r="AW210" i="1"/>
  <c r="AU210" i="1"/>
  <c r="AQ210" i="1"/>
  <c r="AP210" i="1"/>
  <c r="AL210" i="1"/>
  <c r="AJ210" i="1"/>
  <c r="AV210" i="1" s="1"/>
  <c r="AI210" i="1"/>
  <c r="AC210" i="1"/>
  <c r="AA210" i="1"/>
  <c r="Z210" i="1" s="1"/>
  <c r="U210" i="1"/>
  <c r="W210" i="1" s="1"/>
  <c r="O210" i="1"/>
  <c r="AR210" i="1" s="1"/>
  <c r="C210" i="1"/>
  <c r="BG209" i="1"/>
  <c r="BB209" i="1"/>
  <c r="BA209" i="1"/>
  <c r="AZ209" i="1"/>
  <c r="AW209" i="1"/>
  <c r="AU209" i="1"/>
  <c r="AQ209" i="1"/>
  <c r="AP209" i="1"/>
  <c r="AL209" i="1"/>
  <c r="AJ209" i="1"/>
  <c r="AV209" i="1" s="1"/>
  <c r="AI209" i="1"/>
  <c r="AC209" i="1"/>
  <c r="AA209" i="1"/>
  <c r="Z209" i="1" s="1"/>
  <c r="U209" i="1"/>
  <c r="W209" i="1" s="1"/>
  <c r="O209" i="1"/>
  <c r="AR209" i="1" s="1"/>
  <c r="C209" i="1"/>
  <c r="BG208" i="1"/>
  <c r="BA208" i="1"/>
  <c r="AZ208" i="1"/>
  <c r="AW208" i="1"/>
  <c r="AU208" i="1"/>
  <c r="AQ208" i="1"/>
  <c r="AP208" i="1"/>
  <c r="AR208" i="1" s="1"/>
  <c r="BB208" i="1" s="1"/>
  <c r="AL208" i="1"/>
  <c r="AJ208" i="1"/>
  <c r="AV208" i="1" s="1"/>
  <c r="AI208" i="1"/>
  <c r="AC208" i="1"/>
  <c r="AA208" i="1"/>
  <c r="Z208" i="1" s="1"/>
  <c r="U208" i="1"/>
  <c r="W208" i="1" s="1"/>
  <c r="C208" i="1"/>
  <c r="BA207" i="1"/>
  <c r="AZ207" i="1"/>
  <c r="AA207" i="1" s="1"/>
  <c r="Z207" i="1" s="1"/>
  <c r="AW207" i="1"/>
  <c r="AU207" i="1"/>
  <c r="BC207" i="1" s="1"/>
  <c r="AR207" i="1"/>
  <c r="BB207" i="1" s="1"/>
  <c r="AQ207" i="1"/>
  <c r="AP207" i="1"/>
  <c r="AJ207" i="1"/>
  <c r="AV207" i="1" s="1"/>
  <c r="AI207" i="1"/>
  <c r="AC207" i="1"/>
  <c r="BG207" i="1" s="1"/>
  <c r="U207" i="1"/>
  <c r="W207" i="1" s="1"/>
  <c r="C207" i="1"/>
  <c r="BA206" i="1"/>
  <c r="AZ206" i="1"/>
  <c r="AA206" i="1" s="1"/>
  <c r="Z206" i="1" s="1"/>
  <c r="AV206" i="1"/>
  <c r="AU206" i="1"/>
  <c r="AR206" i="1"/>
  <c r="BB206" i="1" s="1"/>
  <c r="AQ206" i="1"/>
  <c r="AP206" i="1"/>
  <c r="AJ206" i="1"/>
  <c r="AI206" i="1"/>
  <c r="AW206" i="1" s="1"/>
  <c r="AC206" i="1"/>
  <c r="W206" i="1"/>
  <c r="U206" i="1"/>
  <c r="C206" i="1"/>
  <c r="BG205" i="1"/>
  <c r="BA205" i="1"/>
  <c r="AZ205" i="1"/>
  <c r="AU205" i="1"/>
  <c r="BC205" i="1" s="1"/>
  <c r="AQ205" i="1"/>
  <c r="AP205" i="1"/>
  <c r="AL205" i="1"/>
  <c r="AJ205" i="1"/>
  <c r="AV205" i="1" s="1"/>
  <c r="AI205" i="1"/>
  <c r="AW205" i="1" s="1"/>
  <c r="AC205" i="1"/>
  <c r="AA205" i="1"/>
  <c r="Z205" i="1" s="1"/>
  <c r="W205" i="1"/>
  <c r="U205" i="1"/>
  <c r="O205" i="1"/>
  <c r="AR205" i="1" s="1"/>
  <c r="BB205" i="1" s="1"/>
  <c r="C205" i="1"/>
  <c r="BG204" i="1"/>
  <c r="BA204" i="1"/>
  <c r="AZ204" i="1"/>
  <c r="AU204" i="1"/>
  <c r="BC204" i="1" s="1"/>
  <c r="AQ204" i="1"/>
  <c r="AP204" i="1"/>
  <c r="AL204" i="1"/>
  <c r="AJ204" i="1"/>
  <c r="AV204" i="1" s="1"/>
  <c r="AI204" i="1"/>
  <c r="AW204" i="1" s="1"/>
  <c r="AC204" i="1"/>
  <c r="AA204" i="1"/>
  <c r="Z204" i="1" s="1"/>
  <c r="W204" i="1"/>
  <c r="U204" i="1"/>
  <c r="O204" i="1"/>
  <c r="AR204" i="1" s="1"/>
  <c r="BB204" i="1" s="1"/>
  <c r="C204" i="1"/>
  <c r="BG203" i="1"/>
  <c r="BA203" i="1"/>
  <c r="AZ203" i="1"/>
  <c r="AU203" i="1"/>
  <c r="BC203" i="1" s="1"/>
  <c r="AQ203" i="1"/>
  <c r="AP203" i="1"/>
  <c r="AL203" i="1"/>
  <c r="AJ203" i="1"/>
  <c r="AV203" i="1" s="1"/>
  <c r="AI203" i="1"/>
  <c r="AW203" i="1" s="1"/>
  <c r="AC203" i="1"/>
  <c r="AA203" i="1"/>
  <c r="Z203" i="1" s="1"/>
  <c r="W203" i="1"/>
  <c r="U203" i="1"/>
  <c r="O203" i="1"/>
  <c r="AR203" i="1" s="1"/>
  <c r="BB203" i="1" s="1"/>
  <c r="C203" i="1"/>
  <c r="BG202" i="1"/>
  <c r="BA202" i="1"/>
  <c r="AZ202" i="1"/>
  <c r="AU202" i="1"/>
  <c r="BC202" i="1" s="1"/>
  <c r="AQ202" i="1"/>
  <c r="AP202" i="1"/>
  <c r="AL202" i="1"/>
  <c r="AJ202" i="1"/>
  <c r="AV202" i="1" s="1"/>
  <c r="AI202" i="1"/>
  <c r="AW202" i="1" s="1"/>
  <c r="AC202" i="1"/>
  <c r="AA202" i="1"/>
  <c r="Z202" i="1" s="1"/>
  <c r="W202" i="1"/>
  <c r="U202" i="1"/>
  <c r="O202" i="1"/>
  <c r="AR202" i="1" s="1"/>
  <c r="BB202" i="1" s="1"/>
  <c r="C202" i="1"/>
  <c r="BG201" i="1"/>
  <c r="BA201" i="1"/>
  <c r="AZ201" i="1"/>
  <c r="AU201" i="1"/>
  <c r="BC201" i="1" s="1"/>
  <c r="AQ201" i="1"/>
  <c r="AP201" i="1"/>
  <c r="AL201" i="1"/>
  <c r="AJ201" i="1"/>
  <c r="AV201" i="1" s="1"/>
  <c r="AI201" i="1"/>
  <c r="AW201" i="1" s="1"/>
  <c r="AC201" i="1"/>
  <c r="AA201" i="1"/>
  <c r="Z201" i="1" s="1"/>
  <c r="W201" i="1"/>
  <c r="U201" i="1"/>
  <c r="O201" i="1"/>
  <c r="AR201" i="1" s="1"/>
  <c r="BB201" i="1" s="1"/>
  <c r="C201" i="1"/>
  <c r="BG200" i="1"/>
  <c r="BA200" i="1"/>
  <c r="AZ200" i="1"/>
  <c r="AU200" i="1"/>
  <c r="BC200" i="1" s="1"/>
  <c r="AQ200" i="1"/>
  <c r="AP200" i="1"/>
  <c r="AL200" i="1"/>
  <c r="AJ200" i="1"/>
  <c r="AV200" i="1" s="1"/>
  <c r="AI200" i="1"/>
  <c r="AW200" i="1" s="1"/>
  <c r="AC200" i="1"/>
  <c r="BE200" i="1" s="1"/>
  <c r="AA200" i="1"/>
  <c r="Z200" i="1" s="1"/>
  <c r="W200" i="1"/>
  <c r="U200" i="1"/>
  <c r="O200" i="1"/>
  <c r="C200" i="1"/>
  <c r="BG199" i="1"/>
  <c r="BA199" i="1"/>
  <c r="AZ199" i="1"/>
  <c r="AU199" i="1"/>
  <c r="BC199" i="1" s="1"/>
  <c r="AQ199" i="1"/>
  <c r="AP199" i="1"/>
  <c r="AL199" i="1"/>
  <c r="AJ199" i="1"/>
  <c r="AV199" i="1" s="1"/>
  <c r="AI199" i="1"/>
  <c r="AW199" i="1" s="1"/>
  <c r="AC199" i="1"/>
  <c r="AA199" i="1"/>
  <c r="Z199" i="1" s="1"/>
  <c r="W199" i="1"/>
  <c r="U199" i="1"/>
  <c r="O199" i="1"/>
  <c r="C199" i="1"/>
  <c r="BG198" i="1"/>
  <c r="BA198" i="1"/>
  <c r="AZ198" i="1"/>
  <c r="AU198" i="1"/>
  <c r="BC198" i="1" s="1"/>
  <c r="AQ198" i="1"/>
  <c r="AP198" i="1"/>
  <c r="AL198" i="1"/>
  <c r="AJ198" i="1"/>
  <c r="AV198" i="1" s="1"/>
  <c r="AI198" i="1"/>
  <c r="AW198" i="1" s="1"/>
  <c r="AC198" i="1"/>
  <c r="AA198" i="1"/>
  <c r="Z198" i="1" s="1"/>
  <c r="W198" i="1"/>
  <c r="U198" i="1"/>
  <c r="O198" i="1"/>
  <c r="C198" i="1"/>
  <c r="BG197" i="1"/>
  <c r="BA197" i="1"/>
  <c r="AZ197" i="1"/>
  <c r="AU197" i="1"/>
  <c r="BC197" i="1" s="1"/>
  <c r="AQ197" i="1"/>
  <c r="AP197" i="1"/>
  <c r="AL197" i="1"/>
  <c r="AJ197" i="1"/>
  <c r="AV197" i="1" s="1"/>
  <c r="AI197" i="1"/>
  <c r="AW197" i="1" s="1"/>
  <c r="AC197" i="1"/>
  <c r="AA197" i="1"/>
  <c r="Z197" i="1" s="1"/>
  <c r="W197" i="1"/>
  <c r="U197" i="1"/>
  <c r="O197" i="1"/>
  <c r="C197" i="1"/>
  <c r="BG196" i="1"/>
  <c r="BA196" i="1"/>
  <c r="AZ196" i="1"/>
  <c r="AU196" i="1"/>
  <c r="BC196" i="1" s="1"/>
  <c r="AQ196" i="1"/>
  <c r="AP196" i="1"/>
  <c r="AL196" i="1"/>
  <c r="AJ196" i="1"/>
  <c r="AV196" i="1" s="1"/>
  <c r="AI196" i="1"/>
  <c r="AW196" i="1" s="1"/>
  <c r="AC196" i="1"/>
  <c r="BE196" i="1" s="1"/>
  <c r="AA196" i="1"/>
  <c r="Z196" i="1" s="1"/>
  <c r="W196" i="1"/>
  <c r="U196" i="1"/>
  <c r="O196" i="1"/>
  <c r="C196" i="1"/>
  <c r="BG195" i="1"/>
  <c r="BA195" i="1"/>
  <c r="AZ195" i="1"/>
  <c r="AU195" i="1"/>
  <c r="BC195" i="1" s="1"/>
  <c r="AQ195" i="1"/>
  <c r="AP195" i="1"/>
  <c r="AL195" i="1"/>
  <c r="AJ195" i="1"/>
  <c r="AV195" i="1" s="1"/>
  <c r="AI195" i="1"/>
  <c r="AW195" i="1" s="1"/>
  <c r="AC195" i="1"/>
  <c r="AA195" i="1"/>
  <c r="Z195" i="1" s="1"/>
  <c r="W195" i="1"/>
  <c r="U195" i="1"/>
  <c r="O195" i="1"/>
  <c r="C195" i="1"/>
  <c r="BG194" i="1"/>
  <c r="BA194" i="1"/>
  <c r="AZ194" i="1"/>
  <c r="AU194" i="1"/>
  <c r="BC194" i="1" s="1"/>
  <c r="AQ194" i="1"/>
  <c r="AP194" i="1"/>
  <c r="AL194" i="1"/>
  <c r="AJ194" i="1"/>
  <c r="AV194" i="1" s="1"/>
  <c r="AI194" i="1"/>
  <c r="AW194" i="1" s="1"/>
  <c r="AC194" i="1"/>
  <c r="AA194" i="1"/>
  <c r="Z194" i="1" s="1"/>
  <c r="W194" i="1"/>
  <c r="U194" i="1"/>
  <c r="O194" i="1"/>
  <c r="C194" i="1"/>
  <c r="BG193" i="1"/>
  <c r="BA193" i="1"/>
  <c r="AZ193" i="1"/>
  <c r="AU193" i="1"/>
  <c r="BC193" i="1" s="1"/>
  <c r="AQ193" i="1"/>
  <c r="AP193" i="1"/>
  <c r="AL193" i="1"/>
  <c r="AJ193" i="1"/>
  <c r="AV193" i="1" s="1"/>
  <c r="AI193" i="1"/>
  <c r="AW193" i="1" s="1"/>
  <c r="AC193" i="1"/>
  <c r="AA193" i="1"/>
  <c r="Z193" i="1" s="1"/>
  <c r="W193" i="1"/>
  <c r="U193" i="1"/>
  <c r="O193" i="1"/>
  <c r="C193" i="1"/>
  <c r="BA192" i="1"/>
  <c r="AZ192" i="1"/>
  <c r="AU192" i="1"/>
  <c r="BC192" i="1" s="1"/>
  <c r="AQ192" i="1"/>
  <c r="AP192" i="1"/>
  <c r="AL192" i="1"/>
  <c r="AJ192" i="1"/>
  <c r="AV192" i="1" s="1"/>
  <c r="AI192" i="1"/>
  <c r="AW192" i="1" s="1"/>
  <c r="AC192" i="1"/>
  <c r="BG192" i="1" s="1"/>
  <c r="AA192" i="1"/>
  <c r="Z192" i="1" s="1"/>
  <c r="W192" i="1"/>
  <c r="U192" i="1"/>
  <c r="C192" i="1"/>
  <c r="BG191" i="1"/>
  <c r="BA191" i="1"/>
  <c r="AZ191" i="1"/>
  <c r="AU191" i="1"/>
  <c r="AQ191" i="1"/>
  <c r="AP191" i="1"/>
  <c r="AR191" i="1" s="1"/>
  <c r="BB191" i="1" s="1"/>
  <c r="AL191" i="1"/>
  <c r="AJ191" i="1"/>
  <c r="AV191" i="1" s="1"/>
  <c r="AI191" i="1"/>
  <c r="AW191" i="1" s="1"/>
  <c r="AC191" i="1"/>
  <c r="AA191" i="1"/>
  <c r="Z191" i="1" s="1"/>
  <c r="W191" i="1"/>
  <c r="U191" i="1"/>
  <c r="C191" i="1"/>
  <c r="BG190" i="1"/>
  <c r="BA190" i="1"/>
  <c r="AZ190" i="1"/>
  <c r="AW190" i="1"/>
  <c r="AU190" i="1"/>
  <c r="AQ190" i="1"/>
  <c r="AP190" i="1"/>
  <c r="AL190" i="1"/>
  <c r="AJ190" i="1"/>
  <c r="AV190" i="1" s="1"/>
  <c r="AI190" i="1"/>
  <c r="AC190" i="1"/>
  <c r="AA190" i="1"/>
  <c r="Z190" i="1"/>
  <c r="U190" i="1"/>
  <c r="W190" i="1" s="1"/>
  <c r="O190" i="1"/>
  <c r="AR190" i="1" s="1"/>
  <c r="BB190" i="1" s="1"/>
  <c r="C190" i="1"/>
  <c r="BA189" i="1"/>
  <c r="AZ189" i="1"/>
  <c r="AA189" i="1" s="1"/>
  <c r="AW189" i="1"/>
  <c r="AU189" i="1"/>
  <c r="AQ189" i="1"/>
  <c r="AP189" i="1"/>
  <c r="AJ189" i="1"/>
  <c r="AV189" i="1" s="1"/>
  <c r="AI189" i="1"/>
  <c r="AC189" i="1"/>
  <c r="BG189" i="1" s="1"/>
  <c r="Z189" i="1"/>
  <c r="U189" i="1"/>
  <c r="W189" i="1" s="1"/>
  <c r="O189" i="1"/>
  <c r="AR189" i="1" s="1"/>
  <c r="BB189" i="1" s="1"/>
  <c r="C189" i="1"/>
  <c r="BA188" i="1"/>
  <c r="V188" i="1" s="1"/>
  <c r="AZ188" i="1"/>
  <c r="AA188" i="1" s="1"/>
  <c r="AW188" i="1"/>
  <c r="AU188" i="1"/>
  <c r="BC188" i="1" s="1"/>
  <c r="AQ188" i="1"/>
  <c r="AP188" i="1"/>
  <c r="AJ188" i="1"/>
  <c r="AV188" i="1" s="1"/>
  <c r="AI188" i="1"/>
  <c r="AC188" i="1"/>
  <c r="BG188" i="1" s="1"/>
  <c r="Z188" i="1"/>
  <c r="U188" i="1"/>
  <c r="W188" i="1" s="1"/>
  <c r="O188" i="1"/>
  <c r="AR188" i="1" s="1"/>
  <c r="BB188" i="1" s="1"/>
  <c r="BD188" i="1" s="1"/>
  <c r="AX188" i="1" s="1"/>
  <c r="C188" i="1"/>
  <c r="BA187" i="1"/>
  <c r="AZ187" i="1"/>
  <c r="AA187" i="1" s="1"/>
  <c r="AW187" i="1"/>
  <c r="AU187" i="1"/>
  <c r="AQ187" i="1"/>
  <c r="AP187" i="1"/>
  <c r="AJ187" i="1"/>
  <c r="AV187" i="1" s="1"/>
  <c r="AI187" i="1"/>
  <c r="AC187" i="1"/>
  <c r="BG187" i="1" s="1"/>
  <c r="Z187" i="1"/>
  <c r="U187" i="1"/>
  <c r="W187" i="1" s="1"/>
  <c r="O187" i="1"/>
  <c r="AR187" i="1" s="1"/>
  <c r="BB187" i="1" s="1"/>
  <c r="C187" i="1"/>
  <c r="BA186" i="1"/>
  <c r="V186" i="1" s="1"/>
  <c r="AZ186" i="1"/>
  <c r="AA186" i="1" s="1"/>
  <c r="AW186" i="1"/>
  <c r="AU186" i="1"/>
  <c r="BC186" i="1" s="1"/>
  <c r="AQ186" i="1"/>
  <c r="AP186" i="1"/>
  <c r="AJ186" i="1"/>
  <c r="AV186" i="1" s="1"/>
  <c r="AI186" i="1"/>
  <c r="AC186" i="1"/>
  <c r="BG186" i="1" s="1"/>
  <c r="Z186" i="1"/>
  <c r="U186" i="1"/>
  <c r="W186" i="1" s="1"/>
  <c r="O186" i="1"/>
  <c r="AR186" i="1" s="1"/>
  <c r="BB186" i="1" s="1"/>
  <c r="BD186" i="1" s="1"/>
  <c r="AX186" i="1" s="1"/>
  <c r="C186" i="1"/>
  <c r="BA185" i="1"/>
  <c r="AZ185" i="1"/>
  <c r="AA185" i="1" s="1"/>
  <c r="AW185" i="1"/>
  <c r="AU185" i="1"/>
  <c r="AQ185" i="1"/>
  <c r="AP185" i="1"/>
  <c r="AJ185" i="1"/>
  <c r="AV185" i="1" s="1"/>
  <c r="AI185" i="1"/>
  <c r="AC185" i="1"/>
  <c r="BG185" i="1" s="1"/>
  <c r="Z185" i="1"/>
  <c r="U185" i="1"/>
  <c r="W185" i="1" s="1"/>
  <c r="O185" i="1"/>
  <c r="AR185" i="1" s="1"/>
  <c r="BB185" i="1" s="1"/>
  <c r="C185" i="1"/>
  <c r="BA184" i="1"/>
  <c r="AZ184" i="1"/>
  <c r="AA184" i="1" s="1"/>
  <c r="AW184" i="1"/>
  <c r="AU184" i="1"/>
  <c r="BC184" i="1" s="1"/>
  <c r="AT184" i="1"/>
  <c r="AQ184" i="1"/>
  <c r="AP184" i="1"/>
  <c r="AJ184" i="1"/>
  <c r="AV184" i="1" s="1"/>
  <c r="AI184" i="1"/>
  <c r="AF184" i="1"/>
  <c r="AG184" i="1" s="1"/>
  <c r="AS184" i="1" s="1"/>
  <c r="AC184" i="1"/>
  <c r="BG184" i="1" s="1"/>
  <c r="Z184" i="1"/>
  <c r="U184" i="1"/>
  <c r="W184" i="1" s="1"/>
  <c r="O184" i="1"/>
  <c r="AR184" i="1" s="1"/>
  <c r="BB184" i="1" s="1"/>
  <c r="BD184" i="1" s="1"/>
  <c r="AX184" i="1" s="1"/>
  <c r="Y184" i="1" s="1"/>
  <c r="C184" i="1"/>
  <c r="BA183" i="1"/>
  <c r="AZ183" i="1"/>
  <c r="AW183" i="1"/>
  <c r="AU183" i="1"/>
  <c r="AQ183" i="1"/>
  <c r="AP183" i="1"/>
  <c r="AR183" i="1" s="1"/>
  <c r="BB183" i="1" s="1"/>
  <c r="AL183" i="1"/>
  <c r="AJ183" i="1"/>
  <c r="AV183" i="1" s="1"/>
  <c r="AI183" i="1"/>
  <c r="AC183" i="1"/>
  <c r="BG183" i="1" s="1"/>
  <c r="AA183" i="1"/>
  <c r="Z183" i="1"/>
  <c r="U183" i="1"/>
  <c r="W183" i="1" s="1"/>
  <c r="C183" i="1"/>
  <c r="BA182" i="1"/>
  <c r="AZ182" i="1"/>
  <c r="AA182" i="1" s="1"/>
  <c r="Z182" i="1" s="1"/>
  <c r="AW182" i="1"/>
  <c r="AV182" i="1"/>
  <c r="AU182" i="1"/>
  <c r="AQ182" i="1"/>
  <c r="AP182" i="1"/>
  <c r="AJ182" i="1"/>
  <c r="AI182" i="1"/>
  <c r="AC182" i="1"/>
  <c r="U182" i="1"/>
  <c r="W182" i="1" s="1"/>
  <c r="O182" i="1"/>
  <c r="C182" i="1"/>
  <c r="BA181" i="1"/>
  <c r="AZ181" i="1"/>
  <c r="AA181" i="1" s="1"/>
  <c r="AW181" i="1"/>
  <c r="AU181" i="1"/>
  <c r="AR181" i="1"/>
  <c r="BB181" i="1" s="1"/>
  <c r="AQ181" i="1"/>
  <c r="AP181" i="1"/>
  <c r="AJ181" i="1"/>
  <c r="AV181" i="1" s="1"/>
  <c r="AI181" i="1"/>
  <c r="AC181" i="1"/>
  <c r="Z181" i="1"/>
  <c r="U181" i="1"/>
  <c r="W181" i="1" s="1"/>
  <c r="C181" i="1"/>
  <c r="BA180" i="1"/>
  <c r="AZ180" i="1"/>
  <c r="AA180" i="1" s="1"/>
  <c r="Z180" i="1" s="1"/>
  <c r="AU180" i="1"/>
  <c r="AQ180" i="1"/>
  <c r="AR180" i="1" s="1"/>
  <c r="BB180" i="1" s="1"/>
  <c r="AP180" i="1"/>
  <c r="AJ180" i="1"/>
  <c r="AV180" i="1" s="1"/>
  <c r="AI180" i="1"/>
  <c r="AW180" i="1" s="1"/>
  <c r="AC180" i="1"/>
  <c r="W180" i="1"/>
  <c r="U180" i="1"/>
  <c r="C180" i="1"/>
  <c r="BG179" i="1"/>
  <c r="BA179" i="1"/>
  <c r="AZ179" i="1"/>
  <c r="AU179" i="1"/>
  <c r="BC179" i="1" s="1"/>
  <c r="AQ179" i="1"/>
  <c r="AP179" i="1"/>
  <c r="AL179" i="1"/>
  <c r="AJ179" i="1"/>
  <c r="AV179" i="1" s="1"/>
  <c r="AI179" i="1"/>
  <c r="AW179" i="1" s="1"/>
  <c r="AC179" i="1"/>
  <c r="AA179" i="1"/>
  <c r="Z179" i="1" s="1"/>
  <c r="W179" i="1"/>
  <c r="U179" i="1"/>
  <c r="O179" i="1"/>
  <c r="AR179" i="1" s="1"/>
  <c r="BB179" i="1" s="1"/>
  <c r="BD179" i="1" s="1"/>
  <c r="AX179" i="1" s="1"/>
  <c r="C179" i="1"/>
  <c r="BG178" i="1"/>
  <c r="BA178" i="1"/>
  <c r="AZ178" i="1"/>
  <c r="AU178" i="1"/>
  <c r="BC178" i="1" s="1"/>
  <c r="AQ178" i="1"/>
  <c r="AP178" i="1"/>
  <c r="AL178" i="1"/>
  <c r="AJ178" i="1"/>
  <c r="AV178" i="1" s="1"/>
  <c r="AI178" i="1"/>
  <c r="AW178" i="1" s="1"/>
  <c r="AC178" i="1"/>
  <c r="AA178" i="1"/>
  <c r="Z178" i="1" s="1"/>
  <c r="W178" i="1"/>
  <c r="U178" i="1"/>
  <c r="O178" i="1"/>
  <c r="AR178" i="1" s="1"/>
  <c r="BB178" i="1" s="1"/>
  <c r="C178" i="1"/>
  <c r="BG177" i="1"/>
  <c r="BA177" i="1"/>
  <c r="AZ177" i="1"/>
  <c r="AU177" i="1"/>
  <c r="BC177" i="1" s="1"/>
  <c r="AQ177" i="1"/>
  <c r="AP177" i="1"/>
  <c r="AL177" i="1"/>
  <c r="AJ177" i="1"/>
  <c r="AV177" i="1" s="1"/>
  <c r="AI177" i="1"/>
  <c r="AW177" i="1" s="1"/>
  <c r="AC177" i="1"/>
  <c r="AA177" i="1"/>
  <c r="Z177" i="1" s="1"/>
  <c r="W177" i="1"/>
  <c r="U177" i="1"/>
  <c r="C177" i="1"/>
  <c r="BG176" i="1"/>
  <c r="BA176" i="1"/>
  <c r="AZ176" i="1"/>
  <c r="AU176" i="1"/>
  <c r="AQ176" i="1"/>
  <c r="AP176" i="1"/>
  <c r="AL176" i="1"/>
  <c r="AJ176" i="1"/>
  <c r="AV176" i="1" s="1"/>
  <c r="BC176" i="1" s="1"/>
  <c r="AI176" i="1"/>
  <c r="AW176" i="1" s="1"/>
  <c r="AC176" i="1"/>
  <c r="AA176" i="1"/>
  <c r="Z176" i="1" s="1"/>
  <c r="W176" i="1"/>
  <c r="U176" i="1"/>
  <c r="O176" i="1"/>
  <c r="O177" i="1" s="1"/>
  <c r="C176" i="1"/>
  <c r="BG175" i="1"/>
  <c r="BA175" i="1"/>
  <c r="AZ175" i="1"/>
  <c r="AU175" i="1"/>
  <c r="AQ175" i="1"/>
  <c r="AP175" i="1"/>
  <c r="AL175" i="1"/>
  <c r="AJ175" i="1"/>
  <c r="AV175" i="1" s="1"/>
  <c r="BC175" i="1" s="1"/>
  <c r="AI175" i="1"/>
  <c r="AW175" i="1" s="1"/>
  <c r="AC175" i="1"/>
  <c r="AA175" i="1"/>
  <c r="Z175" i="1" s="1"/>
  <c r="W175" i="1"/>
  <c r="U175" i="1"/>
  <c r="C175" i="1"/>
  <c r="BG174" i="1"/>
  <c r="BA174" i="1"/>
  <c r="AZ174" i="1"/>
  <c r="AU174" i="1"/>
  <c r="AQ174" i="1"/>
  <c r="AP174" i="1"/>
  <c r="AL174" i="1"/>
  <c r="AJ174" i="1"/>
  <c r="AV174" i="1" s="1"/>
  <c r="BC174" i="1" s="1"/>
  <c r="AI174" i="1"/>
  <c r="AW174" i="1" s="1"/>
  <c r="AC174" i="1"/>
  <c r="AA174" i="1"/>
  <c r="Z174" i="1" s="1"/>
  <c r="W174" i="1"/>
  <c r="U174" i="1"/>
  <c r="O174" i="1"/>
  <c r="O175" i="1" s="1"/>
  <c r="C174" i="1"/>
  <c r="BG173" i="1"/>
  <c r="BA173" i="1"/>
  <c r="AZ173" i="1"/>
  <c r="AU173" i="1"/>
  <c r="AQ173" i="1"/>
  <c r="AP173" i="1"/>
  <c r="AL173" i="1"/>
  <c r="AJ173" i="1"/>
  <c r="AV173" i="1" s="1"/>
  <c r="BC173" i="1" s="1"/>
  <c r="AI173" i="1"/>
  <c r="AW173" i="1" s="1"/>
  <c r="AC173" i="1"/>
  <c r="AA173" i="1"/>
  <c r="Z173" i="1" s="1"/>
  <c r="W173" i="1"/>
  <c r="U173" i="1"/>
  <c r="O173" i="1"/>
  <c r="AR173" i="1" s="1"/>
  <c r="BB173" i="1" s="1"/>
  <c r="BD173" i="1" s="1"/>
  <c r="AX173" i="1" s="1"/>
  <c r="C173" i="1"/>
  <c r="BG172" i="1"/>
  <c r="BA172" i="1"/>
  <c r="AZ172" i="1"/>
  <c r="AU172" i="1"/>
  <c r="AQ172" i="1"/>
  <c r="AP172" i="1"/>
  <c r="AL172" i="1"/>
  <c r="AJ172" i="1"/>
  <c r="AV172" i="1" s="1"/>
  <c r="BC172" i="1" s="1"/>
  <c r="AI172" i="1"/>
  <c r="AW172" i="1" s="1"/>
  <c r="AC172" i="1"/>
  <c r="AA172" i="1"/>
  <c r="Z172" i="1" s="1"/>
  <c r="W172" i="1"/>
  <c r="U172" i="1"/>
  <c r="O172" i="1"/>
  <c r="AR172" i="1" s="1"/>
  <c r="BB172" i="1" s="1"/>
  <c r="C172" i="1"/>
  <c r="BG171" i="1"/>
  <c r="BA171" i="1"/>
  <c r="AZ171" i="1"/>
  <c r="AU171" i="1"/>
  <c r="AQ171" i="1"/>
  <c r="AP171" i="1"/>
  <c r="AL171" i="1"/>
  <c r="AJ171" i="1"/>
  <c r="AV171" i="1" s="1"/>
  <c r="BC171" i="1" s="1"/>
  <c r="AI171" i="1"/>
  <c r="AW171" i="1" s="1"/>
  <c r="AC171" i="1"/>
  <c r="AA171" i="1"/>
  <c r="Z171" i="1" s="1"/>
  <c r="W171" i="1"/>
  <c r="U171" i="1"/>
  <c r="O171" i="1"/>
  <c r="AR171" i="1" s="1"/>
  <c r="BB171" i="1" s="1"/>
  <c r="C171" i="1"/>
  <c r="BG170" i="1"/>
  <c r="BA170" i="1"/>
  <c r="AZ170" i="1"/>
  <c r="AU170" i="1"/>
  <c r="AQ170" i="1"/>
  <c r="AP170" i="1"/>
  <c r="AL170" i="1"/>
  <c r="AJ170" i="1"/>
  <c r="AV170" i="1" s="1"/>
  <c r="BC170" i="1" s="1"/>
  <c r="AI170" i="1"/>
  <c r="AW170" i="1" s="1"/>
  <c r="AC170" i="1"/>
  <c r="AA170" i="1"/>
  <c r="Z170" i="1" s="1"/>
  <c r="W170" i="1"/>
  <c r="U170" i="1"/>
  <c r="O170" i="1"/>
  <c r="AR170" i="1" s="1"/>
  <c r="BB170" i="1" s="1"/>
  <c r="BD170" i="1" s="1"/>
  <c r="AX170" i="1" s="1"/>
  <c r="C170" i="1"/>
  <c r="BG169" i="1"/>
  <c r="BA169" i="1"/>
  <c r="AZ169" i="1"/>
  <c r="AU169" i="1"/>
  <c r="AQ169" i="1"/>
  <c r="AP169" i="1"/>
  <c r="AL169" i="1"/>
  <c r="AJ169" i="1"/>
  <c r="AV169" i="1" s="1"/>
  <c r="BC169" i="1" s="1"/>
  <c r="AI169" i="1"/>
  <c r="AW169" i="1" s="1"/>
  <c r="AC169" i="1"/>
  <c r="AA169" i="1"/>
  <c r="Z169" i="1" s="1"/>
  <c r="W169" i="1"/>
  <c r="U169" i="1"/>
  <c r="O169" i="1"/>
  <c r="AR169" i="1" s="1"/>
  <c r="BB169" i="1" s="1"/>
  <c r="BD169" i="1" s="1"/>
  <c r="AX169" i="1" s="1"/>
  <c r="C169" i="1"/>
  <c r="BG168" i="1"/>
  <c r="BA168" i="1"/>
  <c r="AZ168" i="1"/>
  <c r="AU168" i="1"/>
  <c r="AQ168" i="1"/>
  <c r="AP168" i="1"/>
  <c r="AL168" i="1"/>
  <c r="AJ168" i="1"/>
  <c r="AV168" i="1" s="1"/>
  <c r="BC168" i="1" s="1"/>
  <c r="AI168" i="1"/>
  <c r="AW168" i="1" s="1"/>
  <c r="AC168" i="1"/>
  <c r="AA168" i="1"/>
  <c r="Z168" i="1" s="1"/>
  <c r="W168" i="1"/>
  <c r="U168" i="1"/>
  <c r="O168" i="1"/>
  <c r="AR168" i="1" s="1"/>
  <c r="BB168" i="1" s="1"/>
  <c r="C168" i="1"/>
  <c r="BG167" i="1"/>
  <c r="BA167" i="1"/>
  <c r="AZ167" i="1"/>
  <c r="AU167" i="1"/>
  <c r="AQ167" i="1"/>
  <c r="AP167" i="1"/>
  <c r="AL167" i="1"/>
  <c r="AJ167" i="1"/>
  <c r="AV167" i="1" s="1"/>
  <c r="BC167" i="1" s="1"/>
  <c r="AI167" i="1"/>
  <c r="AW167" i="1" s="1"/>
  <c r="AC167" i="1"/>
  <c r="AA167" i="1"/>
  <c r="Z167" i="1" s="1"/>
  <c r="W167" i="1"/>
  <c r="U167" i="1"/>
  <c r="O167" i="1"/>
  <c r="C167" i="1"/>
  <c r="BG166" i="1"/>
  <c r="BA166" i="1"/>
  <c r="AZ166" i="1"/>
  <c r="AW166" i="1"/>
  <c r="AU166" i="1"/>
  <c r="BC166" i="1" s="1"/>
  <c r="AQ166" i="1"/>
  <c r="AP166" i="1"/>
  <c r="AL166" i="1"/>
  <c r="AJ166" i="1"/>
  <c r="AV166" i="1" s="1"/>
  <c r="AI166" i="1"/>
  <c r="AC166" i="1"/>
  <c r="AA166" i="1"/>
  <c r="Z166" i="1" s="1"/>
  <c r="U166" i="1"/>
  <c r="W166" i="1" s="1"/>
  <c r="O166" i="1"/>
  <c r="C166" i="1"/>
  <c r="BG165" i="1"/>
  <c r="BE165" i="1"/>
  <c r="BA165" i="1"/>
  <c r="AZ165" i="1"/>
  <c r="AW165" i="1"/>
  <c r="AU165" i="1"/>
  <c r="BC165" i="1" s="1"/>
  <c r="AQ165" i="1"/>
  <c r="AP165" i="1"/>
  <c r="AL165" i="1"/>
  <c r="AJ165" i="1"/>
  <c r="AV165" i="1" s="1"/>
  <c r="AI165" i="1"/>
  <c r="AC165" i="1"/>
  <c r="AA165" i="1"/>
  <c r="Z165" i="1"/>
  <c r="U165" i="1"/>
  <c r="W165" i="1" s="1"/>
  <c r="O165" i="1"/>
  <c r="AR165" i="1" s="1"/>
  <c r="BB165" i="1" s="1"/>
  <c r="C165" i="1"/>
  <c r="BG164" i="1"/>
  <c r="BA164" i="1"/>
  <c r="AZ164" i="1"/>
  <c r="AU164" i="1"/>
  <c r="AQ164" i="1"/>
  <c r="AP164" i="1"/>
  <c r="AL164" i="1"/>
  <c r="AJ164" i="1"/>
  <c r="AV164" i="1" s="1"/>
  <c r="AI164" i="1"/>
  <c r="AW164" i="1" s="1"/>
  <c r="AC164" i="1"/>
  <c r="AA164" i="1"/>
  <c r="Z164" i="1"/>
  <c r="W164" i="1"/>
  <c r="U164" i="1"/>
  <c r="O164" i="1"/>
  <c r="AR164" i="1" s="1"/>
  <c r="BB164" i="1" s="1"/>
  <c r="C164" i="1"/>
  <c r="BG163" i="1"/>
  <c r="BB163" i="1"/>
  <c r="BA163" i="1"/>
  <c r="AZ163" i="1"/>
  <c r="AU163" i="1"/>
  <c r="AQ163" i="1"/>
  <c r="AP163" i="1"/>
  <c r="AL163" i="1"/>
  <c r="AJ163" i="1"/>
  <c r="AV163" i="1" s="1"/>
  <c r="AI163" i="1"/>
  <c r="AW163" i="1" s="1"/>
  <c r="AC163" i="1"/>
  <c r="AA163" i="1"/>
  <c r="Z163" i="1" s="1"/>
  <c r="W163" i="1"/>
  <c r="U163" i="1"/>
  <c r="O163" i="1"/>
  <c r="AR163" i="1" s="1"/>
  <c r="C163" i="1"/>
  <c r="BG162" i="1"/>
  <c r="BA162" i="1"/>
  <c r="AZ162" i="1"/>
  <c r="AW162" i="1"/>
  <c r="AU162" i="1"/>
  <c r="BC162" i="1" s="1"/>
  <c r="AQ162" i="1"/>
  <c r="AP162" i="1"/>
  <c r="AL162" i="1"/>
  <c r="AJ162" i="1"/>
  <c r="AV162" i="1" s="1"/>
  <c r="AI162" i="1"/>
  <c r="AC162" i="1"/>
  <c r="AA162" i="1"/>
  <c r="Z162" i="1" s="1"/>
  <c r="U162" i="1"/>
  <c r="W162" i="1" s="1"/>
  <c r="C162" i="1"/>
  <c r="BA161" i="1"/>
  <c r="AZ161" i="1"/>
  <c r="AA161" i="1" s="1"/>
  <c r="Z161" i="1" s="1"/>
  <c r="AW161" i="1"/>
  <c r="AU161" i="1"/>
  <c r="AQ161" i="1"/>
  <c r="AP161" i="1"/>
  <c r="AL161" i="1"/>
  <c r="AJ161" i="1"/>
  <c r="AV161" i="1" s="1"/>
  <c r="AI161" i="1"/>
  <c r="AC161" i="1"/>
  <c r="BG161" i="1" s="1"/>
  <c r="U161" i="1"/>
  <c r="W161" i="1" s="1"/>
  <c r="O161" i="1"/>
  <c r="C161" i="1"/>
  <c r="BA160" i="1"/>
  <c r="AZ160" i="1"/>
  <c r="AW160" i="1"/>
  <c r="AU160" i="1"/>
  <c r="AQ160" i="1"/>
  <c r="AP160" i="1"/>
  <c r="AR160" i="1" s="1"/>
  <c r="BB160" i="1" s="1"/>
  <c r="AJ160" i="1"/>
  <c r="AV160" i="1" s="1"/>
  <c r="AI160" i="1"/>
  <c r="AC160" i="1"/>
  <c r="BG160" i="1" s="1"/>
  <c r="AA160" i="1"/>
  <c r="Z160" i="1" s="1"/>
  <c r="U160" i="1"/>
  <c r="W160" i="1" s="1"/>
  <c r="C160" i="1"/>
  <c r="BA159" i="1"/>
  <c r="AZ159" i="1"/>
  <c r="AA159" i="1" s="1"/>
  <c r="Z159" i="1" s="1"/>
  <c r="AU159" i="1"/>
  <c r="AQ159" i="1"/>
  <c r="AP159" i="1"/>
  <c r="AJ159" i="1"/>
  <c r="AV159" i="1" s="1"/>
  <c r="AI159" i="1"/>
  <c r="AW159" i="1" s="1"/>
  <c r="AC159" i="1"/>
  <c r="U159" i="1"/>
  <c r="W159" i="1" s="1"/>
  <c r="O159" i="1"/>
  <c r="AR159" i="1" s="1"/>
  <c r="BB159" i="1" s="1"/>
  <c r="C159" i="1"/>
  <c r="BA158" i="1"/>
  <c r="AZ158" i="1"/>
  <c r="AA158" i="1" s="1"/>
  <c r="Z158" i="1" s="1"/>
  <c r="AU158" i="1"/>
  <c r="AR158" i="1"/>
  <c r="BB158" i="1" s="1"/>
  <c r="AQ158" i="1"/>
  <c r="AP158" i="1"/>
  <c r="AJ158" i="1"/>
  <c r="AV158" i="1" s="1"/>
  <c r="AI158" i="1"/>
  <c r="AW158" i="1" s="1"/>
  <c r="AC158" i="1"/>
  <c r="U158" i="1"/>
  <c r="W158" i="1" s="1"/>
  <c r="C158" i="1"/>
  <c r="BA157" i="1"/>
  <c r="AZ157" i="1"/>
  <c r="AU157" i="1"/>
  <c r="AQ157" i="1"/>
  <c r="AP157" i="1"/>
  <c r="AJ157" i="1"/>
  <c r="AV157" i="1" s="1"/>
  <c r="BC157" i="1" s="1"/>
  <c r="AI157" i="1"/>
  <c r="AW157" i="1" s="1"/>
  <c r="AC157" i="1"/>
  <c r="AA157" i="1"/>
  <c r="Z157" i="1" s="1"/>
  <c r="W157" i="1"/>
  <c r="U157" i="1"/>
  <c r="O157" i="1"/>
  <c r="C157" i="1"/>
  <c r="BA156" i="1"/>
  <c r="AZ156" i="1"/>
  <c r="AA156" i="1" s="1"/>
  <c r="Z156" i="1" s="1"/>
  <c r="AU156" i="1"/>
  <c r="BC156" i="1" s="1"/>
  <c r="AQ156" i="1"/>
  <c r="AP156" i="1"/>
  <c r="AJ156" i="1"/>
  <c r="AV156" i="1" s="1"/>
  <c r="AI156" i="1"/>
  <c r="AW156" i="1" s="1"/>
  <c r="AC156" i="1"/>
  <c r="W156" i="1"/>
  <c r="U156" i="1"/>
  <c r="O156" i="1"/>
  <c r="C156" i="1"/>
  <c r="BA155" i="1"/>
  <c r="AZ155" i="1"/>
  <c r="AA155" i="1" s="1"/>
  <c r="Z155" i="1" s="1"/>
  <c r="AU155" i="1"/>
  <c r="BC155" i="1" s="1"/>
  <c r="AQ155" i="1"/>
  <c r="AP155" i="1"/>
  <c r="AJ155" i="1"/>
  <c r="AV155" i="1" s="1"/>
  <c r="AI155" i="1"/>
  <c r="AW155" i="1" s="1"/>
  <c r="AC155" i="1"/>
  <c r="BE155" i="1" s="1"/>
  <c r="U155" i="1"/>
  <c r="W155" i="1" s="1"/>
  <c r="O155" i="1"/>
  <c r="C155" i="1"/>
  <c r="BA154" i="1"/>
  <c r="AZ154" i="1"/>
  <c r="AA154" i="1" s="1"/>
  <c r="Z154" i="1" s="1"/>
  <c r="AW154" i="1"/>
  <c r="AU154" i="1"/>
  <c r="BC154" i="1" s="1"/>
  <c r="AQ154" i="1"/>
  <c r="AP154" i="1"/>
  <c r="AJ154" i="1"/>
  <c r="AV154" i="1" s="1"/>
  <c r="AI154" i="1"/>
  <c r="AC154" i="1"/>
  <c r="BG154" i="1" s="1"/>
  <c r="U154" i="1"/>
  <c r="W154" i="1" s="1"/>
  <c r="O154" i="1"/>
  <c r="AR154" i="1" s="1"/>
  <c r="BB154" i="1" s="1"/>
  <c r="C154" i="1"/>
  <c r="BA153" i="1"/>
  <c r="AZ153" i="1"/>
  <c r="AA153" i="1" s="1"/>
  <c r="Z153" i="1" s="1"/>
  <c r="AW153" i="1"/>
  <c r="AU153" i="1"/>
  <c r="BC153" i="1" s="1"/>
  <c r="AQ153" i="1"/>
  <c r="AP153" i="1"/>
  <c r="AJ153" i="1"/>
  <c r="AV153" i="1" s="1"/>
  <c r="AI153" i="1"/>
  <c r="AC153" i="1"/>
  <c r="BG153" i="1" s="1"/>
  <c r="U153" i="1"/>
  <c r="W153" i="1" s="1"/>
  <c r="O153" i="1"/>
  <c r="AR153" i="1" s="1"/>
  <c r="BB153" i="1" s="1"/>
  <c r="C153" i="1"/>
  <c r="BA152" i="1"/>
  <c r="AZ152" i="1"/>
  <c r="AA152" i="1" s="1"/>
  <c r="Z152" i="1" s="1"/>
  <c r="AW152" i="1"/>
  <c r="AU152" i="1"/>
  <c r="BC152" i="1" s="1"/>
  <c r="AQ152" i="1"/>
  <c r="AP152" i="1"/>
  <c r="AJ152" i="1"/>
  <c r="AV152" i="1" s="1"/>
  <c r="AI152" i="1"/>
  <c r="AC152" i="1"/>
  <c r="BG152" i="1" s="1"/>
  <c r="U152" i="1"/>
  <c r="W152" i="1" s="1"/>
  <c r="O152" i="1"/>
  <c r="AR152" i="1" s="1"/>
  <c r="BB152" i="1" s="1"/>
  <c r="C152" i="1"/>
  <c r="BA151" i="1"/>
  <c r="AZ151" i="1"/>
  <c r="AA151" i="1" s="1"/>
  <c r="Z151" i="1" s="1"/>
  <c r="AW151" i="1"/>
  <c r="AU151" i="1"/>
  <c r="AR151" i="1"/>
  <c r="BB151" i="1" s="1"/>
  <c r="AQ151" i="1"/>
  <c r="AP151" i="1"/>
  <c r="AJ151" i="1"/>
  <c r="AV151" i="1" s="1"/>
  <c r="AI151" i="1"/>
  <c r="AC151" i="1"/>
  <c r="BG151" i="1" s="1"/>
  <c r="U151" i="1"/>
  <c r="W151" i="1" s="1"/>
  <c r="C151" i="1"/>
  <c r="BA150" i="1"/>
  <c r="AZ150" i="1"/>
  <c r="AA150" i="1" s="1"/>
  <c r="Z150" i="1" s="1"/>
  <c r="AU150" i="1"/>
  <c r="AQ150" i="1"/>
  <c r="AR150" i="1" s="1"/>
  <c r="BB150" i="1" s="1"/>
  <c r="AP150" i="1"/>
  <c r="AJ150" i="1"/>
  <c r="AV150" i="1" s="1"/>
  <c r="AI150" i="1"/>
  <c r="AW150" i="1" s="1"/>
  <c r="AC150" i="1"/>
  <c r="BG150" i="1" s="1"/>
  <c r="W150" i="1"/>
  <c r="U150" i="1"/>
  <c r="C150" i="1"/>
  <c r="BG149" i="1"/>
  <c r="BA149" i="1"/>
  <c r="AZ149" i="1"/>
  <c r="AU149" i="1"/>
  <c r="AQ149" i="1"/>
  <c r="AP149" i="1"/>
  <c r="AL149" i="1"/>
  <c r="AJ149" i="1"/>
  <c r="AV149" i="1" s="1"/>
  <c r="AI149" i="1"/>
  <c r="AW149" i="1" s="1"/>
  <c r="AC149" i="1"/>
  <c r="AA149" i="1"/>
  <c r="Z149" i="1" s="1"/>
  <c r="W149" i="1"/>
  <c r="U149" i="1"/>
  <c r="O149" i="1"/>
  <c r="AR149" i="1" s="1"/>
  <c r="BB149" i="1" s="1"/>
  <c r="C149" i="1"/>
  <c r="BG148" i="1"/>
  <c r="BA148" i="1"/>
  <c r="AZ148" i="1"/>
  <c r="AU148" i="1"/>
  <c r="AQ148" i="1"/>
  <c r="AP148" i="1"/>
  <c r="AL148" i="1"/>
  <c r="AJ148" i="1"/>
  <c r="AV148" i="1" s="1"/>
  <c r="AI148" i="1"/>
  <c r="AW148" i="1" s="1"/>
  <c r="AC148" i="1"/>
  <c r="AA148" i="1"/>
  <c r="Z148" i="1" s="1"/>
  <c r="W148" i="1"/>
  <c r="U148" i="1"/>
  <c r="O148" i="1"/>
  <c r="AR148" i="1" s="1"/>
  <c r="BB148" i="1" s="1"/>
  <c r="C148" i="1"/>
  <c r="BG147" i="1"/>
  <c r="BA147" i="1"/>
  <c r="AZ147" i="1"/>
  <c r="AU147" i="1"/>
  <c r="AQ147" i="1"/>
  <c r="AP147" i="1"/>
  <c r="AR147" i="1" s="1"/>
  <c r="BB147" i="1" s="1"/>
  <c r="AL147" i="1"/>
  <c r="AJ147" i="1"/>
  <c r="AV147" i="1" s="1"/>
  <c r="AI147" i="1"/>
  <c r="AW147" i="1" s="1"/>
  <c r="AC147" i="1"/>
  <c r="BE147" i="1" s="1"/>
  <c r="AA147" i="1"/>
  <c r="Z147" i="1" s="1"/>
  <c r="W147" i="1"/>
  <c r="U147" i="1"/>
  <c r="C147" i="1"/>
  <c r="BG146" i="1"/>
  <c r="BE146" i="1"/>
  <c r="BA146" i="1"/>
  <c r="AZ146" i="1"/>
  <c r="AW146" i="1"/>
  <c r="AU146" i="1"/>
  <c r="AQ146" i="1"/>
  <c r="AP146" i="1"/>
  <c r="AL146" i="1"/>
  <c r="AJ146" i="1"/>
  <c r="AV146" i="1" s="1"/>
  <c r="AI146" i="1"/>
  <c r="AC146" i="1"/>
  <c r="AA146" i="1"/>
  <c r="Z146" i="1"/>
  <c r="U146" i="1"/>
  <c r="W146" i="1" s="1"/>
  <c r="O146" i="1"/>
  <c r="AR146" i="1" s="1"/>
  <c r="BB146" i="1" s="1"/>
  <c r="C146" i="1"/>
  <c r="BG145" i="1"/>
  <c r="BE145" i="1"/>
  <c r="BA145" i="1"/>
  <c r="AZ145" i="1"/>
  <c r="AW145" i="1"/>
  <c r="AU145" i="1"/>
  <c r="AQ145" i="1"/>
  <c r="AP145" i="1"/>
  <c r="AL145" i="1"/>
  <c r="AJ145" i="1"/>
  <c r="AV145" i="1" s="1"/>
  <c r="AI145" i="1"/>
  <c r="AC145" i="1"/>
  <c r="AA145" i="1"/>
  <c r="Z145" i="1"/>
  <c r="U145" i="1"/>
  <c r="W145" i="1" s="1"/>
  <c r="O145" i="1"/>
  <c r="AR145" i="1" s="1"/>
  <c r="BB145" i="1" s="1"/>
  <c r="C145" i="1"/>
  <c r="BG144" i="1"/>
  <c r="BE144" i="1"/>
  <c r="BA144" i="1"/>
  <c r="AZ144" i="1"/>
  <c r="AW144" i="1"/>
  <c r="AU144" i="1"/>
  <c r="AQ144" i="1"/>
  <c r="AP144" i="1"/>
  <c r="AL144" i="1"/>
  <c r="AJ144" i="1"/>
  <c r="AV144" i="1" s="1"/>
  <c r="AI144" i="1"/>
  <c r="AC144" i="1"/>
  <c r="AA144" i="1"/>
  <c r="Z144" i="1"/>
  <c r="U144" i="1"/>
  <c r="W144" i="1" s="1"/>
  <c r="O144" i="1"/>
  <c r="AR144" i="1" s="1"/>
  <c r="BB144" i="1" s="1"/>
  <c r="C144" i="1"/>
  <c r="BG143" i="1"/>
  <c r="BE143" i="1"/>
  <c r="BA143" i="1"/>
  <c r="AZ143" i="1"/>
  <c r="AW143" i="1"/>
  <c r="AU143" i="1"/>
  <c r="AQ143" i="1"/>
  <c r="AP143" i="1"/>
  <c r="AL143" i="1"/>
  <c r="AJ143" i="1"/>
  <c r="AV143" i="1" s="1"/>
  <c r="AI143" i="1"/>
  <c r="AC143" i="1"/>
  <c r="AA143" i="1"/>
  <c r="Z143" i="1"/>
  <c r="U143" i="1"/>
  <c r="W143" i="1" s="1"/>
  <c r="O143" i="1"/>
  <c r="AR143" i="1" s="1"/>
  <c r="BB143" i="1" s="1"/>
  <c r="C143" i="1"/>
  <c r="BG142" i="1"/>
  <c r="BE142" i="1"/>
  <c r="BA142" i="1"/>
  <c r="AZ142" i="1"/>
  <c r="AW142" i="1"/>
  <c r="AU142" i="1"/>
  <c r="AQ142" i="1"/>
  <c r="AP142" i="1"/>
  <c r="AL142" i="1"/>
  <c r="AJ142" i="1"/>
  <c r="AV142" i="1" s="1"/>
  <c r="AI142" i="1"/>
  <c r="AC142" i="1"/>
  <c r="AA142" i="1"/>
  <c r="Z142" i="1"/>
  <c r="U142" i="1"/>
  <c r="W142" i="1" s="1"/>
  <c r="O142" i="1"/>
  <c r="AR142" i="1" s="1"/>
  <c r="BB142" i="1" s="1"/>
  <c r="C142" i="1"/>
  <c r="BG141" i="1"/>
  <c r="BE141" i="1"/>
  <c r="BA141" i="1"/>
  <c r="AZ141" i="1"/>
  <c r="AW141" i="1"/>
  <c r="AU141" i="1"/>
  <c r="AQ141" i="1"/>
  <c r="AP141" i="1"/>
  <c r="AL141" i="1"/>
  <c r="AJ141" i="1"/>
  <c r="AV141" i="1" s="1"/>
  <c r="AI141" i="1"/>
  <c r="AC141" i="1"/>
  <c r="AA141" i="1"/>
  <c r="Z141" i="1"/>
  <c r="U141" i="1"/>
  <c r="W141" i="1" s="1"/>
  <c r="O141" i="1"/>
  <c r="AR141" i="1" s="1"/>
  <c r="BB141" i="1" s="1"/>
  <c r="C141" i="1"/>
  <c r="BE140" i="1"/>
  <c r="BA140" i="1"/>
  <c r="AZ140" i="1"/>
  <c r="AA140" i="1" s="1"/>
  <c r="Z140" i="1" s="1"/>
  <c r="AW140" i="1"/>
  <c r="AU140" i="1"/>
  <c r="AQ140" i="1"/>
  <c r="AP140" i="1"/>
  <c r="AJ140" i="1"/>
  <c r="AV140" i="1" s="1"/>
  <c r="AI140" i="1"/>
  <c r="AC140" i="1"/>
  <c r="BG140" i="1" s="1"/>
  <c r="U140" i="1"/>
  <c r="W140" i="1" s="1"/>
  <c r="O140" i="1"/>
  <c r="AR140" i="1" s="1"/>
  <c r="BB140" i="1" s="1"/>
  <c r="C140" i="1"/>
  <c r="BE139" i="1"/>
  <c r="BA139" i="1"/>
  <c r="AZ139" i="1"/>
  <c r="AA139" i="1" s="1"/>
  <c r="Z139" i="1" s="1"/>
  <c r="AW139" i="1"/>
  <c r="AU139" i="1"/>
  <c r="BC139" i="1" s="1"/>
  <c r="AQ139" i="1"/>
  <c r="AP139" i="1"/>
  <c r="AJ139" i="1"/>
  <c r="AV139" i="1" s="1"/>
  <c r="AI139" i="1"/>
  <c r="AC139" i="1"/>
  <c r="BG139" i="1" s="1"/>
  <c r="U139" i="1"/>
  <c r="W139" i="1" s="1"/>
  <c r="O139" i="1"/>
  <c r="AR139" i="1" s="1"/>
  <c r="BB139" i="1" s="1"/>
  <c r="C139" i="1"/>
  <c r="BE138" i="1"/>
  <c r="BA138" i="1"/>
  <c r="AZ138" i="1"/>
  <c r="AA138" i="1" s="1"/>
  <c r="Z138" i="1" s="1"/>
  <c r="AW138" i="1"/>
  <c r="AU138" i="1"/>
  <c r="BC138" i="1" s="1"/>
  <c r="AQ138" i="1"/>
  <c r="AP138" i="1"/>
  <c r="AJ138" i="1"/>
  <c r="AV138" i="1" s="1"/>
  <c r="AI138" i="1"/>
  <c r="AC138" i="1"/>
  <c r="BG138" i="1" s="1"/>
  <c r="U138" i="1"/>
  <c r="W138" i="1" s="1"/>
  <c r="O138" i="1"/>
  <c r="AR138" i="1" s="1"/>
  <c r="BB138" i="1" s="1"/>
  <c r="C138" i="1"/>
  <c r="BE137" i="1"/>
  <c r="BA137" i="1"/>
  <c r="AZ137" i="1"/>
  <c r="AA137" i="1" s="1"/>
  <c r="Z137" i="1" s="1"/>
  <c r="AW137" i="1"/>
  <c r="AU137" i="1"/>
  <c r="BC137" i="1" s="1"/>
  <c r="AQ137" i="1"/>
  <c r="AP137" i="1"/>
  <c r="AJ137" i="1"/>
  <c r="AV137" i="1" s="1"/>
  <c r="AI137" i="1"/>
  <c r="AC137" i="1"/>
  <c r="BG137" i="1" s="1"/>
  <c r="U137" i="1"/>
  <c r="W137" i="1" s="1"/>
  <c r="O137" i="1"/>
  <c r="AR137" i="1" s="1"/>
  <c r="BB137" i="1" s="1"/>
  <c r="C137" i="1"/>
  <c r="BE136" i="1"/>
  <c r="BA136" i="1"/>
  <c r="AZ136" i="1"/>
  <c r="AA136" i="1" s="1"/>
  <c r="Z136" i="1" s="1"/>
  <c r="AW136" i="1"/>
  <c r="AU136" i="1"/>
  <c r="AQ136" i="1"/>
  <c r="AP136" i="1"/>
  <c r="AJ136" i="1"/>
  <c r="AV136" i="1" s="1"/>
  <c r="AI136" i="1"/>
  <c r="AC136" i="1"/>
  <c r="BG136" i="1" s="1"/>
  <c r="U136" i="1"/>
  <c r="W136" i="1" s="1"/>
  <c r="O136" i="1"/>
  <c r="AR136" i="1" s="1"/>
  <c r="BB136" i="1" s="1"/>
  <c r="C136" i="1"/>
  <c r="BE135" i="1"/>
  <c r="BA135" i="1"/>
  <c r="AZ135" i="1"/>
  <c r="AA135" i="1" s="1"/>
  <c r="Z135" i="1" s="1"/>
  <c r="AW135" i="1"/>
  <c r="AU135" i="1"/>
  <c r="BC135" i="1" s="1"/>
  <c r="AQ135" i="1"/>
  <c r="AP135" i="1"/>
  <c r="AJ135" i="1"/>
  <c r="AV135" i="1" s="1"/>
  <c r="AI135" i="1"/>
  <c r="AC135" i="1"/>
  <c r="BG135" i="1" s="1"/>
  <c r="U135" i="1"/>
  <c r="W135" i="1" s="1"/>
  <c r="O135" i="1"/>
  <c r="AR135" i="1" s="1"/>
  <c r="BB135" i="1" s="1"/>
  <c r="C135" i="1"/>
  <c r="BE134" i="1"/>
  <c r="BA134" i="1"/>
  <c r="AZ134" i="1"/>
  <c r="AA134" i="1" s="1"/>
  <c r="Z134" i="1" s="1"/>
  <c r="AW134" i="1"/>
  <c r="AU134" i="1"/>
  <c r="BC134" i="1" s="1"/>
  <c r="AQ134" i="1"/>
  <c r="AP134" i="1"/>
  <c r="AJ134" i="1"/>
  <c r="AV134" i="1" s="1"/>
  <c r="AI134" i="1"/>
  <c r="AC134" i="1"/>
  <c r="BG134" i="1" s="1"/>
  <c r="U134" i="1"/>
  <c r="W134" i="1" s="1"/>
  <c r="O134" i="1"/>
  <c r="AR134" i="1" s="1"/>
  <c r="BB134" i="1" s="1"/>
  <c r="C134" i="1"/>
  <c r="BE133" i="1"/>
  <c r="BA133" i="1"/>
  <c r="AZ133" i="1"/>
  <c r="AA133" i="1" s="1"/>
  <c r="Z133" i="1" s="1"/>
  <c r="AW133" i="1"/>
  <c r="AU133" i="1"/>
  <c r="BC133" i="1" s="1"/>
  <c r="AQ133" i="1"/>
  <c r="AP133" i="1"/>
  <c r="AJ133" i="1"/>
  <c r="AV133" i="1" s="1"/>
  <c r="AI133" i="1"/>
  <c r="AC133" i="1"/>
  <c r="BG133" i="1" s="1"/>
  <c r="U133" i="1"/>
  <c r="W133" i="1" s="1"/>
  <c r="O133" i="1"/>
  <c r="AR133" i="1" s="1"/>
  <c r="BB133" i="1" s="1"/>
  <c r="C133" i="1"/>
  <c r="BE132" i="1"/>
  <c r="BA132" i="1"/>
  <c r="AZ132" i="1"/>
  <c r="AA132" i="1" s="1"/>
  <c r="Z132" i="1" s="1"/>
  <c r="AW132" i="1"/>
  <c r="AU132" i="1"/>
  <c r="AQ132" i="1"/>
  <c r="AP132" i="1"/>
  <c r="AJ132" i="1"/>
  <c r="AV132" i="1" s="1"/>
  <c r="AI132" i="1"/>
  <c r="AC132" i="1"/>
  <c r="BG132" i="1" s="1"/>
  <c r="U132" i="1"/>
  <c r="W132" i="1" s="1"/>
  <c r="O132" i="1"/>
  <c r="AR132" i="1" s="1"/>
  <c r="BB132" i="1" s="1"/>
  <c r="C132" i="1"/>
  <c r="BE131" i="1"/>
  <c r="BA131" i="1"/>
  <c r="AZ131" i="1"/>
  <c r="AA131" i="1" s="1"/>
  <c r="Z131" i="1" s="1"/>
  <c r="AW131" i="1"/>
  <c r="AU131" i="1"/>
  <c r="BC131" i="1" s="1"/>
  <c r="AQ131" i="1"/>
  <c r="AP131" i="1"/>
  <c r="AJ131" i="1"/>
  <c r="AV131" i="1" s="1"/>
  <c r="AI131" i="1"/>
  <c r="AC131" i="1"/>
  <c r="BG131" i="1" s="1"/>
  <c r="U131" i="1"/>
  <c r="W131" i="1" s="1"/>
  <c r="O131" i="1"/>
  <c r="AR131" i="1" s="1"/>
  <c r="BB131" i="1" s="1"/>
  <c r="C131" i="1"/>
  <c r="BE130" i="1"/>
  <c r="BA130" i="1"/>
  <c r="AZ130" i="1"/>
  <c r="AA130" i="1" s="1"/>
  <c r="Z130" i="1" s="1"/>
  <c r="AW130" i="1"/>
  <c r="AU130" i="1"/>
  <c r="BC130" i="1" s="1"/>
  <c r="AQ130" i="1"/>
  <c r="AP130" i="1"/>
  <c r="AJ130" i="1"/>
  <c r="AV130" i="1" s="1"/>
  <c r="AI130" i="1"/>
  <c r="AC130" i="1"/>
  <c r="BG130" i="1" s="1"/>
  <c r="U130" i="1"/>
  <c r="W130" i="1" s="1"/>
  <c r="O130" i="1"/>
  <c r="AR130" i="1" s="1"/>
  <c r="BB130" i="1" s="1"/>
  <c r="C130" i="1"/>
  <c r="BE129" i="1"/>
  <c r="BA129" i="1"/>
  <c r="AZ129" i="1"/>
  <c r="AA129" i="1" s="1"/>
  <c r="Z129" i="1" s="1"/>
  <c r="AW129" i="1"/>
  <c r="AU129" i="1"/>
  <c r="AR129" i="1"/>
  <c r="BB129" i="1" s="1"/>
  <c r="AQ129" i="1"/>
  <c r="AP129" i="1"/>
  <c r="AJ129" i="1"/>
  <c r="AV129" i="1" s="1"/>
  <c r="AI129" i="1"/>
  <c r="AC129" i="1"/>
  <c r="BG129" i="1" s="1"/>
  <c r="U129" i="1"/>
  <c r="W129" i="1" s="1"/>
  <c r="C129" i="1"/>
  <c r="BA128" i="1"/>
  <c r="AZ128" i="1"/>
  <c r="AA128" i="1" s="1"/>
  <c r="Z128" i="1" s="1"/>
  <c r="AU128" i="1"/>
  <c r="AR128" i="1"/>
  <c r="BB128" i="1" s="1"/>
  <c r="AQ128" i="1"/>
  <c r="AP128" i="1"/>
  <c r="AJ128" i="1"/>
  <c r="AV128" i="1" s="1"/>
  <c r="AI128" i="1"/>
  <c r="AW128" i="1" s="1"/>
  <c r="AC128" i="1"/>
  <c r="BG128" i="1" s="1"/>
  <c r="W128" i="1"/>
  <c r="U128" i="1"/>
  <c r="C128" i="1"/>
  <c r="BG127" i="1"/>
  <c r="BA127" i="1"/>
  <c r="AZ127" i="1"/>
  <c r="AU127" i="1"/>
  <c r="AQ127" i="1"/>
  <c r="AP127" i="1"/>
  <c r="AL127" i="1"/>
  <c r="AJ127" i="1"/>
  <c r="AV127" i="1" s="1"/>
  <c r="AI127" i="1"/>
  <c r="AW127" i="1" s="1"/>
  <c r="AC127" i="1"/>
  <c r="BE127" i="1" s="1"/>
  <c r="AA127" i="1"/>
  <c r="Z127" i="1" s="1"/>
  <c r="W127" i="1"/>
  <c r="U127" i="1"/>
  <c r="O127" i="1"/>
  <c r="C127" i="1"/>
  <c r="BG126" i="1"/>
  <c r="BA126" i="1"/>
  <c r="AZ126" i="1"/>
  <c r="AU126" i="1"/>
  <c r="AQ126" i="1"/>
  <c r="AP126" i="1"/>
  <c r="AL126" i="1"/>
  <c r="AJ126" i="1"/>
  <c r="AV126" i="1" s="1"/>
  <c r="AI126" i="1"/>
  <c r="AW126" i="1" s="1"/>
  <c r="AC126" i="1"/>
  <c r="BE126" i="1" s="1"/>
  <c r="AA126" i="1"/>
  <c r="Z126" i="1" s="1"/>
  <c r="W126" i="1"/>
  <c r="U126" i="1"/>
  <c r="O126" i="1"/>
  <c r="C126" i="1"/>
  <c r="BG125" i="1"/>
  <c r="BA125" i="1"/>
  <c r="AZ125" i="1"/>
  <c r="AV125" i="1"/>
  <c r="AU125" i="1"/>
  <c r="AQ125" i="1"/>
  <c r="AP125" i="1"/>
  <c r="AL125" i="1"/>
  <c r="AJ125" i="1"/>
  <c r="AI125" i="1"/>
  <c r="AW125" i="1" s="1"/>
  <c r="AC125" i="1"/>
  <c r="BE125" i="1" s="1"/>
  <c r="AA125" i="1"/>
  <c r="Z125" i="1" s="1"/>
  <c r="W125" i="1"/>
  <c r="U125" i="1"/>
  <c r="O125" i="1"/>
  <c r="C125" i="1"/>
  <c r="BG124" i="1"/>
  <c r="BA124" i="1"/>
  <c r="AZ124" i="1"/>
  <c r="AU124" i="1"/>
  <c r="AQ124" i="1"/>
  <c r="AP124" i="1"/>
  <c r="AL124" i="1"/>
  <c r="AJ124" i="1"/>
  <c r="AV124" i="1" s="1"/>
  <c r="AI124" i="1"/>
  <c r="AW124" i="1" s="1"/>
  <c r="AC124" i="1"/>
  <c r="BE124" i="1" s="1"/>
  <c r="AA124" i="1"/>
  <c r="Z124" i="1" s="1"/>
  <c r="W124" i="1"/>
  <c r="U124" i="1"/>
  <c r="O124" i="1"/>
  <c r="C124" i="1"/>
  <c r="BG123" i="1"/>
  <c r="BA123" i="1"/>
  <c r="AZ123" i="1"/>
  <c r="AU123" i="1"/>
  <c r="AQ123" i="1"/>
  <c r="AP123" i="1"/>
  <c r="AL123" i="1"/>
  <c r="AJ123" i="1"/>
  <c r="AV123" i="1" s="1"/>
  <c r="AI123" i="1"/>
  <c r="AW123" i="1" s="1"/>
  <c r="AC123" i="1"/>
  <c r="BE123" i="1" s="1"/>
  <c r="AA123" i="1"/>
  <c r="Z123" i="1" s="1"/>
  <c r="W123" i="1"/>
  <c r="U123" i="1"/>
  <c r="O123" i="1"/>
  <c r="C123" i="1"/>
  <c r="BG122" i="1"/>
  <c r="BA122" i="1"/>
  <c r="AZ122" i="1"/>
  <c r="AU122" i="1"/>
  <c r="AQ122" i="1"/>
  <c r="AP122" i="1"/>
  <c r="AL122" i="1"/>
  <c r="AJ122" i="1"/>
  <c r="AV122" i="1" s="1"/>
  <c r="AI122" i="1"/>
  <c r="AW122" i="1" s="1"/>
  <c r="AC122" i="1"/>
  <c r="BE122" i="1" s="1"/>
  <c r="AA122" i="1"/>
  <c r="Z122" i="1" s="1"/>
  <c r="W122" i="1"/>
  <c r="U122" i="1"/>
  <c r="O122" i="1"/>
  <c r="C122" i="1"/>
  <c r="BG121" i="1"/>
  <c r="BA121" i="1"/>
  <c r="AZ121" i="1"/>
  <c r="AU121" i="1"/>
  <c r="AQ121" i="1"/>
  <c r="AP121" i="1"/>
  <c r="AL121" i="1"/>
  <c r="AJ121" i="1"/>
  <c r="AV121" i="1" s="1"/>
  <c r="AI121" i="1"/>
  <c r="AW121" i="1" s="1"/>
  <c r="AC121" i="1"/>
  <c r="BE121" i="1" s="1"/>
  <c r="AA121" i="1"/>
  <c r="Z121" i="1" s="1"/>
  <c r="W121" i="1"/>
  <c r="U121" i="1"/>
  <c r="O121" i="1"/>
  <c r="C121" i="1"/>
  <c r="BG120" i="1"/>
  <c r="BA120" i="1"/>
  <c r="AZ120" i="1"/>
  <c r="AU120" i="1"/>
  <c r="AQ120" i="1"/>
  <c r="AP120" i="1"/>
  <c r="AL120" i="1"/>
  <c r="AJ120" i="1"/>
  <c r="AV120" i="1" s="1"/>
  <c r="AI120" i="1"/>
  <c r="AW120" i="1" s="1"/>
  <c r="AC120" i="1"/>
  <c r="BE120" i="1" s="1"/>
  <c r="AA120" i="1"/>
  <c r="Z120" i="1" s="1"/>
  <c r="W120" i="1"/>
  <c r="U120" i="1"/>
  <c r="O120" i="1"/>
  <c r="C120" i="1"/>
  <c r="BG119" i="1"/>
  <c r="BA119" i="1"/>
  <c r="AZ119" i="1"/>
  <c r="AU119" i="1"/>
  <c r="AQ119" i="1"/>
  <c r="AP119" i="1"/>
  <c r="AL119" i="1"/>
  <c r="AJ119" i="1"/>
  <c r="AV119" i="1" s="1"/>
  <c r="AI119" i="1"/>
  <c r="AW119" i="1" s="1"/>
  <c r="AC119" i="1"/>
  <c r="BE119" i="1" s="1"/>
  <c r="AA119" i="1"/>
  <c r="Z119" i="1" s="1"/>
  <c r="W119" i="1"/>
  <c r="U119" i="1"/>
  <c r="O119" i="1"/>
  <c r="C119" i="1"/>
  <c r="BG118" i="1"/>
  <c r="BA118" i="1"/>
  <c r="AZ118" i="1"/>
  <c r="AU118" i="1"/>
  <c r="AQ118" i="1"/>
  <c r="AP118" i="1"/>
  <c r="AL118" i="1"/>
  <c r="AJ118" i="1"/>
  <c r="AV118" i="1" s="1"/>
  <c r="AI118" i="1"/>
  <c r="AW118" i="1" s="1"/>
  <c r="AC118" i="1"/>
  <c r="BE118" i="1" s="1"/>
  <c r="AA118" i="1"/>
  <c r="Z118" i="1" s="1"/>
  <c r="W118" i="1"/>
  <c r="U118" i="1"/>
  <c r="O118" i="1"/>
  <c r="C118" i="1"/>
  <c r="BG117" i="1"/>
  <c r="BA117" i="1"/>
  <c r="AZ117" i="1"/>
  <c r="AU117" i="1"/>
  <c r="AQ117" i="1"/>
  <c r="AP117" i="1"/>
  <c r="AL117" i="1"/>
  <c r="AJ117" i="1"/>
  <c r="AV117" i="1" s="1"/>
  <c r="AI117" i="1"/>
  <c r="AW117" i="1" s="1"/>
  <c r="AC117" i="1"/>
  <c r="BE117" i="1" s="1"/>
  <c r="AA117" i="1"/>
  <c r="Z117" i="1" s="1"/>
  <c r="W117" i="1"/>
  <c r="U117" i="1"/>
  <c r="O117" i="1"/>
  <c r="C117" i="1"/>
  <c r="BG116" i="1"/>
  <c r="BA116" i="1"/>
  <c r="AZ116" i="1"/>
  <c r="AU116" i="1"/>
  <c r="AQ116" i="1"/>
  <c r="AP116" i="1"/>
  <c r="AL116" i="1"/>
  <c r="AJ116" i="1"/>
  <c r="AV116" i="1" s="1"/>
  <c r="AI116" i="1"/>
  <c r="AW116" i="1" s="1"/>
  <c r="AC116" i="1"/>
  <c r="BE116" i="1" s="1"/>
  <c r="AA116" i="1"/>
  <c r="Z116" i="1" s="1"/>
  <c r="W116" i="1"/>
  <c r="U116" i="1"/>
  <c r="O116" i="1"/>
  <c r="C116" i="1"/>
  <c r="BG115" i="1"/>
  <c r="BA115" i="1"/>
  <c r="AZ115" i="1"/>
  <c r="AU115" i="1"/>
  <c r="AQ115" i="1"/>
  <c r="AP115" i="1"/>
  <c r="AL115" i="1"/>
  <c r="AJ115" i="1"/>
  <c r="AV115" i="1" s="1"/>
  <c r="AI115" i="1"/>
  <c r="AW115" i="1" s="1"/>
  <c r="AC115" i="1"/>
  <c r="BE115" i="1" s="1"/>
  <c r="AA115" i="1"/>
  <c r="Z115" i="1" s="1"/>
  <c r="W115" i="1"/>
  <c r="U115" i="1"/>
  <c r="O115" i="1"/>
  <c r="C115" i="1"/>
  <c r="BG114" i="1"/>
  <c r="BA114" i="1"/>
  <c r="AZ114" i="1"/>
  <c r="AU114" i="1"/>
  <c r="AQ114" i="1"/>
  <c r="AP114" i="1"/>
  <c r="AL114" i="1"/>
  <c r="AJ114" i="1"/>
  <c r="AV114" i="1" s="1"/>
  <c r="AI114" i="1"/>
  <c r="AW114" i="1" s="1"/>
  <c r="AC114" i="1"/>
  <c r="BE114" i="1" s="1"/>
  <c r="AA114" i="1"/>
  <c r="Z114" i="1" s="1"/>
  <c r="W114" i="1"/>
  <c r="U114" i="1"/>
  <c r="O114" i="1"/>
  <c r="C114" i="1"/>
  <c r="BG113" i="1"/>
  <c r="BA113" i="1"/>
  <c r="AZ113" i="1"/>
  <c r="AU113" i="1"/>
  <c r="AQ113" i="1"/>
  <c r="AP113" i="1"/>
  <c r="AL113" i="1"/>
  <c r="AJ113" i="1"/>
  <c r="AV113" i="1" s="1"/>
  <c r="AI113" i="1"/>
  <c r="AW113" i="1" s="1"/>
  <c r="AC113" i="1"/>
  <c r="BE113" i="1" s="1"/>
  <c r="AA113" i="1"/>
  <c r="Z113" i="1" s="1"/>
  <c r="W113" i="1"/>
  <c r="U113" i="1"/>
  <c r="O113" i="1"/>
  <c r="C113" i="1"/>
  <c r="BG112" i="1"/>
  <c r="BA112" i="1"/>
  <c r="AZ112" i="1"/>
  <c r="AU112" i="1"/>
  <c r="AQ112" i="1"/>
  <c r="AP112" i="1"/>
  <c r="AL112" i="1"/>
  <c r="AJ112" i="1"/>
  <c r="AV112" i="1" s="1"/>
  <c r="AI112" i="1"/>
  <c r="AW112" i="1" s="1"/>
  <c r="AC112" i="1"/>
  <c r="BE112" i="1" s="1"/>
  <c r="AA112" i="1"/>
  <c r="Z112" i="1" s="1"/>
  <c r="W112" i="1"/>
  <c r="U112" i="1"/>
  <c r="O112" i="1"/>
  <c r="C112" i="1"/>
  <c r="BG111" i="1"/>
  <c r="BA111" i="1"/>
  <c r="AZ111" i="1"/>
  <c r="AU111" i="1"/>
  <c r="AQ111" i="1"/>
  <c r="AP111" i="1"/>
  <c r="AL111" i="1"/>
  <c r="AJ111" i="1"/>
  <c r="AV111" i="1" s="1"/>
  <c r="AI111" i="1"/>
  <c r="AW111" i="1" s="1"/>
  <c r="AC111" i="1"/>
  <c r="BE111" i="1" s="1"/>
  <c r="AA111" i="1"/>
  <c r="Z111" i="1" s="1"/>
  <c r="W111" i="1"/>
  <c r="U111" i="1"/>
  <c r="C111" i="1"/>
  <c r="BG110" i="1"/>
  <c r="BA110" i="1"/>
  <c r="AZ110" i="1"/>
  <c r="AU110" i="1"/>
  <c r="AQ110" i="1"/>
  <c r="AP110" i="1"/>
  <c r="AL110" i="1"/>
  <c r="AJ110" i="1"/>
  <c r="AV110" i="1" s="1"/>
  <c r="AI110" i="1"/>
  <c r="AW110" i="1" s="1"/>
  <c r="AC110" i="1"/>
  <c r="BE110" i="1" s="1"/>
  <c r="AA110" i="1"/>
  <c r="Z110" i="1" s="1"/>
  <c r="W110" i="1"/>
  <c r="U110" i="1"/>
  <c r="O110" i="1"/>
  <c r="C110" i="1"/>
  <c r="BG109" i="1"/>
  <c r="BA109" i="1"/>
  <c r="AZ109" i="1"/>
  <c r="AU109" i="1"/>
  <c r="AQ109" i="1"/>
  <c r="AP109" i="1"/>
  <c r="AR109" i="1" s="1"/>
  <c r="BB109" i="1" s="1"/>
  <c r="AL109" i="1"/>
  <c r="AJ109" i="1"/>
  <c r="AV109" i="1" s="1"/>
  <c r="AI109" i="1"/>
  <c r="AW109" i="1" s="1"/>
  <c r="AC109" i="1"/>
  <c r="BE109" i="1" s="1"/>
  <c r="AA109" i="1"/>
  <c r="Z109" i="1" s="1"/>
  <c r="W109" i="1"/>
  <c r="U109" i="1"/>
  <c r="C109" i="1"/>
  <c r="T107" i="1"/>
  <c r="T106" i="1" s="1"/>
  <c r="S107" i="1"/>
  <c r="S106" i="1" s="1"/>
  <c r="R107" i="1"/>
  <c r="Q107" i="1"/>
  <c r="P107" i="1"/>
  <c r="P106" i="1" s="1"/>
  <c r="R106" i="1"/>
  <c r="P105" i="1"/>
  <c r="Q106" i="1" s="1"/>
  <c r="AK104" i="1"/>
  <c r="Y104" i="1"/>
  <c r="AK103" i="1"/>
  <c r="AK102" i="1"/>
  <c r="AA101" i="1"/>
  <c r="Z101" i="1"/>
  <c r="BE277" i="1" s="1"/>
  <c r="F101" i="1"/>
  <c r="BC127" i="1" l="1"/>
  <c r="BD128" i="1"/>
  <c r="AX128" i="1" s="1"/>
  <c r="BC129" i="1"/>
  <c r="BD136" i="1"/>
  <c r="AX136" i="1" s="1"/>
  <c r="BC159" i="1"/>
  <c r="Y170" i="1"/>
  <c r="AT170" i="1"/>
  <c r="AF170" i="1" s="1"/>
  <c r="AG170" i="1" s="1"/>
  <c r="V170" i="1"/>
  <c r="BC117" i="1"/>
  <c r="BC121" i="1"/>
  <c r="BC125" i="1"/>
  <c r="BC126" i="1"/>
  <c r="BC128" i="1"/>
  <c r="BD133" i="1"/>
  <c r="AX133" i="1" s="1"/>
  <c r="BD137" i="1"/>
  <c r="AX137" i="1" s="1"/>
  <c r="V137" i="1" s="1"/>
  <c r="BC143" i="1"/>
  <c r="BC151" i="1"/>
  <c r="BD151" i="1" s="1"/>
  <c r="AX151" i="1" s="1"/>
  <c r="BC158" i="1"/>
  <c r="BD158" i="1" s="1"/>
  <c r="AX158" i="1" s="1"/>
  <c r="BD159" i="1"/>
  <c r="AX159" i="1" s="1"/>
  <c r="BC163" i="1"/>
  <c r="BD163" i="1" s="1"/>
  <c r="AX163" i="1" s="1"/>
  <c r="Y169" i="1"/>
  <c r="AT169" i="1"/>
  <c r="AF169" i="1" s="1"/>
  <c r="AG169" i="1" s="1"/>
  <c r="V169" i="1"/>
  <c r="Y173" i="1"/>
  <c r="AT173" i="1"/>
  <c r="AF173" i="1" s="1"/>
  <c r="AG173" i="1" s="1"/>
  <c r="V173" i="1"/>
  <c r="Y179" i="1"/>
  <c r="AT179" i="1"/>
  <c r="AF179" i="1" s="1"/>
  <c r="AG179" i="1" s="1"/>
  <c r="V179" i="1"/>
  <c r="BD232" i="1"/>
  <c r="AX232" i="1" s="1"/>
  <c r="V232" i="1" s="1"/>
  <c r="AT337" i="1"/>
  <c r="Y337" i="1"/>
  <c r="BC118" i="1"/>
  <c r="BC122" i="1"/>
  <c r="BC146" i="1"/>
  <c r="BC147" i="1"/>
  <c r="BD147" i="1" s="1"/>
  <c r="AX147" i="1" s="1"/>
  <c r="V153" i="1"/>
  <c r="V166" i="1"/>
  <c r="BC110" i="1"/>
  <c r="BC113" i="1"/>
  <c r="BC109" i="1"/>
  <c r="BD109" i="1" s="1"/>
  <c r="AX109" i="1" s="1"/>
  <c r="BC112" i="1"/>
  <c r="BC116" i="1"/>
  <c r="BC120" i="1"/>
  <c r="BC124" i="1"/>
  <c r="BD130" i="1"/>
  <c r="AX130" i="1" s="1"/>
  <c r="BD134" i="1"/>
  <c r="AX134" i="1" s="1"/>
  <c r="BD138" i="1"/>
  <c r="AX138" i="1" s="1"/>
  <c r="BC144" i="1"/>
  <c r="BD146" i="1"/>
  <c r="AX146" i="1" s="1"/>
  <c r="V146" i="1" s="1"/>
  <c r="BC149" i="1"/>
  <c r="BD149" i="1" s="1"/>
  <c r="AX149" i="1" s="1"/>
  <c r="BC150" i="1"/>
  <c r="BD150" i="1" s="1"/>
  <c r="AX150" i="1" s="1"/>
  <c r="BD152" i="1"/>
  <c r="AX152" i="1" s="1"/>
  <c r="V152" i="1" s="1"/>
  <c r="BD153" i="1"/>
  <c r="AX153" i="1" s="1"/>
  <c r="BD154" i="1"/>
  <c r="AX154" i="1" s="1"/>
  <c r="BC164" i="1"/>
  <c r="BD168" i="1"/>
  <c r="AX168" i="1" s="1"/>
  <c r="BD172" i="1"/>
  <c r="AX172" i="1" s="1"/>
  <c r="BD178" i="1"/>
  <c r="AX178" i="1" s="1"/>
  <c r="BD180" i="1"/>
  <c r="AX180" i="1" s="1"/>
  <c r="AT252" i="1"/>
  <c r="Y252" i="1"/>
  <c r="V259" i="1"/>
  <c r="AT259" i="1"/>
  <c r="Y259" i="1"/>
  <c r="AT357" i="1"/>
  <c r="V357" i="1"/>
  <c r="Y357" i="1"/>
  <c r="BC114" i="1"/>
  <c r="V138" i="1"/>
  <c r="BC142" i="1"/>
  <c r="BD142" i="1" s="1"/>
  <c r="AX142" i="1" s="1"/>
  <c r="BD144" i="1"/>
  <c r="AX144" i="1" s="1"/>
  <c r="V144" i="1" s="1"/>
  <c r="BC111" i="1"/>
  <c r="BC115" i="1"/>
  <c r="BC119" i="1"/>
  <c r="BC123" i="1"/>
  <c r="BD129" i="1"/>
  <c r="AX129" i="1" s="1"/>
  <c r="BD131" i="1"/>
  <c r="AX131" i="1" s="1"/>
  <c r="BC132" i="1"/>
  <c r="BD132" i="1" s="1"/>
  <c r="AX132" i="1" s="1"/>
  <c r="V133" i="1"/>
  <c r="BD135" i="1"/>
  <c r="AX135" i="1" s="1"/>
  <c r="V135" i="1" s="1"/>
  <c r="BC136" i="1"/>
  <c r="BD139" i="1"/>
  <c r="AX139" i="1" s="1"/>
  <c r="BC140" i="1"/>
  <c r="BD140" i="1" s="1"/>
  <c r="AX140" i="1" s="1"/>
  <c r="BC141" i="1"/>
  <c r="BD141" i="1" s="1"/>
  <c r="AX141" i="1" s="1"/>
  <c r="BD143" i="1"/>
  <c r="AX143" i="1" s="1"/>
  <c r="V143" i="1" s="1"/>
  <c r="BC145" i="1"/>
  <c r="BD145" i="1" s="1"/>
  <c r="AX145" i="1" s="1"/>
  <c r="BC148" i="1"/>
  <c r="BD148" i="1" s="1"/>
  <c r="AX148" i="1" s="1"/>
  <c r="BD164" i="1"/>
  <c r="AX164" i="1" s="1"/>
  <c r="BD165" i="1"/>
  <c r="AX165" i="1" s="1"/>
  <c r="V165" i="1" s="1"/>
  <c r="BD171" i="1"/>
  <c r="AX171" i="1" s="1"/>
  <c r="BC180" i="1"/>
  <c r="AY184" i="1"/>
  <c r="AB184" i="1"/>
  <c r="AT240" i="1"/>
  <c r="Y240" i="1"/>
  <c r="BD244" i="1"/>
  <c r="AX244" i="1" s="1"/>
  <c r="AT283" i="1"/>
  <c r="V283" i="1"/>
  <c r="Y283" i="1"/>
  <c r="AR155" i="1"/>
  <c r="BB155" i="1" s="1"/>
  <c r="BD155" i="1" s="1"/>
  <c r="AX155" i="1" s="1"/>
  <c r="BG155" i="1"/>
  <c r="BG182" i="1"/>
  <c r="AL182" i="1"/>
  <c r="BD275" i="1"/>
  <c r="AX275" i="1" s="1"/>
  <c r="AT277" i="1"/>
  <c r="AF277" i="1" s="1"/>
  <c r="AG277" i="1" s="1"/>
  <c r="Y277" i="1"/>
  <c r="V321" i="1"/>
  <c r="AT361" i="1"/>
  <c r="V361" i="1"/>
  <c r="Y361" i="1"/>
  <c r="Y507" i="1"/>
  <c r="AT507" i="1"/>
  <c r="AF507" i="1" s="1"/>
  <c r="AG507" i="1" s="1"/>
  <c r="O111" i="1"/>
  <c r="AR114" i="1"/>
  <c r="BB114" i="1" s="1"/>
  <c r="BD114" i="1" s="1"/>
  <c r="AX114" i="1" s="1"/>
  <c r="AR116" i="1"/>
  <c r="BB116" i="1" s="1"/>
  <c r="AR118" i="1"/>
  <c r="BB118" i="1" s="1"/>
  <c r="BD118" i="1" s="1"/>
  <c r="AX118" i="1" s="1"/>
  <c r="AR120" i="1"/>
  <c r="BB120" i="1" s="1"/>
  <c r="BD120" i="1" s="1"/>
  <c r="AX120" i="1" s="1"/>
  <c r="AR123" i="1"/>
  <c r="BB123" i="1" s="1"/>
  <c r="BD123" i="1" s="1"/>
  <c r="AX123" i="1" s="1"/>
  <c r="AR125" i="1"/>
  <c r="BB125" i="1" s="1"/>
  <c r="BD125" i="1" s="1"/>
  <c r="AX125" i="1" s="1"/>
  <c r="AR126" i="1"/>
  <c r="BB126" i="1" s="1"/>
  <c r="BD126" i="1" s="1"/>
  <c r="AX126" i="1" s="1"/>
  <c r="AR127" i="1"/>
  <c r="BB127" i="1" s="1"/>
  <c r="BD127" i="1" s="1"/>
  <c r="AX127" i="1" s="1"/>
  <c r="BE128" i="1"/>
  <c r="AL129" i="1"/>
  <c r="AL130" i="1"/>
  <c r="AL131" i="1"/>
  <c r="AL132" i="1"/>
  <c r="AL133" i="1"/>
  <c r="AL134" i="1"/>
  <c r="AL135" i="1"/>
  <c r="AL136" i="1"/>
  <c r="AL137" i="1"/>
  <c r="AL138" i="1"/>
  <c r="AL139" i="1"/>
  <c r="AL140" i="1"/>
  <c r="BE151" i="1"/>
  <c r="BE152" i="1"/>
  <c r="BE153" i="1"/>
  <c r="BE154" i="1"/>
  <c r="BE156" i="1"/>
  <c r="AL156" i="1"/>
  <c r="BG156" i="1"/>
  <c r="BG158" i="1"/>
  <c r="AL158" i="1"/>
  <c r="BE158" i="1"/>
  <c r="BG159" i="1"/>
  <c r="AL159" i="1"/>
  <c r="BE159" i="1"/>
  <c r="BC161" i="1"/>
  <c r="BE161" i="1"/>
  <c r="BE164" i="1"/>
  <c r="BG181" i="1"/>
  <c r="AL181" i="1"/>
  <c r="AR182" i="1"/>
  <c r="BB182" i="1" s="1"/>
  <c r="BE182" i="1"/>
  <c r="BE184" i="1"/>
  <c r="Y186" i="1"/>
  <c r="AT186" i="1"/>
  <c r="AF186" i="1" s="1"/>
  <c r="AG186" i="1" s="1"/>
  <c r="BE186" i="1"/>
  <c r="Y188" i="1"/>
  <c r="AT188" i="1"/>
  <c r="AF188" i="1" s="1"/>
  <c r="AG188" i="1" s="1"/>
  <c r="BE188" i="1"/>
  <c r="BD190" i="1"/>
  <c r="AX190" i="1" s="1"/>
  <c r="V190" i="1" s="1"/>
  <c r="BE195" i="1"/>
  <c r="BE199" i="1"/>
  <c r="BD202" i="1"/>
  <c r="AX202" i="1" s="1"/>
  <c r="BE207" i="1"/>
  <c r="BC212" i="1"/>
  <c r="BD212" i="1" s="1"/>
  <c r="AX212" i="1" s="1"/>
  <c r="BE217" i="1"/>
  <c r="BD222" i="1"/>
  <c r="AX222" i="1" s="1"/>
  <c r="BG224" i="1"/>
  <c r="AF224" i="1" s="1"/>
  <c r="AG224" i="1" s="1"/>
  <c r="AL224" i="1"/>
  <c r="BE224" i="1"/>
  <c r="BE227" i="1"/>
  <c r="BD227" i="1"/>
  <c r="AX227" i="1" s="1"/>
  <c r="BC228" i="1"/>
  <c r="BD228" i="1" s="1"/>
  <c r="AX228" i="1" s="1"/>
  <c r="BE233" i="1"/>
  <c r="V237" i="1"/>
  <c r="BD238" i="1"/>
  <c r="AX238" i="1" s="1"/>
  <c r="BG240" i="1"/>
  <c r="AL240" i="1"/>
  <c r="BE240" i="1"/>
  <c r="BE243" i="1"/>
  <c r="BD243" i="1"/>
  <c r="AX243" i="1" s="1"/>
  <c r="BC244" i="1"/>
  <c r="BE248" i="1"/>
  <c r="BD256" i="1"/>
  <c r="AX256" i="1" s="1"/>
  <c r="BE261" i="1"/>
  <c r="BC267" i="1"/>
  <c r="BD267" i="1" s="1"/>
  <c r="AX267" i="1" s="1"/>
  <c r="BC268" i="1"/>
  <c r="BD268" i="1" s="1"/>
  <c r="AX268" i="1" s="1"/>
  <c r="BD271" i="1"/>
  <c r="AX271" i="1" s="1"/>
  <c r="BC274" i="1"/>
  <c r="BD274" i="1" s="1"/>
  <c r="AX274" i="1" s="1"/>
  <c r="V277" i="1"/>
  <c r="BC278" i="1"/>
  <c r="V279" i="1"/>
  <c r="AT279" i="1"/>
  <c r="AF279" i="1" s="1"/>
  <c r="AG279" i="1" s="1"/>
  <c r="Y279" i="1"/>
  <c r="BG280" i="1"/>
  <c r="AL280" i="1"/>
  <c r="AT333" i="1"/>
  <c r="AF333" i="1" s="1"/>
  <c r="AG333" i="1" s="1"/>
  <c r="V333" i="1"/>
  <c r="Y333" i="1"/>
  <c r="BE334" i="1"/>
  <c r="BD405" i="1"/>
  <c r="AX405" i="1" s="1"/>
  <c r="V184" i="1"/>
  <c r="V217" i="1"/>
  <c r="BG220" i="1"/>
  <c r="AL220" i="1"/>
  <c r="BE220" i="1"/>
  <c r="Y237" i="1"/>
  <c r="AT237" i="1"/>
  <c r="AF237" i="1" s="1"/>
  <c r="AG237" i="1" s="1"/>
  <c r="BD239" i="1"/>
  <c r="AX239" i="1" s="1"/>
  <c r="BC251" i="1"/>
  <c r="BD251" i="1" s="1"/>
  <c r="AX251" i="1" s="1"/>
  <c r="AT276" i="1"/>
  <c r="Y276" i="1"/>
  <c r="V276" i="1"/>
  <c r="Y298" i="1"/>
  <c r="AT298" i="1"/>
  <c r="AF298" i="1" s="1"/>
  <c r="AG298" i="1" s="1"/>
  <c r="Y306" i="1"/>
  <c r="AT306" i="1"/>
  <c r="AF306" i="1" s="1"/>
  <c r="AG306" i="1" s="1"/>
  <c r="Y314" i="1"/>
  <c r="AT314" i="1"/>
  <c r="AF314" i="1" s="1"/>
  <c r="AG314" i="1" s="1"/>
  <c r="Y322" i="1"/>
  <c r="AT322" i="1"/>
  <c r="AF322" i="1" s="1"/>
  <c r="AG322" i="1" s="1"/>
  <c r="BD426" i="1"/>
  <c r="AX426" i="1" s="1"/>
  <c r="BD454" i="1"/>
  <c r="AX454" i="1" s="1"/>
  <c r="AR110" i="1"/>
  <c r="BB110" i="1" s="1"/>
  <c r="BD110" i="1" s="1"/>
  <c r="AX110" i="1" s="1"/>
  <c r="AR112" i="1"/>
  <c r="BB112" i="1" s="1"/>
  <c r="BD112" i="1" s="1"/>
  <c r="AX112" i="1" s="1"/>
  <c r="AR113" i="1"/>
  <c r="BB113" i="1" s="1"/>
  <c r="BD113" i="1" s="1"/>
  <c r="AX113" i="1" s="1"/>
  <c r="AR115" i="1"/>
  <c r="BB115" i="1" s="1"/>
  <c r="AR117" i="1"/>
  <c r="BB117" i="1" s="1"/>
  <c r="BD117" i="1" s="1"/>
  <c r="AX117" i="1" s="1"/>
  <c r="AR119" i="1"/>
  <c r="BB119" i="1" s="1"/>
  <c r="BD119" i="1" s="1"/>
  <c r="AX119" i="1" s="1"/>
  <c r="AR121" i="1"/>
  <c r="BB121" i="1" s="1"/>
  <c r="BD121" i="1" s="1"/>
  <c r="AX121" i="1" s="1"/>
  <c r="AR122" i="1"/>
  <c r="BB122" i="1" s="1"/>
  <c r="AR124" i="1"/>
  <c r="BB124" i="1" s="1"/>
  <c r="AL128" i="1"/>
  <c r="BE150" i="1"/>
  <c r="AL151" i="1"/>
  <c r="AL152" i="1"/>
  <c r="AL153" i="1"/>
  <c r="AL154" i="1"/>
  <c r="AL155" i="1"/>
  <c r="AR156" i="1"/>
  <c r="BB156" i="1" s="1"/>
  <c r="BD156" i="1" s="1"/>
  <c r="AX156" i="1" s="1"/>
  <c r="BE157" i="1"/>
  <c r="AL157" i="1"/>
  <c r="BG157" i="1"/>
  <c r="V158" i="1"/>
  <c r="V159" i="1"/>
  <c r="AL160" i="1"/>
  <c r="BC160" i="1"/>
  <c r="BD160" i="1" s="1"/>
  <c r="AX160" i="1" s="1"/>
  <c r="BE160" i="1"/>
  <c r="AR161" i="1"/>
  <c r="BB161" i="1" s="1"/>
  <c r="BD161" i="1" s="1"/>
  <c r="AX161" i="1" s="1"/>
  <c r="BE163" i="1"/>
  <c r="AR167" i="1"/>
  <c r="BB167" i="1" s="1"/>
  <c r="BD167" i="1" s="1"/>
  <c r="AX167" i="1" s="1"/>
  <c r="BG180" i="1"/>
  <c r="AL180" i="1"/>
  <c r="BE180" i="1"/>
  <c r="BE181" i="1"/>
  <c r="BC183" i="1"/>
  <c r="BE183" i="1"/>
  <c r="BC191" i="1"/>
  <c r="BD191" i="1" s="1"/>
  <c r="AX191" i="1" s="1"/>
  <c r="AR192" i="1"/>
  <c r="BB192" i="1" s="1"/>
  <c r="BD192" i="1" s="1"/>
  <c r="AX192" i="1" s="1"/>
  <c r="BE194" i="1"/>
  <c r="BE198" i="1"/>
  <c r="BD201" i="1"/>
  <c r="AX201" i="1" s="1"/>
  <c r="BD205" i="1"/>
  <c r="AX205" i="1" s="1"/>
  <c r="BC208" i="1"/>
  <c r="BD208" i="1" s="1"/>
  <c r="AX208" i="1" s="1"/>
  <c r="BC209" i="1"/>
  <c r="BC210" i="1"/>
  <c r="BE211" i="1"/>
  <c r="BD211" i="1"/>
  <c r="AX211" i="1" s="1"/>
  <c r="BG212" i="1"/>
  <c r="AL212" i="1"/>
  <c r="BE212" i="1"/>
  <c r="BD213" i="1"/>
  <c r="AX213" i="1" s="1"/>
  <c r="BC214" i="1"/>
  <c r="BE215" i="1"/>
  <c r="BD215" i="1"/>
  <c r="AX215" i="1" s="1"/>
  <c r="BC216" i="1"/>
  <c r="BD216" i="1" s="1"/>
  <c r="AX216" i="1" s="1"/>
  <c r="BC221" i="1"/>
  <c r="BE221" i="1"/>
  <c r="Y224" i="1"/>
  <c r="BD226" i="1"/>
  <c r="AX226" i="1" s="1"/>
  <c r="BG228" i="1"/>
  <c r="AL228" i="1"/>
  <c r="BE228" i="1"/>
  <c r="BD229" i="1"/>
  <c r="AX229" i="1" s="1"/>
  <c r="BC230" i="1"/>
  <c r="BE231" i="1"/>
  <c r="BD231" i="1"/>
  <c r="AX231" i="1" s="1"/>
  <c r="BC232" i="1"/>
  <c r="BE237" i="1"/>
  <c r="BD242" i="1"/>
  <c r="AX242" i="1" s="1"/>
  <c r="BG244" i="1"/>
  <c r="AL244" i="1"/>
  <c r="BE244" i="1"/>
  <c r="BD245" i="1"/>
  <c r="AX245" i="1" s="1"/>
  <c r="BC246" i="1"/>
  <c r="BE247" i="1"/>
  <c r="BD247" i="1"/>
  <c r="AX247" i="1" s="1"/>
  <c r="BC248" i="1"/>
  <c r="BD248" i="1" s="1"/>
  <c r="AX248" i="1" s="1"/>
  <c r="BC250" i="1"/>
  <c r="BE250" i="1"/>
  <c r="BE263" i="1"/>
  <c r="BD272" i="1"/>
  <c r="AX272" i="1" s="1"/>
  <c r="Y280" i="1"/>
  <c r="V293" i="1"/>
  <c r="Y294" i="1"/>
  <c r="AT294" i="1"/>
  <c r="AF294" i="1" s="1"/>
  <c r="AG294" i="1" s="1"/>
  <c r="Y302" i="1"/>
  <c r="AT302" i="1"/>
  <c r="AF302" i="1" s="1"/>
  <c r="AG302" i="1" s="1"/>
  <c r="Y310" i="1"/>
  <c r="AT310" i="1"/>
  <c r="AF310" i="1" s="1"/>
  <c r="AG310" i="1" s="1"/>
  <c r="Y318" i="1"/>
  <c r="AT318" i="1"/>
  <c r="AF318" i="1" s="1"/>
  <c r="AG318" i="1" s="1"/>
  <c r="Y326" i="1"/>
  <c r="AT326" i="1"/>
  <c r="AF326" i="1" s="1"/>
  <c r="AG326" i="1" s="1"/>
  <c r="AT349" i="1"/>
  <c r="V349" i="1"/>
  <c r="Y349" i="1"/>
  <c r="AT432" i="1"/>
  <c r="V432" i="1"/>
  <c r="Y432" i="1"/>
  <c r="AR175" i="1"/>
  <c r="BB175" i="1" s="1"/>
  <c r="BD175" i="1" s="1"/>
  <c r="AX175" i="1" s="1"/>
  <c r="BC181" i="1"/>
  <c r="BD181" i="1" s="1"/>
  <c r="AX181" i="1" s="1"/>
  <c r="BD203" i="1"/>
  <c r="AX203" i="1" s="1"/>
  <c r="BG206" i="1"/>
  <c r="AL206" i="1"/>
  <c r="BE206" i="1"/>
  <c r="BD221" i="1"/>
  <c r="AX221" i="1" s="1"/>
  <c r="BD223" i="1"/>
  <c r="AX223" i="1" s="1"/>
  <c r="BD234" i="1"/>
  <c r="AX234" i="1" s="1"/>
  <c r="BG236" i="1"/>
  <c r="AL236" i="1"/>
  <c r="BE236" i="1"/>
  <c r="V248" i="1"/>
  <c r="BD255" i="1"/>
  <c r="AX255" i="1" s="1"/>
  <c r="BC262" i="1"/>
  <c r="V263" i="1"/>
  <c r="AT263" i="1"/>
  <c r="AF263" i="1" s="1"/>
  <c r="AG263" i="1" s="1"/>
  <c r="Y263" i="1"/>
  <c r="BG264" i="1"/>
  <c r="AL264" i="1"/>
  <c r="BG269" i="1"/>
  <c r="BE269" i="1"/>
  <c r="AL269" i="1"/>
  <c r="AF280" i="1"/>
  <c r="AG280" i="1" s="1"/>
  <c r="BG287" i="1"/>
  <c r="AL287" i="1"/>
  <c r="BE287" i="1"/>
  <c r="Y290" i="1"/>
  <c r="AT290" i="1"/>
  <c r="AF290" i="1" s="1"/>
  <c r="AG290" i="1" s="1"/>
  <c r="Y330" i="1"/>
  <c r="AT330" i="1"/>
  <c r="AF330" i="1" s="1"/>
  <c r="AG330" i="1" s="1"/>
  <c r="Y427" i="1"/>
  <c r="AT427" i="1"/>
  <c r="AF427" i="1" s="1"/>
  <c r="AG427" i="1" s="1"/>
  <c r="V427" i="1"/>
  <c r="BC561" i="1"/>
  <c r="BD561" i="1" s="1"/>
  <c r="AX561" i="1" s="1"/>
  <c r="BE606" i="1"/>
  <c r="BE593" i="1"/>
  <c r="BE589" i="1"/>
  <c r="BE602" i="1"/>
  <c r="BE598" i="1"/>
  <c r="BE597" i="1"/>
  <c r="BE584" i="1"/>
  <c r="BE588" i="1"/>
  <c r="BE580" i="1"/>
  <c r="BE554" i="1"/>
  <c r="BE551" i="1"/>
  <c r="BE546" i="1"/>
  <c r="BE575" i="1"/>
  <c r="BE567" i="1"/>
  <c r="BE559" i="1"/>
  <c r="BE592" i="1"/>
  <c r="BE563" i="1"/>
  <c r="BE549" i="1"/>
  <c r="BE538" i="1"/>
  <c r="BE534" i="1"/>
  <c r="BE571" i="1"/>
  <c r="BE555" i="1"/>
  <c r="BE550" i="1"/>
  <c r="BE542" i="1"/>
  <c r="BE576" i="1"/>
  <c r="BE524" i="1"/>
  <c r="BE533" i="1"/>
  <c r="BE520" i="1"/>
  <c r="BE513" i="1"/>
  <c r="BE505" i="1"/>
  <c r="BE528" i="1"/>
  <c r="BE517" i="1"/>
  <c r="BE499" i="1"/>
  <c r="BE491" i="1"/>
  <c r="BE483" i="1"/>
  <c r="BE475" i="1"/>
  <c r="BE541" i="1"/>
  <c r="BE507" i="1"/>
  <c r="BE503" i="1"/>
  <c r="BE471" i="1"/>
  <c r="BE495" i="1"/>
  <c r="BE487" i="1"/>
  <c r="BE479" i="1"/>
  <c r="BE463" i="1"/>
  <c r="BE516" i="1"/>
  <c r="BE450" i="1"/>
  <c r="BE442" i="1"/>
  <c r="BE430" i="1"/>
  <c r="BE418" i="1"/>
  <c r="BE458" i="1"/>
  <c r="BE422" i="1"/>
  <c r="BE467" i="1"/>
  <c r="BE462" i="1"/>
  <c r="BE454" i="1"/>
  <c r="BE446" i="1"/>
  <c r="BE438" i="1"/>
  <c r="BE434" i="1"/>
  <c r="BE426" i="1"/>
  <c r="BE425" i="1"/>
  <c r="BE379" i="1"/>
  <c r="BE371" i="1"/>
  <c r="BE363" i="1"/>
  <c r="BE358" i="1"/>
  <c r="BE350" i="1"/>
  <c r="BE343" i="1"/>
  <c r="BE338" i="1"/>
  <c r="BE330" i="1"/>
  <c r="BE326" i="1"/>
  <c r="BE322" i="1"/>
  <c r="BE318" i="1"/>
  <c r="BE314" i="1"/>
  <c r="BE310" i="1"/>
  <c r="BE306" i="1"/>
  <c r="BE302" i="1"/>
  <c r="BE298" i="1"/>
  <c r="BE294" i="1"/>
  <c r="BE290" i="1"/>
  <c r="BE286" i="1"/>
  <c r="BE282" i="1"/>
  <c r="BE415" i="1"/>
  <c r="BE403" i="1"/>
  <c r="BE395" i="1"/>
  <c r="BE387" i="1"/>
  <c r="BE362" i="1"/>
  <c r="BE355" i="1"/>
  <c r="BE347" i="1"/>
  <c r="BE323" i="1"/>
  <c r="BE319" i="1"/>
  <c r="BE315" i="1"/>
  <c r="BE311" i="1"/>
  <c r="BE307" i="1"/>
  <c r="BE303" i="1"/>
  <c r="BE299" i="1"/>
  <c r="BE291" i="1"/>
  <c r="BE411" i="1"/>
  <c r="BE375" i="1"/>
  <c r="BE367" i="1"/>
  <c r="BE335" i="1"/>
  <c r="BE383" i="1"/>
  <c r="BE359" i="1"/>
  <c r="BE339" i="1"/>
  <c r="BE284" i="1"/>
  <c r="BE278" i="1"/>
  <c r="BE273" i="1"/>
  <c r="BE262" i="1"/>
  <c r="BE257" i="1"/>
  <c r="BE246" i="1"/>
  <c r="BE242" i="1"/>
  <c r="BE238" i="1"/>
  <c r="BE234" i="1"/>
  <c r="BE230" i="1"/>
  <c r="BE226" i="1"/>
  <c r="BE222" i="1"/>
  <c r="BE218" i="1"/>
  <c r="BE214" i="1"/>
  <c r="BE210" i="1"/>
  <c r="BE209" i="1"/>
  <c r="BE208" i="1"/>
  <c r="BE191" i="1"/>
  <c r="BE179" i="1"/>
  <c r="BE178" i="1"/>
  <c r="BE177" i="1"/>
  <c r="BE176" i="1"/>
  <c r="BE175" i="1"/>
  <c r="BE174" i="1"/>
  <c r="BE173" i="1"/>
  <c r="BE172" i="1"/>
  <c r="BE171" i="1"/>
  <c r="BE170" i="1"/>
  <c r="BE169" i="1"/>
  <c r="BE168" i="1"/>
  <c r="BE167" i="1"/>
  <c r="BE433" i="1"/>
  <c r="BE391" i="1"/>
  <c r="BE351" i="1"/>
  <c r="BE274" i="1"/>
  <c r="BE258" i="1"/>
  <c r="BE205" i="1"/>
  <c r="BE204" i="1"/>
  <c r="BE203" i="1"/>
  <c r="BE202" i="1"/>
  <c r="BE201" i="1"/>
  <c r="BE399" i="1"/>
  <c r="BE329" i="1"/>
  <c r="BE325" i="1"/>
  <c r="BE321" i="1"/>
  <c r="BE317" i="1"/>
  <c r="BE313" i="1"/>
  <c r="BE309" i="1"/>
  <c r="BE305" i="1"/>
  <c r="BE301" i="1"/>
  <c r="BE297" i="1"/>
  <c r="BE293" i="1"/>
  <c r="BE289" i="1"/>
  <c r="BE270" i="1"/>
  <c r="BE254" i="1"/>
  <c r="BE148" i="1"/>
  <c r="BE149" i="1"/>
  <c r="AL150" i="1"/>
  <c r="AR157" i="1"/>
  <c r="BB157" i="1" s="1"/>
  <c r="BD157" i="1" s="1"/>
  <c r="AX157" i="1" s="1"/>
  <c r="AR162" i="1"/>
  <c r="BB162" i="1" s="1"/>
  <c r="BD162" i="1" s="1"/>
  <c r="AX162" i="1" s="1"/>
  <c r="V162" i="1" s="1"/>
  <c r="BE162" i="1"/>
  <c r="AR166" i="1"/>
  <c r="BB166" i="1" s="1"/>
  <c r="BD166" i="1" s="1"/>
  <c r="AX166" i="1" s="1"/>
  <c r="BE166" i="1"/>
  <c r="AR177" i="1"/>
  <c r="BB177" i="1" s="1"/>
  <c r="BD177" i="1" s="1"/>
  <c r="AX177" i="1" s="1"/>
  <c r="BC182" i="1"/>
  <c r="BD183" i="1"/>
  <c r="AX183" i="1" s="1"/>
  <c r="AK184" i="1"/>
  <c r="BC185" i="1"/>
  <c r="BD185" i="1" s="1"/>
  <c r="AX185" i="1" s="1"/>
  <c r="BE185" i="1"/>
  <c r="BC187" i="1"/>
  <c r="BD187" i="1" s="1"/>
  <c r="AX187" i="1" s="1"/>
  <c r="BE187" i="1"/>
  <c r="BD189" i="1"/>
  <c r="AX189" i="1" s="1"/>
  <c r="V189" i="1" s="1"/>
  <c r="BC189" i="1"/>
  <c r="BE189" i="1"/>
  <c r="BC190" i="1"/>
  <c r="BE190" i="1"/>
  <c r="BE193" i="1"/>
  <c r="BE197" i="1"/>
  <c r="BD204" i="1"/>
  <c r="AX204" i="1" s="1"/>
  <c r="BC206" i="1"/>
  <c r="BD206" i="1" s="1"/>
  <c r="AX206" i="1" s="1"/>
  <c r="BD207" i="1"/>
  <c r="AX207" i="1" s="1"/>
  <c r="V207" i="1" s="1"/>
  <c r="BD209" i="1"/>
  <c r="AX209" i="1" s="1"/>
  <c r="BD210" i="1"/>
  <c r="AX210" i="1" s="1"/>
  <c r="BD214" i="1"/>
  <c r="AX214" i="1" s="1"/>
  <c r="BG216" i="1"/>
  <c r="AL216" i="1"/>
  <c r="BE216" i="1"/>
  <c r="BD217" i="1"/>
  <c r="AX217" i="1" s="1"/>
  <c r="BC218" i="1"/>
  <c r="BD218" i="1" s="1"/>
  <c r="AX218" i="1" s="1"/>
  <c r="BE219" i="1"/>
  <c r="BD219" i="1"/>
  <c r="AX219" i="1" s="1"/>
  <c r="BC220" i="1"/>
  <c r="BD220" i="1" s="1"/>
  <c r="AX220" i="1" s="1"/>
  <c r="V224" i="1"/>
  <c r="BC225" i="1"/>
  <c r="BD225" i="1" s="1"/>
  <c r="AX225" i="1" s="1"/>
  <c r="BE225" i="1"/>
  <c r="V229" i="1"/>
  <c r="BD230" i="1"/>
  <c r="AX230" i="1" s="1"/>
  <c r="BG232" i="1"/>
  <c r="AL232" i="1"/>
  <c r="BE232" i="1"/>
  <c r="BD233" i="1"/>
  <c r="AX233" i="1" s="1"/>
  <c r="BC234" i="1"/>
  <c r="BE235" i="1"/>
  <c r="BD235" i="1"/>
  <c r="AX235" i="1" s="1"/>
  <c r="BC236" i="1"/>
  <c r="BD236" i="1" s="1"/>
  <c r="AX236" i="1" s="1"/>
  <c r="V240" i="1"/>
  <c r="BC241" i="1"/>
  <c r="BD241" i="1" s="1"/>
  <c r="AX241" i="1" s="1"/>
  <c r="BE241" i="1"/>
  <c r="V245" i="1"/>
  <c r="BD246" i="1"/>
  <c r="AX246" i="1" s="1"/>
  <c r="BG248" i="1"/>
  <c r="AL248" i="1"/>
  <c r="BG253" i="1"/>
  <c r="BE253" i="1"/>
  <c r="AL253" i="1"/>
  <c r="BD258" i="1"/>
  <c r="AX258" i="1" s="1"/>
  <c r="BD260" i="1"/>
  <c r="AX260" i="1" s="1"/>
  <c r="V260" i="1"/>
  <c r="BD261" i="1"/>
  <c r="AX261" i="1" s="1"/>
  <c r="BC264" i="1"/>
  <c r="BD264" i="1" s="1"/>
  <c r="AX264" i="1" s="1"/>
  <c r="BC266" i="1"/>
  <c r="BE266" i="1"/>
  <c r="BD273" i="1"/>
  <c r="AX273" i="1" s="1"/>
  <c r="BE279" i="1"/>
  <c r="BE280" i="1"/>
  <c r="BE285" i="1"/>
  <c r="BC287" i="1"/>
  <c r="V290" i="1"/>
  <c r="V298" i="1"/>
  <c r="V306" i="1"/>
  <c r="V314" i="1"/>
  <c r="V322" i="1"/>
  <c r="V330" i="1"/>
  <c r="BG346" i="1"/>
  <c r="AL346" i="1"/>
  <c r="BE346" i="1"/>
  <c r="BC381" i="1"/>
  <c r="BD381" i="1" s="1"/>
  <c r="AX381" i="1" s="1"/>
  <c r="Y392" i="1"/>
  <c r="AT392" i="1"/>
  <c r="AF392" i="1" s="1"/>
  <c r="AG392" i="1" s="1"/>
  <c r="V392" i="1"/>
  <c r="BE407" i="1"/>
  <c r="BD411" i="1"/>
  <c r="AX411" i="1" s="1"/>
  <c r="AL184" i="1"/>
  <c r="AL185" i="1"/>
  <c r="AL186" i="1"/>
  <c r="AL187" i="1"/>
  <c r="AL188" i="1"/>
  <c r="AL189" i="1"/>
  <c r="AR193" i="1"/>
  <c r="BB193" i="1" s="1"/>
  <c r="BD193" i="1" s="1"/>
  <c r="AX193" i="1" s="1"/>
  <c r="AR194" i="1"/>
  <c r="BB194" i="1" s="1"/>
  <c r="BD194" i="1" s="1"/>
  <c r="AX194" i="1" s="1"/>
  <c r="AR195" i="1"/>
  <c r="BB195" i="1" s="1"/>
  <c r="BD195" i="1" s="1"/>
  <c r="AX195" i="1" s="1"/>
  <c r="AR196" i="1"/>
  <c r="BB196" i="1" s="1"/>
  <c r="BD196" i="1" s="1"/>
  <c r="AX196" i="1" s="1"/>
  <c r="AR197" i="1"/>
  <c r="BB197" i="1" s="1"/>
  <c r="BD197" i="1" s="1"/>
  <c r="AX197" i="1" s="1"/>
  <c r="AR198" i="1"/>
  <c r="BB198" i="1" s="1"/>
  <c r="BD198" i="1" s="1"/>
  <c r="AX198" i="1" s="1"/>
  <c r="AR199" i="1"/>
  <c r="BB199" i="1" s="1"/>
  <c r="BD199" i="1" s="1"/>
  <c r="AX199" i="1" s="1"/>
  <c r="AR200" i="1"/>
  <c r="BB200" i="1" s="1"/>
  <c r="BD200" i="1" s="1"/>
  <c r="AX200" i="1" s="1"/>
  <c r="AL207" i="1"/>
  <c r="AL213" i="1"/>
  <c r="AL217" i="1"/>
  <c r="AL221" i="1"/>
  <c r="AL225" i="1"/>
  <c r="AL229" i="1"/>
  <c r="AL233" i="1"/>
  <c r="AL237" i="1"/>
  <c r="AL241" i="1"/>
  <c r="AL245" i="1"/>
  <c r="AL249" i="1"/>
  <c r="BC249" i="1"/>
  <c r="BD249" i="1" s="1"/>
  <c r="AX249" i="1" s="1"/>
  <c r="BE249" i="1"/>
  <c r="BE251" i="1"/>
  <c r="AL251" i="1"/>
  <c r="BG251" i="1"/>
  <c r="BG252" i="1"/>
  <c r="AL252" i="1"/>
  <c r="BE252" i="1"/>
  <c r="BD262" i="1"/>
  <c r="AX262" i="1" s="1"/>
  <c r="V264" i="1"/>
  <c r="AL265" i="1"/>
  <c r="BC265" i="1"/>
  <c r="BD265" i="1" s="1"/>
  <c r="AX265" i="1" s="1"/>
  <c r="BE265" i="1"/>
  <c r="BE267" i="1"/>
  <c r="AL267" i="1"/>
  <c r="BG267" i="1"/>
  <c r="BG268" i="1"/>
  <c r="AL268" i="1"/>
  <c r="BE268" i="1"/>
  <c r="BD278" i="1"/>
  <c r="AX278" i="1" s="1"/>
  <c r="V280" i="1"/>
  <c r="AL281" i="1"/>
  <c r="BD281" i="1"/>
  <c r="AX281" i="1" s="1"/>
  <c r="BD282" i="1"/>
  <c r="AX282" i="1" s="1"/>
  <c r="BC284" i="1"/>
  <c r="BD284" i="1" s="1"/>
  <c r="AX284" i="1" s="1"/>
  <c r="BC289" i="1"/>
  <c r="BC293" i="1"/>
  <c r="BC297" i="1"/>
  <c r="BD297" i="1" s="1"/>
  <c r="AX297" i="1" s="1"/>
  <c r="BC301" i="1"/>
  <c r="BD301" i="1" s="1"/>
  <c r="AX301" i="1" s="1"/>
  <c r="BC305" i="1"/>
  <c r="BC309" i="1"/>
  <c r="BC313" i="1"/>
  <c r="BD313" i="1" s="1"/>
  <c r="AX313" i="1" s="1"/>
  <c r="BC317" i="1"/>
  <c r="BD317" i="1" s="1"/>
  <c r="AX317" i="1" s="1"/>
  <c r="BC321" i="1"/>
  <c r="BC325" i="1"/>
  <c r="BC329" i="1"/>
  <c r="BD329" i="1" s="1"/>
  <c r="AX329" i="1" s="1"/>
  <c r="BD335" i="1"/>
  <c r="AX335" i="1" s="1"/>
  <c r="BC341" i="1"/>
  <c r="BD341" i="1" s="1"/>
  <c r="AX341" i="1" s="1"/>
  <c r="BG345" i="1"/>
  <c r="AL345" i="1"/>
  <c r="BE345" i="1"/>
  <c r="BE352" i="1"/>
  <c r="BD353" i="1"/>
  <c r="AX353" i="1" s="1"/>
  <c r="BG354" i="1"/>
  <c r="AL354" i="1"/>
  <c r="BE354" i="1"/>
  <c r="BC356" i="1"/>
  <c r="BG365" i="1"/>
  <c r="AL365" i="1"/>
  <c r="BE365" i="1"/>
  <c r="BE368" i="1"/>
  <c r="BC375" i="1"/>
  <c r="BD375" i="1"/>
  <c r="AX375" i="1" s="1"/>
  <c r="BD384" i="1"/>
  <c r="AX384" i="1" s="1"/>
  <c r="BC386" i="1"/>
  <c r="BD386" i="1" s="1"/>
  <c r="AX386" i="1" s="1"/>
  <c r="BC405" i="1"/>
  <c r="BG410" i="1"/>
  <c r="AL410" i="1"/>
  <c r="BE410" i="1"/>
  <c r="BD416" i="1"/>
  <c r="AX416" i="1" s="1"/>
  <c r="AR174" i="1"/>
  <c r="BB174" i="1" s="1"/>
  <c r="BD174" i="1" s="1"/>
  <c r="AX174" i="1" s="1"/>
  <c r="AR176" i="1"/>
  <c r="BB176" i="1" s="1"/>
  <c r="BD176" i="1" s="1"/>
  <c r="AX176" i="1" s="1"/>
  <c r="BE192" i="1"/>
  <c r="BD250" i="1"/>
  <c r="AX250" i="1" s="1"/>
  <c r="V252" i="1"/>
  <c r="BC253" i="1"/>
  <c r="BD253" i="1" s="1"/>
  <c r="AX253" i="1" s="1"/>
  <c r="BE255" i="1"/>
  <c r="AL255" i="1"/>
  <c r="BG255" i="1"/>
  <c r="BG256" i="1"/>
  <c r="AL256" i="1"/>
  <c r="BE256" i="1"/>
  <c r="BD266" i="1"/>
  <c r="AX266" i="1" s="1"/>
  <c r="V268" i="1"/>
  <c r="BC269" i="1"/>
  <c r="BD269" i="1" s="1"/>
  <c r="AX269" i="1" s="1"/>
  <c r="BE271" i="1"/>
  <c r="AL271" i="1"/>
  <c r="BG271" i="1"/>
  <c r="BG272" i="1"/>
  <c r="AL272" i="1"/>
  <c r="BE272" i="1"/>
  <c r="BE281" i="1"/>
  <c r="BG283" i="1"/>
  <c r="AL283" i="1"/>
  <c r="BE283" i="1"/>
  <c r="BG284" i="1"/>
  <c r="AL284" i="1"/>
  <c r="BC285" i="1"/>
  <c r="BC288" i="1"/>
  <c r="BD288" i="1" s="1"/>
  <c r="AX288" i="1" s="1"/>
  <c r="BC292" i="1"/>
  <c r="BD292" i="1" s="1"/>
  <c r="AX292" i="1" s="1"/>
  <c r="BC296" i="1"/>
  <c r="BD296" i="1" s="1"/>
  <c r="AX296" i="1" s="1"/>
  <c r="BC300" i="1"/>
  <c r="BD300" i="1" s="1"/>
  <c r="AX300" i="1" s="1"/>
  <c r="BC304" i="1"/>
  <c r="BD304" i="1" s="1"/>
  <c r="AX304" i="1" s="1"/>
  <c r="BC308" i="1"/>
  <c r="BD308" i="1" s="1"/>
  <c r="AX308" i="1" s="1"/>
  <c r="BC312" i="1"/>
  <c r="BD312" i="1" s="1"/>
  <c r="AX312" i="1" s="1"/>
  <c r="BC316" i="1"/>
  <c r="BD316" i="1" s="1"/>
  <c r="AX316" i="1" s="1"/>
  <c r="BC320" i="1"/>
  <c r="BD320" i="1" s="1"/>
  <c r="AX320" i="1" s="1"/>
  <c r="BC324" i="1"/>
  <c r="BD324" i="1" s="1"/>
  <c r="AX324" i="1" s="1"/>
  <c r="BC328" i="1"/>
  <c r="BD328" i="1" s="1"/>
  <c r="AX328" i="1" s="1"/>
  <c r="BD332" i="1"/>
  <c r="AX332" i="1" s="1"/>
  <c r="BE340" i="1"/>
  <c r="BC342" i="1"/>
  <c r="BD342" i="1" s="1"/>
  <c r="AX342" i="1" s="1"/>
  <c r="V342" i="1" s="1"/>
  <c r="BE360" i="1"/>
  <c r="BC362" i="1"/>
  <c r="BD362" i="1" s="1"/>
  <c r="AX362" i="1" s="1"/>
  <c r="BG374" i="1"/>
  <c r="AL374" i="1"/>
  <c r="BE374" i="1"/>
  <c r="BC397" i="1"/>
  <c r="BD397" i="1" s="1"/>
  <c r="AX397" i="1" s="1"/>
  <c r="BD402" i="1"/>
  <c r="AX402" i="1" s="1"/>
  <c r="V402" i="1"/>
  <c r="BD408" i="1"/>
  <c r="AX408" i="1" s="1"/>
  <c r="BE412" i="1"/>
  <c r="BC424" i="1"/>
  <c r="BD424" i="1" s="1"/>
  <c r="AX424" i="1" s="1"/>
  <c r="AT436" i="1"/>
  <c r="V436" i="1"/>
  <c r="Y436" i="1"/>
  <c r="BD438" i="1"/>
  <c r="AX438" i="1" s="1"/>
  <c r="BE447" i="1"/>
  <c r="BD254" i="1"/>
  <c r="AX254" i="1" s="1"/>
  <c r="V256" i="1"/>
  <c r="BC257" i="1"/>
  <c r="BD257" i="1" s="1"/>
  <c r="AX257" i="1" s="1"/>
  <c r="BE259" i="1"/>
  <c r="AL259" i="1"/>
  <c r="BG259" i="1"/>
  <c r="BG260" i="1"/>
  <c r="AL260" i="1"/>
  <c r="BE260" i="1"/>
  <c r="BD270" i="1"/>
  <c r="AX270" i="1" s="1"/>
  <c r="V272" i="1"/>
  <c r="BC273" i="1"/>
  <c r="BE275" i="1"/>
  <c r="AL275" i="1"/>
  <c r="BG275" i="1"/>
  <c r="BG276" i="1"/>
  <c r="AL276" i="1"/>
  <c r="BE276" i="1"/>
  <c r="BD285" i="1"/>
  <c r="AX285" i="1" s="1"/>
  <c r="BD286" i="1"/>
  <c r="AX286" i="1" s="1"/>
  <c r="BD287" i="1"/>
  <c r="AX287" i="1" s="1"/>
  <c r="BG288" i="1"/>
  <c r="AL288" i="1"/>
  <c r="BE288" i="1"/>
  <c r="BD289" i="1"/>
  <c r="AX289" i="1" s="1"/>
  <c r="BD291" i="1"/>
  <c r="AX291" i="1" s="1"/>
  <c r="BG292" i="1"/>
  <c r="AL292" i="1"/>
  <c r="BE292" i="1"/>
  <c r="BD293" i="1"/>
  <c r="AX293" i="1" s="1"/>
  <c r="BE295" i="1"/>
  <c r="BD295" i="1"/>
  <c r="AX295" i="1" s="1"/>
  <c r="BG296" i="1"/>
  <c r="AL296" i="1"/>
  <c r="BE296" i="1"/>
  <c r="BD299" i="1"/>
  <c r="AX299" i="1" s="1"/>
  <c r="BG300" i="1"/>
  <c r="AL300" i="1"/>
  <c r="BE300" i="1"/>
  <c r="BD303" i="1"/>
  <c r="AX303" i="1" s="1"/>
  <c r="BG304" i="1"/>
  <c r="AL304" i="1"/>
  <c r="BE304" i="1"/>
  <c r="BD305" i="1"/>
  <c r="AX305" i="1" s="1"/>
  <c r="BD307" i="1"/>
  <c r="AX307" i="1" s="1"/>
  <c r="BG308" i="1"/>
  <c r="AL308" i="1"/>
  <c r="BE308" i="1"/>
  <c r="BD309" i="1"/>
  <c r="AX309" i="1" s="1"/>
  <c r="BD311" i="1"/>
  <c r="AX311" i="1" s="1"/>
  <c r="BG312" i="1"/>
  <c r="AL312" i="1"/>
  <c r="BE312" i="1"/>
  <c r="BD315" i="1"/>
  <c r="AX315" i="1" s="1"/>
  <c r="BG316" i="1"/>
  <c r="AL316" i="1"/>
  <c r="BE316" i="1"/>
  <c r="BD319" i="1"/>
  <c r="AX319" i="1" s="1"/>
  <c r="BG320" i="1"/>
  <c r="AL320" i="1"/>
  <c r="BE320" i="1"/>
  <c r="BD321" i="1"/>
  <c r="AX321" i="1" s="1"/>
  <c r="BD323" i="1"/>
  <c r="AX323" i="1" s="1"/>
  <c r="BG324" i="1"/>
  <c r="AL324" i="1"/>
  <c r="BE324" i="1"/>
  <c r="BD325" i="1"/>
  <c r="AX325" i="1" s="1"/>
  <c r="BE327" i="1"/>
  <c r="BD327" i="1"/>
  <c r="AX327" i="1" s="1"/>
  <c r="BG328" i="1"/>
  <c r="AL328" i="1"/>
  <c r="BE328" i="1"/>
  <c r="BE331" i="1"/>
  <c r="BD331" i="1"/>
  <c r="AX331" i="1" s="1"/>
  <c r="BE332" i="1"/>
  <c r="BG332" i="1"/>
  <c r="AL332" i="1"/>
  <c r="BD336" i="1"/>
  <c r="AX336" i="1" s="1"/>
  <c r="BD345" i="1"/>
  <c r="AX345" i="1" s="1"/>
  <c r="V345" i="1"/>
  <c r="BG353" i="1"/>
  <c r="AL353" i="1"/>
  <c r="BE353" i="1"/>
  <c r="BD358" i="1"/>
  <c r="AX358" i="1" s="1"/>
  <c r="V358" i="1" s="1"/>
  <c r="BD365" i="1"/>
  <c r="AX365" i="1" s="1"/>
  <c r="BG366" i="1"/>
  <c r="AL366" i="1"/>
  <c r="BE366" i="1"/>
  <c r="BD367" i="1"/>
  <c r="AX367" i="1" s="1"/>
  <c r="BE376" i="1"/>
  <c r="BC389" i="1"/>
  <c r="BD389" i="1" s="1"/>
  <c r="AX389" i="1" s="1"/>
  <c r="BD394" i="1"/>
  <c r="AX394" i="1" s="1"/>
  <c r="BD400" i="1"/>
  <c r="AX400" i="1" s="1"/>
  <c r="V403" i="1"/>
  <c r="BD414" i="1"/>
  <c r="AX414" i="1" s="1"/>
  <c r="V414" i="1"/>
  <c r="V460" i="1"/>
  <c r="Y460" i="1"/>
  <c r="AT460" i="1"/>
  <c r="AL289" i="1"/>
  <c r="AL293" i="1"/>
  <c r="AL297" i="1"/>
  <c r="AL301" i="1"/>
  <c r="AL305" i="1"/>
  <c r="AL309" i="1"/>
  <c r="AL313" i="1"/>
  <c r="AL317" i="1"/>
  <c r="AL321" i="1"/>
  <c r="AL325" i="1"/>
  <c r="AL329" i="1"/>
  <c r="BE336" i="1"/>
  <c r="BC338" i="1"/>
  <c r="BD338" i="1" s="1"/>
  <c r="AX338" i="1" s="1"/>
  <c r="BG341" i="1"/>
  <c r="AL341" i="1"/>
  <c r="BE341" i="1"/>
  <c r="BG342" i="1"/>
  <c r="AL342" i="1"/>
  <c r="BC343" i="1"/>
  <c r="BD347" i="1"/>
  <c r="AX347" i="1" s="1"/>
  <c r="BD348" i="1"/>
  <c r="AX348" i="1" s="1"/>
  <c r="BC350" i="1"/>
  <c r="BD350" i="1" s="1"/>
  <c r="AX350" i="1" s="1"/>
  <c r="BD355" i="1"/>
  <c r="AX355" i="1" s="1"/>
  <c r="BD356" i="1"/>
  <c r="AX356" i="1" s="1"/>
  <c r="BC358" i="1"/>
  <c r="BG361" i="1"/>
  <c r="AL361" i="1"/>
  <c r="BE361" i="1"/>
  <c r="BG362" i="1"/>
  <c r="AL362" i="1"/>
  <c r="BC363" i="1"/>
  <c r="BD363" i="1" s="1"/>
  <c r="AX363" i="1" s="1"/>
  <c r="BD368" i="1"/>
  <c r="AX368" i="1" s="1"/>
  <c r="BC370" i="1"/>
  <c r="BD370" i="1" s="1"/>
  <c r="AX370" i="1" s="1"/>
  <c r="BD373" i="1"/>
  <c r="AX373" i="1" s="1"/>
  <c r="V373" i="1"/>
  <c r="BD376" i="1"/>
  <c r="AX376" i="1" s="1"/>
  <c r="BC378" i="1"/>
  <c r="BD378" i="1" s="1"/>
  <c r="AX378" i="1" s="1"/>
  <c r="BG386" i="1"/>
  <c r="AL386" i="1"/>
  <c r="BE386" i="1"/>
  <c r="BC387" i="1"/>
  <c r="BD387" i="1"/>
  <c r="AX387" i="1" s="1"/>
  <c r="BE388" i="1"/>
  <c r="BG394" i="1"/>
  <c r="AL394" i="1"/>
  <c r="BE394" i="1"/>
  <c r="BC395" i="1"/>
  <c r="BD395" i="1" s="1"/>
  <c r="AX395" i="1" s="1"/>
  <c r="BE396" i="1"/>
  <c r="BG402" i="1"/>
  <c r="AL402" i="1"/>
  <c r="BE402" i="1"/>
  <c r="BC403" i="1"/>
  <c r="BD403" i="1"/>
  <c r="AX403" i="1" s="1"/>
  <c r="BE404" i="1"/>
  <c r="BD409" i="1"/>
  <c r="AX409" i="1" s="1"/>
  <c r="BC412" i="1"/>
  <c r="BD412" i="1"/>
  <c r="AX412" i="1" s="1"/>
  <c r="BG414" i="1"/>
  <c r="AL414" i="1"/>
  <c r="BE414" i="1"/>
  <c r="BC415" i="1"/>
  <c r="BD415" i="1"/>
  <c r="AX415" i="1" s="1"/>
  <c r="AT420" i="1"/>
  <c r="V420" i="1"/>
  <c r="BG421" i="1"/>
  <c r="AL421" i="1"/>
  <c r="BE421" i="1"/>
  <c r="BC423" i="1"/>
  <c r="V429" i="1"/>
  <c r="BG437" i="1"/>
  <c r="AL437" i="1"/>
  <c r="BE437" i="1"/>
  <c r="BD441" i="1"/>
  <c r="AX441" i="1" s="1"/>
  <c r="V441" i="1" s="1"/>
  <c r="BG453" i="1"/>
  <c r="AL453" i="1"/>
  <c r="BE453" i="1"/>
  <c r="BD462" i="1"/>
  <c r="AX462" i="1" s="1"/>
  <c r="BE468" i="1"/>
  <c r="BD487" i="1"/>
  <c r="AX487" i="1" s="1"/>
  <c r="BE496" i="1"/>
  <c r="BG506" i="1"/>
  <c r="AL506" i="1"/>
  <c r="BE506" i="1"/>
  <c r="BC334" i="1"/>
  <c r="BD334" i="1" s="1"/>
  <c r="AX334" i="1" s="1"/>
  <c r="BG337" i="1"/>
  <c r="AL337" i="1"/>
  <c r="BE337" i="1"/>
  <c r="V337" i="1"/>
  <c r="BG338" i="1"/>
  <c r="AL338" i="1"/>
  <c r="BC339" i="1"/>
  <c r="BE342" i="1"/>
  <c r="BD343" i="1"/>
  <c r="AX343" i="1" s="1"/>
  <c r="BD344" i="1"/>
  <c r="AX344" i="1" s="1"/>
  <c r="BE348" i="1"/>
  <c r="BG349" i="1"/>
  <c r="AL349" i="1"/>
  <c r="BE349" i="1"/>
  <c r="BG350" i="1"/>
  <c r="AL350" i="1"/>
  <c r="BC351" i="1"/>
  <c r="BE356" i="1"/>
  <c r="BG357" i="1"/>
  <c r="AL357" i="1"/>
  <c r="BE357" i="1"/>
  <c r="BG358" i="1"/>
  <c r="AL358" i="1"/>
  <c r="BC359" i="1"/>
  <c r="BD364" i="1"/>
  <c r="AX364" i="1" s="1"/>
  <c r="BG370" i="1"/>
  <c r="AL370" i="1"/>
  <c r="BE370" i="1"/>
  <c r="BC371" i="1"/>
  <c r="BD371" i="1"/>
  <c r="AX371" i="1" s="1"/>
  <c r="V371" i="1" s="1"/>
  <c r="BE372" i="1"/>
  <c r="BG378" i="1"/>
  <c r="AL378" i="1"/>
  <c r="BE378" i="1"/>
  <c r="BC379" i="1"/>
  <c r="BD379" i="1"/>
  <c r="AX379" i="1" s="1"/>
  <c r="BE380" i="1"/>
  <c r="BC382" i="1"/>
  <c r="BD382" i="1" s="1"/>
  <c r="AX382" i="1" s="1"/>
  <c r="BD385" i="1"/>
  <c r="AX385" i="1" s="1"/>
  <c r="V385" i="1"/>
  <c r="BC388" i="1"/>
  <c r="BD388" i="1"/>
  <c r="AX388" i="1" s="1"/>
  <c r="BC390" i="1"/>
  <c r="BD390" i="1" s="1"/>
  <c r="AX390" i="1" s="1"/>
  <c r="BD393" i="1"/>
  <c r="AX393" i="1" s="1"/>
  <c r="V393" i="1"/>
  <c r="BC396" i="1"/>
  <c r="BD396" i="1" s="1"/>
  <c r="AX396" i="1" s="1"/>
  <c r="BC398" i="1"/>
  <c r="BD398" i="1" s="1"/>
  <c r="AX398" i="1" s="1"/>
  <c r="BD401" i="1"/>
  <c r="AX401" i="1" s="1"/>
  <c r="BC404" i="1"/>
  <c r="BD404" i="1"/>
  <c r="AX404" i="1" s="1"/>
  <c r="BC406" i="1"/>
  <c r="BD406" i="1" s="1"/>
  <c r="AX406" i="1" s="1"/>
  <c r="BD413" i="1"/>
  <c r="AX413" i="1" s="1"/>
  <c r="BG420" i="1"/>
  <c r="AL420" i="1"/>
  <c r="BE420" i="1"/>
  <c r="BC429" i="1"/>
  <c r="BD429" i="1" s="1"/>
  <c r="AX429" i="1" s="1"/>
  <c r="BE439" i="1"/>
  <c r="BD446" i="1"/>
  <c r="AX446" i="1" s="1"/>
  <c r="V446" i="1" s="1"/>
  <c r="BC452" i="1"/>
  <c r="BD452" i="1" s="1"/>
  <c r="AX452" i="1" s="1"/>
  <c r="BE455" i="1"/>
  <c r="AT457" i="1"/>
  <c r="V457" i="1"/>
  <c r="Y457" i="1"/>
  <c r="BC461" i="1"/>
  <c r="Y464" i="1"/>
  <c r="AT464" i="1"/>
  <c r="AF464" i="1" s="1"/>
  <c r="AG464" i="1" s="1"/>
  <c r="V464" i="1"/>
  <c r="BE480" i="1"/>
  <c r="BG333" i="1"/>
  <c r="AL333" i="1"/>
  <c r="BE333" i="1"/>
  <c r="BG334" i="1"/>
  <c r="AL334" i="1"/>
  <c r="BC335" i="1"/>
  <c r="BD339" i="1"/>
  <c r="AX339" i="1" s="1"/>
  <c r="BD340" i="1"/>
  <c r="AX340" i="1" s="1"/>
  <c r="BE344" i="1"/>
  <c r="BC346" i="1"/>
  <c r="BD346" i="1" s="1"/>
  <c r="AX346" i="1" s="1"/>
  <c r="V346" i="1"/>
  <c r="BD351" i="1"/>
  <c r="AX351" i="1" s="1"/>
  <c r="BD352" i="1"/>
  <c r="AX352" i="1" s="1"/>
  <c r="BC354" i="1"/>
  <c r="BD354" i="1" s="1"/>
  <c r="AX354" i="1" s="1"/>
  <c r="V354" i="1"/>
  <c r="BD359" i="1"/>
  <c r="AX359" i="1" s="1"/>
  <c r="BD360" i="1"/>
  <c r="AX360" i="1" s="1"/>
  <c r="BE364" i="1"/>
  <c r="BC366" i="1"/>
  <c r="BD366" i="1" s="1"/>
  <c r="AX366" i="1" s="1"/>
  <c r="BD369" i="1"/>
  <c r="AX369" i="1" s="1"/>
  <c r="V369" i="1"/>
  <c r="BC372" i="1"/>
  <c r="BD372" i="1"/>
  <c r="AX372" i="1" s="1"/>
  <c r="BC374" i="1"/>
  <c r="BD374" i="1" s="1"/>
  <c r="AX374" i="1" s="1"/>
  <c r="V374" i="1"/>
  <c r="BD377" i="1"/>
  <c r="AX377" i="1" s="1"/>
  <c r="BC380" i="1"/>
  <c r="BD380" i="1"/>
  <c r="AX380" i="1" s="1"/>
  <c r="BG382" i="1"/>
  <c r="AL382" i="1"/>
  <c r="BE382" i="1"/>
  <c r="BC383" i="1"/>
  <c r="BD383" i="1" s="1"/>
  <c r="AX383" i="1" s="1"/>
  <c r="BE384" i="1"/>
  <c r="BG390" i="1"/>
  <c r="AL390" i="1"/>
  <c r="BE390" i="1"/>
  <c r="BC391" i="1"/>
  <c r="BD391" i="1"/>
  <c r="AX391" i="1" s="1"/>
  <c r="BE392" i="1"/>
  <c r="BG398" i="1"/>
  <c r="AL398" i="1"/>
  <c r="BE398" i="1"/>
  <c r="BC399" i="1"/>
  <c r="BD399" i="1" s="1"/>
  <c r="AX399" i="1" s="1"/>
  <c r="BE400" i="1"/>
  <c r="BG406" i="1"/>
  <c r="AL406" i="1"/>
  <c r="BE406" i="1"/>
  <c r="BC407" i="1"/>
  <c r="BD407" i="1"/>
  <c r="AX407" i="1" s="1"/>
  <c r="V407" i="1" s="1"/>
  <c r="BE408" i="1"/>
  <c r="BC410" i="1"/>
  <c r="BD410" i="1" s="1"/>
  <c r="AX410" i="1" s="1"/>
  <c r="V410" i="1"/>
  <c r="V411" i="1"/>
  <c r="BC417" i="1"/>
  <c r="BD417" i="1" s="1"/>
  <c r="AX417" i="1" s="1"/>
  <c r="Y420" i="1"/>
  <c r="BD428" i="1"/>
  <c r="AX428" i="1" s="1"/>
  <c r="BD433" i="1"/>
  <c r="AX433" i="1" s="1"/>
  <c r="V433" i="1" s="1"/>
  <c r="BD435" i="1"/>
  <c r="AX435" i="1" s="1"/>
  <c r="BG445" i="1"/>
  <c r="AL445" i="1"/>
  <c r="BE445" i="1"/>
  <c r="BD449" i="1"/>
  <c r="AX449" i="1" s="1"/>
  <c r="BG417" i="1"/>
  <c r="AL417" i="1"/>
  <c r="BC418" i="1"/>
  <c r="BD422" i="1"/>
  <c r="AX422" i="1" s="1"/>
  <c r="BD423" i="1"/>
  <c r="AX423" i="1" s="1"/>
  <c r="BE427" i="1"/>
  <c r="BG428" i="1"/>
  <c r="AL428" i="1"/>
  <c r="BE428" i="1"/>
  <c r="BG429" i="1"/>
  <c r="AL429" i="1"/>
  <c r="BC430" i="1"/>
  <c r="BE435" i="1"/>
  <c r="BG436" i="1"/>
  <c r="AL436" i="1"/>
  <c r="BE436" i="1"/>
  <c r="BD439" i="1"/>
  <c r="AX439" i="1" s="1"/>
  <c r="BC441" i="1"/>
  <c r="BD444" i="1"/>
  <c r="AX444" i="1" s="1"/>
  <c r="BD447" i="1"/>
  <c r="AX447" i="1" s="1"/>
  <c r="BC449" i="1"/>
  <c r="V449" i="1"/>
  <c r="BD455" i="1"/>
  <c r="AX455" i="1" s="1"/>
  <c r="BG457" i="1"/>
  <c r="AL457" i="1"/>
  <c r="BE457" i="1"/>
  <c r="BC458" i="1"/>
  <c r="BD458" i="1" s="1"/>
  <c r="AX458" i="1" s="1"/>
  <c r="BE459" i="1"/>
  <c r="BD461" i="1"/>
  <c r="AX461" i="1" s="1"/>
  <c r="BC465" i="1"/>
  <c r="BD465" i="1" s="1"/>
  <c r="AX465" i="1" s="1"/>
  <c r="BC470" i="1"/>
  <c r="BD470" i="1" s="1"/>
  <c r="AX470" i="1" s="1"/>
  <c r="BD474" i="1"/>
  <c r="AX474" i="1" s="1"/>
  <c r="BG486" i="1"/>
  <c r="AL486" i="1"/>
  <c r="BE486" i="1"/>
  <c r="BD490" i="1"/>
  <c r="AX490" i="1" s="1"/>
  <c r="BC501" i="1"/>
  <c r="BD501" i="1" s="1"/>
  <c r="AX501" i="1" s="1"/>
  <c r="BG502" i="1"/>
  <c r="AL502" i="1"/>
  <c r="BE502" i="1"/>
  <c r="Y503" i="1"/>
  <c r="AT503" i="1"/>
  <c r="AF503" i="1" s="1"/>
  <c r="AG503" i="1" s="1"/>
  <c r="AT511" i="1"/>
  <c r="Y511" i="1"/>
  <c r="AT540" i="1"/>
  <c r="V540" i="1"/>
  <c r="Y540" i="1"/>
  <c r="BE369" i="1"/>
  <c r="BE373" i="1"/>
  <c r="BE377" i="1"/>
  <c r="BE381" i="1"/>
  <c r="BE385" i="1"/>
  <c r="BE389" i="1"/>
  <c r="BE393" i="1"/>
  <c r="BE397" i="1"/>
  <c r="BE401" i="1"/>
  <c r="BE405" i="1"/>
  <c r="BE409" i="1"/>
  <c r="BE413" i="1"/>
  <c r="BG416" i="1"/>
  <c r="AL416" i="1"/>
  <c r="BE416" i="1"/>
  <c r="BE417" i="1"/>
  <c r="BD418" i="1"/>
  <c r="AX418" i="1" s="1"/>
  <c r="BD419" i="1"/>
  <c r="AX419" i="1" s="1"/>
  <c r="BE423" i="1"/>
  <c r="BC425" i="1"/>
  <c r="BD425" i="1" s="1"/>
  <c r="AX425" i="1" s="1"/>
  <c r="BE429" i="1"/>
  <c r="BD430" i="1"/>
  <c r="AX430" i="1" s="1"/>
  <c r="BD431" i="1"/>
  <c r="AX431" i="1" s="1"/>
  <c r="BC433" i="1"/>
  <c r="BG441" i="1"/>
  <c r="AL441" i="1"/>
  <c r="BE441" i="1"/>
  <c r="BC442" i="1"/>
  <c r="BD442" i="1"/>
  <c r="AX442" i="1" s="1"/>
  <c r="BE443" i="1"/>
  <c r="BG449" i="1"/>
  <c r="AL449" i="1"/>
  <c r="BE449" i="1"/>
  <c r="BC450" i="1"/>
  <c r="BD450" i="1" s="1"/>
  <c r="AX450" i="1" s="1"/>
  <c r="BE451" i="1"/>
  <c r="BC459" i="1"/>
  <c r="BD459" i="1"/>
  <c r="AX459" i="1" s="1"/>
  <c r="BD469" i="1"/>
  <c r="AX469" i="1" s="1"/>
  <c r="BC479" i="1"/>
  <c r="BD479" i="1"/>
  <c r="AX479" i="1" s="1"/>
  <c r="BC485" i="1"/>
  <c r="BE488" i="1"/>
  <c r="BC495" i="1"/>
  <c r="BD495" i="1"/>
  <c r="AX495" i="1" s="1"/>
  <c r="BD505" i="1"/>
  <c r="AX505" i="1" s="1"/>
  <c r="BE509" i="1"/>
  <c r="BD528" i="1"/>
  <c r="AX528" i="1" s="1"/>
  <c r="AL369" i="1"/>
  <c r="AL373" i="1"/>
  <c r="AL377" i="1"/>
  <c r="AL381" i="1"/>
  <c r="AL385" i="1"/>
  <c r="AL389" i="1"/>
  <c r="AL393" i="1"/>
  <c r="AL397" i="1"/>
  <c r="AL401" i="1"/>
  <c r="AL405" i="1"/>
  <c r="AL409" i="1"/>
  <c r="AL413" i="1"/>
  <c r="BE419" i="1"/>
  <c r="BC421" i="1"/>
  <c r="BD421" i="1" s="1"/>
  <c r="AX421" i="1" s="1"/>
  <c r="V421" i="1"/>
  <c r="BG424" i="1"/>
  <c r="AL424" i="1"/>
  <c r="BE424" i="1"/>
  <c r="BG425" i="1"/>
  <c r="AL425" i="1"/>
  <c r="BC426" i="1"/>
  <c r="BE431" i="1"/>
  <c r="BG432" i="1"/>
  <c r="AL432" i="1"/>
  <c r="BE432" i="1"/>
  <c r="BG433" i="1"/>
  <c r="AL433" i="1"/>
  <c r="BC434" i="1"/>
  <c r="BD434" i="1" s="1"/>
  <c r="AX434" i="1" s="1"/>
  <c r="BC437" i="1"/>
  <c r="BD437" i="1" s="1"/>
  <c r="AX437" i="1" s="1"/>
  <c r="V437" i="1"/>
  <c r="BD440" i="1"/>
  <c r="AX440" i="1" s="1"/>
  <c r="BC443" i="1"/>
  <c r="BD443" i="1"/>
  <c r="AX443" i="1" s="1"/>
  <c r="BC445" i="1"/>
  <c r="BD445" i="1" s="1"/>
  <c r="AX445" i="1" s="1"/>
  <c r="BD448" i="1"/>
  <c r="AX448" i="1" s="1"/>
  <c r="V448" i="1"/>
  <c r="BC451" i="1"/>
  <c r="BD451" i="1"/>
  <c r="AX451" i="1" s="1"/>
  <c r="BC453" i="1"/>
  <c r="BD453" i="1" s="1"/>
  <c r="AX453" i="1" s="1"/>
  <c r="V453" i="1"/>
  <c r="V454" i="1"/>
  <c r="BD456" i="1"/>
  <c r="AX456" i="1" s="1"/>
  <c r="V456" i="1"/>
  <c r="BG478" i="1"/>
  <c r="AL478" i="1"/>
  <c r="BE478" i="1"/>
  <c r="BG494" i="1"/>
  <c r="AL494" i="1"/>
  <c r="BE494" i="1"/>
  <c r="Y543" i="1"/>
  <c r="AT543" i="1"/>
  <c r="AF543" i="1" s="1"/>
  <c r="AG543" i="1" s="1"/>
  <c r="V543" i="1"/>
  <c r="BC544" i="1"/>
  <c r="BD544" i="1" s="1"/>
  <c r="AX544" i="1" s="1"/>
  <c r="BE460" i="1"/>
  <c r="BE464" i="1"/>
  <c r="BC466" i="1"/>
  <c r="BD466" i="1" s="1"/>
  <c r="AX466" i="1" s="1"/>
  <c r="V466" i="1"/>
  <c r="BG469" i="1"/>
  <c r="AL469" i="1"/>
  <c r="BE469" i="1"/>
  <c r="BG470" i="1"/>
  <c r="AL470" i="1"/>
  <c r="BE470" i="1"/>
  <c r="BC471" i="1"/>
  <c r="BD471" i="1"/>
  <c r="AX471" i="1" s="1"/>
  <c r="BE472" i="1"/>
  <c r="BC474" i="1"/>
  <c r="BD477" i="1"/>
  <c r="AX477" i="1" s="1"/>
  <c r="BC480" i="1"/>
  <c r="BD480" i="1"/>
  <c r="AX480" i="1" s="1"/>
  <c r="BC482" i="1"/>
  <c r="BD482" i="1" s="1"/>
  <c r="AX482" i="1" s="1"/>
  <c r="BD485" i="1"/>
  <c r="AX485" i="1" s="1"/>
  <c r="BC488" i="1"/>
  <c r="BD488" i="1"/>
  <c r="AX488" i="1" s="1"/>
  <c r="BC490" i="1"/>
  <c r="BD493" i="1"/>
  <c r="AX493" i="1" s="1"/>
  <c r="BD496" i="1"/>
  <c r="AX496" i="1" s="1"/>
  <c r="BC498" i="1"/>
  <c r="BD498" i="1" s="1"/>
  <c r="AX498" i="1" s="1"/>
  <c r="V503" i="1"/>
  <c r="BD504" i="1"/>
  <c r="AX504" i="1" s="1"/>
  <c r="V507" i="1"/>
  <c r="BD508" i="1"/>
  <c r="AX508" i="1" s="1"/>
  <c r="BD510" i="1"/>
  <c r="AX510" i="1" s="1"/>
  <c r="BG511" i="1"/>
  <c r="AL511" i="1"/>
  <c r="BE511" i="1"/>
  <c r="BD515" i="1"/>
  <c r="AX515" i="1" s="1"/>
  <c r="V515" i="1" s="1"/>
  <c r="BD517" i="1"/>
  <c r="AX517" i="1" s="1"/>
  <c r="BG527" i="1"/>
  <c r="AL527" i="1"/>
  <c r="BE527" i="1"/>
  <c r="BD557" i="1"/>
  <c r="AX557" i="1" s="1"/>
  <c r="BG558" i="1"/>
  <c r="AL558" i="1"/>
  <c r="BE558" i="1"/>
  <c r="BE440" i="1"/>
  <c r="BE444" i="1"/>
  <c r="BE448" i="1"/>
  <c r="BE452" i="1"/>
  <c r="BE456" i="1"/>
  <c r="AL460" i="1"/>
  <c r="BG460" i="1"/>
  <c r="BG461" i="1"/>
  <c r="AL461" i="1"/>
  <c r="BE461" i="1"/>
  <c r="BC462" i="1"/>
  <c r="BG465" i="1"/>
  <c r="AL465" i="1"/>
  <c r="BE465" i="1"/>
  <c r="BG466" i="1"/>
  <c r="AL466" i="1"/>
  <c r="BC472" i="1"/>
  <c r="BD472" i="1"/>
  <c r="AX472" i="1" s="1"/>
  <c r="BG474" i="1"/>
  <c r="AL474" i="1"/>
  <c r="BE474" i="1"/>
  <c r="BC475" i="1"/>
  <c r="BD475" i="1"/>
  <c r="AX475" i="1" s="1"/>
  <c r="BE476" i="1"/>
  <c r="BG482" i="1"/>
  <c r="AL482" i="1"/>
  <c r="BE482" i="1"/>
  <c r="BC483" i="1"/>
  <c r="BD483" i="1" s="1"/>
  <c r="AX483" i="1" s="1"/>
  <c r="BE484" i="1"/>
  <c r="BG490" i="1"/>
  <c r="AL490" i="1"/>
  <c r="BE490" i="1"/>
  <c r="BC491" i="1"/>
  <c r="BD491" i="1"/>
  <c r="AX491" i="1" s="1"/>
  <c r="BE492" i="1"/>
  <c r="BG498" i="1"/>
  <c r="AL498" i="1"/>
  <c r="BE498" i="1"/>
  <c r="BC499" i="1"/>
  <c r="BD499" i="1" s="1"/>
  <c r="AX499" i="1" s="1"/>
  <c r="BE500" i="1"/>
  <c r="V511" i="1"/>
  <c r="BC514" i="1"/>
  <c r="BD514" i="1" s="1"/>
  <c r="AX514" i="1" s="1"/>
  <c r="BC526" i="1"/>
  <c r="BE529" i="1"/>
  <c r="V551" i="1"/>
  <c r="AT553" i="1"/>
  <c r="Y553" i="1"/>
  <c r="Y572" i="1"/>
  <c r="AT572" i="1"/>
  <c r="AF572" i="1" s="1"/>
  <c r="AG572" i="1" s="1"/>
  <c r="V572" i="1"/>
  <c r="AL440" i="1"/>
  <c r="AL444" i="1"/>
  <c r="AL448" i="1"/>
  <c r="AL452" i="1"/>
  <c r="AL456" i="1"/>
  <c r="V461" i="1"/>
  <c r="AL462" i="1"/>
  <c r="BC463" i="1"/>
  <c r="BD463" i="1" s="1"/>
  <c r="AX463" i="1" s="1"/>
  <c r="BE466" i="1"/>
  <c r="BD467" i="1"/>
  <c r="AX467" i="1" s="1"/>
  <c r="BD468" i="1"/>
  <c r="AX468" i="1" s="1"/>
  <c r="BD473" i="1"/>
  <c r="AX473" i="1" s="1"/>
  <c r="BC476" i="1"/>
  <c r="BD476" i="1"/>
  <c r="AX476" i="1" s="1"/>
  <c r="BC478" i="1"/>
  <c r="BD478" i="1" s="1"/>
  <c r="AX478" i="1" s="1"/>
  <c r="BD481" i="1"/>
  <c r="AX481" i="1" s="1"/>
  <c r="BC484" i="1"/>
  <c r="BD484" i="1" s="1"/>
  <c r="AX484" i="1" s="1"/>
  <c r="BC486" i="1"/>
  <c r="BD486" i="1" s="1"/>
  <c r="AX486" i="1" s="1"/>
  <c r="V486" i="1"/>
  <c r="V487" i="1"/>
  <c r="BD489" i="1"/>
  <c r="AX489" i="1" s="1"/>
  <c r="V489" i="1"/>
  <c r="BC492" i="1"/>
  <c r="BD492" i="1"/>
  <c r="AX492" i="1" s="1"/>
  <c r="BC494" i="1"/>
  <c r="BD494" i="1" s="1"/>
  <c r="AX494" i="1" s="1"/>
  <c r="V494" i="1"/>
  <c r="BD497" i="1"/>
  <c r="AX497" i="1" s="1"/>
  <c r="BC500" i="1"/>
  <c r="BD500" i="1"/>
  <c r="AX500" i="1" s="1"/>
  <c r="BC502" i="1"/>
  <c r="BD502" i="1" s="1"/>
  <c r="AX502" i="1" s="1"/>
  <c r="BE504" i="1"/>
  <c r="BC506" i="1"/>
  <c r="BD506" i="1" s="1"/>
  <c r="AX506" i="1" s="1"/>
  <c r="BE508" i="1"/>
  <c r="BG512" i="1"/>
  <c r="AL512" i="1"/>
  <c r="BE512" i="1"/>
  <c r="BC518" i="1"/>
  <c r="BD518" i="1" s="1"/>
  <c r="AX518" i="1" s="1"/>
  <c r="BD523" i="1"/>
  <c r="AX523" i="1" s="1"/>
  <c r="BD531" i="1"/>
  <c r="AX531" i="1" s="1"/>
  <c r="V531" i="1"/>
  <c r="AT533" i="1"/>
  <c r="AF533" i="1" s="1"/>
  <c r="AG533" i="1" s="1"/>
  <c r="Y533" i="1"/>
  <c r="AT548" i="1"/>
  <c r="Y548" i="1"/>
  <c r="AT550" i="1"/>
  <c r="AF550" i="1" s="1"/>
  <c r="AG550" i="1" s="1"/>
  <c r="Y550" i="1"/>
  <c r="V550" i="1"/>
  <c r="AL503" i="1"/>
  <c r="AL507" i="1"/>
  <c r="BD513" i="1"/>
  <c r="AX513" i="1" s="1"/>
  <c r="BE518" i="1"/>
  <c r="BC519" i="1"/>
  <c r="BD519" i="1" s="1"/>
  <c r="AX519" i="1" s="1"/>
  <c r="BC520" i="1"/>
  <c r="BD520" i="1" s="1"/>
  <c r="AX520" i="1" s="1"/>
  <c r="BE521" i="1"/>
  <c r="BC523" i="1"/>
  <c r="V523" i="1"/>
  <c r="BD526" i="1"/>
  <c r="AX526" i="1" s="1"/>
  <c r="V526" i="1"/>
  <c r="BC529" i="1"/>
  <c r="BD529" i="1" s="1"/>
  <c r="AX529" i="1" s="1"/>
  <c r="BG531" i="1"/>
  <c r="AL531" i="1"/>
  <c r="BE531" i="1"/>
  <c r="BC532" i="1"/>
  <c r="V533" i="1"/>
  <c r="BC534" i="1"/>
  <c r="BD534" i="1" s="1"/>
  <c r="AX534" i="1" s="1"/>
  <c r="BE535" i="1"/>
  <c r="AT547" i="1"/>
  <c r="AF547" i="1" s="1"/>
  <c r="AG547" i="1" s="1"/>
  <c r="V547" i="1"/>
  <c r="Y547" i="1"/>
  <c r="BE556" i="1"/>
  <c r="BD566" i="1"/>
  <c r="AX566" i="1" s="1"/>
  <c r="V566" i="1"/>
  <c r="BE473" i="1"/>
  <c r="BE477" i="1"/>
  <c r="BE481" i="1"/>
  <c r="BE485" i="1"/>
  <c r="BE489" i="1"/>
  <c r="BE493" i="1"/>
  <c r="BE497" i="1"/>
  <c r="BE501" i="1"/>
  <c r="BE510" i="1"/>
  <c r="AL510" i="1"/>
  <c r="BE514" i="1"/>
  <c r="BC516" i="1"/>
  <c r="BD516" i="1" s="1"/>
  <c r="AX516" i="1" s="1"/>
  <c r="BG519" i="1"/>
  <c r="AL519" i="1"/>
  <c r="BE519" i="1"/>
  <c r="BC521" i="1"/>
  <c r="BD521" i="1"/>
  <c r="AX521" i="1" s="1"/>
  <c r="BG523" i="1"/>
  <c r="AL523" i="1"/>
  <c r="BE523" i="1"/>
  <c r="BC524" i="1"/>
  <c r="BD524" i="1"/>
  <c r="AX524" i="1" s="1"/>
  <c r="BE525" i="1"/>
  <c r="BD530" i="1"/>
  <c r="AX530" i="1" s="1"/>
  <c r="BC537" i="1"/>
  <c r="BD537" i="1" s="1"/>
  <c r="AX537" i="1" s="1"/>
  <c r="BE547" i="1"/>
  <c r="AL473" i="1"/>
  <c r="AL477" i="1"/>
  <c r="AL481" i="1"/>
  <c r="AL485" i="1"/>
  <c r="AL489" i="1"/>
  <c r="AL493" i="1"/>
  <c r="AL497" i="1"/>
  <c r="AL501" i="1"/>
  <c r="BD509" i="1"/>
  <c r="AX509" i="1" s="1"/>
  <c r="BC512" i="1"/>
  <c r="BD512" i="1" s="1"/>
  <c r="AX512" i="1" s="1"/>
  <c r="V512" i="1"/>
  <c r="BG515" i="1"/>
  <c r="AL515" i="1"/>
  <c r="BE515" i="1"/>
  <c r="BG516" i="1"/>
  <c r="AL516" i="1"/>
  <c r="BC517" i="1"/>
  <c r="BD522" i="1"/>
  <c r="AX522" i="1" s="1"/>
  <c r="BC525" i="1"/>
  <c r="BD525" i="1"/>
  <c r="AX525" i="1" s="1"/>
  <c r="BC527" i="1"/>
  <c r="BD527" i="1" s="1"/>
  <c r="AX527" i="1" s="1"/>
  <c r="V527" i="1"/>
  <c r="BD532" i="1"/>
  <c r="AX532" i="1" s="1"/>
  <c r="BD536" i="1"/>
  <c r="AX536" i="1" s="1"/>
  <c r="BD570" i="1"/>
  <c r="AX570" i="1" s="1"/>
  <c r="BG536" i="1"/>
  <c r="AL536" i="1"/>
  <c r="BE536" i="1"/>
  <c r="V536" i="1"/>
  <c r="BG537" i="1"/>
  <c r="AL537" i="1"/>
  <c r="BC538" i="1"/>
  <c r="BD538" i="1" s="1"/>
  <c r="AX538" i="1" s="1"/>
  <c r="BE543" i="1"/>
  <c r="BC545" i="1"/>
  <c r="V545" i="1"/>
  <c r="BD546" i="1"/>
  <c r="AX546" i="1" s="1"/>
  <c r="BG548" i="1"/>
  <c r="AL548" i="1"/>
  <c r="BE548" i="1"/>
  <c r="BC551" i="1"/>
  <c r="BC557" i="1"/>
  <c r="BD562" i="1"/>
  <c r="AX562" i="1" s="1"/>
  <c r="BD564" i="1"/>
  <c r="AX564" i="1" s="1"/>
  <c r="BC566" i="1"/>
  <c r="V580" i="1"/>
  <c r="BE522" i="1"/>
  <c r="BE526" i="1"/>
  <c r="BE530" i="1"/>
  <c r="BE537" i="1"/>
  <c r="BD539" i="1"/>
  <c r="AX539" i="1" s="1"/>
  <c r="BC541" i="1"/>
  <c r="BD541" i="1" s="1"/>
  <c r="AX541" i="1" s="1"/>
  <c r="BG544" i="1"/>
  <c r="AL544" i="1"/>
  <c r="BE544" i="1"/>
  <c r="V544" i="1"/>
  <c r="BG545" i="1"/>
  <c r="AL545" i="1"/>
  <c r="BE545" i="1"/>
  <c r="BD552" i="1"/>
  <c r="AX552" i="1" s="1"/>
  <c r="BG557" i="1"/>
  <c r="AL557" i="1"/>
  <c r="BE557" i="1"/>
  <c r="AL522" i="1"/>
  <c r="AL526" i="1"/>
  <c r="AL530" i="1"/>
  <c r="BE532" i="1"/>
  <c r="BD535" i="1"/>
  <c r="AX535" i="1" s="1"/>
  <c r="BE539" i="1"/>
  <c r="BG540" i="1"/>
  <c r="AL540" i="1"/>
  <c r="BE540" i="1"/>
  <c r="BG541" i="1"/>
  <c r="AL541" i="1"/>
  <c r="BC542" i="1"/>
  <c r="BD542" i="1" s="1"/>
  <c r="AX542" i="1" s="1"/>
  <c r="BD545" i="1"/>
  <c r="AX545" i="1" s="1"/>
  <c r="V548" i="1"/>
  <c r="BC549" i="1"/>
  <c r="BD549" i="1" s="1"/>
  <c r="AX549" i="1" s="1"/>
  <c r="BE552" i="1"/>
  <c r="BG552" i="1"/>
  <c r="BC569" i="1"/>
  <c r="BD569" i="1" s="1"/>
  <c r="AX569" i="1" s="1"/>
  <c r="BD574" i="1"/>
  <c r="AX574" i="1" s="1"/>
  <c r="V574" i="1"/>
  <c r="AT578" i="1"/>
  <c r="AF578" i="1" s="1"/>
  <c r="AG578" i="1" s="1"/>
  <c r="V578" i="1"/>
  <c r="Y578" i="1"/>
  <c r="BG579" i="1"/>
  <c r="AL579" i="1"/>
  <c r="BE579" i="1"/>
  <c r="AL549" i="1"/>
  <c r="BD551" i="1"/>
  <c r="AX551" i="1" s="1"/>
  <c r="BC554" i="1"/>
  <c r="BD554" i="1" s="1"/>
  <c r="AX554" i="1" s="1"/>
  <c r="BD559" i="1"/>
  <c r="AX559" i="1" s="1"/>
  <c r="BE560" i="1"/>
  <c r="BG566" i="1"/>
  <c r="AL566" i="1"/>
  <c r="BE566" i="1"/>
  <c r="BC567" i="1"/>
  <c r="BD567" i="1"/>
  <c r="AX567" i="1" s="1"/>
  <c r="V567" i="1" s="1"/>
  <c r="BE568" i="1"/>
  <c r="BG574" i="1"/>
  <c r="AL574" i="1"/>
  <c r="BE574" i="1"/>
  <c r="BC575" i="1"/>
  <c r="BD575" i="1" s="1"/>
  <c r="AX575" i="1" s="1"/>
  <c r="BG578" i="1"/>
  <c r="AL578" i="1"/>
  <c r="BE578" i="1"/>
  <c r="BG553" i="1"/>
  <c r="AL553" i="1"/>
  <c r="BE553" i="1"/>
  <c r="V553" i="1"/>
  <c r="BG554" i="1"/>
  <c r="AL554" i="1"/>
  <c r="BC555" i="1"/>
  <c r="BC560" i="1"/>
  <c r="BD560" i="1" s="1"/>
  <c r="AX560" i="1" s="1"/>
  <c r="BC562" i="1"/>
  <c r="V563" i="1"/>
  <c r="BD565" i="1"/>
  <c r="AX565" i="1" s="1"/>
  <c r="V565" i="1"/>
  <c r="BC568" i="1"/>
  <c r="BD568" i="1"/>
  <c r="AX568" i="1" s="1"/>
  <c r="BC570" i="1"/>
  <c r="BD573" i="1"/>
  <c r="AX573" i="1" s="1"/>
  <c r="BD586" i="1"/>
  <c r="AX586" i="1" s="1"/>
  <c r="AT587" i="1"/>
  <c r="Y587" i="1"/>
  <c r="BD598" i="1"/>
  <c r="AX598" i="1" s="1"/>
  <c r="BD555" i="1"/>
  <c r="AX555" i="1" s="1"/>
  <c r="BD556" i="1"/>
  <c r="AX556" i="1" s="1"/>
  <c r="BC558" i="1"/>
  <c r="BD558" i="1" s="1"/>
  <c r="AX558" i="1" s="1"/>
  <c r="V558" i="1"/>
  <c r="BG562" i="1"/>
  <c r="AL562" i="1"/>
  <c r="BE562" i="1"/>
  <c r="BC563" i="1"/>
  <c r="BD563" i="1"/>
  <c r="AX563" i="1" s="1"/>
  <c r="BE564" i="1"/>
  <c r="BG570" i="1"/>
  <c r="AL570" i="1"/>
  <c r="BE570" i="1"/>
  <c r="BC571" i="1"/>
  <c r="BD571" i="1" s="1"/>
  <c r="AX571" i="1" s="1"/>
  <c r="BE572" i="1"/>
  <c r="BE577" i="1"/>
  <c r="BC582" i="1"/>
  <c r="BD582" i="1" s="1"/>
  <c r="AX582" i="1" s="1"/>
  <c r="BD580" i="1"/>
  <c r="AX580" i="1" s="1"/>
  <c r="BD581" i="1"/>
  <c r="AX581" i="1" s="1"/>
  <c r="BC583" i="1"/>
  <c r="BD584" i="1"/>
  <c r="AX584" i="1" s="1"/>
  <c r="BC594" i="1"/>
  <c r="BD594" i="1" s="1"/>
  <c r="AX594" i="1" s="1"/>
  <c r="BE561" i="1"/>
  <c r="BE565" i="1"/>
  <c r="BE569" i="1"/>
  <c r="BE573" i="1"/>
  <c r="BC576" i="1"/>
  <c r="BE581" i="1"/>
  <c r="BG582" i="1"/>
  <c r="AL582" i="1"/>
  <c r="BE582" i="1"/>
  <c r="BG583" i="1"/>
  <c r="AL583" i="1"/>
  <c r="BE583" i="1"/>
  <c r="BC588" i="1"/>
  <c r="BD588" i="1" s="1"/>
  <c r="AX588" i="1" s="1"/>
  <c r="AL561" i="1"/>
  <c r="AL565" i="1"/>
  <c r="AL569" i="1"/>
  <c r="AL573" i="1"/>
  <c r="BD576" i="1"/>
  <c r="AX576" i="1" s="1"/>
  <c r="BD577" i="1"/>
  <c r="AX577" i="1" s="1"/>
  <c r="BC579" i="1"/>
  <c r="BD579" i="1" s="1"/>
  <c r="AX579" i="1" s="1"/>
  <c r="V579" i="1"/>
  <c r="BD583" i="1"/>
  <c r="AX583" i="1" s="1"/>
  <c r="V583" i="1" s="1"/>
  <c r="BE585" i="1"/>
  <c r="BG587" i="1"/>
  <c r="AL587" i="1"/>
  <c r="BE587" i="1"/>
  <c r="V587" i="1"/>
  <c r="BG588" i="1"/>
  <c r="AL588" i="1"/>
  <c r="BC589" i="1"/>
  <c r="BD589" i="1" s="1"/>
  <c r="AX589" i="1" s="1"/>
  <c r="BE590" i="1"/>
  <c r="BD590" i="1"/>
  <c r="AX590" i="1" s="1"/>
  <c r="BC591" i="1"/>
  <c r="BD591" i="1" s="1"/>
  <c r="AX591" i="1" s="1"/>
  <c r="BC595" i="1"/>
  <c r="BD595" i="1" s="1"/>
  <c r="AX595" i="1" s="1"/>
  <c r="BC601" i="1"/>
  <c r="BD601" i="1" s="1"/>
  <c r="AX601" i="1" s="1"/>
  <c r="BD605" i="1"/>
  <c r="AX605" i="1" s="1"/>
  <c r="BE586" i="1"/>
  <c r="AL586" i="1"/>
  <c r="BG591" i="1"/>
  <c r="AL591" i="1"/>
  <c r="BE591" i="1"/>
  <c r="BD592" i="1"/>
  <c r="AX592" i="1" s="1"/>
  <c r="BC593" i="1"/>
  <c r="BE594" i="1"/>
  <c r="BC599" i="1"/>
  <c r="BD599" i="1"/>
  <c r="AX599" i="1" s="1"/>
  <c r="BD585" i="1"/>
  <c r="AX585" i="1" s="1"/>
  <c r="BD593" i="1"/>
  <c r="AX593" i="1" s="1"/>
  <c r="BE595" i="1"/>
  <c r="AL595" i="1"/>
  <c r="BD596" i="1"/>
  <c r="AX596" i="1" s="1"/>
  <c r="BC608" i="1"/>
  <c r="BD608" i="1" s="1"/>
  <c r="AX608" i="1" s="1"/>
  <c r="AL592" i="1"/>
  <c r="BE599" i="1"/>
  <c r="BG601" i="1"/>
  <c r="AL601" i="1"/>
  <c r="BE601" i="1"/>
  <c r="BC602" i="1"/>
  <c r="BD602" i="1"/>
  <c r="AX602" i="1" s="1"/>
  <c r="BE603" i="1"/>
  <c r="BC605" i="1"/>
  <c r="V606" i="1"/>
  <c r="BC597" i="1"/>
  <c r="BD597" i="1" s="1"/>
  <c r="AX597" i="1" s="1"/>
  <c r="BD600" i="1"/>
  <c r="AX600" i="1" s="1"/>
  <c r="BC603" i="1"/>
  <c r="BD603" i="1" s="1"/>
  <c r="AX603" i="1" s="1"/>
  <c r="BG605" i="1"/>
  <c r="AL605" i="1"/>
  <c r="BE605" i="1"/>
  <c r="BC606" i="1"/>
  <c r="BD606" i="1"/>
  <c r="AX606" i="1" s="1"/>
  <c r="BE607" i="1"/>
  <c r="BC609" i="1"/>
  <c r="BD609" i="1" s="1"/>
  <c r="AX609" i="1" s="1"/>
  <c r="BG596" i="1"/>
  <c r="AL596" i="1"/>
  <c r="BE596" i="1"/>
  <c r="BG597" i="1"/>
  <c r="AL597" i="1"/>
  <c r="BC598" i="1"/>
  <c r="BD604" i="1"/>
  <c r="AX604" i="1" s="1"/>
  <c r="BC607" i="1"/>
  <c r="BD607" i="1" s="1"/>
  <c r="AX607" i="1" s="1"/>
  <c r="BG609" i="1"/>
  <c r="AL609" i="1"/>
  <c r="BE609" i="1"/>
  <c r="BE600" i="1"/>
  <c r="BE604" i="1"/>
  <c r="BE608" i="1"/>
  <c r="AL600" i="1"/>
  <c r="AL604" i="1"/>
  <c r="AL608" i="1"/>
  <c r="Y589" i="1" l="1"/>
  <c r="V589" i="1"/>
  <c r="AT589" i="1"/>
  <c r="AF589" i="1" s="1"/>
  <c r="AG589" i="1" s="1"/>
  <c r="Y542" i="1"/>
  <c r="V542" i="1"/>
  <c r="AT542" i="1"/>
  <c r="AF542" i="1" s="1"/>
  <c r="AG542" i="1" s="1"/>
  <c r="AT506" i="1"/>
  <c r="AF506" i="1" s="1"/>
  <c r="AG506" i="1" s="1"/>
  <c r="V506" i="1"/>
  <c r="Y506" i="1"/>
  <c r="Y514" i="1"/>
  <c r="AT514" i="1"/>
  <c r="AF514" i="1" s="1"/>
  <c r="AG514" i="1" s="1"/>
  <c r="V514" i="1"/>
  <c r="AT470" i="1"/>
  <c r="AF470" i="1" s="1"/>
  <c r="AG470" i="1" s="1"/>
  <c r="Y470" i="1"/>
  <c r="V470" i="1"/>
  <c r="Y603" i="1"/>
  <c r="V603" i="1"/>
  <c r="AT603" i="1"/>
  <c r="AF603" i="1" s="1"/>
  <c r="AG603" i="1" s="1"/>
  <c r="AT591" i="1"/>
  <c r="AF591" i="1" s="1"/>
  <c r="AG591" i="1" s="1"/>
  <c r="V591" i="1"/>
  <c r="Y591" i="1"/>
  <c r="AT588" i="1"/>
  <c r="AF588" i="1" s="1"/>
  <c r="AG588" i="1" s="1"/>
  <c r="Y588" i="1"/>
  <c r="V588" i="1"/>
  <c r="Y549" i="1"/>
  <c r="AT549" i="1"/>
  <c r="AF549" i="1" s="1"/>
  <c r="AG549" i="1" s="1"/>
  <c r="V549" i="1"/>
  <c r="Y529" i="1"/>
  <c r="V529" i="1"/>
  <c r="AT529" i="1"/>
  <c r="AF529" i="1" s="1"/>
  <c r="AG529" i="1" s="1"/>
  <c r="Y434" i="1"/>
  <c r="V434" i="1"/>
  <c r="AT434" i="1"/>
  <c r="AF434" i="1" s="1"/>
  <c r="AG434" i="1" s="1"/>
  <c r="Y383" i="1"/>
  <c r="AT383" i="1"/>
  <c r="AF383" i="1" s="1"/>
  <c r="AG383" i="1" s="1"/>
  <c r="V383" i="1"/>
  <c r="AT334" i="1"/>
  <c r="AF334" i="1" s="1"/>
  <c r="AG334" i="1" s="1"/>
  <c r="Y334" i="1"/>
  <c r="V334" i="1"/>
  <c r="AT389" i="1"/>
  <c r="AF389" i="1" s="1"/>
  <c r="AG389" i="1" s="1"/>
  <c r="Y389" i="1"/>
  <c r="V389" i="1"/>
  <c r="AT257" i="1"/>
  <c r="AF257" i="1" s="1"/>
  <c r="AG257" i="1" s="1"/>
  <c r="Y257" i="1"/>
  <c r="V257" i="1"/>
  <c r="AT288" i="1"/>
  <c r="AF288" i="1" s="1"/>
  <c r="AG288" i="1" s="1"/>
  <c r="V288" i="1"/>
  <c r="Y288" i="1"/>
  <c r="Y317" i="1"/>
  <c r="AT317" i="1"/>
  <c r="AF317" i="1" s="1"/>
  <c r="AG317" i="1" s="1"/>
  <c r="V317" i="1"/>
  <c r="Y301" i="1"/>
  <c r="AT301" i="1"/>
  <c r="AF301" i="1" s="1"/>
  <c r="AG301" i="1" s="1"/>
  <c r="V301" i="1"/>
  <c r="AT284" i="1"/>
  <c r="AF284" i="1" s="1"/>
  <c r="AG284" i="1" s="1"/>
  <c r="Y284" i="1"/>
  <c r="V284" i="1"/>
  <c r="AT220" i="1"/>
  <c r="AF220" i="1" s="1"/>
  <c r="AG220" i="1" s="1"/>
  <c r="Y220" i="1"/>
  <c r="V220" i="1"/>
  <c r="Y185" i="1"/>
  <c r="AT185" i="1"/>
  <c r="AF185" i="1" s="1"/>
  <c r="AG185" i="1" s="1"/>
  <c r="V185" i="1"/>
  <c r="AT216" i="1"/>
  <c r="AF216" i="1" s="1"/>
  <c r="AG216" i="1" s="1"/>
  <c r="Y216" i="1"/>
  <c r="V216" i="1"/>
  <c r="Y208" i="1"/>
  <c r="V208" i="1"/>
  <c r="AT208" i="1"/>
  <c r="AF208" i="1" s="1"/>
  <c r="AG208" i="1" s="1"/>
  <c r="AS224" i="1"/>
  <c r="AK224" i="1"/>
  <c r="Y145" i="1"/>
  <c r="AT145" i="1"/>
  <c r="AF145" i="1" s="1"/>
  <c r="AG145" i="1" s="1"/>
  <c r="V145" i="1"/>
  <c r="Y132" i="1"/>
  <c r="AT132" i="1"/>
  <c r="AF132" i="1" s="1"/>
  <c r="AG132" i="1" s="1"/>
  <c r="V132" i="1"/>
  <c r="Y142" i="1"/>
  <c r="AT142" i="1"/>
  <c r="AF142" i="1" s="1"/>
  <c r="AG142" i="1" s="1"/>
  <c r="V142" i="1"/>
  <c r="AT149" i="1"/>
  <c r="AF149" i="1" s="1"/>
  <c r="AG149" i="1" s="1"/>
  <c r="Y149" i="1"/>
  <c r="V149" i="1"/>
  <c r="Y560" i="1"/>
  <c r="V560" i="1"/>
  <c r="AT560" i="1"/>
  <c r="AF560" i="1" s="1"/>
  <c r="AG560" i="1" s="1"/>
  <c r="AT516" i="1"/>
  <c r="AF516" i="1" s="1"/>
  <c r="AG516" i="1" s="1"/>
  <c r="Y516" i="1"/>
  <c r="V516" i="1"/>
  <c r="Y463" i="1"/>
  <c r="V463" i="1"/>
  <c r="AT463" i="1"/>
  <c r="AF463" i="1" s="1"/>
  <c r="AG463" i="1" s="1"/>
  <c r="Y458" i="1"/>
  <c r="AT458" i="1"/>
  <c r="AF458" i="1" s="1"/>
  <c r="AG458" i="1" s="1"/>
  <c r="V458" i="1"/>
  <c r="AT378" i="1"/>
  <c r="AF378" i="1" s="1"/>
  <c r="AG378" i="1" s="1"/>
  <c r="Y378" i="1"/>
  <c r="V378" i="1"/>
  <c r="AT338" i="1"/>
  <c r="AF338" i="1" s="1"/>
  <c r="AG338" i="1" s="1"/>
  <c r="Y338" i="1"/>
  <c r="V338" i="1"/>
  <c r="AT341" i="1"/>
  <c r="AF341" i="1" s="1"/>
  <c r="AG341" i="1" s="1"/>
  <c r="Y341" i="1"/>
  <c r="V341" i="1"/>
  <c r="AT236" i="1"/>
  <c r="AF236" i="1" s="1"/>
  <c r="AG236" i="1" s="1"/>
  <c r="V236" i="1"/>
  <c r="Y236" i="1"/>
  <c r="AT228" i="1"/>
  <c r="AF228" i="1" s="1"/>
  <c r="AG228" i="1" s="1"/>
  <c r="V228" i="1"/>
  <c r="Y228" i="1"/>
  <c r="Y140" i="1"/>
  <c r="AT140" i="1"/>
  <c r="AF140" i="1" s="1"/>
  <c r="AG140" i="1" s="1"/>
  <c r="V140" i="1"/>
  <c r="AT150" i="1"/>
  <c r="AF150" i="1" s="1"/>
  <c r="AG150" i="1" s="1"/>
  <c r="V150" i="1"/>
  <c r="Y150" i="1"/>
  <c r="Y163" i="1"/>
  <c r="AT163" i="1"/>
  <c r="AF163" i="1" s="1"/>
  <c r="AG163" i="1" s="1"/>
  <c r="V163" i="1"/>
  <c r="Y607" i="1"/>
  <c r="V607" i="1"/>
  <c r="AT607" i="1"/>
  <c r="AF607" i="1" s="1"/>
  <c r="AG607" i="1" s="1"/>
  <c r="AT609" i="1"/>
  <c r="AF609" i="1" s="1"/>
  <c r="AG609" i="1" s="1"/>
  <c r="V609" i="1"/>
  <c r="Y609" i="1"/>
  <c r="AT608" i="1"/>
  <c r="AF608" i="1" s="1"/>
  <c r="AG608" i="1" s="1"/>
  <c r="V608" i="1"/>
  <c r="Y608" i="1"/>
  <c r="AT594" i="1"/>
  <c r="AF594" i="1" s="1"/>
  <c r="AG594" i="1" s="1"/>
  <c r="V594" i="1"/>
  <c r="Y594" i="1"/>
  <c r="Y571" i="1"/>
  <c r="AT571" i="1"/>
  <c r="AF571" i="1" s="1"/>
  <c r="AG571" i="1" s="1"/>
  <c r="V571" i="1"/>
  <c r="AT569" i="1"/>
  <c r="AF569" i="1" s="1"/>
  <c r="AG569" i="1" s="1"/>
  <c r="V569" i="1"/>
  <c r="Y569" i="1"/>
  <c r="Y538" i="1"/>
  <c r="V538" i="1"/>
  <c r="AT538" i="1"/>
  <c r="AF538" i="1" s="1"/>
  <c r="AG538" i="1" s="1"/>
  <c r="AT502" i="1"/>
  <c r="AF502" i="1" s="1"/>
  <c r="AG502" i="1" s="1"/>
  <c r="V502" i="1"/>
  <c r="Y502" i="1"/>
  <c r="Y483" i="1"/>
  <c r="AT483" i="1"/>
  <c r="AF483" i="1" s="1"/>
  <c r="AG483" i="1" s="1"/>
  <c r="V483" i="1"/>
  <c r="AT482" i="1"/>
  <c r="AF482" i="1" s="1"/>
  <c r="AG482" i="1" s="1"/>
  <c r="Y482" i="1"/>
  <c r="V482" i="1"/>
  <c r="Y450" i="1"/>
  <c r="AT450" i="1"/>
  <c r="AF450" i="1" s="1"/>
  <c r="AG450" i="1" s="1"/>
  <c r="V450" i="1"/>
  <c r="AT501" i="1"/>
  <c r="AF501" i="1" s="1"/>
  <c r="AG501" i="1" s="1"/>
  <c r="V501" i="1"/>
  <c r="Y501" i="1"/>
  <c r="Y399" i="1"/>
  <c r="AT399" i="1"/>
  <c r="AF399" i="1" s="1"/>
  <c r="AG399" i="1" s="1"/>
  <c r="V399" i="1"/>
  <c r="AT452" i="1"/>
  <c r="AF452" i="1" s="1"/>
  <c r="AG452" i="1" s="1"/>
  <c r="Y452" i="1"/>
  <c r="V452" i="1"/>
  <c r="AT406" i="1"/>
  <c r="AF406" i="1" s="1"/>
  <c r="AG406" i="1" s="1"/>
  <c r="Y406" i="1"/>
  <c r="V406" i="1"/>
  <c r="AT398" i="1"/>
  <c r="AF398" i="1" s="1"/>
  <c r="AG398" i="1" s="1"/>
  <c r="Y398" i="1"/>
  <c r="V398" i="1"/>
  <c r="AT390" i="1"/>
  <c r="AF390" i="1" s="1"/>
  <c r="AG390" i="1" s="1"/>
  <c r="Y390" i="1"/>
  <c r="V390" i="1"/>
  <c r="Y395" i="1"/>
  <c r="AT395" i="1"/>
  <c r="AF395" i="1" s="1"/>
  <c r="AG395" i="1" s="1"/>
  <c r="V395" i="1"/>
  <c r="Y363" i="1"/>
  <c r="V363" i="1"/>
  <c r="AT363" i="1"/>
  <c r="AF363" i="1" s="1"/>
  <c r="AG363" i="1" s="1"/>
  <c r="AT397" i="1"/>
  <c r="AF397" i="1" s="1"/>
  <c r="AG397" i="1" s="1"/>
  <c r="Y397" i="1"/>
  <c r="V397" i="1"/>
  <c r="AT362" i="1"/>
  <c r="AF362" i="1" s="1"/>
  <c r="AG362" i="1" s="1"/>
  <c r="Y362" i="1"/>
  <c r="V362" i="1"/>
  <c r="Y329" i="1"/>
  <c r="AT329" i="1"/>
  <c r="AF329" i="1" s="1"/>
  <c r="AG329" i="1" s="1"/>
  <c r="V329" i="1"/>
  <c r="Y313" i="1"/>
  <c r="AT313" i="1"/>
  <c r="AF313" i="1" s="1"/>
  <c r="AG313" i="1" s="1"/>
  <c r="V313" i="1"/>
  <c r="Y297" i="1"/>
  <c r="AT297" i="1"/>
  <c r="AF297" i="1" s="1"/>
  <c r="AG297" i="1" s="1"/>
  <c r="V297" i="1"/>
  <c r="Y241" i="1"/>
  <c r="AT241" i="1"/>
  <c r="AF241" i="1" s="1"/>
  <c r="AG241" i="1" s="1"/>
  <c r="V241" i="1"/>
  <c r="AT561" i="1"/>
  <c r="AF561" i="1" s="1"/>
  <c r="AG561" i="1" s="1"/>
  <c r="V561" i="1"/>
  <c r="Y561" i="1"/>
  <c r="AT160" i="1"/>
  <c r="AF160" i="1" s="1"/>
  <c r="AG160" i="1" s="1"/>
  <c r="Y160" i="1"/>
  <c r="V160" i="1"/>
  <c r="AT595" i="1"/>
  <c r="AF595" i="1" s="1"/>
  <c r="AG595" i="1" s="1"/>
  <c r="V595" i="1"/>
  <c r="Y595" i="1"/>
  <c r="AT519" i="1"/>
  <c r="AF519" i="1" s="1"/>
  <c r="AG519" i="1" s="1"/>
  <c r="Y519" i="1"/>
  <c r="V519" i="1"/>
  <c r="AT425" i="1"/>
  <c r="AF425" i="1" s="1"/>
  <c r="AG425" i="1" s="1"/>
  <c r="Y425" i="1"/>
  <c r="V425" i="1"/>
  <c r="AT370" i="1"/>
  <c r="AF370" i="1" s="1"/>
  <c r="AG370" i="1" s="1"/>
  <c r="Y370" i="1"/>
  <c r="V370" i="1"/>
  <c r="AT253" i="1"/>
  <c r="AF253" i="1" s="1"/>
  <c r="AG253" i="1" s="1"/>
  <c r="Y253" i="1"/>
  <c r="V253" i="1"/>
  <c r="AT381" i="1"/>
  <c r="AF381" i="1" s="1"/>
  <c r="AG381" i="1" s="1"/>
  <c r="V381" i="1"/>
  <c r="Y381" i="1"/>
  <c r="Y218" i="1"/>
  <c r="V218" i="1"/>
  <c r="AT218" i="1"/>
  <c r="AF218" i="1" s="1"/>
  <c r="AG218" i="1" s="1"/>
  <c r="Y274" i="1"/>
  <c r="V274" i="1"/>
  <c r="AT274" i="1"/>
  <c r="AF274" i="1" s="1"/>
  <c r="AG274" i="1" s="1"/>
  <c r="AT212" i="1"/>
  <c r="AF212" i="1" s="1"/>
  <c r="AG212" i="1" s="1"/>
  <c r="V212" i="1"/>
  <c r="Y212" i="1"/>
  <c r="Y148" i="1"/>
  <c r="V148" i="1"/>
  <c r="AT148" i="1"/>
  <c r="AF148" i="1" s="1"/>
  <c r="AG148" i="1" s="1"/>
  <c r="AT147" i="1"/>
  <c r="AF147" i="1" s="1"/>
  <c r="AG147" i="1" s="1"/>
  <c r="V147" i="1"/>
  <c r="Y147" i="1"/>
  <c r="AT597" i="1"/>
  <c r="AF597" i="1" s="1"/>
  <c r="AG597" i="1" s="1"/>
  <c r="Y597" i="1"/>
  <c r="V597" i="1"/>
  <c r="AT601" i="1"/>
  <c r="AF601" i="1" s="1"/>
  <c r="AG601" i="1" s="1"/>
  <c r="Y601" i="1"/>
  <c r="V601" i="1"/>
  <c r="Y575" i="1"/>
  <c r="AT575" i="1"/>
  <c r="AF575" i="1" s="1"/>
  <c r="AG575" i="1" s="1"/>
  <c r="V575" i="1"/>
  <c r="AT554" i="1"/>
  <c r="AF554" i="1" s="1"/>
  <c r="AG554" i="1" s="1"/>
  <c r="Y554" i="1"/>
  <c r="V554" i="1"/>
  <c r="AT541" i="1"/>
  <c r="AF541" i="1" s="1"/>
  <c r="AG541" i="1" s="1"/>
  <c r="Y541" i="1"/>
  <c r="V541" i="1"/>
  <c r="Y534" i="1"/>
  <c r="AT534" i="1"/>
  <c r="AF534" i="1" s="1"/>
  <c r="AG534" i="1" s="1"/>
  <c r="V534" i="1"/>
  <c r="Y520" i="1"/>
  <c r="AT520" i="1"/>
  <c r="AF520" i="1" s="1"/>
  <c r="AG520" i="1" s="1"/>
  <c r="V520" i="1"/>
  <c r="Y518" i="1"/>
  <c r="AT518" i="1"/>
  <c r="AF518" i="1" s="1"/>
  <c r="AG518" i="1" s="1"/>
  <c r="V518" i="1"/>
  <c r="Y484" i="1"/>
  <c r="V484" i="1"/>
  <c r="AT484" i="1"/>
  <c r="AF484" i="1" s="1"/>
  <c r="AG484" i="1" s="1"/>
  <c r="Y499" i="1"/>
  <c r="AT499" i="1"/>
  <c r="AF499" i="1" s="1"/>
  <c r="AG499" i="1" s="1"/>
  <c r="V499" i="1"/>
  <c r="AT498" i="1"/>
  <c r="AF498" i="1" s="1"/>
  <c r="AG498" i="1" s="1"/>
  <c r="Y498" i="1"/>
  <c r="V498" i="1"/>
  <c r="Y396" i="1"/>
  <c r="V396" i="1"/>
  <c r="AT396" i="1"/>
  <c r="AF396" i="1" s="1"/>
  <c r="AG396" i="1" s="1"/>
  <c r="AT382" i="1"/>
  <c r="AF382" i="1" s="1"/>
  <c r="AG382" i="1" s="1"/>
  <c r="Y382" i="1"/>
  <c r="V382" i="1"/>
  <c r="AT350" i="1"/>
  <c r="AF350" i="1" s="1"/>
  <c r="AG350" i="1" s="1"/>
  <c r="Y350" i="1"/>
  <c r="V350" i="1"/>
  <c r="AT269" i="1"/>
  <c r="AF269" i="1" s="1"/>
  <c r="AG269" i="1" s="1"/>
  <c r="Y269" i="1"/>
  <c r="V269" i="1"/>
  <c r="AT386" i="1"/>
  <c r="AF386" i="1" s="1"/>
  <c r="AG386" i="1" s="1"/>
  <c r="Y386" i="1"/>
  <c r="V386" i="1"/>
  <c r="Y225" i="1"/>
  <c r="AT225" i="1"/>
  <c r="AF225" i="1" s="1"/>
  <c r="AG225" i="1" s="1"/>
  <c r="V225" i="1"/>
  <c r="Y187" i="1"/>
  <c r="AT187" i="1"/>
  <c r="AF187" i="1" s="1"/>
  <c r="AG187" i="1" s="1"/>
  <c r="V187" i="1"/>
  <c r="Y191" i="1"/>
  <c r="V191" i="1"/>
  <c r="AT191" i="1"/>
  <c r="AF191" i="1" s="1"/>
  <c r="AG191" i="1" s="1"/>
  <c r="AT251" i="1"/>
  <c r="AF251" i="1" s="1"/>
  <c r="AG251" i="1" s="1"/>
  <c r="Y251" i="1"/>
  <c r="V251" i="1"/>
  <c r="AT267" i="1"/>
  <c r="AF267" i="1" s="1"/>
  <c r="AG267" i="1" s="1"/>
  <c r="Y267" i="1"/>
  <c r="V267" i="1"/>
  <c r="Y141" i="1"/>
  <c r="AT141" i="1"/>
  <c r="AF141" i="1" s="1"/>
  <c r="AG141" i="1" s="1"/>
  <c r="V141" i="1"/>
  <c r="AT109" i="1"/>
  <c r="AF109" i="1" s="1"/>
  <c r="V109" i="1"/>
  <c r="Y109" i="1"/>
  <c r="AT151" i="1"/>
  <c r="AF151" i="1" s="1"/>
  <c r="AG151" i="1" s="1"/>
  <c r="Y151" i="1"/>
  <c r="V151" i="1"/>
  <c r="AT128" i="1"/>
  <c r="AF128" i="1" s="1"/>
  <c r="AG128" i="1" s="1"/>
  <c r="Y128" i="1"/>
  <c r="Y602" i="1"/>
  <c r="AT602" i="1"/>
  <c r="AF602" i="1" s="1"/>
  <c r="AG602" i="1" s="1"/>
  <c r="Y599" i="1"/>
  <c r="AT599" i="1"/>
  <c r="AF599" i="1" s="1"/>
  <c r="AG599" i="1" s="1"/>
  <c r="V599" i="1"/>
  <c r="AT573" i="1"/>
  <c r="AF573" i="1" s="1"/>
  <c r="AG573" i="1" s="1"/>
  <c r="V573" i="1"/>
  <c r="Y573" i="1"/>
  <c r="Y546" i="1"/>
  <c r="AT546" i="1"/>
  <c r="AF546" i="1" s="1"/>
  <c r="AG546" i="1" s="1"/>
  <c r="V546" i="1"/>
  <c r="Y532" i="1"/>
  <c r="AT532" i="1"/>
  <c r="AF532" i="1" s="1"/>
  <c r="AG532" i="1" s="1"/>
  <c r="AS572" i="1"/>
  <c r="AK572" i="1"/>
  <c r="Y517" i="1"/>
  <c r="V517" i="1"/>
  <c r="AT517" i="1"/>
  <c r="AF517" i="1" s="1"/>
  <c r="AG517" i="1" s="1"/>
  <c r="Y488" i="1"/>
  <c r="V488" i="1"/>
  <c r="AT488" i="1"/>
  <c r="AF488" i="1" s="1"/>
  <c r="AG488" i="1" s="1"/>
  <c r="AT440" i="1"/>
  <c r="AF440" i="1" s="1"/>
  <c r="AG440" i="1" s="1"/>
  <c r="Y440" i="1"/>
  <c r="Y495" i="1"/>
  <c r="AT495" i="1"/>
  <c r="AF495" i="1" s="1"/>
  <c r="AG495" i="1" s="1"/>
  <c r="Y431" i="1"/>
  <c r="V431" i="1"/>
  <c r="AT431" i="1"/>
  <c r="AF431" i="1" s="1"/>
  <c r="AG431" i="1" s="1"/>
  <c r="AT465" i="1"/>
  <c r="AF465" i="1" s="1"/>
  <c r="AG465" i="1" s="1"/>
  <c r="Y465" i="1"/>
  <c r="AT365" i="1"/>
  <c r="AF365" i="1" s="1"/>
  <c r="AG365" i="1" s="1"/>
  <c r="V365" i="1"/>
  <c r="Y365" i="1"/>
  <c r="Y325" i="1"/>
  <c r="AT325" i="1"/>
  <c r="AF325" i="1" s="1"/>
  <c r="AG325" i="1" s="1"/>
  <c r="AT307" i="1"/>
  <c r="AF307" i="1" s="1"/>
  <c r="AG307" i="1" s="1"/>
  <c r="V307" i="1"/>
  <c r="Y307" i="1"/>
  <c r="Y285" i="1"/>
  <c r="V285" i="1"/>
  <c r="AT285" i="1"/>
  <c r="AF285" i="1" s="1"/>
  <c r="AG285" i="1" s="1"/>
  <c r="AT424" i="1"/>
  <c r="AF424" i="1" s="1"/>
  <c r="AG424" i="1" s="1"/>
  <c r="V424" i="1"/>
  <c r="Y424" i="1"/>
  <c r="AT308" i="1"/>
  <c r="AF308" i="1" s="1"/>
  <c r="AG308" i="1" s="1"/>
  <c r="V308" i="1"/>
  <c r="Y308" i="1"/>
  <c r="Y335" i="1"/>
  <c r="V335" i="1"/>
  <c r="AT335" i="1"/>
  <c r="AF335" i="1" s="1"/>
  <c r="AG335" i="1" s="1"/>
  <c r="AT193" i="1"/>
  <c r="AF193" i="1" s="1"/>
  <c r="AG193" i="1" s="1"/>
  <c r="V193" i="1"/>
  <c r="Y193" i="1"/>
  <c r="Y230" i="1"/>
  <c r="V230" i="1"/>
  <c r="AT230" i="1"/>
  <c r="AF230" i="1" s="1"/>
  <c r="AG230" i="1" s="1"/>
  <c r="V532" i="1"/>
  <c r="AS330" i="1"/>
  <c r="AK330" i="1"/>
  <c r="AS290" i="1"/>
  <c r="AK290" i="1"/>
  <c r="Y234" i="1"/>
  <c r="AT234" i="1"/>
  <c r="AF234" i="1" s="1"/>
  <c r="AG234" i="1" s="1"/>
  <c r="V234" i="1"/>
  <c r="AT203" i="1"/>
  <c r="AF203" i="1" s="1"/>
  <c r="AG203" i="1" s="1"/>
  <c r="V203" i="1"/>
  <c r="Y203" i="1"/>
  <c r="Y175" i="1"/>
  <c r="AT175" i="1"/>
  <c r="AF175" i="1" s="1"/>
  <c r="AG175" i="1" s="1"/>
  <c r="V175" i="1"/>
  <c r="AF349" i="1"/>
  <c r="AG349" i="1" s="1"/>
  <c r="AS318" i="1"/>
  <c r="AK318" i="1"/>
  <c r="AT215" i="1"/>
  <c r="AF215" i="1" s="1"/>
  <c r="AG215" i="1" s="1"/>
  <c r="V215" i="1"/>
  <c r="Y215" i="1"/>
  <c r="AT205" i="1"/>
  <c r="AF205" i="1" s="1"/>
  <c r="AG205" i="1" s="1"/>
  <c r="V205" i="1"/>
  <c r="Y205" i="1"/>
  <c r="V161" i="1"/>
  <c r="AT161" i="1"/>
  <c r="AF161" i="1" s="1"/>
  <c r="AG161" i="1" s="1"/>
  <c r="Y161" i="1"/>
  <c r="AT119" i="1"/>
  <c r="AF119" i="1" s="1"/>
  <c r="AG119" i="1" s="1"/>
  <c r="V119" i="1"/>
  <c r="Y119" i="1"/>
  <c r="AT112" i="1"/>
  <c r="AF112" i="1" s="1"/>
  <c r="AG112" i="1" s="1"/>
  <c r="V112" i="1"/>
  <c r="Y112" i="1"/>
  <c r="AS314" i="1"/>
  <c r="AK314" i="1"/>
  <c r="AS298" i="1"/>
  <c r="AK298" i="1"/>
  <c r="AF276" i="1"/>
  <c r="AG276" i="1" s="1"/>
  <c r="AK237" i="1"/>
  <c r="AS237" i="1"/>
  <c r="Y271" i="1"/>
  <c r="V271" i="1"/>
  <c r="AT271" i="1"/>
  <c r="AF271" i="1" s="1"/>
  <c r="AG271" i="1" s="1"/>
  <c r="AT256" i="1"/>
  <c r="AF256" i="1" s="1"/>
  <c r="AG256" i="1" s="1"/>
  <c r="Y256" i="1"/>
  <c r="Y222" i="1"/>
  <c r="AT222" i="1"/>
  <c r="AF222" i="1" s="1"/>
  <c r="AG222" i="1" s="1"/>
  <c r="V222" i="1"/>
  <c r="AS186" i="1"/>
  <c r="AK186" i="1"/>
  <c r="BD182" i="1"/>
  <c r="AX182" i="1" s="1"/>
  <c r="AT127" i="1"/>
  <c r="AF127" i="1" s="1"/>
  <c r="AG127" i="1" s="1"/>
  <c r="V127" i="1"/>
  <c r="Y127" i="1"/>
  <c r="AT120" i="1"/>
  <c r="AF120" i="1" s="1"/>
  <c r="AG120" i="1" s="1"/>
  <c r="V120" i="1"/>
  <c r="Y120" i="1"/>
  <c r="AR111" i="1"/>
  <c r="BB111" i="1" s="1"/>
  <c r="BD111" i="1" s="1"/>
  <c r="AX111" i="1" s="1"/>
  <c r="V275" i="1"/>
  <c r="AT275" i="1"/>
  <c r="AF275" i="1" s="1"/>
  <c r="AG275" i="1" s="1"/>
  <c r="Y275" i="1"/>
  <c r="V128" i="1"/>
  <c r="Y178" i="1"/>
  <c r="V178" i="1"/>
  <c r="AT178" i="1"/>
  <c r="AF178" i="1" s="1"/>
  <c r="AG178" i="1" s="1"/>
  <c r="AF337" i="1"/>
  <c r="AG337" i="1" s="1"/>
  <c r="AT605" i="1"/>
  <c r="AF605" i="1" s="1"/>
  <c r="AG605" i="1" s="1"/>
  <c r="Y605" i="1"/>
  <c r="Y576" i="1"/>
  <c r="AT576" i="1"/>
  <c r="AF576" i="1" s="1"/>
  <c r="AG576" i="1" s="1"/>
  <c r="V576" i="1"/>
  <c r="AT582" i="1"/>
  <c r="AF582" i="1" s="1"/>
  <c r="AG582" i="1" s="1"/>
  <c r="V582" i="1"/>
  <c r="Y582" i="1"/>
  <c r="Y598" i="1"/>
  <c r="V598" i="1"/>
  <c r="AT598" i="1"/>
  <c r="AF598" i="1" s="1"/>
  <c r="AG598" i="1" s="1"/>
  <c r="AT562" i="1"/>
  <c r="AF562" i="1" s="1"/>
  <c r="AG562" i="1" s="1"/>
  <c r="Y562" i="1"/>
  <c r="Y525" i="1"/>
  <c r="V525" i="1"/>
  <c r="AT525" i="1"/>
  <c r="AF525" i="1" s="1"/>
  <c r="AG525" i="1" s="1"/>
  <c r="Y513" i="1"/>
  <c r="AT513" i="1"/>
  <c r="AF513" i="1" s="1"/>
  <c r="AG513" i="1" s="1"/>
  <c r="AT523" i="1"/>
  <c r="AF523" i="1" s="1"/>
  <c r="AG523" i="1" s="1"/>
  <c r="Y523" i="1"/>
  <c r="Y492" i="1"/>
  <c r="V492" i="1"/>
  <c r="AT492" i="1"/>
  <c r="AF492" i="1" s="1"/>
  <c r="AG492" i="1" s="1"/>
  <c r="Y468" i="1"/>
  <c r="AT468" i="1"/>
  <c r="AF468" i="1" s="1"/>
  <c r="AG468" i="1" s="1"/>
  <c r="V468" i="1"/>
  <c r="AT557" i="1"/>
  <c r="AF557" i="1" s="1"/>
  <c r="AG557" i="1" s="1"/>
  <c r="V557" i="1"/>
  <c r="Y557" i="1"/>
  <c r="AT493" i="1"/>
  <c r="AF493" i="1" s="1"/>
  <c r="AG493" i="1" s="1"/>
  <c r="Y493" i="1"/>
  <c r="AT445" i="1"/>
  <c r="AF445" i="1" s="1"/>
  <c r="AG445" i="1" s="1"/>
  <c r="Y445" i="1"/>
  <c r="Y479" i="1"/>
  <c r="AT479" i="1"/>
  <c r="AF479" i="1" s="1"/>
  <c r="AG479" i="1" s="1"/>
  <c r="AT444" i="1"/>
  <c r="AF444" i="1" s="1"/>
  <c r="AG444" i="1" s="1"/>
  <c r="Y444" i="1"/>
  <c r="Y423" i="1"/>
  <c r="AT423" i="1"/>
  <c r="AF423" i="1" s="1"/>
  <c r="AG423" i="1" s="1"/>
  <c r="V423" i="1"/>
  <c r="AT449" i="1"/>
  <c r="AF449" i="1" s="1"/>
  <c r="AG449" i="1" s="1"/>
  <c r="Y449" i="1"/>
  <c r="AT417" i="1"/>
  <c r="AF417" i="1" s="1"/>
  <c r="AG417" i="1" s="1"/>
  <c r="Y417" i="1"/>
  <c r="Y380" i="1"/>
  <c r="V380" i="1"/>
  <c r="AT380" i="1"/>
  <c r="AF380" i="1" s="1"/>
  <c r="AG380" i="1" s="1"/>
  <c r="V417" i="1"/>
  <c r="AT462" i="1"/>
  <c r="AF462" i="1" s="1"/>
  <c r="AG462" i="1" s="1"/>
  <c r="Y462" i="1"/>
  <c r="Y415" i="1"/>
  <c r="AT415" i="1"/>
  <c r="AF415" i="1" s="1"/>
  <c r="AG415" i="1" s="1"/>
  <c r="Y348" i="1"/>
  <c r="AT348" i="1"/>
  <c r="AF348" i="1" s="1"/>
  <c r="AG348" i="1" s="1"/>
  <c r="V348" i="1"/>
  <c r="Y367" i="1"/>
  <c r="AT367" i="1"/>
  <c r="AF367" i="1" s="1"/>
  <c r="AG367" i="1" s="1"/>
  <c r="AT331" i="1"/>
  <c r="AF331" i="1" s="1"/>
  <c r="AG331" i="1" s="1"/>
  <c r="V331" i="1"/>
  <c r="Y331" i="1"/>
  <c r="Y309" i="1"/>
  <c r="AT309" i="1"/>
  <c r="AF309" i="1" s="1"/>
  <c r="AG309" i="1" s="1"/>
  <c r="AT324" i="1"/>
  <c r="AF324" i="1" s="1"/>
  <c r="AG324" i="1" s="1"/>
  <c r="V324" i="1"/>
  <c r="Y324" i="1"/>
  <c r="Y176" i="1"/>
  <c r="AT176" i="1"/>
  <c r="AF176" i="1" s="1"/>
  <c r="AG176" i="1" s="1"/>
  <c r="V176" i="1"/>
  <c r="AT197" i="1"/>
  <c r="AF197" i="1" s="1"/>
  <c r="AG197" i="1" s="1"/>
  <c r="V197" i="1"/>
  <c r="Y197" i="1"/>
  <c r="AT273" i="1"/>
  <c r="AF273" i="1" s="1"/>
  <c r="AG273" i="1" s="1"/>
  <c r="Y273" i="1"/>
  <c r="Y233" i="1"/>
  <c r="AT233" i="1"/>
  <c r="AF233" i="1" s="1"/>
  <c r="AG233" i="1" s="1"/>
  <c r="Y209" i="1"/>
  <c r="V209" i="1"/>
  <c r="AT209" i="1"/>
  <c r="AF209" i="1" s="1"/>
  <c r="AG209" i="1" s="1"/>
  <c r="Y183" i="1"/>
  <c r="AT183" i="1"/>
  <c r="AF183" i="1" s="1"/>
  <c r="AG183" i="1" s="1"/>
  <c r="V183" i="1"/>
  <c r="AS280" i="1"/>
  <c r="AK280" i="1"/>
  <c r="AS263" i="1"/>
  <c r="AK263" i="1"/>
  <c r="Y255" i="1"/>
  <c r="V255" i="1"/>
  <c r="AT255" i="1"/>
  <c r="AF255" i="1" s="1"/>
  <c r="AG255" i="1" s="1"/>
  <c r="Y221" i="1"/>
  <c r="AT221" i="1"/>
  <c r="AF221" i="1" s="1"/>
  <c r="AG221" i="1" s="1"/>
  <c r="AT181" i="1"/>
  <c r="AF181" i="1" s="1"/>
  <c r="AG181" i="1" s="1"/>
  <c r="Y181" i="1"/>
  <c r="V325" i="1"/>
  <c r="AS310" i="1"/>
  <c r="AK310" i="1"/>
  <c r="AT247" i="1"/>
  <c r="AF247" i="1" s="1"/>
  <c r="AG247" i="1" s="1"/>
  <c r="V247" i="1"/>
  <c r="Y247" i="1"/>
  <c r="Y213" i="1"/>
  <c r="AT213" i="1"/>
  <c r="AF213" i="1" s="1"/>
  <c r="AG213" i="1" s="1"/>
  <c r="AT211" i="1"/>
  <c r="AF211" i="1" s="1"/>
  <c r="AG211" i="1" s="1"/>
  <c r="V211" i="1"/>
  <c r="Y211" i="1"/>
  <c r="AT121" i="1"/>
  <c r="AF121" i="1" s="1"/>
  <c r="AG121" i="1" s="1"/>
  <c r="V121" i="1"/>
  <c r="Y121" i="1"/>
  <c r="AT113" i="1"/>
  <c r="AF113" i="1" s="1"/>
  <c r="AG113" i="1" s="1"/>
  <c r="V113" i="1"/>
  <c r="Y113" i="1"/>
  <c r="Y426" i="1"/>
  <c r="V426" i="1"/>
  <c r="AT426" i="1"/>
  <c r="AF426" i="1" s="1"/>
  <c r="AG426" i="1" s="1"/>
  <c r="AT405" i="1"/>
  <c r="AF405" i="1" s="1"/>
  <c r="AG405" i="1" s="1"/>
  <c r="V405" i="1"/>
  <c r="Y405" i="1"/>
  <c r="AS279" i="1"/>
  <c r="AK279" i="1"/>
  <c r="AT123" i="1"/>
  <c r="AF123" i="1" s="1"/>
  <c r="AG123" i="1" s="1"/>
  <c r="V123" i="1"/>
  <c r="Y123" i="1"/>
  <c r="AT244" i="1"/>
  <c r="AF244" i="1" s="1"/>
  <c r="AG244" i="1" s="1"/>
  <c r="V244" i="1"/>
  <c r="Y244" i="1"/>
  <c r="Y164" i="1"/>
  <c r="V164" i="1"/>
  <c r="AT164" i="1"/>
  <c r="AF164" i="1" s="1"/>
  <c r="AG164" i="1" s="1"/>
  <c r="Y139" i="1"/>
  <c r="AT139" i="1"/>
  <c r="AF139" i="1" s="1"/>
  <c r="AG139" i="1" s="1"/>
  <c r="Y129" i="1"/>
  <c r="AT129" i="1"/>
  <c r="AF129" i="1" s="1"/>
  <c r="AG129" i="1" s="1"/>
  <c r="AF357" i="1"/>
  <c r="AG357" i="1" s="1"/>
  <c r="AT152" i="1"/>
  <c r="AF152" i="1" s="1"/>
  <c r="AG152" i="1" s="1"/>
  <c r="Y152" i="1"/>
  <c r="Y134" i="1"/>
  <c r="AT134" i="1"/>
  <c r="AF134" i="1" s="1"/>
  <c r="AG134" i="1" s="1"/>
  <c r="AT232" i="1"/>
  <c r="AF232" i="1" s="1"/>
  <c r="AG232" i="1" s="1"/>
  <c r="Y232" i="1"/>
  <c r="Y136" i="1"/>
  <c r="AT136" i="1"/>
  <c r="AF136" i="1" s="1"/>
  <c r="AG136" i="1" s="1"/>
  <c r="AT604" i="1"/>
  <c r="AF604" i="1" s="1"/>
  <c r="AG604" i="1" s="1"/>
  <c r="V604" i="1"/>
  <c r="Y604" i="1"/>
  <c r="AT600" i="1"/>
  <c r="AF600" i="1" s="1"/>
  <c r="AG600" i="1" s="1"/>
  <c r="V600" i="1"/>
  <c r="Y600" i="1"/>
  <c r="Y592" i="1"/>
  <c r="AT592" i="1"/>
  <c r="AF592" i="1" s="1"/>
  <c r="AG592" i="1" s="1"/>
  <c r="AS578" i="1"/>
  <c r="AK578" i="1"/>
  <c r="AT570" i="1"/>
  <c r="AF570" i="1" s="1"/>
  <c r="AG570" i="1" s="1"/>
  <c r="Y570" i="1"/>
  <c r="AT566" i="1"/>
  <c r="AF566" i="1" s="1"/>
  <c r="AG566" i="1" s="1"/>
  <c r="Y566" i="1"/>
  <c r="AK550" i="1"/>
  <c r="AS550" i="1"/>
  <c r="Y500" i="1"/>
  <c r="V500" i="1"/>
  <c r="AT500" i="1"/>
  <c r="AF500" i="1" s="1"/>
  <c r="AG500" i="1" s="1"/>
  <c r="AT481" i="1"/>
  <c r="AF481" i="1" s="1"/>
  <c r="AG481" i="1" s="1"/>
  <c r="V481" i="1"/>
  <c r="Y481" i="1"/>
  <c r="Y467" i="1"/>
  <c r="V467" i="1"/>
  <c r="AT467" i="1"/>
  <c r="AF467" i="1" s="1"/>
  <c r="AG467" i="1" s="1"/>
  <c r="Y491" i="1"/>
  <c r="AT491" i="1"/>
  <c r="AF491" i="1" s="1"/>
  <c r="AG491" i="1" s="1"/>
  <c r="Y510" i="1"/>
  <c r="V510" i="1"/>
  <c r="AT510" i="1"/>
  <c r="AF510" i="1" s="1"/>
  <c r="AG510" i="1" s="1"/>
  <c r="V491" i="1"/>
  <c r="Y471" i="1"/>
  <c r="AT471" i="1"/>
  <c r="AF471" i="1" s="1"/>
  <c r="AG471" i="1" s="1"/>
  <c r="AT453" i="1"/>
  <c r="AF453" i="1" s="1"/>
  <c r="AG453" i="1" s="1"/>
  <c r="Y453" i="1"/>
  <c r="Y443" i="1"/>
  <c r="V443" i="1"/>
  <c r="AT443" i="1"/>
  <c r="AF443" i="1" s="1"/>
  <c r="AG443" i="1" s="1"/>
  <c r="Y430" i="1"/>
  <c r="V430" i="1"/>
  <c r="AT430" i="1"/>
  <c r="AF430" i="1" s="1"/>
  <c r="AG430" i="1" s="1"/>
  <c r="AT490" i="1"/>
  <c r="AF490" i="1" s="1"/>
  <c r="AG490" i="1" s="1"/>
  <c r="Y490" i="1"/>
  <c r="AT474" i="1"/>
  <c r="AF474" i="1" s="1"/>
  <c r="AG474" i="1" s="1"/>
  <c r="Y474" i="1"/>
  <c r="AT369" i="1"/>
  <c r="AF369" i="1" s="1"/>
  <c r="AG369" i="1" s="1"/>
  <c r="Y369" i="1"/>
  <c r="AT346" i="1"/>
  <c r="AF346" i="1" s="1"/>
  <c r="AG346" i="1" s="1"/>
  <c r="Y346" i="1"/>
  <c r="AT413" i="1"/>
  <c r="AF413" i="1" s="1"/>
  <c r="AG413" i="1" s="1"/>
  <c r="V413" i="1"/>
  <c r="Y413" i="1"/>
  <c r="AT385" i="1"/>
  <c r="AF385" i="1" s="1"/>
  <c r="AG385" i="1" s="1"/>
  <c r="Y385" i="1"/>
  <c r="Y364" i="1"/>
  <c r="V364" i="1"/>
  <c r="AT364" i="1"/>
  <c r="AF364" i="1" s="1"/>
  <c r="AG364" i="1" s="1"/>
  <c r="Y403" i="1"/>
  <c r="AT403" i="1"/>
  <c r="AF403" i="1" s="1"/>
  <c r="AG403" i="1" s="1"/>
  <c r="Y376" i="1"/>
  <c r="V376" i="1"/>
  <c r="AT376" i="1"/>
  <c r="AF376" i="1" s="1"/>
  <c r="AG376" i="1" s="1"/>
  <c r="Y347" i="1"/>
  <c r="AT347" i="1"/>
  <c r="AF347" i="1" s="1"/>
  <c r="AG347" i="1" s="1"/>
  <c r="V347" i="1"/>
  <c r="Y321" i="1"/>
  <c r="AT321" i="1"/>
  <c r="AF321" i="1" s="1"/>
  <c r="AG321" i="1" s="1"/>
  <c r="Y305" i="1"/>
  <c r="AT305" i="1"/>
  <c r="AF305" i="1" s="1"/>
  <c r="AG305" i="1" s="1"/>
  <c r="Y293" i="1"/>
  <c r="AT293" i="1"/>
  <c r="AF293" i="1" s="1"/>
  <c r="AG293" i="1" s="1"/>
  <c r="AT304" i="1"/>
  <c r="AF304" i="1" s="1"/>
  <c r="AG304" i="1" s="1"/>
  <c r="V304" i="1"/>
  <c r="Y304" i="1"/>
  <c r="Y266" i="1"/>
  <c r="AT266" i="1"/>
  <c r="AF266" i="1" s="1"/>
  <c r="AG266" i="1" s="1"/>
  <c r="V266" i="1"/>
  <c r="Y375" i="1"/>
  <c r="AT375" i="1"/>
  <c r="AF375" i="1" s="1"/>
  <c r="AG375" i="1" s="1"/>
  <c r="Y262" i="1"/>
  <c r="AT262" i="1"/>
  <c r="AF262" i="1" s="1"/>
  <c r="AG262" i="1" s="1"/>
  <c r="V262" i="1"/>
  <c r="AT200" i="1"/>
  <c r="AF200" i="1" s="1"/>
  <c r="AG200" i="1" s="1"/>
  <c r="V200" i="1"/>
  <c r="Y200" i="1"/>
  <c r="Y214" i="1"/>
  <c r="V214" i="1"/>
  <c r="AT214" i="1"/>
  <c r="AF214" i="1" s="1"/>
  <c r="AG214" i="1" s="1"/>
  <c r="Y207" i="1"/>
  <c r="AT207" i="1"/>
  <c r="AF207" i="1" s="1"/>
  <c r="AG207" i="1" s="1"/>
  <c r="Y606" i="1"/>
  <c r="AT606" i="1"/>
  <c r="AF606" i="1" s="1"/>
  <c r="AG606" i="1" s="1"/>
  <c r="AT590" i="1"/>
  <c r="AF590" i="1" s="1"/>
  <c r="AG590" i="1" s="1"/>
  <c r="V590" i="1"/>
  <c r="Y590" i="1"/>
  <c r="AT579" i="1"/>
  <c r="AF579" i="1" s="1"/>
  <c r="AG579" i="1" s="1"/>
  <c r="Y579" i="1"/>
  <c r="Y581" i="1"/>
  <c r="AT581" i="1"/>
  <c r="AF581" i="1" s="1"/>
  <c r="AG581" i="1" s="1"/>
  <c r="V581" i="1"/>
  <c r="AF587" i="1"/>
  <c r="AG587" i="1" s="1"/>
  <c r="V570" i="1"/>
  <c r="Y551" i="1"/>
  <c r="AT551" i="1"/>
  <c r="AF551" i="1" s="1"/>
  <c r="AG551" i="1" s="1"/>
  <c r="AT545" i="1"/>
  <c r="AF545" i="1" s="1"/>
  <c r="AG545" i="1" s="1"/>
  <c r="Y545" i="1"/>
  <c r="V535" i="1"/>
  <c r="AT535" i="1"/>
  <c r="AF535" i="1" s="1"/>
  <c r="AG535" i="1" s="1"/>
  <c r="Y535" i="1"/>
  <c r="Y539" i="1"/>
  <c r="V539" i="1"/>
  <c r="AT539" i="1"/>
  <c r="AF539" i="1" s="1"/>
  <c r="AG539" i="1" s="1"/>
  <c r="AT522" i="1"/>
  <c r="AF522" i="1" s="1"/>
  <c r="AG522" i="1" s="1"/>
  <c r="V522" i="1"/>
  <c r="Y522" i="1"/>
  <c r="AT537" i="1"/>
  <c r="AF537" i="1" s="1"/>
  <c r="AG537" i="1" s="1"/>
  <c r="Y537" i="1"/>
  <c r="Y521" i="1"/>
  <c r="V521" i="1"/>
  <c r="AT521" i="1"/>
  <c r="AF521" i="1" s="1"/>
  <c r="AG521" i="1" s="1"/>
  <c r="AT526" i="1"/>
  <c r="AF526" i="1" s="1"/>
  <c r="AG526" i="1" s="1"/>
  <c r="Y526" i="1"/>
  <c r="AT486" i="1"/>
  <c r="AF486" i="1" s="1"/>
  <c r="AG486" i="1" s="1"/>
  <c r="Y486" i="1"/>
  <c r="V479" i="1"/>
  <c r="Y472" i="1"/>
  <c r="V472" i="1"/>
  <c r="AT472" i="1"/>
  <c r="AF472" i="1" s="1"/>
  <c r="AG472" i="1" s="1"/>
  <c r="V465" i="1"/>
  <c r="Y508" i="1"/>
  <c r="AT508" i="1"/>
  <c r="AF508" i="1" s="1"/>
  <c r="AG508" i="1" s="1"/>
  <c r="V508" i="1"/>
  <c r="Y496" i="1"/>
  <c r="V496" i="1"/>
  <c r="AT496" i="1"/>
  <c r="AF496" i="1" s="1"/>
  <c r="AG496" i="1" s="1"/>
  <c r="V490" i="1"/>
  <c r="AT485" i="1"/>
  <c r="AF485" i="1" s="1"/>
  <c r="AG485" i="1" s="1"/>
  <c r="V485" i="1"/>
  <c r="Y485" i="1"/>
  <c r="Y480" i="1"/>
  <c r="V480" i="1"/>
  <c r="AT480" i="1"/>
  <c r="AF480" i="1" s="1"/>
  <c r="AG480" i="1" s="1"/>
  <c r="V474" i="1"/>
  <c r="AT466" i="1"/>
  <c r="AF466" i="1" s="1"/>
  <c r="AG466" i="1" s="1"/>
  <c r="Y466" i="1"/>
  <c r="AT456" i="1"/>
  <c r="AF456" i="1" s="1"/>
  <c r="AG456" i="1" s="1"/>
  <c r="Y456" i="1"/>
  <c r="Y451" i="1"/>
  <c r="V451" i="1"/>
  <c r="AT451" i="1"/>
  <c r="AF451" i="1" s="1"/>
  <c r="AG451" i="1" s="1"/>
  <c r="AT421" i="1"/>
  <c r="AF421" i="1" s="1"/>
  <c r="AG421" i="1" s="1"/>
  <c r="Y421" i="1"/>
  <c r="AT505" i="1"/>
  <c r="AF505" i="1" s="1"/>
  <c r="AG505" i="1" s="1"/>
  <c r="V505" i="1"/>
  <c r="Y505" i="1"/>
  <c r="AT469" i="1"/>
  <c r="AF469" i="1" s="1"/>
  <c r="AG469" i="1" s="1"/>
  <c r="V469" i="1"/>
  <c r="Y469" i="1"/>
  <c r="Y419" i="1"/>
  <c r="V419" i="1"/>
  <c r="AT419" i="1"/>
  <c r="AF419" i="1" s="1"/>
  <c r="AG419" i="1" s="1"/>
  <c r="AF540" i="1"/>
  <c r="AG540" i="1" s="1"/>
  <c r="V471" i="1"/>
  <c r="Y447" i="1"/>
  <c r="V447" i="1"/>
  <c r="AT447" i="1"/>
  <c r="AF447" i="1" s="1"/>
  <c r="AG447" i="1" s="1"/>
  <c r="AT428" i="1"/>
  <c r="AF428" i="1" s="1"/>
  <c r="AG428" i="1" s="1"/>
  <c r="V428" i="1"/>
  <c r="Y428" i="1"/>
  <c r="AT377" i="1"/>
  <c r="AF377" i="1" s="1"/>
  <c r="AG377" i="1" s="1"/>
  <c r="V377" i="1"/>
  <c r="Y377" i="1"/>
  <c r="Y372" i="1"/>
  <c r="V372" i="1"/>
  <c r="AT372" i="1"/>
  <c r="AF372" i="1" s="1"/>
  <c r="AG372" i="1" s="1"/>
  <c r="V367" i="1"/>
  <c r="Y360" i="1"/>
  <c r="AT360" i="1"/>
  <c r="AF360" i="1" s="1"/>
  <c r="AG360" i="1" s="1"/>
  <c r="V360" i="1"/>
  <c r="Y352" i="1"/>
  <c r="AT352" i="1"/>
  <c r="AF352" i="1" s="1"/>
  <c r="AG352" i="1" s="1"/>
  <c r="V352" i="1"/>
  <c r="AF457" i="1"/>
  <c r="AG457" i="1" s="1"/>
  <c r="AT393" i="1"/>
  <c r="AF393" i="1" s="1"/>
  <c r="AG393" i="1" s="1"/>
  <c r="Y393" i="1"/>
  <c r="Y388" i="1"/>
  <c r="V388" i="1"/>
  <c r="AT388" i="1"/>
  <c r="AF388" i="1" s="1"/>
  <c r="AG388" i="1" s="1"/>
  <c r="Y379" i="1"/>
  <c r="AT379" i="1"/>
  <c r="AF379" i="1" s="1"/>
  <c r="AG379" i="1" s="1"/>
  <c r="Y343" i="1"/>
  <c r="V343" i="1"/>
  <c r="AT343" i="1"/>
  <c r="AF343" i="1" s="1"/>
  <c r="AG343" i="1" s="1"/>
  <c r="V379" i="1"/>
  <c r="AT345" i="1"/>
  <c r="AF345" i="1" s="1"/>
  <c r="AG345" i="1" s="1"/>
  <c r="Y345" i="1"/>
  <c r="AT327" i="1"/>
  <c r="AF327" i="1" s="1"/>
  <c r="AG327" i="1" s="1"/>
  <c r="V327" i="1"/>
  <c r="Y327" i="1"/>
  <c r="AT315" i="1"/>
  <c r="AF315" i="1" s="1"/>
  <c r="AG315" i="1" s="1"/>
  <c r="V315" i="1"/>
  <c r="Y315" i="1"/>
  <c r="AT299" i="1"/>
  <c r="AF299" i="1" s="1"/>
  <c r="AG299" i="1" s="1"/>
  <c r="V299" i="1"/>
  <c r="Y299" i="1"/>
  <c r="Y289" i="1"/>
  <c r="AT289" i="1"/>
  <c r="AF289" i="1" s="1"/>
  <c r="AG289" i="1" s="1"/>
  <c r="AT287" i="1"/>
  <c r="AF287" i="1" s="1"/>
  <c r="AG287" i="1" s="1"/>
  <c r="V287" i="1"/>
  <c r="Y287" i="1"/>
  <c r="Y254" i="1"/>
  <c r="V254" i="1"/>
  <c r="AT254" i="1"/>
  <c r="AF254" i="1" s="1"/>
  <c r="AG254" i="1" s="1"/>
  <c r="Y408" i="1"/>
  <c r="AT408" i="1"/>
  <c r="AF408" i="1" s="1"/>
  <c r="AG408" i="1" s="1"/>
  <c r="V408" i="1"/>
  <c r="V332" i="1"/>
  <c r="AT332" i="1"/>
  <c r="AF332" i="1" s="1"/>
  <c r="AG332" i="1" s="1"/>
  <c r="Y332" i="1"/>
  <c r="AT316" i="1"/>
  <c r="AF316" i="1" s="1"/>
  <c r="AG316" i="1" s="1"/>
  <c r="V316" i="1"/>
  <c r="Y316" i="1"/>
  <c r="AT300" i="1"/>
  <c r="AF300" i="1" s="1"/>
  <c r="AG300" i="1" s="1"/>
  <c r="V300" i="1"/>
  <c r="Y300" i="1"/>
  <c r="Y250" i="1"/>
  <c r="AT250" i="1"/>
  <c r="AF250" i="1" s="1"/>
  <c r="AG250" i="1" s="1"/>
  <c r="V250" i="1"/>
  <c r="AT416" i="1"/>
  <c r="AF416" i="1" s="1"/>
  <c r="AG416" i="1" s="1"/>
  <c r="Y416" i="1"/>
  <c r="V416" i="1"/>
  <c r="Y282" i="1"/>
  <c r="AT282" i="1"/>
  <c r="AF282" i="1" s="1"/>
  <c r="AG282" i="1" s="1"/>
  <c r="V282" i="1"/>
  <c r="Y278" i="1"/>
  <c r="AT278" i="1"/>
  <c r="AF278" i="1" s="1"/>
  <c r="AG278" i="1" s="1"/>
  <c r="V265" i="1"/>
  <c r="AT265" i="1"/>
  <c r="AF265" i="1" s="1"/>
  <c r="AG265" i="1" s="1"/>
  <c r="Y265" i="1"/>
  <c r="AT199" i="1"/>
  <c r="AF199" i="1" s="1"/>
  <c r="AG199" i="1" s="1"/>
  <c r="V199" i="1"/>
  <c r="Y199" i="1"/>
  <c r="AT195" i="1"/>
  <c r="AF195" i="1" s="1"/>
  <c r="AG195" i="1" s="1"/>
  <c r="V195" i="1"/>
  <c r="Y195" i="1"/>
  <c r="AS392" i="1"/>
  <c r="AK392" i="1"/>
  <c r="AT260" i="1"/>
  <c r="AF260" i="1" s="1"/>
  <c r="AG260" i="1" s="1"/>
  <c r="Y260" i="1"/>
  <c r="AT219" i="1"/>
  <c r="AF219" i="1" s="1"/>
  <c r="AG219" i="1" s="1"/>
  <c r="V219" i="1"/>
  <c r="Y219" i="1"/>
  <c r="V213" i="1"/>
  <c r="AT206" i="1"/>
  <c r="AF206" i="1" s="1"/>
  <c r="AG206" i="1" s="1"/>
  <c r="V206" i="1"/>
  <c r="Y206" i="1"/>
  <c r="Y157" i="1"/>
  <c r="V157" i="1"/>
  <c r="AT157" i="1"/>
  <c r="AF157" i="1" s="1"/>
  <c r="AG157" i="1" s="1"/>
  <c r="V233" i="1"/>
  <c r="AF432" i="1"/>
  <c r="AG432" i="1" s="1"/>
  <c r="AS326" i="1"/>
  <c r="AK326" i="1"/>
  <c r="V309" i="1"/>
  <c r="AS294" i="1"/>
  <c r="AK294" i="1"/>
  <c r="AT272" i="1"/>
  <c r="AF272" i="1" s="1"/>
  <c r="AG272" i="1" s="1"/>
  <c r="Y272" i="1"/>
  <c r="Y229" i="1"/>
  <c r="AT229" i="1"/>
  <c r="AF229" i="1" s="1"/>
  <c r="AG229" i="1" s="1"/>
  <c r="Y226" i="1"/>
  <c r="V226" i="1"/>
  <c r="AT226" i="1"/>
  <c r="AF226" i="1" s="1"/>
  <c r="AG226" i="1" s="1"/>
  <c r="AT201" i="1"/>
  <c r="AF201" i="1" s="1"/>
  <c r="AG201" i="1" s="1"/>
  <c r="V201" i="1"/>
  <c r="Y201" i="1"/>
  <c r="BD124" i="1"/>
  <c r="AX124" i="1" s="1"/>
  <c r="AT117" i="1"/>
  <c r="AF117" i="1" s="1"/>
  <c r="AG117" i="1" s="1"/>
  <c r="V117" i="1"/>
  <c r="Y117" i="1"/>
  <c r="AT110" i="1"/>
  <c r="AF110" i="1" s="1"/>
  <c r="AG110" i="1" s="1"/>
  <c r="V110" i="1"/>
  <c r="Y110" i="1"/>
  <c r="V273" i="1"/>
  <c r="AT268" i="1"/>
  <c r="AF268" i="1" s="1"/>
  <c r="AG268" i="1" s="1"/>
  <c r="Y268" i="1"/>
  <c r="Y238" i="1"/>
  <c r="AT238" i="1"/>
  <c r="AF238" i="1" s="1"/>
  <c r="AG238" i="1" s="1"/>
  <c r="V238" i="1"/>
  <c r="V221" i="1"/>
  <c r="AS188" i="1"/>
  <c r="AK188" i="1"/>
  <c r="AT126" i="1"/>
  <c r="AF126" i="1" s="1"/>
  <c r="AG126" i="1" s="1"/>
  <c r="V126" i="1"/>
  <c r="Y126" i="1"/>
  <c r="AT118" i="1"/>
  <c r="AF118" i="1" s="1"/>
  <c r="AG118" i="1" s="1"/>
  <c r="V118" i="1"/>
  <c r="Y118" i="1"/>
  <c r="AS507" i="1"/>
  <c r="AK507" i="1"/>
  <c r="V305" i="1"/>
  <c r="AF283" i="1"/>
  <c r="AG283" i="1" s="1"/>
  <c r="AF240" i="1"/>
  <c r="AG240" i="1" s="1"/>
  <c r="Y171" i="1"/>
  <c r="AT171" i="1"/>
  <c r="AF171" i="1" s="1"/>
  <c r="AG171" i="1" s="1"/>
  <c r="V171" i="1"/>
  <c r="Y131" i="1"/>
  <c r="AT131" i="1"/>
  <c r="AF131" i="1" s="1"/>
  <c r="AG131" i="1" s="1"/>
  <c r="AF252" i="1"/>
  <c r="AG252" i="1" s="1"/>
  <c r="Y172" i="1"/>
  <c r="AT172" i="1"/>
  <c r="AF172" i="1" s="1"/>
  <c r="AG172" i="1" s="1"/>
  <c r="V172" i="1"/>
  <c r="Y154" i="1"/>
  <c r="AT154" i="1"/>
  <c r="AF154" i="1" s="1"/>
  <c r="AG154" i="1" s="1"/>
  <c r="Y138" i="1"/>
  <c r="AT138" i="1"/>
  <c r="AF138" i="1" s="1"/>
  <c r="AG138" i="1" s="1"/>
  <c r="Y130" i="1"/>
  <c r="AT130" i="1"/>
  <c r="AF130" i="1" s="1"/>
  <c r="AG130" i="1" s="1"/>
  <c r="V278" i="1"/>
  <c r="AS169" i="1"/>
  <c r="AK169" i="1"/>
  <c r="AT159" i="1"/>
  <c r="AF159" i="1" s="1"/>
  <c r="AG159" i="1" s="1"/>
  <c r="Y159" i="1"/>
  <c r="Y133" i="1"/>
  <c r="AT133" i="1"/>
  <c r="AF133" i="1" s="1"/>
  <c r="AG133" i="1" s="1"/>
  <c r="V130" i="1"/>
  <c r="Y593" i="1"/>
  <c r="V593" i="1"/>
  <c r="AT593" i="1"/>
  <c r="AF593" i="1" s="1"/>
  <c r="AG593" i="1" s="1"/>
  <c r="AT583" i="1"/>
  <c r="AF583" i="1" s="1"/>
  <c r="AG583" i="1" s="1"/>
  <c r="Y583" i="1"/>
  <c r="Y556" i="1"/>
  <c r="AT556" i="1"/>
  <c r="AF556" i="1" s="1"/>
  <c r="AG556" i="1" s="1"/>
  <c r="V556" i="1"/>
  <c r="Y568" i="1"/>
  <c r="V568" i="1"/>
  <c r="AT568" i="1"/>
  <c r="AF568" i="1" s="1"/>
  <c r="AG568" i="1" s="1"/>
  <c r="AT509" i="1"/>
  <c r="AF509" i="1" s="1"/>
  <c r="AG509" i="1" s="1"/>
  <c r="V509" i="1"/>
  <c r="Y509" i="1"/>
  <c r="AT497" i="1"/>
  <c r="AF497" i="1" s="1"/>
  <c r="AG497" i="1" s="1"/>
  <c r="Y497" i="1"/>
  <c r="AT478" i="1"/>
  <c r="AF478" i="1" s="1"/>
  <c r="AG478" i="1" s="1"/>
  <c r="Y478" i="1"/>
  <c r="Y504" i="1"/>
  <c r="AT504" i="1"/>
  <c r="AF504" i="1" s="1"/>
  <c r="AG504" i="1" s="1"/>
  <c r="V504" i="1"/>
  <c r="AT477" i="1"/>
  <c r="AF477" i="1" s="1"/>
  <c r="AG477" i="1" s="1"/>
  <c r="V477" i="1"/>
  <c r="Y477" i="1"/>
  <c r="Y528" i="1"/>
  <c r="AT528" i="1"/>
  <c r="AF528" i="1" s="1"/>
  <c r="AG528" i="1" s="1"/>
  <c r="Y459" i="1"/>
  <c r="V459" i="1"/>
  <c r="AT459" i="1"/>
  <c r="AF459" i="1" s="1"/>
  <c r="AG459" i="1" s="1"/>
  <c r="Y455" i="1"/>
  <c r="V455" i="1"/>
  <c r="AT455" i="1"/>
  <c r="AF455" i="1" s="1"/>
  <c r="AG455" i="1" s="1"/>
  <c r="Y439" i="1"/>
  <c r="V439" i="1"/>
  <c r="AT439" i="1"/>
  <c r="AF439" i="1" s="1"/>
  <c r="AG439" i="1" s="1"/>
  <c r="Y435" i="1"/>
  <c r="AT435" i="1"/>
  <c r="AF435" i="1" s="1"/>
  <c r="AG435" i="1" s="1"/>
  <c r="V435" i="1"/>
  <c r="AT366" i="1"/>
  <c r="AF366" i="1" s="1"/>
  <c r="AG366" i="1" s="1"/>
  <c r="Y366" i="1"/>
  <c r="Y339" i="1"/>
  <c r="V339" i="1"/>
  <c r="AT339" i="1"/>
  <c r="AF339" i="1" s="1"/>
  <c r="AG339" i="1" s="1"/>
  <c r="Y371" i="1"/>
  <c r="AT371" i="1"/>
  <c r="AF371" i="1" s="1"/>
  <c r="AG371" i="1" s="1"/>
  <c r="AT441" i="1"/>
  <c r="AF441" i="1" s="1"/>
  <c r="AG441" i="1" s="1"/>
  <c r="Y441" i="1"/>
  <c r="Y356" i="1"/>
  <c r="AT356" i="1"/>
  <c r="AF356" i="1" s="1"/>
  <c r="AG356" i="1" s="1"/>
  <c r="V356" i="1"/>
  <c r="AT394" i="1"/>
  <c r="AF394" i="1" s="1"/>
  <c r="AG394" i="1" s="1"/>
  <c r="Y394" i="1"/>
  <c r="Y336" i="1"/>
  <c r="AT336" i="1"/>
  <c r="AF336" i="1" s="1"/>
  <c r="AG336" i="1" s="1"/>
  <c r="V336" i="1"/>
  <c r="AT323" i="1"/>
  <c r="AF323" i="1" s="1"/>
  <c r="AG323" i="1" s="1"/>
  <c r="V323" i="1"/>
  <c r="Y323" i="1"/>
  <c r="Y438" i="1"/>
  <c r="AT438" i="1"/>
  <c r="AF438" i="1" s="1"/>
  <c r="AG438" i="1" s="1"/>
  <c r="AT292" i="1"/>
  <c r="AF292" i="1" s="1"/>
  <c r="AG292" i="1" s="1"/>
  <c r="V292" i="1"/>
  <c r="Y292" i="1"/>
  <c r="AT261" i="1"/>
  <c r="AF261" i="1" s="1"/>
  <c r="AG261" i="1" s="1"/>
  <c r="Y261" i="1"/>
  <c r="Y189" i="1"/>
  <c r="AT189" i="1"/>
  <c r="AF189" i="1" s="1"/>
  <c r="AG189" i="1" s="1"/>
  <c r="AT239" i="1"/>
  <c r="AF239" i="1" s="1"/>
  <c r="AG239" i="1" s="1"/>
  <c r="V239" i="1"/>
  <c r="Y239" i="1"/>
  <c r="AS333" i="1"/>
  <c r="AK333" i="1"/>
  <c r="AT243" i="1"/>
  <c r="AF243" i="1" s="1"/>
  <c r="AG243" i="1" s="1"/>
  <c r="V243" i="1"/>
  <c r="Y243" i="1"/>
  <c r="Y190" i="1"/>
  <c r="AT190" i="1"/>
  <c r="AF190" i="1" s="1"/>
  <c r="AG190" i="1" s="1"/>
  <c r="AT114" i="1"/>
  <c r="AF114" i="1" s="1"/>
  <c r="AG114" i="1" s="1"/>
  <c r="V114" i="1"/>
  <c r="Y114" i="1"/>
  <c r="AK277" i="1"/>
  <c r="AS277" i="1"/>
  <c r="Y143" i="1"/>
  <c r="AT143" i="1"/>
  <c r="AF143" i="1" s="1"/>
  <c r="AG143" i="1" s="1"/>
  <c r="Y144" i="1"/>
  <c r="AT144" i="1"/>
  <c r="AF144" i="1" s="1"/>
  <c r="AG144" i="1" s="1"/>
  <c r="AT180" i="1"/>
  <c r="AF180" i="1" s="1"/>
  <c r="AG180" i="1" s="1"/>
  <c r="V180" i="1"/>
  <c r="Y180" i="1"/>
  <c r="Y146" i="1"/>
  <c r="AT146" i="1"/>
  <c r="AF146" i="1" s="1"/>
  <c r="AG146" i="1" s="1"/>
  <c r="AS179" i="1"/>
  <c r="AK179" i="1"/>
  <c r="Y137" i="1"/>
  <c r="AT137" i="1"/>
  <c r="AF137" i="1" s="1"/>
  <c r="AG137" i="1" s="1"/>
  <c r="V605" i="1"/>
  <c r="AT596" i="1"/>
  <c r="AF596" i="1" s="1"/>
  <c r="AG596" i="1" s="1"/>
  <c r="V596" i="1"/>
  <c r="Y596" i="1"/>
  <c r="V592" i="1"/>
  <c r="V602" i="1"/>
  <c r="Y563" i="1"/>
  <c r="AT563" i="1"/>
  <c r="AF563" i="1" s="1"/>
  <c r="AG563" i="1" s="1"/>
  <c r="Y555" i="1"/>
  <c r="V555" i="1"/>
  <c r="AT555" i="1"/>
  <c r="AF555" i="1" s="1"/>
  <c r="AG555" i="1" s="1"/>
  <c r="V562" i="1"/>
  <c r="Y567" i="1"/>
  <c r="AT567" i="1"/>
  <c r="AF567" i="1" s="1"/>
  <c r="AG567" i="1" s="1"/>
  <c r="V528" i="1"/>
  <c r="Y524" i="1"/>
  <c r="AT524" i="1"/>
  <c r="AF524" i="1" s="1"/>
  <c r="AG524" i="1" s="1"/>
  <c r="AS547" i="1"/>
  <c r="AK547" i="1"/>
  <c r="AK533" i="1"/>
  <c r="AS533" i="1"/>
  <c r="V495" i="1"/>
  <c r="Y476" i="1"/>
  <c r="V476" i="1"/>
  <c r="AT476" i="1"/>
  <c r="AF476" i="1" s="1"/>
  <c r="AG476" i="1" s="1"/>
  <c r="Y475" i="1"/>
  <c r="AT475" i="1"/>
  <c r="AF475" i="1" s="1"/>
  <c r="AG475" i="1" s="1"/>
  <c r="AT515" i="1"/>
  <c r="AF515" i="1" s="1"/>
  <c r="AG515" i="1" s="1"/>
  <c r="Y515" i="1"/>
  <c r="V475" i="1"/>
  <c r="AT544" i="1"/>
  <c r="AF544" i="1" s="1"/>
  <c r="AG544" i="1" s="1"/>
  <c r="Y544" i="1"/>
  <c r="AT448" i="1"/>
  <c r="AF448" i="1" s="1"/>
  <c r="AG448" i="1" s="1"/>
  <c r="Y448" i="1"/>
  <c r="V438" i="1"/>
  <c r="Y442" i="1"/>
  <c r="AT442" i="1"/>
  <c r="AF442" i="1" s="1"/>
  <c r="AG442" i="1" s="1"/>
  <c r="AF511" i="1"/>
  <c r="AG511" i="1" s="1"/>
  <c r="AT461" i="1"/>
  <c r="AF461" i="1" s="1"/>
  <c r="AG461" i="1" s="1"/>
  <c r="Y461" i="1"/>
  <c r="V442" i="1"/>
  <c r="Y422" i="1"/>
  <c r="AT422" i="1"/>
  <c r="AF422" i="1" s="1"/>
  <c r="AG422" i="1" s="1"/>
  <c r="V422" i="1"/>
  <c r="AT433" i="1"/>
  <c r="AF433" i="1" s="1"/>
  <c r="AG433" i="1" s="1"/>
  <c r="Y433" i="1"/>
  <c r="Y407" i="1"/>
  <c r="AT407" i="1"/>
  <c r="AF407" i="1" s="1"/>
  <c r="AG407" i="1" s="1"/>
  <c r="Y391" i="1"/>
  <c r="AT391" i="1"/>
  <c r="AF391" i="1" s="1"/>
  <c r="AG391" i="1" s="1"/>
  <c r="AT374" i="1"/>
  <c r="AF374" i="1" s="1"/>
  <c r="AG374" i="1" s="1"/>
  <c r="Y374" i="1"/>
  <c r="AT354" i="1"/>
  <c r="AF354" i="1" s="1"/>
  <c r="AG354" i="1" s="1"/>
  <c r="Y354" i="1"/>
  <c r="AS464" i="1"/>
  <c r="AK464" i="1"/>
  <c r="Y446" i="1"/>
  <c r="AT446" i="1"/>
  <c r="AF446" i="1" s="1"/>
  <c r="AG446" i="1" s="1"/>
  <c r="Y404" i="1"/>
  <c r="V404" i="1"/>
  <c r="AT404" i="1"/>
  <c r="AF404" i="1" s="1"/>
  <c r="AG404" i="1" s="1"/>
  <c r="Y344" i="1"/>
  <c r="V344" i="1"/>
  <c r="AT344" i="1"/>
  <c r="AF344" i="1" s="1"/>
  <c r="AG344" i="1" s="1"/>
  <c r="Y487" i="1"/>
  <c r="AT487" i="1"/>
  <c r="AF487" i="1" s="1"/>
  <c r="AG487" i="1" s="1"/>
  <c r="Y412" i="1"/>
  <c r="V412" i="1"/>
  <c r="AT412" i="1"/>
  <c r="AF412" i="1" s="1"/>
  <c r="AG412" i="1" s="1"/>
  <c r="Y387" i="1"/>
  <c r="AT387" i="1"/>
  <c r="AF387" i="1" s="1"/>
  <c r="AG387" i="1" s="1"/>
  <c r="Y355" i="1"/>
  <c r="AT355" i="1"/>
  <c r="AF355" i="1" s="1"/>
  <c r="AG355" i="1" s="1"/>
  <c r="V355" i="1"/>
  <c r="Y400" i="1"/>
  <c r="AT400" i="1"/>
  <c r="AF400" i="1" s="1"/>
  <c r="AG400" i="1" s="1"/>
  <c r="V400" i="1"/>
  <c r="AT358" i="1"/>
  <c r="AF358" i="1" s="1"/>
  <c r="AG358" i="1" s="1"/>
  <c r="Y358" i="1"/>
  <c r="AT319" i="1"/>
  <c r="AF319" i="1" s="1"/>
  <c r="AG319" i="1" s="1"/>
  <c r="V319" i="1"/>
  <c r="Y319" i="1"/>
  <c r="AT303" i="1"/>
  <c r="AF303" i="1" s="1"/>
  <c r="AG303" i="1" s="1"/>
  <c r="V303" i="1"/>
  <c r="Y303" i="1"/>
  <c r="AT291" i="1"/>
  <c r="AF291" i="1" s="1"/>
  <c r="AG291" i="1" s="1"/>
  <c r="V291" i="1"/>
  <c r="Y291" i="1"/>
  <c r="Y270" i="1"/>
  <c r="V270" i="1"/>
  <c r="AT270" i="1"/>
  <c r="AF270" i="1" s="1"/>
  <c r="AG270" i="1" s="1"/>
  <c r="AT402" i="1"/>
  <c r="AF402" i="1" s="1"/>
  <c r="AG402" i="1" s="1"/>
  <c r="Y402" i="1"/>
  <c r="AT320" i="1"/>
  <c r="AF320" i="1" s="1"/>
  <c r="AG320" i="1" s="1"/>
  <c r="V320" i="1"/>
  <c r="Y320" i="1"/>
  <c r="Y174" i="1"/>
  <c r="AT174" i="1"/>
  <c r="AF174" i="1" s="1"/>
  <c r="AG174" i="1" s="1"/>
  <c r="V174" i="1"/>
  <c r="V387" i="1"/>
  <c r="AT353" i="1"/>
  <c r="AF353" i="1" s="1"/>
  <c r="AG353" i="1" s="1"/>
  <c r="V353" i="1"/>
  <c r="Y353" i="1"/>
  <c r="V249" i="1"/>
  <c r="AT249" i="1"/>
  <c r="AF249" i="1" s="1"/>
  <c r="AG249" i="1" s="1"/>
  <c r="Y249" i="1"/>
  <c r="AT196" i="1"/>
  <c r="AF196" i="1" s="1"/>
  <c r="AG196" i="1" s="1"/>
  <c r="V196" i="1"/>
  <c r="Y196" i="1"/>
  <c r="AT235" i="1"/>
  <c r="AF235" i="1" s="1"/>
  <c r="AG235" i="1" s="1"/>
  <c r="V235" i="1"/>
  <c r="Y235" i="1"/>
  <c r="Y217" i="1"/>
  <c r="AT217" i="1"/>
  <c r="AF217" i="1" s="1"/>
  <c r="AG217" i="1" s="1"/>
  <c r="Y162" i="1"/>
  <c r="AT162" i="1"/>
  <c r="AF162" i="1" s="1"/>
  <c r="AG162" i="1" s="1"/>
  <c r="AT585" i="1"/>
  <c r="AF585" i="1" s="1"/>
  <c r="AG585" i="1" s="1"/>
  <c r="V585" i="1"/>
  <c r="Y585" i="1"/>
  <c r="Y577" i="1"/>
  <c r="AT577" i="1"/>
  <c r="AF577" i="1" s="1"/>
  <c r="AG577" i="1" s="1"/>
  <c r="V577" i="1"/>
  <c r="Y584" i="1"/>
  <c r="AT584" i="1"/>
  <c r="AF584" i="1" s="1"/>
  <c r="AG584" i="1" s="1"/>
  <c r="V584" i="1"/>
  <c r="Y580" i="1"/>
  <c r="AT580" i="1"/>
  <c r="AF580" i="1" s="1"/>
  <c r="AG580" i="1" s="1"/>
  <c r="AT558" i="1"/>
  <c r="AF558" i="1" s="1"/>
  <c r="AG558" i="1" s="1"/>
  <c r="Y558" i="1"/>
  <c r="Y586" i="1"/>
  <c r="V586" i="1"/>
  <c r="AT586" i="1"/>
  <c r="AF586" i="1" s="1"/>
  <c r="AG586" i="1" s="1"/>
  <c r="AT565" i="1"/>
  <c r="AF565" i="1" s="1"/>
  <c r="AG565" i="1" s="1"/>
  <c r="Y565" i="1"/>
  <c r="Y559" i="1"/>
  <c r="AT559" i="1"/>
  <c r="AF559" i="1" s="1"/>
  <c r="AG559" i="1" s="1"/>
  <c r="V559" i="1"/>
  <c r="AT574" i="1"/>
  <c r="AF574" i="1" s="1"/>
  <c r="AG574" i="1" s="1"/>
  <c r="Y574" i="1"/>
  <c r="V552" i="1"/>
  <c r="AT552" i="1"/>
  <c r="AF552" i="1" s="1"/>
  <c r="AG552" i="1" s="1"/>
  <c r="Y552" i="1"/>
  <c r="Y564" i="1"/>
  <c r="AT564" i="1"/>
  <c r="AF564" i="1" s="1"/>
  <c r="AG564" i="1" s="1"/>
  <c r="V564" i="1"/>
  <c r="AT536" i="1"/>
  <c r="AF536" i="1" s="1"/>
  <c r="AG536" i="1" s="1"/>
  <c r="Y536" i="1"/>
  <c r="AT527" i="1"/>
  <c r="AF527" i="1" s="1"/>
  <c r="AG527" i="1" s="1"/>
  <c r="Y527" i="1"/>
  <c r="AT512" i="1"/>
  <c r="AF512" i="1" s="1"/>
  <c r="AG512" i="1" s="1"/>
  <c r="Y512" i="1"/>
  <c r="AT530" i="1"/>
  <c r="AF530" i="1" s="1"/>
  <c r="AG530" i="1" s="1"/>
  <c r="V530" i="1"/>
  <c r="Y530" i="1"/>
  <c r="V537" i="1"/>
  <c r="V524" i="1"/>
  <c r="AF548" i="1"/>
  <c r="AG548" i="1" s="1"/>
  <c r="AT531" i="1"/>
  <c r="AF531" i="1" s="1"/>
  <c r="AG531" i="1" s="1"/>
  <c r="Y531" i="1"/>
  <c r="V497" i="1"/>
  <c r="AT494" i="1"/>
  <c r="AF494" i="1" s="1"/>
  <c r="AG494" i="1" s="1"/>
  <c r="Y494" i="1"/>
  <c r="AT489" i="1"/>
  <c r="AF489" i="1" s="1"/>
  <c r="AG489" i="1" s="1"/>
  <c r="Y489" i="1"/>
  <c r="V478" i="1"/>
  <c r="AT473" i="1"/>
  <c r="AF473" i="1" s="1"/>
  <c r="AG473" i="1" s="1"/>
  <c r="V473" i="1"/>
  <c r="Y473" i="1"/>
  <c r="AF553" i="1"/>
  <c r="AG553" i="1" s="1"/>
  <c r="V493" i="1"/>
  <c r="AS543" i="1"/>
  <c r="AK543" i="1"/>
  <c r="V445" i="1"/>
  <c r="V440" i="1"/>
  <c r="AT437" i="1"/>
  <c r="AF437" i="1" s="1"/>
  <c r="AG437" i="1" s="1"/>
  <c r="Y437" i="1"/>
  <c r="Y418" i="1"/>
  <c r="V418" i="1"/>
  <c r="AT418" i="1"/>
  <c r="AF418" i="1" s="1"/>
  <c r="AG418" i="1" s="1"/>
  <c r="V513" i="1"/>
  <c r="AS503" i="1"/>
  <c r="AK503" i="1"/>
  <c r="V444" i="1"/>
  <c r="AT410" i="1"/>
  <c r="AF410" i="1" s="1"/>
  <c r="AG410" i="1" s="1"/>
  <c r="Y410" i="1"/>
  <c r="V375" i="1"/>
  <c r="V366" i="1"/>
  <c r="Y359" i="1"/>
  <c r="V359" i="1"/>
  <c r="AT359" i="1"/>
  <c r="AF359" i="1" s="1"/>
  <c r="AG359" i="1" s="1"/>
  <c r="Y351" i="1"/>
  <c r="V351" i="1"/>
  <c r="AT351" i="1"/>
  <c r="AF351" i="1" s="1"/>
  <c r="AG351" i="1" s="1"/>
  <c r="Y340" i="1"/>
  <c r="AT340" i="1"/>
  <c r="AF340" i="1" s="1"/>
  <c r="AG340" i="1" s="1"/>
  <c r="V340" i="1"/>
  <c r="AT429" i="1"/>
  <c r="AF429" i="1" s="1"/>
  <c r="AG429" i="1" s="1"/>
  <c r="Y429" i="1"/>
  <c r="AT401" i="1"/>
  <c r="AF401" i="1" s="1"/>
  <c r="AG401" i="1" s="1"/>
  <c r="V401" i="1"/>
  <c r="Y401" i="1"/>
  <c r="V391" i="1"/>
  <c r="V462" i="1"/>
  <c r="AF420" i="1"/>
  <c r="AG420" i="1" s="1"/>
  <c r="AT409" i="1"/>
  <c r="AF409" i="1" s="1"/>
  <c r="AG409" i="1" s="1"/>
  <c r="V409" i="1"/>
  <c r="Y409" i="1"/>
  <c r="AT373" i="1"/>
  <c r="AF373" i="1" s="1"/>
  <c r="AG373" i="1" s="1"/>
  <c r="Y373" i="1"/>
  <c r="Y368" i="1"/>
  <c r="V368" i="1"/>
  <c r="AT368" i="1"/>
  <c r="AF368" i="1" s="1"/>
  <c r="AG368" i="1" s="1"/>
  <c r="AF460" i="1"/>
  <c r="AG460" i="1" s="1"/>
  <c r="AT414" i="1"/>
  <c r="AF414" i="1" s="1"/>
  <c r="AG414" i="1" s="1"/>
  <c r="Y414" i="1"/>
  <c r="V394" i="1"/>
  <c r="AT311" i="1"/>
  <c r="AF311" i="1" s="1"/>
  <c r="AG311" i="1" s="1"/>
  <c r="V311" i="1"/>
  <c r="Y311" i="1"/>
  <c r="AT295" i="1"/>
  <c r="AF295" i="1" s="1"/>
  <c r="AG295" i="1" s="1"/>
  <c r="V295" i="1"/>
  <c r="Y295" i="1"/>
  <c r="Y286" i="1"/>
  <c r="AT286" i="1"/>
  <c r="AF286" i="1" s="1"/>
  <c r="AG286" i="1" s="1"/>
  <c r="V286" i="1"/>
  <c r="AF436" i="1"/>
  <c r="AG436" i="1" s="1"/>
  <c r="AT342" i="1"/>
  <c r="AF342" i="1" s="1"/>
  <c r="AG342" i="1" s="1"/>
  <c r="Y342" i="1"/>
  <c r="AT328" i="1"/>
  <c r="AF328" i="1" s="1"/>
  <c r="AG328" i="1" s="1"/>
  <c r="V328" i="1"/>
  <c r="Y328" i="1"/>
  <c r="AT312" i="1"/>
  <c r="AF312" i="1" s="1"/>
  <c r="AG312" i="1" s="1"/>
  <c r="V312" i="1"/>
  <c r="Y312" i="1"/>
  <c r="AT296" i="1"/>
  <c r="AF296" i="1" s="1"/>
  <c r="AG296" i="1" s="1"/>
  <c r="V296" i="1"/>
  <c r="Y296" i="1"/>
  <c r="Y384" i="1"/>
  <c r="AT384" i="1"/>
  <c r="AF384" i="1" s="1"/>
  <c r="AG384" i="1" s="1"/>
  <c r="V384" i="1"/>
  <c r="AT281" i="1"/>
  <c r="AF281" i="1" s="1"/>
  <c r="AG281" i="1" s="1"/>
  <c r="Y281" i="1"/>
  <c r="AT198" i="1"/>
  <c r="AF198" i="1" s="1"/>
  <c r="AG198" i="1" s="1"/>
  <c r="V198" i="1"/>
  <c r="Y198" i="1"/>
  <c r="AT194" i="1"/>
  <c r="AF194" i="1" s="1"/>
  <c r="AG194" i="1" s="1"/>
  <c r="V194" i="1"/>
  <c r="Y194" i="1"/>
  <c r="Y411" i="1"/>
  <c r="AT411" i="1"/>
  <c r="AF411" i="1" s="1"/>
  <c r="AG411" i="1" s="1"/>
  <c r="AT264" i="1"/>
  <c r="AF264" i="1" s="1"/>
  <c r="AG264" i="1" s="1"/>
  <c r="Y264" i="1"/>
  <c r="Y258" i="1"/>
  <c r="V258" i="1"/>
  <c r="AT258" i="1"/>
  <c r="AF258" i="1" s="1"/>
  <c r="AG258" i="1" s="1"/>
  <c r="Y246" i="1"/>
  <c r="V246" i="1"/>
  <c r="AT246" i="1"/>
  <c r="AF246" i="1" s="1"/>
  <c r="AG246" i="1" s="1"/>
  <c r="Y210" i="1"/>
  <c r="V210" i="1"/>
  <c r="AT210" i="1"/>
  <c r="AF210" i="1" s="1"/>
  <c r="AG210" i="1" s="1"/>
  <c r="AT204" i="1"/>
  <c r="AF204" i="1" s="1"/>
  <c r="AG204" i="1" s="1"/>
  <c r="V204" i="1"/>
  <c r="Y204" i="1"/>
  <c r="AM184" i="1"/>
  <c r="AN184" i="1" s="1"/>
  <c r="Y177" i="1"/>
  <c r="AT177" i="1"/>
  <c r="AF177" i="1" s="1"/>
  <c r="AG177" i="1" s="1"/>
  <c r="V177" i="1"/>
  <c r="Y166" i="1"/>
  <c r="AT166" i="1"/>
  <c r="AF166" i="1" s="1"/>
  <c r="AG166" i="1" s="1"/>
  <c r="AS427" i="1"/>
  <c r="AK427" i="1"/>
  <c r="V289" i="1"/>
  <c r="V281" i="1"/>
  <c r="V261" i="1"/>
  <c r="AT223" i="1"/>
  <c r="AF223" i="1" s="1"/>
  <c r="AG223" i="1" s="1"/>
  <c r="V223" i="1"/>
  <c r="Y223" i="1"/>
  <c r="V181" i="1"/>
  <c r="AS302" i="1"/>
  <c r="AK302" i="1"/>
  <c r="AT248" i="1"/>
  <c r="AF248" i="1" s="1"/>
  <c r="AG248" i="1" s="1"/>
  <c r="Y248" i="1"/>
  <c r="Y245" i="1"/>
  <c r="AT245" i="1"/>
  <c r="AF245" i="1" s="1"/>
  <c r="AG245" i="1" s="1"/>
  <c r="Y242" i="1"/>
  <c r="AT242" i="1"/>
  <c r="AF242" i="1" s="1"/>
  <c r="AG242" i="1" s="1"/>
  <c r="V242" i="1"/>
  <c r="AT231" i="1"/>
  <c r="AF231" i="1" s="1"/>
  <c r="AG231" i="1" s="1"/>
  <c r="V231" i="1"/>
  <c r="Y231" i="1"/>
  <c r="AT192" i="1"/>
  <c r="AF192" i="1" s="1"/>
  <c r="AG192" i="1" s="1"/>
  <c r="V192" i="1"/>
  <c r="Y192" i="1"/>
  <c r="Y167" i="1"/>
  <c r="AT167" i="1"/>
  <c r="AF167" i="1" s="1"/>
  <c r="AG167" i="1" s="1"/>
  <c r="V167" i="1"/>
  <c r="AT156" i="1"/>
  <c r="AF156" i="1" s="1"/>
  <c r="AG156" i="1" s="1"/>
  <c r="V156" i="1"/>
  <c r="Y156" i="1"/>
  <c r="BD122" i="1"/>
  <c r="AX122" i="1" s="1"/>
  <c r="BD115" i="1"/>
  <c r="AX115" i="1" s="1"/>
  <c r="Y454" i="1"/>
  <c r="AT454" i="1"/>
  <c r="AF454" i="1" s="1"/>
  <c r="AG454" i="1" s="1"/>
  <c r="AS322" i="1"/>
  <c r="AK322" i="1"/>
  <c r="AS306" i="1"/>
  <c r="AK306" i="1"/>
  <c r="V415" i="1"/>
  <c r="AT227" i="1"/>
  <c r="AF227" i="1" s="1"/>
  <c r="AG227" i="1" s="1"/>
  <c r="V227" i="1"/>
  <c r="Y227" i="1"/>
  <c r="AT202" i="1"/>
  <c r="AF202" i="1" s="1"/>
  <c r="AG202" i="1" s="1"/>
  <c r="V202" i="1"/>
  <c r="Y202" i="1"/>
  <c r="AT125" i="1"/>
  <c r="AF125" i="1" s="1"/>
  <c r="AG125" i="1" s="1"/>
  <c r="V125" i="1"/>
  <c r="Y125" i="1"/>
  <c r="BD116" i="1"/>
  <c r="AX116" i="1" s="1"/>
  <c r="AF361" i="1"/>
  <c r="AG361" i="1" s="1"/>
  <c r="Y155" i="1"/>
  <c r="AT155" i="1"/>
  <c r="AF155" i="1" s="1"/>
  <c r="AG155" i="1" s="1"/>
  <c r="V155" i="1"/>
  <c r="Y165" i="1"/>
  <c r="AT165" i="1"/>
  <c r="AF165" i="1" s="1"/>
  <c r="AG165" i="1" s="1"/>
  <c r="Y135" i="1"/>
  <c r="AT135" i="1"/>
  <c r="AF135" i="1" s="1"/>
  <c r="AG135" i="1" s="1"/>
  <c r="V129" i="1"/>
  <c r="V134" i="1"/>
  <c r="AF259" i="1"/>
  <c r="AG259" i="1" s="1"/>
  <c r="Y168" i="1"/>
  <c r="AT168" i="1"/>
  <c r="AF168" i="1" s="1"/>
  <c r="AG168" i="1" s="1"/>
  <c r="V168" i="1"/>
  <c r="Y153" i="1"/>
  <c r="AT153" i="1"/>
  <c r="AF153" i="1" s="1"/>
  <c r="AG153" i="1" s="1"/>
  <c r="V136" i="1"/>
  <c r="V154" i="1"/>
  <c r="AS173" i="1"/>
  <c r="AK173" i="1"/>
  <c r="AT158" i="1"/>
  <c r="AF158" i="1" s="1"/>
  <c r="AG158" i="1" s="1"/>
  <c r="Y158" i="1"/>
  <c r="V139" i="1"/>
  <c r="V131" i="1"/>
  <c r="AS170" i="1"/>
  <c r="AK170" i="1"/>
  <c r="AY170" i="1" l="1"/>
  <c r="AB170" i="1"/>
  <c r="AS454" i="1"/>
  <c r="AK454" i="1"/>
  <c r="AS192" i="1"/>
  <c r="AK192" i="1"/>
  <c r="AS223" i="1"/>
  <c r="AK223" i="1"/>
  <c r="AM427" i="1"/>
  <c r="AN427" i="1" s="1"/>
  <c r="AS246" i="1"/>
  <c r="AK246" i="1"/>
  <c r="AK194" i="1"/>
  <c r="AS194" i="1"/>
  <c r="AS512" i="1"/>
  <c r="AK512" i="1"/>
  <c r="AS574" i="1"/>
  <c r="AK574" i="1"/>
  <c r="AS235" i="1"/>
  <c r="AK235" i="1"/>
  <c r="AS446" i="1"/>
  <c r="AK446" i="1"/>
  <c r="AS511" i="1"/>
  <c r="AK511" i="1"/>
  <c r="AK567" i="1"/>
  <c r="AS567" i="1"/>
  <c r="AS596" i="1"/>
  <c r="AK596" i="1"/>
  <c r="AM277" i="1"/>
  <c r="AN277" i="1"/>
  <c r="AY507" i="1"/>
  <c r="AB507" i="1"/>
  <c r="AY188" i="1"/>
  <c r="AB188" i="1"/>
  <c r="AM326" i="1"/>
  <c r="AN326" i="1" s="1"/>
  <c r="AM392" i="1"/>
  <c r="AN392" i="1" s="1"/>
  <c r="AK250" i="1"/>
  <c r="AS250" i="1"/>
  <c r="AS299" i="1"/>
  <c r="AK299" i="1"/>
  <c r="AS457" i="1"/>
  <c r="AK457" i="1"/>
  <c r="AS372" i="1"/>
  <c r="AK372" i="1"/>
  <c r="AS421" i="1"/>
  <c r="AK421" i="1"/>
  <c r="AS375" i="1"/>
  <c r="AK375" i="1"/>
  <c r="AK403" i="1"/>
  <c r="AS403" i="1"/>
  <c r="AS570" i="1"/>
  <c r="AK570" i="1"/>
  <c r="AK221" i="1"/>
  <c r="AS221" i="1"/>
  <c r="AY280" i="1"/>
  <c r="AB280" i="1"/>
  <c r="AS348" i="1"/>
  <c r="AK348" i="1"/>
  <c r="AS513" i="1"/>
  <c r="AK513" i="1"/>
  <c r="AY314" i="1"/>
  <c r="AB314" i="1"/>
  <c r="AS205" i="1"/>
  <c r="AK205" i="1"/>
  <c r="AN318" i="1"/>
  <c r="AM318" i="1"/>
  <c r="AM290" i="1"/>
  <c r="AN290" i="1" s="1"/>
  <c r="AS495" i="1"/>
  <c r="AK495" i="1"/>
  <c r="AS484" i="1"/>
  <c r="AK484" i="1"/>
  <c r="AS381" i="1"/>
  <c r="AK381" i="1"/>
  <c r="AS519" i="1"/>
  <c r="AK519" i="1"/>
  <c r="AK329" i="1"/>
  <c r="AS329" i="1"/>
  <c r="AK395" i="1"/>
  <c r="AS395" i="1"/>
  <c r="AS140" i="1"/>
  <c r="AK140" i="1"/>
  <c r="AK463" i="1"/>
  <c r="AS463" i="1"/>
  <c r="AS389" i="1"/>
  <c r="AK389" i="1"/>
  <c r="AN173" i="1"/>
  <c r="AM173" i="1"/>
  <c r="AK153" i="1"/>
  <c r="AS153" i="1"/>
  <c r="AS135" i="1"/>
  <c r="AK135" i="1"/>
  <c r="AT116" i="1"/>
  <c r="AF116" i="1" s="1"/>
  <c r="AG116" i="1" s="1"/>
  <c r="V116" i="1"/>
  <c r="Y116" i="1"/>
  <c r="AY306" i="1"/>
  <c r="AB306" i="1"/>
  <c r="AS242" i="1"/>
  <c r="AK242" i="1"/>
  <c r="AY427" i="1"/>
  <c r="AB427" i="1"/>
  <c r="AK177" i="1"/>
  <c r="AS177" i="1"/>
  <c r="AS210" i="1"/>
  <c r="AK210" i="1"/>
  <c r="AS281" i="1"/>
  <c r="AK281" i="1"/>
  <c r="AS328" i="1"/>
  <c r="AK328" i="1"/>
  <c r="AS311" i="1"/>
  <c r="AK311" i="1"/>
  <c r="AS460" i="1"/>
  <c r="AK460" i="1"/>
  <c r="AS409" i="1"/>
  <c r="AK409" i="1"/>
  <c r="AS429" i="1"/>
  <c r="AK429" i="1"/>
  <c r="AK351" i="1"/>
  <c r="AS351" i="1"/>
  <c r="AY503" i="1"/>
  <c r="AB503" i="1"/>
  <c r="AS553" i="1"/>
  <c r="AK553" i="1"/>
  <c r="AS494" i="1"/>
  <c r="AK494" i="1"/>
  <c r="AS548" i="1"/>
  <c r="AK548" i="1"/>
  <c r="AS552" i="1"/>
  <c r="AK552" i="1"/>
  <c r="AS565" i="1"/>
  <c r="AK565" i="1"/>
  <c r="AS577" i="1"/>
  <c r="AK577" i="1"/>
  <c r="AS585" i="1"/>
  <c r="AK585" i="1"/>
  <c r="AS249" i="1"/>
  <c r="AK249" i="1"/>
  <c r="AS353" i="1"/>
  <c r="AK353" i="1"/>
  <c r="AS355" i="1"/>
  <c r="AK355" i="1"/>
  <c r="AS412" i="1"/>
  <c r="AK412" i="1"/>
  <c r="AS404" i="1"/>
  <c r="AK404" i="1"/>
  <c r="AS354" i="1"/>
  <c r="AK354" i="1"/>
  <c r="AK433" i="1"/>
  <c r="AS433" i="1"/>
  <c r="AK442" i="1"/>
  <c r="AS442" i="1"/>
  <c r="AS448" i="1"/>
  <c r="AK448" i="1"/>
  <c r="AS476" i="1"/>
  <c r="AK476" i="1"/>
  <c r="AY533" i="1"/>
  <c r="AB533" i="1"/>
  <c r="AK524" i="1"/>
  <c r="AS524" i="1"/>
  <c r="AY179" i="1"/>
  <c r="AB179" i="1"/>
  <c r="AK143" i="1"/>
  <c r="AS143" i="1"/>
  <c r="AN333" i="1"/>
  <c r="AM333" i="1"/>
  <c r="AS239" i="1"/>
  <c r="AK239" i="1"/>
  <c r="AK261" i="1"/>
  <c r="AS261" i="1"/>
  <c r="AS438" i="1"/>
  <c r="AK438" i="1"/>
  <c r="AS323" i="1"/>
  <c r="AK323" i="1"/>
  <c r="AS455" i="1"/>
  <c r="AK455" i="1"/>
  <c r="AS504" i="1"/>
  <c r="AK504" i="1"/>
  <c r="AS509" i="1"/>
  <c r="AK509" i="1"/>
  <c r="AK583" i="1"/>
  <c r="AS583" i="1"/>
  <c r="AK159" i="1"/>
  <c r="AS159" i="1"/>
  <c r="AS130" i="1"/>
  <c r="AK130" i="1"/>
  <c r="AK154" i="1"/>
  <c r="AS154" i="1"/>
  <c r="AS283" i="1"/>
  <c r="AK283" i="1"/>
  <c r="AK117" i="1"/>
  <c r="AS117" i="1"/>
  <c r="AS201" i="1"/>
  <c r="AK201" i="1"/>
  <c r="AS229" i="1"/>
  <c r="AK229" i="1"/>
  <c r="AM294" i="1"/>
  <c r="AN294" i="1" s="1"/>
  <c r="AY326" i="1"/>
  <c r="AB326" i="1"/>
  <c r="AS206" i="1"/>
  <c r="AK206" i="1"/>
  <c r="AS219" i="1"/>
  <c r="AK219" i="1"/>
  <c r="AY392" i="1"/>
  <c r="AB392" i="1"/>
  <c r="AS265" i="1"/>
  <c r="AK265" i="1"/>
  <c r="AS332" i="1"/>
  <c r="AK332" i="1"/>
  <c r="AK379" i="1"/>
  <c r="AS379" i="1"/>
  <c r="AS360" i="1"/>
  <c r="AK360" i="1"/>
  <c r="AS377" i="1"/>
  <c r="AK377" i="1"/>
  <c r="AS447" i="1"/>
  <c r="AK447" i="1"/>
  <c r="AS540" i="1"/>
  <c r="AK540" i="1"/>
  <c r="AS451" i="1"/>
  <c r="AK451" i="1"/>
  <c r="AS456" i="1"/>
  <c r="AK456" i="1"/>
  <c r="AS480" i="1"/>
  <c r="AK480" i="1"/>
  <c r="AK207" i="1"/>
  <c r="AS207" i="1"/>
  <c r="AS376" i="1"/>
  <c r="AK376" i="1"/>
  <c r="AS413" i="1"/>
  <c r="AK413" i="1"/>
  <c r="AS369" i="1"/>
  <c r="AK369" i="1"/>
  <c r="AS490" i="1"/>
  <c r="AK490" i="1"/>
  <c r="AS443" i="1"/>
  <c r="AK443" i="1"/>
  <c r="AS453" i="1"/>
  <c r="AK453" i="1"/>
  <c r="AS510" i="1"/>
  <c r="AK510" i="1"/>
  <c r="AM578" i="1"/>
  <c r="AN578" i="1" s="1"/>
  <c r="AS244" i="1"/>
  <c r="AK244" i="1"/>
  <c r="AM279" i="1"/>
  <c r="AN279" i="1" s="1"/>
  <c r="AS405" i="1"/>
  <c r="AK405" i="1"/>
  <c r="AS211" i="1"/>
  <c r="AK211" i="1"/>
  <c r="AN263" i="1"/>
  <c r="AM263" i="1"/>
  <c r="AK197" i="1"/>
  <c r="AS197" i="1"/>
  <c r="AS367" i="1"/>
  <c r="AK367" i="1"/>
  <c r="AK462" i="1"/>
  <c r="AS462" i="1"/>
  <c r="AS449" i="1"/>
  <c r="AK449" i="1"/>
  <c r="AS468" i="1"/>
  <c r="AK468" i="1"/>
  <c r="AS605" i="1"/>
  <c r="AK605" i="1"/>
  <c r="AY186" i="1"/>
  <c r="AB186" i="1"/>
  <c r="AM298" i="1"/>
  <c r="AN298" i="1" s="1"/>
  <c r="AY318" i="1"/>
  <c r="AB318" i="1"/>
  <c r="AY290" i="1"/>
  <c r="AB290" i="1"/>
  <c r="AS230" i="1"/>
  <c r="AK230" i="1"/>
  <c r="AS307" i="1"/>
  <c r="AK307" i="1"/>
  <c r="AS431" i="1"/>
  <c r="AK431" i="1"/>
  <c r="AS599" i="1"/>
  <c r="AK599" i="1"/>
  <c r="AS151" i="1"/>
  <c r="AK151" i="1"/>
  <c r="AS251" i="1"/>
  <c r="AK251" i="1"/>
  <c r="AS225" i="1"/>
  <c r="AK225" i="1"/>
  <c r="AS386" i="1"/>
  <c r="AK386" i="1"/>
  <c r="AK554" i="1"/>
  <c r="AS554" i="1"/>
  <c r="AS147" i="1"/>
  <c r="AK147" i="1"/>
  <c r="AK425" i="1"/>
  <c r="AS425" i="1"/>
  <c r="AS561" i="1"/>
  <c r="AK561" i="1"/>
  <c r="AK313" i="1"/>
  <c r="AS313" i="1"/>
  <c r="AS452" i="1"/>
  <c r="AK452" i="1"/>
  <c r="AK450" i="1"/>
  <c r="AS450" i="1"/>
  <c r="AS482" i="1"/>
  <c r="AK482" i="1"/>
  <c r="AS569" i="1"/>
  <c r="AK569" i="1"/>
  <c r="AS609" i="1"/>
  <c r="AK609" i="1"/>
  <c r="AK338" i="1"/>
  <c r="AS338" i="1"/>
  <c r="AK516" i="1"/>
  <c r="AS516" i="1"/>
  <c r="AS142" i="1"/>
  <c r="AK142" i="1"/>
  <c r="AM224" i="1"/>
  <c r="AN224" i="1" s="1"/>
  <c r="AK284" i="1"/>
  <c r="AS284" i="1"/>
  <c r="AK257" i="1"/>
  <c r="AS257" i="1"/>
  <c r="AS383" i="1"/>
  <c r="AK383" i="1"/>
  <c r="AS591" i="1"/>
  <c r="AK591" i="1"/>
  <c r="AS514" i="1"/>
  <c r="AK514" i="1"/>
  <c r="AS506" i="1"/>
  <c r="AK506" i="1"/>
  <c r="AS589" i="1"/>
  <c r="AK589" i="1"/>
  <c r="AS361" i="1"/>
  <c r="AK361" i="1"/>
  <c r="AM306" i="1"/>
  <c r="AN306" i="1" s="1"/>
  <c r="AS167" i="1"/>
  <c r="AK167" i="1"/>
  <c r="AS414" i="1"/>
  <c r="AK414" i="1"/>
  <c r="AK359" i="1"/>
  <c r="AS359" i="1"/>
  <c r="AM503" i="1"/>
  <c r="AN503" i="1" s="1"/>
  <c r="AS473" i="1"/>
  <c r="AK473" i="1"/>
  <c r="AK217" i="1"/>
  <c r="AS217" i="1"/>
  <c r="AS174" i="1"/>
  <c r="AK174" i="1"/>
  <c r="AS291" i="1"/>
  <c r="AK291" i="1"/>
  <c r="AK358" i="1"/>
  <c r="AS358" i="1"/>
  <c r="AS487" i="1"/>
  <c r="AK487" i="1"/>
  <c r="AS190" i="1"/>
  <c r="AK190" i="1"/>
  <c r="AS292" i="1"/>
  <c r="AK292" i="1"/>
  <c r="AK371" i="1"/>
  <c r="AS371" i="1"/>
  <c r="AS459" i="1"/>
  <c r="AK459" i="1"/>
  <c r="AS478" i="1"/>
  <c r="AK478" i="1"/>
  <c r="AS172" i="1"/>
  <c r="AK172" i="1"/>
  <c r="AK157" i="1"/>
  <c r="AS157" i="1"/>
  <c r="AK195" i="1"/>
  <c r="AS195" i="1"/>
  <c r="AS408" i="1"/>
  <c r="AK408" i="1"/>
  <c r="AK289" i="1"/>
  <c r="AS289" i="1"/>
  <c r="AS508" i="1"/>
  <c r="AK508" i="1"/>
  <c r="AK293" i="1"/>
  <c r="AS293" i="1"/>
  <c r="AK491" i="1"/>
  <c r="AS491" i="1"/>
  <c r="AS500" i="1"/>
  <c r="AK500" i="1"/>
  <c r="AS129" i="1"/>
  <c r="AK129" i="1"/>
  <c r="AK123" i="1"/>
  <c r="AS123" i="1"/>
  <c r="AS331" i="1"/>
  <c r="AK331" i="1"/>
  <c r="AS493" i="1"/>
  <c r="AK493" i="1"/>
  <c r="AS582" i="1"/>
  <c r="AK582" i="1"/>
  <c r="AS275" i="1"/>
  <c r="AK275" i="1"/>
  <c r="AN186" i="1"/>
  <c r="AM186" i="1"/>
  <c r="AK276" i="1"/>
  <c r="AS276" i="1"/>
  <c r="AK161" i="1"/>
  <c r="AS161" i="1"/>
  <c r="AS203" i="1"/>
  <c r="AK203" i="1"/>
  <c r="AK285" i="1"/>
  <c r="AS285" i="1"/>
  <c r="AS488" i="1"/>
  <c r="AK488" i="1"/>
  <c r="AG109" i="1"/>
  <c r="AK269" i="1"/>
  <c r="AS269" i="1"/>
  <c r="AS498" i="1"/>
  <c r="AK498" i="1"/>
  <c r="AK274" i="1"/>
  <c r="AS274" i="1"/>
  <c r="AS363" i="1"/>
  <c r="AK363" i="1"/>
  <c r="AS538" i="1"/>
  <c r="AK538" i="1"/>
  <c r="AS228" i="1"/>
  <c r="AK228" i="1"/>
  <c r="AS378" i="1"/>
  <c r="AK378" i="1"/>
  <c r="AS132" i="1"/>
  <c r="AK132" i="1"/>
  <c r="AS216" i="1"/>
  <c r="AK216" i="1"/>
  <c r="AY173" i="1"/>
  <c r="AB173" i="1"/>
  <c r="AS259" i="1"/>
  <c r="AK259" i="1"/>
  <c r="AK155" i="1"/>
  <c r="AS155" i="1"/>
  <c r="AS227" i="1"/>
  <c r="AK227" i="1"/>
  <c r="AN322" i="1"/>
  <c r="AM322" i="1"/>
  <c r="AT115" i="1"/>
  <c r="AF115" i="1" s="1"/>
  <c r="AG115" i="1" s="1"/>
  <c r="V115" i="1"/>
  <c r="Y115" i="1"/>
  <c r="AK156" i="1"/>
  <c r="AS156" i="1"/>
  <c r="AS248" i="1"/>
  <c r="AK248" i="1"/>
  <c r="AK166" i="1"/>
  <c r="AS166" i="1"/>
  <c r="AS312" i="1"/>
  <c r="AK312" i="1"/>
  <c r="AS286" i="1"/>
  <c r="AK286" i="1"/>
  <c r="AS295" i="1"/>
  <c r="AK295" i="1"/>
  <c r="AS368" i="1"/>
  <c r="AK368" i="1"/>
  <c r="AS373" i="1"/>
  <c r="AK373" i="1"/>
  <c r="AS420" i="1"/>
  <c r="AK420" i="1"/>
  <c r="AS410" i="1"/>
  <c r="AK410" i="1"/>
  <c r="AN543" i="1"/>
  <c r="AM543" i="1"/>
  <c r="AS530" i="1"/>
  <c r="AK530" i="1"/>
  <c r="AS527" i="1"/>
  <c r="AK527" i="1"/>
  <c r="AS564" i="1"/>
  <c r="AK564" i="1"/>
  <c r="AS559" i="1"/>
  <c r="AK559" i="1"/>
  <c r="AS586" i="1"/>
  <c r="AK586" i="1"/>
  <c r="AS558" i="1"/>
  <c r="AK558" i="1"/>
  <c r="AS584" i="1"/>
  <c r="AK584" i="1"/>
  <c r="AK162" i="1"/>
  <c r="AS162" i="1"/>
  <c r="AS402" i="1"/>
  <c r="AK402" i="1"/>
  <c r="AS319" i="1"/>
  <c r="AK319" i="1"/>
  <c r="AS400" i="1"/>
  <c r="AK400" i="1"/>
  <c r="AS344" i="1"/>
  <c r="AK344" i="1"/>
  <c r="AM464" i="1"/>
  <c r="AN464" i="1" s="1"/>
  <c r="AS407" i="1"/>
  <c r="AK407" i="1"/>
  <c r="AS515" i="1"/>
  <c r="AK515" i="1"/>
  <c r="AM533" i="1"/>
  <c r="AN533" i="1" s="1"/>
  <c r="AS563" i="1"/>
  <c r="AK563" i="1"/>
  <c r="AS137" i="1"/>
  <c r="AK137" i="1"/>
  <c r="AS146" i="1"/>
  <c r="AK146" i="1"/>
  <c r="AS180" i="1"/>
  <c r="AK180" i="1"/>
  <c r="AB333" i="1"/>
  <c r="AY333" i="1"/>
  <c r="AS189" i="1"/>
  <c r="AK189" i="1"/>
  <c r="AS394" i="1"/>
  <c r="AK394" i="1"/>
  <c r="AK339" i="1"/>
  <c r="AS339" i="1"/>
  <c r="AS366" i="1"/>
  <c r="AK366" i="1"/>
  <c r="AS439" i="1"/>
  <c r="AK439" i="1"/>
  <c r="AS497" i="1"/>
  <c r="AK497" i="1"/>
  <c r="AS568" i="1"/>
  <c r="AK568" i="1"/>
  <c r="AS556" i="1"/>
  <c r="AK556" i="1"/>
  <c r="AS593" i="1"/>
  <c r="AK593" i="1"/>
  <c r="AS133" i="1"/>
  <c r="AK133" i="1"/>
  <c r="AM169" i="1"/>
  <c r="AN169" i="1" s="1"/>
  <c r="AK252" i="1"/>
  <c r="AS252" i="1"/>
  <c r="AS171" i="1"/>
  <c r="AK171" i="1"/>
  <c r="AK126" i="1"/>
  <c r="AS126" i="1"/>
  <c r="AK268" i="1"/>
  <c r="AS268" i="1"/>
  <c r="AK110" i="1"/>
  <c r="AS110" i="1"/>
  <c r="AT124" i="1"/>
  <c r="AF124" i="1" s="1"/>
  <c r="AG124" i="1" s="1"/>
  <c r="V124" i="1"/>
  <c r="Y124" i="1"/>
  <c r="AS226" i="1"/>
  <c r="AK226" i="1"/>
  <c r="AY294" i="1"/>
  <c r="AB294" i="1"/>
  <c r="AS432" i="1"/>
  <c r="AK432" i="1"/>
  <c r="AS282" i="1"/>
  <c r="AK282" i="1"/>
  <c r="AK416" i="1"/>
  <c r="AS416" i="1"/>
  <c r="AS254" i="1"/>
  <c r="AK254" i="1"/>
  <c r="AS327" i="1"/>
  <c r="AK327" i="1"/>
  <c r="AS343" i="1"/>
  <c r="AK343" i="1"/>
  <c r="AS352" i="1"/>
  <c r="AK352" i="1"/>
  <c r="AS419" i="1"/>
  <c r="AK419" i="1"/>
  <c r="AS505" i="1"/>
  <c r="AK505" i="1"/>
  <c r="AS485" i="1"/>
  <c r="AK485" i="1"/>
  <c r="AS526" i="1"/>
  <c r="AK526" i="1"/>
  <c r="AS522" i="1"/>
  <c r="AK522" i="1"/>
  <c r="AK545" i="1"/>
  <c r="AS545" i="1"/>
  <c r="AS587" i="1"/>
  <c r="AK587" i="1"/>
  <c r="AS590" i="1"/>
  <c r="AK590" i="1"/>
  <c r="AK262" i="1"/>
  <c r="AS262" i="1"/>
  <c r="AK305" i="1"/>
  <c r="AS305" i="1"/>
  <c r="AS364" i="1"/>
  <c r="AK364" i="1"/>
  <c r="AS385" i="1"/>
  <c r="AK385" i="1"/>
  <c r="AS430" i="1"/>
  <c r="AK430" i="1"/>
  <c r="AK471" i="1"/>
  <c r="AS471" i="1"/>
  <c r="AK467" i="1"/>
  <c r="AS467" i="1"/>
  <c r="AS566" i="1"/>
  <c r="AK566" i="1"/>
  <c r="AB578" i="1"/>
  <c r="AY578" i="1"/>
  <c r="AS604" i="1"/>
  <c r="AK604" i="1"/>
  <c r="AS232" i="1"/>
  <c r="AK232" i="1"/>
  <c r="AK152" i="1"/>
  <c r="AS152" i="1"/>
  <c r="AS139" i="1"/>
  <c r="AK139" i="1"/>
  <c r="AB279" i="1"/>
  <c r="AY279" i="1"/>
  <c r="AK426" i="1"/>
  <c r="AS426" i="1"/>
  <c r="AK121" i="1"/>
  <c r="AS121" i="1"/>
  <c r="AS213" i="1"/>
  <c r="AK213" i="1"/>
  <c r="AS247" i="1"/>
  <c r="AK247" i="1"/>
  <c r="AS255" i="1"/>
  <c r="AK255" i="1"/>
  <c r="AB263" i="1"/>
  <c r="AY263" i="1"/>
  <c r="AS183" i="1"/>
  <c r="AK183" i="1"/>
  <c r="AK273" i="1"/>
  <c r="AS273" i="1"/>
  <c r="AK415" i="1"/>
  <c r="AS415" i="1"/>
  <c r="AS444" i="1"/>
  <c r="AK444" i="1"/>
  <c r="AS445" i="1"/>
  <c r="AK445" i="1"/>
  <c r="AS525" i="1"/>
  <c r="AK525" i="1"/>
  <c r="AS562" i="1"/>
  <c r="AK562" i="1"/>
  <c r="AK576" i="1"/>
  <c r="AS576" i="1"/>
  <c r="AS337" i="1"/>
  <c r="AK337" i="1"/>
  <c r="AT111" i="1"/>
  <c r="AF111" i="1" s="1"/>
  <c r="AG111" i="1" s="1"/>
  <c r="V111" i="1"/>
  <c r="Y111" i="1"/>
  <c r="AK127" i="1"/>
  <c r="AS127" i="1"/>
  <c r="AK256" i="1"/>
  <c r="AS256" i="1"/>
  <c r="AY237" i="1"/>
  <c r="AB237" i="1"/>
  <c r="AY298" i="1"/>
  <c r="AB298" i="1"/>
  <c r="AK119" i="1"/>
  <c r="AS119" i="1"/>
  <c r="AS349" i="1"/>
  <c r="AK349" i="1"/>
  <c r="AS234" i="1"/>
  <c r="AK234" i="1"/>
  <c r="AN330" i="1"/>
  <c r="AM330" i="1"/>
  <c r="AK193" i="1"/>
  <c r="AS193" i="1"/>
  <c r="AK325" i="1"/>
  <c r="AS325" i="1"/>
  <c r="AS365" i="1"/>
  <c r="AK365" i="1"/>
  <c r="AM572" i="1"/>
  <c r="AN572" i="1" s="1"/>
  <c r="AS128" i="1"/>
  <c r="AK128" i="1"/>
  <c r="AS141" i="1"/>
  <c r="AK141" i="1"/>
  <c r="AS267" i="1"/>
  <c r="AK267" i="1"/>
  <c r="AS191" i="1"/>
  <c r="AK191" i="1"/>
  <c r="AS187" i="1"/>
  <c r="AK187" i="1"/>
  <c r="AS382" i="1"/>
  <c r="AK382" i="1"/>
  <c r="AK499" i="1"/>
  <c r="AS499" i="1"/>
  <c r="AK534" i="1"/>
  <c r="AS534" i="1"/>
  <c r="AK541" i="1"/>
  <c r="AS541" i="1"/>
  <c r="AK597" i="1"/>
  <c r="AS597" i="1"/>
  <c r="AS148" i="1"/>
  <c r="AK148" i="1"/>
  <c r="AS370" i="1"/>
  <c r="AK370" i="1"/>
  <c r="AS160" i="1"/>
  <c r="AK160" i="1"/>
  <c r="AK297" i="1"/>
  <c r="AS297" i="1"/>
  <c r="AS406" i="1"/>
  <c r="AK406" i="1"/>
  <c r="AS608" i="1"/>
  <c r="AK608" i="1"/>
  <c r="AS607" i="1"/>
  <c r="AK607" i="1"/>
  <c r="AK163" i="1"/>
  <c r="AS163" i="1"/>
  <c r="AS150" i="1"/>
  <c r="AK150" i="1"/>
  <c r="AS341" i="1"/>
  <c r="AK341" i="1"/>
  <c r="AK458" i="1"/>
  <c r="AS458" i="1"/>
  <c r="AS560" i="1"/>
  <c r="AK560" i="1"/>
  <c r="AY224" i="1"/>
  <c r="AB224" i="1"/>
  <c r="AS185" i="1"/>
  <c r="AK185" i="1"/>
  <c r="AS220" i="1"/>
  <c r="AK220" i="1"/>
  <c r="AK317" i="1"/>
  <c r="AS317" i="1"/>
  <c r="AS288" i="1"/>
  <c r="AK288" i="1"/>
  <c r="AS529" i="1"/>
  <c r="AK529" i="1"/>
  <c r="AS549" i="1"/>
  <c r="AK549" i="1"/>
  <c r="AS588" i="1"/>
  <c r="AK588" i="1"/>
  <c r="AS603" i="1"/>
  <c r="AK603" i="1"/>
  <c r="AK542" i="1"/>
  <c r="AS542" i="1"/>
  <c r="AK158" i="1"/>
  <c r="AS158" i="1"/>
  <c r="AS168" i="1"/>
  <c r="AK168" i="1"/>
  <c r="AK125" i="1"/>
  <c r="AS125" i="1"/>
  <c r="AY302" i="1"/>
  <c r="AB302" i="1"/>
  <c r="AS204" i="1"/>
  <c r="AK204" i="1"/>
  <c r="AS411" i="1"/>
  <c r="AK411" i="1"/>
  <c r="AS436" i="1"/>
  <c r="AK436" i="1"/>
  <c r="AS531" i="1"/>
  <c r="AK531" i="1"/>
  <c r="AS536" i="1"/>
  <c r="AK536" i="1"/>
  <c r="AS320" i="1"/>
  <c r="AK320" i="1"/>
  <c r="AS391" i="1"/>
  <c r="AK391" i="1"/>
  <c r="AB547" i="1"/>
  <c r="AY547" i="1"/>
  <c r="AN179" i="1"/>
  <c r="AM179" i="1"/>
  <c r="AS243" i="1"/>
  <c r="AK243" i="1"/>
  <c r="AS356" i="1"/>
  <c r="AK356" i="1"/>
  <c r="AS435" i="1"/>
  <c r="AK435" i="1"/>
  <c r="AS240" i="1"/>
  <c r="AK240" i="1"/>
  <c r="AK272" i="1"/>
  <c r="AS272" i="1"/>
  <c r="AS300" i="1"/>
  <c r="AK300" i="1"/>
  <c r="AS345" i="1"/>
  <c r="AK345" i="1"/>
  <c r="AS428" i="1"/>
  <c r="AK428" i="1"/>
  <c r="AS496" i="1"/>
  <c r="AK496" i="1"/>
  <c r="AS486" i="1"/>
  <c r="AK486" i="1"/>
  <c r="AS581" i="1"/>
  <c r="AK581" i="1"/>
  <c r="AK200" i="1"/>
  <c r="AS200" i="1"/>
  <c r="AK321" i="1"/>
  <c r="AS321" i="1"/>
  <c r="AM550" i="1"/>
  <c r="AN550" i="1"/>
  <c r="AS164" i="1"/>
  <c r="AK164" i="1"/>
  <c r="AY310" i="1"/>
  <c r="AB310" i="1"/>
  <c r="AS209" i="1"/>
  <c r="AK209" i="1"/>
  <c r="AK309" i="1"/>
  <c r="AS309" i="1"/>
  <c r="AK175" i="1"/>
  <c r="AS175" i="1"/>
  <c r="AS308" i="1"/>
  <c r="AK308" i="1"/>
  <c r="AS465" i="1"/>
  <c r="AK465" i="1"/>
  <c r="AK532" i="1"/>
  <c r="AS532" i="1"/>
  <c r="AS518" i="1"/>
  <c r="AK518" i="1"/>
  <c r="AS362" i="1"/>
  <c r="AK362" i="1"/>
  <c r="AS390" i="1"/>
  <c r="AK390" i="1"/>
  <c r="AN170" i="1"/>
  <c r="AM170" i="1"/>
  <c r="AK165" i="1"/>
  <c r="AS165" i="1"/>
  <c r="AS202" i="1"/>
  <c r="AK202" i="1"/>
  <c r="AY322" i="1"/>
  <c r="AB322" i="1"/>
  <c r="AT122" i="1"/>
  <c r="AF122" i="1" s="1"/>
  <c r="AG122" i="1" s="1"/>
  <c r="V122" i="1"/>
  <c r="Y122" i="1"/>
  <c r="AS231" i="1"/>
  <c r="AK231" i="1"/>
  <c r="AS245" i="1"/>
  <c r="AK245" i="1"/>
  <c r="AN302" i="1"/>
  <c r="AM302" i="1"/>
  <c r="AK258" i="1"/>
  <c r="AS258" i="1"/>
  <c r="AS264" i="1"/>
  <c r="AK264" i="1"/>
  <c r="AK198" i="1"/>
  <c r="AS198" i="1"/>
  <c r="AS384" i="1"/>
  <c r="AK384" i="1"/>
  <c r="AS296" i="1"/>
  <c r="AK296" i="1"/>
  <c r="AS342" i="1"/>
  <c r="AK342" i="1"/>
  <c r="AS401" i="1"/>
  <c r="AK401" i="1"/>
  <c r="AS340" i="1"/>
  <c r="AK340" i="1"/>
  <c r="AS418" i="1"/>
  <c r="AK418" i="1"/>
  <c r="AS437" i="1"/>
  <c r="AK437" i="1"/>
  <c r="AY543" i="1"/>
  <c r="AB543" i="1"/>
  <c r="AS489" i="1"/>
  <c r="AK489" i="1"/>
  <c r="AS580" i="1"/>
  <c r="AK580" i="1"/>
  <c r="AK196" i="1"/>
  <c r="AS196" i="1"/>
  <c r="AS270" i="1"/>
  <c r="AK270" i="1"/>
  <c r="AS303" i="1"/>
  <c r="AK303" i="1"/>
  <c r="AK387" i="1"/>
  <c r="AS387" i="1"/>
  <c r="AY464" i="1"/>
  <c r="AB464" i="1"/>
  <c r="AS374" i="1"/>
  <c r="AK374" i="1"/>
  <c r="AS422" i="1"/>
  <c r="AK422" i="1"/>
  <c r="AK461" i="1"/>
  <c r="AS461" i="1"/>
  <c r="AS544" i="1"/>
  <c r="AK544" i="1"/>
  <c r="AK475" i="1"/>
  <c r="AS475" i="1"/>
  <c r="AM547" i="1"/>
  <c r="AN547" i="1" s="1"/>
  <c r="AK555" i="1"/>
  <c r="AS555" i="1"/>
  <c r="AS144" i="1"/>
  <c r="AK144" i="1"/>
  <c r="AY277" i="1"/>
  <c r="AB277" i="1"/>
  <c r="AK114" i="1"/>
  <c r="AS114" i="1"/>
  <c r="AS336" i="1"/>
  <c r="AK336" i="1"/>
  <c r="AS441" i="1"/>
  <c r="AK441" i="1"/>
  <c r="AS528" i="1"/>
  <c r="AK528" i="1"/>
  <c r="AS477" i="1"/>
  <c r="AK477" i="1"/>
  <c r="AY169" i="1"/>
  <c r="AB169" i="1"/>
  <c r="AS138" i="1"/>
  <c r="AK138" i="1"/>
  <c r="AS131" i="1"/>
  <c r="AK131" i="1"/>
  <c r="AM507" i="1"/>
  <c r="AN507" i="1" s="1"/>
  <c r="AK118" i="1"/>
  <c r="AS118" i="1"/>
  <c r="AN188" i="1"/>
  <c r="AM188" i="1"/>
  <c r="AS238" i="1"/>
  <c r="AK238" i="1"/>
  <c r="AK260" i="1"/>
  <c r="AS260" i="1"/>
  <c r="AK199" i="1"/>
  <c r="AS199" i="1"/>
  <c r="AK278" i="1"/>
  <c r="AS278" i="1"/>
  <c r="AS316" i="1"/>
  <c r="AK316" i="1"/>
  <c r="AS287" i="1"/>
  <c r="AK287" i="1"/>
  <c r="AS315" i="1"/>
  <c r="AK315" i="1"/>
  <c r="AS388" i="1"/>
  <c r="AK388" i="1"/>
  <c r="AS393" i="1"/>
  <c r="AK393" i="1"/>
  <c r="AS469" i="1"/>
  <c r="AK469" i="1"/>
  <c r="AK466" i="1"/>
  <c r="AS466" i="1"/>
  <c r="AS472" i="1"/>
  <c r="AK472" i="1"/>
  <c r="AS521" i="1"/>
  <c r="AK521" i="1"/>
  <c r="AS537" i="1"/>
  <c r="AK537" i="1"/>
  <c r="AS539" i="1"/>
  <c r="AK539" i="1"/>
  <c r="AS535" i="1"/>
  <c r="AK535" i="1"/>
  <c r="AK551" i="1"/>
  <c r="AS551" i="1"/>
  <c r="AS579" i="1"/>
  <c r="AK579" i="1"/>
  <c r="AK606" i="1"/>
  <c r="AS606" i="1"/>
  <c r="AS214" i="1"/>
  <c r="AK214" i="1"/>
  <c r="AK266" i="1"/>
  <c r="AS266" i="1"/>
  <c r="AS304" i="1"/>
  <c r="AK304" i="1"/>
  <c r="AS347" i="1"/>
  <c r="AK347" i="1"/>
  <c r="AS346" i="1"/>
  <c r="AK346" i="1"/>
  <c r="AS474" i="1"/>
  <c r="AK474" i="1"/>
  <c r="AS481" i="1"/>
  <c r="AK481" i="1"/>
  <c r="AY550" i="1"/>
  <c r="AB550" i="1"/>
  <c r="AS592" i="1"/>
  <c r="AK592" i="1"/>
  <c r="AS600" i="1"/>
  <c r="AK600" i="1"/>
  <c r="AS136" i="1"/>
  <c r="AK136" i="1"/>
  <c r="AS134" i="1"/>
  <c r="AK134" i="1"/>
  <c r="AS357" i="1"/>
  <c r="AK357" i="1"/>
  <c r="AK113" i="1"/>
  <c r="AS113" i="1"/>
  <c r="AN310" i="1"/>
  <c r="AM310" i="1"/>
  <c r="AS181" i="1"/>
  <c r="AK181" i="1"/>
  <c r="AM280" i="1"/>
  <c r="AN280" i="1" s="1"/>
  <c r="AK233" i="1"/>
  <c r="AS233" i="1"/>
  <c r="AS176" i="1"/>
  <c r="AK176" i="1"/>
  <c r="AS324" i="1"/>
  <c r="AK324" i="1"/>
  <c r="AS380" i="1"/>
  <c r="AK380" i="1"/>
  <c r="AS417" i="1"/>
  <c r="AK417" i="1"/>
  <c r="AS423" i="1"/>
  <c r="AK423" i="1"/>
  <c r="AS479" i="1"/>
  <c r="AK479" i="1"/>
  <c r="AS557" i="1"/>
  <c r="AK557" i="1"/>
  <c r="AS492" i="1"/>
  <c r="AK492" i="1"/>
  <c r="AS523" i="1"/>
  <c r="AK523" i="1"/>
  <c r="AK598" i="1"/>
  <c r="AS598" i="1"/>
  <c r="AS178" i="1"/>
  <c r="AK178" i="1"/>
  <c r="AK120" i="1"/>
  <c r="AS120" i="1"/>
  <c r="AT182" i="1"/>
  <c r="AF182" i="1" s="1"/>
  <c r="AG182" i="1" s="1"/>
  <c r="Y182" i="1"/>
  <c r="V182" i="1"/>
  <c r="AS222" i="1"/>
  <c r="AK222" i="1"/>
  <c r="AS271" i="1"/>
  <c r="AK271" i="1"/>
  <c r="AN237" i="1"/>
  <c r="AM237" i="1"/>
  <c r="AN314" i="1"/>
  <c r="AM314" i="1"/>
  <c r="AK112" i="1"/>
  <c r="AS112" i="1"/>
  <c r="AS215" i="1"/>
  <c r="AK215" i="1"/>
  <c r="AY330" i="1"/>
  <c r="AB330" i="1"/>
  <c r="AK335" i="1"/>
  <c r="AS335" i="1"/>
  <c r="AS424" i="1"/>
  <c r="AK424" i="1"/>
  <c r="AS440" i="1"/>
  <c r="AK440" i="1"/>
  <c r="AK517" i="1"/>
  <c r="AS517" i="1"/>
  <c r="AY572" i="1"/>
  <c r="AB572" i="1"/>
  <c r="AS546" i="1"/>
  <c r="AK546" i="1"/>
  <c r="AS573" i="1"/>
  <c r="AK573" i="1"/>
  <c r="AK602" i="1"/>
  <c r="AS602" i="1"/>
  <c r="AK350" i="1"/>
  <c r="AS350" i="1"/>
  <c r="AS396" i="1"/>
  <c r="AK396" i="1"/>
  <c r="AK520" i="1"/>
  <c r="AS520" i="1"/>
  <c r="AK575" i="1"/>
  <c r="AS575" i="1"/>
  <c r="AS601" i="1"/>
  <c r="AK601" i="1"/>
  <c r="AS212" i="1"/>
  <c r="AK212" i="1"/>
  <c r="AS218" i="1"/>
  <c r="AK218" i="1"/>
  <c r="AK253" i="1"/>
  <c r="AS253" i="1"/>
  <c r="AS595" i="1"/>
  <c r="AK595" i="1"/>
  <c r="AS241" i="1"/>
  <c r="AK241" i="1"/>
  <c r="AS397" i="1"/>
  <c r="AK397" i="1"/>
  <c r="AS398" i="1"/>
  <c r="AK398" i="1"/>
  <c r="AS399" i="1"/>
  <c r="AK399" i="1"/>
  <c r="AS501" i="1"/>
  <c r="AK501" i="1"/>
  <c r="AK483" i="1"/>
  <c r="AS483" i="1"/>
  <c r="AS502" i="1"/>
  <c r="AK502" i="1"/>
  <c r="AS571" i="1"/>
  <c r="AK571" i="1"/>
  <c r="AS594" i="1"/>
  <c r="AK594" i="1"/>
  <c r="AS236" i="1"/>
  <c r="AK236" i="1"/>
  <c r="AS149" i="1"/>
  <c r="AK149" i="1"/>
  <c r="AS145" i="1"/>
  <c r="AK145" i="1"/>
  <c r="AS208" i="1"/>
  <c r="AK208" i="1"/>
  <c r="AK301" i="1"/>
  <c r="AS301" i="1"/>
  <c r="AK334" i="1"/>
  <c r="AS334" i="1"/>
  <c r="AK434" i="1"/>
  <c r="AS434" i="1"/>
  <c r="AS470" i="1"/>
  <c r="AK470" i="1"/>
  <c r="AY215" i="1" l="1"/>
  <c r="AB215" i="1"/>
  <c r="AN434" i="1"/>
  <c r="AM434" i="1"/>
  <c r="AY145" i="1"/>
  <c r="AB145" i="1"/>
  <c r="AM483" i="1"/>
  <c r="AN483" i="1" s="1"/>
  <c r="AY397" i="1"/>
  <c r="AB397" i="1"/>
  <c r="AY595" i="1"/>
  <c r="AB595" i="1"/>
  <c r="AY601" i="1"/>
  <c r="AB601" i="1"/>
  <c r="AB573" i="1"/>
  <c r="AY573" i="1"/>
  <c r="AY598" i="1"/>
  <c r="AB598" i="1"/>
  <c r="AM417" i="1"/>
  <c r="AN417" i="1"/>
  <c r="AY233" i="1"/>
  <c r="AB233" i="1"/>
  <c r="AN357" i="1"/>
  <c r="AM357" i="1"/>
  <c r="AN592" i="1"/>
  <c r="AM592" i="1"/>
  <c r="AM346" i="1"/>
  <c r="AN346" i="1" s="1"/>
  <c r="AM579" i="1"/>
  <c r="AN579" i="1" s="1"/>
  <c r="AN472" i="1"/>
  <c r="AM472" i="1"/>
  <c r="AM388" i="1"/>
  <c r="AN388" i="1" s="1"/>
  <c r="AY260" i="1"/>
  <c r="AB260" i="1"/>
  <c r="AN118" i="1"/>
  <c r="AM118" i="1"/>
  <c r="AN131" i="1"/>
  <c r="AM131" i="1"/>
  <c r="AN528" i="1"/>
  <c r="AM528" i="1"/>
  <c r="AN336" i="1"/>
  <c r="AM336" i="1"/>
  <c r="AY555" i="1"/>
  <c r="AB555" i="1"/>
  <c r="AY489" i="1"/>
  <c r="AB489" i="1"/>
  <c r="AY342" i="1"/>
  <c r="AB342" i="1"/>
  <c r="AN231" i="1"/>
  <c r="AM231" i="1"/>
  <c r="AN321" i="1"/>
  <c r="AM321" i="1"/>
  <c r="AY496" i="1"/>
  <c r="AB496" i="1"/>
  <c r="AM272" i="1"/>
  <c r="AN272" i="1" s="1"/>
  <c r="AY435" i="1"/>
  <c r="AB435" i="1"/>
  <c r="AB243" i="1"/>
  <c r="AY243" i="1"/>
  <c r="AM320" i="1"/>
  <c r="AN320" i="1" s="1"/>
  <c r="AM531" i="1"/>
  <c r="AN531" i="1"/>
  <c r="AN411" i="1"/>
  <c r="AM411" i="1"/>
  <c r="AN168" i="1"/>
  <c r="AM168" i="1"/>
  <c r="AN529" i="1"/>
  <c r="AM529" i="1"/>
  <c r="AN560" i="1"/>
  <c r="AM560" i="1"/>
  <c r="AY163" i="1"/>
  <c r="AB163" i="1"/>
  <c r="AN608" i="1"/>
  <c r="AM608" i="1"/>
  <c r="AM370" i="1"/>
  <c r="AN370" i="1"/>
  <c r="AY534" i="1"/>
  <c r="AB534" i="1"/>
  <c r="AM382" i="1"/>
  <c r="AN382" i="1" s="1"/>
  <c r="AN191" i="1"/>
  <c r="AM191" i="1"/>
  <c r="AN141" i="1"/>
  <c r="AM141" i="1"/>
  <c r="AN193" i="1"/>
  <c r="AM193" i="1"/>
  <c r="AY127" i="1"/>
  <c r="AB127" i="1"/>
  <c r="AK111" i="1"/>
  <c r="AS111" i="1"/>
  <c r="AN576" i="1"/>
  <c r="AM576" i="1"/>
  <c r="AY525" i="1"/>
  <c r="AB525" i="1"/>
  <c r="AY444" i="1"/>
  <c r="AB444" i="1"/>
  <c r="AM273" i="1"/>
  <c r="AN273" i="1"/>
  <c r="AY247" i="1"/>
  <c r="AB247" i="1"/>
  <c r="AN121" i="1"/>
  <c r="AM121" i="1"/>
  <c r="AM152" i="1"/>
  <c r="AN152" i="1"/>
  <c r="AY604" i="1"/>
  <c r="AB604" i="1"/>
  <c r="AY566" i="1"/>
  <c r="AB566" i="1"/>
  <c r="AN471" i="1"/>
  <c r="AM471" i="1"/>
  <c r="AN305" i="1"/>
  <c r="AM305" i="1"/>
  <c r="AY590" i="1"/>
  <c r="AB590" i="1"/>
  <c r="AM545" i="1"/>
  <c r="AN545" i="1" s="1"/>
  <c r="AY526" i="1"/>
  <c r="AB526" i="1"/>
  <c r="AB505" i="1"/>
  <c r="AY505" i="1"/>
  <c r="AB352" i="1"/>
  <c r="AY352" i="1"/>
  <c r="AB327" i="1"/>
  <c r="AY327" i="1"/>
  <c r="AM416" i="1"/>
  <c r="AN416" i="1" s="1"/>
  <c r="AB432" i="1"/>
  <c r="AY432" i="1"/>
  <c r="AY226" i="1"/>
  <c r="AB226" i="1"/>
  <c r="AY110" i="1"/>
  <c r="AB110" i="1"/>
  <c r="AB126" i="1"/>
  <c r="AY126" i="1"/>
  <c r="AY252" i="1"/>
  <c r="AB252" i="1"/>
  <c r="AY593" i="1"/>
  <c r="AB593" i="1"/>
  <c r="AY568" i="1"/>
  <c r="AB568" i="1"/>
  <c r="AY439" i="1"/>
  <c r="AB439" i="1"/>
  <c r="AN339" i="1"/>
  <c r="AM339" i="1"/>
  <c r="AY189" i="1"/>
  <c r="AB189" i="1"/>
  <c r="AY180" i="1"/>
  <c r="AB180" i="1"/>
  <c r="AY137" i="1"/>
  <c r="AB137" i="1"/>
  <c r="AN407" i="1"/>
  <c r="AM407" i="1"/>
  <c r="AY400" i="1"/>
  <c r="AB400" i="1"/>
  <c r="AY402" i="1"/>
  <c r="AB402" i="1"/>
  <c r="AY584" i="1"/>
  <c r="AB584" i="1"/>
  <c r="AB586" i="1"/>
  <c r="AY586" i="1"/>
  <c r="AY564" i="1"/>
  <c r="AB564" i="1"/>
  <c r="AB530" i="1"/>
  <c r="AY530" i="1"/>
  <c r="AM410" i="1"/>
  <c r="AN410" i="1" s="1"/>
  <c r="AN373" i="1"/>
  <c r="AM373" i="1"/>
  <c r="AM295" i="1"/>
  <c r="AN295" i="1" s="1"/>
  <c r="AM312" i="1"/>
  <c r="AN312" i="1" s="1"/>
  <c r="AN248" i="1"/>
  <c r="AM248" i="1"/>
  <c r="AB155" i="1"/>
  <c r="AY155" i="1"/>
  <c r="AN132" i="1"/>
  <c r="AM132" i="1"/>
  <c r="AM228" i="1"/>
  <c r="AN228" i="1" s="1"/>
  <c r="AM363" i="1"/>
  <c r="AN363" i="1" s="1"/>
  <c r="AM498" i="1"/>
  <c r="AN498" i="1"/>
  <c r="AF103" i="1"/>
  <c r="AY285" i="1"/>
  <c r="AB285" i="1"/>
  <c r="AY161" i="1"/>
  <c r="AB161" i="1"/>
  <c r="AB275" i="1"/>
  <c r="AY275" i="1"/>
  <c r="AY493" i="1"/>
  <c r="AB493" i="1"/>
  <c r="AM123" i="1"/>
  <c r="AN123" i="1"/>
  <c r="AY500" i="1"/>
  <c r="AB500" i="1"/>
  <c r="AM293" i="1"/>
  <c r="AN293" i="1" s="1"/>
  <c r="AN289" i="1"/>
  <c r="AM289" i="1"/>
  <c r="AN195" i="1"/>
  <c r="AM195" i="1"/>
  <c r="AY172" i="1"/>
  <c r="AB172" i="1"/>
  <c r="AY459" i="1"/>
  <c r="AB459" i="1"/>
  <c r="AY292" i="1"/>
  <c r="AB292" i="1"/>
  <c r="AY487" i="1"/>
  <c r="AB487" i="1"/>
  <c r="AB291" i="1"/>
  <c r="AY291" i="1"/>
  <c r="AN217" i="1"/>
  <c r="AM217" i="1"/>
  <c r="AM414" i="1"/>
  <c r="AN414" i="1" s="1"/>
  <c r="AY361" i="1"/>
  <c r="AB361" i="1"/>
  <c r="AY506" i="1"/>
  <c r="AB506" i="1"/>
  <c r="AY591" i="1"/>
  <c r="AB591" i="1"/>
  <c r="AM257" i="1"/>
  <c r="AN257" i="1"/>
  <c r="AY516" i="1"/>
  <c r="AB516" i="1"/>
  <c r="AM609" i="1"/>
  <c r="AN609" i="1"/>
  <c r="AM482" i="1"/>
  <c r="AN482" i="1"/>
  <c r="AN452" i="1"/>
  <c r="AM452" i="1"/>
  <c r="AN561" i="1"/>
  <c r="AM561" i="1"/>
  <c r="AN147" i="1"/>
  <c r="AM147" i="1"/>
  <c r="AM386" i="1"/>
  <c r="AN386" i="1"/>
  <c r="AN251" i="1"/>
  <c r="AM251" i="1"/>
  <c r="AN599" i="1"/>
  <c r="AM599" i="1"/>
  <c r="AN307" i="1"/>
  <c r="AM307" i="1"/>
  <c r="AB468" i="1"/>
  <c r="AY468" i="1"/>
  <c r="AM462" i="1"/>
  <c r="AN462" i="1" s="1"/>
  <c r="AN197" i="1"/>
  <c r="AM197" i="1"/>
  <c r="AM211" i="1"/>
  <c r="AN211" i="1" s="1"/>
  <c r="AY244" i="1"/>
  <c r="AB244" i="1"/>
  <c r="AM510" i="1"/>
  <c r="AN510" i="1" s="1"/>
  <c r="AM443" i="1"/>
  <c r="AN443" i="1" s="1"/>
  <c r="AN369" i="1"/>
  <c r="AM369" i="1"/>
  <c r="AN376" i="1"/>
  <c r="AM376" i="1"/>
  <c r="AN480" i="1"/>
  <c r="AM480" i="1"/>
  <c r="AM451" i="1"/>
  <c r="AN451" i="1" s="1"/>
  <c r="AN447" i="1"/>
  <c r="AM447" i="1"/>
  <c r="AN360" i="1"/>
  <c r="AM360" i="1"/>
  <c r="AM332" i="1"/>
  <c r="AN332" i="1"/>
  <c r="AM206" i="1"/>
  <c r="AN206" i="1"/>
  <c r="AY229" i="1"/>
  <c r="AB229" i="1"/>
  <c r="AN117" i="1"/>
  <c r="AM117" i="1"/>
  <c r="AM154" i="1"/>
  <c r="AN154" i="1" s="1"/>
  <c r="AN159" i="1"/>
  <c r="AM159" i="1"/>
  <c r="AB509" i="1"/>
  <c r="AY509" i="1"/>
  <c r="AY455" i="1"/>
  <c r="AB455" i="1"/>
  <c r="AY438" i="1"/>
  <c r="AB438" i="1"/>
  <c r="AB239" i="1"/>
  <c r="AY239" i="1"/>
  <c r="AY143" i="1"/>
  <c r="AB143" i="1"/>
  <c r="AY524" i="1"/>
  <c r="AB524" i="1"/>
  <c r="AN476" i="1"/>
  <c r="AM476" i="1"/>
  <c r="AY442" i="1"/>
  <c r="AB442" i="1"/>
  <c r="AM354" i="1"/>
  <c r="AN354" i="1" s="1"/>
  <c r="AN412" i="1"/>
  <c r="AM412" i="1"/>
  <c r="AM353" i="1"/>
  <c r="AN353" i="1" s="1"/>
  <c r="AM585" i="1"/>
  <c r="AN585" i="1" s="1"/>
  <c r="AN565" i="1"/>
  <c r="AM565" i="1"/>
  <c r="AM548" i="1"/>
  <c r="AN548" i="1" s="1"/>
  <c r="AN553" i="1"/>
  <c r="AM553" i="1"/>
  <c r="AY351" i="1"/>
  <c r="AB351" i="1"/>
  <c r="AN409" i="1"/>
  <c r="AM409" i="1"/>
  <c r="AN311" i="1"/>
  <c r="AM311" i="1"/>
  <c r="AN281" i="1"/>
  <c r="AM281" i="1"/>
  <c r="AY177" i="1"/>
  <c r="AB177" i="1"/>
  <c r="AN242" i="1"/>
  <c r="AM242" i="1"/>
  <c r="AY135" i="1"/>
  <c r="AB135" i="1"/>
  <c r="AY463" i="1"/>
  <c r="AB463" i="1"/>
  <c r="AY395" i="1"/>
  <c r="AB395" i="1"/>
  <c r="AM519" i="1"/>
  <c r="AN519" i="1" s="1"/>
  <c r="AN484" i="1"/>
  <c r="AM484" i="1"/>
  <c r="AM348" i="1"/>
  <c r="AN348" i="1" s="1"/>
  <c r="AY221" i="1"/>
  <c r="AB221" i="1"/>
  <c r="AY403" i="1"/>
  <c r="AB403" i="1"/>
  <c r="AM421" i="1"/>
  <c r="AN421" i="1" s="1"/>
  <c r="AM457" i="1"/>
  <c r="AN457" i="1" s="1"/>
  <c r="AY250" i="1"/>
  <c r="AB250" i="1"/>
  <c r="AB596" i="1"/>
  <c r="AY596" i="1"/>
  <c r="AB511" i="1"/>
  <c r="AY511" i="1"/>
  <c r="AY235" i="1"/>
  <c r="AB235" i="1"/>
  <c r="AY512" i="1"/>
  <c r="AB512" i="1"/>
  <c r="AY246" i="1"/>
  <c r="AB246" i="1"/>
  <c r="AN223" i="1"/>
  <c r="AM223" i="1"/>
  <c r="AN454" i="1"/>
  <c r="AM454" i="1"/>
  <c r="AM470" i="1"/>
  <c r="AN470" i="1" s="1"/>
  <c r="AY334" i="1"/>
  <c r="AB334" i="1"/>
  <c r="AM208" i="1"/>
  <c r="AN208" i="1" s="1"/>
  <c r="AN149" i="1"/>
  <c r="AM149" i="1"/>
  <c r="AN594" i="1"/>
  <c r="AM594" i="1"/>
  <c r="AM502" i="1"/>
  <c r="AN502" i="1"/>
  <c r="AM501" i="1"/>
  <c r="AN501" i="1" s="1"/>
  <c r="AM398" i="1"/>
  <c r="AN398" i="1" s="1"/>
  <c r="AN241" i="1"/>
  <c r="AM241" i="1"/>
  <c r="AY253" i="1"/>
  <c r="AB253" i="1"/>
  <c r="AM212" i="1"/>
  <c r="AN212" i="1" s="1"/>
  <c r="AY575" i="1"/>
  <c r="AB575" i="1"/>
  <c r="AM396" i="1"/>
  <c r="AN396" i="1" s="1"/>
  <c r="AY602" i="1"/>
  <c r="AB602" i="1"/>
  <c r="AN546" i="1"/>
  <c r="AM546" i="1"/>
  <c r="AY517" i="1"/>
  <c r="AB517" i="1"/>
  <c r="AN424" i="1"/>
  <c r="AM424" i="1"/>
  <c r="AY112" i="1"/>
  <c r="AB112" i="1"/>
  <c r="AM271" i="1"/>
  <c r="AN271" i="1" s="1"/>
  <c r="AM120" i="1"/>
  <c r="AN120" i="1" s="1"/>
  <c r="AM598" i="1"/>
  <c r="AN598" i="1" s="1"/>
  <c r="AY492" i="1"/>
  <c r="AB492" i="1"/>
  <c r="AY479" i="1"/>
  <c r="AB479" i="1"/>
  <c r="AY417" i="1"/>
  <c r="AB417" i="1"/>
  <c r="AY324" i="1"/>
  <c r="AB324" i="1"/>
  <c r="AN233" i="1"/>
  <c r="AM233" i="1"/>
  <c r="AM181" i="1"/>
  <c r="AN181" i="1" s="1"/>
  <c r="AB357" i="1"/>
  <c r="AY357" i="1"/>
  <c r="AY136" i="1"/>
  <c r="AB136" i="1"/>
  <c r="AY592" i="1"/>
  <c r="AB592" i="1"/>
  <c r="AY481" i="1"/>
  <c r="AB481" i="1"/>
  <c r="AY346" i="1"/>
  <c r="AB346" i="1"/>
  <c r="AY304" i="1"/>
  <c r="AB304" i="1"/>
  <c r="AY214" i="1"/>
  <c r="AB214" i="1"/>
  <c r="AY579" i="1"/>
  <c r="AB579" i="1"/>
  <c r="AB535" i="1"/>
  <c r="AY535" i="1"/>
  <c r="AY537" i="1"/>
  <c r="AB537" i="1"/>
  <c r="AY472" i="1"/>
  <c r="AB472" i="1"/>
  <c r="AY469" i="1"/>
  <c r="AB469" i="1"/>
  <c r="AY388" i="1"/>
  <c r="AB388" i="1"/>
  <c r="AB287" i="1"/>
  <c r="AY287" i="1"/>
  <c r="AN278" i="1"/>
  <c r="AM278" i="1"/>
  <c r="AN260" i="1"/>
  <c r="AM260" i="1"/>
  <c r="AY131" i="1"/>
  <c r="AB131" i="1"/>
  <c r="AY528" i="1"/>
  <c r="AB528" i="1"/>
  <c r="AY336" i="1"/>
  <c r="AB336" i="1"/>
  <c r="AN555" i="1"/>
  <c r="AM555" i="1"/>
  <c r="AY475" i="1"/>
  <c r="AB475" i="1"/>
  <c r="AY461" i="1"/>
  <c r="AB461" i="1"/>
  <c r="AM374" i="1"/>
  <c r="AN374" i="1"/>
  <c r="AY387" i="1"/>
  <c r="AB387" i="1"/>
  <c r="AN270" i="1"/>
  <c r="AM270" i="1"/>
  <c r="AM580" i="1"/>
  <c r="AN580" i="1" s="1"/>
  <c r="AN418" i="1"/>
  <c r="AM418" i="1"/>
  <c r="AN401" i="1"/>
  <c r="AM401" i="1"/>
  <c r="AM296" i="1"/>
  <c r="AN296" i="1" s="1"/>
  <c r="AY198" i="1"/>
  <c r="AB198" i="1"/>
  <c r="AB258" i="1"/>
  <c r="AY258" i="1"/>
  <c r="AY231" i="1"/>
  <c r="AB231" i="1"/>
  <c r="AY165" i="1"/>
  <c r="AB165" i="1"/>
  <c r="AY362" i="1"/>
  <c r="AB362" i="1"/>
  <c r="AN532" i="1"/>
  <c r="AM532" i="1"/>
  <c r="AY308" i="1"/>
  <c r="AB308" i="1"/>
  <c r="AM309" i="1"/>
  <c r="AN309" i="1" s="1"/>
  <c r="AB200" i="1"/>
  <c r="AY200" i="1"/>
  <c r="AM486" i="1"/>
  <c r="AN486" i="1"/>
  <c r="AM428" i="1"/>
  <c r="AN428" i="1" s="1"/>
  <c r="AM300" i="1"/>
  <c r="AN300" i="1" s="1"/>
  <c r="AM240" i="1"/>
  <c r="AN240" i="1" s="1"/>
  <c r="AN356" i="1"/>
  <c r="AM356" i="1"/>
  <c r="AY320" i="1"/>
  <c r="AB320" i="1"/>
  <c r="AY531" i="1"/>
  <c r="AB531" i="1"/>
  <c r="AY411" i="1"/>
  <c r="AB411" i="1"/>
  <c r="AY168" i="1"/>
  <c r="AB168" i="1"/>
  <c r="AM542" i="1"/>
  <c r="AN542" i="1" s="1"/>
  <c r="AY588" i="1"/>
  <c r="AB588" i="1"/>
  <c r="AY529" i="1"/>
  <c r="AB529" i="1"/>
  <c r="AN317" i="1"/>
  <c r="AM317" i="1"/>
  <c r="AY185" i="1"/>
  <c r="AB185" i="1"/>
  <c r="AY560" i="1"/>
  <c r="AB560" i="1"/>
  <c r="AY341" i="1"/>
  <c r="AB341" i="1"/>
  <c r="AM163" i="1"/>
  <c r="AN163" i="1" s="1"/>
  <c r="AY608" i="1"/>
  <c r="AB608" i="1"/>
  <c r="AM297" i="1"/>
  <c r="AN297" i="1" s="1"/>
  <c r="AY370" i="1"/>
  <c r="AB370" i="1"/>
  <c r="AM597" i="1"/>
  <c r="AN597" i="1" s="1"/>
  <c r="AM534" i="1"/>
  <c r="AN534" i="1" s="1"/>
  <c r="AY382" i="1"/>
  <c r="AB382" i="1"/>
  <c r="AY191" i="1"/>
  <c r="AB191" i="1"/>
  <c r="AY141" i="1"/>
  <c r="AB141" i="1"/>
  <c r="AY325" i="1"/>
  <c r="AB325" i="1"/>
  <c r="AY234" i="1"/>
  <c r="AB234" i="1"/>
  <c r="AN119" i="1"/>
  <c r="AM119" i="1"/>
  <c r="AM127" i="1"/>
  <c r="AN127" i="1" s="1"/>
  <c r="AM337" i="1"/>
  <c r="AN337" i="1" s="1"/>
  <c r="AM562" i="1"/>
  <c r="AN562" i="1" s="1"/>
  <c r="AM445" i="1"/>
  <c r="AN445" i="1" s="1"/>
  <c r="AY415" i="1"/>
  <c r="AB415" i="1"/>
  <c r="AN183" i="1"/>
  <c r="AM183" i="1"/>
  <c r="AM255" i="1"/>
  <c r="AN255" i="1" s="1"/>
  <c r="AM213" i="1"/>
  <c r="AN213" i="1" s="1"/>
  <c r="AY426" i="1"/>
  <c r="AB426" i="1"/>
  <c r="AN139" i="1"/>
  <c r="AM139" i="1"/>
  <c r="AM232" i="1"/>
  <c r="AN232" i="1"/>
  <c r="AY467" i="1"/>
  <c r="AB467" i="1"/>
  <c r="AN430" i="1"/>
  <c r="AM430" i="1"/>
  <c r="AN364" i="1"/>
  <c r="AM364" i="1"/>
  <c r="AY262" i="1"/>
  <c r="AB262" i="1"/>
  <c r="AN587" i="1"/>
  <c r="AM587" i="1"/>
  <c r="AN522" i="1"/>
  <c r="AM522" i="1"/>
  <c r="AM485" i="1"/>
  <c r="AN485" i="1" s="1"/>
  <c r="AM419" i="1"/>
  <c r="AN419" i="1" s="1"/>
  <c r="AN343" i="1"/>
  <c r="AM343" i="1"/>
  <c r="AM254" i="1"/>
  <c r="AN254" i="1" s="1"/>
  <c r="AM282" i="1"/>
  <c r="AN282" i="1" s="1"/>
  <c r="AM110" i="1"/>
  <c r="AN110" i="1" s="1"/>
  <c r="AM126" i="1"/>
  <c r="AN126" i="1" s="1"/>
  <c r="AM252" i="1"/>
  <c r="AN252" i="1" s="1"/>
  <c r="AM133" i="1"/>
  <c r="AN133" i="1" s="1"/>
  <c r="AM556" i="1"/>
  <c r="AN556" i="1" s="1"/>
  <c r="AN497" i="1"/>
  <c r="AM497" i="1"/>
  <c r="AM366" i="1"/>
  <c r="AN366" i="1"/>
  <c r="AM394" i="1"/>
  <c r="AN394" i="1"/>
  <c r="AN146" i="1"/>
  <c r="AM146" i="1"/>
  <c r="AN563" i="1"/>
  <c r="AM563" i="1"/>
  <c r="AY407" i="1"/>
  <c r="AB407" i="1"/>
  <c r="AM344" i="1"/>
  <c r="AN344" i="1" s="1"/>
  <c r="AN319" i="1"/>
  <c r="AM319" i="1"/>
  <c r="AY162" i="1"/>
  <c r="AB162" i="1"/>
  <c r="AM558" i="1"/>
  <c r="AN558" i="1" s="1"/>
  <c r="AN559" i="1"/>
  <c r="AM559" i="1"/>
  <c r="AM527" i="1"/>
  <c r="AN527" i="1"/>
  <c r="AY410" i="1"/>
  <c r="AB410" i="1"/>
  <c r="AY373" i="1"/>
  <c r="AB373" i="1"/>
  <c r="AB295" i="1"/>
  <c r="AY295" i="1"/>
  <c r="AY312" i="1"/>
  <c r="AB312" i="1"/>
  <c r="AY248" i="1"/>
  <c r="AB248" i="1"/>
  <c r="AM155" i="1"/>
  <c r="AN155" i="1" s="1"/>
  <c r="AY132" i="1"/>
  <c r="AB132" i="1"/>
  <c r="AY228" i="1"/>
  <c r="AB228" i="1"/>
  <c r="AY363" i="1"/>
  <c r="AB363" i="1"/>
  <c r="AY498" i="1"/>
  <c r="AB498" i="1"/>
  <c r="AS109" i="1"/>
  <c r="AK109" i="1"/>
  <c r="AM285" i="1"/>
  <c r="AN285" i="1" s="1"/>
  <c r="AM161" i="1"/>
  <c r="AN161" i="1" s="1"/>
  <c r="AN582" i="1"/>
  <c r="AM582" i="1"/>
  <c r="AN331" i="1"/>
  <c r="AM331" i="1"/>
  <c r="AM129" i="1"/>
  <c r="AN129" i="1" s="1"/>
  <c r="AY491" i="1"/>
  <c r="AB491" i="1"/>
  <c r="AN508" i="1"/>
  <c r="AM508" i="1"/>
  <c r="AM408" i="1"/>
  <c r="AN408" i="1" s="1"/>
  <c r="AB157" i="1"/>
  <c r="AY157" i="1"/>
  <c r="AM478" i="1"/>
  <c r="AN478" i="1"/>
  <c r="AY371" i="1"/>
  <c r="AB371" i="1"/>
  <c r="AN190" i="1"/>
  <c r="AM190" i="1"/>
  <c r="AY358" i="1"/>
  <c r="AB358" i="1"/>
  <c r="AM174" i="1"/>
  <c r="AN174" i="1" s="1"/>
  <c r="AN473" i="1"/>
  <c r="AM473" i="1"/>
  <c r="AY414" i="1"/>
  <c r="AB414" i="1"/>
  <c r="AN589" i="1"/>
  <c r="AM589" i="1"/>
  <c r="AN514" i="1"/>
  <c r="AM514" i="1"/>
  <c r="AM383" i="1"/>
  <c r="AN383" i="1" s="1"/>
  <c r="AY284" i="1"/>
  <c r="AB284" i="1"/>
  <c r="AM516" i="1"/>
  <c r="AN516" i="1" s="1"/>
  <c r="AY609" i="1"/>
  <c r="AB609" i="1"/>
  <c r="AY482" i="1"/>
  <c r="AB482" i="1"/>
  <c r="AY452" i="1"/>
  <c r="AB452" i="1"/>
  <c r="AY561" i="1"/>
  <c r="AB561" i="1"/>
  <c r="AY147" i="1"/>
  <c r="AB147" i="1"/>
  <c r="AY386" i="1"/>
  <c r="AB386" i="1"/>
  <c r="AY251" i="1"/>
  <c r="AB251" i="1"/>
  <c r="AY599" i="1"/>
  <c r="AB599" i="1"/>
  <c r="AB307" i="1"/>
  <c r="AY307" i="1"/>
  <c r="AM605" i="1"/>
  <c r="AN605" i="1" s="1"/>
  <c r="AM449" i="1"/>
  <c r="AN449" i="1" s="1"/>
  <c r="AM367" i="1"/>
  <c r="AN367" i="1" s="1"/>
  <c r="AY211" i="1"/>
  <c r="AB211" i="1"/>
  <c r="AY510" i="1"/>
  <c r="AB510" i="1"/>
  <c r="AY443" i="1"/>
  <c r="AB443" i="1"/>
  <c r="AY369" i="1"/>
  <c r="AB369" i="1"/>
  <c r="AY376" i="1"/>
  <c r="AB376" i="1"/>
  <c r="AY480" i="1"/>
  <c r="AB480" i="1"/>
  <c r="AY451" i="1"/>
  <c r="AB451" i="1"/>
  <c r="AY447" i="1"/>
  <c r="AB447" i="1"/>
  <c r="AB360" i="1"/>
  <c r="AY360" i="1"/>
  <c r="AB332" i="1"/>
  <c r="AY332" i="1"/>
  <c r="AY206" i="1"/>
  <c r="AB206" i="1"/>
  <c r="AN201" i="1"/>
  <c r="AM201" i="1"/>
  <c r="AN283" i="1"/>
  <c r="AM283" i="1"/>
  <c r="AM130" i="1"/>
  <c r="AN130" i="1" s="1"/>
  <c r="AY583" i="1"/>
  <c r="AB583" i="1"/>
  <c r="AN504" i="1"/>
  <c r="AM504" i="1"/>
  <c r="AM323" i="1"/>
  <c r="AN323" i="1" s="1"/>
  <c r="AY261" i="1"/>
  <c r="AB261" i="1"/>
  <c r="AM143" i="1"/>
  <c r="AN143" i="1" s="1"/>
  <c r="AM524" i="1"/>
  <c r="AN524" i="1" s="1"/>
  <c r="AY476" i="1"/>
  <c r="AB476" i="1"/>
  <c r="AM442" i="1"/>
  <c r="AN442" i="1" s="1"/>
  <c r="AY354" i="1"/>
  <c r="AB354" i="1"/>
  <c r="AY412" i="1"/>
  <c r="AB412" i="1"/>
  <c r="AB353" i="1"/>
  <c r="AY353" i="1"/>
  <c r="AB585" i="1"/>
  <c r="AY585" i="1"/>
  <c r="AB565" i="1"/>
  <c r="AY565" i="1"/>
  <c r="AY548" i="1"/>
  <c r="AB548" i="1"/>
  <c r="AB553" i="1"/>
  <c r="AY553" i="1"/>
  <c r="AN351" i="1"/>
  <c r="AM351" i="1"/>
  <c r="AY409" i="1"/>
  <c r="AB409" i="1"/>
  <c r="AB311" i="1"/>
  <c r="AY311" i="1"/>
  <c r="AY281" i="1"/>
  <c r="AB281" i="1"/>
  <c r="AM177" i="1"/>
  <c r="AN177" i="1" s="1"/>
  <c r="AY242" i="1"/>
  <c r="AB242" i="1"/>
  <c r="AY153" i="1"/>
  <c r="AB153" i="1"/>
  <c r="AN463" i="1"/>
  <c r="AM463" i="1"/>
  <c r="AM395" i="1"/>
  <c r="AN395" i="1" s="1"/>
  <c r="AY519" i="1"/>
  <c r="AB519" i="1"/>
  <c r="AY484" i="1"/>
  <c r="AB484" i="1"/>
  <c r="AY348" i="1"/>
  <c r="AB348" i="1"/>
  <c r="AN221" i="1"/>
  <c r="AM221" i="1"/>
  <c r="AM403" i="1"/>
  <c r="AN403" i="1" s="1"/>
  <c r="AY421" i="1"/>
  <c r="AB421" i="1"/>
  <c r="AY457" i="1"/>
  <c r="AB457" i="1"/>
  <c r="AM250" i="1"/>
  <c r="AN250" i="1" s="1"/>
  <c r="AY567" i="1"/>
  <c r="AB567" i="1"/>
  <c r="AM446" i="1"/>
  <c r="AN446" i="1" s="1"/>
  <c r="AM574" i="1"/>
  <c r="AN574" i="1"/>
  <c r="AY194" i="1"/>
  <c r="AB194" i="1"/>
  <c r="AB223" i="1"/>
  <c r="AY223" i="1"/>
  <c r="AY454" i="1"/>
  <c r="AB454" i="1"/>
  <c r="AY450" i="1"/>
  <c r="AB450" i="1"/>
  <c r="AY313" i="1"/>
  <c r="AB313" i="1"/>
  <c r="AY425" i="1"/>
  <c r="AB425" i="1"/>
  <c r="AY554" i="1"/>
  <c r="AB554" i="1"/>
  <c r="AM225" i="1"/>
  <c r="AN225" i="1" s="1"/>
  <c r="AM151" i="1"/>
  <c r="AN151" i="1"/>
  <c r="AM431" i="1"/>
  <c r="AN431" i="1" s="1"/>
  <c r="AN230" i="1"/>
  <c r="AM230" i="1"/>
  <c r="AY605" i="1"/>
  <c r="AB605" i="1"/>
  <c r="AY449" i="1"/>
  <c r="AB449" i="1"/>
  <c r="AY367" i="1"/>
  <c r="AB367" i="1"/>
  <c r="AM405" i="1"/>
  <c r="AN405" i="1" s="1"/>
  <c r="AM453" i="1"/>
  <c r="AN453" i="1" s="1"/>
  <c r="AM490" i="1"/>
  <c r="AN490" i="1"/>
  <c r="AM413" i="1"/>
  <c r="AN413" i="1" s="1"/>
  <c r="AY207" i="1"/>
  <c r="AB207" i="1"/>
  <c r="AN456" i="1"/>
  <c r="AM456" i="1"/>
  <c r="AM540" i="1"/>
  <c r="AN540" i="1" s="1"/>
  <c r="AM377" i="1"/>
  <c r="AN377" i="1" s="1"/>
  <c r="AY379" i="1"/>
  <c r="AB379" i="1"/>
  <c r="AM265" i="1"/>
  <c r="AN265" i="1"/>
  <c r="AM219" i="1"/>
  <c r="AN219" i="1" s="1"/>
  <c r="AY201" i="1"/>
  <c r="AB201" i="1"/>
  <c r="AB283" i="1"/>
  <c r="AY283" i="1"/>
  <c r="AY130" i="1"/>
  <c r="AB130" i="1"/>
  <c r="AM583" i="1"/>
  <c r="AN583" i="1"/>
  <c r="AY504" i="1"/>
  <c r="AB504" i="1"/>
  <c r="AB323" i="1"/>
  <c r="AY323" i="1"/>
  <c r="AM261" i="1"/>
  <c r="AN261" i="1" s="1"/>
  <c r="AN448" i="1"/>
  <c r="AM448" i="1"/>
  <c r="AY433" i="1"/>
  <c r="AB433" i="1"/>
  <c r="AM404" i="1"/>
  <c r="AN404" i="1" s="1"/>
  <c r="AN355" i="1"/>
  <c r="AM355" i="1"/>
  <c r="AM249" i="1"/>
  <c r="AN249" i="1"/>
  <c r="AM577" i="1"/>
  <c r="AN577" i="1" s="1"/>
  <c r="AM552" i="1"/>
  <c r="AN552" i="1" s="1"/>
  <c r="AM494" i="1"/>
  <c r="AN494" i="1" s="1"/>
  <c r="AM429" i="1"/>
  <c r="AN429" i="1"/>
  <c r="AM460" i="1"/>
  <c r="AN460" i="1"/>
  <c r="AM328" i="1"/>
  <c r="AN328" i="1" s="1"/>
  <c r="AN210" i="1"/>
  <c r="AM210" i="1"/>
  <c r="AK116" i="1"/>
  <c r="AS116" i="1"/>
  <c r="AM153" i="1"/>
  <c r="AN153" i="1" s="1"/>
  <c r="AN389" i="1"/>
  <c r="AM389" i="1"/>
  <c r="AM140" i="1"/>
  <c r="AN140" i="1" s="1"/>
  <c r="AY329" i="1"/>
  <c r="AB329" i="1"/>
  <c r="AN381" i="1"/>
  <c r="AM381" i="1"/>
  <c r="AM495" i="1"/>
  <c r="AN495" i="1" s="1"/>
  <c r="AM205" i="1"/>
  <c r="AN205" i="1" s="1"/>
  <c r="AN513" i="1"/>
  <c r="AM513" i="1"/>
  <c r="AM570" i="1"/>
  <c r="AN570" i="1" s="1"/>
  <c r="AM375" i="1"/>
  <c r="AN375" i="1" s="1"/>
  <c r="AM372" i="1"/>
  <c r="AN372" i="1" s="1"/>
  <c r="AM299" i="1"/>
  <c r="AN299" i="1" s="1"/>
  <c r="AN567" i="1"/>
  <c r="AM567" i="1"/>
  <c r="AY446" i="1"/>
  <c r="AB446" i="1"/>
  <c r="AY574" i="1"/>
  <c r="AB574" i="1"/>
  <c r="AN194" i="1"/>
  <c r="AM194" i="1"/>
  <c r="AM192" i="1"/>
  <c r="AN192" i="1" s="1"/>
  <c r="AN301" i="1"/>
  <c r="AM301" i="1"/>
  <c r="AY236" i="1"/>
  <c r="AB236" i="1"/>
  <c r="AY571" i="1"/>
  <c r="AB571" i="1"/>
  <c r="AY399" i="1"/>
  <c r="AB399" i="1"/>
  <c r="AY218" i="1"/>
  <c r="AB218" i="1"/>
  <c r="AN520" i="1"/>
  <c r="AM520" i="1"/>
  <c r="AM350" i="1"/>
  <c r="AN350" i="1"/>
  <c r="AY440" i="1"/>
  <c r="AB440" i="1"/>
  <c r="AN335" i="1"/>
  <c r="AM335" i="1"/>
  <c r="AY222" i="1"/>
  <c r="AB222" i="1"/>
  <c r="AY120" i="1"/>
  <c r="AB120" i="1"/>
  <c r="AN492" i="1"/>
  <c r="AM492" i="1"/>
  <c r="AM479" i="1"/>
  <c r="AN479" i="1" s="1"/>
  <c r="AM324" i="1"/>
  <c r="AN324" i="1" s="1"/>
  <c r="AN136" i="1"/>
  <c r="AM136" i="1"/>
  <c r="AN481" i="1"/>
  <c r="AM481" i="1"/>
  <c r="AM304" i="1"/>
  <c r="AN304" i="1"/>
  <c r="AM214" i="1"/>
  <c r="AN214" i="1" s="1"/>
  <c r="AN535" i="1"/>
  <c r="AM535" i="1"/>
  <c r="AM537" i="1"/>
  <c r="AN537" i="1"/>
  <c r="AM469" i="1"/>
  <c r="AN469" i="1" s="1"/>
  <c r="AM287" i="1"/>
  <c r="AN287" i="1"/>
  <c r="AY278" i="1"/>
  <c r="AB278" i="1"/>
  <c r="AB544" i="1"/>
  <c r="AY544" i="1"/>
  <c r="AY422" i="1"/>
  <c r="AB422" i="1"/>
  <c r="AB303" i="1"/>
  <c r="AY303" i="1"/>
  <c r="AN196" i="1"/>
  <c r="AM196" i="1"/>
  <c r="AY437" i="1"/>
  <c r="AB437" i="1"/>
  <c r="AB340" i="1"/>
  <c r="AY340" i="1"/>
  <c r="AY384" i="1"/>
  <c r="AB384" i="1"/>
  <c r="AY264" i="1"/>
  <c r="AB264" i="1"/>
  <c r="AK122" i="1"/>
  <c r="AS122" i="1"/>
  <c r="AY202" i="1"/>
  <c r="AB202" i="1"/>
  <c r="AM362" i="1"/>
  <c r="AN362" i="1"/>
  <c r="AY532" i="1"/>
  <c r="AB532" i="1"/>
  <c r="AM308" i="1"/>
  <c r="AN308" i="1" s="1"/>
  <c r="AY309" i="1"/>
  <c r="AB309" i="1"/>
  <c r="AY581" i="1"/>
  <c r="AB581" i="1"/>
  <c r="AB345" i="1"/>
  <c r="AY345" i="1"/>
  <c r="AY542" i="1"/>
  <c r="AB542" i="1"/>
  <c r="AM588" i="1"/>
  <c r="AN588" i="1"/>
  <c r="AY317" i="1"/>
  <c r="AB317" i="1"/>
  <c r="AN185" i="1"/>
  <c r="AM185" i="1"/>
  <c r="AN341" i="1"/>
  <c r="AM341" i="1"/>
  <c r="AY297" i="1"/>
  <c r="AB297" i="1"/>
  <c r="AY597" i="1"/>
  <c r="AB597" i="1"/>
  <c r="AB365" i="1"/>
  <c r="AY365" i="1"/>
  <c r="AN234" i="1"/>
  <c r="AM234" i="1"/>
  <c r="AY119" i="1"/>
  <c r="AB119" i="1"/>
  <c r="AB385" i="1"/>
  <c r="AY385" i="1"/>
  <c r="AY470" i="1"/>
  <c r="AB470" i="1"/>
  <c r="AM334" i="1"/>
  <c r="AN334" i="1" s="1"/>
  <c r="AY208" i="1"/>
  <c r="AB208" i="1"/>
  <c r="AY149" i="1"/>
  <c r="AB149" i="1"/>
  <c r="AY594" i="1"/>
  <c r="AB594" i="1"/>
  <c r="AY502" i="1"/>
  <c r="AB502" i="1"/>
  <c r="AY501" i="1"/>
  <c r="AB501" i="1"/>
  <c r="AY398" i="1"/>
  <c r="AB398" i="1"/>
  <c r="AY241" i="1"/>
  <c r="AB241" i="1"/>
  <c r="AM253" i="1"/>
  <c r="AN253" i="1"/>
  <c r="AY212" i="1"/>
  <c r="AB212" i="1"/>
  <c r="AM575" i="1"/>
  <c r="AN575" i="1" s="1"/>
  <c r="AY396" i="1"/>
  <c r="AB396" i="1"/>
  <c r="AN602" i="1"/>
  <c r="AM602" i="1"/>
  <c r="AY546" i="1"/>
  <c r="AB546" i="1"/>
  <c r="AN517" i="1"/>
  <c r="AM517" i="1"/>
  <c r="AB424" i="1"/>
  <c r="AY424" i="1"/>
  <c r="AM112" i="1"/>
  <c r="AN112" i="1" s="1"/>
  <c r="AB271" i="1"/>
  <c r="AY271" i="1"/>
  <c r="AN178" i="1"/>
  <c r="AM178" i="1"/>
  <c r="AM523" i="1"/>
  <c r="AN523" i="1"/>
  <c r="AM557" i="1"/>
  <c r="AN557" i="1"/>
  <c r="AN423" i="1"/>
  <c r="AM423" i="1"/>
  <c r="AN380" i="1"/>
  <c r="AM380" i="1"/>
  <c r="AM176" i="1"/>
  <c r="AN176" i="1" s="1"/>
  <c r="AY181" i="1"/>
  <c r="AB181" i="1"/>
  <c r="AY113" i="1"/>
  <c r="AB113" i="1"/>
  <c r="AN134" i="1"/>
  <c r="AM134" i="1"/>
  <c r="AN600" i="1"/>
  <c r="AM600" i="1"/>
  <c r="AM474" i="1"/>
  <c r="AN474" i="1"/>
  <c r="AM347" i="1"/>
  <c r="AN347" i="1" s="1"/>
  <c r="AY266" i="1"/>
  <c r="AB266" i="1"/>
  <c r="AY606" i="1"/>
  <c r="AB606" i="1"/>
  <c r="AY551" i="1"/>
  <c r="AB551" i="1"/>
  <c r="AN539" i="1"/>
  <c r="AM539" i="1"/>
  <c r="AM521" i="1"/>
  <c r="AN521" i="1" s="1"/>
  <c r="AY466" i="1"/>
  <c r="AB466" i="1"/>
  <c r="AN393" i="1"/>
  <c r="AM393" i="1"/>
  <c r="AM315" i="1"/>
  <c r="AN315" i="1" s="1"/>
  <c r="AM316" i="1"/>
  <c r="AN316" i="1" s="1"/>
  <c r="AB199" i="1"/>
  <c r="AY199" i="1"/>
  <c r="AM238" i="1"/>
  <c r="AN238" i="1" s="1"/>
  <c r="AN138" i="1"/>
  <c r="AM138" i="1"/>
  <c r="AN477" i="1"/>
  <c r="AM477" i="1"/>
  <c r="AM441" i="1"/>
  <c r="AN441" i="1"/>
  <c r="AB114" i="1"/>
  <c r="AY114" i="1"/>
  <c r="AN144" i="1"/>
  <c r="AM144" i="1"/>
  <c r="AM475" i="1"/>
  <c r="AN475" i="1" s="1"/>
  <c r="AM461" i="1"/>
  <c r="AN461" i="1"/>
  <c r="AY374" i="1"/>
  <c r="AB374" i="1"/>
  <c r="AM387" i="1"/>
  <c r="AN387" i="1" s="1"/>
  <c r="AB270" i="1"/>
  <c r="AY270" i="1"/>
  <c r="AY580" i="1"/>
  <c r="AB580" i="1"/>
  <c r="AY418" i="1"/>
  <c r="AB418" i="1"/>
  <c r="AB401" i="1"/>
  <c r="AY401" i="1"/>
  <c r="AY296" i="1"/>
  <c r="AB296" i="1"/>
  <c r="AN198" i="1"/>
  <c r="AM198" i="1"/>
  <c r="AM258" i="1"/>
  <c r="AN258" i="1" s="1"/>
  <c r="AM245" i="1"/>
  <c r="AN245" i="1" s="1"/>
  <c r="AN165" i="1"/>
  <c r="AM165" i="1"/>
  <c r="AM390" i="1"/>
  <c r="AN390" i="1" s="1"/>
  <c r="AN518" i="1"/>
  <c r="AM518" i="1"/>
  <c r="AM465" i="1"/>
  <c r="AN465" i="1" s="1"/>
  <c r="AY175" i="1"/>
  <c r="AB175" i="1"/>
  <c r="AN209" i="1"/>
  <c r="AM209" i="1"/>
  <c r="AM164" i="1"/>
  <c r="AN164" i="1" s="1"/>
  <c r="AM200" i="1"/>
  <c r="AN200" i="1" s="1"/>
  <c r="AY486" i="1"/>
  <c r="AB486" i="1"/>
  <c r="AY428" i="1"/>
  <c r="AB428" i="1"/>
  <c r="AY300" i="1"/>
  <c r="AB300" i="1"/>
  <c r="AY240" i="1"/>
  <c r="AB240" i="1"/>
  <c r="AY356" i="1"/>
  <c r="AB356" i="1"/>
  <c r="AM391" i="1"/>
  <c r="AN391" i="1" s="1"/>
  <c r="AM536" i="1"/>
  <c r="AN536" i="1" s="1"/>
  <c r="AN436" i="1"/>
  <c r="AM436" i="1"/>
  <c r="AN204" i="1"/>
  <c r="AM204" i="1"/>
  <c r="AB125" i="1"/>
  <c r="AY125" i="1"/>
  <c r="AB158" i="1"/>
  <c r="AY158" i="1"/>
  <c r="AM603" i="1"/>
  <c r="AN603" i="1" s="1"/>
  <c r="AN549" i="1"/>
  <c r="AM549" i="1"/>
  <c r="AM288" i="1"/>
  <c r="AN288" i="1" s="1"/>
  <c r="AM220" i="1"/>
  <c r="AN220" i="1"/>
  <c r="AY458" i="1"/>
  <c r="AB458" i="1"/>
  <c r="AN150" i="1"/>
  <c r="AM150" i="1"/>
  <c r="AN607" i="1"/>
  <c r="AM607" i="1"/>
  <c r="AM406" i="1"/>
  <c r="AN406" i="1"/>
  <c r="AM160" i="1"/>
  <c r="AN160" i="1" s="1"/>
  <c r="AN148" i="1"/>
  <c r="AM148" i="1"/>
  <c r="AY541" i="1"/>
  <c r="AB541" i="1"/>
  <c r="AY499" i="1"/>
  <c r="AB499" i="1"/>
  <c r="AM187" i="1"/>
  <c r="AN187" i="1" s="1"/>
  <c r="AM267" i="1"/>
  <c r="AN267" i="1" s="1"/>
  <c r="AM128" i="1"/>
  <c r="AN128" i="1" s="1"/>
  <c r="AN325" i="1"/>
  <c r="AM325" i="1"/>
  <c r="AN349" i="1"/>
  <c r="AM349" i="1"/>
  <c r="AY256" i="1"/>
  <c r="AB256" i="1"/>
  <c r="AB337" i="1"/>
  <c r="AY337" i="1"/>
  <c r="AY562" i="1"/>
  <c r="AB562" i="1"/>
  <c r="AY445" i="1"/>
  <c r="AB445" i="1"/>
  <c r="AM415" i="1"/>
  <c r="AN415" i="1" s="1"/>
  <c r="AY183" i="1"/>
  <c r="AB183" i="1"/>
  <c r="AB255" i="1"/>
  <c r="AY255" i="1"/>
  <c r="AY213" i="1"/>
  <c r="AB213" i="1"/>
  <c r="AM426" i="1"/>
  <c r="AN426" i="1" s="1"/>
  <c r="AY139" i="1"/>
  <c r="AB139" i="1"/>
  <c r="AY232" i="1"/>
  <c r="AB232" i="1"/>
  <c r="AM467" i="1"/>
  <c r="AN467" i="1" s="1"/>
  <c r="AY430" i="1"/>
  <c r="AB430" i="1"/>
  <c r="AY364" i="1"/>
  <c r="AB364" i="1"/>
  <c r="AN262" i="1"/>
  <c r="AM262" i="1"/>
  <c r="AY587" i="1"/>
  <c r="AB587" i="1"/>
  <c r="AY522" i="1"/>
  <c r="AB522" i="1"/>
  <c r="AY485" i="1"/>
  <c r="AB485" i="1"/>
  <c r="AY419" i="1"/>
  <c r="AB419" i="1"/>
  <c r="AY343" i="1"/>
  <c r="AB343" i="1"/>
  <c r="AB254" i="1"/>
  <c r="AY254" i="1"/>
  <c r="AY282" i="1"/>
  <c r="AB282" i="1"/>
  <c r="AY268" i="1"/>
  <c r="AB268" i="1"/>
  <c r="AN171" i="1"/>
  <c r="AM171" i="1"/>
  <c r="AY133" i="1"/>
  <c r="AB133" i="1"/>
  <c r="AB556" i="1"/>
  <c r="AY556" i="1"/>
  <c r="AY497" i="1"/>
  <c r="AB497" i="1"/>
  <c r="AY366" i="1"/>
  <c r="AB366" i="1"/>
  <c r="AY394" i="1"/>
  <c r="AB394" i="1"/>
  <c r="AY146" i="1"/>
  <c r="AB146" i="1"/>
  <c r="AY563" i="1"/>
  <c r="AB563" i="1"/>
  <c r="AM515" i="1"/>
  <c r="AN515" i="1" s="1"/>
  <c r="AY344" i="1"/>
  <c r="AB344" i="1"/>
  <c r="AB319" i="1"/>
  <c r="AY319" i="1"/>
  <c r="AN162" i="1"/>
  <c r="AM162" i="1"/>
  <c r="AY558" i="1"/>
  <c r="AB558" i="1"/>
  <c r="AY559" i="1"/>
  <c r="AB559" i="1"/>
  <c r="AY527" i="1"/>
  <c r="AB527" i="1"/>
  <c r="AM420" i="1"/>
  <c r="AN420" i="1"/>
  <c r="AN368" i="1"/>
  <c r="AM368" i="1"/>
  <c r="AN286" i="1"/>
  <c r="AM286" i="1"/>
  <c r="AY166" i="1"/>
  <c r="AB166" i="1"/>
  <c r="AY156" i="1"/>
  <c r="AB156" i="1"/>
  <c r="AK115" i="1"/>
  <c r="AS115" i="1"/>
  <c r="AN227" i="1"/>
  <c r="AM227" i="1"/>
  <c r="AM259" i="1"/>
  <c r="AN259" i="1" s="1"/>
  <c r="AM216" i="1"/>
  <c r="AN216" i="1"/>
  <c r="AM378" i="1"/>
  <c r="AN378" i="1" s="1"/>
  <c r="AN538" i="1"/>
  <c r="AM538" i="1"/>
  <c r="AB274" i="1"/>
  <c r="AY274" i="1"/>
  <c r="AY269" i="1"/>
  <c r="AB269" i="1"/>
  <c r="AN488" i="1"/>
  <c r="AM488" i="1"/>
  <c r="AM203" i="1"/>
  <c r="AN203" i="1" s="1"/>
  <c r="AY276" i="1"/>
  <c r="AB276" i="1"/>
  <c r="AB582" i="1"/>
  <c r="AY582" i="1"/>
  <c r="AB331" i="1"/>
  <c r="AY331" i="1"/>
  <c r="AY129" i="1"/>
  <c r="AB129" i="1"/>
  <c r="AN491" i="1"/>
  <c r="AM491" i="1"/>
  <c r="AY508" i="1"/>
  <c r="AB508" i="1"/>
  <c r="AY408" i="1"/>
  <c r="AB408" i="1"/>
  <c r="AM157" i="1"/>
  <c r="AN157" i="1" s="1"/>
  <c r="AY478" i="1"/>
  <c r="AB478" i="1"/>
  <c r="AN371" i="1"/>
  <c r="AM371" i="1"/>
  <c r="AY190" i="1"/>
  <c r="AB190" i="1"/>
  <c r="AM358" i="1"/>
  <c r="AN358" i="1"/>
  <c r="AY174" i="1"/>
  <c r="AB174" i="1"/>
  <c r="AY473" i="1"/>
  <c r="AB473" i="1"/>
  <c r="AY359" i="1"/>
  <c r="AB359" i="1"/>
  <c r="AN167" i="1"/>
  <c r="AM167" i="1"/>
  <c r="AY589" i="1"/>
  <c r="AB589" i="1"/>
  <c r="AY514" i="1"/>
  <c r="AB514" i="1"/>
  <c r="AY383" i="1"/>
  <c r="AB383" i="1"/>
  <c r="AM284" i="1"/>
  <c r="AN284" i="1" s="1"/>
  <c r="AM142" i="1"/>
  <c r="AN142" i="1" s="1"/>
  <c r="AY338" i="1"/>
  <c r="AB338" i="1"/>
  <c r="AN569" i="1"/>
  <c r="AM569" i="1"/>
  <c r="AY434" i="1"/>
  <c r="AB434" i="1"/>
  <c r="AY301" i="1"/>
  <c r="AB301" i="1"/>
  <c r="AM145" i="1"/>
  <c r="AN145" i="1" s="1"/>
  <c r="AM236" i="1"/>
  <c r="AN236" i="1"/>
  <c r="AN571" i="1"/>
  <c r="AM571" i="1"/>
  <c r="AY483" i="1"/>
  <c r="AB483" i="1"/>
  <c r="AM399" i="1"/>
  <c r="AN399" i="1" s="1"/>
  <c r="AM397" i="1"/>
  <c r="AN397" i="1" s="1"/>
  <c r="AN595" i="1"/>
  <c r="AM595" i="1"/>
  <c r="AN218" i="1"/>
  <c r="AM218" i="1"/>
  <c r="AM601" i="1"/>
  <c r="AN601" i="1"/>
  <c r="AY520" i="1"/>
  <c r="AB520" i="1"/>
  <c r="AY350" i="1"/>
  <c r="AB350" i="1"/>
  <c r="AN573" i="1"/>
  <c r="AM573" i="1"/>
  <c r="AN440" i="1"/>
  <c r="AM440" i="1"/>
  <c r="AY335" i="1"/>
  <c r="AB335" i="1"/>
  <c r="AN215" i="1"/>
  <c r="AM215" i="1"/>
  <c r="AN222" i="1"/>
  <c r="AM222" i="1"/>
  <c r="AK182" i="1"/>
  <c r="AS182" i="1"/>
  <c r="AY178" i="1"/>
  <c r="AB178" i="1"/>
  <c r="AY523" i="1"/>
  <c r="AB523" i="1"/>
  <c r="AB557" i="1"/>
  <c r="AY557" i="1"/>
  <c r="AY423" i="1"/>
  <c r="AB423" i="1"/>
  <c r="AY380" i="1"/>
  <c r="AB380" i="1"/>
  <c r="AY176" i="1"/>
  <c r="AB176" i="1"/>
  <c r="AN113" i="1"/>
  <c r="AM113" i="1"/>
  <c r="AY134" i="1"/>
  <c r="AB134" i="1"/>
  <c r="AB600" i="1"/>
  <c r="AY600" i="1"/>
  <c r="AY474" i="1"/>
  <c r="AB474" i="1"/>
  <c r="AY347" i="1"/>
  <c r="AB347" i="1"/>
  <c r="AN266" i="1"/>
  <c r="AM266" i="1"/>
  <c r="AM606" i="1"/>
  <c r="AN606" i="1" s="1"/>
  <c r="AM551" i="1"/>
  <c r="AN551" i="1" s="1"/>
  <c r="AY539" i="1"/>
  <c r="AB539" i="1"/>
  <c r="AY521" i="1"/>
  <c r="AB521" i="1"/>
  <c r="AM466" i="1"/>
  <c r="AN466" i="1" s="1"/>
  <c r="AB393" i="1"/>
  <c r="AY393" i="1"/>
  <c r="AB315" i="1"/>
  <c r="AY315" i="1"/>
  <c r="AY316" i="1"/>
  <c r="AB316" i="1"/>
  <c r="AM199" i="1"/>
  <c r="AN199" i="1" s="1"/>
  <c r="AY238" i="1"/>
  <c r="AB238" i="1"/>
  <c r="AY118" i="1"/>
  <c r="AB118" i="1"/>
  <c r="AY138" i="1"/>
  <c r="AB138" i="1"/>
  <c r="AY477" i="1"/>
  <c r="AB477" i="1"/>
  <c r="AY441" i="1"/>
  <c r="AB441" i="1"/>
  <c r="AM114" i="1"/>
  <c r="AN114" i="1"/>
  <c r="AY144" i="1"/>
  <c r="AB144" i="1"/>
  <c r="AN544" i="1"/>
  <c r="AM544" i="1"/>
  <c r="AM422" i="1"/>
  <c r="AN422" i="1" s="1"/>
  <c r="AM303" i="1"/>
  <c r="AN303" i="1" s="1"/>
  <c r="AB196" i="1"/>
  <c r="AY196" i="1"/>
  <c r="AN489" i="1"/>
  <c r="AM489" i="1"/>
  <c r="AM437" i="1"/>
  <c r="AN437" i="1"/>
  <c r="AN340" i="1"/>
  <c r="AM340" i="1"/>
  <c r="AM342" i="1"/>
  <c r="AN342" i="1" s="1"/>
  <c r="AM384" i="1"/>
  <c r="AN384" i="1" s="1"/>
  <c r="AM264" i="1"/>
  <c r="AN264" i="1" s="1"/>
  <c r="AY245" i="1"/>
  <c r="AB245" i="1"/>
  <c r="AN202" i="1"/>
  <c r="AM202" i="1"/>
  <c r="AY390" i="1"/>
  <c r="AB390" i="1"/>
  <c r="AY518" i="1"/>
  <c r="AB518" i="1"/>
  <c r="AB465" i="1"/>
  <c r="AY465" i="1"/>
  <c r="AN175" i="1"/>
  <c r="AM175" i="1"/>
  <c r="AY209" i="1"/>
  <c r="AB209" i="1"/>
  <c r="AB164" i="1"/>
  <c r="AY164" i="1"/>
  <c r="AY321" i="1"/>
  <c r="AB321" i="1"/>
  <c r="AN581" i="1"/>
  <c r="AM581" i="1"/>
  <c r="AN496" i="1"/>
  <c r="AM496" i="1"/>
  <c r="AM345" i="1"/>
  <c r="AN345" i="1"/>
  <c r="AY272" i="1"/>
  <c r="AB272" i="1"/>
  <c r="AN435" i="1"/>
  <c r="AM435" i="1"/>
  <c r="AN243" i="1"/>
  <c r="AM243" i="1"/>
  <c r="AY391" i="1"/>
  <c r="AB391" i="1"/>
  <c r="AY536" i="1"/>
  <c r="AB536" i="1"/>
  <c r="AY436" i="1"/>
  <c r="AB436" i="1"/>
  <c r="AB204" i="1"/>
  <c r="AY204" i="1"/>
  <c r="AM125" i="1"/>
  <c r="AN125" i="1"/>
  <c r="AN158" i="1"/>
  <c r="AM158" i="1"/>
  <c r="AY603" i="1"/>
  <c r="AB603" i="1"/>
  <c r="AY549" i="1"/>
  <c r="AB549" i="1"/>
  <c r="AY288" i="1"/>
  <c r="AB288" i="1"/>
  <c r="AY220" i="1"/>
  <c r="AB220" i="1"/>
  <c r="AN458" i="1"/>
  <c r="AM458" i="1"/>
  <c r="AY150" i="1"/>
  <c r="AB150" i="1"/>
  <c r="AY607" i="1"/>
  <c r="AB607" i="1"/>
  <c r="AY406" i="1"/>
  <c r="AB406" i="1"/>
  <c r="AY160" i="1"/>
  <c r="AB160" i="1"/>
  <c r="AY148" i="1"/>
  <c r="AB148" i="1"/>
  <c r="AM541" i="1"/>
  <c r="AN541" i="1" s="1"/>
  <c r="AM499" i="1"/>
  <c r="AN499" i="1" s="1"/>
  <c r="AY187" i="1"/>
  <c r="AB187" i="1"/>
  <c r="AY267" i="1"/>
  <c r="AB267" i="1"/>
  <c r="AY128" i="1"/>
  <c r="AB128" i="1"/>
  <c r="AM365" i="1"/>
  <c r="AN365" i="1" s="1"/>
  <c r="AY193" i="1"/>
  <c r="AB193" i="1"/>
  <c r="AB349" i="1"/>
  <c r="AY349" i="1"/>
  <c r="AM256" i="1"/>
  <c r="AN256" i="1" s="1"/>
  <c r="AY576" i="1"/>
  <c r="AB576" i="1"/>
  <c r="AM525" i="1"/>
  <c r="AN525" i="1" s="1"/>
  <c r="AN444" i="1"/>
  <c r="AM444" i="1"/>
  <c r="AY273" i="1"/>
  <c r="AB273" i="1"/>
  <c r="AM247" i="1"/>
  <c r="AN247" i="1" s="1"/>
  <c r="AY121" i="1"/>
  <c r="AB121" i="1"/>
  <c r="AY152" i="1"/>
  <c r="AB152" i="1"/>
  <c r="AN604" i="1"/>
  <c r="AM604" i="1"/>
  <c r="AM566" i="1"/>
  <c r="AN566" i="1"/>
  <c r="AY471" i="1"/>
  <c r="AB471" i="1"/>
  <c r="AN385" i="1"/>
  <c r="AM385" i="1"/>
  <c r="AY305" i="1"/>
  <c r="AB305" i="1"/>
  <c r="AM590" i="1"/>
  <c r="AN590" i="1" s="1"/>
  <c r="AY545" i="1"/>
  <c r="AB545" i="1"/>
  <c r="AM526" i="1"/>
  <c r="AN526" i="1" s="1"/>
  <c r="AM505" i="1"/>
  <c r="AN505" i="1" s="1"/>
  <c r="AN352" i="1"/>
  <c r="AM352" i="1"/>
  <c r="AM327" i="1"/>
  <c r="AN327" i="1" s="1"/>
  <c r="AY416" i="1"/>
  <c r="AB416" i="1"/>
  <c r="AN432" i="1"/>
  <c r="AM432" i="1"/>
  <c r="AM226" i="1"/>
  <c r="AN226" i="1" s="1"/>
  <c r="AK124" i="1"/>
  <c r="AS124" i="1"/>
  <c r="AM268" i="1"/>
  <c r="AN268" i="1" s="1"/>
  <c r="AY171" i="1"/>
  <c r="AB171" i="1"/>
  <c r="AM593" i="1"/>
  <c r="AN593" i="1" s="1"/>
  <c r="AN568" i="1"/>
  <c r="AM568" i="1"/>
  <c r="AM439" i="1"/>
  <c r="AN439" i="1" s="1"/>
  <c r="AY339" i="1"/>
  <c r="AB339" i="1"/>
  <c r="AM189" i="1"/>
  <c r="AN189" i="1" s="1"/>
  <c r="AN180" i="1"/>
  <c r="AM180" i="1"/>
  <c r="AM137" i="1"/>
  <c r="AN137" i="1" s="1"/>
  <c r="AB515" i="1"/>
  <c r="AY515" i="1"/>
  <c r="AM400" i="1"/>
  <c r="AN400" i="1" s="1"/>
  <c r="AM402" i="1"/>
  <c r="AN402" i="1"/>
  <c r="AM584" i="1"/>
  <c r="AN584" i="1" s="1"/>
  <c r="AM586" i="1"/>
  <c r="AN586" i="1" s="1"/>
  <c r="AM564" i="1"/>
  <c r="AN564" i="1" s="1"/>
  <c r="AM530" i="1"/>
  <c r="AN530" i="1" s="1"/>
  <c r="AB420" i="1"/>
  <c r="AY420" i="1"/>
  <c r="AY368" i="1"/>
  <c r="AB368" i="1"/>
  <c r="AB286" i="1"/>
  <c r="AY286" i="1"/>
  <c r="AM166" i="1"/>
  <c r="AN166" i="1" s="1"/>
  <c r="AM156" i="1"/>
  <c r="AN156" i="1" s="1"/>
  <c r="AY227" i="1"/>
  <c r="AB227" i="1"/>
  <c r="AB259" i="1"/>
  <c r="AY259" i="1"/>
  <c r="AY216" i="1"/>
  <c r="AB216" i="1"/>
  <c r="AY378" i="1"/>
  <c r="AB378" i="1"/>
  <c r="AY538" i="1"/>
  <c r="AB538" i="1"/>
  <c r="AM274" i="1"/>
  <c r="AN274" i="1" s="1"/>
  <c r="AM269" i="1"/>
  <c r="AN269" i="1"/>
  <c r="AY488" i="1"/>
  <c r="AB488" i="1"/>
  <c r="AB203" i="1"/>
  <c r="AY203" i="1"/>
  <c r="AM276" i="1"/>
  <c r="AN276" i="1" s="1"/>
  <c r="AN275" i="1"/>
  <c r="AM275" i="1"/>
  <c r="AM493" i="1"/>
  <c r="AN493" i="1" s="1"/>
  <c r="AY123" i="1"/>
  <c r="AB123" i="1"/>
  <c r="AN500" i="1"/>
  <c r="AM500" i="1"/>
  <c r="AY293" i="1"/>
  <c r="AB293" i="1"/>
  <c r="AY289" i="1"/>
  <c r="AB289" i="1"/>
  <c r="AB195" i="1"/>
  <c r="AY195" i="1"/>
  <c r="AM172" i="1"/>
  <c r="AN172" i="1" s="1"/>
  <c r="AN459" i="1"/>
  <c r="AM459" i="1"/>
  <c r="AM292" i="1"/>
  <c r="AN292" i="1"/>
  <c r="AM487" i="1"/>
  <c r="AN487" i="1" s="1"/>
  <c r="AM291" i="1"/>
  <c r="AN291" i="1" s="1"/>
  <c r="AY217" i="1"/>
  <c r="AB217" i="1"/>
  <c r="AM359" i="1"/>
  <c r="AN359" i="1" s="1"/>
  <c r="AB167" i="1"/>
  <c r="AY167" i="1"/>
  <c r="AM361" i="1"/>
  <c r="AN361" i="1" s="1"/>
  <c r="AM506" i="1"/>
  <c r="AN506" i="1"/>
  <c r="AM591" i="1"/>
  <c r="AN591" i="1" s="1"/>
  <c r="AY257" i="1"/>
  <c r="AB257" i="1"/>
  <c r="AY142" i="1"/>
  <c r="AB142" i="1"/>
  <c r="AM338" i="1"/>
  <c r="AN338" i="1"/>
  <c r="AY569" i="1"/>
  <c r="AB569" i="1"/>
  <c r="AN450" i="1"/>
  <c r="AM450" i="1"/>
  <c r="AM313" i="1"/>
  <c r="AN313" i="1" s="1"/>
  <c r="AM425" i="1"/>
  <c r="AN425" i="1"/>
  <c r="AM554" i="1"/>
  <c r="AN554" i="1"/>
  <c r="AY225" i="1"/>
  <c r="AB225" i="1"/>
  <c r="AY151" i="1"/>
  <c r="AB151" i="1"/>
  <c r="AY431" i="1"/>
  <c r="AB431" i="1"/>
  <c r="AY230" i="1"/>
  <c r="AB230" i="1"/>
  <c r="AM468" i="1"/>
  <c r="AN468" i="1" s="1"/>
  <c r="AY462" i="1"/>
  <c r="AB462" i="1"/>
  <c r="AY197" i="1"/>
  <c r="AB197" i="1"/>
  <c r="AY405" i="1"/>
  <c r="AB405" i="1"/>
  <c r="AM244" i="1"/>
  <c r="AN244" i="1"/>
  <c r="AY453" i="1"/>
  <c r="AB453" i="1"/>
  <c r="AY490" i="1"/>
  <c r="AB490" i="1"/>
  <c r="AB413" i="1"/>
  <c r="AY413" i="1"/>
  <c r="AM207" i="1"/>
  <c r="AN207" i="1" s="1"/>
  <c r="AY456" i="1"/>
  <c r="AB456" i="1"/>
  <c r="AB540" i="1"/>
  <c r="AY540" i="1"/>
  <c r="AY377" i="1"/>
  <c r="AB377" i="1"/>
  <c r="AM379" i="1"/>
  <c r="AN379" i="1" s="1"/>
  <c r="AY265" i="1"/>
  <c r="AB265" i="1"/>
  <c r="AY219" i="1"/>
  <c r="AB219" i="1"/>
  <c r="AM229" i="1"/>
  <c r="AN229" i="1" s="1"/>
  <c r="AY117" i="1"/>
  <c r="AB117" i="1"/>
  <c r="AY154" i="1"/>
  <c r="AB154" i="1"/>
  <c r="AY159" i="1"/>
  <c r="AB159" i="1"/>
  <c r="AN509" i="1"/>
  <c r="AM509" i="1"/>
  <c r="AM455" i="1"/>
  <c r="AN455" i="1" s="1"/>
  <c r="AM438" i="1"/>
  <c r="AN438" i="1" s="1"/>
  <c r="AM239" i="1"/>
  <c r="AN239" i="1" s="1"/>
  <c r="AY448" i="1"/>
  <c r="AB448" i="1"/>
  <c r="AM433" i="1"/>
  <c r="AN433" i="1"/>
  <c r="AY404" i="1"/>
  <c r="AB404" i="1"/>
  <c r="AY355" i="1"/>
  <c r="AB355" i="1"/>
  <c r="AY249" i="1"/>
  <c r="AB249" i="1"/>
  <c r="AB577" i="1"/>
  <c r="AY577" i="1"/>
  <c r="AB552" i="1"/>
  <c r="AY552" i="1"/>
  <c r="AY494" i="1"/>
  <c r="AB494" i="1"/>
  <c r="AY429" i="1"/>
  <c r="AB429" i="1"/>
  <c r="AY460" i="1"/>
  <c r="AB460" i="1"/>
  <c r="AY328" i="1"/>
  <c r="AB328" i="1"/>
  <c r="AY210" i="1"/>
  <c r="AB210" i="1"/>
  <c r="AN135" i="1"/>
  <c r="AM135" i="1"/>
  <c r="AY389" i="1"/>
  <c r="AB389" i="1"/>
  <c r="AY140" i="1"/>
  <c r="AB140" i="1"/>
  <c r="AM329" i="1"/>
  <c r="AN329" i="1" s="1"/>
  <c r="AY381" i="1"/>
  <c r="AB381" i="1"/>
  <c r="AY495" i="1"/>
  <c r="AB495" i="1"/>
  <c r="AY205" i="1"/>
  <c r="AB205" i="1"/>
  <c r="AY513" i="1"/>
  <c r="AB513" i="1"/>
  <c r="AY570" i="1"/>
  <c r="AB570" i="1"/>
  <c r="AY375" i="1"/>
  <c r="AB375" i="1"/>
  <c r="AY372" i="1"/>
  <c r="AB372" i="1"/>
  <c r="AB299" i="1"/>
  <c r="AY299" i="1"/>
  <c r="AM596" i="1"/>
  <c r="AN596" i="1" s="1"/>
  <c r="AM511" i="1"/>
  <c r="AN511" i="1" s="1"/>
  <c r="AM235" i="1"/>
  <c r="AN235" i="1" s="1"/>
  <c r="AM512" i="1"/>
  <c r="AN512" i="1" s="1"/>
  <c r="AM246" i="1"/>
  <c r="AN246" i="1" s="1"/>
  <c r="AB192" i="1"/>
  <c r="AY192" i="1"/>
  <c r="AY122" i="1" l="1"/>
  <c r="AB122" i="1"/>
  <c r="AB116" i="1"/>
  <c r="AY116" i="1"/>
  <c r="AY182" i="1"/>
  <c r="AB182" i="1"/>
  <c r="AY109" i="1"/>
  <c r="AB109" i="1"/>
  <c r="AK107" i="1"/>
  <c r="AM109" i="1"/>
  <c r="O102" i="1"/>
  <c r="AY124" i="1"/>
  <c r="AB124" i="1"/>
  <c r="AM182" i="1"/>
  <c r="AN182" i="1" s="1"/>
  <c r="AO182" i="1"/>
  <c r="AB115" i="1"/>
  <c r="AY115" i="1"/>
  <c r="AO122" i="1"/>
  <c r="AM122" i="1"/>
  <c r="AN122" i="1" s="1"/>
  <c r="AM116" i="1"/>
  <c r="AN116" i="1" s="1"/>
  <c r="AO116" i="1"/>
  <c r="O107" i="1"/>
  <c r="AY111" i="1"/>
  <c r="AB111" i="1"/>
  <c r="AM124" i="1"/>
  <c r="AN124" i="1" s="1"/>
  <c r="AO115" i="1"/>
  <c r="AM115" i="1"/>
  <c r="AN115" i="1" s="1"/>
  <c r="AM111" i="1"/>
  <c r="AN111" i="1" s="1"/>
  <c r="AO111" i="1"/>
  <c r="AM107" i="1" l="1"/>
  <c r="AL107" i="1" s="1"/>
  <c r="O103" i="1"/>
  <c r="AO184" i="1"/>
  <c r="AO427" i="1"/>
  <c r="AO326" i="1"/>
  <c r="AO333" i="1"/>
  <c r="AO578" i="1"/>
  <c r="AO263" i="1"/>
  <c r="AO503" i="1"/>
  <c r="AO543" i="1"/>
  <c r="AO330" i="1"/>
  <c r="AO179" i="1"/>
  <c r="AO306" i="1"/>
  <c r="AO572" i="1"/>
  <c r="AO237" i="1"/>
  <c r="AO547" i="1"/>
  <c r="AO188" i="1"/>
  <c r="AO290" i="1"/>
  <c r="AO294" i="1"/>
  <c r="AO279" i="1"/>
  <c r="AO298" i="1"/>
  <c r="AO277" i="1"/>
  <c r="AO318" i="1"/>
  <c r="AO173" i="1"/>
  <c r="AO322" i="1"/>
  <c r="AO550" i="1"/>
  <c r="AO170" i="1"/>
  <c r="AO302" i="1"/>
  <c r="AO507" i="1"/>
  <c r="AO310" i="1"/>
  <c r="AO314" i="1"/>
  <c r="AO392" i="1"/>
  <c r="AO224" i="1"/>
  <c r="AO186" i="1"/>
  <c r="AO464" i="1"/>
  <c r="AO533" i="1"/>
  <c r="AO169" i="1"/>
  <c r="AO280" i="1"/>
  <c r="AO434" i="1"/>
  <c r="AO346" i="1"/>
  <c r="AO388" i="1"/>
  <c r="AO321" i="1"/>
  <c r="AO272" i="1"/>
  <c r="AO576" i="1"/>
  <c r="AO416" i="1"/>
  <c r="AO339" i="1"/>
  <c r="AO295" i="1"/>
  <c r="AO312" i="1"/>
  <c r="AO123" i="1"/>
  <c r="AO414" i="1"/>
  <c r="AO211" i="1"/>
  <c r="AO443" i="1"/>
  <c r="AO451" i="1"/>
  <c r="AO354" i="1"/>
  <c r="AO585" i="1"/>
  <c r="AO348" i="1"/>
  <c r="AO421" i="1"/>
  <c r="AO470" i="1"/>
  <c r="AO208" i="1"/>
  <c r="AO501" i="1"/>
  <c r="AO398" i="1"/>
  <c r="AO241" i="1"/>
  <c r="AO212" i="1"/>
  <c r="AO396" i="1"/>
  <c r="AO181" i="1"/>
  <c r="AO555" i="1"/>
  <c r="AO428" i="1"/>
  <c r="AO300" i="1"/>
  <c r="AO337" i="1"/>
  <c r="AO562" i="1"/>
  <c r="AO139" i="1"/>
  <c r="AO430" i="1"/>
  <c r="AO485" i="1"/>
  <c r="AO343" i="1"/>
  <c r="AO282" i="1"/>
  <c r="AO563" i="1"/>
  <c r="AO558" i="1"/>
  <c r="AO559" i="1"/>
  <c r="AO155" i="1"/>
  <c r="AO161" i="1"/>
  <c r="AO408" i="1"/>
  <c r="AO190" i="1"/>
  <c r="AO605" i="1"/>
  <c r="AO323" i="1"/>
  <c r="AO351" i="1"/>
  <c r="AO463" i="1"/>
  <c r="AO221" i="1"/>
  <c r="AO413" i="1"/>
  <c r="AO540" i="1"/>
  <c r="AO261" i="1"/>
  <c r="AO355" i="1"/>
  <c r="AO577" i="1"/>
  <c r="AO460" i="1"/>
  <c r="AO328" i="1"/>
  <c r="AO205" i="1"/>
  <c r="AO372" i="1"/>
  <c r="AO567" i="1"/>
  <c r="AO192" i="1"/>
  <c r="AO520" i="1"/>
  <c r="AO335" i="1"/>
  <c r="AO324" i="1"/>
  <c r="AO136" i="1"/>
  <c r="AO469" i="1"/>
  <c r="AO185" i="1"/>
  <c r="AO334" i="1"/>
  <c r="AO602" i="1"/>
  <c r="AO112" i="1"/>
  <c r="AO176" i="1"/>
  <c r="AO134" i="1"/>
  <c r="AO521" i="1"/>
  <c r="AO315" i="1"/>
  <c r="AO316" i="1"/>
  <c r="AO238" i="1"/>
  <c r="AO144" i="1"/>
  <c r="AO165" i="1"/>
  <c r="AO465" i="1"/>
  <c r="AO603" i="1"/>
  <c r="AO267" i="1"/>
  <c r="AO325" i="1"/>
  <c r="AO262" i="1"/>
  <c r="AO378" i="1"/>
  <c r="AO538" i="1"/>
  <c r="AO203" i="1"/>
  <c r="AO284" i="1"/>
  <c r="AO199" i="1"/>
  <c r="AO303" i="1"/>
  <c r="AO264" i="1"/>
  <c r="AO125" i="1"/>
  <c r="AO158" i="1"/>
  <c r="AO458" i="1"/>
  <c r="AO541" i="1"/>
  <c r="AO499" i="1"/>
  <c r="AO526" i="1"/>
  <c r="AO268" i="1"/>
  <c r="AO189" i="1"/>
  <c r="AO530" i="1"/>
  <c r="AO156" i="1"/>
  <c r="AO483" i="1"/>
  <c r="AO417" i="1"/>
  <c r="AO357" i="1"/>
  <c r="AO472" i="1"/>
  <c r="AO118" i="1"/>
  <c r="AO528" i="1"/>
  <c r="AO560" i="1"/>
  <c r="AO191" i="1"/>
  <c r="AO305" i="1"/>
  <c r="AO407" i="1"/>
  <c r="AO373" i="1"/>
  <c r="AO132" i="1"/>
  <c r="AO498" i="1"/>
  <c r="AO257" i="1"/>
  <c r="AO482" i="1"/>
  <c r="AO147" i="1"/>
  <c r="AO386" i="1"/>
  <c r="AO307" i="1"/>
  <c r="AO197" i="1"/>
  <c r="AO510" i="1"/>
  <c r="AO480" i="1"/>
  <c r="AO206" i="1"/>
  <c r="AO117" i="1"/>
  <c r="AO159" i="1"/>
  <c r="AO353" i="1"/>
  <c r="AO553" i="1"/>
  <c r="AO311" i="1"/>
  <c r="AO242" i="1"/>
  <c r="AO484" i="1"/>
  <c r="AO223" i="1"/>
  <c r="AO546" i="1"/>
  <c r="AO260" i="1"/>
  <c r="AO532" i="1"/>
  <c r="AO356" i="1"/>
  <c r="AO317" i="1"/>
  <c r="AO163" i="1"/>
  <c r="AO127" i="1"/>
  <c r="AO183" i="1"/>
  <c r="AO364" i="1"/>
  <c r="AO522" i="1"/>
  <c r="AO133" i="1"/>
  <c r="AO394" i="1"/>
  <c r="AO146" i="1"/>
  <c r="AO331" i="1"/>
  <c r="AO129" i="1"/>
  <c r="AO508" i="1"/>
  <c r="AO589" i="1"/>
  <c r="AO283" i="1"/>
  <c r="AO504" i="1"/>
  <c r="AO250" i="1"/>
  <c r="AO574" i="1"/>
  <c r="AO151" i="1"/>
  <c r="AO456" i="1"/>
  <c r="AO265" i="1"/>
  <c r="AO153" i="1"/>
  <c r="AO513" i="1"/>
  <c r="AO194" i="1"/>
  <c r="AO301" i="1"/>
  <c r="AO492" i="1"/>
  <c r="AO481" i="1"/>
  <c r="AO304" i="1"/>
  <c r="AO341" i="1"/>
  <c r="AO517" i="1"/>
  <c r="AO178" i="1"/>
  <c r="AO523" i="1"/>
  <c r="AO380" i="1"/>
  <c r="AO539" i="1"/>
  <c r="AO393" i="1"/>
  <c r="AO138" i="1"/>
  <c r="AO461" i="1"/>
  <c r="AO518" i="1"/>
  <c r="AO209" i="1"/>
  <c r="AO204" i="1"/>
  <c r="AO549" i="1"/>
  <c r="AO607" i="1"/>
  <c r="AO406" i="1"/>
  <c r="AO160" i="1"/>
  <c r="AO128" i="1"/>
  <c r="AO349" i="1"/>
  <c r="AO286" i="1"/>
  <c r="AO259" i="1"/>
  <c r="AO216" i="1"/>
  <c r="AO488" i="1"/>
  <c r="AO491" i="1"/>
  <c r="AO371" i="1"/>
  <c r="AO167" i="1"/>
  <c r="AO236" i="1"/>
  <c r="AO571" i="1"/>
  <c r="AO218" i="1"/>
  <c r="AO601" i="1"/>
  <c r="AO551" i="1"/>
  <c r="AO466" i="1"/>
  <c r="AO489" i="1"/>
  <c r="AO437" i="1"/>
  <c r="AO384" i="1"/>
  <c r="AO202" i="1"/>
  <c r="AO345" i="1"/>
  <c r="AO243" i="1"/>
  <c r="AO327" i="1"/>
  <c r="AO226" i="1"/>
  <c r="AO439" i="1"/>
  <c r="AO180" i="1"/>
  <c r="AO400" i="1"/>
  <c r="AO402" i="1"/>
  <c r="AO564" i="1"/>
  <c r="AO493" i="1"/>
  <c r="AO579" i="1"/>
  <c r="AO231" i="1"/>
  <c r="AO320" i="1"/>
  <c r="AO168" i="1"/>
  <c r="AO382" i="1"/>
  <c r="AO193" i="1"/>
  <c r="AO152" i="1"/>
  <c r="AO410" i="1"/>
  <c r="AO228" i="1"/>
  <c r="AO363" i="1"/>
  <c r="AO293" i="1"/>
  <c r="AO195" i="1"/>
  <c r="AO452" i="1"/>
  <c r="AO251" i="1"/>
  <c r="AO462" i="1"/>
  <c r="AO369" i="1"/>
  <c r="AO447" i="1"/>
  <c r="AO565" i="1"/>
  <c r="AO548" i="1"/>
  <c r="AO519" i="1"/>
  <c r="AO457" i="1"/>
  <c r="AO149" i="1"/>
  <c r="AO271" i="1"/>
  <c r="AO598" i="1"/>
  <c r="AO278" i="1"/>
  <c r="AO270" i="1"/>
  <c r="AO580" i="1"/>
  <c r="AO401" i="1"/>
  <c r="AO296" i="1"/>
  <c r="AO240" i="1"/>
  <c r="AO297" i="1"/>
  <c r="AO597" i="1"/>
  <c r="AO445" i="1"/>
  <c r="AO213" i="1"/>
  <c r="AO419" i="1"/>
  <c r="AO110" i="1"/>
  <c r="AO126" i="1"/>
  <c r="AO252" i="1"/>
  <c r="AO556" i="1"/>
  <c r="AO344" i="1"/>
  <c r="AO174" i="1"/>
  <c r="AO383" i="1"/>
  <c r="AO516" i="1"/>
  <c r="AO449" i="1"/>
  <c r="AO367" i="1"/>
  <c r="AO442" i="1"/>
  <c r="AO177" i="1"/>
  <c r="AO395" i="1"/>
  <c r="AO403" i="1"/>
  <c r="AO446" i="1"/>
  <c r="AO225" i="1"/>
  <c r="AO431" i="1"/>
  <c r="AO405" i="1"/>
  <c r="AO453" i="1"/>
  <c r="AO377" i="1"/>
  <c r="AO219" i="1"/>
  <c r="AO404" i="1"/>
  <c r="AO552" i="1"/>
  <c r="AO494" i="1"/>
  <c r="AO495" i="1"/>
  <c r="AO570" i="1"/>
  <c r="AO375" i="1"/>
  <c r="AO299" i="1"/>
  <c r="AO350" i="1"/>
  <c r="AO214" i="1"/>
  <c r="AO287" i="1"/>
  <c r="AO308" i="1"/>
  <c r="AO575" i="1"/>
  <c r="AO557" i="1"/>
  <c r="AO475" i="1"/>
  <c r="AO387" i="1"/>
  <c r="AO258" i="1"/>
  <c r="AO390" i="1"/>
  <c r="AO200" i="1"/>
  <c r="AO536" i="1"/>
  <c r="AO288" i="1"/>
  <c r="AO187" i="1"/>
  <c r="AO426" i="1"/>
  <c r="AO515" i="1"/>
  <c r="AO162" i="1"/>
  <c r="AO336" i="1"/>
  <c r="AO608" i="1"/>
  <c r="AO370" i="1"/>
  <c r="AO545" i="1"/>
  <c r="AO289" i="1"/>
  <c r="AO609" i="1"/>
  <c r="AO376" i="1"/>
  <c r="AO360" i="1"/>
  <c r="AO332" i="1"/>
  <c r="AO476" i="1"/>
  <c r="AO255" i="1"/>
  <c r="AO232" i="1"/>
  <c r="AO473" i="1"/>
  <c r="AO429" i="1"/>
  <c r="AO535" i="1"/>
  <c r="AO537" i="1"/>
  <c r="AO198" i="1"/>
  <c r="AO436" i="1"/>
  <c r="AO157" i="1"/>
  <c r="AO142" i="1"/>
  <c r="AO397" i="1"/>
  <c r="AO440" i="1"/>
  <c r="AO222" i="1"/>
  <c r="AO606" i="1"/>
  <c r="AO581" i="1"/>
  <c r="AO365" i="1"/>
  <c r="AO444" i="1"/>
  <c r="AO590" i="1"/>
  <c r="AO586" i="1"/>
  <c r="AO269" i="1"/>
  <c r="AO487" i="1"/>
  <c r="AO591" i="1"/>
  <c r="AO338" i="1"/>
  <c r="AO313" i="1"/>
  <c r="AO379" i="1"/>
  <c r="AO329" i="1"/>
  <c r="AO511" i="1"/>
  <c r="AO273" i="1"/>
  <c r="AO121" i="1"/>
  <c r="AO599" i="1"/>
  <c r="AO424" i="1"/>
  <c r="AO366" i="1"/>
  <c r="AO527" i="1"/>
  <c r="AO478" i="1"/>
  <c r="AO130" i="1"/>
  <c r="AO389" i="1"/>
  <c r="AO588" i="1"/>
  <c r="AO420" i="1"/>
  <c r="AO569" i="1"/>
  <c r="AO175" i="1"/>
  <c r="AO566" i="1"/>
  <c r="AO568" i="1"/>
  <c r="AO137" i="1"/>
  <c r="AO166" i="1"/>
  <c r="AO207" i="1"/>
  <c r="AO229" i="1"/>
  <c r="AO235" i="1"/>
  <c r="AO512" i="1"/>
  <c r="AO592" i="1"/>
  <c r="AO131" i="1"/>
  <c r="AO529" i="1"/>
  <c r="AO141" i="1"/>
  <c r="AO248" i="1"/>
  <c r="AO154" i="1"/>
  <c r="AO281" i="1"/>
  <c r="AO594" i="1"/>
  <c r="AO502" i="1"/>
  <c r="AO120" i="1"/>
  <c r="AO374" i="1"/>
  <c r="AO309" i="1"/>
  <c r="AO486" i="1"/>
  <c r="AO542" i="1"/>
  <c r="AO534" i="1"/>
  <c r="AO119" i="1"/>
  <c r="AO582" i="1"/>
  <c r="AO201" i="1"/>
  <c r="AO230" i="1"/>
  <c r="AO490" i="1"/>
  <c r="AO448" i="1"/>
  <c r="AO210" i="1"/>
  <c r="AO196" i="1"/>
  <c r="AO362" i="1"/>
  <c r="AO234" i="1"/>
  <c r="AO347" i="1"/>
  <c r="AO245" i="1"/>
  <c r="AO164" i="1"/>
  <c r="AO415" i="1"/>
  <c r="AO171" i="1"/>
  <c r="AO227" i="1"/>
  <c r="AO573" i="1"/>
  <c r="AO215" i="1"/>
  <c r="AO113" i="1"/>
  <c r="AO266" i="1"/>
  <c r="AO114" i="1"/>
  <c r="AO544" i="1"/>
  <c r="AO422" i="1"/>
  <c r="AO340" i="1"/>
  <c r="AO342" i="1"/>
  <c r="AO247" i="1"/>
  <c r="AO505" i="1"/>
  <c r="AO593" i="1"/>
  <c r="AO274" i="1"/>
  <c r="AO276" i="1"/>
  <c r="AO459" i="1"/>
  <c r="AO292" i="1"/>
  <c r="AO291" i="1"/>
  <c r="AO361" i="1"/>
  <c r="AO506" i="1"/>
  <c r="AO450" i="1"/>
  <c r="AO244" i="1"/>
  <c r="AO455" i="1"/>
  <c r="AO433" i="1"/>
  <c r="AO135" i="1"/>
  <c r="AO596" i="1"/>
  <c r="AO246" i="1"/>
  <c r="AO254" i="1"/>
  <c r="AO285" i="1"/>
  <c r="AO514" i="1"/>
  <c r="AO143" i="1"/>
  <c r="AO479" i="1"/>
  <c r="AO399" i="1"/>
  <c r="AO496" i="1"/>
  <c r="AO604" i="1"/>
  <c r="AO172" i="1"/>
  <c r="AO239" i="1"/>
  <c r="AO531" i="1"/>
  <c r="AO411" i="1"/>
  <c r="AO471" i="1"/>
  <c r="AO561" i="1"/>
  <c r="AO412" i="1"/>
  <c r="AO409" i="1"/>
  <c r="AO454" i="1"/>
  <c r="AO233" i="1"/>
  <c r="AO418" i="1"/>
  <c r="AO587" i="1"/>
  <c r="AO319" i="1"/>
  <c r="AO524" i="1"/>
  <c r="AO249" i="1"/>
  <c r="AO140" i="1"/>
  <c r="AO381" i="1"/>
  <c r="AO423" i="1"/>
  <c r="AO600" i="1"/>
  <c r="AO474" i="1"/>
  <c r="AO477" i="1"/>
  <c r="AO441" i="1"/>
  <c r="AO391" i="1"/>
  <c r="AO220" i="1"/>
  <c r="AO150" i="1"/>
  <c r="AO148" i="1"/>
  <c r="AO467" i="1"/>
  <c r="AO368" i="1"/>
  <c r="AO358" i="1"/>
  <c r="AO595" i="1"/>
  <c r="AO435" i="1"/>
  <c r="AO525" i="1"/>
  <c r="AO432" i="1"/>
  <c r="AO584" i="1"/>
  <c r="AO500" i="1"/>
  <c r="AO359" i="1"/>
  <c r="AO425" i="1"/>
  <c r="AO554" i="1"/>
  <c r="AO509" i="1"/>
  <c r="AO438" i="1"/>
  <c r="AO217" i="1"/>
  <c r="AO497" i="1"/>
  <c r="AO583" i="1"/>
  <c r="AO253" i="1"/>
  <c r="AO145" i="1"/>
  <c r="AO256" i="1"/>
  <c r="AO385" i="1"/>
  <c r="AO352" i="1"/>
  <c r="AO275" i="1"/>
  <c r="AO468" i="1"/>
  <c r="AO124" i="1"/>
  <c r="AN109" i="1"/>
  <c r="AN107" i="1" s="1"/>
  <c r="O104" i="1"/>
  <c r="AM104" i="1" s="1"/>
  <c r="AM102" i="1"/>
  <c r="AF102" i="1"/>
  <c r="AO109" i="1"/>
  <c r="AM103" i="1" l="1"/>
  <c r="N103" i="1"/>
  <c r="N104" i="1" l="1"/>
  <c r="AN104" i="1" s="1"/>
  <c r="AN10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Antonio J. de Gusmão</author>
    <author>Myrko Araújo Micali</author>
    <author>Ivo Lourenço Neto</author>
  </authors>
  <commentList>
    <comment ref="AF96" authorId="0" shapeId="0" xr:uid="{D7E81AA3-9198-4398-97FB-B4C4C882837E}">
      <text>
        <r>
          <rPr>
            <b/>
            <sz val="9"/>
            <color indexed="81"/>
            <rFont val="Segoe UI"/>
            <family val="2"/>
          </rPr>
          <t>Antonio J. de Gusmão:</t>
        </r>
        <r>
          <rPr>
            <sz val="9"/>
            <color indexed="81"/>
            <rFont val="Segoe UI"/>
            <family val="2"/>
          </rPr>
          <t xml:space="preserve">
Default
65%</t>
        </r>
      </text>
    </comment>
    <comment ref="Y102" authorId="0" shapeId="0" xr:uid="{837BF686-7753-4B66-892E-E460E08A3D5E}">
      <text>
        <r>
          <rPr>
            <b/>
            <sz val="9"/>
            <color indexed="81"/>
            <rFont val="Segoe UI"/>
            <family val="2"/>
          </rPr>
          <t>Antonio J. de Gusmão:</t>
        </r>
        <r>
          <rPr>
            <sz val="9"/>
            <color indexed="81"/>
            <rFont val="Segoe UI"/>
            <family val="2"/>
          </rPr>
          <t xml:space="preserve">
Default 70%
Horas efetivamente trabalhada na execução da tarefas. Considerar aqui, equipe da região, dificuldades de locomoção, rendimento de profissionais. Não considerar aqui as dificuldades de execuçào e dificuldades com relação a segurança.. Estes dois itens são tratados nas células V108 e W 108</t>
        </r>
      </text>
    </comment>
    <comment ref="P108" authorId="0" shapeId="0" xr:uid="{F9363FBD-3AC8-4E1E-AB13-D567BB0ED679}">
      <text>
        <r>
          <rPr>
            <b/>
            <sz val="9"/>
            <color indexed="81"/>
            <rFont val="Segoe UI"/>
            <family val="2"/>
          </rPr>
          <t>Antonio J. de Gusmão:</t>
        </r>
        <r>
          <rPr>
            <sz val="9"/>
            <color indexed="81"/>
            <rFont val="Segoe UI"/>
            <family val="2"/>
          </rPr>
          <t xml:space="preserve">
Deve votar quem tem experiencia de montagem em campo. A eng. E gestores comerciais devem ser os mediadores.</t>
        </r>
      </text>
    </comment>
    <comment ref="AH108" authorId="1" shapeId="0" xr:uid="{C720C5D5-D722-40E1-B8EB-0F9F36F04386}">
      <text>
        <r>
          <rPr>
            <sz val="9"/>
            <color indexed="81"/>
            <rFont val="Tahoma"/>
            <family val="2"/>
          </rPr>
          <t xml:space="preserve">Fator que deverá ser analisado para cada cliente, esse rendimento aumenta a quantidade de horas para cada serviço.
</t>
        </r>
      </text>
    </comment>
    <comment ref="AJ108" authorId="1" shapeId="0" xr:uid="{547FD517-8BFC-42F4-8CB7-C60A355E864F}">
      <text>
        <r>
          <rPr>
            <sz val="9"/>
            <color indexed="81"/>
            <rFont val="Tahoma"/>
            <family val="2"/>
          </rPr>
          <t xml:space="preserve">Fator que deverá ser analisado para cada cliente, esse rendimento aumenta a quantidade de horas para cada serviço.
Dificuldades com normas de segurança. PT demorado, PTA complexa, Dificuldade com equipe Segurança do cliente. Normas excessivas
</t>
        </r>
      </text>
    </comment>
    <comment ref="O111" authorId="2" shapeId="0" xr:uid="{57710A40-C4BF-4A64-BC2F-79C8743850AC}">
      <text>
        <r>
          <rPr>
            <b/>
            <sz val="9"/>
            <color indexed="81"/>
            <rFont val="Segoe UI"/>
            <family val="2"/>
          </rPr>
          <t>Ivo Lourenço Neto:</t>
        </r>
        <r>
          <rPr>
            <sz val="9"/>
            <color indexed="81"/>
            <rFont val="Segoe UI"/>
            <family val="2"/>
          </rPr>
          <t xml:space="preserve">
Theo_REV35 - 140kg/dia
Theo_REV36 - 35 suporte/dia
Peso médio de cada suporte - 4 kg
Se tiver peso do aço, dividir por 4 e colocar essa quantidade</t>
        </r>
      </text>
    </comment>
  </commentList>
</comments>
</file>

<file path=xl/sharedStrings.xml><?xml version="1.0" encoding="utf-8"?>
<sst xmlns="http://schemas.openxmlformats.org/spreadsheetml/2006/main" count="2674" uniqueCount="350">
  <si>
    <t>Dias</t>
  </si>
  <si>
    <t>Dispositivo</t>
  </si>
  <si>
    <t>Driver</t>
  </si>
  <si>
    <t>Instrumento</t>
  </si>
  <si>
    <t>JB</t>
  </si>
  <si>
    <t>kg</t>
  </si>
  <si>
    <t>L</t>
  </si>
  <si>
    <t>m²</t>
  </si>
  <si>
    <t>m³</t>
  </si>
  <si>
    <t>Malhas contr.</t>
  </si>
  <si>
    <t>ml</t>
  </si>
  <si>
    <t>Motores</t>
  </si>
  <si>
    <t>mt</t>
  </si>
  <si>
    <t>Mt de Cabo</t>
  </si>
  <si>
    <t>Painel</t>
  </si>
  <si>
    <t>pç</t>
  </si>
  <si>
    <t>Pontos</t>
  </si>
  <si>
    <t>Postes</t>
  </si>
  <si>
    <t>Suporte</t>
  </si>
  <si>
    <t>ton</t>
  </si>
  <si>
    <t>um</t>
  </si>
  <si>
    <t>Profissionais</t>
  </si>
  <si>
    <t>Alta</t>
  </si>
  <si>
    <t>Extremamente Alta</t>
  </si>
  <si>
    <t>Muito Alta</t>
  </si>
  <si>
    <t>Esperado</t>
  </si>
  <si>
    <t>Alta complexidade</t>
  </si>
  <si>
    <t>Critica_Complicada</t>
  </si>
  <si>
    <t>Critica_Rapida</t>
  </si>
  <si>
    <t>Normal</t>
  </si>
  <si>
    <t>Extremamente Complexa</t>
  </si>
  <si>
    <t>Muito complexa</t>
  </si>
  <si>
    <t>Sim</t>
  </si>
  <si>
    <t>Complexa</t>
  </si>
  <si>
    <t>Não</t>
  </si>
  <si>
    <t>Simples</t>
  </si>
  <si>
    <t>Revisão</t>
  </si>
  <si>
    <r>
      <t xml:space="preserve">THEO: </t>
    </r>
    <r>
      <rPr>
        <sz val="14"/>
        <color rgb="FF000000"/>
        <rFont val="Calibri"/>
        <family val="2"/>
        <scheme val="minor"/>
      </rPr>
      <t>Tabela de Horas Estimadas  para Orçamento</t>
    </r>
  </si>
  <si>
    <t>X</t>
  </si>
  <si>
    <t>Grupos</t>
  </si>
  <si>
    <t>Horas Estimadas</t>
  </si>
  <si>
    <t xml:space="preserve">Pontos Importantes:
1- Votos reservados de cada participante.
2- Procure profissionais para votar que tenha experiencia na execução da tarefa.
3- Seja mediador, as vezes profissionais conhecem a tarefa mas não sabe calcular tempo.
</t>
  </si>
  <si>
    <t>Horas de trabalho Média Dia</t>
  </si>
  <si>
    <t>Rendimento do Profissional</t>
  </si>
  <si>
    <t>Valores Estimados Médios R$</t>
  </si>
  <si>
    <t>Informações</t>
  </si>
  <si>
    <r>
      <rPr>
        <b/>
        <sz val="10"/>
        <color rgb="FFFF0000"/>
        <rFont val="Arial"/>
        <family val="2"/>
      </rPr>
      <t>MOD</t>
    </r>
    <r>
      <rPr>
        <b/>
        <sz val="10"/>
        <color theme="1"/>
        <rFont val="Arial"/>
        <family val="2"/>
      </rPr>
      <t>_ Total Horas THEO</t>
    </r>
  </si>
  <si>
    <t>Valor Custo médio por hora :</t>
  </si>
  <si>
    <r>
      <t>Fator dificuldade na  
Execução da Tarefa da atividade propriamente dita.</t>
    </r>
    <r>
      <rPr>
        <sz val="8"/>
        <color theme="1"/>
        <rFont val="Arial"/>
        <family val="2"/>
      </rPr>
      <t xml:space="preserve"> 
(Ex. Cabeamento na Vertical, Amarração cabo, etc)</t>
    </r>
  </si>
  <si>
    <t>Complexidade Documentação do RH - Portal, E social, cartão vacinas, Demora Retirar PT. Nível de segurança, critérios críticos com maquinas</t>
  </si>
  <si>
    <t>Dificuldades execução das atividades. Distancia, Logistica complicada, sujeira , ambiente complexo</t>
  </si>
  <si>
    <t>Distribuição</t>
  </si>
  <si>
    <r>
      <rPr>
        <b/>
        <sz val="10"/>
        <color rgb="FFFF0000"/>
        <rFont val="Arial"/>
        <family val="2"/>
      </rPr>
      <t>MOD</t>
    </r>
    <r>
      <rPr>
        <b/>
        <sz val="10"/>
        <color theme="1"/>
        <rFont val="Arial"/>
        <family val="2"/>
      </rPr>
      <t>_Horas Ajudantes THEO</t>
    </r>
  </si>
  <si>
    <r>
      <t xml:space="preserve">Fornecimento do </t>
    </r>
    <r>
      <rPr>
        <b/>
        <sz val="8"/>
        <color theme="0"/>
        <rFont val="Arial"/>
        <family val="2"/>
      </rPr>
      <t>MI</t>
    </r>
    <r>
      <rPr>
        <b/>
        <sz val="8"/>
        <color rgb="FFFFFF00"/>
        <rFont val="Arial"/>
        <family val="2"/>
      </rPr>
      <t xml:space="preserve"> </t>
    </r>
    <r>
      <rPr>
        <b/>
        <sz val="6"/>
        <color rgb="FFFFFF00"/>
        <rFont val="Arial"/>
        <family val="2"/>
      </rPr>
      <t xml:space="preserve">(100%) </t>
    </r>
    <r>
      <rPr>
        <b/>
        <sz val="8"/>
        <color rgb="FFFFFF00"/>
        <rFont val="Arial"/>
        <family val="2"/>
      </rPr>
      <t>será do Cliente ??</t>
    </r>
  </si>
  <si>
    <t>Tarefa com Maior Duração na OBRA</t>
  </si>
  <si>
    <t>A</t>
  </si>
  <si>
    <r>
      <rPr>
        <b/>
        <sz val="10"/>
        <color rgb="FFFF0000"/>
        <rFont val="Arial"/>
        <family val="2"/>
      </rPr>
      <t>MOD</t>
    </r>
    <r>
      <rPr>
        <b/>
        <sz val="10"/>
        <color theme="1"/>
        <rFont val="Arial"/>
        <family val="2"/>
      </rPr>
      <t>_ Horas de OFICIAIS THEO</t>
    </r>
  </si>
  <si>
    <r>
      <rPr>
        <b/>
        <sz val="10"/>
        <color rgb="FFFF0000"/>
        <rFont val="Arial"/>
        <family val="2"/>
      </rPr>
      <t>MOD:</t>
    </r>
    <r>
      <rPr>
        <sz val="10"/>
        <color theme="1"/>
        <rFont val="Arial"/>
        <family val="2"/>
      </rPr>
      <t xml:space="preserve">
Esta planilha é apoio para determinar quantidade de horas  diretas MOD para serem trabalhadas no Histograma.
Atento ao Histograma</t>
    </r>
  </si>
  <si>
    <t>Rendimento Calculado Total</t>
  </si>
  <si>
    <t>FEE_Plus</t>
  </si>
  <si>
    <t>Equipe</t>
  </si>
  <si>
    <t>Sequencial</t>
  </si>
  <si>
    <t>REF BASE</t>
  </si>
  <si>
    <t>M</t>
  </si>
  <si>
    <t>REF</t>
  </si>
  <si>
    <t>I</t>
  </si>
  <si>
    <t>Divisão dos Grupos</t>
  </si>
  <si>
    <t>Setores/àreas</t>
  </si>
  <si>
    <t>Função OFICIAL Ou Indicada</t>
  </si>
  <si>
    <t>Altura 
Método 
Trabalho- 1</t>
  </si>
  <si>
    <t>Altura 
Método 
Trabalho- 2</t>
  </si>
  <si>
    <t>Tarefa a Executar</t>
  </si>
  <si>
    <t>M&amp;P</t>
  </si>
  <si>
    <t>DESCRIÇÃO
Tarefa / Atividade / Serviços
Área Industrial. (Não Solar)</t>
  </si>
  <si>
    <t>Carga/Atividade Grupo/Potencia</t>
  </si>
  <si>
    <t>QTD  item aplicado na OBRA</t>
  </si>
  <si>
    <t>Ref Ajustada</t>
  </si>
  <si>
    <t>Indicador Produção 
Dia x Base</t>
  </si>
  <si>
    <t>Média Votos Com REF</t>
  </si>
  <si>
    <t>UNID</t>
  </si>
  <si>
    <t>Capacidade por dia</t>
  </si>
  <si>
    <t>REF Nacional_ Pesquisa</t>
  </si>
  <si>
    <t>Produção</t>
  </si>
  <si>
    <t>Total
Prof.</t>
  </si>
  <si>
    <t>Qt Ajudantes/Meio Oficial/Tecnico</t>
  </si>
  <si>
    <t>Qt de oficiais, Técnicos, Especialista, Lider</t>
  </si>
  <si>
    <t>Quantidade de Dias Max</t>
  </si>
  <si>
    <t>Horas Totais</t>
  </si>
  <si>
    <t>Fator dificuldade na  
Execução da Tarefa</t>
  </si>
  <si>
    <t>Complexidade Documentação do RH e Obras</t>
  </si>
  <si>
    <t>Tamanho da Planta, dificuldades de execução de tarefas, distancia Site.</t>
  </si>
  <si>
    <t>HH Totais c/ Fator Dificuldades
Rendimento Eficiência</t>
  </si>
  <si>
    <t>Porcentagem de Ajudante</t>
  </si>
  <si>
    <t>Total HH de Ajudantes</t>
  </si>
  <si>
    <t>HH de
Oficiais</t>
  </si>
  <si>
    <t>Distribuição Percentual pela tarefa</t>
  </si>
  <si>
    <t>Fator Altura1</t>
  </si>
  <si>
    <t>Fator Altura2</t>
  </si>
  <si>
    <t>Media Fator Altura</t>
  </si>
  <si>
    <t>Un/HH</t>
  </si>
  <si>
    <t>Compair Dia</t>
  </si>
  <si>
    <t>Dificuldade Indice</t>
  </si>
  <si>
    <t>Segurança Indice</t>
  </si>
  <si>
    <t>Complexidade Indice</t>
  </si>
  <si>
    <t>Elevação Indicador</t>
  </si>
  <si>
    <t>Arredondamento Unidade</t>
  </si>
  <si>
    <t>Dados Table</t>
  </si>
  <si>
    <t>FEE_Reserva Capacidade</t>
  </si>
  <si>
    <t>Altura</t>
  </si>
  <si>
    <t>Dificuldades Condensada</t>
  </si>
  <si>
    <t>Controle Variáveis Difíceis</t>
  </si>
  <si>
    <t>Item/HH</t>
  </si>
  <si>
    <t>Numero Profissionais Fixo</t>
  </si>
  <si>
    <t>Controle Dia</t>
  </si>
  <si>
    <t>Infra Estrutura Eletrica Instrumentação</t>
  </si>
  <si>
    <t>Instrumentista</t>
  </si>
  <si>
    <t>Andaime 25%</t>
  </si>
  <si>
    <t>Térreo 75%</t>
  </si>
  <si>
    <t>Montar</t>
  </si>
  <si>
    <t>Montagem linhas de tubings (Quantidade Instrumentos)</t>
  </si>
  <si>
    <t>Soldador</t>
  </si>
  <si>
    <t>Térreo 50%</t>
  </si>
  <si>
    <t>Andaime 50%</t>
  </si>
  <si>
    <t>Montagem de suportes metálicos no campo (perfilados, cantoneiras)(Quantidade Suportes)</t>
  </si>
  <si>
    <t xml:space="preserve">Caldeireiro </t>
  </si>
  <si>
    <t>Térreo 100%</t>
  </si>
  <si>
    <t>Andaime 0%</t>
  </si>
  <si>
    <t>Fabricar</t>
  </si>
  <si>
    <t>Fabricação Suportes metálicos (site)  (perfilados, cantoneiras, trilhos). (Quantidade Suportes)</t>
  </si>
  <si>
    <t>Instalação Dispositivos</t>
  </si>
  <si>
    <t>Montagem de manifolds nos instrumentos (Quantidade Manifolds)</t>
  </si>
  <si>
    <t>Eletricista</t>
  </si>
  <si>
    <t>Montagem de infraestrutura para rede  Informática (canaletas, racks, bandejas) (Metros Estimados)</t>
  </si>
  <si>
    <t>Montador</t>
  </si>
  <si>
    <t>PTA 50%</t>
  </si>
  <si>
    <t>Montagem de eletrocalhas metálicas  até 500 x (100 a 200 mm)(Metros)</t>
  </si>
  <si>
    <t>Montagem de eletrocalhas metálicas até 1500 x (100 a 200 mm) (Metros)</t>
  </si>
  <si>
    <t>Montagem de leitos  metálicos  até 500 mm (Metros)</t>
  </si>
  <si>
    <t>Montagem de leitos  metálicos acima de 500 mm (Metros)</t>
  </si>
  <si>
    <t>Montagem de Eletrocalhas aramadas. (Metros)</t>
  </si>
  <si>
    <t>Montagem de Eletrodutos. 1/2" a 1" (Metros)</t>
  </si>
  <si>
    <t>Montagem de Eletrodutos. 1.1/4" a 4"  (Metros)</t>
  </si>
  <si>
    <t>Montagem de Eletrodutos. PVC 1 " a  4"  (Metros)</t>
  </si>
  <si>
    <t>Montagem de caixas de junção , Botoeiras ( Sem interligação) (Peças) JB</t>
  </si>
  <si>
    <t>Conectar</t>
  </si>
  <si>
    <t>Conexão, interligação multicabos na JB, Caixas de junção  JB</t>
  </si>
  <si>
    <t>SPDA_Aterramento</t>
  </si>
  <si>
    <t>Montagem sistema SPDA (Quantidade de Pontos de Proteção)</t>
  </si>
  <si>
    <t>Interligação Conexão Conectorização</t>
  </si>
  <si>
    <t>Eletricista Força  &amp; Controle</t>
  </si>
  <si>
    <t>Montagem de barramentos de alta corrente Painéis ( Metros)</t>
  </si>
  <si>
    <t>Tampas Eletrocalhas acabamentos Selos CQ</t>
  </si>
  <si>
    <t>Montagem das tampas na Eletrocalha ( Metros)</t>
  </si>
  <si>
    <t>Ensaios e Testes</t>
  </si>
  <si>
    <t>Comissionar</t>
  </si>
  <si>
    <t>Medição de isolação de cabos  (megômetro) (Pontos Medição)</t>
  </si>
  <si>
    <t>Medição de continuidade, isolação, resistência de aterramento. (Quantidade Pontos)</t>
  </si>
  <si>
    <t>Comissionamento Startup</t>
  </si>
  <si>
    <t>Loop test (4-20 mA) ponto a ponto ( Quantidade Malhas)</t>
  </si>
  <si>
    <t xml:space="preserve">Lançamentos </t>
  </si>
  <si>
    <t>PTA 75%</t>
  </si>
  <si>
    <t>Lançar</t>
  </si>
  <si>
    <t>M&amp;P_ 7</t>
  </si>
  <si>
    <t>Lançamento de Fibra Óticas em Eletrocalhas e eletrodutos. (Metros)</t>
  </si>
  <si>
    <t>Lançamento de cabos de força, em eletrocalhas (Até 35 mm²) (Metros)</t>
  </si>
  <si>
    <t>Lançamento de cabos de força, em eletrocalhas (Cabos de 35 a 100mm²) (Metros)</t>
  </si>
  <si>
    <t>Lançamento de cabos de força, em eletrocalhas (Cabos acima 100mm²) (Metros)</t>
  </si>
  <si>
    <t>Lançamento de cabos de força em  eletrodutos. (até 25mm²) (Metros)</t>
  </si>
  <si>
    <t>Lançamento de cabos de força em  eletrodutos. (Acima 25mm²)  (Metros)</t>
  </si>
  <si>
    <t>Lançamento de cabos de força, em leitos (Até 95 mm²)  (Metros)</t>
  </si>
  <si>
    <t>Lançamento de cabos de força, em leitos (Acima de 95 mm²) (Metros)</t>
  </si>
  <si>
    <t>Lançamento de cabos de força, em Canaflex  (Até 95 mm²)  (Metros)</t>
  </si>
  <si>
    <t>Lançamento de cabos de força, em Canaflex(Acima de 95 mm²) (Metros)</t>
  </si>
  <si>
    <t>Lançamento de cabos de instrumentação, em eletrocalhas (Metros)</t>
  </si>
  <si>
    <t>Lançamento de cabos de Instrumentação em  eletrodutos.(Metros)</t>
  </si>
  <si>
    <t>Lançamento de cabos de Instrumentação em  Leitos.(Metros)</t>
  </si>
  <si>
    <t>M&amp;P_ 10</t>
  </si>
  <si>
    <t>Lançamento de cabo terra nu , em leitos , ou eletrocalhas (até 75mm²)(Metros)</t>
  </si>
  <si>
    <t>Lançamento de cabo terra nu , em leitos , ou eletrocalhas (Acima75mm²)(Metros)</t>
  </si>
  <si>
    <t>Lançamento de cabos de comunicação Redes (Metros)</t>
  </si>
  <si>
    <t>Lançamento de cabos de comunicação (Profibus, Ethernet industrial etc.). (Metros)</t>
  </si>
  <si>
    <t>Interligar</t>
  </si>
  <si>
    <t>Interligação Seal Tube em Motores (Quantidade Motores)</t>
  </si>
  <si>
    <t>Interligação entre painéis via dutos blindados ou Barramento (Paineis )</t>
  </si>
  <si>
    <t>Instalar</t>
  </si>
  <si>
    <t>Instalações de Postes para iluminação (Quantidade Postes)</t>
  </si>
  <si>
    <t>Instalação e fixação de painéis elétricos e CCMs (centros de controle de motores). (Quantidade Painéis)</t>
  </si>
  <si>
    <t>Instalação de transformadores BT/MT (Quantidade Trafos)</t>
  </si>
  <si>
    <t>Instalação de Tomadas , Disjuntores e Interruptores (Quantidade Itens)</t>
  </si>
  <si>
    <t>Montador de Quadros Elétricos</t>
  </si>
  <si>
    <t>Instalação de switches industriais (PoE, redundantes, gerenciáveis) (Quantidade Switches)</t>
  </si>
  <si>
    <t>Instalação de  atuadores, válvulas solenoides, Dispositivos de Válvulas. (Quantidade Devices)</t>
  </si>
  <si>
    <t>Instalação de malhas de aterramento e interligações entre painéis e equipamentos. (Metros)</t>
  </si>
  <si>
    <t>Instalação de iluminação industrial (LED, à prova de explosão etc.) (Quantidade)</t>
  </si>
  <si>
    <t>Instalação de disjuntores de potência (ACB, MCCB, etc.) (Quantidade)</t>
  </si>
  <si>
    <t>Instalação de paineis  CLPs e IHMs (Quantidade)</t>
  </si>
  <si>
    <t>Instalação de caixas de passagem e caixas de ligação Flexível Exx (Quantidade)</t>
  </si>
  <si>
    <t>CQ Documentação</t>
  </si>
  <si>
    <t>Documentar</t>
  </si>
  <si>
    <t>Identificação e organização de cabos. (Numero Identificações)</t>
  </si>
  <si>
    <t>Fixação e interligação de UPS e bancos de baterias (Quantidade)</t>
  </si>
  <si>
    <t>Fixação de transmissores de pressão, temperatura, vazão, nível  (quantidade)</t>
  </si>
  <si>
    <t>Fechamento de Unidades seladoras (Quantidade)</t>
  </si>
  <si>
    <t>Infra Estrutura Civil</t>
  </si>
  <si>
    <t>Executar Civil</t>
  </si>
  <si>
    <t>Escavação, para cabeamento (Metros Linear) (P 50 cm L- 25cm)</t>
  </si>
  <si>
    <t>Escavação, para cabeamento (Metros Linear) (P 100cm L- 50 a 100cm)</t>
  </si>
  <si>
    <t>Pedreiro</t>
  </si>
  <si>
    <t>Instalação Caixas de passagem de concreto (Quantidade))</t>
  </si>
  <si>
    <t>Instalação Caixas de passagem de  plástico, Poliamida (Quantidade))</t>
  </si>
  <si>
    <t>Instalação Câmeras CFTV (Quantidade))</t>
  </si>
  <si>
    <t>Instalação Captor aéreo c/ Bandeira e base horizontal (quantidade)</t>
  </si>
  <si>
    <t>Interligar  Hastes Aterramento  e Solda ou Crimpagem (quantidade)</t>
  </si>
  <si>
    <t>Energização de painéis (por etapas) (Quantidade)</t>
  </si>
  <si>
    <t>Emendas especiais de Cabos (Qt. Emendas Previstas)</t>
  </si>
  <si>
    <t>Cravar</t>
  </si>
  <si>
    <t>Cravação de hastes de aterramento. (Qt de Hastes)</t>
  </si>
  <si>
    <t>Instalação Cabo Terminal  dos motores abaixo 30 CV (Quantidade)</t>
  </si>
  <si>
    <t>Ligação , conectorização  elétrica dos motores abaixo 30 CV (Quantidade)</t>
  </si>
  <si>
    <t>Instalação Cabo Terminal dos motores entre  30 a 100CV (Quantidade)</t>
  </si>
  <si>
    <t>Ligação , conectorização  elétrica  dos motores entre  30 a 100CV (Quantidade)</t>
  </si>
  <si>
    <t>Instalação Cabo Terminal dos motores abaixo Acima de 100 CV (Quantidade)</t>
  </si>
  <si>
    <t>Ligação , conectorização  elétrica  dos motores abaixo Acima de 100 CV (Quantidade)</t>
  </si>
  <si>
    <t>Conexão  4-20 mA, HART ou digitais instrumentos (Quantidade)</t>
  </si>
  <si>
    <t>Conectorização com Muflas (Quantidade)</t>
  </si>
  <si>
    <t>Testar</t>
  </si>
  <si>
    <t>Calibração básica de instrumentos (Quantidade)</t>
  </si>
  <si>
    <t>Aterramento dos motores e estruturas. (Quantidade Motores)</t>
  </si>
  <si>
    <t>Asbuilt, Documentação (Estimativa Dias)</t>
  </si>
  <si>
    <t>Encaminhar</t>
  </si>
  <si>
    <t>Lançamento cabo de Aterramento (Metros)</t>
  </si>
  <si>
    <t>Posicionar</t>
  </si>
  <si>
    <t>Alocação de Gerador Diesel (Quantidade)</t>
  </si>
  <si>
    <t>Infra Estrutura Elétrica e Instrumentação</t>
  </si>
  <si>
    <t>Montagem de Canaflex até 3" (Metros)</t>
  </si>
  <si>
    <t>Montagem de Canaflex acima 3" (Metros)</t>
  </si>
  <si>
    <t>Verificação de sentido de giro de motores (Qt Motores)</t>
  </si>
  <si>
    <t>Eng. Automação</t>
  </si>
  <si>
    <t>Verificação de anéis redundantes (MRP, DLR) (Numero dispositivos na rede)</t>
  </si>
  <si>
    <t>Verificação da conexão de transmissores (Qt Instrumentos)</t>
  </si>
  <si>
    <t>Validação de instrumentos com supervisório (Qt Instrumentos)</t>
  </si>
  <si>
    <t>Teste ponto a ponto de motores e dispositivos ( Quantidade)</t>
  </si>
  <si>
    <t>Teste de funcionalidade em painéis BT e CCMs (Qt Paineis)</t>
  </si>
  <si>
    <t>Teste de continuidade de condutores (Pontos)</t>
  </si>
  <si>
    <t>Teste de comunicação (Ping, protocolo) (Numero de redes)</t>
  </si>
  <si>
    <t>Infraestrutura  Mecânica</t>
  </si>
  <si>
    <t>Mecânico</t>
  </si>
  <si>
    <t>Apoiar Especial</t>
  </si>
  <si>
    <t>Serviços mecânicos gerais (estimativa)</t>
  </si>
  <si>
    <t>Serviços de apoio à montagem (estimativa)</t>
  </si>
  <si>
    <t>Fixação de motores elétricos BT (Qt Motores)</t>
  </si>
  <si>
    <t>Fixação de motores elétricos MT (Qt Motores)</t>
  </si>
  <si>
    <t>Perfuração e fixação em estruturas metálicas (Numero de Fixação)</t>
  </si>
  <si>
    <t>Montagem Caixas Painéis</t>
  </si>
  <si>
    <t>Montagem interna de painéis (CLP, relés, barramentos) (Qt Paineis)</t>
  </si>
  <si>
    <t>Montagem de caixas de junção sem interligação ( Qt Paineis JB)</t>
  </si>
  <si>
    <t>Conexão/interligação multicabos em caixas de junção (Qt JBs)</t>
  </si>
  <si>
    <t>Montagem sistema SPDA (quantidade de pontos)</t>
  </si>
  <si>
    <t>Conexão/interligação de borneira - painel automação e JBs (Qt Pontos)</t>
  </si>
  <si>
    <t>Conexão/interligação de borneira - painel BT (Qt Dispositivos)</t>
  </si>
  <si>
    <t>Conexão/interligação de borneira - painel MT (Qt Paineis)</t>
  </si>
  <si>
    <t>Conexão/interligação entre painéis internos (Qt Pontos)</t>
  </si>
  <si>
    <t>Conexão/interligação de redes em painéis automação/CCM (Qt Pontos)</t>
  </si>
  <si>
    <t>Leve</t>
  </si>
  <si>
    <t>Pesada</t>
  </si>
  <si>
    <t>MT</t>
  </si>
  <si>
    <t>BT</t>
  </si>
  <si>
    <t>N Importa</t>
  </si>
  <si>
    <t>Infraestrutura Pneumática</t>
  </si>
  <si>
    <t>Instalação de Painéis e JBs</t>
  </si>
  <si>
    <t>Arrebitar</t>
  </si>
  <si>
    <t>Cortar</t>
  </si>
  <si>
    <t>Escavar</t>
  </si>
  <si>
    <t>Fazer Suportes</t>
  </si>
  <si>
    <t>Jatear</t>
  </si>
  <si>
    <t>Limpar</t>
  </si>
  <si>
    <t>Parafusar</t>
  </si>
  <si>
    <t>Pintar</t>
  </si>
  <si>
    <t>Pregar</t>
  </si>
  <si>
    <t>Revisar</t>
  </si>
  <si>
    <t>Soldar</t>
  </si>
  <si>
    <t>Analista de Automação</t>
  </si>
  <si>
    <t>Auxiliar Serviços Sr.</t>
  </si>
  <si>
    <t>Carpinteiro de Obra</t>
  </si>
  <si>
    <t>Eletricista Montador</t>
  </si>
  <si>
    <t>Encarregado de Obra</t>
  </si>
  <si>
    <t>Eng. Eletricista</t>
  </si>
  <si>
    <t>Engenheiro Civil</t>
  </si>
  <si>
    <t>Engenheiro Mecânico</t>
  </si>
  <si>
    <t>FC - Eletricista</t>
  </si>
  <si>
    <t>Lubrificador</t>
  </si>
  <si>
    <t>Mecânico de Manutenção</t>
  </si>
  <si>
    <t>Mecânico Montador</t>
  </si>
  <si>
    <t>Mestre de Obra</t>
  </si>
  <si>
    <t>Montador de Andaime</t>
  </si>
  <si>
    <t>Montador Fibra ótica</t>
  </si>
  <si>
    <t>Motorista</t>
  </si>
  <si>
    <t>Motorista de Comboio</t>
  </si>
  <si>
    <t>Motorista de Munck</t>
  </si>
  <si>
    <t>Operador de Bate Estaca</t>
  </si>
  <si>
    <t>Operador de Máquinas</t>
  </si>
  <si>
    <t>Servente de Pedreiro</t>
  </si>
  <si>
    <t>Técnico de válvulas</t>
  </si>
  <si>
    <t>Técnico Eletrônico</t>
  </si>
  <si>
    <t>Técnico em Construção Civil</t>
  </si>
  <si>
    <t>Técnico Instrumentação</t>
  </si>
  <si>
    <t>Técnico Meio Ambiente</t>
  </si>
  <si>
    <t>Topógrafo</t>
  </si>
  <si>
    <t>Torneiro</t>
  </si>
  <si>
    <t>Tubista</t>
  </si>
  <si>
    <t>Acabamentos, Finalização</t>
  </si>
  <si>
    <t>Anilhamento, Tags, presilhas</t>
  </si>
  <si>
    <t>Automação PLCs, SDCDS e IHMs</t>
  </si>
  <si>
    <t>Caixas Passagens, Valetas</t>
  </si>
  <si>
    <t>CFTV, Câmeras, Dispositivos</t>
  </si>
  <si>
    <t>Computadores, COI, Sistemas TV</t>
  </si>
  <si>
    <t>Conexão de Cabos em Painéis</t>
  </si>
  <si>
    <t>Conexão de Devices</t>
  </si>
  <si>
    <t>Conexão de Motores</t>
  </si>
  <si>
    <t>Ensaios , Testes e Comissionamentos</t>
  </si>
  <si>
    <t>Infraestrutura Eletrica e Instrumentação</t>
  </si>
  <si>
    <t>Instalação de Motores e Maquinas</t>
  </si>
  <si>
    <t>Instalação Instrumentos e sensores</t>
  </si>
  <si>
    <t>Lançamentos de cabos</t>
  </si>
  <si>
    <t>Montagem e Instalação de Painéis Elétricos</t>
  </si>
  <si>
    <t>Montagem Mecânica</t>
  </si>
  <si>
    <t>Redes e Dispositivos de Redes</t>
  </si>
  <si>
    <t>Selos de atividades</t>
  </si>
  <si>
    <t>Sistema de Aterramento</t>
  </si>
  <si>
    <t>Site, Mobilização, Estrutura</t>
  </si>
  <si>
    <t>Suportação da Infraestrutura</t>
  </si>
  <si>
    <t>Área Classificada</t>
  </si>
  <si>
    <t>0% Patamar</t>
  </si>
  <si>
    <t>0%_Elevado</t>
  </si>
  <si>
    <t>Seq</t>
  </si>
  <si>
    <t>Tipo</t>
  </si>
  <si>
    <t>Fee</t>
  </si>
  <si>
    <t>%</t>
  </si>
  <si>
    <t>Andaime 100%</t>
  </si>
  <si>
    <t>Andaimes 75%</t>
  </si>
  <si>
    <t>Patamar 0%</t>
  </si>
  <si>
    <t>Patamar 100%</t>
  </si>
  <si>
    <t>Patamar 25%</t>
  </si>
  <si>
    <t>Patamar 50%</t>
  </si>
  <si>
    <t>Patamar 75%</t>
  </si>
  <si>
    <t>PTA  100%</t>
  </si>
  <si>
    <t>PTA 0%</t>
  </si>
  <si>
    <t>PTA 25%</t>
  </si>
  <si>
    <t>Térreo 0%</t>
  </si>
  <si>
    <t>Térreo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</si>
</sst>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R$&quot;\ * #,##0.00_-;\-&quot;R$&quot;\ * #,##0.00_-;_-&quot;R$&quot;\ * &quot;-&quot;??_-;_-@_-"/>
    <numFmt numFmtId="43" formatCode="_-* #,##0.00_-;\-* #,##0.00_-;_-* &quot;-&quot;??_-;_-@_-"/>
    <numFmt numFmtId="165" formatCode="0.0%"/>
    <numFmt numFmtId="166" formatCode="[$-F400]h:mm:ss\ AM/PM"/>
    <numFmt numFmtId="167" formatCode="hh:mm\ &quot;H&quot;"/>
    <numFmt numFmtId="168" formatCode="#,##0.00_ ;[Red]\-#,##0.00\ "/>
    <numFmt numFmtId="169" formatCode="0.00\ &quot;hrs&quot;"/>
    <numFmt numFmtId="170" formatCode="0.0\ &quot;dia&quot;"/>
    <numFmt numFmtId="171" formatCode="#,##0\ &quot;hrs&quot;"/>
    <numFmt numFmtId="172" formatCode="_-&quot;R$&quot;\ * #,##0.00_-;\-&quot;R$&quot;\ * #,##0.00_-;_-&quot;R$&quot;\ * &quot;-&quot;??_-;_-@_-\ &quot;/ hr&quot;"/>
    <numFmt numFmtId="173" formatCode="0\ &quot;Dias&quot;"/>
    <numFmt numFmtId="174" formatCode="&quot;Capacidade em &quot;h:mm;@"/>
    <numFmt numFmtId="175" formatCode="#,##0_ ;[Red]\-#,##0\ "/>
    <numFmt numFmtId="176" formatCode="#,##0.0_ ;[Red]\-#,##0.0\ "/>
    <numFmt numFmtId="177" formatCode="0\ &quot;HH&quot;"/>
    <numFmt numFmtId="178" formatCode="0\ &quot;hrs&quot;"/>
    <numFmt numFmtId="179" formatCode="0.000"/>
    <numFmt numFmtId="180" formatCode="0.0"/>
    <numFmt numFmtId="181" formatCode="0.0000"/>
  </numFmts>
  <fonts count="106" x14ac:knownFonts="1">
    <font>
      <sz val="11"/>
      <color theme="1"/>
      <name val="Calibri"/>
      <family val="2"/>
      <scheme val="minor"/>
    </font>
    <font>
      <sz val="11"/>
      <color theme="1"/>
      <name val="Calibri"/>
      <family val="2"/>
      <scheme val="minor"/>
    </font>
    <font>
      <sz val="8"/>
      <color theme="1"/>
      <name val="Arial"/>
      <family val="2"/>
    </font>
    <font>
      <b/>
      <sz val="8"/>
      <color theme="1"/>
      <name val="Arial"/>
      <family val="2"/>
    </font>
    <font>
      <sz val="9"/>
      <color theme="1"/>
      <name val="Arial"/>
      <family val="2"/>
    </font>
    <font>
      <b/>
      <sz val="8"/>
      <name val="Arial"/>
      <family val="2"/>
    </font>
    <font>
      <sz val="11"/>
      <color theme="1"/>
      <name val="Arial"/>
      <family val="2"/>
    </font>
    <font>
      <b/>
      <sz val="12"/>
      <color theme="1"/>
      <name val="Arial"/>
      <family val="2"/>
    </font>
    <font>
      <b/>
      <sz val="14"/>
      <color rgb="FFFF0000"/>
      <name val="Calibri"/>
      <family val="2"/>
      <scheme val="minor"/>
    </font>
    <font>
      <sz val="14"/>
      <color rgb="FF000000"/>
      <name val="Calibri"/>
      <family val="2"/>
      <scheme val="minor"/>
    </font>
    <font>
      <b/>
      <sz val="16"/>
      <color rgb="FFFF0000"/>
      <name val="Calibri"/>
      <family val="2"/>
      <scheme val="minor"/>
    </font>
    <font>
      <b/>
      <sz val="10"/>
      <color theme="1"/>
      <name val="Arial"/>
      <family val="2"/>
    </font>
    <font>
      <sz val="36"/>
      <color theme="1"/>
      <name val="Arial"/>
      <family val="2"/>
    </font>
    <font>
      <b/>
      <sz val="11"/>
      <color rgb="FFFF0000"/>
      <name val="Arial"/>
      <family val="2"/>
    </font>
    <font>
      <b/>
      <sz val="7"/>
      <color theme="1"/>
      <name val="Arial"/>
      <family val="2"/>
    </font>
    <font>
      <sz val="9"/>
      <color theme="1"/>
      <name val="Arial Narrow"/>
      <family val="2"/>
    </font>
    <font>
      <sz val="7"/>
      <color theme="1"/>
      <name val="Arial"/>
      <family val="2"/>
    </font>
    <font>
      <b/>
      <sz val="11"/>
      <color theme="1"/>
      <name val="Arial"/>
      <family val="2"/>
    </font>
    <font>
      <b/>
      <sz val="10"/>
      <color rgb="FFFF0000"/>
      <name val="Arial"/>
      <family val="2"/>
    </font>
    <font>
      <b/>
      <sz val="14"/>
      <color rgb="FFC00000"/>
      <name val="Arial Narrow"/>
      <family val="2"/>
    </font>
    <font>
      <b/>
      <sz val="9"/>
      <color theme="1"/>
      <name val="Arial"/>
      <family val="2"/>
    </font>
    <font>
      <b/>
      <sz val="10"/>
      <name val="Arial"/>
      <family val="2"/>
    </font>
    <font>
      <b/>
      <sz val="10"/>
      <color rgb="FFC00000"/>
      <name val="Arial"/>
      <family val="2"/>
    </font>
    <font>
      <sz val="11"/>
      <name val="Arial"/>
      <family val="2"/>
    </font>
    <font>
      <sz val="8"/>
      <name val="Arial"/>
      <family val="2"/>
    </font>
    <font>
      <sz val="12"/>
      <color theme="1"/>
      <name val="Arial"/>
      <family val="2"/>
    </font>
    <font>
      <sz val="14"/>
      <color theme="1"/>
      <name val="Arial"/>
      <family val="2"/>
    </font>
    <font>
      <b/>
      <sz val="14"/>
      <name val="Arial Narrow"/>
      <family val="2"/>
    </font>
    <font>
      <b/>
      <sz val="8"/>
      <color rgb="FFFFFF00"/>
      <name val="Arial"/>
      <family val="2"/>
    </font>
    <font>
      <b/>
      <sz val="8"/>
      <color theme="0"/>
      <name val="Arial"/>
      <family val="2"/>
    </font>
    <font>
      <b/>
      <sz val="6"/>
      <color rgb="FFFFFF00"/>
      <name val="Arial"/>
      <family val="2"/>
    </font>
    <font>
      <sz val="12"/>
      <color rgb="FFFFFF00"/>
      <name val="Arial"/>
      <family val="2"/>
    </font>
    <font>
      <sz val="16"/>
      <color rgb="FFFFFF00"/>
      <name val="Arial"/>
      <family val="2"/>
    </font>
    <font>
      <b/>
      <sz val="11"/>
      <name val="Arial"/>
      <family val="2"/>
    </font>
    <font>
      <sz val="20"/>
      <color theme="1"/>
      <name val="Arial"/>
      <family val="2"/>
    </font>
    <font>
      <b/>
      <sz val="10"/>
      <color rgb="FFFFFF00"/>
      <name val="Arial"/>
      <family val="2"/>
    </font>
    <font>
      <sz val="8"/>
      <color rgb="FFFFC000"/>
      <name val="Arial"/>
      <family val="2"/>
    </font>
    <font>
      <sz val="10"/>
      <color theme="1"/>
      <name val="Arial"/>
      <family val="2"/>
    </font>
    <font>
      <b/>
      <sz val="8"/>
      <color theme="9" tint="0.59999389629810485"/>
      <name val="Arial"/>
      <family val="2"/>
    </font>
    <font>
      <b/>
      <sz val="8"/>
      <color theme="2" tint="-0.249977111117893"/>
      <name val="Arial"/>
      <family val="2"/>
    </font>
    <font>
      <sz val="10"/>
      <color theme="1"/>
      <name val="Arial Narrow"/>
      <family val="2"/>
    </font>
    <font>
      <sz val="6"/>
      <color theme="2" tint="-0.249977111117893"/>
      <name val="Arial"/>
      <family val="2"/>
    </font>
    <font>
      <b/>
      <sz val="12"/>
      <name val="Arial"/>
      <family val="2"/>
    </font>
    <font>
      <b/>
      <sz val="10"/>
      <color theme="9" tint="0.59999389629810485"/>
      <name val="Arial"/>
      <family val="2"/>
    </font>
    <font>
      <b/>
      <sz val="10"/>
      <color theme="2" tint="-0.249977111117893"/>
      <name val="Arial"/>
      <family val="2"/>
    </font>
    <font>
      <sz val="14"/>
      <name val="Arial"/>
      <family val="2"/>
    </font>
    <font>
      <b/>
      <sz val="11"/>
      <color rgb="FFC00000"/>
      <name val="Arial Narrow"/>
      <family val="2"/>
    </font>
    <font>
      <sz val="12"/>
      <name val="Arial Narrow"/>
      <family val="2"/>
    </font>
    <font>
      <sz val="7"/>
      <color theme="1"/>
      <name val="Arial Narrow"/>
      <family val="2"/>
    </font>
    <font>
      <sz val="11"/>
      <color rgb="FFFFFF00"/>
      <name val="Arial Narrow"/>
      <family val="2"/>
    </font>
    <font>
      <sz val="12"/>
      <color rgb="FFFFFF00"/>
      <name val="Arial Narrow"/>
      <family val="2"/>
    </font>
    <font>
      <sz val="14"/>
      <color rgb="FFFFFF00"/>
      <name val="Arial Rounded MT Bold"/>
      <family val="2"/>
    </font>
    <font>
      <sz val="7"/>
      <color rgb="FFFFFF00"/>
      <name val="Arial Narrow"/>
      <family val="2"/>
    </font>
    <font>
      <sz val="12"/>
      <name val="Arial Rounded MT Bold"/>
      <family val="2"/>
    </font>
    <font>
      <sz val="11"/>
      <color theme="1"/>
      <name val="Arial Narrow"/>
      <family val="2"/>
    </font>
    <font>
      <sz val="12"/>
      <color theme="1"/>
      <name val="Arial Narrow"/>
      <family val="2"/>
    </font>
    <font>
      <sz val="14"/>
      <color theme="1"/>
      <name val="Arial Narrow"/>
      <family val="2"/>
    </font>
    <font>
      <sz val="11"/>
      <name val="Arial Rounded MT Bold"/>
      <family val="2"/>
    </font>
    <font>
      <b/>
      <sz val="9"/>
      <color rgb="FFFF0000"/>
      <name val="Arial"/>
      <family val="2"/>
    </font>
    <font>
      <sz val="8"/>
      <color theme="1"/>
      <name val="Arial Narrow"/>
      <family val="2"/>
    </font>
    <font>
      <b/>
      <sz val="1"/>
      <color theme="0" tint="-4.9989318521683403E-2"/>
      <name val="Calibri"/>
      <family val="2"/>
      <scheme val="minor"/>
    </font>
    <font>
      <sz val="10"/>
      <name val="Calibri"/>
      <family val="2"/>
      <scheme val="minor"/>
    </font>
    <font>
      <sz val="6"/>
      <color theme="1"/>
      <name val="Arial"/>
      <family val="2"/>
    </font>
    <font>
      <sz val="10"/>
      <color theme="3" tint="-0.499984740745262"/>
      <name val="Arial Narrow"/>
      <family val="2"/>
    </font>
    <font>
      <sz val="9"/>
      <color theme="1"/>
      <name val="Calibri"/>
      <family val="2"/>
      <scheme val="minor"/>
    </font>
    <font>
      <sz val="10"/>
      <color theme="1"/>
      <name val="Aptos Narrow"/>
      <family val="2"/>
    </font>
    <font>
      <sz val="12"/>
      <color theme="1"/>
      <name val="Arial Rounded MT Bold"/>
      <family val="2"/>
    </font>
    <font>
      <sz val="10"/>
      <name val="Aptos Narrow"/>
      <family val="2"/>
    </font>
    <font>
      <sz val="11"/>
      <name val="Arial Nova Cond"/>
      <family val="2"/>
    </font>
    <font>
      <sz val="7"/>
      <name val="Arial Narrow"/>
      <family val="2"/>
    </font>
    <font>
      <sz val="8"/>
      <name val="Arial Narrow"/>
      <family val="2"/>
    </font>
    <font>
      <sz val="10"/>
      <name val="Arial Narrow"/>
      <family val="2"/>
    </font>
    <font>
      <b/>
      <sz val="11"/>
      <name val="Calibri"/>
      <family val="2"/>
      <scheme val="minor"/>
    </font>
    <font>
      <sz val="11"/>
      <name val="Arial Narrow"/>
      <family val="2"/>
    </font>
    <font>
      <sz val="11"/>
      <name val="Calibri"/>
      <family val="2"/>
      <scheme val="minor"/>
    </font>
    <font>
      <sz val="9"/>
      <name val="Arial Narrow"/>
      <family val="2"/>
    </font>
    <font>
      <sz val="7"/>
      <name val="Arial"/>
      <family val="2"/>
    </font>
    <font>
      <sz val="10"/>
      <color rgb="FFFF0000"/>
      <name val="Aptos Narrow"/>
      <family val="2"/>
    </font>
    <font>
      <sz val="10"/>
      <name val="Arial"/>
      <family val="2"/>
    </font>
    <font>
      <sz val="11"/>
      <color rgb="FF7030A0"/>
      <name val="Arial Narrow"/>
      <family val="2"/>
    </font>
    <font>
      <sz val="9"/>
      <color rgb="FF7030A0"/>
      <name val="Arial Narrow"/>
      <family val="2"/>
    </font>
    <font>
      <sz val="8"/>
      <color rgb="FF7030A0"/>
      <name val="Arial Narrow"/>
      <family val="2"/>
    </font>
    <font>
      <b/>
      <sz val="10"/>
      <color rgb="FF7030A0"/>
      <name val="Arial"/>
      <family val="2"/>
    </font>
    <font>
      <sz val="7"/>
      <color rgb="FF7030A0"/>
      <name val="Arial"/>
      <family val="2"/>
    </font>
    <font>
      <sz val="6"/>
      <color rgb="FF7030A0"/>
      <name val="Arial"/>
      <family val="2"/>
    </font>
    <font>
      <sz val="11"/>
      <color rgb="FFFF0000"/>
      <name val="Arial Narrow"/>
      <family val="2"/>
    </font>
    <font>
      <sz val="9"/>
      <color rgb="FFFF0000"/>
      <name val="Arial Narrow"/>
      <family val="2"/>
    </font>
    <font>
      <sz val="8"/>
      <color rgb="FFFF0000"/>
      <name val="Arial Narrow"/>
      <family val="2"/>
    </font>
    <font>
      <sz val="7"/>
      <color rgb="FFFF0000"/>
      <name val="Arial"/>
      <family val="2"/>
    </font>
    <font>
      <b/>
      <sz val="10"/>
      <color rgb="FFC00000"/>
      <name val="Calibri"/>
      <family val="2"/>
      <scheme val="minor"/>
    </font>
    <font>
      <sz val="10"/>
      <color rgb="FF492DF3"/>
      <name val="Arial"/>
      <family val="2"/>
    </font>
    <font>
      <sz val="9"/>
      <color theme="1"/>
      <name val="Arial Nova"/>
      <family val="2"/>
    </font>
    <font>
      <sz val="11"/>
      <color theme="1"/>
      <name val="Arial Nova Cond"/>
      <family val="2"/>
    </font>
    <font>
      <sz val="5"/>
      <color theme="1"/>
      <name val="Calibri"/>
      <family val="2"/>
      <scheme val="minor"/>
    </font>
    <font>
      <sz val="5"/>
      <color theme="1"/>
      <name val="Arial"/>
      <family val="2"/>
    </font>
    <font>
      <sz val="10"/>
      <color theme="1"/>
      <name val="Calibri"/>
      <family val="2"/>
      <scheme val="minor"/>
    </font>
    <font>
      <b/>
      <sz val="10"/>
      <color theme="1"/>
      <name val="Calibri"/>
      <family val="2"/>
      <scheme val="minor"/>
    </font>
    <font>
      <sz val="10"/>
      <color theme="1"/>
      <name val="Century Gothic"/>
      <family val="2"/>
    </font>
    <font>
      <sz val="5"/>
      <name val="Arial Narrow"/>
      <family val="2"/>
    </font>
    <font>
      <b/>
      <sz val="5"/>
      <color theme="1"/>
      <name val="Calibri"/>
      <family val="2"/>
      <scheme val="minor"/>
    </font>
    <font>
      <b/>
      <sz val="12"/>
      <color theme="1"/>
      <name val="Calibri"/>
      <family val="2"/>
      <scheme val="minor"/>
    </font>
    <font>
      <b/>
      <sz val="13.5"/>
      <color theme="1"/>
      <name val="Calibri"/>
      <family val="2"/>
      <scheme val="minor"/>
    </font>
    <font>
      <b/>
      <sz val="18"/>
      <color theme="1"/>
      <name val="Calibri"/>
      <family val="2"/>
      <scheme val="minor"/>
    </font>
    <font>
      <b/>
      <sz val="9"/>
      <color indexed="81"/>
      <name val="Segoe UI"/>
      <family val="2"/>
    </font>
    <font>
      <sz val="9"/>
      <color indexed="81"/>
      <name val="Segoe UI"/>
      <family val="2"/>
    </font>
    <font>
      <sz val="9"/>
      <color indexed="81"/>
      <name val="Tahoma"/>
      <family val="2"/>
    </font>
  </fonts>
  <fills count="47">
    <fill>
      <patternFill patternType="none"/>
    </fill>
    <fill>
      <patternFill patternType="gray125"/>
    </fill>
    <fill>
      <patternFill patternType="solid">
        <fgColor rgb="FFFFFF99"/>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gradientFill degree="45">
        <stop position="0">
          <color rgb="FFFFC000"/>
        </stop>
        <stop position="1">
          <color theme="9" tint="0.59999389629810485"/>
        </stop>
      </gradient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rgb="FFFFCC00"/>
        <bgColor indexed="64"/>
      </patternFill>
    </fill>
    <fill>
      <patternFill patternType="solid">
        <fgColor rgb="FFFFFF00"/>
        <bgColor auto="1"/>
      </patternFill>
    </fill>
    <fill>
      <patternFill patternType="mediumGray">
        <fgColor rgb="FFFFC000"/>
        <bgColor theme="9" tint="0.59999389629810485"/>
      </patternFill>
    </fill>
    <fill>
      <patternFill patternType="lightGray">
        <fgColor theme="8" tint="0.59996337778862885"/>
        <bgColor rgb="FFFFC000"/>
      </patternFill>
    </fill>
    <fill>
      <patternFill patternType="mediumGray">
        <fgColor rgb="FFFFFF99"/>
        <bgColor theme="7" tint="0.79998168889431442"/>
      </patternFill>
    </fill>
    <fill>
      <patternFill patternType="solid">
        <fgColor theme="6" tint="0.39997558519241921"/>
        <bgColor indexed="64"/>
      </patternFill>
    </fill>
    <fill>
      <patternFill patternType="solid">
        <fgColor theme="5" tint="0.59999389629810485"/>
        <bgColor auto="1"/>
      </patternFill>
    </fill>
    <fill>
      <patternFill patternType="solid">
        <fgColor rgb="FFFF0000"/>
        <bgColor indexed="64"/>
      </patternFill>
    </fill>
    <fill>
      <patternFill patternType="solid">
        <fgColor rgb="FFFFC000"/>
        <bgColor indexed="64"/>
      </patternFill>
    </fill>
    <fill>
      <patternFill patternType="solid">
        <fgColor theme="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6" tint="0.39997558519241921"/>
        <bgColor auto="1"/>
      </patternFill>
    </fill>
    <fill>
      <patternFill patternType="solid">
        <fgColor theme="0" tint="-0.14999847407452621"/>
        <bgColor indexed="64"/>
      </patternFill>
    </fill>
    <fill>
      <patternFill patternType="solid">
        <fgColor rgb="FFE9EF9D"/>
        <bgColor indexed="64"/>
      </patternFill>
    </fill>
    <fill>
      <patternFill patternType="solid">
        <fgColor theme="8" tint="0.79998168889431442"/>
        <bgColor indexed="64"/>
      </patternFill>
    </fill>
    <fill>
      <patternFill patternType="solid">
        <fgColor theme="0" tint="-0.14999847407452621"/>
        <bgColor auto="1"/>
      </patternFill>
    </fill>
    <fill>
      <patternFill patternType="solid">
        <fgColor rgb="FF492DF3"/>
        <bgColor indexed="64"/>
      </patternFill>
    </fill>
    <fill>
      <patternFill patternType="solid">
        <fgColor rgb="FFFFC000"/>
        <bgColor theme="0"/>
      </patternFill>
    </fill>
    <fill>
      <patternFill patternType="solid">
        <fgColor rgb="FFFFFFCC"/>
        <bgColor indexed="64"/>
      </patternFill>
    </fill>
    <fill>
      <patternFill patternType="lightGray">
        <fgColor theme="4" tint="0.79998168889431442"/>
        <bgColor rgb="FFFFFFCC"/>
      </patternFill>
    </fill>
    <fill>
      <patternFill patternType="solid">
        <fgColor theme="4" tint="0.59999389629810485"/>
        <bgColor indexed="64"/>
      </patternFill>
    </fill>
    <fill>
      <patternFill patternType="lightGray">
        <fgColor rgb="FF24E61A"/>
        <bgColor rgb="FFFFFF00"/>
      </patternFill>
    </fill>
    <fill>
      <patternFill patternType="lightGray">
        <fgColor rgb="FF24E61A"/>
        <bgColor theme="6" tint="0.39994506668294322"/>
      </patternFill>
    </fill>
    <fill>
      <patternFill patternType="mediumGray">
        <fgColor rgb="FFFFC000"/>
        <bgColor theme="5" tint="0.79998168889431442"/>
      </patternFill>
    </fill>
    <fill>
      <patternFill patternType="lightGray">
        <fgColor theme="8" tint="0.59996337778862885"/>
        <bgColor theme="5" tint="0.79998168889431442"/>
      </patternFill>
    </fill>
    <fill>
      <patternFill patternType="mediumGray">
        <fgColor rgb="FFFFFF99"/>
        <bgColor theme="5" tint="0.79998168889431442"/>
      </patternFill>
    </fill>
    <fill>
      <patternFill patternType="solid">
        <fgColor theme="9" tint="0.59999389629810485"/>
        <bgColor indexed="64"/>
      </patternFill>
    </fill>
    <fill>
      <patternFill patternType="solid">
        <fgColor theme="9" tint="0.59999389629810485"/>
        <bgColor auto="1"/>
      </patternFill>
    </fill>
    <fill>
      <patternFill patternType="mediumGray">
        <fgColor theme="5" tint="0.59996337778862885"/>
        <bgColor theme="9" tint="0.59999389629810485"/>
      </patternFill>
    </fill>
    <fill>
      <patternFill patternType="mediumGray">
        <fgColor theme="2" tint="-9.9948118533890809E-2"/>
        <bgColor theme="9" tint="0.59999389629810485"/>
      </patternFill>
    </fill>
    <fill>
      <patternFill patternType="mediumGray">
        <fgColor rgb="FF92D050"/>
        <bgColor theme="9" tint="0.59999389629810485"/>
      </patternFill>
    </fill>
    <fill>
      <patternFill patternType="lightGray">
        <fgColor theme="4" tint="0.79998168889431442"/>
        <bgColor theme="9" tint="0.59999389629810485"/>
      </patternFill>
    </fill>
    <fill>
      <patternFill patternType="lightGray">
        <fgColor rgb="FF24E61A"/>
        <bgColor theme="9" tint="0.59999389629810485"/>
      </patternFill>
    </fill>
    <fill>
      <patternFill patternType="gray125">
        <fgColor theme="8" tint="0.79998168889431442"/>
        <bgColor theme="9" tint="0.59999389629810485"/>
      </patternFill>
    </fill>
    <fill>
      <patternFill patternType="lightGray">
        <fgColor theme="8" tint="0.59996337778862885"/>
        <bgColor theme="9" tint="0.59999389629810485"/>
      </patternFill>
    </fill>
    <fill>
      <patternFill patternType="mediumGray">
        <fgColor rgb="FFFFFF99"/>
        <bgColor theme="9" tint="0.59999389629810485"/>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right/>
      <top/>
      <bottom style="thin">
        <color indexed="64"/>
      </bottom>
      <diagonal/>
    </border>
    <border>
      <left/>
      <right style="thin">
        <color indexed="64"/>
      </right>
      <top/>
      <bottom style="thin">
        <color indexed="64"/>
      </bottom>
      <diagonal/>
    </border>
    <border>
      <left style="thin">
        <color rgb="FFFFFFFF"/>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style="thin">
        <color rgb="FFFFFFFF"/>
      </bottom>
      <diagonal/>
    </border>
    <border>
      <left/>
      <right style="thin">
        <color rgb="FFFFFFFF"/>
      </right>
      <top/>
      <bottom style="thin">
        <color rgb="FFFFFFFF"/>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xf numFmtId="0" fontId="97" fillId="0" borderId="0"/>
  </cellStyleXfs>
  <cellXfs count="337">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2" xfId="0" applyFont="1" applyBorder="1" applyAlignment="1">
      <alignment horizontal="center" vertical="center" wrapText="1"/>
    </xf>
    <xf numFmtId="0" fontId="2" fillId="0" borderId="2" xfId="0" applyFont="1" applyBorder="1" applyAlignment="1">
      <alignment horizontal="right" vertical="center" wrapText="1"/>
    </xf>
    <xf numFmtId="0" fontId="2" fillId="0" borderId="2" xfId="0" applyFont="1" applyBorder="1" applyAlignment="1">
      <alignment horizontal="left" vertical="center" wrapText="1"/>
    </xf>
    <xf numFmtId="0" fontId="2" fillId="0" borderId="0" xfId="0" applyFont="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0" xfId="0" applyFont="1" applyAlignment="1">
      <alignment horizontal="center"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xf numFmtId="0" fontId="3" fillId="0" borderId="6" xfId="0" applyFont="1" applyBorder="1" applyAlignment="1">
      <alignment horizontal="center" vertical="center" wrapText="1"/>
    </xf>
    <xf numFmtId="0" fontId="2" fillId="0" borderId="6" xfId="0" applyFont="1" applyBorder="1" applyAlignment="1">
      <alignment horizontal="center" vertical="center" wrapText="1"/>
    </xf>
    <xf numFmtId="0" fontId="3" fillId="0" borderId="0" xfId="0" applyFont="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9" fontId="2" fillId="0" borderId="0" xfId="0" applyNumberFormat="1" applyFont="1" applyAlignment="1">
      <alignment horizontal="center" vertical="center" wrapText="1"/>
    </xf>
    <xf numFmtId="165" fontId="2" fillId="0" borderId="0" xfId="0" applyNumberFormat="1" applyFont="1" applyAlignment="1">
      <alignment horizontal="center" vertical="center" wrapText="1"/>
    </xf>
    <xf numFmtId="9" fontId="2" fillId="0" borderId="0" xfId="0" applyNumberFormat="1" applyFont="1" applyAlignment="1">
      <alignment vertical="center" wrapText="1"/>
    </xf>
    <xf numFmtId="166" fontId="2" fillId="0" borderId="0" xfId="0" applyNumberFormat="1" applyFont="1" applyAlignment="1">
      <alignment vertical="center" wrapText="1"/>
    </xf>
    <xf numFmtId="9" fontId="2" fillId="0" borderId="0" xfId="0" applyNumberFormat="1" applyFont="1" applyAlignment="1">
      <alignment horizontal="right" vertical="center" wrapText="1"/>
    </xf>
    <xf numFmtId="9" fontId="2" fillId="0" borderId="0" xfId="0" applyNumberFormat="1" applyFont="1" applyAlignment="1">
      <alignment horizontal="left" vertical="center" wrapText="1"/>
    </xf>
    <xf numFmtId="167" fontId="2" fillId="0" borderId="0" xfId="0" applyNumberFormat="1" applyFont="1" applyAlignment="1">
      <alignment horizontal="center" vertical="center" wrapText="1"/>
    </xf>
    <xf numFmtId="0" fontId="2" fillId="0" borderId="7" xfId="0" applyFont="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9" fontId="5" fillId="0" borderId="6" xfId="3" applyFont="1" applyFill="1" applyBorder="1" applyAlignment="1" applyProtection="1">
      <alignment horizontal="center" vertical="center" wrapText="1"/>
    </xf>
    <xf numFmtId="0" fontId="6" fillId="0" borderId="0" xfId="0" applyFont="1" applyAlignment="1">
      <alignment vertical="center" wrapText="1"/>
    </xf>
    <xf numFmtId="2" fontId="2" fillId="0" borderId="0" xfId="0" applyNumberFormat="1" applyFont="1" applyAlignment="1">
      <alignment vertical="center" wrapText="1"/>
    </xf>
    <xf numFmtId="0" fontId="2" fillId="2" borderId="8" xfId="0" applyFont="1" applyFill="1" applyBorder="1" applyAlignment="1">
      <alignment vertical="center" wrapText="1"/>
    </xf>
    <xf numFmtId="0" fontId="2" fillId="2" borderId="9" xfId="0" applyFont="1" applyFill="1" applyBorder="1" applyAlignment="1">
      <alignment horizontal="center" vertical="center" wrapText="1"/>
    </xf>
    <xf numFmtId="0" fontId="2" fillId="0" borderId="9" xfId="0" applyFont="1" applyBorder="1" applyAlignment="1">
      <alignment vertical="center" wrapText="1"/>
    </xf>
    <xf numFmtId="0" fontId="7" fillId="0" borderId="6" xfId="0" applyFont="1" applyBorder="1" applyAlignment="1">
      <alignment horizontal="center" vertical="center" wrapText="1"/>
    </xf>
    <xf numFmtId="0" fontId="8" fillId="3" borderId="6" xfId="0" applyFont="1" applyFill="1" applyBorder="1" applyAlignment="1">
      <alignment horizontal="center" vertical="center"/>
    </xf>
    <xf numFmtId="0" fontId="10" fillId="3" borderId="6" xfId="0" applyFont="1" applyFill="1" applyBorder="1" applyAlignment="1">
      <alignment horizontal="center" vertical="center"/>
    </xf>
    <xf numFmtId="0" fontId="11" fillId="3" borderId="6" xfId="0" applyFont="1" applyFill="1" applyBorder="1" applyAlignment="1">
      <alignment vertical="center" wrapText="1"/>
    </xf>
    <xf numFmtId="0" fontId="11" fillId="3" borderId="8" xfId="0" applyFont="1" applyFill="1" applyBorder="1" applyAlignment="1">
      <alignment vertical="center" wrapText="1"/>
    </xf>
    <xf numFmtId="0" fontId="11" fillId="3" borderId="9" xfId="0" applyFont="1" applyFill="1" applyBorder="1" applyAlignment="1">
      <alignment vertical="center" wrapText="1"/>
    </xf>
    <xf numFmtId="9" fontId="11" fillId="3" borderId="9" xfId="0" applyNumberFormat="1" applyFont="1" applyFill="1" applyBorder="1" applyAlignment="1">
      <alignment vertical="center" wrapText="1"/>
    </xf>
    <xf numFmtId="49" fontId="11" fillId="3" borderId="10" xfId="0" applyNumberFormat="1" applyFont="1" applyFill="1" applyBorder="1" applyAlignment="1">
      <alignment vertical="center" wrapText="1"/>
    </xf>
    <xf numFmtId="49" fontId="11" fillId="3" borderId="11" xfId="0" applyNumberFormat="1" applyFont="1" applyFill="1" applyBorder="1" applyAlignment="1">
      <alignment vertical="center" wrapText="1"/>
    </xf>
    <xf numFmtId="0" fontId="11" fillId="3" borderId="11" xfId="0" applyFont="1" applyFill="1" applyBorder="1" applyAlignment="1">
      <alignment vertical="center" wrapText="1"/>
    </xf>
    <xf numFmtId="0" fontId="11" fillId="3" borderId="12" xfId="0" applyFont="1" applyFill="1" applyBorder="1" applyAlignment="1">
      <alignment vertical="center" wrapText="1"/>
    </xf>
    <xf numFmtId="0" fontId="11" fillId="4" borderId="8"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4" borderId="13" xfId="0" applyFont="1" applyFill="1" applyBorder="1" applyAlignment="1">
      <alignment horizontal="center" vertical="center" wrapText="1"/>
    </xf>
    <xf numFmtId="2" fontId="12" fillId="0" borderId="0" xfId="0" applyNumberFormat="1" applyFont="1" applyAlignment="1">
      <alignment vertical="center" wrapText="1"/>
    </xf>
    <xf numFmtId="0" fontId="2" fillId="5" borderId="14" xfId="0" applyFont="1" applyFill="1" applyBorder="1" applyAlignment="1">
      <alignment vertical="center" wrapText="1"/>
    </xf>
    <xf numFmtId="0" fontId="2" fillId="5" borderId="0" xfId="0" applyFont="1" applyFill="1" applyAlignment="1">
      <alignment horizontal="center" vertical="center" wrapText="1"/>
    </xf>
    <xf numFmtId="0" fontId="2" fillId="5" borderId="0" xfId="0" applyFont="1" applyFill="1" applyAlignment="1">
      <alignment vertical="center" wrapText="1"/>
    </xf>
    <xf numFmtId="43" fontId="13" fillId="5" borderId="8" xfId="0" applyNumberFormat="1" applyFont="1" applyFill="1" applyBorder="1" applyAlignment="1">
      <alignment horizontal="center" vertical="center" wrapText="1"/>
    </xf>
    <xf numFmtId="43" fontId="13" fillId="5" borderId="9" xfId="0" applyNumberFormat="1" applyFont="1" applyFill="1" applyBorder="1" applyAlignment="1">
      <alignment horizontal="center" vertical="center" wrapText="1"/>
    </xf>
    <xf numFmtId="43" fontId="13" fillId="5" borderId="13" xfId="0" applyNumberFormat="1" applyFont="1" applyFill="1" applyBorder="1" applyAlignment="1">
      <alignment horizontal="center" vertical="center" wrapText="1"/>
    </xf>
    <xf numFmtId="0" fontId="3" fillId="6"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5" fillId="7" borderId="8" xfId="0" applyFont="1" applyFill="1" applyBorder="1" applyAlignment="1" applyProtection="1">
      <alignment horizontal="left" vertical="center" wrapText="1"/>
      <protection locked="0"/>
    </xf>
    <xf numFmtId="0" fontId="15" fillId="7" borderId="9" xfId="0" applyFont="1" applyFill="1" applyBorder="1" applyAlignment="1" applyProtection="1">
      <alignment horizontal="left" vertical="center" wrapText="1"/>
      <protection locked="0"/>
    </xf>
    <xf numFmtId="0" fontId="11" fillId="8" borderId="13" xfId="0" applyFont="1" applyFill="1" applyBorder="1" applyAlignment="1" applyProtection="1">
      <alignment vertical="top" wrapText="1"/>
      <protection locked="0"/>
    </xf>
    <xf numFmtId="168" fontId="16" fillId="9" borderId="15" xfId="0" applyNumberFormat="1" applyFont="1" applyFill="1" applyBorder="1" applyAlignment="1">
      <alignment horizontal="center" vertical="center" wrapText="1"/>
    </xf>
    <xf numFmtId="0" fontId="16" fillId="10" borderId="15" xfId="0" applyFont="1" applyFill="1" applyBorder="1" applyAlignment="1">
      <alignment horizontal="center" vertical="center" wrapText="1"/>
    </xf>
    <xf numFmtId="169" fontId="2" fillId="9" borderId="15" xfId="0" applyNumberFormat="1" applyFont="1" applyFill="1" applyBorder="1" applyAlignment="1">
      <alignment horizontal="center" vertical="center" wrapText="1"/>
    </xf>
    <xf numFmtId="170" fontId="2" fillId="9" borderId="15" xfId="0" applyNumberFormat="1" applyFont="1" applyFill="1" applyBorder="1" applyAlignment="1">
      <alignment horizontal="left" vertical="center" wrapText="1"/>
    </xf>
    <xf numFmtId="168" fontId="2" fillId="5" borderId="15" xfId="0" applyNumberFormat="1" applyFont="1" applyFill="1" applyBorder="1" applyAlignment="1">
      <alignment horizontal="center" vertical="center" wrapText="1"/>
    </xf>
    <xf numFmtId="168" fontId="2" fillId="5" borderId="16" xfId="0" applyNumberFormat="1" applyFont="1" applyFill="1" applyBorder="1" applyAlignment="1">
      <alignment horizontal="center" vertical="center" wrapText="1"/>
    </xf>
    <xf numFmtId="0" fontId="17" fillId="3" borderId="10"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7" fillId="3" borderId="13"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1" fillId="4" borderId="0" xfId="0" applyFont="1" applyFill="1" applyAlignment="1">
      <alignment horizontal="center" vertical="center" wrapText="1"/>
    </xf>
    <xf numFmtId="0" fontId="11" fillId="4" borderId="17" xfId="0" applyFont="1" applyFill="1" applyBorder="1" applyAlignment="1">
      <alignment horizontal="center" vertical="center" wrapText="1"/>
    </xf>
    <xf numFmtId="43" fontId="13" fillId="5" borderId="14" xfId="0" applyNumberFormat="1" applyFont="1" applyFill="1" applyBorder="1" applyAlignment="1">
      <alignment horizontal="center" vertical="center" wrapText="1"/>
    </xf>
    <xf numFmtId="43" fontId="13" fillId="5" borderId="0" xfId="0" applyNumberFormat="1" applyFont="1" applyFill="1" applyAlignment="1">
      <alignment horizontal="center" vertical="center" wrapText="1"/>
    </xf>
    <xf numFmtId="43" fontId="13" fillId="5" borderId="17" xfId="0" applyNumberFormat="1" applyFont="1" applyFill="1" applyBorder="1" applyAlignment="1">
      <alignment horizontal="center" vertical="center" wrapText="1"/>
    </xf>
    <xf numFmtId="168" fontId="11" fillId="11" borderId="6" xfId="0" applyNumberFormat="1" applyFont="1" applyFill="1" applyBorder="1" applyAlignment="1">
      <alignment horizontal="right" vertical="center" wrapText="1"/>
    </xf>
    <xf numFmtId="171" fontId="19" fillId="11" borderId="6" xfId="4" applyNumberFormat="1" applyFont="1" applyFill="1" applyBorder="1" applyAlignment="1">
      <alignment horizontal="center" vertical="center"/>
    </xf>
    <xf numFmtId="0" fontId="15" fillId="7" borderId="14" xfId="0" applyFont="1" applyFill="1" applyBorder="1" applyAlignment="1" applyProtection="1">
      <alignment horizontal="left" vertical="center" wrapText="1"/>
      <protection locked="0"/>
    </xf>
    <xf numFmtId="0" fontId="15" fillId="7" borderId="0" xfId="0" applyFont="1" applyFill="1" applyAlignment="1" applyProtection="1">
      <alignment horizontal="left" vertical="center" wrapText="1"/>
      <protection locked="0"/>
    </xf>
    <xf numFmtId="0" fontId="11" fillId="8" borderId="17" xfId="0" applyFont="1" applyFill="1" applyBorder="1" applyAlignment="1" applyProtection="1">
      <alignment vertical="top" wrapText="1"/>
      <protection locked="0"/>
    </xf>
    <xf numFmtId="167" fontId="20" fillId="9" borderId="6" xfId="0" applyNumberFormat="1" applyFont="1" applyFill="1" applyBorder="1" applyAlignment="1">
      <alignment horizontal="center" vertical="center" wrapText="1"/>
    </xf>
    <xf numFmtId="9" fontId="21" fillId="0" borderId="6" xfId="3" applyFont="1" applyFill="1" applyBorder="1" applyAlignment="1" applyProtection="1">
      <alignment vertical="center" wrapText="1"/>
      <protection locked="0"/>
    </xf>
    <xf numFmtId="0" fontId="2" fillId="5" borderId="6" xfId="0" applyFont="1" applyFill="1" applyBorder="1" applyAlignment="1">
      <alignment horizontal="right" vertical="center" wrapText="1"/>
    </xf>
    <xf numFmtId="0" fontId="2" fillId="5" borderId="6" xfId="0" applyFont="1" applyFill="1" applyBorder="1" applyAlignment="1">
      <alignment horizontal="left" vertical="center" wrapText="1"/>
    </xf>
    <xf numFmtId="0" fontId="2" fillId="5" borderId="6" xfId="0" applyFont="1" applyFill="1" applyBorder="1" applyAlignment="1">
      <alignment horizontal="right" vertical="center" wrapText="1"/>
    </xf>
    <xf numFmtId="0" fontId="2" fillId="5" borderId="18" xfId="0" applyFont="1" applyFill="1" applyBorder="1" applyAlignment="1">
      <alignment horizontal="right" vertical="center" wrapText="1"/>
    </xf>
    <xf numFmtId="172" fontId="22" fillId="5" borderId="18" xfId="2" applyNumberFormat="1" applyFont="1" applyFill="1" applyBorder="1" applyAlignment="1" applyProtection="1">
      <alignment horizontal="center" vertical="center" wrapText="1"/>
    </xf>
    <xf numFmtId="44" fontId="3" fillId="5" borderId="8" xfId="2" applyFont="1" applyFill="1" applyBorder="1" applyAlignment="1" applyProtection="1">
      <alignment horizontal="center" vertical="center" wrapText="1"/>
    </xf>
    <xf numFmtId="0" fontId="2" fillId="4" borderId="19" xfId="0" applyFont="1" applyFill="1" applyBorder="1" applyAlignment="1">
      <alignment horizontal="center" vertical="center" wrapText="1"/>
    </xf>
    <xf numFmtId="0" fontId="11" fillId="12" borderId="19" xfId="0" applyFont="1" applyFill="1" applyBorder="1" applyAlignment="1" applyProtection="1">
      <alignment horizontal="center" vertical="center" wrapText="1"/>
      <protection locked="0"/>
    </xf>
    <xf numFmtId="0" fontId="11" fillId="13" borderId="19" xfId="0" applyFont="1" applyFill="1" applyBorder="1" applyAlignment="1">
      <alignment horizontal="center" vertical="center" wrapText="1"/>
    </xf>
    <xf numFmtId="0" fontId="23" fillId="14" borderId="19" xfId="0" applyFont="1" applyFill="1" applyBorder="1" applyAlignment="1">
      <alignment horizontal="center" vertical="center" wrapText="1"/>
    </xf>
    <xf numFmtId="168" fontId="11" fillId="9" borderId="6" xfId="0" applyNumberFormat="1" applyFont="1" applyFill="1" applyBorder="1" applyAlignment="1">
      <alignment horizontal="right" vertical="center" wrapText="1"/>
    </xf>
    <xf numFmtId="0" fontId="24" fillId="15" borderId="6" xfId="0" applyFont="1" applyFill="1" applyBorder="1" applyAlignment="1">
      <alignment horizontal="center" vertical="center" wrapText="1"/>
    </xf>
    <xf numFmtId="0" fontId="2" fillId="4" borderId="13" xfId="0" applyFont="1" applyFill="1" applyBorder="1" applyAlignment="1">
      <alignment horizontal="left" vertical="top" wrapText="1"/>
    </xf>
    <xf numFmtId="0" fontId="25" fillId="0" borderId="0" xfId="0" applyFont="1" applyAlignment="1">
      <alignment vertical="center" wrapText="1"/>
    </xf>
    <xf numFmtId="0" fontId="26" fillId="0" borderId="0" xfId="0" applyFont="1" applyAlignment="1">
      <alignment vertical="center" wrapText="1"/>
    </xf>
    <xf numFmtId="168" fontId="11" fillId="16" borderId="6" xfId="0" applyNumberFormat="1" applyFont="1" applyFill="1" applyBorder="1" applyAlignment="1">
      <alignment horizontal="right" vertical="center" wrapText="1"/>
    </xf>
    <xf numFmtId="9" fontId="11" fillId="16" borderId="6" xfId="3" applyFont="1" applyFill="1" applyBorder="1" applyAlignment="1">
      <alignment horizontal="center" vertical="center" wrapText="1"/>
    </xf>
    <xf numFmtId="171" fontId="27" fillId="16" borderId="6" xfId="4" applyNumberFormat="1" applyFont="1" applyFill="1" applyBorder="1" applyAlignment="1">
      <alignment horizontal="center" vertical="center"/>
    </xf>
    <xf numFmtId="168" fontId="28" fillId="17" borderId="6" xfId="0" applyNumberFormat="1" applyFont="1" applyFill="1" applyBorder="1" applyAlignment="1">
      <alignment horizontal="center" vertical="center" wrapText="1"/>
    </xf>
    <xf numFmtId="0" fontId="16" fillId="18" borderId="6" xfId="0" applyFont="1" applyFill="1" applyBorder="1" applyAlignment="1" applyProtection="1">
      <alignment vertical="center" wrapText="1"/>
      <protection hidden="1"/>
    </xf>
    <xf numFmtId="0" fontId="16" fillId="18" borderId="10" xfId="0" applyFont="1" applyFill="1" applyBorder="1" applyAlignment="1" applyProtection="1">
      <alignment vertical="center" wrapText="1"/>
      <protection hidden="1"/>
    </xf>
    <xf numFmtId="0" fontId="31" fillId="19" borderId="20" xfId="0" applyFont="1" applyFill="1" applyBorder="1" applyAlignment="1" applyProtection="1">
      <alignment horizontal="center" vertical="center" wrapText="1"/>
      <protection hidden="1"/>
    </xf>
    <xf numFmtId="0" fontId="31" fillId="19" borderId="21" xfId="0" applyFont="1" applyFill="1" applyBorder="1" applyAlignment="1" applyProtection="1">
      <alignment horizontal="center" vertical="center" wrapText="1"/>
      <protection hidden="1"/>
    </xf>
    <xf numFmtId="173" fontId="32" fillId="19" borderId="22" xfId="0" applyNumberFormat="1" applyFont="1" applyFill="1" applyBorder="1" applyAlignment="1" applyProtection="1">
      <alignment horizontal="center" vertical="center" wrapText="1"/>
      <protection hidden="1"/>
    </xf>
    <xf numFmtId="0" fontId="2" fillId="4" borderId="17" xfId="0" applyFont="1" applyFill="1" applyBorder="1" applyAlignment="1">
      <alignment vertical="top" wrapText="1"/>
    </xf>
    <xf numFmtId="168" fontId="20" fillId="20" borderId="6" xfId="0" applyNumberFormat="1" applyFont="1" applyFill="1" applyBorder="1" applyAlignment="1">
      <alignment horizontal="right" vertical="center" wrapText="1"/>
    </xf>
    <xf numFmtId="9" fontId="33" fillId="21" borderId="6" xfId="0" applyNumberFormat="1" applyFont="1" applyFill="1" applyBorder="1" applyAlignment="1">
      <alignment horizontal="center" vertical="center" wrapText="1"/>
    </xf>
    <xf numFmtId="0" fontId="2" fillId="4" borderId="17" xfId="0" applyFont="1" applyFill="1" applyBorder="1" applyAlignment="1">
      <alignment horizontal="left" vertical="top" wrapText="1"/>
    </xf>
    <xf numFmtId="0" fontId="34" fillId="0" borderId="0" xfId="0" applyFont="1" applyAlignment="1">
      <alignment vertical="center" wrapText="1"/>
    </xf>
    <xf numFmtId="168" fontId="11" fillId="22" borderId="6" xfId="0" applyNumberFormat="1" applyFont="1" applyFill="1" applyBorder="1" applyAlignment="1">
      <alignment horizontal="right" vertical="center" wrapText="1" indent="1"/>
    </xf>
    <xf numFmtId="9" fontId="11" fillId="22" borderId="6" xfId="3" applyFont="1" applyFill="1" applyBorder="1" applyAlignment="1">
      <alignment horizontal="center" vertical="center" wrapText="1"/>
    </xf>
    <xf numFmtId="171" fontId="27" fillId="22" borderId="6" xfId="4" applyNumberFormat="1" applyFont="1" applyFill="1" applyBorder="1" applyAlignment="1">
      <alignment horizontal="center" vertical="center"/>
    </xf>
    <xf numFmtId="0" fontId="15" fillId="7" borderId="16" xfId="0" applyFont="1" applyFill="1" applyBorder="1" applyAlignment="1" applyProtection="1">
      <alignment horizontal="left" vertical="center" wrapText="1"/>
      <protection locked="0"/>
    </xf>
    <xf numFmtId="0" fontId="15" fillId="7" borderId="23" xfId="0" applyFont="1" applyFill="1" applyBorder="1" applyAlignment="1" applyProtection="1">
      <alignment horizontal="left" vertical="center" wrapText="1"/>
      <protection locked="0"/>
    </xf>
    <xf numFmtId="0" fontId="11" fillId="8" borderId="24" xfId="0" applyFont="1" applyFill="1" applyBorder="1" applyAlignment="1" applyProtection="1">
      <alignment vertical="top" wrapText="1"/>
      <protection locked="0"/>
    </xf>
    <xf numFmtId="0" fontId="35" fillId="19" borderId="6" xfId="0" applyFont="1" applyFill="1" applyBorder="1" applyAlignment="1" applyProtection="1">
      <alignment horizontal="center" vertical="center" wrapText="1"/>
      <protection locked="0"/>
    </xf>
    <xf numFmtId="0" fontId="36" fillId="18" borderId="6" xfId="0" applyFont="1" applyFill="1" applyBorder="1" applyAlignment="1" applyProtection="1">
      <alignment horizontal="center" vertical="center" wrapText="1"/>
      <protection hidden="1"/>
    </xf>
    <xf numFmtId="0" fontId="31" fillId="19" borderId="25" xfId="0" applyFont="1" applyFill="1" applyBorder="1" applyAlignment="1" applyProtection="1">
      <alignment horizontal="center" vertical="center" wrapText="1"/>
      <protection hidden="1"/>
    </xf>
    <xf numFmtId="0" fontId="31" fillId="19" borderId="26" xfId="0" applyFont="1" applyFill="1" applyBorder="1" applyAlignment="1" applyProtection="1">
      <alignment horizontal="center" vertical="center" wrapText="1"/>
      <protection hidden="1"/>
    </xf>
    <xf numFmtId="173" fontId="32" fillId="19" borderId="27" xfId="0" applyNumberFormat="1" applyFont="1" applyFill="1" applyBorder="1" applyAlignment="1" applyProtection="1">
      <alignment horizontal="center" vertical="center" wrapText="1"/>
      <protection hidden="1"/>
    </xf>
    <xf numFmtId="168" fontId="3" fillId="15" borderId="6" xfId="0" applyNumberFormat="1" applyFont="1" applyFill="1" applyBorder="1" applyAlignment="1">
      <alignment horizontal="right" vertical="center" wrapText="1"/>
    </xf>
    <xf numFmtId="9" fontId="33" fillId="15" borderId="6" xfId="0" applyNumberFormat="1" applyFont="1" applyFill="1" applyBorder="1" applyAlignment="1">
      <alignment horizontal="center" vertical="center" wrapText="1"/>
    </xf>
    <xf numFmtId="0" fontId="37" fillId="23" borderId="6" xfId="0" applyFont="1" applyFill="1" applyBorder="1" applyAlignment="1">
      <alignment horizontal="center" vertical="center" wrapText="1"/>
    </xf>
    <xf numFmtId="0" fontId="4" fillId="23" borderId="18" xfId="0" applyFont="1" applyFill="1" applyBorder="1" applyAlignment="1">
      <alignment horizontal="center" vertical="center" wrapText="1"/>
    </xf>
    <xf numFmtId="0" fontId="4" fillId="15" borderId="6" xfId="0" applyFont="1" applyFill="1" applyBorder="1" applyAlignment="1">
      <alignment horizontal="center" vertical="center" wrapText="1"/>
    </xf>
    <xf numFmtId="1" fontId="15" fillId="24" borderId="15" xfId="0" applyNumberFormat="1" applyFont="1" applyFill="1" applyBorder="1" applyAlignment="1">
      <alignment horizontal="center" vertical="center" wrapText="1"/>
    </xf>
    <xf numFmtId="0" fontId="38" fillId="18" borderId="18" xfId="0" applyFont="1" applyFill="1" applyBorder="1" applyAlignment="1" applyProtection="1">
      <alignment horizontal="center" vertical="center" wrapText="1"/>
      <protection hidden="1"/>
    </xf>
    <xf numFmtId="0" fontId="39" fillId="18" borderId="15" xfId="0" applyFont="1" applyFill="1" applyBorder="1" applyAlignment="1" applyProtection="1">
      <alignment horizontal="center" vertical="center" wrapText="1"/>
      <protection hidden="1"/>
    </xf>
    <xf numFmtId="0" fontId="2" fillId="24" borderId="6" xfId="0" applyFont="1" applyFill="1" applyBorder="1" applyAlignment="1" applyProtection="1">
      <alignment horizontal="center" vertical="center" wrapText="1"/>
      <protection locked="0"/>
    </xf>
    <xf numFmtId="168" fontId="2" fillId="23" borderId="8" xfId="0" applyNumberFormat="1" applyFont="1" applyFill="1" applyBorder="1" applyAlignment="1">
      <alignment horizontal="center" vertical="top" wrapText="1"/>
    </xf>
    <xf numFmtId="168" fontId="2" fillId="23" borderId="9" xfId="0" applyNumberFormat="1" applyFont="1" applyFill="1" applyBorder="1" applyAlignment="1">
      <alignment horizontal="center" vertical="top" wrapText="1"/>
    </xf>
    <xf numFmtId="168" fontId="2" fillId="23" borderId="13" xfId="0" applyNumberFormat="1" applyFont="1" applyFill="1" applyBorder="1" applyAlignment="1">
      <alignment horizontal="center" vertical="top" wrapText="1"/>
    </xf>
    <xf numFmtId="0" fontId="4" fillId="23" borderId="19" xfId="0" applyFont="1" applyFill="1" applyBorder="1" applyAlignment="1">
      <alignment horizontal="center" vertical="center" wrapText="1"/>
    </xf>
    <xf numFmtId="9" fontId="40" fillId="24" borderId="6" xfId="3" applyFont="1" applyFill="1" applyBorder="1" applyAlignment="1" applyProtection="1">
      <alignment horizontal="center" vertical="center" wrapText="1"/>
    </xf>
    <xf numFmtId="0" fontId="38" fillId="18" borderId="15" xfId="0" applyFont="1" applyFill="1" applyBorder="1" applyAlignment="1" applyProtection="1">
      <alignment horizontal="center" vertical="center" wrapText="1"/>
      <protection hidden="1"/>
    </xf>
    <xf numFmtId="0" fontId="41" fillId="18" borderId="6" xfId="0" applyFont="1" applyFill="1" applyBorder="1" applyAlignment="1" applyProtection="1">
      <alignment horizontal="center" vertical="center" wrapText="1"/>
      <protection hidden="1"/>
    </xf>
    <xf numFmtId="0" fontId="31" fillId="19" borderId="28" xfId="0" applyFont="1" applyFill="1" applyBorder="1" applyAlignment="1" applyProtection="1">
      <alignment horizontal="center" vertical="center" wrapText="1"/>
      <protection hidden="1"/>
    </xf>
    <xf numFmtId="0" fontId="31" fillId="19" borderId="29" xfId="0" applyFont="1" applyFill="1" applyBorder="1" applyAlignment="1" applyProtection="1">
      <alignment horizontal="center" vertical="center" wrapText="1"/>
      <protection hidden="1"/>
    </xf>
    <xf numFmtId="0" fontId="11" fillId="13" borderId="15" xfId="0" applyFont="1" applyFill="1" applyBorder="1" applyAlignment="1">
      <alignment horizontal="center" vertical="center" wrapText="1"/>
    </xf>
    <xf numFmtId="0" fontId="23" fillId="14" borderId="15" xfId="0" applyFont="1" applyFill="1" applyBorder="1" applyAlignment="1">
      <alignment horizontal="center" vertical="center" wrapText="1"/>
    </xf>
    <xf numFmtId="168" fontId="2" fillId="23" borderId="16" xfId="0" applyNumberFormat="1" applyFont="1" applyFill="1" applyBorder="1" applyAlignment="1">
      <alignment horizontal="center" vertical="top" wrapText="1"/>
    </xf>
    <xf numFmtId="168" fontId="2" fillId="23" borderId="23" xfId="0" applyNumberFormat="1" applyFont="1" applyFill="1" applyBorder="1" applyAlignment="1">
      <alignment horizontal="center" vertical="top" wrapText="1"/>
    </xf>
    <xf numFmtId="168" fontId="2" fillId="23" borderId="24" xfId="0" applyNumberFormat="1" applyFont="1" applyFill="1" applyBorder="1" applyAlignment="1">
      <alignment horizontal="center" vertical="top" wrapText="1"/>
    </xf>
    <xf numFmtId="0" fontId="2" fillId="5" borderId="16" xfId="0" applyFont="1" applyFill="1" applyBorder="1" applyAlignment="1">
      <alignment vertical="center" wrapText="1"/>
    </xf>
    <xf numFmtId="0" fontId="2" fillId="5" borderId="23" xfId="0" applyFont="1" applyFill="1" applyBorder="1" applyAlignment="1">
      <alignment horizontal="center" vertical="center" wrapText="1"/>
    </xf>
    <xf numFmtId="0" fontId="2" fillId="5" borderId="23" xfId="0" applyFont="1" applyFill="1" applyBorder="1" applyAlignment="1">
      <alignment vertical="center" wrapText="1"/>
    </xf>
    <xf numFmtId="43" fontId="13" fillId="5" borderId="16" xfId="0" applyNumberFormat="1" applyFont="1" applyFill="1" applyBorder="1" applyAlignment="1">
      <alignment horizontal="center" vertical="center" wrapText="1"/>
    </xf>
    <xf numFmtId="43" fontId="13" fillId="5" borderId="23" xfId="0" applyNumberFormat="1" applyFont="1" applyFill="1" applyBorder="1" applyAlignment="1">
      <alignment horizontal="center" vertical="center" wrapText="1"/>
    </xf>
    <xf numFmtId="43" fontId="13" fillId="5" borderId="24" xfId="0" applyNumberFormat="1" applyFont="1" applyFill="1" applyBorder="1" applyAlignment="1">
      <alignment horizontal="center" vertical="center" wrapText="1"/>
    </xf>
    <xf numFmtId="0" fontId="4" fillId="23" borderId="15" xfId="0" applyFont="1" applyFill="1" applyBorder="1" applyAlignment="1">
      <alignment horizontal="center" vertical="center" wrapText="1"/>
    </xf>
    <xf numFmtId="9" fontId="42" fillId="0" borderId="6" xfId="3" applyFont="1" applyFill="1" applyBorder="1" applyAlignment="1" applyProtection="1">
      <alignment horizontal="center" vertical="center" wrapText="1"/>
      <protection locked="0"/>
    </xf>
    <xf numFmtId="1" fontId="15" fillId="24" borderId="6" xfId="0" applyNumberFormat="1" applyFont="1" applyFill="1" applyBorder="1" applyAlignment="1">
      <alignment horizontal="center" vertical="center" wrapText="1"/>
    </xf>
    <xf numFmtId="9" fontId="43" fillId="18" borderId="6" xfId="0" applyNumberFormat="1" applyFont="1" applyFill="1" applyBorder="1" applyAlignment="1" applyProtection="1">
      <alignment horizontal="center" vertical="center" wrapText="1"/>
      <protection hidden="1"/>
    </xf>
    <xf numFmtId="9" fontId="44" fillId="18" borderId="6" xfId="0" applyNumberFormat="1" applyFont="1" applyFill="1" applyBorder="1" applyAlignment="1" applyProtection="1">
      <alignment horizontal="center" vertical="center" wrapText="1"/>
      <protection hidden="1"/>
    </xf>
    <xf numFmtId="0" fontId="26" fillId="20" borderId="16" xfId="0" applyFont="1" applyFill="1" applyBorder="1" applyAlignment="1" applyProtection="1">
      <alignment horizontal="center" vertical="center" wrapText="1"/>
      <protection hidden="1"/>
    </xf>
    <xf numFmtId="0" fontId="26" fillId="20" borderId="23" xfId="0" applyFont="1" applyFill="1" applyBorder="1" applyAlignment="1" applyProtection="1">
      <alignment horizontal="center" vertical="center" wrapText="1"/>
      <protection hidden="1"/>
    </xf>
    <xf numFmtId="0" fontId="45" fillId="25" borderId="6" xfId="0" applyFont="1" applyFill="1" applyBorder="1" applyAlignment="1" applyProtection="1">
      <alignment vertical="center" wrapText="1"/>
      <protection hidden="1"/>
    </xf>
    <xf numFmtId="0" fontId="2" fillId="4" borderId="15" xfId="0" applyFont="1" applyFill="1" applyBorder="1" applyAlignment="1">
      <alignment vertical="top" wrapText="1"/>
    </xf>
    <xf numFmtId="0" fontId="11" fillId="12" borderId="15" xfId="0" applyFont="1" applyFill="1" applyBorder="1" applyAlignment="1" applyProtection="1">
      <alignment horizontal="center" vertical="center" wrapText="1"/>
      <protection locked="0"/>
    </xf>
    <xf numFmtId="0" fontId="3" fillId="13" borderId="6" xfId="0" applyFont="1" applyFill="1" applyBorder="1" applyAlignment="1" applyProtection="1">
      <alignment horizontal="center" vertical="center" wrapText="1"/>
      <protection locked="0"/>
    </xf>
    <xf numFmtId="9" fontId="33" fillId="14" borderId="6" xfId="0" applyNumberFormat="1" applyFont="1" applyFill="1" applyBorder="1" applyAlignment="1" applyProtection="1">
      <alignment horizontal="center" vertical="center" wrapText="1"/>
      <protection locked="0"/>
    </xf>
    <xf numFmtId="171" fontId="46" fillId="11" borderId="6" xfId="4" applyNumberFormat="1" applyFont="1" applyFill="1" applyBorder="1" applyAlignment="1">
      <alignment horizontal="center" vertical="center"/>
    </xf>
    <xf numFmtId="9" fontId="47" fillId="26" borderId="6" xfId="3" applyFont="1" applyFill="1" applyBorder="1" applyAlignment="1">
      <alignment horizontal="center" vertical="center"/>
    </xf>
    <xf numFmtId="171" fontId="46" fillId="18" borderId="6" xfId="4" applyNumberFormat="1" applyFont="1" applyFill="1" applyBorder="1" applyAlignment="1">
      <alignment horizontal="center" vertical="center"/>
    </xf>
    <xf numFmtId="171" fontId="46" fillId="2" borderId="6" xfId="4" applyNumberFormat="1" applyFont="1" applyFill="1" applyBorder="1" applyAlignment="1">
      <alignment horizontal="center" vertical="center"/>
    </xf>
    <xf numFmtId="0" fontId="2" fillId="4" borderId="24" xfId="0" applyFont="1" applyFill="1" applyBorder="1" applyAlignment="1">
      <alignment horizontal="left" vertical="top" wrapText="1"/>
    </xf>
    <xf numFmtId="0" fontId="11" fillId="4" borderId="16" xfId="0" applyFont="1" applyFill="1" applyBorder="1" applyAlignment="1">
      <alignment horizontal="center" vertical="center" wrapText="1"/>
    </xf>
    <xf numFmtId="0" fontId="11" fillId="4" borderId="23" xfId="0" applyFont="1" applyFill="1" applyBorder="1" applyAlignment="1">
      <alignment horizontal="center" vertical="center" wrapText="1"/>
    </xf>
    <xf numFmtId="0" fontId="11" fillId="4" borderId="24" xfId="0" applyFont="1" applyFill="1" applyBorder="1" applyAlignment="1">
      <alignment horizontal="center" vertical="center" wrapText="1"/>
    </xf>
    <xf numFmtId="0" fontId="48" fillId="9" borderId="6" xfId="0" applyFont="1" applyFill="1" applyBorder="1" applyAlignment="1">
      <alignment horizontal="center" vertical="center" textRotation="90" wrapText="1"/>
    </xf>
    <xf numFmtId="0" fontId="49" fillId="27" borderId="6" xfId="0" applyFont="1" applyFill="1" applyBorder="1" applyAlignment="1">
      <alignment horizontal="center" vertical="center" textRotation="90" wrapText="1"/>
    </xf>
    <xf numFmtId="0" fontId="28" fillId="27" borderId="6" xfId="0" applyFont="1" applyFill="1" applyBorder="1" applyAlignment="1">
      <alignment horizontal="center" vertical="center" wrapText="1"/>
    </xf>
    <xf numFmtId="0" fontId="49" fillId="27" borderId="6" xfId="0" applyFont="1" applyFill="1" applyBorder="1" applyAlignment="1">
      <alignment horizontal="center" vertical="center" wrapText="1"/>
    </xf>
    <xf numFmtId="0" fontId="50" fillId="27" borderId="6" xfId="0" applyFont="1" applyFill="1" applyBorder="1" applyAlignment="1">
      <alignment horizontal="center" vertical="center" wrapText="1"/>
    </xf>
    <xf numFmtId="0" fontId="51" fillId="27" borderId="18" xfId="0" applyFont="1" applyFill="1" applyBorder="1" applyAlignment="1">
      <alignment horizontal="center" vertical="center" wrapText="1"/>
    </xf>
    <xf numFmtId="0" fontId="52" fillId="27" borderId="6" xfId="0" applyFont="1" applyFill="1" applyBorder="1" applyAlignment="1">
      <alignment horizontal="center" vertical="center" textRotation="90" wrapText="1"/>
    </xf>
    <xf numFmtId="0" fontId="53" fillId="28" borderId="6" xfId="0" applyFont="1" applyFill="1" applyBorder="1" applyAlignment="1">
      <alignment horizontal="center" vertical="center" wrapText="1"/>
    </xf>
    <xf numFmtId="174" fontId="54" fillId="29" borderId="6" xfId="1" applyNumberFormat="1" applyFont="1" applyFill="1" applyBorder="1" applyAlignment="1" applyProtection="1">
      <alignment horizontal="center" vertical="center" wrapText="1" shrinkToFit="1"/>
      <protection locked="0"/>
    </xf>
    <xf numFmtId="174" fontId="55" fillId="29" borderId="6" xfId="1" applyNumberFormat="1" applyFont="1" applyFill="1" applyBorder="1" applyAlignment="1" applyProtection="1">
      <alignment horizontal="center" vertical="center" wrapText="1" shrinkToFit="1"/>
    </xf>
    <xf numFmtId="174" fontId="6" fillId="29" borderId="6" xfId="1" applyNumberFormat="1" applyFont="1" applyFill="1" applyBorder="1" applyAlignment="1" applyProtection="1">
      <alignment horizontal="center" vertical="center" textRotation="90" wrapText="1" shrinkToFit="1"/>
    </xf>
    <xf numFmtId="174" fontId="54" fillId="30" borderId="6" xfId="1" applyNumberFormat="1" applyFont="1" applyFill="1" applyBorder="1" applyAlignment="1" applyProtection="1">
      <alignment horizontal="center" vertical="center" wrapText="1" shrinkToFit="1"/>
    </xf>
    <xf numFmtId="0" fontId="54" fillId="9" borderId="6" xfId="0" applyFont="1" applyFill="1" applyBorder="1" applyAlignment="1">
      <alignment horizontal="center" vertical="center" wrapText="1"/>
    </xf>
    <xf numFmtId="174" fontId="54" fillId="31" borderId="6" xfId="1" applyNumberFormat="1" applyFont="1" applyFill="1" applyBorder="1" applyAlignment="1" applyProtection="1">
      <alignment horizontal="center" vertical="center" wrapText="1" shrinkToFit="1"/>
    </xf>
    <xf numFmtId="174" fontId="54" fillId="9" borderId="6" xfId="1" applyNumberFormat="1" applyFont="1" applyFill="1" applyBorder="1" applyAlignment="1" applyProtection="1">
      <alignment horizontal="center" vertical="center" textRotation="90" wrapText="1" shrinkToFit="1"/>
    </xf>
    <xf numFmtId="0" fontId="54" fillId="32" borderId="6" xfId="0" applyFont="1" applyFill="1" applyBorder="1" applyAlignment="1">
      <alignment horizontal="center" vertical="center" textRotation="90" wrapText="1"/>
    </xf>
    <xf numFmtId="0" fontId="56" fillId="33" borderId="6" xfId="0" applyFont="1" applyFill="1" applyBorder="1" applyAlignment="1">
      <alignment horizontal="center" vertical="center" textRotation="90" wrapText="1"/>
    </xf>
    <xf numFmtId="0" fontId="25" fillId="20" borderId="6" xfId="0" applyFont="1" applyFill="1" applyBorder="1" applyAlignment="1">
      <alignment horizontal="center" vertical="center" textRotation="90" wrapText="1"/>
    </xf>
    <xf numFmtId="0" fontId="56" fillId="20" borderId="10" xfId="0" applyFont="1" applyFill="1" applyBorder="1" applyAlignment="1">
      <alignment horizontal="center" vertical="center" textRotation="90" wrapText="1"/>
    </xf>
    <xf numFmtId="0" fontId="47" fillId="25" borderId="6" xfId="0" applyFont="1" applyFill="1" applyBorder="1" applyAlignment="1">
      <alignment horizontal="center" vertical="center" wrapText="1"/>
    </xf>
    <xf numFmtId="0" fontId="54" fillId="25" borderId="6" xfId="0" applyFont="1" applyFill="1" applyBorder="1" applyAlignment="1">
      <alignment horizontal="center" vertical="center" wrapText="1"/>
    </xf>
    <xf numFmtId="0" fontId="57" fillId="34" borderId="6" xfId="0" applyFont="1" applyFill="1" applyBorder="1" applyAlignment="1" applyProtection="1">
      <alignment horizontal="center" vertical="center" wrapText="1"/>
      <protection locked="0"/>
    </xf>
    <xf numFmtId="0" fontId="57" fillId="35" borderId="6" xfId="0" applyFont="1" applyFill="1" applyBorder="1" applyAlignment="1">
      <alignment horizontal="center" vertical="center" wrapText="1"/>
    </xf>
    <xf numFmtId="0" fontId="57" fillId="36" borderId="6" xfId="0" applyFont="1" applyFill="1" applyBorder="1" applyAlignment="1">
      <alignment horizontal="center" vertical="center" wrapText="1"/>
    </xf>
    <xf numFmtId="0" fontId="55" fillId="25" borderId="6" xfId="0" applyFont="1" applyFill="1" applyBorder="1" applyAlignment="1">
      <alignment horizontal="center" vertical="center" wrapText="1"/>
    </xf>
    <xf numFmtId="0" fontId="2" fillId="9" borderId="6" xfId="0" applyFont="1" applyFill="1" applyBorder="1" applyAlignment="1">
      <alignment horizontal="center" vertical="center" textRotation="90" wrapText="1"/>
    </xf>
    <xf numFmtId="0" fontId="58" fillId="18" borderId="18" xfId="0" applyFont="1" applyFill="1" applyBorder="1" applyAlignment="1" applyProtection="1">
      <alignment vertical="center" textRotation="90" wrapText="1"/>
      <protection hidden="1"/>
    </xf>
    <xf numFmtId="0" fontId="6" fillId="0" borderId="0" xfId="0" applyFont="1" applyAlignment="1">
      <alignment horizontal="center" vertical="center" wrapText="1"/>
    </xf>
    <xf numFmtId="0" fontId="59" fillId="0" borderId="0" xfId="0" applyFont="1" applyAlignment="1">
      <alignment horizontal="center" vertical="center" wrapText="1"/>
    </xf>
    <xf numFmtId="0" fontId="59" fillId="0" borderId="0" xfId="0" applyFont="1" applyAlignment="1">
      <alignment horizontal="center" vertical="center" textRotation="90" wrapText="1"/>
    </xf>
    <xf numFmtId="0" fontId="16" fillId="37" borderId="6" xfId="0" applyFont="1" applyFill="1" applyBorder="1" applyAlignment="1">
      <alignment horizontal="center" vertical="center" wrapText="1"/>
    </xf>
    <xf numFmtId="175" fontId="60" fillId="38" borderId="6" xfId="4" applyNumberFormat="1" applyFont="1" applyFill="1" applyBorder="1" applyAlignment="1" applyProtection="1">
      <alignment horizontal="center" vertical="center"/>
      <protection hidden="1"/>
    </xf>
    <xf numFmtId="175" fontId="61" fillId="38" borderId="6" xfId="4" applyNumberFormat="1" applyFont="1" applyFill="1" applyBorder="1" applyAlignment="1">
      <alignment horizontal="center" vertical="center"/>
    </xf>
    <xf numFmtId="0" fontId="2" fillId="37" borderId="10" xfId="0" applyFont="1" applyFill="1" applyBorder="1" applyAlignment="1" applyProtection="1">
      <alignment horizontal="center" vertical="center" wrapText="1"/>
      <protection locked="0"/>
    </xf>
    <xf numFmtId="0" fontId="2" fillId="37" borderId="6" xfId="0" applyFont="1" applyFill="1" applyBorder="1" applyAlignment="1">
      <alignment horizontal="center" vertical="center" wrapText="1"/>
    </xf>
    <xf numFmtId="0" fontId="62" fillId="38" borderId="6" xfId="0" applyFont="1" applyFill="1" applyBorder="1" applyAlignment="1" applyProtection="1">
      <alignment horizontal="center" vertical="center" wrapText="1"/>
      <protection locked="0"/>
    </xf>
    <xf numFmtId="0" fontId="2" fillId="37" borderId="6" xfId="0" applyFont="1" applyFill="1" applyBorder="1" applyAlignment="1" applyProtection="1">
      <alignment horizontal="center" vertical="center" wrapText="1"/>
      <protection locked="0"/>
    </xf>
    <xf numFmtId="0" fontId="63" fillId="37" borderId="6" xfId="0" applyFont="1" applyFill="1" applyBorder="1" applyAlignment="1" applyProtection="1">
      <alignment horizontal="center" vertical="center" wrapText="1"/>
      <protection locked="0"/>
    </xf>
    <xf numFmtId="0" fontId="15" fillId="37" borderId="6" xfId="0" applyFont="1" applyFill="1" applyBorder="1" applyAlignment="1">
      <alignment horizontal="center" vertical="center" wrapText="1"/>
    </xf>
    <xf numFmtId="0" fontId="64" fillId="37" borderId="10" xfId="0" applyFont="1" applyFill="1" applyBorder="1" applyAlignment="1">
      <alignment horizontal="center" vertical="center" wrapText="1"/>
    </xf>
    <xf numFmtId="0" fontId="37" fillId="38" borderId="6" xfId="0" applyFont="1" applyFill="1" applyBorder="1" applyAlignment="1">
      <alignment horizontal="left" vertical="center" wrapText="1"/>
    </xf>
    <xf numFmtId="0" fontId="65" fillId="38" borderId="12" xfId="0" applyFont="1" applyFill="1" applyBorder="1" applyAlignment="1">
      <alignment horizontal="left" vertical="center" wrapText="1"/>
    </xf>
    <xf numFmtId="175" fontId="66" fillId="39" borderId="6" xfId="4" applyNumberFormat="1" applyFont="1" applyFill="1" applyBorder="1" applyAlignment="1" applyProtection="1">
      <alignment horizontal="center" vertical="center"/>
      <protection locked="0"/>
    </xf>
    <xf numFmtId="175" fontId="67" fillId="40" borderId="6" xfId="4" applyNumberFormat="1" applyFont="1" applyFill="1" applyBorder="1" applyAlignment="1" applyProtection="1">
      <alignment horizontal="center" vertical="center"/>
      <protection locked="0"/>
    </xf>
    <xf numFmtId="175" fontId="68" fillId="41" borderId="6" xfId="4" applyNumberFormat="1" applyFont="1" applyFill="1" applyBorder="1" applyAlignment="1" applyProtection="1">
      <alignment horizontal="center" vertical="center"/>
      <protection hidden="1"/>
    </xf>
    <xf numFmtId="9" fontId="26" fillId="37" borderId="6" xfId="3" applyFont="1" applyFill="1" applyBorder="1" applyAlignment="1" applyProtection="1">
      <alignment horizontal="center" vertical="center" wrapText="1"/>
    </xf>
    <xf numFmtId="175" fontId="67" fillId="42" borderId="6" xfId="4" applyNumberFormat="1" applyFont="1" applyFill="1" applyBorder="1" applyAlignment="1">
      <alignment horizontal="center" vertical="center"/>
    </xf>
    <xf numFmtId="0" fontId="54" fillId="38" borderId="6" xfId="0" applyFont="1" applyFill="1" applyBorder="1" applyAlignment="1" applyProtection="1">
      <alignment horizontal="center" vertical="center" wrapText="1"/>
      <protection locked="0"/>
    </xf>
    <xf numFmtId="0" fontId="48" fillId="37" borderId="6" xfId="0" applyFont="1" applyFill="1" applyBorder="1" applyAlignment="1">
      <alignment horizontal="center" vertical="center" wrapText="1"/>
    </xf>
    <xf numFmtId="175" fontId="69" fillId="37" borderId="6" xfId="4" applyNumberFormat="1" applyFont="1" applyFill="1" applyBorder="1" applyAlignment="1">
      <alignment horizontal="center" vertical="center"/>
    </xf>
    <xf numFmtId="176" fontId="70" fillId="38" borderId="6" xfId="4" applyNumberFormat="1" applyFont="1" applyFill="1" applyBorder="1" applyAlignment="1" applyProtection="1">
      <alignment horizontal="center" vertical="center"/>
      <protection hidden="1"/>
    </xf>
    <xf numFmtId="175" fontId="71" fillId="37" borderId="6" xfId="4" applyNumberFormat="1" applyFont="1" applyFill="1" applyBorder="1" applyAlignment="1">
      <alignment horizontal="center" vertical="center"/>
    </xf>
    <xf numFmtId="175" fontId="72" fillId="43" borderId="6" xfId="4" applyNumberFormat="1" applyFont="1" applyFill="1" applyBorder="1" applyAlignment="1">
      <alignment horizontal="center" vertical="center"/>
    </xf>
    <xf numFmtId="175" fontId="73" fillId="44" borderId="6" xfId="4" applyNumberFormat="1" applyFont="1" applyFill="1" applyBorder="1" applyAlignment="1">
      <alignment horizontal="center" vertical="center"/>
    </xf>
    <xf numFmtId="175" fontId="73" fillId="38" borderId="6" xfId="4" applyNumberFormat="1" applyFont="1" applyFill="1" applyBorder="1" applyAlignment="1">
      <alignment horizontal="center" vertical="center"/>
    </xf>
    <xf numFmtId="175" fontId="74" fillId="38" borderId="6" xfId="4" applyNumberFormat="1" applyFont="1" applyFill="1" applyBorder="1" applyAlignment="1">
      <alignment horizontal="center" vertical="center"/>
    </xf>
    <xf numFmtId="177" fontId="73" fillId="38" borderId="6" xfId="4" applyNumberFormat="1" applyFont="1" applyFill="1" applyBorder="1" applyAlignment="1">
      <alignment horizontal="center" vertical="center"/>
    </xf>
    <xf numFmtId="0" fontId="15" fillId="12" borderId="6" xfId="0" applyFont="1" applyFill="1" applyBorder="1" applyAlignment="1" applyProtection="1">
      <alignment horizontal="center" vertical="center" wrapText="1"/>
      <protection locked="0"/>
    </xf>
    <xf numFmtId="0" fontId="15" fillId="45" borderId="6" xfId="0" applyFont="1" applyFill="1" applyBorder="1" applyAlignment="1">
      <alignment horizontal="center" vertical="center" wrapText="1"/>
    </xf>
    <xf numFmtId="9" fontId="15" fillId="46" borderId="6" xfId="0" applyNumberFormat="1" applyFont="1" applyFill="1" applyBorder="1" applyAlignment="1">
      <alignment horizontal="center" vertical="center" wrapText="1"/>
    </xf>
    <xf numFmtId="178" fontId="70" fillId="37" borderId="6" xfId="4" applyNumberFormat="1" applyFont="1" applyFill="1" applyBorder="1" applyAlignment="1">
      <alignment horizontal="center" vertical="center"/>
    </xf>
    <xf numFmtId="9" fontId="70" fillId="38" borderId="6" xfId="3" applyFont="1" applyFill="1" applyBorder="1" applyAlignment="1" applyProtection="1">
      <alignment horizontal="center" vertical="center" wrapText="1"/>
    </xf>
    <xf numFmtId="178" fontId="70" fillId="38" borderId="6" xfId="4" applyNumberFormat="1" applyFont="1" applyFill="1" applyBorder="1" applyAlignment="1">
      <alignment horizontal="center" vertical="center"/>
    </xf>
    <xf numFmtId="10" fontId="70" fillId="38" borderId="6" xfId="3" applyNumberFormat="1" applyFont="1" applyFill="1" applyBorder="1" applyAlignment="1" applyProtection="1">
      <alignment horizontal="center" vertical="center"/>
      <protection hidden="1"/>
    </xf>
    <xf numFmtId="2" fontId="75" fillId="38" borderId="6" xfId="3" applyNumberFormat="1" applyFont="1" applyFill="1" applyBorder="1" applyAlignment="1" applyProtection="1">
      <alignment horizontal="center" vertical="center"/>
      <protection hidden="1"/>
    </xf>
    <xf numFmtId="2" fontId="75" fillId="38" borderId="6" xfId="3" applyNumberFormat="1" applyFont="1" applyFill="1" applyBorder="1" applyAlignment="1" applyProtection="1">
      <alignment horizontal="center"/>
      <protection hidden="1"/>
    </xf>
    <xf numFmtId="179" fontId="11" fillId="37" borderId="24" xfId="0" applyNumberFormat="1" applyFont="1" applyFill="1" applyBorder="1" applyAlignment="1" applyProtection="1">
      <alignment horizontal="center" vertical="center" wrapText="1"/>
      <protection hidden="1"/>
    </xf>
    <xf numFmtId="1" fontId="76" fillId="37" borderId="6" xfId="0" applyNumberFormat="1" applyFont="1" applyFill="1" applyBorder="1" applyAlignment="1" applyProtection="1">
      <alignment horizontal="center" vertical="center" wrapText="1"/>
      <protection hidden="1"/>
    </xf>
    <xf numFmtId="9" fontId="76" fillId="37" borderId="6" xfId="3" applyFont="1" applyFill="1" applyBorder="1" applyAlignment="1" applyProtection="1">
      <alignment vertical="center" wrapText="1"/>
      <protection hidden="1"/>
    </xf>
    <xf numFmtId="175" fontId="69" fillId="37" borderId="6" xfId="4" applyNumberFormat="1" applyFont="1" applyFill="1" applyBorder="1" applyAlignment="1" applyProtection="1">
      <alignment horizontal="center" vertical="center"/>
      <protection hidden="1"/>
    </xf>
    <xf numFmtId="180" fontId="16" fillId="37" borderId="6" xfId="0" applyNumberFormat="1" applyFont="1" applyFill="1" applyBorder="1" applyAlignment="1" applyProtection="1">
      <alignment vertical="center" wrapText="1"/>
      <protection hidden="1"/>
    </xf>
    <xf numFmtId="181" fontId="62" fillId="37" borderId="6" xfId="0" applyNumberFormat="1" applyFont="1" applyFill="1" applyBorder="1" applyAlignment="1" applyProtection="1">
      <alignment vertical="center" wrapText="1"/>
      <protection hidden="1"/>
    </xf>
    <xf numFmtId="0" fontId="24" fillId="37" borderId="6" xfId="0" applyFont="1" applyFill="1" applyBorder="1" applyAlignment="1" applyProtection="1">
      <alignment horizontal="center" vertical="center" wrapText="1"/>
      <protection hidden="1"/>
    </xf>
    <xf numFmtId="9" fontId="62" fillId="37" borderId="6" xfId="3" applyFont="1" applyFill="1" applyBorder="1" applyAlignment="1" applyProtection="1">
      <alignment horizontal="center" vertical="center" wrapText="1"/>
      <protection hidden="1"/>
    </xf>
    <xf numFmtId="43" fontId="62" fillId="37" borderId="6" xfId="1" applyFont="1" applyFill="1" applyBorder="1" applyAlignment="1" applyProtection="1">
      <alignment horizontal="center" vertical="center" wrapText="1"/>
      <protection hidden="1"/>
    </xf>
    <xf numFmtId="43" fontId="37" fillId="37" borderId="6" xfId="1" applyFont="1" applyFill="1" applyBorder="1" applyAlignment="1" applyProtection="1">
      <alignment horizontal="center" vertical="center" wrapText="1"/>
      <protection hidden="1"/>
    </xf>
    <xf numFmtId="0" fontId="37" fillId="37" borderId="6" xfId="1" applyNumberFormat="1" applyFont="1" applyFill="1" applyBorder="1" applyAlignment="1" applyProtection="1">
      <alignment horizontal="center" vertical="center" wrapText="1"/>
      <protection hidden="1"/>
    </xf>
    <xf numFmtId="0" fontId="6" fillId="37" borderId="6" xfId="0" applyFont="1" applyFill="1" applyBorder="1" applyAlignment="1" applyProtection="1">
      <alignment horizontal="center" vertical="center" wrapText="1"/>
      <protection hidden="1"/>
    </xf>
    <xf numFmtId="0" fontId="2" fillId="0" borderId="0" xfId="0" applyFont="1" applyAlignment="1" applyProtection="1">
      <alignment vertical="center" wrapText="1"/>
      <protection locked="0"/>
    </xf>
    <xf numFmtId="175" fontId="60" fillId="37" borderId="6" xfId="4" applyNumberFormat="1" applyFont="1" applyFill="1" applyBorder="1" applyAlignment="1" applyProtection="1">
      <alignment horizontal="center" vertical="center"/>
      <protection hidden="1"/>
    </xf>
    <xf numFmtId="180" fontId="11" fillId="37" borderId="12" xfId="0" applyNumberFormat="1" applyFont="1" applyFill="1" applyBorder="1" applyAlignment="1" applyProtection="1">
      <alignment horizontal="center" vertical="center" wrapText="1"/>
      <protection hidden="1"/>
    </xf>
    <xf numFmtId="180" fontId="11" fillId="37" borderId="24" xfId="0" applyNumberFormat="1" applyFont="1" applyFill="1" applyBorder="1" applyAlignment="1" applyProtection="1">
      <alignment horizontal="center" vertical="center" wrapText="1"/>
      <protection hidden="1"/>
    </xf>
    <xf numFmtId="0" fontId="77" fillId="38" borderId="12" xfId="0" applyFont="1" applyFill="1" applyBorder="1" applyAlignment="1">
      <alignment horizontal="left" vertical="center" wrapText="1"/>
    </xf>
    <xf numFmtId="0" fontId="78" fillId="38" borderId="6" xfId="0" applyFont="1" applyFill="1" applyBorder="1" applyAlignment="1">
      <alignment horizontal="left" vertical="center" wrapText="1"/>
    </xf>
    <xf numFmtId="0" fontId="64" fillId="37" borderId="6" xfId="0" applyFont="1" applyFill="1" applyBorder="1" applyAlignment="1">
      <alignment horizontal="center" vertical="center" wrapText="1"/>
    </xf>
    <xf numFmtId="0" fontId="78" fillId="38" borderId="15" xfId="0" applyFont="1" applyFill="1" applyBorder="1" applyAlignment="1">
      <alignment horizontal="left" vertical="center" wrapText="1"/>
    </xf>
    <xf numFmtId="0" fontId="65" fillId="38" borderId="6" xfId="0" applyFont="1" applyFill="1" applyBorder="1" applyAlignment="1">
      <alignment horizontal="left" vertical="center" wrapText="1"/>
    </xf>
    <xf numFmtId="177" fontId="79" fillId="37" borderId="6" xfId="4" applyNumberFormat="1" applyFont="1" applyFill="1" applyBorder="1" applyAlignment="1">
      <alignment horizontal="center" vertical="center"/>
    </xf>
    <xf numFmtId="0" fontId="80" fillId="12" borderId="6" xfId="0" applyFont="1" applyFill="1" applyBorder="1" applyAlignment="1" applyProtection="1">
      <alignment horizontal="center" vertical="center" wrapText="1"/>
      <protection locked="0"/>
    </xf>
    <xf numFmtId="0" fontId="80" fillId="45" borderId="6" xfId="0" applyFont="1" applyFill="1" applyBorder="1" applyAlignment="1">
      <alignment horizontal="center" vertical="center" wrapText="1"/>
    </xf>
    <xf numFmtId="9" fontId="80" fillId="46" borderId="6" xfId="0" applyNumberFormat="1" applyFont="1" applyFill="1" applyBorder="1" applyAlignment="1">
      <alignment horizontal="center" vertical="center" wrapText="1"/>
    </xf>
    <xf numFmtId="178" fontId="81" fillId="37" borderId="6" xfId="4" applyNumberFormat="1" applyFont="1" applyFill="1" applyBorder="1" applyAlignment="1">
      <alignment horizontal="center" vertical="center"/>
    </xf>
    <xf numFmtId="9" fontId="81" fillId="37" borderId="6" xfId="3" applyFont="1" applyFill="1" applyBorder="1" applyAlignment="1" applyProtection="1">
      <alignment horizontal="center" vertical="center" wrapText="1"/>
    </xf>
    <xf numFmtId="10" fontId="81" fillId="37" borderId="6" xfId="3" applyNumberFormat="1" applyFont="1" applyFill="1" applyBorder="1" applyAlignment="1" applyProtection="1">
      <alignment horizontal="center" vertical="center"/>
      <protection hidden="1"/>
    </xf>
    <xf numFmtId="2" fontId="80" fillId="37" borderId="6" xfId="3" applyNumberFormat="1" applyFont="1" applyFill="1" applyBorder="1" applyAlignment="1" applyProtection="1">
      <alignment horizontal="center" vertical="center"/>
      <protection hidden="1"/>
    </xf>
    <xf numFmtId="180" fontId="82" fillId="37" borderId="12" xfId="0" applyNumberFormat="1" applyFont="1" applyFill="1" applyBorder="1" applyAlignment="1" applyProtection="1">
      <alignment horizontal="center" vertical="center" wrapText="1"/>
      <protection hidden="1"/>
    </xf>
    <xf numFmtId="1" fontId="83" fillId="37" borderId="6" xfId="0" applyNumberFormat="1" applyFont="1" applyFill="1" applyBorder="1" applyAlignment="1" applyProtection="1">
      <alignment horizontal="center" vertical="center" wrapText="1"/>
      <protection hidden="1"/>
    </xf>
    <xf numFmtId="9" fontId="83" fillId="37" borderId="6" xfId="3" applyFont="1" applyFill="1" applyBorder="1" applyAlignment="1" applyProtection="1">
      <alignment vertical="center" wrapText="1"/>
      <protection hidden="1"/>
    </xf>
    <xf numFmtId="180" fontId="83" fillId="37" borderId="6" xfId="0" applyNumberFormat="1" applyFont="1" applyFill="1" applyBorder="1" applyAlignment="1" applyProtection="1">
      <alignment vertical="center" wrapText="1"/>
      <protection hidden="1"/>
    </xf>
    <xf numFmtId="9" fontId="84" fillId="37" borderId="6" xfId="3" applyFont="1" applyFill="1" applyBorder="1" applyAlignment="1" applyProtection="1">
      <alignment horizontal="center" vertical="center" wrapText="1"/>
      <protection hidden="1"/>
    </xf>
    <xf numFmtId="43" fontId="84" fillId="37" borderId="6" xfId="1" applyFont="1" applyFill="1" applyBorder="1" applyAlignment="1" applyProtection="1">
      <alignment horizontal="center" vertical="center" wrapText="1"/>
      <protection hidden="1"/>
    </xf>
    <xf numFmtId="177" fontId="85" fillId="38" borderId="6" xfId="4" applyNumberFormat="1" applyFont="1" applyFill="1" applyBorder="1" applyAlignment="1">
      <alignment horizontal="center" vertical="center"/>
    </xf>
    <xf numFmtId="0" fontId="86" fillId="12" borderId="6" xfId="0" applyFont="1" applyFill="1" applyBorder="1" applyAlignment="1" applyProtection="1">
      <alignment horizontal="center" vertical="center" wrapText="1"/>
      <protection locked="0"/>
    </xf>
    <xf numFmtId="0" fontId="86" fillId="45" borderId="6" xfId="0" applyFont="1" applyFill="1" applyBorder="1" applyAlignment="1">
      <alignment horizontal="center" vertical="center" wrapText="1"/>
    </xf>
    <xf numFmtId="9" fontId="86" fillId="46" borderId="6" xfId="0" applyNumberFormat="1" applyFont="1" applyFill="1" applyBorder="1" applyAlignment="1">
      <alignment horizontal="center" vertical="center" wrapText="1"/>
    </xf>
    <xf numFmtId="9" fontId="87" fillId="38" borderId="6" xfId="3" applyFont="1" applyFill="1" applyBorder="1" applyAlignment="1" applyProtection="1">
      <alignment horizontal="center" vertical="center" wrapText="1"/>
    </xf>
    <xf numFmtId="178" fontId="87" fillId="38" borderId="6" xfId="4" applyNumberFormat="1" applyFont="1" applyFill="1" applyBorder="1" applyAlignment="1">
      <alignment horizontal="center" vertical="center"/>
    </xf>
    <xf numFmtId="10" fontId="87" fillId="38" borderId="6" xfId="3" applyNumberFormat="1" applyFont="1" applyFill="1" applyBorder="1" applyAlignment="1" applyProtection="1">
      <alignment horizontal="center" vertical="center"/>
      <protection hidden="1"/>
    </xf>
    <xf numFmtId="2" fontId="86" fillId="38" borderId="6" xfId="3" applyNumberFormat="1" applyFont="1" applyFill="1" applyBorder="1" applyAlignment="1" applyProtection="1">
      <alignment horizontal="center" vertical="center"/>
      <protection hidden="1"/>
    </xf>
    <xf numFmtId="180" fontId="18" fillId="37" borderId="12" xfId="0" applyNumberFormat="1" applyFont="1" applyFill="1" applyBorder="1" applyAlignment="1" applyProtection="1">
      <alignment horizontal="center" vertical="center" wrapText="1"/>
      <protection hidden="1"/>
    </xf>
    <xf numFmtId="1" fontId="88" fillId="37" borderId="6" xfId="0" applyNumberFormat="1" applyFont="1" applyFill="1" applyBorder="1" applyAlignment="1" applyProtection="1">
      <alignment horizontal="center" vertical="center" wrapText="1"/>
      <protection hidden="1"/>
    </xf>
    <xf numFmtId="9" fontId="88" fillId="37" borderId="6" xfId="3" applyFont="1" applyFill="1" applyBorder="1" applyAlignment="1" applyProtection="1">
      <alignment vertical="center" wrapText="1"/>
      <protection hidden="1"/>
    </xf>
    <xf numFmtId="180" fontId="88" fillId="37" borderId="6" xfId="0" applyNumberFormat="1" applyFont="1" applyFill="1" applyBorder="1" applyAlignment="1" applyProtection="1">
      <alignment vertical="center" wrapText="1"/>
      <protection hidden="1"/>
    </xf>
    <xf numFmtId="180" fontId="76" fillId="37" borderId="6" xfId="0" applyNumberFormat="1" applyFont="1" applyFill="1" applyBorder="1" applyAlignment="1" applyProtection="1">
      <alignment horizontal="center" vertical="center" wrapText="1"/>
      <protection hidden="1"/>
    </xf>
    <xf numFmtId="0" fontId="69" fillId="37" borderId="6" xfId="0" applyFont="1" applyFill="1" applyBorder="1" applyAlignment="1">
      <alignment horizontal="center" vertical="center" wrapText="1"/>
    </xf>
    <xf numFmtId="175" fontId="89" fillId="38" borderId="6" xfId="4" applyNumberFormat="1" applyFont="1" applyFill="1" applyBorder="1" applyAlignment="1" applyProtection="1">
      <alignment horizontal="center" vertical="center"/>
      <protection locked="0"/>
    </xf>
    <xf numFmtId="0" fontId="15" fillId="37" borderId="6" xfId="0" applyFont="1" applyFill="1" applyBorder="1" applyAlignment="1" applyProtection="1">
      <alignment horizontal="center" vertical="center" wrapText="1"/>
      <protection locked="0"/>
    </xf>
    <xf numFmtId="0" fontId="64" fillId="37" borderId="6" xfId="0" applyFont="1" applyFill="1" applyBorder="1" applyAlignment="1" applyProtection="1">
      <alignment horizontal="center" vertical="center" wrapText="1"/>
      <protection locked="0"/>
    </xf>
    <xf numFmtId="0" fontId="90" fillId="38" borderId="6" xfId="0" applyFont="1" applyFill="1" applyBorder="1" applyAlignment="1" applyProtection="1">
      <alignment horizontal="left" vertical="center" wrapText="1"/>
      <protection locked="0"/>
    </xf>
    <xf numFmtId="0" fontId="2" fillId="7" borderId="0" xfId="0" applyFont="1" applyFill="1" applyAlignment="1" applyProtection="1">
      <alignment vertical="center" wrapText="1"/>
      <protection hidden="1"/>
    </xf>
    <xf numFmtId="0" fontId="2" fillId="7" borderId="0" xfId="0" applyFont="1" applyFill="1" applyAlignment="1" applyProtection="1">
      <alignment horizontal="center" vertical="center" wrapText="1"/>
      <protection hidden="1"/>
    </xf>
    <xf numFmtId="0" fontId="2" fillId="7" borderId="4" xfId="0" applyFont="1" applyFill="1" applyBorder="1" applyAlignment="1" applyProtection="1">
      <alignment vertical="center" wrapText="1"/>
      <protection hidden="1"/>
    </xf>
    <xf numFmtId="0" fontId="91" fillId="7" borderId="5" xfId="0" applyFont="1" applyFill="1" applyBorder="1" applyAlignment="1" applyProtection="1">
      <alignment vertical="center" wrapText="1"/>
      <protection hidden="1"/>
    </xf>
    <xf numFmtId="0" fontId="92" fillId="7" borderId="0" xfId="0" applyFont="1" applyFill="1" applyAlignment="1" applyProtection="1">
      <alignment vertical="center" wrapText="1"/>
      <protection hidden="1"/>
    </xf>
    <xf numFmtId="0" fontId="2" fillId="7" borderId="0" xfId="0" applyFont="1" applyFill="1" applyAlignment="1" applyProtection="1">
      <alignment horizontal="right" vertical="center" wrapText="1"/>
      <protection hidden="1"/>
    </xf>
    <xf numFmtId="0" fontId="2" fillId="7" borderId="0" xfId="0" applyFont="1" applyFill="1" applyAlignment="1" applyProtection="1">
      <alignment horizontal="left" vertical="center" wrapText="1"/>
      <protection hidden="1"/>
    </xf>
    <xf numFmtId="175" fontId="2" fillId="7" borderId="0" xfId="0" applyNumberFormat="1" applyFont="1" applyFill="1" applyAlignment="1" applyProtection="1">
      <alignment horizontal="center" vertical="center" wrapText="1"/>
      <protection hidden="1"/>
    </xf>
    <xf numFmtId="0" fontId="2" fillId="0" borderId="0" xfId="0" applyFont="1" applyAlignment="1" applyProtection="1">
      <alignment vertical="center" wrapText="1"/>
      <protection hidden="1"/>
    </xf>
    <xf numFmtId="0" fontId="6" fillId="0" borderId="0" xfId="0" applyFont="1" applyAlignment="1" applyProtection="1">
      <alignment horizontal="center" vertical="center" wrapText="1"/>
      <protection hidden="1"/>
    </xf>
    <xf numFmtId="2" fontId="2" fillId="0" borderId="0" xfId="0" applyNumberFormat="1" applyFont="1" applyAlignment="1" applyProtection="1">
      <alignment vertical="center" wrapText="1"/>
      <protection hidden="1"/>
    </xf>
    <xf numFmtId="0" fontId="93" fillId="7" borderId="0" xfId="0" applyFont="1" applyFill="1" applyAlignment="1" applyProtection="1">
      <alignment horizontal="left" vertical="center" indent="1"/>
      <protection hidden="1"/>
    </xf>
    <xf numFmtId="0" fontId="94" fillId="7" borderId="0" xfId="0" applyFont="1" applyFill="1" applyAlignment="1" applyProtection="1">
      <alignment vertical="center" wrapText="1"/>
      <protection hidden="1"/>
    </xf>
    <xf numFmtId="0" fontId="95" fillId="7" borderId="0" xfId="0" applyFont="1" applyFill="1" applyAlignment="1" applyProtection="1">
      <alignment horizontal="left" vertical="center" indent="1"/>
      <protection hidden="1"/>
    </xf>
    <xf numFmtId="0" fontId="37" fillId="7" borderId="0" xfId="0" applyFont="1" applyFill="1" applyAlignment="1" applyProtection="1">
      <alignment vertical="center" wrapText="1"/>
      <protection hidden="1"/>
    </xf>
    <xf numFmtId="0" fontId="95" fillId="7" borderId="0" xfId="0" applyFont="1" applyFill="1" applyProtection="1">
      <protection hidden="1"/>
    </xf>
    <xf numFmtId="0" fontId="96" fillId="7" borderId="0" xfId="0" applyFont="1" applyFill="1" applyAlignment="1" applyProtection="1">
      <alignment vertical="center"/>
      <protection hidden="1"/>
    </xf>
    <xf numFmtId="0" fontId="6" fillId="0" borderId="0" xfId="0" applyFont="1" applyAlignment="1" applyProtection="1">
      <alignment vertical="center" wrapText="1"/>
      <protection hidden="1"/>
    </xf>
    <xf numFmtId="0" fontId="91" fillId="7" borderId="0" xfId="0" applyFont="1" applyFill="1" applyAlignment="1" applyProtection="1">
      <alignment vertical="center" wrapText="1"/>
      <protection hidden="1"/>
    </xf>
    <xf numFmtId="0" fontId="15" fillId="7" borderId="6" xfId="0" applyFont="1" applyFill="1" applyBorder="1" applyAlignment="1" applyProtection="1">
      <alignment horizontal="center" vertical="center" wrapText="1"/>
      <protection hidden="1"/>
    </xf>
    <xf numFmtId="0" fontId="4" fillId="7" borderId="6" xfId="0" applyFont="1" applyFill="1" applyBorder="1" applyAlignment="1" applyProtection="1">
      <alignment horizontal="center" vertical="center" wrapText="1"/>
      <protection hidden="1"/>
    </xf>
    <xf numFmtId="0" fontId="2" fillId="7" borderId="6" xfId="0" applyFont="1" applyFill="1" applyBorder="1" applyAlignment="1" applyProtection="1">
      <alignment horizontal="center" vertical="center" wrapText="1"/>
      <protection hidden="1"/>
    </xf>
    <xf numFmtId="0" fontId="98" fillId="7" borderId="0" xfId="5" applyFont="1" applyFill="1" applyProtection="1">
      <protection hidden="1"/>
    </xf>
    <xf numFmtId="0" fontId="99" fillId="7" borderId="0" xfId="0" applyFont="1" applyFill="1" applyAlignment="1" applyProtection="1">
      <alignment vertical="center"/>
      <protection hidden="1"/>
    </xf>
    <xf numFmtId="0" fontId="93" fillId="7" borderId="0" xfId="0" applyFont="1" applyFill="1" applyProtection="1">
      <protection hidden="1"/>
    </xf>
    <xf numFmtId="0" fontId="100" fillId="7" borderId="0" xfId="0" applyFont="1" applyFill="1" applyAlignment="1" applyProtection="1">
      <alignment vertical="center"/>
      <protection hidden="1"/>
    </xf>
    <xf numFmtId="0" fontId="0" fillId="7" borderId="0" xfId="0" applyFill="1" applyAlignment="1" applyProtection="1">
      <alignment horizontal="left" vertical="center" indent="1"/>
      <protection hidden="1"/>
    </xf>
    <xf numFmtId="0" fontId="0" fillId="7" borderId="0" xfId="0" applyFill="1" applyProtection="1">
      <protection hidden="1"/>
    </xf>
    <xf numFmtId="0" fontId="101" fillId="7" borderId="0" xfId="0" applyFont="1" applyFill="1" applyAlignment="1" applyProtection="1">
      <alignment vertical="center"/>
      <protection hidden="1"/>
    </xf>
    <xf numFmtId="0" fontId="102" fillId="7" borderId="0" xfId="0" applyFont="1" applyFill="1" applyAlignment="1" applyProtection="1">
      <alignment vertical="center"/>
      <protection hidden="1"/>
    </xf>
    <xf numFmtId="0" fontId="2" fillId="7" borderId="5" xfId="0" applyFont="1" applyFill="1" applyBorder="1" applyAlignment="1" applyProtection="1">
      <alignment vertical="center" wrapText="1"/>
      <protection hidden="1"/>
    </xf>
    <xf numFmtId="0" fontId="2" fillId="0" borderId="0" xfId="0" applyFont="1" applyAlignment="1" applyProtection="1">
      <alignment horizontal="center" vertical="center" wrapText="1"/>
      <protection hidden="1"/>
    </xf>
    <xf numFmtId="0" fontId="2" fillId="0" borderId="4" xfId="0" applyFont="1" applyBorder="1" applyAlignment="1" applyProtection="1">
      <alignment vertical="center" wrapText="1"/>
      <protection hidden="1"/>
    </xf>
    <xf numFmtId="0" fontId="2" fillId="0" borderId="5" xfId="0" applyFont="1" applyBorder="1" applyAlignment="1" applyProtection="1">
      <alignment vertical="center" wrapText="1"/>
      <protection hidden="1"/>
    </xf>
    <xf numFmtId="0" fontId="92" fillId="0" borderId="0" xfId="0" applyFont="1" applyAlignment="1" applyProtection="1">
      <alignment vertical="center" wrapText="1"/>
      <protection hidden="1"/>
    </xf>
    <xf numFmtId="0" fontId="2" fillId="0" borderId="0" xfId="0" applyFont="1" applyAlignment="1" applyProtection="1">
      <alignment horizontal="right" vertical="center" wrapText="1"/>
      <protection hidden="1"/>
    </xf>
    <xf numFmtId="0" fontId="2" fillId="0" borderId="0" xfId="0" applyFont="1" applyAlignment="1" applyProtection="1">
      <alignment horizontal="left" vertical="center" wrapText="1"/>
      <protection hidden="1"/>
    </xf>
    <xf numFmtId="9" fontId="2" fillId="0" borderId="0" xfId="0" applyNumberFormat="1" applyFont="1" applyAlignment="1" applyProtection="1">
      <alignment vertical="center" wrapText="1"/>
      <protection hidden="1"/>
    </xf>
    <xf numFmtId="179" fontId="2" fillId="0" borderId="0" xfId="0" applyNumberFormat="1" applyFont="1" applyAlignment="1" applyProtection="1">
      <alignment vertical="center" wrapText="1"/>
      <protection hidden="1"/>
    </xf>
    <xf numFmtId="0" fontId="2" fillId="9" borderId="6" xfId="0" applyFont="1" applyFill="1" applyBorder="1" applyAlignment="1" applyProtection="1">
      <alignment vertical="center" wrapText="1"/>
      <protection hidden="1"/>
    </xf>
    <xf numFmtId="0" fontId="2" fillId="9" borderId="6" xfId="0" applyFont="1" applyFill="1" applyBorder="1" applyAlignment="1" applyProtection="1">
      <alignment horizontal="center" vertical="center" wrapText="1"/>
      <protection hidden="1"/>
    </xf>
    <xf numFmtId="0" fontId="2" fillId="0" borderId="6" xfId="0" applyFont="1" applyBorder="1" applyAlignment="1" applyProtection="1">
      <alignment vertical="center" wrapText="1"/>
      <protection hidden="1"/>
    </xf>
    <xf numFmtId="0" fontId="6" fillId="0" borderId="6" xfId="0" applyFont="1" applyBorder="1" applyAlignment="1" applyProtection="1">
      <alignment horizontal="right" vertical="center" wrapText="1"/>
      <protection hidden="1"/>
    </xf>
    <xf numFmtId="0" fontId="6" fillId="0" borderId="6" xfId="0" applyFont="1" applyBorder="1" applyAlignment="1" applyProtection="1">
      <alignment horizontal="center" vertical="center" wrapText="1"/>
      <protection hidden="1"/>
    </xf>
    <xf numFmtId="9" fontId="2" fillId="0" borderId="6" xfId="3" applyFont="1" applyBorder="1" applyAlignment="1" applyProtection="1">
      <alignment horizontal="center" vertical="center" wrapText="1"/>
      <protection hidden="1"/>
    </xf>
    <xf numFmtId="0" fontId="62" fillId="0" borderId="0" xfId="0" applyFont="1" applyAlignment="1" applyProtection="1">
      <alignment vertical="center" wrapText="1"/>
      <protection hidden="1"/>
    </xf>
    <xf numFmtId="0" fontId="92" fillId="0" borderId="0" xfId="0" applyFont="1" applyAlignment="1">
      <alignment vertical="center" wrapText="1"/>
    </xf>
  </cellXfs>
  <cellStyles count="6">
    <cellStyle name="Moeda" xfId="2" builtinId="4"/>
    <cellStyle name="Normal" xfId="0" builtinId="0"/>
    <cellStyle name="Normal 36" xfId="5" xr:uid="{DCC6CEDF-AD6C-4775-B57C-99FE7FF578B2}"/>
    <cellStyle name="Normal 4 2" xfId="4" xr:uid="{E0D36A79-9901-4596-9676-78CB980300B2}"/>
    <cellStyle name="Porcentagem" xfId="3" builtinId="5"/>
    <cellStyle name="Vírgula" xfId="1" builtinId="3"/>
  </cellStyles>
  <dxfs count="36">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b val="0"/>
        <i val="0"/>
        <color rgb="FFFFFFFF"/>
      </font>
    </dxf>
    <dxf>
      <font>
        <color rgb="FFFFFFFF"/>
      </font>
    </dxf>
    <dxf>
      <fill>
        <patternFill>
          <bgColor rgb="FFFFFF00"/>
        </patternFill>
      </fill>
    </dxf>
    <dxf>
      <font>
        <b val="0"/>
        <i val="0"/>
        <color rgb="FFFFFF00"/>
      </font>
      <fill>
        <patternFill>
          <bgColor rgb="FFFF0000"/>
        </patternFill>
      </fill>
    </dxf>
    <dxf>
      <font>
        <b val="0"/>
        <i val="0"/>
      </font>
      <fill>
        <patternFill>
          <bgColor rgb="FFFFC000"/>
        </patternFill>
      </fill>
    </dxf>
    <dxf>
      <fill>
        <patternFill>
          <bgColor theme="8" tint="0.79998168889431442"/>
        </patternFill>
      </fill>
    </dxf>
    <dxf>
      <fill>
        <patternFill>
          <bgColor theme="8" tint="0.79998168889431442"/>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ill>
        <patternFill>
          <bgColor rgb="FFFFC000"/>
        </patternFill>
      </fill>
    </dxf>
    <dxf>
      <font>
        <b/>
        <i val="0"/>
        <color rgb="FFFFFF00"/>
      </font>
      <fill>
        <patternFill>
          <bgColor rgb="FFFF3300"/>
        </patternFill>
      </fill>
    </dxf>
    <dxf>
      <font>
        <color rgb="FF9C0006"/>
      </font>
      <fill>
        <patternFill>
          <bgColor rgb="FFFFC7CE"/>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
      <font>
        <b/>
        <i val="0"/>
        <color rgb="FFFFFF00"/>
      </font>
      <fill>
        <patternFill>
          <bgColor rgb="FFEE0000"/>
        </patternFill>
      </fill>
    </dxf>
    <dxf>
      <font>
        <b/>
        <i val="0"/>
        <color rgb="FFFFFF00"/>
      </font>
      <fill>
        <patternFill>
          <bgColor rgb="FF00B050"/>
        </patternFill>
      </fill>
    </dxf>
    <dxf>
      <font>
        <color rgb="FFFFFF00"/>
      </font>
      <numFmt numFmtId="164" formatCode="0\ &quot;ERRADO&quot;"/>
      <fill>
        <patternFill>
          <bgColor rgb="FFFF0000"/>
        </patternFill>
      </fill>
    </dxf>
    <dxf>
      <font>
        <color rgb="FFFFFF00"/>
      </font>
      <numFmt numFmtId="164" formatCode="0\ &quot;ERRADO&quo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23</xdr:col>
      <xdr:colOff>318389</xdr:colOff>
      <xdr:row>104</xdr:row>
      <xdr:rowOff>40343</xdr:rowOff>
    </xdr:from>
    <xdr:to>
      <xdr:col>24</xdr:col>
      <xdr:colOff>896470</xdr:colOff>
      <xdr:row>106</xdr:row>
      <xdr:rowOff>190501</xdr:rowOff>
    </xdr:to>
    <xdr:sp macro="[1]!Plan23.Reexibir" textlink="">
      <xdr:nvSpPr>
        <xdr:cNvPr id="2" name="Retângulo 1">
          <a:extLst>
            <a:ext uri="{FF2B5EF4-FFF2-40B4-BE49-F238E27FC236}">
              <a16:creationId xmlns:a16="http://schemas.microsoft.com/office/drawing/2014/main" id="{DE379A1E-6DB2-426D-8296-2C4E0D7208DA}"/>
            </a:ext>
          </a:extLst>
        </xdr:cNvPr>
        <xdr:cNvSpPr/>
      </xdr:nvSpPr>
      <xdr:spPr>
        <a:xfrm>
          <a:off x="21321014" y="1221443"/>
          <a:ext cx="1540106" cy="588308"/>
        </a:xfrm>
        <a:prstGeom prst="rect">
          <a:avLst/>
        </a:prstGeom>
        <a:solidFill>
          <a:srgbClr val="492DF3"/>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0">
              <a:solidFill>
                <a:srgbClr val="FFFF00"/>
              </a:solidFill>
              <a:latin typeface="Arial Rounded MT Bold" panose="020F0704030504030204" pitchFamily="34" charset="0"/>
            </a:rPr>
            <a:t>Inicio</a:t>
          </a:r>
        </a:p>
        <a:p>
          <a:pPr algn="ctr"/>
          <a:r>
            <a:rPr lang="pt-BR" sz="1400" b="0">
              <a:solidFill>
                <a:srgbClr val="FFFF00"/>
              </a:solidFill>
              <a:latin typeface="Arial Rounded MT Bold" panose="020F0704030504030204" pitchFamily="34" charset="0"/>
            </a:rPr>
            <a:t>Votação</a:t>
          </a:r>
        </a:p>
      </xdr:txBody>
    </xdr:sp>
    <xdr:clientData/>
  </xdr:twoCellAnchor>
  <xdr:twoCellAnchor>
    <xdr:from>
      <xdr:col>22</xdr:col>
      <xdr:colOff>99681</xdr:colOff>
      <xdr:row>100</xdr:row>
      <xdr:rowOff>77527</xdr:rowOff>
    </xdr:from>
    <xdr:to>
      <xdr:col>22</xdr:col>
      <xdr:colOff>996806</xdr:colOff>
      <xdr:row>103</xdr:row>
      <xdr:rowOff>67252</xdr:rowOff>
    </xdr:to>
    <xdr:sp macro="[1]!Plan23.Fim_Votos" textlink="">
      <xdr:nvSpPr>
        <xdr:cNvPr id="3" name="Retângulo de cantos arredondados 4">
          <a:extLst>
            <a:ext uri="{FF2B5EF4-FFF2-40B4-BE49-F238E27FC236}">
              <a16:creationId xmlns:a16="http://schemas.microsoft.com/office/drawing/2014/main" id="{2A7FA378-4B7F-43A9-8695-A3415453803F}"/>
            </a:ext>
          </a:extLst>
        </xdr:cNvPr>
        <xdr:cNvSpPr>
          <a:spLocks/>
        </xdr:cNvSpPr>
      </xdr:nvSpPr>
      <xdr:spPr>
        <a:xfrm rot="16200000">
          <a:off x="20079631" y="71502"/>
          <a:ext cx="885075" cy="897125"/>
        </a:xfrm>
        <a:prstGeom prst="roundRect">
          <a:avLst/>
        </a:prstGeom>
        <a:solidFill>
          <a:srgbClr val="C00000"/>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oAutofit/>
        </a:bodyPr>
        <a:lstStyle/>
        <a:p>
          <a:pPr algn="ctr"/>
          <a:r>
            <a:rPr lang="pt-BR" sz="1600" b="1"/>
            <a:t>Fim </a:t>
          </a:r>
          <a:r>
            <a:rPr lang="pt-BR" sz="1000" b="1"/>
            <a:t>Votação</a:t>
          </a:r>
          <a:r>
            <a:rPr lang="pt-BR" sz="1600" b="1"/>
            <a:t> </a:t>
          </a:r>
          <a:endParaRPr lang="pt-BR" sz="1100" b="1"/>
        </a:p>
      </xdr:txBody>
    </xdr:sp>
    <xdr:clientData/>
  </xdr:twoCellAnchor>
  <xdr:twoCellAnchor>
    <xdr:from>
      <xdr:col>5</xdr:col>
      <xdr:colOff>2265811</xdr:colOff>
      <xdr:row>100</xdr:row>
      <xdr:rowOff>94938</xdr:rowOff>
    </xdr:from>
    <xdr:to>
      <xdr:col>8</xdr:col>
      <xdr:colOff>529876</xdr:colOff>
      <xdr:row>102</xdr:row>
      <xdr:rowOff>174472</xdr:rowOff>
    </xdr:to>
    <xdr:pic>
      <xdr:nvPicPr>
        <xdr:cNvPr id="4" name="Imagem 3">
          <a:extLst>
            <a:ext uri="{FF2B5EF4-FFF2-40B4-BE49-F238E27FC236}">
              <a16:creationId xmlns:a16="http://schemas.microsoft.com/office/drawing/2014/main" id="{190E0FED-D480-43F6-AFAC-0C223954C2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13736" y="94938"/>
          <a:ext cx="2331240" cy="6700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N:\ENGENHARIA\Clientes\Em%20Andamento\SADA\Eber%20Bio\ATK_102_25_REV02_R3_(SADA_EBER_Montagem%20Processo%20Milho)\Em%20andamento\Administrativo\Planilha%20Mestre%20Engenharia\PD_ATK_102_25_REV02_R3_(SADA_EBER_Montagem%20Processo%20Milho)_Consolidada.xlsb" TargetMode="External"/><Relationship Id="rId2" Type="http://schemas.microsoft.com/office/2019/04/relationships/externalLinkLongPath" Target="/ENGENHARIA/Clientes/Em%20Andamento/SADA/Eber%20Bio/ATK_102_25_REV02_R3_(SADA_EBER_Montagem%20Processo%20Milho)/Em%20andamento/Administrativo/Planilha%20Mestre%20Engenharia/PD_ATK_102_25_REV02_R3_(SADA_EBER_Montagem%20Processo%20Milho)_Consolidada.xlsb?7EF171AD" TargetMode="External"/><Relationship Id="rId1" Type="http://schemas.openxmlformats.org/officeDocument/2006/relationships/externalLinkPath" Target="file:///\\7EF171AD\PD_ATK_102_25_REV02_R3_(SADA_EBER_Montagem%20Processo%20Milho)_Consolidada.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edágio e Combustivel_21"/>
      <sheetName val="Custos Fixos 2017"/>
      <sheetName val="2019 DP"/>
      <sheetName val="Encargos"/>
      <sheetName val="Logistica 2020"/>
      <sheetName val="Valores HH 2° tri 25"/>
      <sheetName val="Cálculo Fat"/>
      <sheetName val="FAT_Evolução"/>
      <sheetName val="Típicos"/>
      <sheetName val="Tab Din MI"/>
      <sheetName val="CONDIÇÕES COMERCIAIS"/>
      <sheetName val="TAB DIN Valores"/>
      <sheetName val="ICMS_DIFAL"/>
      <sheetName val="Debitos Impostos"/>
      <sheetName val="Faturamento Direto"/>
      <sheetName val="THEO"/>
      <sheetName val="Avulso HH"/>
      <sheetName val="Fluxo Financeiro Geral"/>
      <sheetName val="Calc Eng"/>
      <sheetName val="Cockpit Retorno"/>
      <sheetName val="Impostos_Taxas_ICMs"/>
      <sheetName val="Apresentação Valores"/>
      <sheetName val="Check List Importante"/>
      <sheetName val="Pendencia CHECK"/>
      <sheetName val="Divisão Venda 2020"/>
      <sheetName val="FAT_22"/>
      <sheetName val="Base custos Fixo"/>
      <sheetName val="MOF"/>
      <sheetName val="PHEA"/>
      <sheetName val="Base Brasil Obras"/>
      <sheetName val="TAB DIN MAT"/>
      <sheetName val="Pareto THEO"/>
      <sheetName val="Preenchimento"/>
      <sheetName val="M&amp;P"/>
      <sheetName val="I_C"/>
      <sheetName val="BDI"/>
      <sheetName val="Suportes"/>
      <sheetName val="THEO Desmontagem"/>
      <sheetName val="Custo MO Impostos Obras"/>
      <sheetName val="Funções THEO"/>
      <sheetName val="Processo Venda Obra"/>
      <sheetName val="HubSpot"/>
      <sheetName val="Resumo_HIA_HIC_HOC "/>
      <sheetName val="HOC_Histograma_Obra"/>
      <sheetName val="Fluxo Eventos"/>
      <sheetName val="Valores médios Ref_Lanches"/>
      <sheetName val="Check nomes"/>
      <sheetName val="Custo Impostos Sobre HH"/>
      <sheetName val="Histograma Numérico"/>
      <sheetName val="compair 23 x 24"/>
      <sheetName val="Cronograma Canteiros"/>
      <sheetName val="Check Canteiro Obra"/>
      <sheetName val="INMET"/>
      <sheetName val="Estação Climática"/>
      <sheetName val="Cidades Feriado"/>
      <sheetName val="Custo Interno"/>
      <sheetName val="Calendário"/>
      <sheetName val="Calculo_Integração"/>
      <sheetName val="HIA_Histograma_Integração_ATM"/>
      <sheetName val="HIC_Histograma_Integra_Cliente"/>
      <sheetName val="HOM_Histograma_Mob e DesmMOB"/>
      <sheetName val="HIP_Periculosidade"/>
      <sheetName val="Turnover Absenteismo Folgas"/>
      <sheetName val="Tabela DP"/>
      <sheetName val="MOB_Obra"/>
      <sheetName val="LOG _Obra"/>
      <sheetName val="Estimativa Casa"/>
      <sheetName val="SSMA_Cliente"/>
      <sheetName val="TESTE_LOG_OBRA"/>
      <sheetName val="Casa Locada_KM"/>
      <sheetName val="Matriz Responsabilidade"/>
      <sheetName val="Pareto Metas"/>
      <sheetName val="Mestre"/>
      <sheetName val="Pareto_Calculo Meta"/>
      <sheetName val="Apoio_BI"/>
      <sheetName val="Planej_Cronograma"/>
      <sheetName val="Planej_Histograma"/>
      <sheetName val="Planej_LOG"/>
      <sheetName val="Valores Vendas HH_D_Km"/>
      <sheetName val="Custos de HH_LOG"/>
      <sheetName val="Planej_Recrutamento"/>
      <sheetName val="DRE_Resumo"/>
      <sheetName val="Separação SSMA"/>
    </sheetNames>
    <definedNames>
      <definedName name="Plan23.Fim_Votos"/>
      <definedName name="Plan23.Reexibir"/>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3">
          <cell r="B3">
            <v>47.99116721048555</v>
          </cell>
        </row>
        <row r="4">
          <cell r="B4">
            <v>479.91167210485554</v>
          </cell>
        </row>
        <row r="5">
          <cell r="B5">
            <v>250.5</v>
          </cell>
          <cell r="H5">
            <v>0</v>
          </cell>
        </row>
        <row r="6">
          <cell r="B6">
            <v>167</v>
          </cell>
        </row>
        <row r="7">
          <cell r="B7">
            <v>47.8</v>
          </cell>
        </row>
        <row r="8">
          <cell r="B8">
            <v>4.2468182715271316</v>
          </cell>
        </row>
        <row r="9">
          <cell r="B9">
            <v>7.086990675684441</v>
          </cell>
          <cell r="H9">
            <v>0</v>
          </cell>
        </row>
        <row r="10">
          <cell r="H10">
            <v>0</v>
          </cell>
        </row>
        <row r="11">
          <cell r="H11">
            <v>0</v>
          </cell>
        </row>
        <row r="13">
          <cell r="H13">
            <v>0</v>
          </cell>
        </row>
        <row r="14">
          <cell r="R14">
            <v>0</v>
          </cell>
        </row>
        <row r="18">
          <cell r="B18">
            <v>11.56</v>
          </cell>
        </row>
        <row r="23">
          <cell r="B23">
            <v>35</v>
          </cell>
        </row>
        <row r="24">
          <cell r="B24">
            <v>0</v>
          </cell>
        </row>
        <row r="25">
          <cell r="B25">
            <v>0</v>
          </cell>
        </row>
        <row r="28">
          <cell r="B28">
            <v>0</v>
          </cell>
        </row>
        <row r="29">
          <cell r="B29">
            <v>9</v>
          </cell>
        </row>
        <row r="30">
          <cell r="B30">
            <v>0</v>
          </cell>
        </row>
        <row r="31">
          <cell r="B31">
            <v>0</v>
          </cell>
        </row>
        <row r="32">
          <cell r="B32">
            <v>0</v>
          </cell>
        </row>
        <row r="33">
          <cell r="B33">
            <v>19</v>
          </cell>
        </row>
        <row r="34">
          <cell r="B34">
            <v>0</v>
          </cell>
        </row>
        <row r="35">
          <cell r="B35">
            <v>0</v>
          </cell>
        </row>
        <row r="36">
          <cell r="B36">
            <v>0</v>
          </cell>
        </row>
        <row r="37">
          <cell r="B37">
            <v>820</v>
          </cell>
        </row>
        <row r="38">
          <cell r="B38">
            <v>30</v>
          </cell>
        </row>
        <row r="40">
          <cell r="B40">
            <v>0</v>
          </cell>
        </row>
        <row r="41">
          <cell r="B41">
            <v>0</v>
          </cell>
        </row>
        <row r="42">
          <cell r="B42">
            <v>2211.0079460584848</v>
          </cell>
        </row>
        <row r="43">
          <cell r="B43">
            <v>0</v>
          </cell>
        </row>
        <row r="44">
          <cell r="B44">
            <v>2900</v>
          </cell>
          <cell r="Q44">
            <v>0</v>
          </cell>
        </row>
        <row r="45">
          <cell r="B45">
            <v>152.09778185277349</v>
          </cell>
        </row>
        <row r="46">
          <cell r="B46">
            <v>0</v>
          </cell>
        </row>
        <row r="47">
          <cell r="B47">
            <v>0</v>
          </cell>
        </row>
        <row r="48">
          <cell r="B48">
            <v>0</v>
          </cell>
        </row>
        <row r="49">
          <cell r="B49">
            <v>0</v>
          </cell>
        </row>
        <row r="50">
          <cell r="B50">
            <v>0</v>
          </cell>
        </row>
        <row r="51">
          <cell r="B51">
            <v>0</v>
          </cell>
        </row>
        <row r="52">
          <cell r="B52">
            <v>0</v>
          </cell>
          <cell r="O52">
            <v>0</v>
          </cell>
        </row>
        <row r="53">
          <cell r="B53">
            <v>0</v>
          </cell>
          <cell r="L53">
            <v>0</v>
          </cell>
        </row>
        <row r="54">
          <cell r="B54">
            <v>0</v>
          </cell>
        </row>
        <row r="56">
          <cell r="B56">
            <v>0</v>
          </cell>
          <cell r="O56">
            <v>0</v>
          </cell>
        </row>
        <row r="57">
          <cell r="B57">
            <v>0</v>
          </cell>
        </row>
        <row r="59">
          <cell r="B59">
            <v>290</v>
          </cell>
        </row>
        <row r="60">
          <cell r="B60">
            <v>10</v>
          </cell>
          <cell r="G60">
            <v>90</v>
          </cell>
        </row>
        <row r="61">
          <cell r="B61">
            <v>6</v>
          </cell>
        </row>
        <row r="62">
          <cell r="B62">
            <v>220</v>
          </cell>
        </row>
        <row r="63">
          <cell r="B63">
            <v>2</v>
          </cell>
        </row>
        <row r="66">
          <cell r="B66">
            <v>125.06327127962082</v>
          </cell>
        </row>
        <row r="68">
          <cell r="K68">
            <v>0.8</v>
          </cell>
        </row>
        <row r="78">
          <cell r="A78" t="str">
            <v>Sim</v>
          </cell>
        </row>
        <row r="79">
          <cell r="A79" t="str">
            <v>Não</v>
          </cell>
        </row>
        <row r="100">
          <cell r="K100" t="str">
            <v>Não</v>
          </cell>
        </row>
        <row r="101">
          <cell r="I101">
            <v>0</v>
          </cell>
        </row>
        <row r="128">
          <cell r="DA128">
            <v>21</v>
          </cell>
        </row>
        <row r="136">
          <cell r="AB136">
            <v>0</v>
          </cell>
        </row>
        <row r="241">
          <cell r="EZ241">
            <v>186.49079460584849</v>
          </cell>
        </row>
        <row r="242">
          <cell r="EZ242">
            <v>157.36214894342336</v>
          </cell>
        </row>
        <row r="243">
          <cell r="EZ243">
            <v>215.5488497074912</v>
          </cell>
        </row>
        <row r="244">
          <cell r="EZ244">
            <v>189.20440868603464</v>
          </cell>
        </row>
        <row r="245">
          <cell r="EZ245">
            <v>192.98849685975534</v>
          </cell>
        </row>
        <row r="246">
          <cell r="EZ246">
            <v>132.56706755639809</v>
          </cell>
        </row>
        <row r="247">
          <cell r="EZ247">
            <v>125.06327127962082</v>
          </cell>
        </row>
        <row r="248">
          <cell r="EZ248">
            <v>125.06327127962082</v>
          </cell>
        </row>
        <row r="249">
          <cell r="EZ249">
            <v>186.49079460584849</v>
          </cell>
        </row>
        <row r="250">
          <cell r="EZ250">
            <v>152.09778185277349</v>
          </cell>
        </row>
        <row r="251">
          <cell r="EZ251">
            <v>166.28768853768148</v>
          </cell>
        </row>
      </sheetData>
      <sheetData sheetId="19">
        <row r="1">
          <cell r="L1">
            <v>8.6499999999999994E-2</v>
          </cell>
        </row>
        <row r="2">
          <cell r="J2">
            <v>0.16250000000000001</v>
          </cell>
          <cell r="L2">
            <v>8.6499999999999994E-2</v>
          </cell>
        </row>
        <row r="3">
          <cell r="J3">
            <v>0.14250000000000002</v>
          </cell>
        </row>
        <row r="4">
          <cell r="I4">
            <v>8.6499999999999994E-2</v>
          </cell>
        </row>
        <row r="6">
          <cell r="GS6">
            <v>1</v>
          </cell>
        </row>
        <row r="32">
          <cell r="K32">
            <v>861133.63496237982</v>
          </cell>
        </row>
        <row r="34">
          <cell r="C34" t="str">
            <v>Versão Aprovada 12/08/25- F-C-001-36- REV0</v>
          </cell>
        </row>
        <row r="35">
          <cell r="C35">
            <v>0.86646531532069737</v>
          </cell>
        </row>
        <row r="37">
          <cell r="C37">
            <v>206432.20545894993</v>
          </cell>
        </row>
        <row r="38">
          <cell r="C38">
            <v>48951.040000000001</v>
          </cell>
        </row>
        <row r="39">
          <cell r="D39">
            <v>6.7999999999999996E-3</v>
          </cell>
        </row>
        <row r="40">
          <cell r="C40">
            <v>303542.82260587811</v>
          </cell>
          <cell r="D40">
            <v>2.8400338941418239E-2</v>
          </cell>
        </row>
        <row r="41">
          <cell r="C41">
            <v>236642.8542859242</v>
          </cell>
          <cell r="D41">
            <v>2.2140985618069254E-2</v>
          </cell>
        </row>
        <row r="42">
          <cell r="C42">
            <v>448153.94720876933</v>
          </cell>
          <cell r="D42">
            <v>4.1930571408006115E-2</v>
          </cell>
        </row>
        <row r="43">
          <cell r="C43">
            <v>68122.126379999987</v>
          </cell>
        </row>
        <row r="44">
          <cell r="C44">
            <v>213760</v>
          </cell>
          <cell r="K44">
            <v>0.13</v>
          </cell>
        </row>
        <row r="45">
          <cell r="C45">
            <v>160320</v>
          </cell>
        </row>
        <row r="47">
          <cell r="C47">
            <v>9083338.1094628647</v>
          </cell>
        </row>
        <row r="48">
          <cell r="C48">
            <v>5</v>
          </cell>
        </row>
        <row r="50">
          <cell r="D50">
            <v>128935400</v>
          </cell>
        </row>
        <row r="51">
          <cell r="C51">
            <v>11897000</v>
          </cell>
        </row>
        <row r="53">
          <cell r="C53">
            <v>10688000</v>
          </cell>
        </row>
        <row r="54">
          <cell r="C54">
            <v>10688000</v>
          </cell>
        </row>
        <row r="55">
          <cell r="C55">
            <v>10688000</v>
          </cell>
          <cell r="D55">
            <v>9826866.3650376201</v>
          </cell>
        </row>
        <row r="58">
          <cell r="C58">
            <v>0.15</v>
          </cell>
        </row>
        <row r="62">
          <cell r="D62">
            <v>2.4148217903256355E-2</v>
          </cell>
        </row>
        <row r="64">
          <cell r="D64">
            <v>0.1027509040801442</v>
          </cell>
        </row>
        <row r="116">
          <cell r="E116">
            <v>1.4360679844325142E-2</v>
          </cell>
        </row>
        <row r="166">
          <cell r="AEK166">
            <v>116041860</v>
          </cell>
        </row>
        <row r="171">
          <cell r="AFB171">
            <v>1.0500000000000001E-2</v>
          </cell>
        </row>
        <row r="174">
          <cell r="AFB174">
            <v>1.9314390480814927E-2</v>
          </cell>
          <cell r="AFD174">
            <v>2.8400338941418239E-2</v>
          </cell>
          <cell r="AFK174">
            <v>2.2140985618069254E-2</v>
          </cell>
          <cell r="AFR174">
            <v>4.1930571408006115E-2</v>
          </cell>
        </row>
      </sheetData>
      <sheetData sheetId="20">
        <row r="3">
          <cell r="P3">
            <v>0.05</v>
          </cell>
        </row>
        <row r="4">
          <cell r="H4">
            <v>7.0000000000000007E-2</v>
          </cell>
        </row>
        <row r="5">
          <cell r="H5">
            <v>1.6500000000000001E-2</v>
          </cell>
        </row>
        <row r="6">
          <cell r="H6">
            <v>7.5999999999999998E-2</v>
          </cell>
          <cell r="P6">
            <v>7.0000000000000007E-2</v>
          </cell>
        </row>
        <row r="9">
          <cell r="H9">
            <v>1.6500000000000001E-2</v>
          </cell>
        </row>
        <row r="10">
          <cell r="S10">
            <v>0</v>
          </cell>
        </row>
        <row r="13">
          <cell r="H13">
            <v>1.4999999999999999E-2</v>
          </cell>
        </row>
        <row r="14">
          <cell r="H14">
            <v>0.05</v>
          </cell>
        </row>
        <row r="15">
          <cell r="H15">
            <v>6.5000000000000006E-3</v>
          </cell>
        </row>
        <row r="16">
          <cell r="H16">
            <v>0.03</v>
          </cell>
        </row>
        <row r="20">
          <cell r="H20">
            <v>0.05</v>
          </cell>
        </row>
        <row r="24">
          <cell r="H24">
            <v>6.5000000000000006E-3</v>
          </cell>
        </row>
        <row r="25">
          <cell r="K25">
            <v>0.03</v>
          </cell>
        </row>
        <row r="26">
          <cell r="H26">
            <v>0.05</v>
          </cell>
        </row>
        <row r="27">
          <cell r="H27">
            <v>1.2E-2</v>
          </cell>
        </row>
        <row r="28">
          <cell r="H28">
            <v>7.1999999999999998E-3</v>
          </cell>
        </row>
        <row r="30">
          <cell r="H30">
            <v>1.6500000000000001E-2</v>
          </cell>
          <cell r="I30">
            <v>6.5000000000000006E-3</v>
          </cell>
        </row>
        <row r="31">
          <cell r="H31">
            <v>7.5999999999999998E-2</v>
          </cell>
          <cell r="I31">
            <v>0.03</v>
          </cell>
        </row>
      </sheetData>
      <sheetData sheetId="21"/>
      <sheetData sheetId="22"/>
      <sheetData sheetId="23"/>
      <sheetData sheetId="24"/>
      <sheetData sheetId="25"/>
      <sheetData sheetId="26"/>
      <sheetData sheetId="27"/>
      <sheetData sheetId="28"/>
      <sheetData sheetId="29">
        <row r="2">
          <cell r="C2" t="str">
            <v>Montagem linhas de tubings (Quantidade Instrumentos)</v>
          </cell>
          <cell r="D2" t="str">
            <v>Instrumento</v>
          </cell>
          <cell r="E2">
            <v>0.89999999999999991</v>
          </cell>
          <cell r="F2">
            <v>1.1111111111111112</v>
          </cell>
        </row>
        <row r="3">
          <cell r="C3" t="str">
            <v>Montagem de suportes metálicos no campo (perfilados, cantoneiras)(Quantidade Suportes)</v>
          </cell>
          <cell r="D3" t="str">
            <v>Suporte</v>
          </cell>
          <cell r="E3">
            <v>0.6</v>
          </cell>
          <cell r="F3">
            <v>1.6666666666666667</v>
          </cell>
        </row>
        <row r="4">
          <cell r="C4" t="str">
            <v>Fabricação Suportes metálicos (site)  (perfilados, cantoneiras, trilhos). (Quantidade Suportes)</v>
          </cell>
          <cell r="D4" t="str">
            <v>Suporte</v>
          </cell>
          <cell r="E4">
            <v>0.44999999999999996</v>
          </cell>
          <cell r="F4">
            <v>2.2222222222222223</v>
          </cell>
        </row>
        <row r="5">
          <cell r="C5" t="str">
            <v>Montagem de manifolds nos instrumentos (Quantidade Manifolds)</v>
          </cell>
          <cell r="D5" t="str">
            <v>pç</v>
          </cell>
          <cell r="E5">
            <v>0.89999999999999991</v>
          </cell>
          <cell r="F5">
            <v>1.1111111111111112</v>
          </cell>
        </row>
        <row r="6">
          <cell r="C6" t="str">
            <v>Montagem de infraestrutura para rede  Informática (canaletas, racks, bandejas) (Metros Estimados)</v>
          </cell>
          <cell r="D6" t="str">
            <v>mt</v>
          </cell>
          <cell r="E6">
            <v>0.44999999999999996</v>
          </cell>
          <cell r="F6">
            <v>2.2222222222222223</v>
          </cell>
        </row>
        <row r="7">
          <cell r="C7" t="str">
            <v>Montagem de eletrocalhas metálicas  até 500 x (100 a 200 mm)(Metros)</v>
          </cell>
          <cell r="D7" t="str">
            <v>mt</v>
          </cell>
          <cell r="E7">
            <v>0.44999999999999996</v>
          </cell>
          <cell r="F7">
            <v>2.2222222222222223</v>
          </cell>
        </row>
        <row r="8">
          <cell r="C8" t="str">
            <v>Montagem de eletrocalhas metálicas até 1500 x (100 a 200 mm) (Metros)</v>
          </cell>
          <cell r="D8" t="str">
            <v>mt</v>
          </cell>
          <cell r="E8">
            <v>0.67500000000000004</v>
          </cell>
          <cell r="F8">
            <v>1.4814814814814814</v>
          </cell>
        </row>
        <row r="9">
          <cell r="C9" t="str">
            <v>Montagem de leitos  metálicos  até 500 mm (Metros)</v>
          </cell>
          <cell r="D9" t="str">
            <v>mt</v>
          </cell>
          <cell r="E9">
            <v>0.44999999999999996</v>
          </cell>
          <cell r="F9">
            <v>2.2222222222222223</v>
          </cell>
        </row>
        <row r="10">
          <cell r="C10" t="str">
            <v>Montagem de leitos  metálicos acima de 500 mm (Metros)</v>
          </cell>
          <cell r="D10" t="str">
            <v>mt</v>
          </cell>
          <cell r="E10">
            <v>0.54</v>
          </cell>
          <cell r="F10">
            <v>1.8518518518518519</v>
          </cell>
        </row>
        <row r="11">
          <cell r="C11" t="str">
            <v>Montagem de Eletrocalhas aramadas. (Metros)</v>
          </cell>
          <cell r="D11" t="str">
            <v>mt</v>
          </cell>
          <cell r="E11">
            <v>0.38571428571428573</v>
          </cell>
          <cell r="F11">
            <v>2.5925925925925926</v>
          </cell>
        </row>
        <row r="12">
          <cell r="C12" t="str">
            <v>Montagem de Eletrodutos. 1/2" a 1" (Metros)</v>
          </cell>
          <cell r="D12" t="str">
            <v>mt</v>
          </cell>
          <cell r="E12">
            <v>0.44999999999999996</v>
          </cell>
          <cell r="F12">
            <v>2.2222222222222223</v>
          </cell>
        </row>
        <row r="13">
          <cell r="C13" t="str">
            <v>Montagem de Eletrodutos. 1.1/4" a 4"  (Metros)</v>
          </cell>
          <cell r="D13" t="str">
            <v>mt</v>
          </cell>
          <cell r="E13">
            <v>0.67500000000000004</v>
          </cell>
          <cell r="F13">
            <v>1.4814814814814814</v>
          </cell>
        </row>
        <row r="14">
          <cell r="C14" t="str">
            <v>Montagem de Eletrodutos. PVC 1 " a  4"  (Metros)</v>
          </cell>
          <cell r="D14" t="str">
            <v>mt</v>
          </cell>
          <cell r="E14">
            <v>0.49090909090909085</v>
          </cell>
          <cell r="F14">
            <v>2.0370370370370372</v>
          </cell>
        </row>
        <row r="15">
          <cell r="C15" t="str">
            <v>Montagem de caixas de junção , Botoeiras ( Sem interligação) (Peças) JB</v>
          </cell>
          <cell r="D15" t="str">
            <v>JB</v>
          </cell>
          <cell r="E15">
            <v>1.2</v>
          </cell>
          <cell r="F15">
            <v>0.83333333333333337</v>
          </cell>
        </row>
        <row r="16">
          <cell r="C16" t="str">
            <v>Conexão, interligação multicabos na JB, Caixas de junção  JB</v>
          </cell>
          <cell r="D16" t="str">
            <v>JB</v>
          </cell>
          <cell r="E16">
            <v>4.5</v>
          </cell>
          <cell r="F16">
            <v>0.22222222222222221</v>
          </cell>
        </row>
        <row r="17">
          <cell r="C17" t="str">
            <v>Montagem sistema SPDA (Quantidade de Pontos de Proteção)</v>
          </cell>
          <cell r="D17" t="str">
            <v>Pontos</v>
          </cell>
          <cell r="E17">
            <v>1.35</v>
          </cell>
          <cell r="F17">
            <v>0.7407407407407407</v>
          </cell>
        </row>
        <row r="18">
          <cell r="C18" t="str">
            <v>Montagem de barramentos de alta corrente Painéis ( Metros)</v>
          </cell>
          <cell r="D18" t="str">
            <v>mt</v>
          </cell>
          <cell r="E18">
            <v>4.5</v>
          </cell>
          <cell r="F18">
            <v>0.22222222222222221</v>
          </cell>
        </row>
        <row r="19">
          <cell r="C19" t="str">
            <v>Montagem das tampas na Eletrocalha ( Metros)</v>
          </cell>
          <cell r="D19" t="str">
            <v>mt</v>
          </cell>
          <cell r="E19">
            <v>0.2</v>
          </cell>
          <cell r="F19">
            <v>5</v>
          </cell>
        </row>
        <row r="20">
          <cell r="C20" t="str">
            <v>Medição de isolação de cabos  (megômetro) (Pontos Medição)</v>
          </cell>
          <cell r="D20" t="str">
            <v>Mt de Cabo</v>
          </cell>
          <cell r="E20">
            <v>0.2</v>
          </cell>
          <cell r="F20">
            <v>5</v>
          </cell>
        </row>
        <row r="21">
          <cell r="C21" t="str">
            <v>Medição de continuidade, isolação, resistência de aterramento. (Quantidade Pontos)</v>
          </cell>
          <cell r="D21" t="str">
            <v>Pontos</v>
          </cell>
          <cell r="E21">
            <v>0.24</v>
          </cell>
          <cell r="F21">
            <v>4.166666666666667</v>
          </cell>
        </row>
        <row r="22">
          <cell r="C22" t="str">
            <v>Loop test (4-20 mA) ponto a ponto ( Quantidade Malhas)</v>
          </cell>
          <cell r="D22" t="str">
            <v>Malhas contr.</v>
          </cell>
          <cell r="E22">
            <v>0.89999999999999991</v>
          </cell>
          <cell r="F22">
            <v>1.1111111111111112</v>
          </cell>
        </row>
        <row r="23">
          <cell r="C23" t="str">
            <v>Lançamento de Fibra Óticas em Eletrocalhas e eletrodutos. (Metros)</v>
          </cell>
          <cell r="D23" t="str">
            <v>mt</v>
          </cell>
          <cell r="E23">
            <v>0.09</v>
          </cell>
          <cell r="F23">
            <v>11.111111111111111</v>
          </cell>
        </row>
        <row r="24">
          <cell r="C24" t="str">
            <v>Lançamento de cabos de força, em eletrocalhas (Até 35 mm²) (Metros)</v>
          </cell>
          <cell r="D24" t="str">
            <v>mt</v>
          </cell>
          <cell r="E24">
            <v>9.2307692307692299E-2</v>
          </cell>
          <cell r="F24">
            <v>10.833333333333334</v>
          </cell>
        </row>
        <row r="25">
          <cell r="C25" t="str">
            <v>Lançamento de cabos de força, em eletrocalhas (Cabos de 35 a 100mm²) (Metros)</v>
          </cell>
          <cell r="D25" t="str">
            <v>mt</v>
          </cell>
          <cell r="E25">
            <v>8.4705882352941173E-2</v>
          </cell>
          <cell r="F25">
            <v>11.805555555555555</v>
          </cell>
        </row>
        <row r="26">
          <cell r="C26" t="str">
            <v>Lançamento de cabos de força, em eletrocalhas (Cabos acima 100mm²) (Metros)</v>
          </cell>
          <cell r="D26" t="str">
            <v>mt</v>
          </cell>
          <cell r="E26">
            <v>0.12857142857142859</v>
          </cell>
          <cell r="F26">
            <v>7.7777777777777777</v>
          </cell>
        </row>
        <row r="27">
          <cell r="C27" t="str">
            <v>Lançamento de cabos de força em  eletrodutos. (até 25mm²) (Metros)</v>
          </cell>
          <cell r="D27" t="str">
            <v>mt</v>
          </cell>
          <cell r="E27">
            <v>7.7142857142857138E-2</v>
          </cell>
          <cell r="F27">
            <v>12.962962962962964</v>
          </cell>
        </row>
        <row r="28">
          <cell r="C28" t="str">
            <v>Lançamento de cabos de força em  eletrodutos. (Acima 25mm²)  (Metros)</v>
          </cell>
          <cell r="D28" t="str">
            <v>mt</v>
          </cell>
          <cell r="E28">
            <v>0.11842105263157894</v>
          </cell>
          <cell r="F28">
            <v>8.4444444444444446</v>
          </cell>
        </row>
        <row r="29">
          <cell r="C29" t="str">
            <v>Lançamento de cabos de força, em leitos (Até 95 mm²)  (Metros)</v>
          </cell>
          <cell r="D29" t="str">
            <v>mt</v>
          </cell>
          <cell r="E29">
            <v>0.09</v>
          </cell>
          <cell r="F29">
            <v>11.111111111111111</v>
          </cell>
        </row>
        <row r="30">
          <cell r="C30" t="str">
            <v>Lançamento de cabos de força, em leitos (Acima de 95 mm²) (Metros)</v>
          </cell>
          <cell r="D30" t="str">
            <v>mt</v>
          </cell>
          <cell r="E30">
            <v>0.16666666666666666</v>
          </cell>
          <cell r="F30">
            <v>6</v>
          </cell>
        </row>
        <row r="31">
          <cell r="C31" t="str">
            <v>Lançamento de cabos de força, em Canaflex  (Até 95 mm²)  (Metros)</v>
          </cell>
          <cell r="D31" t="str">
            <v>mt</v>
          </cell>
          <cell r="E31">
            <v>0.11249999999999999</v>
          </cell>
          <cell r="F31">
            <v>8.8888888888888893</v>
          </cell>
        </row>
        <row r="32">
          <cell r="C32" t="str">
            <v>Lançamento de cabos de força, em Canaflex(Acima de 95 mm²) (Metros)</v>
          </cell>
          <cell r="D32" t="str">
            <v>mt</v>
          </cell>
          <cell r="E32">
            <v>0.11842105263157894</v>
          </cell>
          <cell r="F32">
            <v>8.4444444444444446</v>
          </cell>
        </row>
        <row r="33">
          <cell r="C33" t="str">
            <v>Lançamento de cabos de instrumentação, em eletrocalhas (Metros)</v>
          </cell>
          <cell r="D33" t="str">
            <v>mt</v>
          </cell>
          <cell r="E33">
            <v>7.6013513513513514E-2</v>
          </cell>
          <cell r="F33">
            <v>13.155555555555555</v>
          </cell>
        </row>
        <row r="34">
          <cell r="C34" t="str">
            <v>Lançamento de cabos de Instrumentação em  eletrodutos.(Metros)</v>
          </cell>
          <cell r="D34" t="str">
            <v>mt</v>
          </cell>
          <cell r="E34">
            <v>0.08</v>
          </cell>
          <cell r="F34">
            <v>12.5</v>
          </cell>
        </row>
        <row r="35">
          <cell r="C35" t="str">
            <v>Lançamento de cabos de Instrumentação em  Leitos.(Metros)</v>
          </cell>
          <cell r="D35" t="str">
            <v>mt</v>
          </cell>
          <cell r="E35">
            <v>7.1999999999999995E-2</v>
          </cell>
          <cell r="F35">
            <v>13.888888888888889</v>
          </cell>
        </row>
        <row r="36">
          <cell r="C36" t="str">
            <v>Lançamento de cabo terra nu , em leitos , ou eletrocalhas (até 75mm²)(Metros)</v>
          </cell>
          <cell r="D36" t="str">
            <v>mt</v>
          </cell>
          <cell r="E36">
            <v>6.8833652007648183E-2</v>
          </cell>
          <cell r="F36">
            <v>14.527777777777779</v>
          </cell>
        </row>
        <row r="37">
          <cell r="C37" t="str">
            <v>Lançamento de cabo terra nu , em leitos , ou eletrocalhas (Acima75mm²)(Metros)</v>
          </cell>
          <cell r="D37" t="str">
            <v>mt</v>
          </cell>
          <cell r="E37">
            <v>7.4999999999999997E-2</v>
          </cell>
          <cell r="F37">
            <v>13.333333333333334</v>
          </cell>
        </row>
        <row r="38">
          <cell r="C38" t="str">
            <v>Lançamento de cabos de comunicação Redes (Metros)</v>
          </cell>
          <cell r="D38" t="str">
            <v>mt</v>
          </cell>
          <cell r="E38">
            <v>7.03125E-2</v>
          </cell>
          <cell r="F38">
            <v>14.222222222222221</v>
          </cell>
        </row>
        <row r="39">
          <cell r="C39" t="str">
            <v>Lançamento de cabos de comunicação (Profibus, Ethernet industrial etc.). (Metros)</v>
          </cell>
          <cell r="D39" t="str">
            <v>mt</v>
          </cell>
          <cell r="E39">
            <v>6.9230769230769235E-2</v>
          </cell>
          <cell r="F39">
            <v>14.444444444444445</v>
          </cell>
        </row>
        <row r="40">
          <cell r="C40" t="str">
            <v>Interligação Seal Tube em Motores (Quantidade Motores)</v>
          </cell>
          <cell r="D40" t="str">
            <v>Motores</v>
          </cell>
          <cell r="E40">
            <v>1.125</v>
          </cell>
          <cell r="F40">
            <v>0.88888888888888884</v>
          </cell>
        </row>
        <row r="41">
          <cell r="C41" t="str">
            <v>Interligação entre painéis via dutos blindados ou Barramento (Paineis )</v>
          </cell>
          <cell r="D41" t="str">
            <v>Painel</v>
          </cell>
          <cell r="E41">
            <v>12</v>
          </cell>
          <cell r="F41">
            <v>8.3333333333333329E-2</v>
          </cell>
        </row>
        <row r="42">
          <cell r="C42" t="str">
            <v>Instalações de Postes para iluminação (Quantidade Postes)</v>
          </cell>
          <cell r="D42" t="str">
            <v>Postes</v>
          </cell>
          <cell r="E42">
            <v>2.6999999999999993</v>
          </cell>
          <cell r="F42">
            <v>0.37037037037037046</v>
          </cell>
        </row>
        <row r="43">
          <cell r="C43" t="str">
            <v>Instalação e fixação de painéis elétricos e CCMs (centros de controle de motores). (Quantidade Painéis)</v>
          </cell>
          <cell r="D43" t="str">
            <v>Painel</v>
          </cell>
          <cell r="E43">
            <v>9</v>
          </cell>
          <cell r="F43">
            <v>0.11111111111111112</v>
          </cell>
        </row>
        <row r="44">
          <cell r="C44" t="str">
            <v>Instalação de transformadores BT/MT (Quantidade Trafos)</v>
          </cell>
          <cell r="D44" t="str">
            <v>pç</v>
          </cell>
          <cell r="E44">
            <v>6.75</v>
          </cell>
          <cell r="F44">
            <v>0.14814814814814814</v>
          </cell>
        </row>
        <row r="45">
          <cell r="C45" t="str">
            <v>Instalação de Tomadas , Disjuntores e Interruptores (Quantidade Itens)</v>
          </cell>
          <cell r="D45" t="str">
            <v>pç</v>
          </cell>
          <cell r="E45">
            <v>0.5</v>
          </cell>
          <cell r="F45">
            <v>2</v>
          </cell>
        </row>
        <row r="46">
          <cell r="C46" t="str">
            <v>Instalação de switches industriais (PoE, redundantes, gerenciáveis) (Quantidade Switches)</v>
          </cell>
          <cell r="D46" t="str">
            <v>pç</v>
          </cell>
          <cell r="E46">
            <v>2.25</v>
          </cell>
          <cell r="F46">
            <v>0.44444444444444442</v>
          </cell>
        </row>
        <row r="47">
          <cell r="C47" t="str">
            <v>Instalação de  atuadores, válvulas solenoides, Dispositivos de Válvulas. (Quantidade Devices)</v>
          </cell>
          <cell r="D47" t="str">
            <v>Dispositivo</v>
          </cell>
          <cell r="E47">
            <v>1</v>
          </cell>
          <cell r="F47">
            <v>1</v>
          </cell>
        </row>
        <row r="48">
          <cell r="C48" t="str">
            <v>Instalação de malhas de aterramento e interligações entre painéis e equipamentos. (Metros)</v>
          </cell>
          <cell r="D48" t="str">
            <v>mt</v>
          </cell>
          <cell r="E48">
            <v>0.13500000000000001</v>
          </cell>
          <cell r="F48">
            <v>7.4074074074074074</v>
          </cell>
        </row>
        <row r="49">
          <cell r="C49" t="str">
            <v>Instalação de iluminação industrial (LED, à prova de explosão etc.) (Quantidade)</v>
          </cell>
          <cell r="D49" t="str">
            <v>pç</v>
          </cell>
          <cell r="E49">
            <v>1.35</v>
          </cell>
          <cell r="F49">
            <v>0.7407407407407407</v>
          </cell>
        </row>
        <row r="50">
          <cell r="C50" t="str">
            <v>Instalação de disjuntores de potência (ACB, MCCB, etc.) (Quantidade)</v>
          </cell>
          <cell r="D50" t="str">
            <v>pç</v>
          </cell>
          <cell r="E50">
            <v>1.5</v>
          </cell>
          <cell r="F50">
            <v>0.66666666666666663</v>
          </cell>
        </row>
        <row r="51">
          <cell r="C51" t="str">
            <v>Instalação de paineis  CLPs e IHMs (Quantidade)</v>
          </cell>
          <cell r="D51" t="str">
            <v>pç</v>
          </cell>
          <cell r="E51">
            <v>4.5</v>
          </cell>
          <cell r="F51">
            <v>0.22222222222222221</v>
          </cell>
        </row>
        <row r="52">
          <cell r="C52" t="str">
            <v>Instalação de caixas de passagem e caixas de ligação Flexível Exx (Quantidade)</v>
          </cell>
          <cell r="D52" t="str">
            <v>pç</v>
          </cell>
          <cell r="E52">
            <v>1.5</v>
          </cell>
          <cell r="F52">
            <v>0.66666666666666663</v>
          </cell>
        </row>
        <row r="53">
          <cell r="C53" t="str">
            <v>Identificação e organização de cabos. (Numero Identificações)</v>
          </cell>
          <cell r="D53" t="str">
            <v>pç</v>
          </cell>
          <cell r="E53">
            <v>0.54</v>
          </cell>
          <cell r="F53">
            <v>1.8518518518518519</v>
          </cell>
        </row>
        <row r="54">
          <cell r="C54" t="str">
            <v>Fixação e interligação de UPS e bancos de baterias (Quantidade)</v>
          </cell>
          <cell r="D54" t="str">
            <v>pç</v>
          </cell>
          <cell r="E54">
            <v>9</v>
          </cell>
          <cell r="F54">
            <v>0.1111111111111111</v>
          </cell>
        </row>
        <row r="55">
          <cell r="C55" t="str">
            <v>Fixação de transmissores de pressão, temperatura, vazão, nível  (quantidade)</v>
          </cell>
          <cell r="D55" t="str">
            <v>Instrumento</v>
          </cell>
          <cell r="E55">
            <v>1.5</v>
          </cell>
          <cell r="F55">
            <v>0.66666666666666663</v>
          </cell>
        </row>
        <row r="56">
          <cell r="C56" t="str">
            <v>Fechamento de Unidades seladoras (Quantidade)</v>
          </cell>
          <cell r="D56" t="str">
            <v>pç</v>
          </cell>
          <cell r="E56">
            <v>0.36</v>
          </cell>
          <cell r="F56">
            <v>2.7777777777777777</v>
          </cell>
        </row>
        <row r="57">
          <cell r="C57" t="str">
            <v>Escavação, para cabeamento (Metros Linear) (P 50 cm L- 25cm)</v>
          </cell>
          <cell r="D57" t="str">
            <v>mt</v>
          </cell>
          <cell r="E57">
            <v>0.27</v>
          </cell>
          <cell r="F57">
            <v>3.7037037037037037</v>
          </cell>
        </row>
        <row r="58">
          <cell r="C58" t="str">
            <v>Escavação, para cabeamento (Metros Linear) (P 100cm L- 50 a 100cm)</v>
          </cell>
          <cell r="D58" t="str">
            <v>mt</v>
          </cell>
          <cell r="E58">
            <v>0.3</v>
          </cell>
          <cell r="F58">
            <v>3.3333333333333335</v>
          </cell>
        </row>
        <row r="59">
          <cell r="C59" t="str">
            <v>Instalação Caixas de passagem de concreto (Quantidade))</v>
          </cell>
          <cell r="D59" t="str">
            <v>pç</v>
          </cell>
          <cell r="E59">
            <v>3.3750000000000009</v>
          </cell>
          <cell r="F59">
            <v>0.29629629629629622</v>
          </cell>
        </row>
        <row r="60">
          <cell r="C60" t="str">
            <v>Instalação Caixas de passagem de  plástico, Poliamida (Quantidade))</v>
          </cell>
          <cell r="D60" t="str">
            <v>pç</v>
          </cell>
          <cell r="E60">
            <v>0.89999999999999991</v>
          </cell>
          <cell r="F60">
            <v>1.1111111111111112</v>
          </cell>
        </row>
        <row r="61">
          <cell r="C61" t="str">
            <v>Instalação Câmeras CFTV (Quantidade))</v>
          </cell>
          <cell r="D61" t="str">
            <v>pç</v>
          </cell>
          <cell r="E61">
            <v>0.89999999999999991</v>
          </cell>
          <cell r="F61">
            <v>1.1111111111111112</v>
          </cell>
        </row>
        <row r="62">
          <cell r="C62" t="str">
            <v>Instalação Captor aéreo c/ Bandeira e base horizontal (quantidade)</v>
          </cell>
          <cell r="D62" t="str">
            <v>pç</v>
          </cell>
          <cell r="E62">
            <v>1.7999999999999998</v>
          </cell>
          <cell r="F62">
            <v>0.55555555555555558</v>
          </cell>
        </row>
        <row r="63">
          <cell r="C63" t="str">
            <v>Interligar  Hastes Aterramento  e Solda ou Crimpagem (quantidade)</v>
          </cell>
          <cell r="D63" t="str">
            <v>pç</v>
          </cell>
          <cell r="E63">
            <v>0.89999999999999991</v>
          </cell>
          <cell r="F63">
            <v>1.1111111111111112</v>
          </cell>
        </row>
        <row r="64">
          <cell r="C64" t="str">
            <v>Energização de painéis (por etapas) (Quantidade)</v>
          </cell>
          <cell r="D64" t="str">
            <v>Painel</v>
          </cell>
          <cell r="E64">
            <v>0.72</v>
          </cell>
          <cell r="F64">
            <v>1.3888888888888888</v>
          </cell>
        </row>
        <row r="65">
          <cell r="C65" t="str">
            <v>Emendas especiais de Cabos (Qt. Emendas Previstas)</v>
          </cell>
          <cell r="D65" t="str">
            <v>pç</v>
          </cell>
          <cell r="E65">
            <v>0.89999999999999991</v>
          </cell>
          <cell r="F65">
            <v>1.1111111111111112</v>
          </cell>
        </row>
        <row r="66">
          <cell r="C66" t="str">
            <v>Cravação de hastes de aterramento. (Qt de Hastes)</v>
          </cell>
          <cell r="D66" t="str">
            <v>Pontos</v>
          </cell>
          <cell r="E66">
            <v>0.44999999999999996</v>
          </cell>
          <cell r="F66">
            <v>2.2222222222222223</v>
          </cell>
        </row>
        <row r="67">
          <cell r="C67" t="str">
            <v>Instalação Cabo Terminal  dos motores abaixo 30 CV (Quantidade)</v>
          </cell>
          <cell r="D67" t="str">
            <v>Motores</v>
          </cell>
          <cell r="E67">
            <v>0.44999999999999996</v>
          </cell>
          <cell r="F67">
            <v>2.2222222222222223</v>
          </cell>
        </row>
        <row r="68">
          <cell r="C68" t="str">
            <v>Ligação , conectorização  elétrica dos motores abaixo 30 CV (Quantidade)</v>
          </cell>
          <cell r="D68" t="str">
            <v>Motores</v>
          </cell>
          <cell r="E68">
            <v>0.8571428571428571</v>
          </cell>
          <cell r="F68">
            <v>1.1666666666666667</v>
          </cell>
        </row>
        <row r="69">
          <cell r="C69" t="str">
            <v>Instalação Cabo Terminal dos motores entre  30 a 100CV (Quantidade)</v>
          </cell>
          <cell r="D69" t="str">
            <v>Motores</v>
          </cell>
          <cell r="E69">
            <v>0.6</v>
          </cell>
          <cell r="F69">
            <v>1.6666666666666667</v>
          </cell>
        </row>
        <row r="70">
          <cell r="C70" t="str">
            <v>Ligação , conectorização  elétrica  dos motores entre  30 a 100CV (Quantidade)</v>
          </cell>
          <cell r="D70" t="str">
            <v>Motores</v>
          </cell>
          <cell r="E70">
            <v>0.89999999999999991</v>
          </cell>
          <cell r="F70">
            <v>1.1111111111111112</v>
          </cell>
        </row>
        <row r="71">
          <cell r="C71" t="str">
            <v>Instalação Cabo Terminal dos motores abaixo Acima de 100 CV (Quantidade)</v>
          </cell>
          <cell r="D71" t="str">
            <v>Motores</v>
          </cell>
          <cell r="E71">
            <v>0.89999999999999991</v>
          </cell>
          <cell r="F71">
            <v>1.1111111111111112</v>
          </cell>
        </row>
        <row r="72">
          <cell r="C72" t="str">
            <v>Ligação , conectorização  elétrica  dos motores abaixo Acima de 100 CV (Quantidade)</v>
          </cell>
          <cell r="D72" t="str">
            <v>Motores</v>
          </cell>
          <cell r="E72">
            <v>1.2</v>
          </cell>
          <cell r="F72">
            <v>0.83333333333333337</v>
          </cell>
        </row>
        <row r="73">
          <cell r="C73" t="str">
            <v>Conexão  4-20 mA, HART ou digitais instrumentos (Quantidade)</v>
          </cell>
          <cell r="D73" t="str">
            <v>Instrumento</v>
          </cell>
          <cell r="E73">
            <v>0.72</v>
          </cell>
          <cell r="F73">
            <v>1.3888888888888888</v>
          </cell>
        </row>
        <row r="74">
          <cell r="C74" t="str">
            <v>Conectorização com Muflas (Quantidade)</v>
          </cell>
          <cell r="D74" t="str">
            <v>pç</v>
          </cell>
          <cell r="E74">
            <v>1.2</v>
          </cell>
          <cell r="F74">
            <v>0.83333333333333337</v>
          </cell>
        </row>
        <row r="75">
          <cell r="C75" t="str">
            <v>Calibração básica de instrumentos (Quantidade)</v>
          </cell>
          <cell r="D75" t="str">
            <v>Instrumento</v>
          </cell>
          <cell r="E75">
            <v>1</v>
          </cell>
          <cell r="F75">
            <v>1</v>
          </cell>
        </row>
        <row r="76">
          <cell r="C76" t="str">
            <v>Aterramento dos motores e estruturas. (Quantidade Motores)</v>
          </cell>
          <cell r="D76" t="str">
            <v>Motores</v>
          </cell>
          <cell r="E76">
            <v>0.6</v>
          </cell>
          <cell r="F76">
            <v>1.6666666666666667</v>
          </cell>
        </row>
        <row r="77">
          <cell r="C77" t="str">
            <v>Asbuilt, Documentação (Estimativa Dias)</v>
          </cell>
          <cell r="D77" t="str">
            <v>Dias</v>
          </cell>
          <cell r="F77">
            <v>5.5555555555555552E-2</v>
          </cell>
        </row>
        <row r="78">
          <cell r="C78" t="str">
            <v>Lançamento cabo de Aterramento (Metros)</v>
          </cell>
          <cell r="D78" t="str">
            <v>mt</v>
          </cell>
          <cell r="E78">
            <v>5.3999999999999999E-2</v>
          </cell>
          <cell r="F78">
            <v>18.518518518518519</v>
          </cell>
        </row>
        <row r="79">
          <cell r="C79" t="str">
            <v>Alocação de Gerador Diesel (Quantidade)</v>
          </cell>
          <cell r="D79" t="str">
            <v>pç</v>
          </cell>
          <cell r="E79">
            <v>13.5</v>
          </cell>
          <cell r="F79">
            <v>7.407407407407407E-2</v>
          </cell>
        </row>
        <row r="80">
          <cell r="C80" t="str">
            <v>Montagem de Canaflex até 3" (Metros)</v>
          </cell>
          <cell r="D80" t="str">
            <v>mt</v>
          </cell>
          <cell r="E80">
            <v>5.3999999999999999E-2</v>
          </cell>
          <cell r="F80">
            <v>18.518518518518519</v>
          </cell>
        </row>
        <row r="81">
          <cell r="C81" t="str">
            <v>Montagem de Canaflex acima 3" (Metros)</v>
          </cell>
          <cell r="D81" t="str">
            <v>mt</v>
          </cell>
          <cell r="E81">
            <v>0.06</v>
          </cell>
          <cell r="F81">
            <v>16.666666666666668</v>
          </cell>
        </row>
        <row r="82">
          <cell r="C82" t="str">
            <v>Verificação de sentido de giro de motores (Qt Motores)</v>
          </cell>
          <cell r="D82" t="str">
            <v>Motores</v>
          </cell>
          <cell r="E82">
            <v>0.89999999999999991</v>
          </cell>
          <cell r="F82">
            <v>1.1111111111111112</v>
          </cell>
        </row>
        <row r="83">
          <cell r="C83" t="str">
            <v>Verificação de anéis redundantes (MRP, DLR) (Numero dispositivos na rede)</v>
          </cell>
          <cell r="D83" t="str">
            <v>pç</v>
          </cell>
          <cell r="E83">
            <v>2.25</v>
          </cell>
          <cell r="F83">
            <v>0.44444444444444442</v>
          </cell>
        </row>
        <row r="84">
          <cell r="C84" t="str">
            <v>Verificação da conexão de transmissores (Qt Instrumentos)</v>
          </cell>
          <cell r="D84" t="str">
            <v>Instrumento</v>
          </cell>
          <cell r="E84">
            <v>0.23684210526315788</v>
          </cell>
          <cell r="F84">
            <v>4.2222222222222223</v>
          </cell>
        </row>
        <row r="85">
          <cell r="C85" t="str">
            <v>Validação de instrumentos com supervisório (Qt Instrumentos)</v>
          </cell>
          <cell r="D85" t="str">
            <v>Instrumento</v>
          </cell>
          <cell r="E85">
            <v>0.44999999999999996</v>
          </cell>
          <cell r="F85">
            <v>2.2222222222222223</v>
          </cell>
        </row>
        <row r="86">
          <cell r="C86" t="str">
            <v>Teste ponto a ponto de motores e dispositivos ( Quantidade)</v>
          </cell>
          <cell r="D86" t="str">
            <v>Dispositivo</v>
          </cell>
          <cell r="E86">
            <v>0.44999999999999996</v>
          </cell>
          <cell r="F86">
            <v>2.2222222222222223</v>
          </cell>
        </row>
        <row r="87">
          <cell r="C87" t="str">
            <v>Teste de funcionalidade em painéis BT e CCMs (Qt Paineis)</v>
          </cell>
          <cell r="D87" t="str">
            <v>Painel</v>
          </cell>
          <cell r="E87">
            <v>0.89999999999999991</v>
          </cell>
          <cell r="F87">
            <v>1.1111111111111112</v>
          </cell>
        </row>
        <row r="88">
          <cell r="C88" t="str">
            <v>Teste de continuidade de condutores (Pontos)</v>
          </cell>
          <cell r="D88" t="str">
            <v>Pontos</v>
          </cell>
          <cell r="E88">
            <v>0.36</v>
          </cell>
          <cell r="F88">
            <v>2.7777777777777777</v>
          </cell>
        </row>
        <row r="89">
          <cell r="C89" t="str">
            <v>Teste de comunicação (Ping, protocolo) (Numero de redes)</v>
          </cell>
          <cell r="D89" t="str">
            <v>Pontos</v>
          </cell>
          <cell r="E89">
            <v>0.36</v>
          </cell>
          <cell r="F89">
            <v>2.7777777777777777</v>
          </cell>
        </row>
        <row r="90">
          <cell r="C90" t="str">
            <v>Serviços mecânicos gerais (estimativa)</v>
          </cell>
          <cell r="D90" t="str">
            <v>un</v>
          </cell>
          <cell r="E90">
            <v>9</v>
          </cell>
          <cell r="F90">
            <v>0.1111111111111111</v>
          </cell>
        </row>
        <row r="91">
          <cell r="C91" t="str">
            <v>Serviços de apoio à montagem (estimativa)</v>
          </cell>
          <cell r="D91" t="str">
            <v>un</v>
          </cell>
          <cell r="E91">
            <v>9</v>
          </cell>
          <cell r="F91">
            <v>0.1111111111111111</v>
          </cell>
        </row>
        <row r="92">
          <cell r="C92" t="str">
            <v>Fixação de motores elétricos BT (Qt Motores)</v>
          </cell>
          <cell r="D92" t="str">
            <v>Motores</v>
          </cell>
          <cell r="E92">
            <v>2.25</v>
          </cell>
          <cell r="F92">
            <v>0.44444444444444442</v>
          </cell>
        </row>
        <row r="93">
          <cell r="C93" t="str">
            <v>Fixação de motores elétricos MT (Qt Motores)</v>
          </cell>
          <cell r="D93" t="str">
            <v>Motores</v>
          </cell>
          <cell r="E93">
            <v>9</v>
          </cell>
          <cell r="F93">
            <v>0.1111111111111111</v>
          </cell>
        </row>
        <row r="94">
          <cell r="C94" t="str">
            <v>Perfuração e fixação em estruturas metálicas (Numero de Fixação)</v>
          </cell>
          <cell r="D94" t="str">
            <v>un</v>
          </cell>
          <cell r="E94">
            <v>0.44999999999999996</v>
          </cell>
          <cell r="F94">
            <v>2.2222222222222223</v>
          </cell>
        </row>
        <row r="95">
          <cell r="C95" t="str">
            <v>Montagem interna de painéis (CLP, relés, barramentos) (Qt Paineis)</v>
          </cell>
          <cell r="D95" t="str">
            <v>un</v>
          </cell>
          <cell r="E95">
            <v>9</v>
          </cell>
          <cell r="F95">
            <v>0.1111111111111111</v>
          </cell>
        </row>
        <row r="96">
          <cell r="C96" t="str">
            <v>Montagem de caixas de junção sem interligação ( Qt Paineis JB)</v>
          </cell>
          <cell r="D96" t="str">
            <v>un</v>
          </cell>
          <cell r="E96">
            <v>2.25</v>
          </cell>
          <cell r="F96">
            <v>0.44444444444444442</v>
          </cell>
        </row>
        <row r="97">
          <cell r="C97" t="str">
            <v>Conexão/interligação multicabos em caixas de junção (Qt JBs)</v>
          </cell>
          <cell r="D97" t="str">
            <v>un</v>
          </cell>
          <cell r="E97">
            <v>1.7999999999999998</v>
          </cell>
          <cell r="F97">
            <v>0.55555555555555558</v>
          </cell>
        </row>
        <row r="98">
          <cell r="C98" t="str">
            <v>Montagem sistema SPDA (quantidade de pontos)</v>
          </cell>
          <cell r="D98" t="str">
            <v>un</v>
          </cell>
          <cell r="E98">
            <v>0.6</v>
          </cell>
          <cell r="F98">
            <v>1.6666666666666667</v>
          </cell>
        </row>
        <row r="99">
          <cell r="C99" t="str">
            <v>Conexão/interligação de borneira - painel automação e JBs (Qt Pontos)</v>
          </cell>
          <cell r="D99" t="str">
            <v>un</v>
          </cell>
          <cell r="E99">
            <v>0.2</v>
          </cell>
          <cell r="F99">
            <v>5</v>
          </cell>
        </row>
        <row r="100">
          <cell r="C100" t="str">
            <v>Conexão/interligação de borneira - painel BT (Qt Dispositivos)</v>
          </cell>
          <cell r="D100" t="str">
            <v>un</v>
          </cell>
          <cell r="E100">
            <v>0.89999999999999991</v>
          </cell>
          <cell r="F100">
            <v>1.1111111111111112</v>
          </cell>
        </row>
        <row r="101">
          <cell r="C101" t="str">
            <v>Conexão/interligação de borneira - painel MT (Qt Paineis)</v>
          </cell>
          <cell r="D101" t="str">
            <v>un</v>
          </cell>
          <cell r="E101">
            <v>1.3500000000000005</v>
          </cell>
          <cell r="F101">
            <v>0.74074074074074048</v>
          </cell>
        </row>
        <row r="102">
          <cell r="C102" t="str">
            <v>Conexão/interligação entre painéis internos (Qt Pontos)</v>
          </cell>
          <cell r="D102" t="str">
            <v>un</v>
          </cell>
          <cell r="E102">
            <v>0.38571428571428573</v>
          </cell>
          <cell r="F102">
            <v>2.5925925925925926</v>
          </cell>
        </row>
        <row r="103">
          <cell r="C103" t="str">
            <v>Conexão/interligação de redes em painéis automação/CCM (Qt Pontos)</v>
          </cell>
          <cell r="D103" t="str">
            <v>un</v>
          </cell>
          <cell r="E103">
            <v>0.89999999999999991</v>
          </cell>
          <cell r="F103">
            <v>1.1111111111111112</v>
          </cell>
        </row>
        <row r="105">
          <cell r="F105">
            <v>0</v>
          </cell>
        </row>
        <row r="106">
          <cell r="F106">
            <v>0</v>
          </cell>
        </row>
        <row r="107">
          <cell r="F107">
            <v>0</v>
          </cell>
        </row>
        <row r="108">
          <cell r="F108">
            <v>0</v>
          </cell>
        </row>
        <row r="109">
          <cell r="F109">
            <v>0</v>
          </cell>
        </row>
        <row r="110">
          <cell r="F110">
            <v>0</v>
          </cell>
        </row>
        <row r="111">
          <cell r="F111">
            <v>0</v>
          </cell>
        </row>
        <row r="112">
          <cell r="F112">
            <v>0</v>
          </cell>
        </row>
        <row r="113">
          <cell r="F113">
            <v>0</v>
          </cell>
        </row>
        <row r="114">
          <cell r="F114">
            <v>0</v>
          </cell>
        </row>
        <row r="115">
          <cell r="F115">
            <v>0</v>
          </cell>
        </row>
        <row r="116">
          <cell r="F116">
            <v>0</v>
          </cell>
        </row>
        <row r="117">
          <cell r="F117">
            <v>0</v>
          </cell>
        </row>
        <row r="118">
          <cell r="F118">
            <v>0</v>
          </cell>
        </row>
        <row r="119">
          <cell r="F119">
            <v>0</v>
          </cell>
        </row>
        <row r="120">
          <cell r="F120">
            <v>0</v>
          </cell>
        </row>
        <row r="121">
          <cell r="F121">
            <v>0</v>
          </cell>
        </row>
        <row r="122">
          <cell r="F122">
            <v>0</v>
          </cell>
        </row>
        <row r="123">
          <cell r="F123">
            <v>0</v>
          </cell>
        </row>
        <row r="124">
          <cell r="F124">
            <v>0</v>
          </cell>
        </row>
        <row r="125">
          <cell r="F125">
            <v>0</v>
          </cell>
        </row>
        <row r="126">
          <cell r="F126">
            <v>0</v>
          </cell>
        </row>
        <row r="127">
          <cell r="F127">
            <v>0</v>
          </cell>
        </row>
        <row r="128">
          <cell r="F128">
            <v>0</v>
          </cell>
        </row>
        <row r="129">
          <cell r="F129">
            <v>0</v>
          </cell>
        </row>
        <row r="130">
          <cell r="F130">
            <v>0</v>
          </cell>
        </row>
        <row r="131">
          <cell r="F131">
            <v>0</v>
          </cell>
        </row>
        <row r="132">
          <cell r="F132">
            <v>0</v>
          </cell>
        </row>
        <row r="133">
          <cell r="F133">
            <v>0</v>
          </cell>
        </row>
        <row r="134">
          <cell r="F134">
            <v>0</v>
          </cell>
        </row>
        <row r="135">
          <cell r="F135">
            <v>0</v>
          </cell>
        </row>
        <row r="136">
          <cell r="F136">
            <v>0</v>
          </cell>
        </row>
        <row r="137">
          <cell r="F137">
            <v>0</v>
          </cell>
        </row>
        <row r="138">
          <cell r="F138">
            <v>0</v>
          </cell>
        </row>
        <row r="139">
          <cell r="F139">
            <v>0</v>
          </cell>
        </row>
        <row r="140">
          <cell r="F140">
            <v>0</v>
          </cell>
        </row>
        <row r="141">
          <cell r="F141">
            <v>0</v>
          </cell>
        </row>
        <row r="142">
          <cell r="F142">
            <v>0</v>
          </cell>
        </row>
        <row r="143">
          <cell r="F143">
            <v>0</v>
          </cell>
        </row>
        <row r="144">
          <cell r="F144">
            <v>0</v>
          </cell>
        </row>
        <row r="145">
          <cell r="F145">
            <v>0</v>
          </cell>
        </row>
        <row r="146">
          <cell r="F146">
            <v>0</v>
          </cell>
        </row>
        <row r="147">
          <cell r="F147">
            <v>0</v>
          </cell>
        </row>
        <row r="148">
          <cell r="F148">
            <v>0</v>
          </cell>
        </row>
        <row r="149">
          <cell r="F149">
            <v>0</v>
          </cell>
        </row>
        <row r="150">
          <cell r="F150">
            <v>0</v>
          </cell>
        </row>
        <row r="151">
          <cell r="F151">
            <v>0</v>
          </cell>
        </row>
        <row r="152">
          <cell r="F152">
            <v>0</v>
          </cell>
        </row>
        <row r="153">
          <cell r="F153">
            <v>0</v>
          </cell>
        </row>
        <row r="154">
          <cell r="F154">
            <v>0</v>
          </cell>
        </row>
        <row r="155">
          <cell r="F155">
            <v>0</v>
          </cell>
        </row>
        <row r="156">
          <cell r="F156">
            <v>0</v>
          </cell>
        </row>
        <row r="157">
          <cell r="F157">
            <v>0</v>
          </cell>
        </row>
        <row r="158">
          <cell r="F158">
            <v>0</v>
          </cell>
        </row>
        <row r="159">
          <cell r="F159">
            <v>0</v>
          </cell>
        </row>
        <row r="160">
          <cell r="F160">
            <v>0</v>
          </cell>
        </row>
        <row r="161">
          <cell r="F161">
            <v>0</v>
          </cell>
        </row>
        <row r="162">
          <cell r="F162">
            <v>0</v>
          </cell>
        </row>
        <row r="163">
          <cell r="F163">
            <v>0</v>
          </cell>
        </row>
        <row r="164">
          <cell r="F164">
            <v>0</v>
          </cell>
        </row>
        <row r="165">
          <cell r="F165">
            <v>0</v>
          </cell>
        </row>
        <row r="166">
          <cell r="F166">
            <v>0</v>
          </cell>
        </row>
        <row r="167">
          <cell r="F167">
            <v>0</v>
          </cell>
        </row>
        <row r="168">
          <cell r="F168">
            <v>0</v>
          </cell>
        </row>
        <row r="169">
          <cell r="F169">
            <v>0</v>
          </cell>
        </row>
        <row r="170">
          <cell r="F170">
            <v>0</v>
          </cell>
        </row>
        <row r="171">
          <cell r="F171">
            <v>0</v>
          </cell>
        </row>
        <row r="172">
          <cell r="F172">
            <v>0</v>
          </cell>
        </row>
        <row r="173">
          <cell r="F173">
            <v>0</v>
          </cell>
        </row>
        <row r="174">
          <cell r="F174">
            <v>0</v>
          </cell>
        </row>
        <row r="175">
          <cell r="F175">
            <v>0</v>
          </cell>
        </row>
        <row r="176">
          <cell r="F176">
            <v>0</v>
          </cell>
        </row>
        <row r="177">
          <cell r="F177">
            <v>0</v>
          </cell>
        </row>
        <row r="178">
          <cell r="F178">
            <v>0</v>
          </cell>
        </row>
        <row r="179">
          <cell r="F179">
            <v>0</v>
          </cell>
        </row>
        <row r="180">
          <cell r="F180">
            <v>0</v>
          </cell>
        </row>
        <row r="181">
          <cell r="F181">
            <v>0</v>
          </cell>
        </row>
        <row r="182">
          <cell r="F182">
            <v>0</v>
          </cell>
        </row>
        <row r="183">
          <cell r="F183">
            <v>0</v>
          </cell>
        </row>
        <row r="184">
          <cell r="F184">
            <v>0</v>
          </cell>
        </row>
        <row r="185">
          <cell r="F185">
            <v>0</v>
          </cell>
        </row>
        <row r="186">
          <cell r="F186">
            <v>0</v>
          </cell>
        </row>
        <row r="187">
          <cell r="F187">
            <v>0</v>
          </cell>
        </row>
        <row r="188">
          <cell r="F188">
            <v>0</v>
          </cell>
        </row>
        <row r="189">
          <cell r="F189">
            <v>0</v>
          </cell>
        </row>
        <row r="190">
          <cell r="F190">
            <v>0</v>
          </cell>
        </row>
        <row r="191">
          <cell r="F191">
            <v>0</v>
          </cell>
        </row>
        <row r="192">
          <cell r="F192">
            <v>0</v>
          </cell>
        </row>
        <row r="193">
          <cell r="F193">
            <v>0</v>
          </cell>
        </row>
        <row r="194">
          <cell r="F194">
            <v>0</v>
          </cell>
        </row>
        <row r="195">
          <cell r="F195">
            <v>0</v>
          </cell>
        </row>
        <row r="196">
          <cell r="F196">
            <v>0</v>
          </cell>
        </row>
        <row r="197">
          <cell r="F197">
            <v>0</v>
          </cell>
        </row>
        <row r="198">
          <cell r="F198">
            <v>0</v>
          </cell>
        </row>
        <row r="199">
          <cell r="F199">
            <v>0</v>
          </cell>
        </row>
        <row r="200">
          <cell r="F200">
            <v>0</v>
          </cell>
        </row>
        <row r="201">
          <cell r="F201">
            <v>0</v>
          </cell>
        </row>
        <row r="202">
          <cell r="F202">
            <v>0</v>
          </cell>
        </row>
        <row r="203">
          <cell r="F203">
            <v>0</v>
          </cell>
        </row>
        <row r="204">
          <cell r="F204">
            <v>0</v>
          </cell>
        </row>
        <row r="205">
          <cell r="F205">
            <v>0</v>
          </cell>
        </row>
        <row r="206">
          <cell r="F206">
            <v>0</v>
          </cell>
        </row>
        <row r="207">
          <cell r="F207">
            <v>0</v>
          </cell>
        </row>
        <row r="208">
          <cell r="F208">
            <v>0</v>
          </cell>
        </row>
        <row r="209">
          <cell r="F209">
            <v>0</v>
          </cell>
        </row>
        <row r="210">
          <cell r="F210">
            <v>0</v>
          </cell>
        </row>
        <row r="211">
          <cell r="F211">
            <v>0</v>
          </cell>
        </row>
        <row r="212">
          <cell r="F212">
            <v>0</v>
          </cell>
        </row>
        <row r="213">
          <cell r="F213">
            <v>0</v>
          </cell>
        </row>
        <row r="214">
          <cell r="F214">
            <v>0</v>
          </cell>
        </row>
        <row r="215">
          <cell r="F215">
            <v>0</v>
          </cell>
        </row>
        <row r="216">
          <cell r="F216">
            <v>0</v>
          </cell>
        </row>
        <row r="217">
          <cell r="F217">
            <v>0</v>
          </cell>
        </row>
        <row r="218">
          <cell r="F218">
            <v>0</v>
          </cell>
        </row>
        <row r="219">
          <cell r="F219">
            <v>0</v>
          </cell>
        </row>
        <row r="220">
          <cell r="F220">
            <v>0</v>
          </cell>
        </row>
        <row r="221">
          <cell r="F221">
            <v>0</v>
          </cell>
        </row>
        <row r="222">
          <cell r="F222">
            <v>0</v>
          </cell>
        </row>
        <row r="223">
          <cell r="F223">
            <v>0</v>
          </cell>
        </row>
        <row r="224">
          <cell r="F224">
            <v>0</v>
          </cell>
        </row>
        <row r="225">
          <cell r="F225">
            <v>0</v>
          </cell>
        </row>
        <row r="226">
          <cell r="F226">
            <v>0</v>
          </cell>
        </row>
        <row r="227">
          <cell r="F227">
            <v>0</v>
          </cell>
        </row>
        <row r="228">
          <cell r="F228">
            <v>0</v>
          </cell>
        </row>
        <row r="229">
          <cell r="F229">
            <v>0</v>
          </cell>
        </row>
        <row r="230">
          <cell r="F230">
            <v>0</v>
          </cell>
        </row>
        <row r="231">
          <cell r="F231">
            <v>0</v>
          </cell>
        </row>
        <row r="232">
          <cell r="F232">
            <v>0</v>
          </cell>
        </row>
        <row r="233">
          <cell r="F233">
            <v>0</v>
          </cell>
        </row>
        <row r="234">
          <cell r="F234">
            <v>0</v>
          </cell>
        </row>
        <row r="235">
          <cell r="F235">
            <v>0</v>
          </cell>
        </row>
        <row r="236">
          <cell r="F236">
            <v>0</v>
          </cell>
        </row>
        <row r="237">
          <cell r="F237">
            <v>0</v>
          </cell>
        </row>
        <row r="238">
          <cell r="F238">
            <v>0</v>
          </cell>
        </row>
        <row r="239">
          <cell r="F239">
            <v>0</v>
          </cell>
        </row>
        <row r="240">
          <cell r="F240">
            <v>0</v>
          </cell>
        </row>
        <row r="241">
          <cell r="F241">
            <v>0</v>
          </cell>
        </row>
        <row r="242">
          <cell r="F242">
            <v>0</v>
          </cell>
        </row>
        <row r="243">
          <cell r="F243">
            <v>0</v>
          </cell>
        </row>
        <row r="244">
          <cell r="F244">
            <v>0</v>
          </cell>
        </row>
        <row r="245">
          <cell r="F245">
            <v>0</v>
          </cell>
        </row>
        <row r="246">
          <cell r="F246">
            <v>0</v>
          </cell>
        </row>
        <row r="247">
          <cell r="F247">
            <v>0</v>
          </cell>
        </row>
        <row r="248">
          <cell r="F248">
            <v>0</v>
          </cell>
        </row>
        <row r="249">
          <cell r="F249">
            <v>0</v>
          </cell>
        </row>
        <row r="250">
          <cell r="F250">
            <v>0</v>
          </cell>
        </row>
        <row r="251">
          <cell r="F251">
            <v>0</v>
          </cell>
        </row>
        <row r="252">
          <cell r="F252">
            <v>0</v>
          </cell>
        </row>
        <row r="253">
          <cell r="F253">
            <v>0</v>
          </cell>
        </row>
        <row r="254">
          <cell r="F254">
            <v>0</v>
          </cell>
        </row>
        <row r="255">
          <cell r="F255">
            <v>0</v>
          </cell>
        </row>
        <row r="256">
          <cell r="F256">
            <v>0</v>
          </cell>
        </row>
        <row r="257">
          <cell r="F257">
            <v>0</v>
          </cell>
        </row>
        <row r="258">
          <cell r="F258">
            <v>0</v>
          </cell>
        </row>
        <row r="259">
          <cell r="F259">
            <v>0</v>
          </cell>
        </row>
        <row r="260">
          <cell r="F260">
            <v>0</v>
          </cell>
        </row>
        <row r="261">
          <cell r="F261">
            <v>0</v>
          </cell>
        </row>
        <row r="262">
          <cell r="F262">
            <v>0</v>
          </cell>
        </row>
        <row r="263">
          <cell r="F263">
            <v>0</v>
          </cell>
        </row>
        <row r="264">
          <cell r="F264">
            <v>0</v>
          </cell>
        </row>
        <row r="265">
          <cell r="F265">
            <v>0</v>
          </cell>
        </row>
        <row r="266">
          <cell r="F266">
            <v>0</v>
          </cell>
        </row>
        <row r="267">
          <cell r="F267">
            <v>0</v>
          </cell>
        </row>
        <row r="268">
          <cell r="F268">
            <v>0</v>
          </cell>
        </row>
        <row r="269">
          <cell r="F269">
            <v>0</v>
          </cell>
        </row>
        <row r="270">
          <cell r="F270">
            <v>0</v>
          </cell>
        </row>
        <row r="271">
          <cell r="F271">
            <v>0</v>
          </cell>
        </row>
        <row r="272">
          <cell r="F272">
            <v>0</v>
          </cell>
        </row>
        <row r="273">
          <cell r="F273">
            <v>0</v>
          </cell>
        </row>
        <row r="274">
          <cell r="F274">
            <v>0</v>
          </cell>
        </row>
        <row r="275">
          <cell r="F275">
            <v>0</v>
          </cell>
        </row>
        <row r="276">
          <cell r="F276">
            <v>0</v>
          </cell>
        </row>
        <row r="277">
          <cell r="F277">
            <v>0</v>
          </cell>
        </row>
        <row r="278">
          <cell r="F278">
            <v>0</v>
          </cell>
        </row>
        <row r="279">
          <cell r="F279">
            <v>0</v>
          </cell>
        </row>
        <row r="280">
          <cell r="F280">
            <v>0</v>
          </cell>
        </row>
        <row r="281">
          <cell r="F281">
            <v>0</v>
          </cell>
        </row>
        <row r="282">
          <cell r="F282">
            <v>0</v>
          </cell>
        </row>
        <row r="283">
          <cell r="F283">
            <v>0</v>
          </cell>
        </row>
        <row r="284">
          <cell r="F284">
            <v>0</v>
          </cell>
        </row>
        <row r="285">
          <cell r="F285">
            <v>0</v>
          </cell>
        </row>
        <row r="286">
          <cell r="F286">
            <v>0</v>
          </cell>
        </row>
        <row r="287">
          <cell r="F287">
            <v>0</v>
          </cell>
        </row>
        <row r="288">
          <cell r="F288">
            <v>0</v>
          </cell>
        </row>
        <row r="289">
          <cell r="F289">
            <v>0</v>
          </cell>
        </row>
        <row r="290">
          <cell r="F290">
            <v>0</v>
          </cell>
        </row>
        <row r="291">
          <cell r="F291">
            <v>0</v>
          </cell>
        </row>
        <row r="292">
          <cell r="F292">
            <v>0</v>
          </cell>
        </row>
        <row r="293">
          <cell r="F293">
            <v>0</v>
          </cell>
        </row>
        <row r="294">
          <cell r="F294">
            <v>0</v>
          </cell>
        </row>
        <row r="295">
          <cell r="F295">
            <v>0</v>
          </cell>
        </row>
        <row r="296">
          <cell r="F296">
            <v>0</v>
          </cell>
        </row>
        <row r="297">
          <cell r="F297">
            <v>0</v>
          </cell>
        </row>
        <row r="298">
          <cell r="F298">
            <v>0</v>
          </cell>
        </row>
        <row r="299">
          <cell r="F299">
            <v>0</v>
          </cell>
        </row>
        <row r="300">
          <cell r="F300">
            <v>0</v>
          </cell>
        </row>
        <row r="301">
          <cell r="F301">
            <v>0</v>
          </cell>
        </row>
        <row r="302">
          <cell r="F302">
            <v>0</v>
          </cell>
        </row>
        <row r="303">
          <cell r="F303">
            <v>0</v>
          </cell>
        </row>
        <row r="304">
          <cell r="F304">
            <v>0</v>
          </cell>
        </row>
        <row r="305">
          <cell r="F305">
            <v>0</v>
          </cell>
        </row>
        <row r="306">
          <cell r="F306">
            <v>0</v>
          </cell>
        </row>
        <row r="307">
          <cell r="F307">
            <v>0</v>
          </cell>
        </row>
        <row r="308">
          <cell r="F308">
            <v>0</v>
          </cell>
        </row>
        <row r="309">
          <cell r="F309">
            <v>0</v>
          </cell>
        </row>
        <row r="310">
          <cell r="F310">
            <v>0</v>
          </cell>
        </row>
        <row r="311">
          <cell r="F311">
            <v>0</v>
          </cell>
        </row>
        <row r="312">
          <cell r="F312">
            <v>0</v>
          </cell>
        </row>
        <row r="313">
          <cell r="F313">
            <v>0</v>
          </cell>
        </row>
        <row r="314">
          <cell r="F314">
            <v>0</v>
          </cell>
        </row>
        <row r="315">
          <cell r="F315">
            <v>0</v>
          </cell>
        </row>
        <row r="316">
          <cell r="F316">
            <v>0</v>
          </cell>
        </row>
        <row r="317">
          <cell r="F317">
            <v>0</v>
          </cell>
        </row>
        <row r="318">
          <cell r="F318">
            <v>0</v>
          </cell>
        </row>
        <row r="319">
          <cell r="F319">
            <v>0</v>
          </cell>
        </row>
        <row r="320">
          <cell r="F320">
            <v>0</v>
          </cell>
        </row>
        <row r="321">
          <cell r="F321">
            <v>0</v>
          </cell>
        </row>
        <row r="322">
          <cell r="F322">
            <v>0</v>
          </cell>
        </row>
        <row r="323">
          <cell r="F323">
            <v>0</v>
          </cell>
        </row>
        <row r="324">
          <cell r="F324">
            <v>0</v>
          </cell>
        </row>
        <row r="325">
          <cell r="F325">
            <v>0</v>
          </cell>
        </row>
        <row r="326">
          <cell r="F326">
            <v>0</v>
          </cell>
        </row>
        <row r="327">
          <cell r="F327">
            <v>0</v>
          </cell>
        </row>
        <row r="328">
          <cell r="F328">
            <v>0</v>
          </cell>
        </row>
        <row r="329">
          <cell r="F329">
            <v>0</v>
          </cell>
        </row>
        <row r="330">
          <cell r="F330">
            <v>0</v>
          </cell>
        </row>
        <row r="331">
          <cell r="F331">
            <v>0</v>
          </cell>
        </row>
        <row r="332">
          <cell r="F332">
            <v>0</v>
          </cell>
        </row>
        <row r="333">
          <cell r="F333">
            <v>0</v>
          </cell>
        </row>
        <row r="334">
          <cell r="F334">
            <v>0</v>
          </cell>
        </row>
        <row r="335">
          <cell r="F335">
            <v>0</v>
          </cell>
        </row>
        <row r="336">
          <cell r="F336">
            <v>0</v>
          </cell>
        </row>
        <row r="337">
          <cell r="F337">
            <v>0</v>
          </cell>
        </row>
        <row r="338">
          <cell r="F338">
            <v>0</v>
          </cell>
        </row>
        <row r="339">
          <cell r="F339">
            <v>0</v>
          </cell>
        </row>
        <row r="340">
          <cell r="F340">
            <v>0</v>
          </cell>
        </row>
        <row r="341">
          <cell r="F341">
            <v>0</v>
          </cell>
        </row>
        <row r="342">
          <cell r="F342">
            <v>0</v>
          </cell>
        </row>
        <row r="343">
          <cell r="F343">
            <v>0</v>
          </cell>
        </row>
        <row r="344">
          <cell r="F344">
            <v>0</v>
          </cell>
        </row>
        <row r="345">
          <cell r="F345">
            <v>0</v>
          </cell>
        </row>
        <row r="346">
          <cell r="F346">
            <v>0</v>
          </cell>
        </row>
        <row r="347">
          <cell r="F347">
            <v>0</v>
          </cell>
        </row>
        <row r="348">
          <cell r="F348">
            <v>0</v>
          </cell>
        </row>
        <row r="349">
          <cell r="F349">
            <v>0</v>
          </cell>
        </row>
        <row r="350">
          <cell r="F350">
            <v>0</v>
          </cell>
        </row>
        <row r="351">
          <cell r="F351">
            <v>0</v>
          </cell>
        </row>
        <row r="352">
          <cell r="F352">
            <v>0</v>
          </cell>
        </row>
        <row r="353">
          <cell r="F353">
            <v>0</v>
          </cell>
        </row>
        <row r="354">
          <cell r="F354">
            <v>0</v>
          </cell>
        </row>
        <row r="355">
          <cell r="F355">
            <v>0</v>
          </cell>
        </row>
        <row r="356">
          <cell r="F356">
            <v>0</v>
          </cell>
        </row>
        <row r="357">
          <cell r="F357">
            <v>0</v>
          </cell>
        </row>
        <row r="358">
          <cell r="F358">
            <v>0</v>
          </cell>
        </row>
        <row r="359">
          <cell r="F359">
            <v>0</v>
          </cell>
        </row>
        <row r="360">
          <cell r="F360">
            <v>0</v>
          </cell>
        </row>
        <row r="361">
          <cell r="F361">
            <v>0</v>
          </cell>
        </row>
        <row r="362">
          <cell r="F362">
            <v>0</v>
          </cell>
        </row>
        <row r="363">
          <cell r="F363">
            <v>0</v>
          </cell>
        </row>
        <row r="364">
          <cell r="F364">
            <v>0</v>
          </cell>
        </row>
        <row r="365">
          <cell r="F365">
            <v>0</v>
          </cell>
        </row>
        <row r="366">
          <cell r="F366">
            <v>0</v>
          </cell>
        </row>
        <row r="367">
          <cell r="F367">
            <v>0</v>
          </cell>
        </row>
        <row r="368">
          <cell r="F368">
            <v>0</v>
          </cell>
        </row>
        <row r="369">
          <cell r="F369">
            <v>0</v>
          </cell>
        </row>
        <row r="370">
          <cell r="F370">
            <v>0</v>
          </cell>
        </row>
        <row r="371">
          <cell r="F371">
            <v>0</v>
          </cell>
        </row>
        <row r="372">
          <cell r="F372">
            <v>0</v>
          </cell>
        </row>
        <row r="373">
          <cell r="F373">
            <v>0</v>
          </cell>
        </row>
        <row r="374">
          <cell r="F374">
            <v>0</v>
          </cell>
        </row>
        <row r="375">
          <cell r="F375">
            <v>0</v>
          </cell>
        </row>
        <row r="376">
          <cell r="F376">
            <v>0</v>
          </cell>
        </row>
        <row r="377">
          <cell r="F377">
            <v>0</v>
          </cell>
        </row>
        <row r="378">
          <cell r="F378">
            <v>0</v>
          </cell>
        </row>
        <row r="379">
          <cell r="F379">
            <v>0</v>
          </cell>
        </row>
        <row r="380">
          <cell r="F380">
            <v>0</v>
          </cell>
        </row>
        <row r="381">
          <cell r="F381">
            <v>0</v>
          </cell>
        </row>
        <row r="382">
          <cell r="F382">
            <v>0</v>
          </cell>
        </row>
        <row r="383">
          <cell r="F383">
            <v>0</v>
          </cell>
        </row>
        <row r="384">
          <cell r="F384">
            <v>0</v>
          </cell>
        </row>
        <row r="385">
          <cell r="F385">
            <v>0</v>
          </cell>
        </row>
        <row r="386">
          <cell r="F386">
            <v>0</v>
          </cell>
        </row>
        <row r="387">
          <cell r="F387">
            <v>0</v>
          </cell>
        </row>
        <row r="388">
          <cell r="F388">
            <v>0</v>
          </cell>
        </row>
        <row r="389">
          <cell r="F389">
            <v>0</v>
          </cell>
        </row>
        <row r="390">
          <cell r="F390">
            <v>0</v>
          </cell>
        </row>
        <row r="391">
          <cell r="F391">
            <v>0</v>
          </cell>
        </row>
        <row r="392">
          <cell r="F392">
            <v>0</v>
          </cell>
        </row>
        <row r="393">
          <cell r="F393">
            <v>0</v>
          </cell>
        </row>
        <row r="394">
          <cell r="F394">
            <v>0</v>
          </cell>
        </row>
        <row r="395">
          <cell r="F395">
            <v>0</v>
          </cell>
        </row>
        <row r="396">
          <cell r="F396">
            <v>0</v>
          </cell>
        </row>
        <row r="397">
          <cell r="F397">
            <v>0</v>
          </cell>
        </row>
        <row r="398">
          <cell r="F398">
            <v>0</v>
          </cell>
        </row>
        <row r="399">
          <cell r="F399">
            <v>0</v>
          </cell>
        </row>
        <row r="400">
          <cell r="F400">
            <v>0</v>
          </cell>
        </row>
        <row r="401">
          <cell r="F401">
            <v>0</v>
          </cell>
        </row>
        <row r="402">
          <cell r="F402">
            <v>0</v>
          </cell>
        </row>
        <row r="403">
          <cell r="F403">
            <v>0</v>
          </cell>
        </row>
        <row r="404">
          <cell r="F404">
            <v>0</v>
          </cell>
        </row>
        <row r="405">
          <cell r="F405">
            <v>0</v>
          </cell>
        </row>
        <row r="406">
          <cell r="F406">
            <v>0</v>
          </cell>
        </row>
        <row r="407">
          <cell r="F407">
            <v>0</v>
          </cell>
        </row>
        <row r="408">
          <cell r="F408">
            <v>0</v>
          </cell>
        </row>
        <row r="409">
          <cell r="F409">
            <v>0</v>
          </cell>
        </row>
        <row r="410">
          <cell r="F410">
            <v>0</v>
          </cell>
        </row>
        <row r="411">
          <cell r="F411">
            <v>0</v>
          </cell>
        </row>
        <row r="412">
          <cell r="F412">
            <v>0</v>
          </cell>
        </row>
        <row r="413">
          <cell r="F413">
            <v>0</v>
          </cell>
        </row>
        <row r="414">
          <cell r="F414">
            <v>0</v>
          </cell>
        </row>
        <row r="415">
          <cell r="F415">
            <v>0</v>
          </cell>
        </row>
        <row r="416">
          <cell r="F416">
            <v>0</v>
          </cell>
        </row>
        <row r="417">
          <cell r="F417">
            <v>0</v>
          </cell>
        </row>
        <row r="418">
          <cell r="F418">
            <v>0</v>
          </cell>
        </row>
        <row r="419">
          <cell r="F419">
            <v>0</v>
          </cell>
        </row>
        <row r="420">
          <cell r="F420">
            <v>0</v>
          </cell>
        </row>
        <row r="421">
          <cell r="F421">
            <v>0</v>
          </cell>
        </row>
        <row r="422">
          <cell r="F422">
            <v>0</v>
          </cell>
        </row>
        <row r="423">
          <cell r="F423">
            <v>0</v>
          </cell>
        </row>
        <row r="424">
          <cell r="F424">
            <v>0</v>
          </cell>
        </row>
        <row r="425">
          <cell r="F425">
            <v>0</v>
          </cell>
        </row>
        <row r="426">
          <cell r="F426">
            <v>0</v>
          </cell>
        </row>
        <row r="427">
          <cell r="F427">
            <v>0</v>
          </cell>
        </row>
        <row r="428">
          <cell r="F428">
            <v>0</v>
          </cell>
        </row>
        <row r="429">
          <cell r="F429">
            <v>0</v>
          </cell>
        </row>
        <row r="430">
          <cell r="F430">
            <v>0</v>
          </cell>
        </row>
        <row r="431">
          <cell r="F431">
            <v>0</v>
          </cell>
        </row>
        <row r="432">
          <cell r="F432">
            <v>0</v>
          </cell>
        </row>
        <row r="433">
          <cell r="F433">
            <v>0</v>
          </cell>
        </row>
        <row r="434">
          <cell r="F434">
            <v>0</v>
          </cell>
        </row>
        <row r="435">
          <cell r="F435">
            <v>0</v>
          </cell>
        </row>
        <row r="436">
          <cell r="F436">
            <v>0</v>
          </cell>
        </row>
        <row r="437">
          <cell r="F437">
            <v>0</v>
          </cell>
        </row>
        <row r="438">
          <cell r="F438">
            <v>0</v>
          </cell>
        </row>
        <row r="439">
          <cell r="F439">
            <v>0</v>
          </cell>
        </row>
        <row r="440">
          <cell r="F440">
            <v>0</v>
          </cell>
        </row>
        <row r="441">
          <cell r="F441">
            <v>0</v>
          </cell>
        </row>
        <row r="442">
          <cell r="F442">
            <v>0</v>
          </cell>
        </row>
        <row r="443">
          <cell r="F443">
            <v>0</v>
          </cell>
        </row>
        <row r="444">
          <cell r="F444">
            <v>0</v>
          </cell>
        </row>
        <row r="445">
          <cell r="F445">
            <v>0</v>
          </cell>
        </row>
        <row r="446">
          <cell r="F446">
            <v>0</v>
          </cell>
        </row>
        <row r="447">
          <cell r="F447">
            <v>0</v>
          </cell>
        </row>
        <row r="448">
          <cell r="F448">
            <v>0</v>
          </cell>
        </row>
        <row r="449">
          <cell r="F449">
            <v>0</v>
          </cell>
        </row>
        <row r="450">
          <cell r="F450">
            <v>0</v>
          </cell>
        </row>
        <row r="451">
          <cell r="F451">
            <v>0</v>
          </cell>
        </row>
        <row r="452">
          <cell r="F452">
            <v>0</v>
          </cell>
        </row>
        <row r="453">
          <cell r="F453">
            <v>0</v>
          </cell>
        </row>
        <row r="454">
          <cell r="F454">
            <v>0</v>
          </cell>
        </row>
        <row r="455">
          <cell r="F455">
            <v>0</v>
          </cell>
        </row>
        <row r="456">
          <cell r="F456">
            <v>0</v>
          </cell>
        </row>
        <row r="457">
          <cell r="F457">
            <v>0</v>
          </cell>
        </row>
        <row r="458">
          <cell r="F458">
            <v>0</v>
          </cell>
        </row>
        <row r="459">
          <cell r="F459">
            <v>0</v>
          </cell>
        </row>
        <row r="460">
          <cell r="F460">
            <v>0</v>
          </cell>
        </row>
        <row r="461">
          <cell r="F461">
            <v>0</v>
          </cell>
        </row>
        <row r="462">
          <cell r="F462">
            <v>0</v>
          </cell>
        </row>
        <row r="463">
          <cell r="F463">
            <v>0</v>
          </cell>
        </row>
        <row r="464">
          <cell r="F464">
            <v>0</v>
          </cell>
        </row>
        <row r="465">
          <cell r="F465">
            <v>0</v>
          </cell>
        </row>
        <row r="466">
          <cell r="F466">
            <v>0</v>
          </cell>
        </row>
        <row r="467">
          <cell r="F467">
            <v>0</v>
          </cell>
        </row>
        <row r="468">
          <cell r="F468">
            <v>0</v>
          </cell>
        </row>
        <row r="469">
          <cell r="F469">
            <v>0</v>
          </cell>
        </row>
        <row r="470">
          <cell r="F470">
            <v>0</v>
          </cell>
        </row>
        <row r="471">
          <cell r="F471">
            <v>0</v>
          </cell>
        </row>
        <row r="472">
          <cell r="F472">
            <v>0</v>
          </cell>
        </row>
        <row r="473">
          <cell r="F473">
            <v>0</v>
          </cell>
        </row>
        <row r="474">
          <cell r="F474">
            <v>0</v>
          </cell>
        </row>
        <row r="475">
          <cell r="F475">
            <v>0</v>
          </cell>
        </row>
        <row r="476">
          <cell r="F476">
            <v>0</v>
          </cell>
        </row>
        <row r="477">
          <cell r="F477">
            <v>0</v>
          </cell>
        </row>
        <row r="478">
          <cell r="F478">
            <v>0</v>
          </cell>
        </row>
        <row r="479">
          <cell r="F479">
            <v>0</v>
          </cell>
        </row>
        <row r="480">
          <cell r="F480">
            <v>0</v>
          </cell>
        </row>
        <row r="481">
          <cell r="F481">
            <v>0</v>
          </cell>
        </row>
        <row r="482">
          <cell r="F482">
            <v>0</v>
          </cell>
        </row>
        <row r="483">
          <cell r="F483">
            <v>0</v>
          </cell>
        </row>
        <row r="484">
          <cell r="F484">
            <v>0</v>
          </cell>
        </row>
        <row r="485">
          <cell r="F485">
            <v>0</v>
          </cell>
        </row>
      </sheetData>
      <sheetData sheetId="30"/>
      <sheetData sheetId="31"/>
      <sheetData sheetId="32"/>
      <sheetData sheetId="33"/>
      <sheetData sheetId="34"/>
      <sheetData sheetId="35">
        <row r="24">
          <cell r="G24">
            <v>0.45492745341720342</v>
          </cell>
        </row>
      </sheetData>
      <sheetData sheetId="36"/>
      <sheetData sheetId="37"/>
      <sheetData sheetId="38">
        <row r="6">
          <cell r="F6">
            <v>5.0000000000000001E-3</v>
          </cell>
        </row>
      </sheetData>
      <sheetData sheetId="39"/>
      <sheetData sheetId="40"/>
      <sheetData sheetId="41"/>
      <sheetData sheetId="42">
        <row r="6">
          <cell r="E6">
            <v>183202.89407003025</v>
          </cell>
          <cell r="F6">
            <v>0</v>
          </cell>
          <cell r="G6">
            <v>0</v>
          </cell>
          <cell r="Q6">
            <v>0</v>
          </cell>
        </row>
        <row r="7">
          <cell r="E7">
            <v>472580.95291063137</v>
          </cell>
          <cell r="F7">
            <v>8036.1170355025915</v>
          </cell>
          <cell r="G7">
            <v>4270.4494865979414</v>
          </cell>
          <cell r="Q7">
            <v>7579.5806108286133</v>
          </cell>
        </row>
        <row r="8">
          <cell r="E8">
            <v>1745195.8117631448</v>
          </cell>
          <cell r="F8">
            <v>96107.892482854077</v>
          </cell>
          <cell r="G8">
            <v>5056.8705407227681</v>
          </cell>
          <cell r="Q8">
            <v>90647.947907229915</v>
          </cell>
        </row>
        <row r="9">
          <cell r="E9">
            <v>211982.43355324148</v>
          </cell>
        </row>
        <row r="10">
          <cell r="E10">
            <v>31574.432718199823</v>
          </cell>
        </row>
        <row r="11">
          <cell r="L11">
            <v>214525.72520153469</v>
          </cell>
        </row>
        <row r="12">
          <cell r="L12">
            <v>825516.52254036604</v>
          </cell>
        </row>
        <row r="13">
          <cell r="E13">
            <v>1420330.3751407722</v>
          </cell>
          <cell r="F13">
            <v>53424.665959922058</v>
          </cell>
          <cell r="G13">
            <v>2992.3999605728804</v>
          </cell>
        </row>
        <row r="23">
          <cell r="G23">
            <v>56200</v>
          </cell>
        </row>
        <row r="34">
          <cell r="E34">
            <v>0</v>
          </cell>
        </row>
      </sheetData>
      <sheetData sheetId="43">
        <row r="41">
          <cell r="F41">
            <v>74353.5</v>
          </cell>
        </row>
      </sheetData>
      <sheetData sheetId="44"/>
      <sheetData sheetId="45">
        <row r="26">
          <cell r="AI26">
            <v>14.5</v>
          </cell>
        </row>
        <row r="30">
          <cell r="AJ30">
            <v>110.1</v>
          </cell>
        </row>
      </sheetData>
      <sheetData sheetId="46"/>
      <sheetData sheetId="47">
        <row r="34">
          <cell r="B34">
            <v>2.0107595448845492</v>
          </cell>
        </row>
        <row r="35">
          <cell r="B35">
            <v>1.7094383335671313</v>
          </cell>
        </row>
      </sheetData>
      <sheetData sheetId="48"/>
      <sheetData sheetId="49"/>
      <sheetData sheetId="50"/>
      <sheetData sheetId="51"/>
      <sheetData sheetId="52"/>
      <sheetData sheetId="53"/>
      <sheetData sheetId="54"/>
      <sheetData sheetId="55"/>
      <sheetData sheetId="56"/>
      <sheetData sheetId="57"/>
      <sheetData sheetId="58">
        <row r="51">
          <cell r="J51">
            <v>37760.74</v>
          </cell>
        </row>
      </sheetData>
      <sheetData sheetId="59">
        <row r="51">
          <cell r="I51">
            <v>12628.839999999998</v>
          </cell>
        </row>
      </sheetData>
      <sheetData sheetId="60"/>
      <sheetData sheetId="61"/>
      <sheetData sheetId="62">
        <row r="82">
          <cell r="H82">
            <v>6</v>
          </cell>
        </row>
      </sheetData>
      <sheetData sheetId="63"/>
      <sheetData sheetId="64"/>
      <sheetData sheetId="65"/>
      <sheetData sheetId="66"/>
      <sheetData sheetId="67"/>
      <sheetData sheetId="68">
        <row r="38">
          <cell r="J38">
            <v>10</v>
          </cell>
        </row>
      </sheetData>
      <sheetData sheetId="69"/>
      <sheetData sheetId="70"/>
      <sheetData sheetId="71"/>
      <sheetData sheetId="72">
        <row r="137">
          <cell r="G137">
            <v>8</v>
          </cell>
          <cell r="AG137">
            <v>90</v>
          </cell>
        </row>
        <row r="138">
          <cell r="G138">
            <v>9</v>
          </cell>
          <cell r="AG138">
            <v>130</v>
          </cell>
        </row>
        <row r="139">
          <cell r="AG139">
            <v>20</v>
          </cell>
        </row>
        <row r="140">
          <cell r="AG140">
            <v>6</v>
          </cell>
        </row>
        <row r="141">
          <cell r="AG141">
            <v>4</v>
          </cell>
        </row>
        <row r="142">
          <cell r="AG142">
            <v>4</v>
          </cell>
        </row>
        <row r="143">
          <cell r="AG143">
            <v>6</v>
          </cell>
        </row>
        <row r="144">
          <cell r="AG144">
            <v>6</v>
          </cell>
        </row>
        <row r="145">
          <cell r="AG145">
            <v>1</v>
          </cell>
        </row>
        <row r="146">
          <cell r="AG146">
            <v>2</v>
          </cell>
        </row>
        <row r="147">
          <cell r="AG147">
            <v>600</v>
          </cell>
        </row>
        <row r="148">
          <cell r="G148">
            <v>18</v>
          </cell>
          <cell r="AG148">
            <v>90</v>
          </cell>
        </row>
        <row r="149">
          <cell r="G149">
            <v>18</v>
          </cell>
          <cell r="AG149">
            <v>130</v>
          </cell>
        </row>
        <row r="150">
          <cell r="AG150">
            <v>400</v>
          </cell>
        </row>
        <row r="151">
          <cell r="AG151">
            <v>4047.9999999999995</v>
          </cell>
        </row>
        <row r="152">
          <cell r="AG152">
            <v>4047.9999999999995</v>
          </cell>
        </row>
        <row r="153">
          <cell r="AG153">
            <v>4047.9999999999995</v>
          </cell>
        </row>
        <row r="154">
          <cell r="AG154">
            <v>400</v>
          </cell>
        </row>
        <row r="155">
          <cell r="G155">
            <v>8</v>
          </cell>
          <cell r="AG155">
            <v>80</v>
          </cell>
        </row>
        <row r="156">
          <cell r="G156">
            <v>8</v>
          </cell>
          <cell r="AG156">
            <v>420</v>
          </cell>
        </row>
        <row r="157">
          <cell r="G157">
            <v>9</v>
          </cell>
          <cell r="AG157">
            <v>25</v>
          </cell>
        </row>
        <row r="158">
          <cell r="G158">
            <v>9</v>
          </cell>
          <cell r="AG158">
            <v>330</v>
          </cell>
        </row>
        <row r="159">
          <cell r="AG159">
            <v>20</v>
          </cell>
        </row>
        <row r="160">
          <cell r="AG160">
            <v>60</v>
          </cell>
        </row>
        <row r="161">
          <cell r="AG161">
            <v>6</v>
          </cell>
        </row>
        <row r="162">
          <cell r="AG162">
            <v>30</v>
          </cell>
        </row>
        <row r="163">
          <cell r="AG163">
            <v>6</v>
          </cell>
        </row>
        <row r="164">
          <cell r="AG164">
            <v>30</v>
          </cell>
        </row>
        <row r="165">
          <cell r="AG165">
            <v>4</v>
          </cell>
        </row>
        <row r="166">
          <cell r="AG166">
            <v>25</v>
          </cell>
        </row>
        <row r="167">
          <cell r="AG167">
            <v>45</v>
          </cell>
        </row>
        <row r="168">
          <cell r="AG168">
            <v>30</v>
          </cell>
        </row>
        <row r="169">
          <cell r="AG169">
            <v>3</v>
          </cell>
        </row>
        <row r="170">
          <cell r="AG170">
            <v>20</v>
          </cell>
        </row>
        <row r="171">
          <cell r="AG171">
            <v>3</v>
          </cell>
        </row>
        <row r="172">
          <cell r="AG172">
            <v>11</v>
          </cell>
        </row>
        <row r="173">
          <cell r="AG173">
            <v>2</v>
          </cell>
        </row>
        <row r="174">
          <cell r="AG174">
            <v>30</v>
          </cell>
        </row>
        <row r="175">
          <cell r="AG175">
            <v>4</v>
          </cell>
        </row>
        <row r="176">
          <cell r="AG176">
            <v>4</v>
          </cell>
        </row>
        <row r="177">
          <cell r="AG177">
            <v>6</v>
          </cell>
        </row>
        <row r="178">
          <cell r="AG178">
            <v>2</v>
          </cell>
        </row>
        <row r="179">
          <cell r="AG179">
            <v>6</v>
          </cell>
        </row>
        <row r="180">
          <cell r="AG180">
            <v>3</v>
          </cell>
        </row>
        <row r="181">
          <cell r="AG181">
            <v>6</v>
          </cell>
        </row>
        <row r="182">
          <cell r="AG182">
            <v>2</v>
          </cell>
        </row>
        <row r="183">
          <cell r="AG183">
            <v>6</v>
          </cell>
        </row>
        <row r="184">
          <cell r="AG184">
            <v>3000</v>
          </cell>
        </row>
        <row r="185">
          <cell r="G185">
            <v>18</v>
          </cell>
          <cell r="AG185">
            <v>80</v>
          </cell>
        </row>
        <row r="186">
          <cell r="G186">
            <v>18</v>
          </cell>
          <cell r="AG186">
            <v>420</v>
          </cell>
        </row>
        <row r="187">
          <cell r="G187">
            <v>18</v>
          </cell>
          <cell r="AG187">
            <v>6</v>
          </cell>
        </row>
        <row r="188">
          <cell r="G188">
            <v>18</v>
          </cell>
          <cell r="AG188">
            <v>330</v>
          </cell>
        </row>
        <row r="189">
          <cell r="AG189">
            <v>1700</v>
          </cell>
        </row>
        <row r="190">
          <cell r="AG190">
            <v>36000</v>
          </cell>
        </row>
        <row r="191">
          <cell r="AG191">
            <v>36000</v>
          </cell>
        </row>
        <row r="192">
          <cell r="AG192">
            <v>36000</v>
          </cell>
        </row>
        <row r="193">
          <cell r="AG193">
            <v>1700</v>
          </cell>
        </row>
        <row r="194">
          <cell r="G194">
            <v>6</v>
          </cell>
          <cell r="AG194">
            <v>42</v>
          </cell>
        </row>
        <row r="195">
          <cell r="G195">
            <v>6</v>
          </cell>
          <cell r="AG195">
            <v>652</v>
          </cell>
        </row>
        <row r="196">
          <cell r="AG196">
            <v>5</v>
          </cell>
        </row>
        <row r="197">
          <cell r="AG197">
            <v>36</v>
          </cell>
        </row>
        <row r="198">
          <cell r="AG198">
            <v>45</v>
          </cell>
        </row>
        <row r="199">
          <cell r="AG199">
            <v>45</v>
          </cell>
        </row>
        <row r="200">
          <cell r="AG200">
            <v>70</v>
          </cell>
        </row>
        <row r="201">
          <cell r="AG201">
            <v>48</v>
          </cell>
        </row>
        <row r="202">
          <cell r="AG202">
            <v>70</v>
          </cell>
        </row>
        <row r="203">
          <cell r="AG203">
            <v>35</v>
          </cell>
        </row>
        <row r="204">
          <cell r="AG204">
            <v>930</v>
          </cell>
        </row>
        <row r="205">
          <cell r="AG205">
            <v>80</v>
          </cell>
        </row>
        <row r="206">
          <cell r="G206">
            <v>18</v>
          </cell>
          <cell r="AG206">
            <v>652</v>
          </cell>
        </row>
        <row r="207">
          <cell r="G207">
            <v>18</v>
          </cell>
          <cell r="AG207">
            <v>42</v>
          </cell>
        </row>
        <row r="208">
          <cell r="AG208">
            <v>13324.8</v>
          </cell>
        </row>
        <row r="209">
          <cell r="AG209">
            <v>13324.8</v>
          </cell>
        </row>
        <row r="210">
          <cell r="AG210">
            <v>13324.8</v>
          </cell>
        </row>
        <row r="211">
          <cell r="G211">
            <v>2</v>
          </cell>
          <cell r="AG211">
            <v>1692.6000000000001</v>
          </cell>
        </row>
        <row r="212">
          <cell r="G212">
            <v>2</v>
          </cell>
          <cell r="AG212">
            <v>882.00000000000011</v>
          </cell>
        </row>
        <row r="213">
          <cell r="G213">
            <v>2</v>
          </cell>
          <cell r="AG213">
            <v>0</v>
          </cell>
        </row>
        <row r="214">
          <cell r="G214">
            <v>2</v>
          </cell>
          <cell r="AG214">
            <v>0</v>
          </cell>
        </row>
        <row r="215">
          <cell r="G215">
            <v>2</v>
          </cell>
          <cell r="AG215">
            <v>700.5</v>
          </cell>
        </row>
        <row r="216">
          <cell r="G216">
            <v>2</v>
          </cell>
          <cell r="AG216">
            <v>0</v>
          </cell>
        </row>
        <row r="217">
          <cell r="G217">
            <v>2</v>
          </cell>
          <cell r="AG217">
            <v>5054.3999999999996</v>
          </cell>
        </row>
        <row r="218">
          <cell r="G218">
            <v>6</v>
          </cell>
          <cell r="AG218">
            <v>190</v>
          </cell>
        </row>
        <row r="219">
          <cell r="G219">
            <v>6</v>
          </cell>
          <cell r="AG219">
            <v>25</v>
          </cell>
        </row>
        <row r="220">
          <cell r="G220">
            <v>6</v>
          </cell>
          <cell r="AG220">
            <v>75</v>
          </cell>
        </row>
        <row r="221">
          <cell r="G221">
            <v>6</v>
          </cell>
          <cell r="AG221">
            <v>490</v>
          </cell>
        </row>
        <row r="222">
          <cell r="AG222">
            <v>50</v>
          </cell>
        </row>
        <row r="223">
          <cell r="AG223">
            <v>10</v>
          </cell>
        </row>
        <row r="224">
          <cell r="AG224">
            <v>30</v>
          </cell>
        </row>
        <row r="225">
          <cell r="AG225">
            <v>20</v>
          </cell>
        </row>
        <row r="226">
          <cell r="AG226">
            <v>75</v>
          </cell>
        </row>
        <row r="227">
          <cell r="AG227">
            <v>16</v>
          </cell>
        </row>
        <row r="228">
          <cell r="AG228">
            <v>25</v>
          </cell>
        </row>
        <row r="229">
          <cell r="AG229">
            <v>90</v>
          </cell>
        </row>
        <row r="230">
          <cell r="AG230">
            <v>40</v>
          </cell>
        </row>
        <row r="231">
          <cell r="AG231">
            <v>2</v>
          </cell>
        </row>
        <row r="232">
          <cell r="AG232">
            <v>25</v>
          </cell>
        </row>
        <row r="233">
          <cell r="AG233">
            <v>30</v>
          </cell>
        </row>
        <row r="234">
          <cell r="AG234">
            <v>40</v>
          </cell>
        </row>
        <row r="235">
          <cell r="AG235">
            <v>8</v>
          </cell>
        </row>
        <row r="236">
          <cell r="AG236">
            <v>2</v>
          </cell>
        </row>
        <row r="237">
          <cell r="AG237">
            <v>25</v>
          </cell>
        </row>
        <row r="238">
          <cell r="AG238">
            <v>50</v>
          </cell>
        </row>
        <row r="239">
          <cell r="AG239">
            <v>6</v>
          </cell>
        </row>
        <row r="240">
          <cell r="AG240">
            <v>25</v>
          </cell>
        </row>
        <row r="241">
          <cell r="AG241">
            <v>25</v>
          </cell>
        </row>
        <row r="242">
          <cell r="AG242">
            <v>40</v>
          </cell>
        </row>
        <row r="243">
          <cell r="AG243">
            <v>10</v>
          </cell>
        </row>
        <row r="244">
          <cell r="AG244">
            <v>2</v>
          </cell>
        </row>
        <row r="245">
          <cell r="AG245">
            <v>25</v>
          </cell>
        </row>
        <row r="246">
          <cell r="AG246">
            <v>30</v>
          </cell>
        </row>
        <row r="247">
          <cell r="AG247">
            <v>5</v>
          </cell>
        </row>
        <row r="248">
          <cell r="AG248">
            <v>5</v>
          </cell>
        </row>
        <row r="249">
          <cell r="AG249">
            <v>50</v>
          </cell>
        </row>
        <row r="250">
          <cell r="AG250">
            <v>6</v>
          </cell>
        </row>
        <row r="251">
          <cell r="AG251">
            <v>4</v>
          </cell>
        </row>
        <row r="252">
          <cell r="AG252">
            <v>3</v>
          </cell>
        </row>
        <row r="253">
          <cell r="AG253">
            <v>20</v>
          </cell>
        </row>
        <row r="254">
          <cell r="AG254">
            <v>5</v>
          </cell>
        </row>
        <row r="255">
          <cell r="AG255">
            <v>30</v>
          </cell>
        </row>
        <row r="256">
          <cell r="AG256">
            <v>20</v>
          </cell>
        </row>
        <row r="257">
          <cell r="AG257">
            <v>2</v>
          </cell>
        </row>
        <row r="258">
          <cell r="AG258">
            <v>500</v>
          </cell>
        </row>
        <row r="259">
          <cell r="AG259">
            <v>75</v>
          </cell>
        </row>
        <row r="260">
          <cell r="AG260">
            <v>30</v>
          </cell>
        </row>
        <row r="261">
          <cell r="AG261">
            <v>190</v>
          </cell>
        </row>
        <row r="262">
          <cell r="G262">
            <v>18</v>
          </cell>
          <cell r="AG262">
            <v>130</v>
          </cell>
        </row>
        <row r="263">
          <cell r="G263">
            <v>18</v>
          </cell>
          <cell r="AG263">
            <v>25</v>
          </cell>
        </row>
        <row r="264">
          <cell r="G264">
            <v>18</v>
          </cell>
          <cell r="AG264">
            <v>75</v>
          </cell>
        </row>
        <row r="265">
          <cell r="G265">
            <v>18</v>
          </cell>
          <cell r="AG265">
            <v>490</v>
          </cell>
        </row>
        <row r="266">
          <cell r="AG266">
            <v>30000</v>
          </cell>
        </row>
        <row r="267">
          <cell r="AG267">
            <v>30000</v>
          </cell>
        </row>
        <row r="268">
          <cell r="AG268">
            <v>30000</v>
          </cell>
        </row>
        <row r="269">
          <cell r="G269">
            <v>11</v>
          </cell>
          <cell r="AG269">
            <v>300</v>
          </cell>
        </row>
        <row r="270">
          <cell r="AG270">
            <v>100</v>
          </cell>
        </row>
        <row r="271">
          <cell r="AG271">
            <v>100</v>
          </cell>
        </row>
        <row r="272">
          <cell r="G272">
            <v>12</v>
          </cell>
          <cell r="AG272">
            <v>180</v>
          </cell>
        </row>
        <row r="273">
          <cell r="AG273">
            <v>60</v>
          </cell>
        </row>
        <row r="274">
          <cell r="AG274">
            <v>60</v>
          </cell>
        </row>
        <row r="275">
          <cell r="AG275">
            <v>200</v>
          </cell>
        </row>
        <row r="276">
          <cell r="AG276">
            <v>90</v>
          </cell>
        </row>
        <row r="277">
          <cell r="AG277">
            <v>100</v>
          </cell>
        </row>
        <row r="278">
          <cell r="AG278">
            <v>30</v>
          </cell>
        </row>
        <row r="279">
          <cell r="AG279">
            <v>100</v>
          </cell>
        </row>
        <row r="280">
          <cell r="AG280">
            <v>30</v>
          </cell>
        </row>
        <row r="281">
          <cell r="AG281">
            <v>80</v>
          </cell>
        </row>
        <row r="282">
          <cell r="AG282">
            <v>30</v>
          </cell>
        </row>
        <row r="283">
          <cell r="AG283">
            <v>600</v>
          </cell>
        </row>
        <row r="284">
          <cell r="AG284">
            <v>200</v>
          </cell>
        </row>
        <row r="285">
          <cell r="G285">
            <v>32</v>
          </cell>
          <cell r="AG285">
            <v>8500</v>
          </cell>
        </row>
        <row r="286">
          <cell r="G286">
            <v>32</v>
          </cell>
          <cell r="AG286">
            <v>2500</v>
          </cell>
        </row>
        <row r="287">
          <cell r="G287">
            <v>32</v>
          </cell>
          <cell r="AG287">
            <v>15000</v>
          </cell>
        </row>
        <row r="288">
          <cell r="G288">
            <v>32</v>
          </cell>
          <cell r="AG288">
            <v>3500</v>
          </cell>
        </row>
        <row r="289">
          <cell r="G289">
            <v>32</v>
          </cell>
          <cell r="AG289">
            <v>2000</v>
          </cell>
        </row>
        <row r="290">
          <cell r="AG290">
            <v>200</v>
          </cell>
        </row>
        <row r="291">
          <cell r="AG291">
            <v>200</v>
          </cell>
        </row>
        <row r="292">
          <cell r="AG292">
            <v>300</v>
          </cell>
        </row>
        <row r="293">
          <cell r="AG293">
            <v>300</v>
          </cell>
        </row>
        <row r="294">
          <cell r="AG294">
            <v>1000</v>
          </cell>
        </row>
        <row r="295">
          <cell r="AG295">
            <v>800</v>
          </cell>
        </row>
        <row r="296">
          <cell r="AG296">
            <v>255</v>
          </cell>
        </row>
        <row r="297">
          <cell r="G297">
            <v>12</v>
          </cell>
          <cell r="AG297">
            <v>690</v>
          </cell>
        </row>
        <row r="298">
          <cell r="AG298">
            <v>60</v>
          </cell>
        </row>
        <row r="299">
          <cell r="AG299">
            <v>30</v>
          </cell>
        </row>
        <row r="300">
          <cell r="AG300">
            <v>75</v>
          </cell>
        </row>
        <row r="301">
          <cell r="G301">
            <v>2</v>
          </cell>
          <cell r="AG301">
            <v>983.25</v>
          </cell>
        </row>
        <row r="302">
          <cell r="AG302">
            <v>50</v>
          </cell>
        </row>
        <row r="303">
          <cell r="G303">
            <v>59</v>
          </cell>
          <cell r="AG303">
            <v>50</v>
          </cell>
        </row>
        <row r="304">
          <cell r="G304">
            <v>59</v>
          </cell>
          <cell r="AG304">
            <v>10</v>
          </cell>
        </row>
        <row r="305">
          <cell r="AG305">
            <v>400</v>
          </cell>
        </row>
        <row r="306">
          <cell r="AG306">
            <v>400</v>
          </cell>
        </row>
        <row r="307">
          <cell r="G307">
            <v>80</v>
          </cell>
          <cell r="AG307">
            <v>100</v>
          </cell>
        </row>
        <row r="308">
          <cell r="AG308">
            <v>12</v>
          </cell>
        </row>
        <row r="309">
          <cell r="AG309">
            <v>16</v>
          </cell>
        </row>
        <row r="310">
          <cell r="AG310">
            <v>1035</v>
          </cell>
        </row>
        <row r="311">
          <cell r="AG311">
            <v>200</v>
          </cell>
        </row>
        <row r="312">
          <cell r="AG312">
            <v>400</v>
          </cell>
        </row>
        <row r="313">
          <cell r="G313">
            <v>22</v>
          </cell>
          <cell r="AG313">
            <v>2500</v>
          </cell>
        </row>
        <row r="314">
          <cell r="G314">
            <v>58</v>
          </cell>
          <cell r="AG314">
            <v>6</v>
          </cell>
        </row>
        <row r="315">
          <cell r="G315">
            <v>66</v>
          </cell>
          <cell r="AG315">
            <v>128</v>
          </cell>
        </row>
        <row r="316">
          <cell r="G316">
            <v>11</v>
          </cell>
          <cell r="AG316">
            <v>256</v>
          </cell>
        </row>
        <row r="317">
          <cell r="G317">
            <v>2</v>
          </cell>
          <cell r="AG317">
            <v>904.96</v>
          </cell>
        </row>
        <row r="318">
          <cell r="G318">
            <v>66</v>
          </cell>
          <cell r="AG318">
            <v>68</v>
          </cell>
        </row>
        <row r="319">
          <cell r="G319">
            <v>11</v>
          </cell>
          <cell r="AG319">
            <v>136</v>
          </cell>
        </row>
        <row r="320">
          <cell r="G320">
            <v>2</v>
          </cell>
          <cell r="AG320">
            <v>513.40000000000009</v>
          </cell>
        </row>
        <row r="321">
          <cell r="G321">
            <v>68</v>
          </cell>
          <cell r="AG321">
            <v>41</v>
          </cell>
        </row>
        <row r="322">
          <cell r="G322">
            <v>12</v>
          </cell>
          <cell r="AG322">
            <v>82</v>
          </cell>
        </row>
        <row r="323">
          <cell r="G323">
            <v>2</v>
          </cell>
          <cell r="AG323">
            <v>348.90999999999997</v>
          </cell>
        </row>
        <row r="324">
          <cell r="G324">
            <v>68</v>
          </cell>
          <cell r="AG324">
            <v>36</v>
          </cell>
        </row>
        <row r="325">
          <cell r="G325">
            <v>12</v>
          </cell>
          <cell r="AG325">
            <v>72</v>
          </cell>
        </row>
        <row r="326">
          <cell r="G326">
            <v>2</v>
          </cell>
          <cell r="AG326">
            <v>289.08000000000004</v>
          </cell>
        </row>
        <row r="327">
          <cell r="G327">
            <v>68</v>
          </cell>
          <cell r="AG327">
            <v>9</v>
          </cell>
        </row>
        <row r="328">
          <cell r="G328">
            <v>12</v>
          </cell>
          <cell r="AG328">
            <v>18</v>
          </cell>
        </row>
        <row r="329">
          <cell r="G329">
            <v>2</v>
          </cell>
          <cell r="AG329">
            <v>80.91</v>
          </cell>
        </row>
        <row r="330">
          <cell r="AG330">
            <v>20</v>
          </cell>
        </row>
        <row r="331">
          <cell r="AG331">
            <v>20</v>
          </cell>
        </row>
        <row r="332">
          <cell r="AG332">
            <v>30</v>
          </cell>
        </row>
        <row r="333">
          <cell r="AG333">
            <v>30</v>
          </cell>
        </row>
        <row r="334">
          <cell r="AG334">
            <v>30</v>
          </cell>
        </row>
        <row r="335">
          <cell r="AG335">
            <v>304</v>
          </cell>
        </row>
        <row r="336">
          <cell r="AG336">
            <v>70</v>
          </cell>
        </row>
        <row r="337">
          <cell r="AG337">
            <v>24</v>
          </cell>
        </row>
        <row r="338">
          <cell r="AG338">
            <v>248</v>
          </cell>
        </row>
        <row r="339">
          <cell r="AG339">
            <v>32</v>
          </cell>
        </row>
        <row r="340">
          <cell r="AG340">
            <v>916</v>
          </cell>
        </row>
        <row r="341">
          <cell r="AG341">
            <v>538</v>
          </cell>
        </row>
        <row r="342">
          <cell r="AG342">
            <v>160</v>
          </cell>
        </row>
        <row r="343">
          <cell r="AG343">
            <v>70</v>
          </cell>
        </row>
        <row r="344">
          <cell r="AG344">
            <v>46</v>
          </cell>
        </row>
        <row r="345">
          <cell r="AG345">
            <v>176</v>
          </cell>
        </row>
        <row r="346">
          <cell r="AG346">
            <v>188</v>
          </cell>
        </row>
        <row r="347">
          <cell r="AG347">
            <v>16</v>
          </cell>
        </row>
        <row r="348">
          <cell r="AG348">
            <v>80</v>
          </cell>
        </row>
        <row r="349">
          <cell r="G349">
            <v>35</v>
          </cell>
          <cell r="AG349">
            <v>630</v>
          </cell>
        </row>
        <row r="350">
          <cell r="G350">
            <v>28</v>
          </cell>
          <cell r="AG350">
            <v>5100</v>
          </cell>
        </row>
        <row r="351">
          <cell r="G351">
            <v>29</v>
          </cell>
          <cell r="AG351">
            <v>6945</v>
          </cell>
        </row>
        <row r="352">
          <cell r="G352">
            <v>29</v>
          </cell>
          <cell r="AG352">
            <v>1020</v>
          </cell>
        </row>
        <row r="353">
          <cell r="G353">
            <v>29</v>
          </cell>
          <cell r="AG353">
            <v>4485</v>
          </cell>
        </row>
        <row r="354">
          <cell r="G354">
            <v>29</v>
          </cell>
          <cell r="AG354">
            <v>2085</v>
          </cell>
        </row>
        <row r="355">
          <cell r="G355">
            <v>28</v>
          </cell>
          <cell r="AG355">
            <v>4770</v>
          </cell>
        </row>
        <row r="356">
          <cell r="G356">
            <v>29</v>
          </cell>
          <cell r="AG356">
            <v>785</v>
          </cell>
        </row>
        <row r="357">
          <cell r="G357">
            <v>29</v>
          </cell>
          <cell r="AG357">
            <v>120</v>
          </cell>
        </row>
        <row r="358">
          <cell r="G358">
            <v>29</v>
          </cell>
          <cell r="AG358">
            <v>660</v>
          </cell>
        </row>
        <row r="359">
          <cell r="G359">
            <v>29</v>
          </cell>
          <cell r="AG359">
            <v>990</v>
          </cell>
        </row>
        <row r="360">
          <cell r="G360">
            <v>28</v>
          </cell>
          <cell r="AG360">
            <v>430</v>
          </cell>
        </row>
        <row r="361">
          <cell r="G361">
            <v>28</v>
          </cell>
          <cell r="AG361">
            <v>1170</v>
          </cell>
        </row>
        <row r="362">
          <cell r="G362">
            <v>28</v>
          </cell>
          <cell r="AG362">
            <v>1590</v>
          </cell>
        </row>
        <row r="363">
          <cell r="G363">
            <v>28</v>
          </cell>
          <cell r="AG363">
            <v>820</v>
          </cell>
        </row>
        <row r="364">
          <cell r="G364">
            <v>28</v>
          </cell>
          <cell r="AG364">
            <v>1670</v>
          </cell>
        </row>
        <row r="365">
          <cell r="G365">
            <v>28</v>
          </cell>
          <cell r="AG365">
            <v>1570</v>
          </cell>
        </row>
        <row r="366">
          <cell r="G366">
            <v>28</v>
          </cell>
          <cell r="AG366">
            <v>2460</v>
          </cell>
        </row>
        <row r="367">
          <cell r="G367">
            <v>28</v>
          </cell>
          <cell r="AG367">
            <v>5010</v>
          </cell>
        </row>
        <row r="368">
          <cell r="G368">
            <v>28</v>
          </cell>
          <cell r="AG368">
            <v>4710</v>
          </cell>
        </row>
        <row r="369">
          <cell r="G369">
            <v>29</v>
          </cell>
          <cell r="AG369">
            <v>1665</v>
          </cell>
        </row>
        <row r="370">
          <cell r="G370">
            <v>28</v>
          </cell>
          <cell r="AG370">
            <v>2545</v>
          </cell>
        </row>
        <row r="371">
          <cell r="G371">
            <v>28</v>
          </cell>
          <cell r="AG371">
            <v>6470</v>
          </cell>
        </row>
        <row r="372">
          <cell r="G372">
            <v>28</v>
          </cell>
          <cell r="AG372">
            <v>4365</v>
          </cell>
        </row>
        <row r="373">
          <cell r="G373">
            <v>28</v>
          </cell>
          <cell r="AG373">
            <v>2160</v>
          </cell>
        </row>
        <row r="374">
          <cell r="G374">
            <v>28</v>
          </cell>
          <cell r="AG374">
            <v>19375</v>
          </cell>
        </row>
        <row r="375">
          <cell r="G375">
            <v>23</v>
          </cell>
          <cell r="AG375">
            <v>44395</v>
          </cell>
        </row>
        <row r="397">
          <cell r="G397">
            <v>11</v>
          </cell>
          <cell r="AG397">
            <v>580</v>
          </cell>
        </row>
        <row r="398">
          <cell r="G398">
            <v>14</v>
          </cell>
          <cell r="AG398">
            <v>80</v>
          </cell>
        </row>
        <row r="399">
          <cell r="G399">
            <v>14</v>
          </cell>
          <cell r="AG399">
            <v>210</v>
          </cell>
        </row>
        <row r="400">
          <cell r="AG400">
            <v>290</v>
          </cell>
        </row>
        <row r="401">
          <cell r="AG401">
            <v>1</v>
          </cell>
        </row>
        <row r="402">
          <cell r="AG402">
            <v>1</v>
          </cell>
        </row>
      </sheetData>
      <sheetData sheetId="73"/>
      <sheetData sheetId="74"/>
      <sheetData sheetId="75"/>
      <sheetData sheetId="76"/>
      <sheetData sheetId="77"/>
      <sheetData sheetId="78"/>
      <sheetData sheetId="79">
        <row r="21">
          <cell r="K21">
            <v>21</v>
          </cell>
        </row>
      </sheetData>
      <sheetData sheetId="80"/>
      <sheetData sheetId="81"/>
      <sheetData sheetId="8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7C845-B6F8-4E91-BCB0-CCCA67C73F83}">
  <sheetPr codeName="Plan23">
    <tabColor rgb="FF00B050"/>
    <pageSetUpPr fitToPage="1"/>
  </sheetPr>
  <dimension ref="A1:CU1603"/>
  <sheetViews>
    <sheetView showGridLines="0" tabSelected="1" topLeftCell="L101" zoomScale="85" zoomScaleNormal="85" zoomScaleSheetLayoutView="115" workbookViewId="0">
      <pane ySplit="8" topLeftCell="A109" activePane="bottomLeft" state="frozen"/>
      <selection activeCell="A101" sqref="A101"/>
      <selection pane="bottomLeft" activeCell="O128" sqref="O128"/>
    </sheetView>
  </sheetViews>
  <sheetFormatPr defaultColWidth="9.140625" defaultRowHeight="14.25" x14ac:dyDescent="0.25"/>
  <cols>
    <col min="1" max="1" width="3.28515625" style="7" bestFit="1" customWidth="1"/>
    <col min="2" max="2" width="9.140625" style="10" customWidth="1"/>
    <col min="3" max="3" width="8.42578125" style="7" customWidth="1"/>
    <col min="4" max="4" width="12.28515625" style="7" customWidth="1"/>
    <col min="5" max="5" width="3.5703125" style="7" customWidth="1"/>
    <col min="6" max="6" width="34.85546875" style="8" customWidth="1"/>
    <col min="7" max="7" width="4.140625" style="7" customWidth="1"/>
    <col min="8" max="8" width="22" style="7" customWidth="1"/>
    <col min="9" max="10" width="15.140625" style="7" customWidth="1"/>
    <col min="11" max="11" width="18" style="7" customWidth="1"/>
    <col min="12" max="12" width="13.7109375" style="7" customWidth="1"/>
    <col min="13" max="13" width="89.85546875" style="9" bestFit="1" customWidth="1"/>
    <col min="14" max="14" width="9.7109375" style="7" bestFit="1" customWidth="1"/>
    <col min="15" max="15" width="14.140625" style="7" customWidth="1"/>
    <col min="16" max="16" width="11.7109375" style="7" hidden="1" customWidth="1"/>
    <col min="17" max="17" width="14.28515625" style="7" hidden="1" customWidth="1"/>
    <col min="18" max="18" width="7.28515625" style="7" hidden="1" customWidth="1"/>
    <col min="19" max="19" width="9.140625" style="7" hidden="1" customWidth="1"/>
    <col min="20" max="20" width="18.28515625" style="7" hidden="1" customWidth="1"/>
    <col min="21" max="21" width="12.7109375" style="7" customWidth="1"/>
    <col min="22" max="22" width="13.42578125" style="7" bestFit="1" customWidth="1"/>
    <col min="23" max="23" width="15.42578125" style="7" customWidth="1"/>
    <col min="24" max="24" width="14.42578125" style="10" customWidth="1"/>
    <col min="25" max="25" width="18" style="11" customWidth="1"/>
    <col min="26" max="26" width="15.42578125" style="11" bestFit="1" customWidth="1"/>
    <col min="27" max="27" width="7.140625" style="12" hidden="1" customWidth="1"/>
    <col min="28" max="28" width="20" style="12" bestFit="1" customWidth="1"/>
    <col min="29" max="29" width="10.85546875" style="10" customWidth="1"/>
    <col min="30" max="30" width="14.7109375" style="10" customWidth="1"/>
    <col min="31" max="31" width="16.42578125" style="10" bestFit="1" customWidth="1"/>
    <col min="32" max="32" width="16.85546875" style="10" customWidth="1"/>
    <col min="33" max="33" width="16.42578125" style="10" customWidth="1"/>
    <col min="34" max="34" width="20.140625" style="10" customWidth="1"/>
    <col min="35" max="35" width="22.42578125" style="10" customWidth="1"/>
    <col min="36" max="36" width="24.140625" style="10" customWidth="1"/>
    <col min="37" max="37" width="16.7109375" style="7" customWidth="1"/>
    <col min="38" max="38" width="13" style="7" customWidth="1"/>
    <col min="39" max="39" width="18.7109375" style="7" bestFit="1" customWidth="1"/>
    <col min="40" max="40" width="14.85546875" style="7" bestFit="1" customWidth="1"/>
    <col min="41" max="41" width="10.7109375" style="7" customWidth="1"/>
    <col min="42" max="42" width="6.85546875" style="7" hidden="1" customWidth="1"/>
    <col min="43" max="43" width="10.7109375" style="7" hidden="1" customWidth="1"/>
    <col min="44" max="44" width="10.5703125" style="7" hidden="1" customWidth="1"/>
    <col min="45" max="45" width="9.28515625" style="7" hidden="1" customWidth="1"/>
    <col min="46" max="46" width="4.28515625" style="7" hidden="1" customWidth="1"/>
    <col min="47" max="49" width="3.28515625" style="7" hidden="1" customWidth="1"/>
    <col min="50" max="50" width="4.5703125" style="7" hidden="1" customWidth="1"/>
    <col min="51" max="51" width="6.28515625" style="7" hidden="1" customWidth="1"/>
    <col min="52" max="52" width="8.42578125" style="7" hidden="1" customWidth="1"/>
    <col min="53" max="53" width="6.140625" style="7" hidden="1" customWidth="1"/>
    <col min="54" max="55" width="3.42578125" style="7" hidden="1" customWidth="1"/>
    <col min="56" max="56" width="4.85546875" style="7" hidden="1" customWidth="1"/>
    <col min="57" max="57" width="7.7109375" style="7" hidden="1" customWidth="1"/>
    <col min="58" max="58" width="9.140625" style="7" hidden="1" customWidth="1"/>
    <col min="59" max="59" width="6.140625" style="28" hidden="1" customWidth="1"/>
    <col min="60" max="60" width="6.28515625" style="28" customWidth="1"/>
    <col min="61" max="61" width="2.5703125" style="28" customWidth="1"/>
    <col min="62" max="62" width="54.28515625" style="7" customWidth="1"/>
    <col min="63" max="63" width="9.140625" style="29" customWidth="1"/>
    <col min="64" max="64" width="9.140625" style="7" customWidth="1"/>
    <col min="65" max="65" width="4" style="7" customWidth="1"/>
    <col min="66" max="66" width="3.5703125" style="7" customWidth="1"/>
    <col min="67" max="80" width="9.140625" style="7" customWidth="1"/>
    <col min="81" max="99" width="9.140625" style="7" hidden="1" customWidth="1"/>
    <col min="100" max="264" width="9.140625" style="7" customWidth="1"/>
    <col min="265" max="16384" width="9.140625" style="7"/>
  </cols>
  <sheetData>
    <row r="1" spans="6:40" ht="14.45" hidden="1" customHeight="1" x14ac:dyDescent="0.25">
      <c r="F1" s="1"/>
      <c r="G1" s="1"/>
      <c r="H1" s="2"/>
      <c r="I1" s="2"/>
      <c r="J1" s="2"/>
      <c r="K1" s="2"/>
      <c r="L1" s="2"/>
      <c r="M1" s="3"/>
      <c r="N1" s="2"/>
      <c r="O1" s="2"/>
      <c r="P1" s="2"/>
      <c r="Q1" s="2"/>
      <c r="R1" s="2"/>
      <c r="S1" s="2"/>
      <c r="T1" s="2"/>
      <c r="U1" s="2"/>
      <c r="V1" s="2"/>
      <c r="W1" s="2"/>
      <c r="X1" s="4"/>
      <c r="Y1" s="5"/>
      <c r="Z1" s="5"/>
      <c r="AA1" s="6"/>
      <c r="AB1" s="6"/>
      <c r="AC1" s="4"/>
      <c r="AD1" s="4"/>
      <c r="AE1" s="4"/>
      <c r="AF1" s="4"/>
      <c r="AG1" s="4"/>
      <c r="AH1" s="4"/>
      <c r="AI1" s="4"/>
      <c r="AJ1" s="4"/>
      <c r="AK1" s="2"/>
      <c r="AL1" s="2"/>
      <c r="AM1" s="2"/>
      <c r="AN1" s="3"/>
    </row>
    <row r="2" spans="6:40" ht="14.45" hidden="1" customHeight="1" x14ac:dyDescent="0.25">
      <c r="G2" s="8"/>
      <c r="AN2" s="9"/>
    </row>
    <row r="3" spans="6:40" ht="14.45" hidden="1" customHeight="1" x14ac:dyDescent="0.25">
      <c r="G3" s="8"/>
      <c r="AN3" s="9"/>
    </row>
    <row r="4" spans="6:40" ht="14.45" hidden="1" customHeight="1" x14ac:dyDescent="0.25">
      <c r="G4" s="8"/>
      <c r="AN4" s="9"/>
    </row>
    <row r="5" spans="6:40" ht="14.45" hidden="1" customHeight="1" x14ac:dyDescent="0.25">
      <c r="G5" s="8"/>
      <c r="X5" s="13" t="s">
        <v>0</v>
      </c>
      <c r="AN5" s="9"/>
    </row>
    <row r="6" spans="6:40" ht="14.45" hidden="1" customHeight="1" x14ac:dyDescent="0.25">
      <c r="G6" s="8"/>
      <c r="X6" s="14" t="s">
        <v>1</v>
      </c>
      <c r="AN6" s="9"/>
    </row>
    <row r="7" spans="6:40" ht="14.45" hidden="1" customHeight="1" x14ac:dyDescent="0.25">
      <c r="G7" s="8"/>
      <c r="X7" s="14" t="s">
        <v>2</v>
      </c>
      <c r="AN7" s="9"/>
    </row>
    <row r="8" spans="6:40" ht="14.45" hidden="1" customHeight="1" x14ac:dyDescent="0.25">
      <c r="G8" s="8"/>
      <c r="X8" s="14" t="s">
        <v>3</v>
      </c>
      <c r="AN8" s="9"/>
    </row>
    <row r="9" spans="6:40" ht="14.45" hidden="1" customHeight="1" x14ac:dyDescent="0.25">
      <c r="G9" s="8"/>
      <c r="X9" s="14" t="s">
        <v>4</v>
      </c>
      <c r="AI9" s="15"/>
      <c r="AJ9" s="15"/>
      <c r="AN9" s="9"/>
    </row>
    <row r="10" spans="6:40" ht="14.45" hidden="1" customHeight="1" x14ac:dyDescent="0.25">
      <c r="G10" s="8"/>
      <c r="X10" s="13" t="s">
        <v>5</v>
      </c>
      <c r="AN10" s="9"/>
    </row>
    <row r="11" spans="6:40" ht="14.45" hidden="1" customHeight="1" x14ac:dyDescent="0.25">
      <c r="G11" s="8"/>
      <c r="X11" s="14" t="s">
        <v>6</v>
      </c>
      <c r="AN11" s="9"/>
    </row>
    <row r="12" spans="6:40" ht="14.45" hidden="1" customHeight="1" x14ac:dyDescent="0.25">
      <c r="G12" s="8"/>
      <c r="X12" s="16" t="s">
        <v>7</v>
      </c>
      <c r="AI12" s="15"/>
      <c r="AJ12" s="15"/>
      <c r="AN12" s="9"/>
    </row>
    <row r="13" spans="6:40" ht="14.45" hidden="1" customHeight="1" x14ac:dyDescent="0.25">
      <c r="G13" s="8"/>
      <c r="X13" s="16" t="s">
        <v>8</v>
      </c>
      <c r="AN13" s="9"/>
    </row>
    <row r="14" spans="6:40" ht="14.45" hidden="1" customHeight="1" x14ac:dyDescent="0.25">
      <c r="G14" s="8"/>
      <c r="X14" s="14" t="s">
        <v>9</v>
      </c>
      <c r="AI14" s="17"/>
      <c r="AJ14" s="17"/>
      <c r="AN14" s="9"/>
    </row>
    <row r="15" spans="6:40" ht="14.45" hidden="1" customHeight="1" x14ac:dyDescent="0.25">
      <c r="G15" s="8"/>
      <c r="X15" s="13" t="s">
        <v>10</v>
      </c>
      <c r="AI15" s="17"/>
      <c r="AJ15" s="17"/>
      <c r="AN15" s="9"/>
    </row>
    <row r="16" spans="6:40" ht="14.45" hidden="1" customHeight="1" x14ac:dyDescent="0.25">
      <c r="G16" s="8"/>
      <c r="X16" s="14" t="s">
        <v>11</v>
      </c>
      <c r="AI16" s="15"/>
      <c r="AJ16" s="15"/>
      <c r="AN16" s="9"/>
    </row>
    <row r="17" spans="7:40" ht="14.45" hidden="1" customHeight="1" x14ac:dyDescent="0.25">
      <c r="G17" s="8"/>
      <c r="X17" s="15" t="s">
        <v>12</v>
      </c>
      <c r="AI17" s="15"/>
      <c r="AJ17" s="15"/>
      <c r="AN17" s="9"/>
    </row>
    <row r="18" spans="7:40" ht="14.45" hidden="1" customHeight="1" x14ac:dyDescent="0.25">
      <c r="G18" s="8"/>
      <c r="X18" s="10" t="s">
        <v>13</v>
      </c>
      <c r="AI18" s="15"/>
      <c r="AJ18" s="15"/>
      <c r="AN18" s="9"/>
    </row>
    <row r="19" spans="7:40" ht="14.45" hidden="1" customHeight="1" x14ac:dyDescent="0.25">
      <c r="G19" s="8"/>
      <c r="X19" s="10" t="s">
        <v>14</v>
      </c>
      <c r="AN19" s="9"/>
    </row>
    <row r="20" spans="7:40" ht="14.45" hidden="1" customHeight="1" x14ac:dyDescent="0.25">
      <c r="G20" s="8"/>
      <c r="X20" s="15" t="s">
        <v>15</v>
      </c>
      <c r="AN20" s="9"/>
    </row>
    <row r="21" spans="7:40" ht="14.45" hidden="1" customHeight="1" x14ac:dyDescent="0.25">
      <c r="G21" s="8"/>
      <c r="X21" s="10" t="s">
        <v>16</v>
      </c>
      <c r="AN21" s="9"/>
    </row>
    <row r="22" spans="7:40" ht="14.45" hidden="1" customHeight="1" x14ac:dyDescent="0.25">
      <c r="G22" s="8"/>
      <c r="X22" s="10" t="s">
        <v>17</v>
      </c>
      <c r="AN22" s="9"/>
    </row>
    <row r="23" spans="7:40" ht="14.45" hidden="1" customHeight="1" x14ac:dyDescent="0.25">
      <c r="G23" s="8"/>
      <c r="X23" s="10" t="s">
        <v>18</v>
      </c>
      <c r="AN23" s="9"/>
    </row>
    <row r="24" spans="7:40" ht="14.45" hidden="1" customHeight="1" x14ac:dyDescent="0.25">
      <c r="G24" s="8"/>
      <c r="X24" s="10" t="s">
        <v>19</v>
      </c>
      <c r="AN24" s="9"/>
    </row>
    <row r="25" spans="7:40" ht="14.45" hidden="1" customHeight="1" x14ac:dyDescent="0.25">
      <c r="G25" s="8"/>
      <c r="X25" s="10" t="s">
        <v>20</v>
      </c>
      <c r="AN25" s="9"/>
    </row>
    <row r="26" spans="7:40" ht="14.45" hidden="1" customHeight="1" x14ac:dyDescent="0.25">
      <c r="G26" s="8"/>
      <c r="AN26" s="9"/>
    </row>
    <row r="27" spans="7:40" ht="14.45" hidden="1" customHeight="1" x14ac:dyDescent="0.25">
      <c r="G27" s="8"/>
      <c r="AN27" s="9"/>
    </row>
    <row r="28" spans="7:40" ht="14.45" hidden="1" customHeight="1" x14ac:dyDescent="0.25">
      <c r="G28" s="8"/>
      <c r="AN28" s="9"/>
    </row>
    <row r="29" spans="7:40" ht="14.45" hidden="1" customHeight="1" x14ac:dyDescent="0.25">
      <c r="G29" s="8"/>
      <c r="AN29" s="9"/>
    </row>
    <row r="30" spans="7:40" ht="14.45" hidden="1" customHeight="1" x14ac:dyDescent="0.25">
      <c r="G30" s="8"/>
      <c r="AN30" s="9"/>
    </row>
    <row r="31" spans="7:40" ht="14.45" hidden="1" customHeight="1" x14ac:dyDescent="0.25">
      <c r="G31" s="8"/>
      <c r="AN31" s="9"/>
    </row>
    <row r="32" spans="7:40" ht="14.45" hidden="1" customHeight="1" x14ac:dyDescent="0.25">
      <c r="G32" s="8"/>
      <c r="AN32" s="9"/>
    </row>
    <row r="33" spans="7:40" ht="14.45" hidden="1" customHeight="1" x14ac:dyDescent="0.25">
      <c r="G33" s="8"/>
      <c r="AN33" s="9"/>
    </row>
    <row r="34" spans="7:40" ht="14.45" hidden="1" customHeight="1" x14ac:dyDescent="0.25">
      <c r="G34" s="8"/>
      <c r="AN34" s="9"/>
    </row>
    <row r="35" spans="7:40" ht="14.45" hidden="1" customHeight="1" x14ac:dyDescent="0.25">
      <c r="G35" s="8"/>
      <c r="AN35" s="9"/>
    </row>
    <row r="36" spans="7:40" ht="14.45" hidden="1" customHeight="1" x14ac:dyDescent="0.25">
      <c r="G36" s="8"/>
      <c r="AN36" s="9"/>
    </row>
    <row r="37" spans="7:40" ht="14.45" hidden="1" customHeight="1" x14ac:dyDescent="0.25">
      <c r="G37" s="8"/>
      <c r="AN37" s="9"/>
    </row>
    <row r="38" spans="7:40" ht="14.45" hidden="1" customHeight="1" x14ac:dyDescent="0.25">
      <c r="G38" s="8"/>
      <c r="AN38" s="9"/>
    </row>
    <row r="39" spans="7:40" ht="14.45" hidden="1" customHeight="1" x14ac:dyDescent="0.25">
      <c r="G39" s="8"/>
      <c r="AN39" s="9"/>
    </row>
    <row r="40" spans="7:40" ht="14.45" hidden="1" customHeight="1" x14ac:dyDescent="0.25">
      <c r="G40" s="8"/>
      <c r="AN40" s="9"/>
    </row>
    <row r="41" spans="7:40" ht="14.45" hidden="1" customHeight="1" x14ac:dyDescent="0.25">
      <c r="G41" s="8"/>
      <c r="AC41" s="10" t="s">
        <v>21</v>
      </c>
      <c r="AN41" s="9"/>
    </row>
    <row r="42" spans="7:40" ht="14.45" hidden="1" customHeight="1" x14ac:dyDescent="0.25">
      <c r="G42" s="8"/>
      <c r="AC42" s="10">
        <v>1</v>
      </c>
      <c r="AN42" s="9"/>
    </row>
    <row r="43" spans="7:40" ht="14.45" hidden="1" customHeight="1" x14ac:dyDescent="0.25">
      <c r="G43" s="8"/>
      <c r="AC43" s="10">
        <v>1.5</v>
      </c>
      <c r="AN43" s="9"/>
    </row>
    <row r="44" spans="7:40" ht="14.45" hidden="1" customHeight="1" x14ac:dyDescent="0.25">
      <c r="G44" s="8"/>
      <c r="AC44" s="10">
        <v>2</v>
      </c>
      <c r="AN44" s="9"/>
    </row>
    <row r="45" spans="7:40" ht="14.45" hidden="1" customHeight="1" x14ac:dyDescent="0.25">
      <c r="G45" s="8"/>
      <c r="AC45" s="10">
        <v>2.5</v>
      </c>
      <c r="AN45" s="9"/>
    </row>
    <row r="46" spans="7:40" ht="14.45" hidden="1" customHeight="1" x14ac:dyDescent="0.25">
      <c r="G46" s="8"/>
      <c r="AC46" s="10">
        <v>3</v>
      </c>
      <c r="AN46" s="9"/>
    </row>
    <row r="47" spans="7:40" ht="14.45" hidden="1" customHeight="1" x14ac:dyDescent="0.25">
      <c r="G47" s="8"/>
      <c r="AC47" s="10">
        <v>4</v>
      </c>
      <c r="AN47" s="9"/>
    </row>
    <row r="48" spans="7:40" ht="14.45" hidden="1" customHeight="1" x14ac:dyDescent="0.25">
      <c r="G48" s="8"/>
      <c r="AC48" s="10">
        <v>5</v>
      </c>
      <c r="AN48" s="9"/>
    </row>
    <row r="49" spans="7:40" ht="14.45" hidden="1" customHeight="1" x14ac:dyDescent="0.25">
      <c r="G49" s="8"/>
      <c r="AC49" s="10">
        <v>6</v>
      </c>
      <c r="AN49" s="9"/>
    </row>
    <row r="50" spans="7:40" ht="14.45" hidden="1" customHeight="1" x14ac:dyDescent="0.25">
      <c r="G50" s="8"/>
      <c r="AC50" s="10">
        <v>7</v>
      </c>
      <c r="AN50" s="9"/>
    </row>
    <row r="51" spans="7:40" ht="14.45" hidden="1" customHeight="1" x14ac:dyDescent="0.25">
      <c r="G51" s="8"/>
      <c r="AC51" s="10">
        <v>8</v>
      </c>
      <c r="AN51" s="9"/>
    </row>
    <row r="52" spans="7:40" ht="14.45" hidden="1" customHeight="1" x14ac:dyDescent="0.25">
      <c r="G52" s="8"/>
      <c r="AC52" s="10">
        <v>9</v>
      </c>
      <c r="AN52" s="9"/>
    </row>
    <row r="53" spans="7:40" ht="14.45" hidden="1" customHeight="1" x14ac:dyDescent="0.25">
      <c r="G53" s="8"/>
      <c r="AC53" s="10">
        <v>10</v>
      </c>
      <c r="AN53" s="9"/>
    </row>
    <row r="54" spans="7:40" ht="14.45" hidden="1" customHeight="1" x14ac:dyDescent="0.25">
      <c r="G54" s="8"/>
      <c r="AC54" s="10">
        <v>11</v>
      </c>
      <c r="AN54" s="9"/>
    </row>
    <row r="55" spans="7:40" ht="14.45" hidden="1" customHeight="1" x14ac:dyDescent="0.25">
      <c r="G55" s="8"/>
      <c r="AC55" s="10">
        <v>12</v>
      </c>
      <c r="AN55" s="9"/>
    </row>
    <row r="56" spans="7:40" ht="14.45" hidden="1" customHeight="1" x14ac:dyDescent="0.25">
      <c r="G56" s="8"/>
      <c r="AC56" s="10">
        <v>13</v>
      </c>
      <c r="AN56" s="9"/>
    </row>
    <row r="57" spans="7:40" ht="14.45" hidden="1" customHeight="1" x14ac:dyDescent="0.25">
      <c r="G57" s="8"/>
      <c r="AC57" s="10">
        <v>14</v>
      </c>
      <c r="AN57" s="9"/>
    </row>
    <row r="58" spans="7:40" ht="14.45" hidden="1" customHeight="1" x14ac:dyDescent="0.25">
      <c r="G58" s="8"/>
      <c r="AC58" s="10">
        <v>15</v>
      </c>
      <c r="AN58" s="9"/>
    </row>
    <row r="59" spans="7:40" ht="14.45" hidden="1" customHeight="1" x14ac:dyDescent="0.25">
      <c r="G59" s="8"/>
      <c r="AC59" s="10">
        <v>16</v>
      </c>
      <c r="AN59" s="9"/>
    </row>
    <row r="60" spans="7:40" ht="14.45" hidden="1" customHeight="1" x14ac:dyDescent="0.25">
      <c r="G60" s="8"/>
      <c r="AC60" s="10">
        <v>17</v>
      </c>
      <c r="AN60" s="9"/>
    </row>
    <row r="61" spans="7:40" ht="14.45" hidden="1" customHeight="1" x14ac:dyDescent="0.25">
      <c r="G61" s="8"/>
      <c r="AC61" s="10">
        <v>18</v>
      </c>
      <c r="AN61" s="9"/>
    </row>
    <row r="62" spans="7:40" ht="14.45" hidden="1" customHeight="1" x14ac:dyDescent="0.25">
      <c r="G62" s="8"/>
      <c r="AC62" s="10">
        <v>19</v>
      </c>
      <c r="AN62" s="9"/>
    </row>
    <row r="63" spans="7:40" ht="14.45" hidden="1" customHeight="1" x14ac:dyDescent="0.25">
      <c r="G63" s="8"/>
      <c r="AC63" s="10">
        <v>20</v>
      </c>
      <c r="AN63" s="9"/>
    </row>
    <row r="64" spans="7:40" ht="14.45" hidden="1" customHeight="1" x14ac:dyDescent="0.25">
      <c r="G64" s="8"/>
      <c r="AL64" s="18">
        <v>0</v>
      </c>
      <c r="AN64" s="9"/>
    </row>
    <row r="65" spans="7:40" ht="14.45" hidden="1" customHeight="1" x14ac:dyDescent="0.25">
      <c r="G65" s="8"/>
      <c r="AL65" s="18">
        <v>0.05</v>
      </c>
      <c r="AN65" s="9"/>
    </row>
    <row r="66" spans="7:40" ht="14.45" hidden="1" customHeight="1" x14ac:dyDescent="0.25">
      <c r="G66" s="8"/>
      <c r="AI66" s="7" t="s">
        <v>22</v>
      </c>
      <c r="AJ66" s="19">
        <v>5.0000000000000001E-3</v>
      </c>
      <c r="AL66" s="18">
        <v>0.1</v>
      </c>
      <c r="AN66" s="9"/>
    </row>
    <row r="67" spans="7:40" ht="14.45" hidden="1" customHeight="1" x14ac:dyDescent="0.25">
      <c r="G67" s="8"/>
      <c r="AI67" s="7" t="s">
        <v>23</v>
      </c>
      <c r="AJ67" s="19">
        <v>0.02</v>
      </c>
      <c r="AL67" s="18">
        <v>0.15</v>
      </c>
      <c r="AN67" s="9"/>
    </row>
    <row r="68" spans="7:40" ht="14.45" hidden="1" customHeight="1" x14ac:dyDescent="0.25">
      <c r="G68" s="8"/>
      <c r="AI68" s="7" t="s">
        <v>24</v>
      </c>
      <c r="AJ68" s="19">
        <v>0.01</v>
      </c>
      <c r="AL68" s="18">
        <v>0.2</v>
      </c>
      <c r="AN68" s="9"/>
    </row>
    <row r="69" spans="7:40" ht="14.45" hidden="1" customHeight="1" x14ac:dyDescent="0.25">
      <c r="G69" s="8"/>
      <c r="AI69" s="7" t="s">
        <v>25</v>
      </c>
      <c r="AJ69" s="19">
        <v>0</v>
      </c>
      <c r="AL69" s="18">
        <v>0.25</v>
      </c>
      <c r="AN69" s="9"/>
    </row>
    <row r="70" spans="7:40" ht="14.45" hidden="1" customHeight="1" x14ac:dyDescent="0.25">
      <c r="G70" s="8"/>
      <c r="AL70" s="18">
        <v>0.3</v>
      </c>
      <c r="AN70" s="9"/>
    </row>
    <row r="71" spans="7:40" ht="14.45" hidden="1" customHeight="1" x14ac:dyDescent="0.25">
      <c r="G71" s="8"/>
      <c r="AL71" s="18">
        <v>0.35</v>
      </c>
      <c r="AN71" s="9"/>
    </row>
    <row r="72" spans="7:40" ht="14.45" hidden="1" customHeight="1" x14ac:dyDescent="0.25">
      <c r="G72" s="8"/>
      <c r="AH72" s="18"/>
      <c r="AI72" s="18"/>
      <c r="AJ72" s="18"/>
      <c r="AL72" s="18">
        <v>0.4</v>
      </c>
      <c r="AN72" s="9"/>
    </row>
    <row r="73" spans="7:40" ht="14.45" hidden="1" customHeight="1" x14ac:dyDescent="0.25">
      <c r="G73" s="8"/>
      <c r="AH73" s="18"/>
      <c r="AI73" s="18"/>
      <c r="AJ73" s="18" t="s">
        <v>26</v>
      </c>
      <c r="AK73" s="20">
        <v>0.05</v>
      </c>
      <c r="AL73" s="18">
        <v>0.45</v>
      </c>
      <c r="AN73" s="9"/>
    </row>
    <row r="74" spans="7:40" ht="14.45" hidden="1" customHeight="1" x14ac:dyDescent="0.25">
      <c r="G74" s="8"/>
      <c r="AH74" s="18"/>
      <c r="AI74" s="18"/>
      <c r="AJ74" s="18" t="s">
        <v>27</v>
      </c>
      <c r="AK74" s="20">
        <v>0.03</v>
      </c>
      <c r="AL74" s="18">
        <v>0.5</v>
      </c>
      <c r="AN74" s="9"/>
    </row>
    <row r="75" spans="7:40" ht="14.45" hidden="1" customHeight="1" x14ac:dyDescent="0.25">
      <c r="G75" s="8"/>
      <c r="AH75" s="18"/>
      <c r="AI75" s="18"/>
      <c r="AJ75" s="18" t="s">
        <v>28</v>
      </c>
      <c r="AK75" s="20">
        <v>0.02</v>
      </c>
      <c r="AL75" s="18">
        <v>0.55000000000000004</v>
      </c>
      <c r="AN75" s="9"/>
    </row>
    <row r="76" spans="7:40" ht="14.45" hidden="1" customHeight="1" x14ac:dyDescent="0.25">
      <c r="G76" s="8"/>
      <c r="AH76" s="18"/>
      <c r="AI76" s="18"/>
      <c r="AJ76" s="18" t="s">
        <v>29</v>
      </c>
      <c r="AK76" s="20">
        <v>0</v>
      </c>
      <c r="AL76" s="18">
        <v>0.6</v>
      </c>
      <c r="AN76" s="9"/>
    </row>
    <row r="77" spans="7:40" ht="14.45" hidden="1" customHeight="1" x14ac:dyDescent="0.25">
      <c r="G77" s="8"/>
      <c r="AL77" s="18">
        <v>0.65</v>
      </c>
      <c r="AN77" s="9"/>
    </row>
    <row r="78" spans="7:40" ht="14.45" hidden="1" customHeight="1" x14ac:dyDescent="0.25">
      <c r="G78" s="8"/>
      <c r="AL78" s="18">
        <v>0.7</v>
      </c>
      <c r="AN78" s="9"/>
    </row>
    <row r="79" spans="7:40" ht="14.45" hidden="1" customHeight="1" x14ac:dyDescent="0.25">
      <c r="G79" s="8"/>
      <c r="X79" s="21">
        <v>0.29166666666666669</v>
      </c>
      <c r="AL79" s="18">
        <v>0.75</v>
      </c>
      <c r="AN79" s="9"/>
    </row>
    <row r="80" spans="7:40" ht="14.45" hidden="1" customHeight="1" x14ac:dyDescent="0.25">
      <c r="G80" s="8"/>
      <c r="X80" s="21">
        <v>0.3125</v>
      </c>
      <c r="Y80" s="22">
        <v>0.55000000000000004</v>
      </c>
      <c r="Z80" s="22"/>
      <c r="AA80" s="23"/>
      <c r="AB80" s="23"/>
      <c r="AL80" s="18">
        <v>0.8</v>
      </c>
      <c r="AN80" s="9"/>
    </row>
    <row r="81" spans="7:50" ht="14.45" hidden="1" customHeight="1" x14ac:dyDescent="0.25">
      <c r="G81" s="8"/>
      <c r="X81" s="21">
        <v>0.33333333333333298</v>
      </c>
      <c r="Y81" s="22">
        <v>0.6</v>
      </c>
      <c r="Z81" s="22"/>
      <c r="AA81" s="23"/>
      <c r="AB81" s="23"/>
      <c r="AL81" s="18">
        <v>0.85</v>
      </c>
      <c r="AN81" s="9"/>
    </row>
    <row r="82" spans="7:50" ht="14.45" hidden="1" customHeight="1" x14ac:dyDescent="0.25">
      <c r="G82" s="8"/>
      <c r="X82" s="21">
        <v>0.35416666666666602</v>
      </c>
      <c r="Y82" s="22">
        <v>0.65</v>
      </c>
      <c r="Z82" s="22"/>
      <c r="AA82" s="23"/>
      <c r="AB82" s="23"/>
      <c r="AL82" s="18">
        <v>0.9</v>
      </c>
      <c r="AN82" s="9"/>
    </row>
    <row r="83" spans="7:50" ht="15" hidden="1" customHeight="1" x14ac:dyDescent="0.25">
      <c r="G83" s="8"/>
      <c r="X83" s="21">
        <v>0.36805555555555558</v>
      </c>
      <c r="Y83" s="22">
        <v>0.7</v>
      </c>
      <c r="Z83" s="22"/>
      <c r="AA83" s="23"/>
      <c r="AB83" s="23"/>
      <c r="AI83" s="10" t="s">
        <v>30</v>
      </c>
      <c r="AJ83" s="19">
        <v>0.05</v>
      </c>
      <c r="AL83" s="18">
        <v>0.95</v>
      </c>
      <c r="AN83" s="9"/>
    </row>
    <row r="84" spans="7:50" ht="14.45" hidden="1" customHeight="1" x14ac:dyDescent="0.25">
      <c r="G84" s="8"/>
      <c r="X84" s="21">
        <v>0.37152777777777773</v>
      </c>
      <c r="Y84" s="22">
        <v>0.75</v>
      </c>
      <c r="Z84" s="22"/>
      <c r="AA84" s="23"/>
      <c r="AB84" s="23"/>
      <c r="AI84" s="10" t="s">
        <v>31</v>
      </c>
      <c r="AJ84" s="19">
        <v>2.5000000000000001E-2</v>
      </c>
      <c r="AL84" s="18">
        <v>1</v>
      </c>
      <c r="AN84" s="9"/>
      <c r="AX84" s="7" t="s">
        <v>32</v>
      </c>
    </row>
    <row r="85" spans="7:50" ht="14.45" hidden="1" customHeight="1" x14ac:dyDescent="0.25">
      <c r="G85" s="8"/>
      <c r="X85" s="21">
        <v>0.375</v>
      </c>
      <c r="Y85" s="22">
        <v>0.8</v>
      </c>
      <c r="Z85" s="22"/>
      <c r="AA85" s="23"/>
      <c r="AB85" s="23"/>
      <c r="AI85" s="10" t="s">
        <v>33</v>
      </c>
      <c r="AJ85" s="19">
        <v>0.01</v>
      </c>
      <c r="AN85" s="9"/>
      <c r="AX85" s="7" t="s">
        <v>34</v>
      </c>
    </row>
    <row r="86" spans="7:50" ht="14.45" hidden="1" customHeight="1" x14ac:dyDescent="0.25">
      <c r="G86" s="8"/>
      <c r="X86" s="21">
        <v>0.38541666666666669</v>
      </c>
      <c r="Y86" s="22">
        <v>0.85</v>
      </c>
      <c r="Z86" s="22"/>
      <c r="AA86" s="23"/>
      <c r="AB86" s="23"/>
      <c r="AI86" s="10" t="s">
        <v>35</v>
      </c>
      <c r="AJ86" s="19">
        <v>0</v>
      </c>
      <c r="AN86" s="9"/>
    </row>
    <row r="87" spans="7:50" ht="14.45" hidden="1" customHeight="1" x14ac:dyDescent="0.25">
      <c r="G87" s="8"/>
      <c r="X87" s="21">
        <v>0.39583333333333298</v>
      </c>
      <c r="Y87" s="22">
        <v>0.9</v>
      </c>
      <c r="Z87" s="22"/>
      <c r="AA87" s="23"/>
      <c r="AB87" s="23"/>
      <c r="AN87" s="9"/>
    </row>
    <row r="88" spans="7:50" ht="14.45" hidden="1" customHeight="1" x14ac:dyDescent="0.25">
      <c r="G88" s="8"/>
      <c r="X88" s="21">
        <v>0.40625</v>
      </c>
      <c r="AN88" s="9"/>
    </row>
    <row r="89" spans="7:50" ht="14.45" hidden="1" customHeight="1" x14ac:dyDescent="0.25">
      <c r="G89" s="8"/>
      <c r="X89" s="21">
        <v>0.41666666666666702</v>
      </c>
      <c r="AN89" s="9"/>
    </row>
    <row r="90" spans="7:50" ht="14.45" hidden="1" customHeight="1" x14ac:dyDescent="0.25">
      <c r="G90" s="8"/>
      <c r="AN90" s="9"/>
    </row>
    <row r="91" spans="7:50" ht="14.45" hidden="1" customHeight="1" x14ac:dyDescent="0.25">
      <c r="G91" s="8"/>
      <c r="AN91" s="9"/>
    </row>
    <row r="92" spans="7:50" ht="14.45" hidden="1" customHeight="1" x14ac:dyDescent="0.25">
      <c r="G92" s="8"/>
      <c r="AJ92" s="24"/>
      <c r="AN92" s="9"/>
    </row>
    <row r="93" spans="7:50" ht="14.45" hidden="1" customHeight="1" x14ac:dyDescent="0.25">
      <c r="G93" s="8"/>
      <c r="AN93" s="9"/>
    </row>
    <row r="94" spans="7:50" ht="14.45" hidden="1" customHeight="1" x14ac:dyDescent="0.25">
      <c r="G94" s="8"/>
      <c r="AN94" s="9"/>
    </row>
    <row r="95" spans="7:50" ht="12.75" hidden="1" customHeight="1" x14ac:dyDescent="0.25">
      <c r="G95" s="8"/>
      <c r="AA95" s="25">
        <v>66</v>
      </c>
      <c r="AB95" s="26"/>
      <c r="AN95" s="9"/>
    </row>
    <row r="96" spans="7:50" ht="14.25" hidden="1" customHeight="1" x14ac:dyDescent="0.25">
      <c r="G96" s="8"/>
      <c r="AF96" s="27"/>
      <c r="AN96" s="9"/>
    </row>
    <row r="97" spans="1:89" ht="14.25" hidden="1" customHeight="1" x14ac:dyDescent="0.25">
      <c r="G97" s="8"/>
      <c r="AN97" s="9"/>
    </row>
    <row r="98" spans="1:89" ht="14.25" hidden="1" customHeight="1" x14ac:dyDescent="0.25">
      <c r="G98" s="8"/>
      <c r="AN98" s="9"/>
    </row>
    <row r="99" spans="1:89" ht="6.6" hidden="1" customHeight="1" x14ac:dyDescent="0.25">
      <c r="G99" s="8"/>
      <c r="AN99" s="9"/>
    </row>
    <row r="100" spans="1:89" ht="22.5" hidden="1" customHeight="1" x14ac:dyDescent="0.25">
      <c r="A100" s="30"/>
      <c r="B100" s="31"/>
      <c r="C100" s="32"/>
      <c r="D100" s="32"/>
      <c r="E100" s="32"/>
      <c r="F100" s="33" t="s">
        <v>36</v>
      </c>
      <c r="G100" s="34" t="s">
        <v>37</v>
      </c>
      <c r="H100" s="34"/>
      <c r="I100" s="34"/>
      <c r="J100" s="34"/>
      <c r="K100" s="34"/>
      <c r="L100" s="34"/>
      <c r="M100" s="34"/>
      <c r="N100" s="35"/>
      <c r="O100" s="36"/>
      <c r="P100" s="37"/>
      <c r="Q100" s="38"/>
      <c r="R100" s="39"/>
      <c r="S100" s="38"/>
      <c r="T100" s="38"/>
      <c r="U100" s="38"/>
      <c r="V100" s="38"/>
      <c r="W100" s="38"/>
      <c r="X100" s="40"/>
      <c r="Y100" s="41"/>
      <c r="Z100" s="41"/>
      <c r="AA100" s="41"/>
      <c r="AB100" s="41"/>
      <c r="AC100" s="41"/>
      <c r="AD100" s="41"/>
      <c r="AE100" s="41"/>
      <c r="AF100" s="41"/>
      <c r="AG100" s="40"/>
      <c r="AH100" s="42"/>
      <c r="AI100" s="42"/>
      <c r="AJ100" s="42"/>
      <c r="AK100" s="42"/>
      <c r="AL100" s="42"/>
      <c r="AM100" s="42"/>
      <c r="AN100" s="42"/>
      <c r="AO100" s="43"/>
      <c r="AP100" s="44"/>
      <c r="AQ100" s="45"/>
      <c r="AR100" s="45"/>
      <c r="AS100" s="45"/>
      <c r="AT100" s="45"/>
      <c r="AU100" s="45"/>
      <c r="AV100" s="45"/>
      <c r="AW100" s="45"/>
      <c r="AX100" s="45"/>
      <c r="AY100" s="45"/>
      <c r="AZ100" s="45"/>
      <c r="BA100" s="46"/>
      <c r="BK100" s="47" t="s">
        <v>38</v>
      </c>
    </row>
    <row r="101" spans="1:89" ht="18" customHeight="1" x14ac:dyDescent="0.25">
      <c r="A101" s="48"/>
      <c r="B101" s="49"/>
      <c r="C101" s="50"/>
      <c r="D101" s="50"/>
      <c r="E101" s="50"/>
      <c r="F101" s="51" t="str">
        <f>'[1]Cockpit Retorno'!C34</f>
        <v>Versão Aprovada 12/08/25- F-C-001-36- REV0</v>
      </c>
      <c r="G101" s="52"/>
      <c r="H101" s="52"/>
      <c r="I101" s="52"/>
      <c r="J101" s="52"/>
      <c r="K101" s="52"/>
      <c r="L101" s="53"/>
      <c r="M101" s="54" t="s">
        <v>39</v>
      </c>
      <c r="N101" s="54"/>
      <c r="O101" s="55" t="s">
        <v>40</v>
      </c>
      <c r="P101" s="56" t="s">
        <v>41</v>
      </c>
      <c r="Q101" s="57"/>
      <c r="R101" s="57"/>
      <c r="S101" s="57"/>
      <c r="T101" s="57"/>
      <c r="U101" s="57"/>
      <c r="V101" s="57"/>
      <c r="W101" s="58"/>
      <c r="X101" s="59" t="s">
        <v>42</v>
      </c>
      <c r="Y101" s="60" t="s">
        <v>43</v>
      </c>
      <c r="Z101" s="61">
        <f>HOUR(X102)+(MINUTE(X102)/60)</f>
        <v>9</v>
      </c>
      <c r="AA101" s="62">
        <f>Z101/9</f>
        <v>1</v>
      </c>
      <c r="AB101" s="62"/>
      <c r="AC101" s="63" t="s">
        <v>44</v>
      </c>
      <c r="AD101" s="63"/>
      <c r="AE101" s="63"/>
      <c r="AF101" s="64"/>
      <c r="AG101" s="65" t="s">
        <v>45</v>
      </c>
      <c r="AH101" s="66"/>
      <c r="AI101" s="66"/>
      <c r="AJ101" s="66"/>
      <c r="AK101" s="67"/>
      <c r="AL101" s="67"/>
      <c r="AM101" s="67"/>
      <c r="AN101" s="67"/>
      <c r="AO101" s="68"/>
      <c r="AP101" s="69"/>
      <c r="AQ101" s="70"/>
      <c r="AR101" s="70"/>
      <c r="AS101" s="70"/>
      <c r="AT101" s="70"/>
      <c r="AU101" s="70"/>
      <c r="AV101" s="70"/>
      <c r="AW101" s="70"/>
      <c r="AX101" s="70"/>
      <c r="AY101" s="70"/>
      <c r="AZ101" s="70"/>
      <c r="BA101" s="71"/>
    </row>
    <row r="102" spans="1:89" ht="28.5" customHeight="1" x14ac:dyDescent="0.25">
      <c r="A102" s="48"/>
      <c r="B102" s="49"/>
      <c r="C102" s="50"/>
      <c r="D102" s="50"/>
      <c r="E102" s="50"/>
      <c r="F102" s="72"/>
      <c r="G102" s="73"/>
      <c r="H102" s="73"/>
      <c r="I102" s="73"/>
      <c r="J102" s="73"/>
      <c r="K102" s="73"/>
      <c r="L102" s="74"/>
      <c r="M102" s="75" t="s">
        <v>46</v>
      </c>
      <c r="N102" s="75"/>
      <c r="O102" s="76">
        <f>IF($AG$102=0,"Errado",SUM(AK109:AK609))</f>
        <v>50659.857800364618</v>
      </c>
      <c r="P102" s="77"/>
      <c r="Q102" s="78"/>
      <c r="R102" s="78"/>
      <c r="S102" s="78"/>
      <c r="T102" s="78"/>
      <c r="U102" s="78"/>
      <c r="V102" s="78"/>
      <c r="W102" s="79"/>
      <c r="X102" s="80">
        <v>0.375</v>
      </c>
      <c r="Y102" s="81">
        <v>0.7</v>
      </c>
      <c r="Z102" s="82"/>
      <c r="AA102" s="83"/>
      <c r="AB102" s="83"/>
      <c r="AC102" s="84" t="s">
        <v>47</v>
      </c>
      <c r="AD102" s="85"/>
      <c r="AE102" s="86">
        <v>31.23</v>
      </c>
      <c r="AF102" s="87">
        <f>O102*AE102</f>
        <v>1582107.359105387</v>
      </c>
      <c r="AG102" s="88">
        <v>1</v>
      </c>
      <c r="AH102" s="89" t="s">
        <v>48</v>
      </c>
      <c r="AI102" s="90" t="s">
        <v>49</v>
      </c>
      <c r="AJ102" s="91" t="s">
        <v>50</v>
      </c>
      <c r="AK102" s="92" t="str">
        <f>M102</f>
        <v>MOD_ Total Horas THEO</v>
      </c>
      <c r="AL102" s="92"/>
      <c r="AM102" s="76">
        <f>Total_Horas_THEO</f>
        <v>50659.857800364618</v>
      </c>
      <c r="AN102" s="93" t="s">
        <v>51</v>
      </c>
      <c r="AO102" s="94"/>
      <c r="AP102" s="69"/>
      <c r="AQ102" s="70"/>
      <c r="AR102" s="70"/>
      <c r="AS102" s="70"/>
      <c r="AT102" s="70"/>
      <c r="AU102" s="70"/>
      <c r="AV102" s="70"/>
      <c r="AW102" s="70"/>
      <c r="AX102" s="70"/>
      <c r="AY102" s="70"/>
      <c r="AZ102" s="70"/>
      <c r="BA102" s="71"/>
      <c r="CC102" s="95"/>
      <c r="CD102" s="96" t="s">
        <v>38</v>
      </c>
    </row>
    <row r="103" spans="1:89" ht="24.6" customHeight="1" x14ac:dyDescent="0.25">
      <c r="A103" s="48"/>
      <c r="B103" s="49"/>
      <c r="C103" s="50"/>
      <c r="D103" s="50"/>
      <c r="E103" s="50"/>
      <c r="F103" s="72"/>
      <c r="G103" s="73"/>
      <c r="H103" s="73"/>
      <c r="I103" s="73"/>
      <c r="J103" s="73"/>
      <c r="K103" s="73"/>
      <c r="L103" s="74"/>
      <c r="M103" s="97" t="s">
        <v>52</v>
      </c>
      <c r="N103" s="98">
        <f>Horas_Ajudantes_THEO/Total_Horas_THEO</f>
        <v>0.71707854209053479</v>
      </c>
      <c r="O103" s="99">
        <f>SUM(AM109:AM609)</f>
        <v>36327.096973999265</v>
      </c>
      <c r="P103" s="77"/>
      <c r="Q103" s="78"/>
      <c r="R103" s="78"/>
      <c r="S103" s="78"/>
      <c r="T103" s="78"/>
      <c r="U103" s="78"/>
      <c r="V103" s="78"/>
      <c r="W103" s="79"/>
      <c r="X103" s="100" t="s">
        <v>53</v>
      </c>
      <c r="Y103" s="100"/>
      <c r="Z103" s="101"/>
      <c r="AA103" s="101"/>
      <c r="AB103" s="101"/>
      <c r="AC103" s="102"/>
      <c r="AD103" s="103" t="s">
        <v>54</v>
      </c>
      <c r="AE103" s="104"/>
      <c r="AF103" s="105">
        <f>MAX(AF109:AF609)</f>
        <v>155.48426150121065</v>
      </c>
      <c r="AG103" s="106"/>
      <c r="AH103" s="89"/>
      <c r="AI103" s="90"/>
      <c r="AJ103" s="91"/>
      <c r="AK103" s="107" t="str">
        <f>M103</f>
        <v>MOD_Horas Ajudantes THEO</v>
      </c>
      <c r="AL103" s="107"/>
      <c r="AM103" s="99">
        <f>Horas_Ajudantes_THEO</f>
        <v>36327.096973999265</v>
      </c>
      <c r="AN103" s="108">
        <f>N103</f>
        <v>0.71707854209053479</v>
      </c>
      <c r="AO103" s="109"/>
      <c r="AP103" s="69"/>
      <c r="AQ103" s="70"/>
      <c r="AR103" s="70"/>
      <c r="AS103" s="70"/>
      <c r="AT103" s="70"/>
      <c r="AU103" s="70"/>
      <c r="AV103" s="70"/>
      <c r="AW103" s="70"/>
      <c r="AX103" s="70"/>
      <c r="AY103" s="70"/>
      <c r="AZ103" s="70"/>
      <c r="BA103" s="71"/>
      <c r="BY103" s="110" t="s">
        <v>55</v>
      </c>
      <c r="CC103" s="95"/>
      <c r="CD103" s="96" t="s">
        <v>38</v>
      </c>
    </row>
    <row r="104" spans="1:89" ht="22.5" customHeight="1" x14ac:dyDescent="0.25">
      <c r="A104" s="48"/>
      <c r="B104" s="49"/>
      <c r="C104" s="50"/>
      <c r="D104" s="50"/>
      <c r="E104" s="50"/>
      <c r="F104" s="72"/>
      <c r="G104" s="73"/>
      <c r="H104" s="73"/>
      <c r="I104" s="73"/>
      <c r="J104" s="73"/>
      <c r="K104" s="73"/>
      <c r="L104" s="74"/>
      <c r="M104" s="111" t="s">
        <v>56</v>
      </c>
      <c r="N104" s="112">
        <f>100%-N103</f>
        <v>0.28292145790946521</v>
      </c>
      <c r="O104" s="113">
        <f>IFERROR(O102-O103,0)</f>
        <v>14332.760826365353</v>
      </c>
      <c r="P104" s="114"/>
      <c r="Q104" s="115"/>
      <c r="R104" s="115"/>
      <c r="S104" s="115"/>
      <c r="T104" s="115"/>
      <c r="U104" s="115"/>
      <c r="V104" s="115"/>
      <c r="W104" s="116"/>
      <c r="X104" s="117" t="s">
        <v>34</v>
      </c>
      <c r="Y104" s="118">
        <f>IF(X104=Sim,1.025,1)</f>
        <v>1</v>
      </c>
      <c r="Z104" s="101"/>
      <c r="AA104" s="101"/>
      <c r="AB104" s="101"/>
      <c r="AC104" s="102"/>
      <c r="AD104" s="119"/>
      <c r="AE104" s="120"/>
      <c r="AF104" s="121"/>
      <c r="AG104" s="106"/>
      <c r="AH104" s="89"/>
      <c r="AI104" s="90"/>
      <c r="AJ104" s="91"/>
      <c r="AK104" s="122" t="str">
        <f>M104</f>
        <v>MOD_ Horas de OFICIAIS THEO</v>
      </c>
      <c r="AL104" s="122"/>
      <c r="AM104" s="113">
        <f>Horas_de_OFICIAIS_THEO</f>
        <v>14332.760826365353</v>
      </c>
      <c r="AN104" s="123">
        <f>N104</f>
        <v>0.28292145790946521</v>
      </c>
      <c r="AO104" s="109"/>
      <c r="AP104" s="69"/>
      <c r="AQ104" s="70"/>
      <c r="AR104" s="70"/>
      <c r="AS104" s="70"/>
      <c r="AT104" s="70"/>
      <c r="AU104" s="70"/>
      <c r="AV104" s="70"/>
      <c r="AW104" s="70"/>
      <c r="AX104" s="70"/>
      <c r="AY104" s="70"/>
      <c r="AZ104" s="70"/>
      <c r="BA104" s="71"/>
      <c r="CC104" s="95"/>
      <c r="CD104" s="96" t="s">
        <v>38</v>
      </c>
    </row>
    <row r="105" spans="1:89" ht="13.15" customHeight="1" x14ac:dyDescent="0.25">
      <c r="A105" s="48"/>
      <c r="B105" s="49"/>
      <c r="C105" s="50"/>
      <c r="D105" s="50"/>
      <c r="E105" s="50"/>
      <c r="F105" s="72"/>
      <c r="G105" s="73"/>
      <c r="H105" s="73"/>
      <c r="I105" s="73"/>
      <c r="J105" s="73"/>
      <c r="K105" s="73"/>
      <c r="L105" s="74"/>
      <c r="M105" s="124" t="s">
        <v>57</v>
      </c>
      <c r="N105" s="125"/>
      <c r="O105" s="126" t="s">
        <v>58</v>
      </c>
      <c r="P105" s="127">
        <f>IFERROR(AVERAGEIF(P109:T609,"&gt;0,1"),"")</f>
        <v>152</v>
      </c>
      <c r="Q105" s="127"/>
      <c r="R105" s="127"/>
      <c r="S105" s="127"/>
      <c r="T105" s="127"/>
      <c r="U105" s="128" t="s">
        <v>59</v>
      </c>
      <c r="V105" s="129"/>
      <c r="W105" s="129"/>
      <c r="X105" s="130"/>
      <c r="Y105" s="130"/>
      <c r="Z105" s="101"/>
      <c r="AA105" s="101"/>
      <c r="AB105" s="101"/>
      <c r="AC105" s="102"/>
      <c r="AD105" s="119"/>
      <c r="AE105" s="120"/>
      <c r="AF105" s="121"/>
      <c r="AG105" s="106"/>
      <c r="AH105" s="89"/>
      <c r="AI105" s="90"/>
      <c r="AJ105" s="91"/>
      <c r="AK105" s="131"/>
      <c r="AL105" s="132"/>
      <c r="AM105" s="132"/>
      <c r="AN105" s="133"/>
      <c r="AO105" s="109"/>
      <c r="AP105" s="69"/>
      <c r="AQ105" s="70"/>
      <c r="AR105" s="70"/>
      <c r="AS105" s="70"/>
      <c r="AT105" s="70"/>
      <c r="AU105" s="70"/>
      <c r="AV105" s="70"/>
      <c r="AW105" s="70"/>
      <c r="AX105" s="70"/>
      <c r="AY105" s="70"/>
      <c r="AZ105" s="70"/>
      <c r="BA105" s="71"/>
      <c r="CC105" s="95"/>
      <c r="CD105" s="96" t="s">
        <v>38</v>
      </c>
    </row>
    <row r="106" spans="1:89" ht="21.75" customHeight="1" x14ac:dyDescent="0.25">
      <c r="A106" s="48"/>
      <c r="B106" s="49"/>
      <c r="C106" s="50"/>
      <c r="D106" s="50"/>
      <c r="E106" s="50"/>
      <c r="F106" s="72"/>
      <c r="G106" s="73"/>
      <c r="H106" s="73"/>
      <c r="I106" s="73"/>
      <c r="J106" s="73"/>
      <c r="K106" s="73"/>
      <c r="L106" s="74"/>
      <c r="M106" s="124"/>
      <c r="N106" s="134"/>
      <c r="O106" s="126"/>
      <c r="P106" s="135">
        <f>IFERROR(P107/$P$105,"")</f>
        <v>1</v>
      </c>
      <c r="Q106" s="135">
        <f>IFERROR(Q107/$P$105,"")</f>
        <v>0</v>
      </c>
      <c r="R106" s="135">
        <f>IFERROR(R107/$P$105,"")</f>
        <v>0</v>
      </c>
      <c r="S106" s="135">
        <f>IFERROR(S107/$P$105,"")</f>
        <v>0</v>
      </c>
      <c r="T106" s="135">
        <f>IFERROR(T107/$P$105,"")</f>
        <v>0</v>
      </c>
      <c r="U106" s="136"/>
      <c r="V106" s="137"/>
      <c r="W106" s="137"/>
      <c r="X106" s="130"/>
      <c r="Y106" s="130"/>
      <c r="Z106" s="101"/>
      <c r="AA106" s="101"/>
      <c r="AB106" s="101"/>
      <c r="AC106" s="102"/>
      <c r="AD106" s="138"/>
      <c r="AE106" s="139"/>
      <c r="AF106" s="121"/>
      <c r="AG106" s="106"/>
      <c r="AH106" s="89"/>
      <c r="AI106" s="140"/>
      <c r="AJ106" s="141"/>
      <c r="AK106" s="142"/>
      <c r="AL106" s="143"/>
      <c r="AM106" s="143"/>
      <c r="AN106" s="144"/>
      <c r="AO106" s="109"/>
      <c r="AP106" s="69"/>
      <c r="AQ106" s="70"/>
      <c r="AR106" s="70"/>
      <c r="AS106" s="70"/>
      <c r="AT106" s="70"/>
      <c r="AU106" s="70"/>
      <c r="AV106" s="70"/>
      <c r="AW106" s="70"/>
      <c r="AX106" s="70"/>
      <c r="AY106" s="70"/>
      <c r="AZ106" s="70"/>
      <c r="BA106" s="71"/>
      <c r="CC106" s="95"/>
      <c r="CD106" s="96" t="s">
        <v>38</v>
      </c>
    </row>
    <row r="107" spans="1:89" ht="19.5" customHeight="1" x14ac:dyDescent="0.25">
      <c r="A107" s="145"/>
      <c r="B107" s="146"/>
      <c r="C107" s="147"/>
      <c r="D107" s="147"/>
      <c r="E107" s="147"/>
      <c r="F107" s="148"/>
      <c r="G107" s="149"/>
      <c r="H107" s="149"/>
      <c r="I107" s="149"/>
      <c r="J107" s="149"/>
      <c r="K107" s="149"/>
      <c r="L107" s="150"/>
      <c r="M107" s="124"/>
      <c r="N107" s="151"/>
      <c r="O107" s="152">
        <f>IFERROR(SUM(AG109:AG609)/SUM(AK109:AK609),0)</f>
        <v>0.7</v>
      </c>
      <c r="P107" s="153">
        <f>IFERROR(AVERAGEIF(P109:P609,"&gt;0,1"),0)</f>
        <v>152</v>
      </c>
      <c r="Q107" s="153">
        <f>IFERROR(AVERAGEIF(Q109:Q609,"&gt;0,1"),0)</f>
        <v>0</v>
      </c>
      <c r="R107" s="153">
        <f>IFERROR(AVERAGEIF(R109:R609,"&gt;0,1"),0)</f>
        <v>0</v>
      </c>
      <c r="S107" s="153">
        <f>IFERROR(AVERAGEIF(S109:S609,"&gt;0,1"),0)</f>
        <v>0</v>
      </c>
      <c r="T107" s="153">
        <f>IFERROR(AVERAGEIF(T109:T609,"&gt;0,1"),0)</f>
        <v>0</v>
      </c>
      <c r="U107" s="154">
        <v>0.05</v>
      </c>
      <c r="V107" s="155"/>
      <c r="W107" s="155"/>
      <c r="X107" s="130"/>
      <c r="Y107" s="130"/>
      <c r="Z107" s="101"/>
      <c r="AA107" s="101"/>
      <c r="AB107" s="101"/>
      <c r="AC107" s="101"/>
      <c r="AD107" s="156" t="s">
        <v>60</v>
      </c>
      <c r="AE107" s="157"/>
      <c r="AF107" s="158"/>
      <c r="AG107" s="159"/>
      <c r="AH107" s="160"/>
      <c r="AI107" s="161" t="s">
        <v>30</v>
      </c>
      <c r="AJ107" s="162" t="s">
        <v>29</v>
      </c>
      <c r="AK107" s="163">
        <f>SUM(AK109:AK609)</f>
        <v>50659.857800364618</v>
      </c>
      <c r="AL107" s="164">
        <f>AM107/AK107</f>
        <v>0.71707854209053479</v>
      </c>
      <c r="AM107" s="165">
        <f>SUM(AM109:AM609)</f>
        <v>36327.096973999265</v>
      </c>
      <c r="AN107" s="166">
        <f>SUM(AN109:AN609)</f>
        <v>14332.760826365358</v>
      </c>
      <c r="AO107" s="167"/>
      <c r="AP107" s="168"/>
      <c r="AQ107" s="169"/>
      <c r="AR107" s="169"/>
      <c r="AS107" s="169"/>
      <c r="AT107" s="169"/>
      <c r="AU107" s="169"/>
      <c r="AV107" s="169"/>
      <c r="AW107" s="169"/>
      <c r="AX107" s="169"/>
      <c r="AY107" s="169"/>
      <c r="AZ107" s="169"/>
      <c r="BA107" s="170"/>
      <c r="BM107" s="110" t="s">
        <v>38</v>
      </c>
      <c r="CC107" s="95"/>
      <c r="CD107" s="96" t="s">
        <v>38</v>
      </c>
    </row>
    <row r="108" spans="1:89" s="10" customFormat="1" ht="103.5" customHeight="1" x14ac:dyDescent="0.25">
      <c r="A108" s="171" t="s">
        <v>61</v>
      </c>
      <c r="B108" s="172" t="s">
        <v>62</v>
      </c>
      <c r="C108" s="173" t="s">
        <v>63</v>
      </c>
      <c r="D108" s="172" t="s">
        <v>64</v>
      </c>
      <c r="E108" s="173" t="s">
        <v>65</v>
      </c>
      <c r="F108" s="174" t="s">
        <v>66</v>
      </c>
      <c r="G108" s="172" t="s">
        <v>67</v>
      </c>
      <c r="H108" s="174" t="s">
        <v>68</v>
      </c>
      <c r="I108" s="175" t="s">
        <v>69</v>
      </c>
      <c r="J108" s="175" t="s">
        <v>70</v>
      </c>
      <c r="K108" s="174" t="s">
        <v>71</v>
      </c>
      <c r="L108" s="174" t="s">
        <v>72</v>
      </c>
      <c r="M108" s="176" t="s">
        <v>73</v>
      </c>
      <c r="N108" s="177" t="s">
        <v>74</v>
      </c>
      <c r="O108" s="178" t="s">
        <v>75</v>
      </c>
      <c r="P108" s="179"/>
      <c r="Q108" s="179"/>
      <c r="R108" s="179"/>
      <c r="S108" s="179"/>
      <c r="T108" s="179"/>
      <c r="U108" s="180" t="s">
        <v>76</v>
      </c>
      <c r="V108" s="181" t="s">
        <v>77</v>
      </c>
      <c r="W108" s="182" t="s">
        <v>78</v>
      </c>
      <c r="X108" s="183" t="s">
        <v>79</v>
      </c>
      <c r="Y108" s="184" t="s">
        <v>80</v>
      </c>
      <c r="Z108" s="185" t="s">
        <v>81</v>
      </c>
      <c r="AA108" s="185"/>
      <c r="AB108" s="186" t="s">
        <v>82</v>
      </c>
      <c r="AC108" s="187" t="s">
        <v>83</v>
      </c>
      <c r="AD108" s="188" t="s">
        <v>84</v>
      </c>
      <c r="AE108" s="189" t="s">
        <v>85</v>
      </c>
      <c r="AF108" s="190" t="s">
        <v>86</v>
      </c>
      <c r="AG108" s="191" t="s">
        <v>87</v>
      </c>
      <c r="AH108" s="192" t="s">
        <v>88</v>
      </c>
      <c r="AI108" s="193" t="s">
        <v>89</v>
      </c>
      <c r="AJ108" s="194" t="s">
        <v>90</v>
      </c>
      <c r="AK108" s="183" t="s">
        <v>91</v>
      </c>
      <c r="AL108" s="195" t="s">
        <v>92</v>
      </c>
      <c r="AM108" s="191" t="s">
        <v>93</v>
      </c>
      <c r="AN108" s="191" t="s">
        <v>94</v>
      </c>
      <c r="AO108" s="191" t="s">
        <v>95</v>
      </c>
      <c r="AP108" s="191" t="s">
        <v>96</v>
      </c>
      <c r="AQ108" s="191" t="s">
        <v>97</v>
      </c>
      <c r="AR108" s="191" t="s">
        <v>98</v>
      </c>
      <c r="AS108" s="196" t="s">
        <v>99</v>
      </c>
      <c r="AT108" s="196" t="s">
        <v>100</v>
      </c>
      <c r="AU108" s="196" t="s">
        <v>101</v>
      </c>
      <c r="AV108" s="196" t="s">
        <v>102</v>
      </c>
      <c r="AW108" s="196" t="s">
        <v>103</v>
      </c>
      <c r="AX108" s="196" t="s">
        <v>104</v>
      </c>
      <c r="AY108" s="196" t="s">
        <v>105</v>
      </c>
      <c r="AZ108" s="196" t="s">
        <v>106</v>
      </c>
      <c r="BA108" s="197" t="s">
        <v>107</v>
      </c>
      <c r="BB108" s="196" t="s">
        <v>108</v>
      </c>
      <c r="BC108" s="196" t="s">
        <v>109</v>
      </c>
      <c r="BD108" s="196" t="s">
        <v>110</v>
      </c>
      <c r="BE108" s="196" t="s">
        <v>111</v>
      </c>
      <c r="BF108" s="196" t="s">
        <v>112</v>
      </c>
      <c r="BG108" s="196" t="s">
        <v>113</v>
      </c>
      <c r="BH108" s="198"/>
      <c r="BI108" s="198"/>
      <c r="BJ108" s="199"/>
      <c r="BK108" s="200"/>
      <c r="BL108" s="200"/>
      <c r="BM108" s="200"/>
      <c r="BN108" s="200"/>
    </row>
    <row r="109" spans="1:89" ht="18" customHeight="1" x14ac:dyDescent="0.25">
      <c r="A109" s="201">
        <v>1</v>
      </c>
      <c r="B109" s="202">
        <v>20</v>
      </c>
      <c r="C109" s="203">
        <f t="shared" ref="C109:C172" si="0">IFERROR(AVERAGEIF(P109:T109,"&gt;0,1"),0)</f>
        <v>0</v>
      </c>
      <c r="D109" s="204"/>
      <c r="E109" s="204"/>
      <c r="F109" s="205" t="s">
        <v>114</v>
      </c>
      <c r="G109" s="206"/>
      <c r="H109" s="207" t="s">
        <v>115</v>
      </c>
      <c r="I109" s="208" t="s">
        <v>116</v>
      </c>
      <c r="J109" s="208" t="s">
        <v>117</v>
      </c>
      <c r="K109" s="209" t="s">
        <v>118</v>
      </c>
      <c r="L109" s="210"/>
      <c r="M109" s="211" t="s">
        <v>119</v>
      </c>
      <c r="N109" s="212"/>
      <c r="O109" s="213">
        <v>60</v>
      </c>
      <c r="P109" s="214"/>
      <c r="Q109" s="214"/>
      <c r="R109" s="214"/>
      <c r="S109" s="214"/>
      <c r="T109" s="214"/>
      <c r="U109" s="215">
        <f t="shared" ref="U109:U172" si="1">B109*(1-$U$107)</f>
        <v>19</v>
      </c>
      <c r="V109" s="216">
        <f t="shared" ref="V109:V172" si="2">IF(IFERROR((1-BA109/AX109),"")=0%,"",IFERROR((1-BA109/AX109),""))</f>
        <v>-0.11764705882352944</v>
      </c>
      <c r="W109" s="217">
        <f t="shared" ref="W109:W172" si="3">IFERROR(AVERAGEIF(P109:U109,"&gt;0,1"),"")</f>
        <v>19</v>
      </c>
      <c r="X109" s="218" t="s">
        <v>3</v>
      </c>
      <c r="Y109" s="219" t="str">
        <f t="shared" ref="Y109:Y172" si="4">_xlfn.CONCAT(AX109," ",X109,"/","Dia")</f>
        <v>17 Instrumento/Dia</v>
      </c>
      <c r="Z109" s="220" t="str">
        <f t="shared" ref="Z109:Z172" si="5">_xlfn.CONCAT(AA109," ",X109," ","/ HH")</f>
        <v>1,11 Instrumento / HH</v>
      </c>
      <c r="AA109" s="221">
        <f t="shared" ref="AA109:AA172" si="6">IFERROR(IF(B109=0,"",ROUND(AZ109,2)),0)</f>
        <v>1.1100000000000001</v>
      </c>
      <c r="AB109" s="222" t="str">
        <f t="shared" ref="AB109:AB172" si="7">_xlfn.CONCAT(ROUND(AS109,1)," ",X109," /","HH")</f>
        <v>0,9 Instrumento /HH</v>
      </c>
      <c r="AC109" s="223">
        <f t="shared" ref="AC109:AC172" si="8">AD109+AE109</f>
        <v>2</v>
      </c>
      <c r="AD109" s="224">
        <v>1</v>
      </c>
      <c r="AE109" s="225">
        <v>1</v>
      </c>
      <c r="AF109" s="226">
        <f t="shared" ref="AF109:AF172" si="9">IFERROR(O109/AT109,0)/BG109</f>
        <v>3.5294117647058822</v>
      </c>
      <c r="AG109" s="227">
        <f t="shared" ref="AG109:AG172" si="10">AF109*AC109*$Z$101*$Y$104</f>
        <v>63.529411764705884</v>
      </c>
      <c r="AH109" s="228" t="s">
        <v>25</v>
      </c>
      <c r="AI109" s="229" t="str">
        <f t="shared" ref="AI109:AI172" si="11">$AI$107</f>
        <v>Extremamente Complexa</v>
      </c>
      <c r="AJ109" s="230" t="str">
        <f t="shared" ref="AJ109:AJ172" si="12">$AJ$107</f>
        <v>Normal</v>
      </c>
      <c r="AK109" s="231">
        <f t="shared" ref="AK109:AK172" si="13">(AG109*(1+0)/$Y$102)*$Y$104</f>
        <v>90.756302521008408</v>
      </c>
      <c r="AL109" s="232">
        <f t="shared" ref="AL109:AL172" si="14">IFERROR(AD109/AC109,"")</f>
        <v>0.5</v>
      </c>
      <c r="AM109" s="233">
        <f t="shared" ref="AM109:AM172" si="15">IFERROR(AK109*AL109,"")</f>
        <v>45.378151260504204</v>
      </c>
      <c r="AN109" s="233">
        <f t="shared" ref="AN109:AN172" si="16">IFERROR(AK109-AM109,"")</f>
        <v>45.378151260504204</v>
      </c>
      <c r="AO109" s="234">
        <f t="shared" ref="AO109:AO172" si="17">IFERROR(AK109/$AK$107,"")</f>
        <v>1.7914835623631616E-3</v>
      </c>
      <c r="AP109" s="235">
        <f t="shared" ref="AP109:AQ140" si="18">IFERROR(VLOOKUP(I109,$J$1070:$K$1089,2,1),0)</f>
        <v>0.93</v>
      </c>
      <c r="AQ109" s="235">
        <f t="shared" si="18"/>
        <v>0.98</v>
      </c>
      <c r="AR109" s="236">
        <f t="shared" ref="AR109:AR172" si="19">IF(O109=0,1,IF(I109=0,AQ109,IF(J109=0,AP109,SMALL(AP109:AQ109,1))))</f>
        <v>0.93</v>
      </c>
      <c r="AS109" s="237">
        <f t="shared" ref="AS109:AS172" si="20">IFERROR(O109/AG109,0)</f>
        <v>0.94444444444444442</v>
      </c>
      <c r="AT109" s="238">
        <f t="shared" ref="AT109:AT172" si="21">IF(X109=$X$5,1,AX109)</f>
        <v>17</v>
      </c>
      <c r="AU109" s="239">
        <f t="shared" ref="AU109:AU172" si="22">VLOOKUP(AH109,$AI$66:$AJ$69,2,0)</f>
        <v>0</v>
      </c>
      <c r="AV109" s="239">
        <f t="shared" ref="AV109:AV172" si="23">VLOOKUP(AJ109,$AJ$73:$AK$76,2,1)</f>
        <v>0</v>
      </c>
      <c r="AW109" s="239">
        <f t="shared" ref="AW109:AW172" si="24">VLOOKUP(AI109,$AI$83:$AJ$86,2,0)</f>
        <v>0.05</v>
      </c>
      <c r="AX109" s="240">
        <f t="shared" ref="AX109:AX172" si="25" xml:space="preserve">   ROUND((IFERROR(AVERAGEIF(P109:U109,"&gt;0,1"),0)*BD109),0)</f>
        <v>17</v>
      </c>
      <c r="AY109" s="241">
        <f t="shared" ref="AY109:AY172" si="26">IFERROR(ROUND(AS109,1)-AA109,"")</f>
        <v>-0.21000000000000008</v>
      </c>
      <c r="AZ109" s="242">
        <f>IFERROR(VLOOKUP(M109,'[1]Base Brasil Obras'!$C$2:$F$485,4,0),"")</f>
        <v>1.1111111111111112</v>
      </c>
      <c r="BA109" s="243">
        <f t="shared" ref="BA109:BA172" si="27">B109*(1-$U$107)</f>
        <v>19</v>
      </c>
      <c r="BB109" s="244">
        <f t="shared" ref="BB109:BB172" si="28">1-AR109</f>
        <v>6.9999999999999951E-2</v>
      </c>
      <c r="BC109" s="244">
        <f t="shared" ref="BC109:BC172" si="29">AU109+AV109+AW109</f>
        <v>0.05</v>
      </c>
      <c r="BD109" s="245">
        <f t="shared" ref="BD109:BD172" si="30">1-(BB109+BC109)</f>
        <v>0.88</v>
      </c>
      <c r="BE109" s="246">
        <f t="shared" ref="BE109:BE172" si="31">IFERROR(B109/(AC109*$Z$101),0)</f>
        <v>1.1111111111111112</v>
      </c>
      <c r="BF109" s="247">
        <v>2</v>
      </c>
      <c r="BG109" s="248">
        <f t="shared" ref="BG109:BG172" si="32">IFERROR(AC109/BF109,1)</f>
        <v>1</v>
      </c>
      <c r="BH109" s="198"/>
      <c r="BI109" s="198"/>
      <c r="BJ109" s="199"/>
      <c r="BK109" s="200"/>
      <c r="BL109" s="200"/>
      <c r="BM109" s="200"/>
      <c r="BN109" s="200"/>
      <c r="BO109" s="10"/>
      <c r="BP109" s="249"/>
      <c r="BQ109" s="249"/>
      <c r="BR109" s="249"/>
      <c r="BS109" s="249"/>
      <c r="BT109" s="249"/>
      <c r="BU109" s="249"/>
      <c r="BV109" s="249"/>
      <c r="BW109" s="249"/>
      <c r="BX109" s="249"/>
      <c r="BY109" s="249"/>
      <c r="BZ109" s="249"/>
      <c r="CA109" s="249"/>
      <c r="CB109" s="249"/>
      <c r="CC109" s="249"/>
      <c r="CD109" s="249"/>
      <c r="CE109" s="249"/>
      <c r="CF109" s="249"/>
      <c r="CG109" s="249"/>
      <c r="CH109" s="249"/>
      <c r="CI109" s="249"/>
      <c r="CJ109" s="249"/>
      <c r="CK109" s="249"/>
    </row>
    <row r="110" spans="1:89" ht="18" customHeight="1" x14ac:dyDescent="0.25">
      <c r="A110" s="201">
        <v>2</v>
      </c>
      <c r="B110" s="250">
        <v>30</v>
      </c>
      <c r="C110" s="203">
        <f t="shared" si="0"/>
        <v>54</v>
      </c>
      <c r="D110" s="204"/>
      <c r="E110" s="204"/>
      <c r="F110" s="205" t="s">
        <v>114</v>
      </c>
      <c r="G110" s="206"/>
      <c r="H110" s="207" t="s">
        <v>120</v>
      </c>
      <c r="I110" s="208" t="s">
        <v>121</v>
      </c>
      <c r="J110" s="208" t="s">
        <v>122</v>
      </c>
      <c r="K110" s="209" t="s">
        <v>118</v>
      </c>
      <c r="L110" s="210"/>
      <c r="M110" s="211" t="s">
        <v>123</v>
      </c>
      <c r="N110" s="212"/>
      <c r="O110" s="213">
        <f>SUMIF([1]Mestre!$G$137:$G$409,THEO!A110,[1]Mestre!$AG$137:$AG$409)/4</f>
        <v>2862.5024999999996</v>
      </c>
      <c r="P110" s="214">
        <v>54</v>
      </c>
      <c r="Q110" s="214"/>
      <c r="R110" s="214"/>
      <c r="S110" s="214"/>
      <c r="T110" s="214"/>
      <c r="U110" s="215">
        <f t="shared" si="1"/>
        <v>28.5</v>
      </c>
      <c r="V110" s="216">
        <f t="shared" si="2"/>
        <v>0.18571428571428572</v>
      </c>
      <c r="W110" s="217">
        <f t="shared" si="3"/>
        <v>41.25</v>
      </c>
      <c r="X110" s="218" t="s">
        <v>18</v>
      </c>
      <c r="Y110" s="219" t="str">
        <f t="shared" si="4"/>
        <v>35 Suporte/Dia</v>
      </c>
      <c r="Z110" s="220" t="str">
        <f t="shared" si="5"/>
        <v>1,67 Suporte / HH</v>
      </c>
      <c r="AA110" s="221">
        <f t="shared" si="6"/>
        <v>1.67</v>
      </c>
      <c r="AB110" s="222" t="str">
        <f t="shared" si="7"/>
        <v>1,9 Suporte /HH</v>
      </c>
      <c r="AC110" s="223">
        <f t="shared" si="8"/>
        <v>2</v>
      </c>
      <c r="AD110" s="224">
        <v>1</v>
      </c>
      <c r="AE110" s="225">
        <v>1</v>
      </c>
      <c r="AF110" s="226">
        <f t="shared" si="9"/>
        <v>81.785785714285709</v>
      </c>
      <c r="AG110" s="227">
        <f t="shared" si="10"/>
        <v>1472.1441428571427</v>
      </c>
      <c r="AH110" s="228" t="s">
        <v>25</v>
      </c>
      <c r="AI110" s="229" t="str">
        <f t="shared" si="11"/>
        <v>Extremamente Complexa</v>
      </c>
      <c r="AJ110" s="230" t="str">
        <f t="shared" si="12"/>
        <v>Normal</v>
      </c>
      <c r="AK110" s="231">
        <f t="shared" si="13"/>
        <v>2103.0630612244895</v>
      </c>
      <c r="AL110" s="232">
        <f t="shared" si="14"/>
        <v>0.5</v>
      </c>
      <c r="AM110" s="233">
        <f t="shared" si="15"/>
        <v>1051.5315306122448</v>
      </c>
      <c r="AN110" s="233">
        <f t="shared" si="16"/>
        <v>1051.5315306122448</v>
      </c>
      <c r="AO110" s="234">
        <f t="shared" si="17"/>
        <v>4.1513402376927973E-2</v>
      </c>
      <c r="AP110" s="235">
        <f t="shared" si="18"/>
        <v>0.95</v>
      </c>
      <c r="AQ110" s="235">
        <f t="shared" si="18"/>
        <v>0.9</v>
      </c>
      <c r="AR110" s="236">
        <f t="shared" si="19"/>
        <v>0.9</v>
      </c>
      <c r="AS110" s="251">
        <f t="shared" si="20"/>
        <v>1.9444444444444444</v>
      </c>
      <c r="AT110" s="238">
        <f t="shared" si="21"/>
        <v>35</v>
      </c>
      <c r="AU110" s="239">
        <f t="shared" si="22"/>
        <v>0</v>
      </c>
      <c r="AV110" s="239">
        <f t="shared" si="23"/>
        <v>0</v>
      </c>
      <c r="AW110" s="239">
        <f t="shared" si="24"/>
        <v>0.05</v>
      </c>
      <c r="AX110" s="240">
        <f t="shared" si="25"/>
        <v>35</v>
      </c>
      <c r="AY110" s="241">
        <f t="shared" si="26"/>
        <v>0.22999999999999998</v>
      </c>
      <c r="AZ110" s="242">
        <f>IFERROR(VLOOKUP(M110,'[1]Base Brasil Obras'!$C$2:$F$485,4,0),"")</f>
        <v>1.6666666666666667</v>
      </c>
      <c r="BA110" s="243">
        <f t="shared" si="27"/>
        <v>28.5</v>
      </c>
      <c r="BB110" s="244">
        <f t="shared" si="28"/>
        <v>9.9999999999999978E-2</v>
      </c>
      <c r="BC110" s="244">
        <f t="shared" si="29"/>
        <v>0.05</v>
      </c>
      <c r="BD110" s="245">
        <f t="shared" si="30"/>
        <v>0.85000000000000009</v>
      </c>
      <c r="BE110" s="246">
        <f t="shared" si="31"/>
        <v>1.6666666666666667</v>
      </c>
      <c r="BF110" s="247">
        <v>2</v>
      </c>
      <c r="BG110" s="248">
        <f t="shared" si="32"/>
        <v>1</v>
      </c>
      <c r="BH110" s="198"/>
      <c r="BI110" s="198"/>
      <c r="BJ110" s="199"/>
      <c r="BK110" s="200"/>
      <c r="BL110" s="200"/>
      <c r="BM110" s="200"/>
      <c r="BN110" s="200"/>
      <c r="BO110" s="10"/>
    </row>
    <row r="111" spans="1:89" ht="18" x14ac:dyDescent="0.25">
      <c r="A111" s="201">
        <v>3</v>
      </c>
      <c r="B111" s="202">
        <v>40</v>
      </c>
      <c r="C111" s="203">
        <f t="shared" si="0"/>
        <v>250</v>
      </c>
      <c r="D111" s="204"/>
      <c r="E111" s="204"/>
      <c r="F111" s="205" t="s">
        <v>114</v>
      </c>
      <c r="G111" s="206"/>
      <c r="H111" s="207" t="s">
        <v>124</v>
      </c>
      <c r="I111" s="208" t="s">
        <v>125</v>
      </c>
      <c r="J111" s="208" t="s">
        <v>126</v>
      </c>
      <c r="K111" s="209" t="s">
        <v>127</v>
      </c>
      <c r="L111" s="210"/>
      <c r="M111" s="211" t="s">
        <v>128</v>
      </c>
      <c r="N111" s="212"/>
      <c r="O111" s="213">
        <f>O110</f>
        <v>2862.5024999999996</v>
      </c>
      <c r="P111" s="214">
        <v>250</v>
      </c>
      <c r="Q111" s="214"/>
      <c r="R111" s="214"/>
      <c r="S111" s="214"/>
      <c r="T111" s="214"/>
      <c r="U111" s="215">
        <f t="shared" si="1"/>
        <v>38</v>
      </c>
      <c r="V111" s="216">
        <f t="shared" si="2"/>
        <v>0.71641791044776126</v>
      </c>
      <c r="W111" s="217">
        <f t="shared" si="3"/>
        <v>144</v>
      </c>
      <c r="X111" s="218" t="s">
        <v>18</v>
      </c>
      <c r="Y111" s="219" t="str">
        <f t="shared" si="4"/>
        <v>134 Suporte/Dia</v>
      </c>
      <c r="Z111" s="220" t="str">
        <f t="shared" si="5"/>
        <v>2,22 Suporte / HH</v>
      </c>
      <c r="AA111" s="221">
        <f t="shared" si="6"/>
        <v>2.2200000000000002</v>
      </c>
      <c r="AB111" s="222" t="str">
        <f t="shared" si="7"/>
        <v>7,4 Suporte /HH</v>
      </c>
      <c r="AC111" s="223">
        <f t="shared" si="8"/>
        <v>2</v>
      </c>
      <c r="AD111" s="224">
        <v>1</v>
      </c>
      <c r="AE111" s="225">
        <v>1</v>
      </c>
      <c r="AF111" s="226">
        <f t="shared" si="9"/>
        <v>21.361958955223876</v>
      </c>
      <c r="AG111" s="227">
        <f t="shared" si="10"/>
        <v>384.51526119402979</v>
      </c>
      <c r="AH111" s="228" t="s">
        <v>23</v>
      </c>
      <c r="AI111" s="229" t="str">
        <f t="shared" si="11"/>
        <v>Extremamente Complexa</v>
      </c>
      <c r="AJ111" s="230" t="str">
        <f t="shared" si="12"/>
        <v>Normal</v>
      </c>
      <c r="AK111" s="231">
        <f t="shared" si="13"/>
        <v>549.30751599147118</v>
      </c>
      <c r="AL111" s="232">
        <f t="shared" si="14"/>
        <v>0.5</v>
      </c>
      <c r="AM111" s="233">
        <f t="shared" si="15"/>
        <v>274.65375799573559</v>
      </c>
      <c r="AN111" s="233">
        <f t="shared" si="16"/>
        <v>274.65375799573559</v>
      </c>
      <c r="AO111" s="234">
        <f t="shared" si="17"/>
        <v>1.0843052859645366E-2</v>
      </c>
      <c r="AP111" s="235">
        <f t="shared" si="18"/>
        <v>1</v>
      </c>
      <c r="AQ111" s="235">
        <f t="shared" si="18"/>
        <v>1</v>
      </c>
      <c r="AR111" s="235">
        <f t="shared" si="19"/>
        <v>1</v>
      </c>
      <c r="AS111" s="252">
        <f t="shared" si="20"/>
        <v>7.4444444444444446</v>
      </c>
      <c r="AT111" s="238">
        <f t="shared" si="21"/>
        <v>134</v>
      </c>
      <c r="AU111" s="239">
        <f t="shared" si="22"/>
        <v>0.02</v>
      </c>
      <c r="AV111" s="239">
        <f t="shared" si="23"/>
        <v>0</v>
      </c>
      <c r="AW111" s="239">
        <f t="shared" si="24"/>
        <v>0.05</v>
      </c>
      <c r="AX111" s="240">
        <f t="shared" si="25"/>
        <v>134</v>
      </c>
      <c r="AY111" s="241">
        <f t="shared" si="26"/>
        <v>5.18</v>
      </c>
      <c r="AZ111" s="242">
        <f>IFERROR(VLOOKUP(M111,'[1]Base Brasil Obras'!$C$2:$F$485,4,0),"")</f>
        <v>2.2222222222222223</v>
      </c>
      <c r="BA111" s="243">
        <f t="shared" si="27"/>
        <v>38</v>
      </c>
      <c r="BB111" s="244">
        <f t="shared" si="28"/>
        <v>0</v>
      </c>
      <c r="BC111" s="244">
        <f t="shared" si="29"/>
        <v>7.0000000000000007E-2</v>
      </c>
      <c r="BD111" s="245">
        <f t="shared" si="30"/>
        <v>0.92999999999999994</v>
      </c>
      <c r="BE111" s="246">
        <f t="shared" si="31"/>
        <v>2.2222222222222223</v>
      </c>
      <c r="BF111" s="247">
        <v>2</v>
      </c>
      <c r="BG111" s="248">
        <f t="shared" si="32"/>
        <v>1</v>
      </c>
      <c r="BH111" s="198"/>
      <c r="BI111" s="198"/>
      <c r="BJ111" s="199"/>
      <c r="BK111" s="200"/>
      <c r="BL111" s="200"/>
      <c r="BM111" s="200"/>
      <c r="BN111" s="200"/>
      <c r="BO111" s="10"/>
    </row>
    <row r="112" spans="1:89" ht="18" x14ac:dyDescent="0.25">
      <c r="A112" s="201">
        <v>4</v>
      </c>
      <c r="B112" s="202">
        <v>20</v>
      </c>
      <c r="C112" s="203">
        <f t="shared" si="0"/>
        <v>0</v>
      </c>
      <c r="D112" s="204"/>
      <c r="E112" s="204"/>
      <c r="F112" s="205" t="s">
        <v>129</v>
      </c>
      <c r="G112" s="206"/>
      <c r="H112" s="207" t="s">
        <v>115</v>
      </c>
      <c r="I112" s="208" t="s">
        <v>125</v>
      </c>
      <c r="J112" s="208" t="s">
        <v>126</v>
      </c>
      <c r="K112" s="209" t="s">
        <v>118</v>
      </c>
      <c r="L112" s="210"/>
      <c r="M112" s="211" t="s">
        <v>130</v>
      </c>
      <c r="N112" s="212"/>
      <c r="O112" s="213">
        <f>SUMIF([1]Mestre!$G$137:$G$409,THEO!A112,[1]Mestre!$AG$137:$AG$409)</f>
        <v>0</v>
      </c>
      <c r="P112" s="214"/>
      <c r="Q112" s="214"/>
      <c r="R112" s="214"/>
      <c r="S112" s="214"/>
      <c r="T112" s="214"/>
      <c r="U112" s="215">
        <f t="shared" si="1"/>
        <v>19</v>
      </c>
      <c r="V112" s="216">
        <f t="shared" si="2"/>
        <v>-5.555555555555558E-2</v>
      </c>
      <c r="W112" s="217">
        <f t="shared" si="3"/>
        <v>19</v>
      </c>
      <c r="X112" s="218" t="s">
        <v>15</v>
      </c>
      <c r="Y112" s="219" t="str">
        <f t="shared" si="4"/>
        <v>18 pç/Dia</v>
      </c>
      <c r="Z112" s="220" t="str">
        <f t="shared" si="5"/>
        <v>1,11 pç / HH</v>
      </c>
      <c r="AA112" s="221">
        <f t="shared" si="6"/>
        <v>1.1100000000000001</v>
      </c>
      <c r="AB112" s="222" t="str">
        <f t="shared" si="7"/>
        <v>0 pç /HH</v>
      </c>
      <c r="AC112" s="223">
        <f t="shared" si="8"/>
        <v>2</v>
      </c>
      <c r="AD112" s="224">
        <v>2</v>
      </c>
      <c r="AE112" s="225">
        <v>0</v>
      </c>
      <c r="AF112" s="226">
        <f t="shared" si="9"/>
        <v>0</v>
      </c>
      <c r="AG112" s="227">
        <f t="shared" si="10"/>
        <v>0</v>
      </c>
      <c r="AH112" s="228" t="s">
        <v>25</v>
      </c>
      <c r="AI112" s="229" t="str">
        <f t="shared" si="11"/>
        <v>Extremamente Complexa</v>
      </c>
      <c r="AJ112" s="230" t="str">
        <f t="shared" si="12"/>
        <v>Normal</v>
      </c>
      <c r="AK112" s="231">
        <f t="shared" si="13"/>
        <v>0</v>
      </c>
      <c r="AL112" s="232">
        <f t="shared" si="14"/>
        <v>1</v>
      </c>
      <c r="AM112" s="233">
        <f t="shared" si="15"/>
        <v>0</v>
      </c>
      <c r="AN112" s="233">
        <f t="shared" si="16"/>
        <v>0</v>
      </c>
      <c r="AO112" s="234">
        <f t="shared" si="17"/>
        <v>0</v>
      </c>
      <c r="AP112" s="235">
        <f t="shared" si="18"/>
        <v>1</v>
      </c>
      <c r="AQ112" s="235">
        <f t="shared" si="18"/>
        <v>1</v>
      </c>
      <c r="AR112" s="235">
        <f t="shared" si="19"/>
        <v>1</v>
      </c>
      <c r="AS112" s="251">
        <f t="shared" si="20"/>
        <v>0</v>
      </c>
      <c r="AT112" s="238">
        <f t="shared" si="21"/>
        <v>18</v>
      </c>
      <c r="AU112" s="239">
        <f t="shared" si="22"/>
        <v>0</v>
      </c>
      <c r="AV112" s="239">
        <f t="shared" si="23"/>
        <v>0</v>
      </c>
      <c r="AW112" s="239">
        <f t="shared" si="24"/>
        <v>0.05</v>
      </c>
      <c r="AX112" s="240">
        <f t="shared" si="25"/>
        <v>18</v>
      </c>
      <c r="AY112" s="241">
        <f t="shared" si="26"/>
        <v>-1.1100000000000001</v>
      </c>
      <c r="AZ112" s="242">
        <f>IFERROR(VLOOKUP(M112,'[1]Base Brasil Obras'!$C$2:$F$485,4,0),"")</f>
        <v>1.1111111111111112</v>
      </c>
      <c r="BA112" s="243">
        <f t="shared" si="27"/>
        <v>19</v>
      </c>
      <c r="BB112" s="244">
        <f t="shared" si="28"/>
        <v>0</v>
      </c>
      <c r="BC112" s="244">
        <f t="shared" si="29"/>
        <v>0.05</v>
      </c>
      <c r="BD112" s="245">
        <f t="shared" si="30"/>
        <v>0.95</v>
      </c>
      <c r="BE112" s="246">
        <f t="shared" si="31"/>
        <v>1.1111111111111112</v>
      </c>
      <c r="BF112" s="247">
        <v>2</v>
      </c>
      <c r="BG112" s="248">
        <f t="shared" si="32"/>
        <v>1</v>
      </c>
      <c r="BH112" s="198"/>
      <c r="BI112" s="198"/>
      <c r="BJ112" s="199"/>
      <c r="BK112" s="200"/>
      <c r="BL112" s="200"/>
      <c r="BM112" s="200"/>
      <c r="BN112" s="200"/>
      <c r="BO112" s="10"/>
    </row>
    <row r="113" spans="1:89" ht="18" x14ac:dyDescent="0.25">
      <c r="A113" s="201">
        <v>5</v>
      </c>
      <c r="B113" s="202">
        <v>60</v>
      </c>
      <c r="C113" s="203">
        <f t="shared" si="0"/>
        <v>0</v>
      </c>
      <c r="D113" s="204"/>
      <c r="E113" s="204"/>
      <c r="F113" s="205" t="s">
        <v>114</v>
      </c>
      <c r="G113" s="206"/>
      <c r="H113" s="207" t="s">
        <v>131</v>
      </c>
      <c r="I113" s="208" t="s">
        <v>125</v>
      </c>
      <c r="J113" s="208" t="s">
        <v>126</v>
      </c>
      <c r="K113" s="209" t="s">
        <v>118</v>
      </c>
      <c r="L113" s="210"/>
      <c r="M113" s="211" t="s">
        <v>132</v>
      </c>
      <c r="N113" s="212"/>
      <c r="O113" s="213">
        <f>SUMIF([1]Mestre!$G$137:$G$409,THEO!A113,[1]Mestre!$AG$137:$AG$409)</f>
        <v>0</v>
      </c>
      <c r="P113" s="214"/>
      <c r="Q113" s="214"/>
      <c r="R113" s="214"/>
      <c r="S113" s="214"/>
      <c r="T113" s="214"/>
      <c r="U113" s="215">
        <f t="shared" si="1"/>
        <v>57</v>
      </c>
      <c r="V113" s="216">
        <f t="shared" si="2"/>
        <v>-5.555555555555558E-2</v>
      </c>
      <c r="W113" s="217">
        <f t="shared" si="3"/>
        <v>57</v>
      </c>
      <c r="X113" s="218" t="s">
        <v>12</v>
      </c>
      <c r="Y113" s="219" t="str">
        <f t="shared" si="4"/>
        <v>54 mt/Dia</v>
      </c>
      <c r="Z113" s="220" t="str">
        <f t="shared" si="5"/>
        <v>2,22 mt / HH</v>
      </c>
      <c r="AA113" s="221">
        <f t="shared" si="6"/>
        <v>2.2200000000000002</v>
      </c>
      <c r="AB113" s="222" t="str">
        <f t="shared" si="7"/>
        <v>0 mt /HH</v>
      </c>
      <c r="AC113" s="223">
        <f t="shared" si="8"/>
        <v>3</v>
      </c>
      <c r="AD113" s="224">
        <v>2</v>
      </c>
      <c r="AE113" s="225">
        <v>1</v>
      </c>
      <c r="AF113" s="226">
        <f t="shared" si="9"/>
        <v>0</v>
      </c>
      <c r="AG113" s="227">
        <f t="shared" si="10"/>
        <v>0</v>
      </c>
      <c r="AH113" s="228" t="s">
        <v>25</v>
      </c>
      <c r="AI113" s="229" t="str">
        <f t="shared" si="11"/>
        <v>Extremamente Complexa</v>
      </c>
      <c r="AJ113" s="230" t="str">
        <f t="shared" si="12"/>
        <v>Normal</v>
      </c>
      <c r="AK113" s="231">
        <f t="shared" si="13"/>
        <v>0</v>
      </c>
      <c r="AL113" s="232">
        <f t="shared" si="14"/>
        <v>0.66666666666666663</v>
      </c>
      <c r="AM113" s="233">
        <f t="shared" si="15"/>
        <v>0</v>
      </c>
      <c r="AN113" s="233">
        <f t="shared" si="16"/>
        <v>0</v>
      </c>
      <c r="AO113" s="234">
        <f t="shared" si="17"/>
        <v>0</v>
      </c>
      <c r="AP113" s="235">
        <f t="shared" si="18"/>
        <v>1</v>
      </c>
      <c r="AQ113" s="235">
        <f t="shared" si="18"/>
        <v>1</v>
      </c>
      <c r="AR113" s="236">
        <f t="shared" si="19"/>
        <v>1</v>
      </c>
      <c r="AS113" s="252">
        <f t="shared" si="20"/>
        <v>0</v>
      </c>
      <c r="AT113" s="238">
        <f t="shared" si="21"/>
        <v>54</v>
      </c>
      <c r="AU113" s="239">
        <f t="shared" si="22"/>
        <v>0</v>
      </c>
      <c r="AV113" s="239">
        <f t="shared" si="23"/>
        <v>0</v>
      </c>
      <c r="AW113" s="239">
        <f t="shared" si="24"/>
        <v>0.05</v>
      </c>
      <c r="AX113" s="240">
        <f t="shared" si="25"/>
        <v>54</v>
      </c>
      <c r="AY113" s="241">
        <f t="shared" si="26"/>
        <v>-2.2200000000000002</v>
      </c>
      <c r="AZ113" s="242">
        <f>IFERROR(VLOOKUP(M113,'[1]Base Brasil Obras'!$C$2:$F$485,4,0),"")</f>
        <v>2.2222222222222223</v>
      </c>
      <c r="BA113" s="243">
        <f t="shared" si="27"/>
        <v>57</v>
      </c>
      <c r="BB113" s="244">
        <f t="shared" si="28"/>
        <v>0</v>
      </c>
      <c r="BC113" s="244">
        <f t="shared" si="29"/>
        <v>0.05</v>
      </c>
      <c r="BD113" s="245">
        <f t="shared" si="30"/>
        <v>0.95</v>
      </c>
      <c r="BE113" s="246">
        <f t="shared" si="31"/>
        <v>2.2222222222222223</v>
      </c>
      <c r="BF113" s="247">
        <v>3</v>
      </c>
      <c r="BG113" s="248">
        <f t="shared" si="32"/>
        <v>1</v>
      </c>
      <c r="BH113" s="198"/>
      <c r="BI113" s="198"/>
      <c r="BJ113" s="199"/>
      <c r="BK113" s="200"/>
      <c r="BL113" s="200"/>
      <c r="BM113" s="200"/>
      <c r="BN113" s="200"/>
      <c r="BO113" s="10"/>
    </row>
    <row r="114" spans="1:89" ht="18" customHeight="1" x14ac:dyDescent="0.25">
      <c r="A114" s="201">
        <v>6</v>
      </c>
      <c r="B114" s="202">
        <v>60</v>
      </c>
      <c r="C114" s="203">
        <f t="shared" si="0"/>
        <v>0</v>
      </c>
      <c r="D114" s="204"/>
      <c r="E114" s="204"/>
      <c r="F114" s="205" t="s">
        <v>114</v>
      </c>
      <c r="G114" s="206"/>
      <c r="H114" s="207" t="s">
        <v>133</v>
      </c>
      <c r="I114" s="208" t="s">
        <v>134</v>
      </c>
      <c r="J114" s="208" t="s">
        <v>122</v>
      </c>
      <c r="K114" s="209" t="s">
        <v>118</v>
      </c>
      <c r="L114" s="210"/>
      <c r="M114" s="211" t="s">
        <v>135</v>
      </c>
      <c r="N114" s="253"/>
      <c r="O114" s="213">
        <f>SUMIF([1]Mestre!$G$137:$G$409,THEO!A114,[1]Mestre!$AG$137:$AG$409)*3</f>
        <v>4422</v>
      </c>
      <c r="P114" s="214"/>
      <c r="Q114" s="214"/>
      <c r="R114" s="214"/>
      <c r="S114" s="214"/>
      <c r="T114" s="214"/>
      <c r="U114" s="215">
        <f t="shared" si="1"/>
        <v>57</v>
      </c>
      <c r="V114" s="216">
        <f t="shared" si="2"/>
        <v>-0.1875</v>
      </c>
      <c r="W114" s="217">
        <f t="shared" si="3"/>
        <v>57</v>
      </c>
      <c r="X114" s="218" t="s">
        <v>12</v>
      </c>
      <c r="Y114" s="219" t="str">
        <f t="shared" si="4"/>
        <v>48 mt/Dia</v>
      </c>
      <c r="Z114" s="220" t="str">
        <f t="shared" si="5"/>
        <v>2,22 mt / HH</v>
      </c>
      <c r="AA114" s="221">
        <f t="shared" si="6"/>
        <v>2.2200000000000002</v>
      </c>
      <c r="AB114" s="222" t="str">
        <f t="shared" si="7"/>
        <v>1,8 mt /HH</v>
      </c>
      <c r="AC114" s="223">
        <f t="shared" si="8"/>
        <v>3</v>
      </c>
      <c r="AD114" s="224">
        <v>2</v>
      </c>
      <c r="AE114" s="225">
        <v>1</v>
      </c>
      <c r="AF114" s="226">
        <f t="shared" si="9"/>
        <v>92.125</v>
      </c>
      <c r="AG114" s="227">
        <f t="shared" si="10"/>
        <v>2487.375</v>
      </c>
      <c r="AH114" s="228" t="s">
        <v>25</v>
      </c>
      <c r="AI114" s="229" t="str">
        <f t="shared" si="11"/>
        <v>Extremamente Complexa</v>
      </c>
      <c r="AJ114" s="230" t="str">
        <f t="shared" si="12"/>
        <v>Normal</v>
      </c>
      <c r="AK114" s="231">
        <f t="shared" si="13"/>
        <v>3553.3928571428573</v>
      </c>
      <c r="AL114" s="232">
        <f t="shared" si="14"/>
        <v>0.66666666666666663</v>
      </c>
      <c r="AM114" s="233">
        <f t="shared" si="15"/>
        <v>2368.9285714285716</v>
      </c>
      <c r="AN114" s="233">
        <f t="shared" si="16"/>
        <v>1184.4642857142858</v>
      </c>
      <c r="AO114" s="234">
        <f t="shared" si="17"/>
        <v>7.0142179852650158E-2</v>
      </c>
      <c r="AP114" s="235">
        <f t="shared" si="18"/>
        <v>0.93</v>
      </c>
      <c r="AQ114" s="235">
        <f t="shared" si="18"/>
        <v>0.9</v>
      </c>
      <c r="AR114" s="235">
        <f t="shared" si="19"/>
        <v>0.9</v>
      </c>
      <c r="AS114" s="251">
        <f t="shared" si="20"/>
        <v>1.7777777777777777</v>
      </c>
      <c r="AT114" s="238">
        <f t="shared" si="21"/>
        <v>48</v>
      </c>
      <c r="AU114" s="239">
        <f t="shared" si="22"/>
        <v>0</v>
      </c>
      <c r="AV114" s="239">
        <f t="shared" si="23"/>
        <v>0</v>
      </c>
      <c r="AW114" s="239">
        <f t="shared" si="24"/>
        <v>0.05</v>
      </c>
      <c r="AX114" s="240">
        <f t="shared" si="25"/>
        <v>48</v>
      </c>
      <c r="AY114" s="241">
        <f t="shared" si="26"/>
        <v>-0.42000000000000015</v>
      </c>
      <c r="AZ114" s="242">
        <f>IFERROR(VLOOKUP(M114,'[1]Base Brasil Obras'!$C$2:$F$485,4,0),"")</f>
        <v>2.2222222222222223</v>
      </c>
      <c r="BA114" s="243">
        <f t="shared" si="27"/>
        <v>57</v>
      </c>
      <c r="BB114" s="244">
        <f t="shared" si="28"/>
        <v>9.9999999999999978E-2</v>
      </c>
      <c r="BC114" s="244">
        <f t="shared" si="29"/>
        <v>0.05</v>
      </c>
      <c r="BD114" s="245">
        <f t="shared" si="30"/>
        <v>0.85000000000000009</v>
      </c>
      <c r="BE114" s="246">
        <f t="shared" si="31"/>
        <v>2.2222222222222223</v>
      </c>
      <c r="BF114" s="247">
        <v>3</v>
      </c>
      <c r="BG114" s="248">
        <f t="shared" si="32"/>
        <v>1</v>
      </c>
      <c r="BH114" s="198"/>
      <c r="BI114" s="198"/>
      <c r="BJ114" s="199"/>
      <c r="BK114" s="200"/>
      <c r="BL114" s="200"/>
      <c r="BM114" s="200"/>
      <c r="BN114" s="200"/>
      <c r="BO114" s="10"/>
      <c r="BP114" s="249"/>
      <c r="BQ114" s="249"/>
      <c r="BR114" s="249"/>
      <c r="BS114" s="249"/>
      <c r="BT114" s="249"/>
      <c r="BU114" s="249"/>
      <c r="BV114" s="249"/>
      <c r="BW114" s="249"/>
      <c r="BX114" s="249"/>
      <c r="BY114" s="249"/>
      <c r="BZ114" s="249"/>
      <c r="CA114" s="249"/>
      <c r="CB114" s="249"/>
      <c r="CC114" s="249"/>
      <c r="CD114" s="249"/>
      <c r="CE114" s="249"/>
      <c r="CF114" s="249"/>
      <c r="CG114" s="249"/>
      <c r="CH114" s="249"/>
      <c r="CI114" s="249"/>
      <c r="CJ114" s="249"/>
      <c r="CK114" s="249"/>
    </row>
    <row r="115" spans="1:89" ht="18" customHeight="1" x14ac:dyDescent="0.25">
      <c r="A115" s="201">
        <v>7</v>
      </c>
      <c r="B115" s="202">
        <v>40</v>
      </c>
      <c r="C115" s="203">
        <f t="shared" si="0"/>
        <v>0</v>
      </c>
      <c r="D115" s="204"/>
      <c r="E115" s="204"/>
      <c r="F115" s="205" t="s">
        <v>114</v>
      </c>
      <c r="G115" s="206"/>
      <c r="H115" s="207" t="s">
        <v>133</v>
      </c>
      <c r="I115" s="208" t="s">
        <v>125</v>
      </c>
      <c r="J115" s="208" t="s">
        <v>126</v>
      </c>
      <c r="K115" s="209" t="s">
        <v>118</v>
      </c>
      <c r="L115" s="210"/>
      <c r="M115" s="211" t="s">
        <v>136</v>
      </c>
      <c r="N115" s="253"/>
      <c r="O115" s="213">
        <f>SUMIF([1]Mestre!$G$137:$G$409,THEO!A115,[1]Mestre!$AG$137:$AG$409)</f>
        <v>0</v>
      </c>
      <c r="P115" s="214"/>
      <c r="Q115" s="214"/>
      <c r="R115" s="214"/>
      <c r="S115" s="214"/>
      <c r="T115" s="214"/>
      <c r="U115" s="215">
        <f t="shared" si="1"/>
        <v>38</v>
      </c>
      <c r="V115" s="216">
        <f t="shared" si="2"/>
        <v>-5.555555555555558E-2</v>
      </c>
      <c r="W115" s="217">
        <f t="shared" si="3"/>
        <v>38</v>
      </c>
      <c r="X115" s="218" t="s">
        <v>12</v>
      </c>
      <c r="Y115" s="219" t="str">
        <f t="shared" si="4"/>
        <v>36 mt/Dia</v>
      </c>
      <c r="Z115" s="220" t="str">
        <f t="shared" si="5"/>
        <v>1,48 mt / HH</v>
      </c>
      <c r="AA115" s="221">
        <f t="shared" si="6"/>
        <v>1.48</v>
      </c>
      <c r="AB115" s="222" t="str">
        <f t="shared" si="7"/>
        <v>0 mt /HH</v>
      </c>
      <c r="AC115" s="223">
        <f t="shared" si="8"/>
        <v>3</v>
      </c>
      <c r="AD115" s="224">
        <v>2</v>
      </c>
      <c r="AE115" s="225">
        <v>1</v>
      </c>
      <c r="AF115" s="226">
        <f t="shared" si="9"/>
        <v>0</v>
      </c>
      <c r="AG115" s="227">
        <f t="shared" si="10"/>
        <v>0</v>
      </c>
      <c r="AH115" s="228" t="s">
        <v>25</v>
      </c>
      <c r="AI115" s="229" t="str">
        <f t="shared" si="11"/>
        <v>Extremamente Complexa</v>
      </c>
      <c r="AJ115" s="230" t="str">
        <f t="shared" si="12"/>
        <v>Normal</v>
      </c>
      <c r="AK115" s="231">
        <f t="shared" si="13"/>
        <v>0</v>
      </c>
      <c r="AL115" s="232">
        <f t="shared" si="14"/>
        <v>0.66666666666666663</v>
      </c>
      <c r="AM115" s="233">
        <f t="shared" si="15"/>
        <v>0</v>
      </c>
      <c r="AN115" s="233">
        <f t="shared" si="16"/>
        <v>0</v>
      </c>
      <c r="AO115" s="234">
        <f t="shared" si="17"/>
        <v>0</v>
      </c>
      <c r="AP115" s="235">
        <f t="shared" si="18"/>
        <v>1</v>
      </c>
      <c r="AQ115" s="235">
        <f t="shared" si="18"/>
        <v>1</v>
      </c>
      <c r="AR115" s="236">
        <f t="shared" si="19"/>
        <v>1</v>
      </c>
      <c r="AS115" s="252">
        <f t="shared" si="20"/>
        <v>0</v>
      </c>
      <c r="AT115" s="238">
        <f t="shared" si="21"/>
        <v>36</v>
      </c>
      <c r="AU115" s="239">
        <f t="shared" si="22"/>
        <v>0</v>
      </c>
      <c r="AV115" s="239">
        <f t="shared" si="23"/>
        <v>0</v>
      </c>
      <c r="AW115" s="239">
        <f t="shared" si="24"/>
        <v>0.05</v>
      </c>
      <c r="AX115" s="240">
        <f t="shared" si="25"/>
        <v>36</v>
      </c>
      <c r="AY115" s="241">
        <f t="shared" si="26"/>
        <v>-1.48</v>
      </c>
      <c r="AZ115" s="242">
        <f>IFERROR(VLOOKUP(M115,'[1]Base Brasil Obras'!$C$2:$F$485,4,0),"")</f>
        <v>1.4814814814814814</v>
      </c>
      <c r="BA115" s="243">
        <f t="shared" si="27"/>
        <v>38</v>
      </c>
      <c r="BB115" s="244">
        <f t="shared" si="28"/>
        <v>0</v>
      </c>
      <c r="BC115" s="244">
        <f t="shared" si="29"/>
        <v>0.05</v>
      </c>
      <c r="BD115" s="245">
        <f t="shared" si="30"/>
        <v>0.95</v>
      </c>
      <c r="BE115" s="246">
        <f t="shared" si="31"/>
        <v>1.4814814814814814</v>
      </c>
      <c r="BF115" s="247">
        <v>3</v>
      </c>
      <c r="BG115" s="248">
        <f t="shared" si="32"/>
        <v>1</v>
      </c>
      <c r="BH115" s="198"/>
      <c r="BI115" s="198"/>
      <c r="BJ115" s="199"/>
      <c r="BK115" s="200"/>
      <c r="BL115" s="200"/>
      <c r="BM115" s="200"/>
      <c r="BN115" s="200"/>
      <c r="BO115" s="10"/>
    </row>
    <row r="116" spans="1:89" ht="18" customHeight="1" x14ac:dyDescent="0.25">
      <c r="A116" s="201">
        <v>8</v>
      </c>
      <c r="B116" s="202">
        <v>60</v>
      </c>
      <c r="C116" s="203">
        <f t="shared" si="0"/>
        <v>0</v>
      </c>
      <c r="D116" s="204"/>
      <c r="E116" s="204"/>
      <c r="F116" s="205" t="s">
        <v>114</v>
      </c>
      <c r="G116" s="206"/>
      <c r="H116" s="207" t="s">
        <v>133</v>
      </c>
      <c r="I116" s="208" t="s">
        <v>134</v>
      </c>
      <c r="J116" s="208" t="s">
        <v>122</v>
      </c>
      <c r="K116" s="209" t="s">
        <v>118</v>
      </c>
      <c r="L116" s="210"/>
      <c r="M116" s="254" t="s">
        <v>137</v>
      </c>
      <c r="N116" s="212"/>
      <c r="O116" s="213">
        <f>SUMIF([1]Mestre!$G$137:$G$409,THEO!A116,[1]Mestre!$AG$137:$AG$409)*3</f>
        <v>1770</v>
      </c>
      <c r="P116" s="214"/>
      <c r="Q116" s="214"/>
      <c r="R116" s="214"/>
      <c r="S116" s="214"/>
      <c r="T116" s="214"/>
      <c r="U116" s="215">
        <f t="shared" si="1"/>
        <v>57</v>
      </c>
      <c r="V116" s="216">
        <f t="shared" si="2"/>
        <v>-0.1875</v>
      </c>
      <c r="W116" s="217">
        <f t="shared" si="3"/>
        <v>57</v>
      </c>
      <c r="X116" s="218" t="s">
        <v>12</v>
      </c>
      <c r="Y116" s="219" t="str">
        <f t="shared" si="4"/>
        <v>48 mt/Dia</v>
      </c>
      <c r="Z116" s="220" t="str">
        <f t="shared" si="5"/>
        <v>2,22 mt / HH</v>
      </c>
      <c r="AA116" s="221">
        <f t="shared" si="6"/>
        <v>2.2200000000000002</v>
      </c>
      <c r="AB116" s="222" t="str">
        <f t="shared" si="7"/>
        <v>1,8 mt /HH</v>
      </c>
      <c r="AC116" s="223">
        <f t="shared" si="8"/>
        <v>3</v>
      </c>
      <c r="AD116" s="224">
        <v>2</v>
      </c>
      <c r="AE116" s="225">
        <v>1</v>
      </c>
      <c r="AF116" s="226">
        <f t="shared" si="9"/>
        <v>36.875</v>
      </c>
      <c r="AG116" s="227">
        <f t="shared" si="10"/>
        <v>995.625</v>
      </c>
      <c r="AH116" s="228" t="s">
        <v>25</v>
      </c>
      <c r="AI116" s="229" t="str">
        <f t="shared" si="11"/>
        <v>Extremamente Complexa</v>
      </c>
      <c r="AJ116" s="230" t="str">
        <f t="shared" si="12"/>
        <v>Normal</v>
      </c>
      <c r="AK116" s="231">
        <f t="shared" si="13"/>
        <v>1422.3214285714287</v>
      </c>
      <c r="AL116" s="232">
        <f t="shared" si="14"/>
        <v>0.66666666666666663</v>
      </c>
      <c r="AM116" s="233">
        <f t="shared" si="15"/>
        <v>948.21428571428578</v>
      </c>
      <c r="AN116" s="233">
        <f t="shared" si="16"/>
        <v>474.10714285714289</v>
      </c>
      <c r="AO116" s="234">
        <f t="shared" si="17"/>
        <v>2.8075906453910175E-2</v>
      </c>
      <c r="AP116" s="235">
        <f t="shared" si="18"/>
        <v>0.93</v>
      </c>
      <c r="AQ116" s="235">
        <f t="shared" si="18"/>
        <v>0.9</v>
      </c>
      <c r="AR116" s="235">
        <f t="shared" si="19"/>
        <v>0.9</v>
      </c>
      <c r="AS116" s="251">
        <f t="shared" si="20"/>
        <v>1.7777777777777777</v>
      </c>
      <c r="AT116" s="238">
        <f t="shared" si="21"/>
        <v>48</v>
      </c>
      <c r="AU116" s="239">
        <f t="shared" si="22"/>
        <v>0</v>
      </c>
      <c r="AV116" s="239">
        <f t="shared" si="23"/>
        <v>0</v>
      </c>
      <c r="AW116" s="239">
        <f t="shared" si="24"/>
        <v>0.05</v>
      </c>
      <c r="AX116" s="240">
        <f t="shared" si="25"/>
        <v>48</v>
      </c>
      <c r="AY116" s="241">
        <f t="shared" si="26"/>
        <v>-0.42000000000000015</v>
      </c>
      <c r="AZ116" s="242">
        <f>IFERROR(VLOOKUP(M116,'[1]Base Brasil Obras'!$C$2:$F$485,4,0),"")</f>
        <v>2.2222222222222223</v>
      </c>
      <c r="BA116" s="243">
        <f t="shared" si="27"/>
        <v>57</v>
      </c>
      <c r="BB116" s="244">
        <f t="shared" si="28"/>
        <v>9.9999999999999978E-2</v>
      </c>
      <c r="BC116" s="244">
        <f t="shared" si="29"/>
        <v>0.05</v>
      </c>
      <c r="BD116" s="245">
        <f t="shared" si="30"/>
        <v>0.85000000000000009</v>
      </c>
      <c r="BE116" s="246">
        <f t="shared" si="31"/>
        <v>2.2222222222222223</v>
      </c>
      <c r="BF116" s="247">
        <v>3</v>
      </c>
      <c r="BG116" s="248">
        <f t="shared" si="32"/>
        <v>1</v>
      </c>
      <c r="BH116" s="198"/>
      <c r="BI116" s="198"/>
      <c r="BJ116" s="199"/>
      <c r="BK116" s="200"/>
      <c r="BL116" s="200"/>
      <c r="BM116" s="200"/>
      <c r="BN116" s="200"/>
      <c r="BO116" s="10"/>
    </row>
    <row r="117" spans="1:89" ht="18" customHeight="1" x14ac:dyDescent="0.25">
      <c r="A117" s="201">
        <v>9</v>
      </c>
      <c r="B117" s="202">
        <v>50</v>
      </c>
      <c r="C117" s="203">
        <f t="shared" si="0"/>
        <v>0</v>
      </c>
      <c r="D117" s="204"/>
      <c r="E117" s="204"/>
      <c r="F117" s="205" t="s">
        <v>114</v>
      </c>
      <c r="G117" s="206"/>
      <c r="H117" s="207" t="s">
        <v>133</v>
      </c>
      <c r="I117" s="208" t="s">
        <v>134</v>
      </c>
      <c r="J117" s="208" t="s">
        <v>122</v>
      </c>
      <c r="K117" s="209" t="s">
        <v>118</v>
      </c>
      <c r="L117" s="255"/>
      <c r="M117" s="256" t="s">
        <v>138</v>
      </c>
      <c r="N117" s="257"/>
      <c r="O117" s="213">
        <f>SUMIF([1]Mestre!$G$137:$G$409,THEO!A117,[1]Mestre!$AG$137:$AG$409)*3</f>
        <v>1455</v>
      </c>
      <c r="P117" s="214"/>
      <c r="Q117" s="214"/>
      <c r="R117" s="214"/>
      <c r="S117" s="214"/>
      <c r="T117" s="214"/>
      <c r="U117" s="215">
        <f t="shared" si="1"/>
        <v>47.5</v>
      </c>
      <c r="V117" s="216">
        <f t="shared" si="2"/>
        <v>-0.1875</v>
      </c>
      <c r="W117" s="217">
        <f t="shared" si="3"/>
        <v>47.5</v>
      </c>
      <c r="X117" s="218" t="s">
        <v>12</v>
      </c>
      <c r="Y117" s="219" t="str">
        <f t="shared" si="4"/>
        <v>40 mt/Dia</v>
      </c>
      <c r="Z117" s="220" t="str">
        <f t="shared" si="5"/>
        <v>1,85 mt / HH</v>
      </c>
      <c r="AA117" s="221">
        <f t="shared" si="6"/>
        <v>1.85</v>
      </c>
      <c r="AB117" s="222" t="str">
        <f t="shared" si="7"/>
        <v>1,5 mt /HH</v>
      </c>
      <c r="AC117" s="223">
        <f t="shared" si="8"/>
        <v>3</v>
      </c>
      <c r="AD117" s="224">
        <v>2</v>
      </c>
      <c r="AE117" s="225">
        <v>1</v>
      </c>
      <c r="AF117" s="226">
        <f t="shared" si="9"/>
        <v>36.375</v>
      </c>
      <c r="AG117" s="227">
        <f t="shared" si="10"/>
        <v>982.125</v>
      </c>
      <c r="AH117" s="228" t="s">
        <v>25</v>
      </c>
      <c r="AI117" s="229" t="str">
        <f t="shared" si="11"/>
        <v>Extremamente Complexa</v>
      </c>
      <c r="AJ117" s="230" t="str">
        <f t="shared" si="12"/>
        <v>Normal</v>
      </c>
      <c r="AK117" s="231">
        <f t="shared" si="13"/>
        <v>1403.0357142857144</v>
      </c>
      <c r="AL117" s="232">
        <f t="shared" si="14"/>
        <v>0.66666666666666663</v>
      </c>
      <c r="AM117" s="233">
        <f t="shared" si="15"/>
        <v>935.35714285714289</v>
      </c>
      <c r="AN117" s="233">
        <f t="shared" si="16"/>
        <v>467.67857142857156</v>
      </c>
      <c r="AO117" s="234">
        <f t="shared" si="17"/>
        <v>2.7695216196908005E-2</v>
      </c>
      <c r="AP117" s="235">
        <f t="shared" si="18"/>
        <v>0.93</v>
      </c>
      <c r="AQ117" s="235">
        <f t="shared" si="18"/>
        <v>0.9</v>
      </c>
      <c r="AR117" s="236">
        <f t="shared" si="19"/>
        <v>0.9</v>
      </c>
      <c r="AS117" s="252">
        <f t="shared" si="20"/>
        <v>1.4814814814814814</v>
      </c>
      <c r="AT117" s="238">
        <f t="shared" si="21"/>
        <v>40</v>
      </c>
      <c r="AU117" s="239">
        <f t="shared" si="22"/>
        <v>0</v>
      </c>
      <c r="AV117" s="239">
        <f t="shared" si="23"/>
        <v>0</v>
      </c>
      <c r="AW117" s="239">
        <f t="shared" si="24"/>
        <v>0.05</v>
      </c>
      <c r="AX117" s="240">
        <f t="shared" si="25"/>
        <v>40</v>
      </c>
      <c r="AY117" s="241">
        <f t="shared" si="26"/>
        <v>-0.35000000000000009</v>
      </c>
      <c r="AZ117" s="242">
        <f>IFERROR(VLOOKUP(M117,'[1]Base Brasil Obras'!$C$2:$F$485,4,0),"")</f>
        <v>1.8518518518518519</v>
      </c>
      <c r="BA117" s="243">
        <f t="shared" si="27"/>
        <v>47.5</v>
      </c>
      <c r="BB117" s="244">
        <f t="shared" si="28"/>
        <v>9.9999999999999978E-2</v>
      </c>
      <c r="BC117" s="244">
        <f t="shared" si="29"/>
        <v>0.05</v>
      </c>
      <c r="BD117" s="245">
        <f t="shared" si="30"/>
        <v>0.85000000000000009</v>
      </c>
      <c r="BE117" s="246">
        <f t="shared" si="31"/>
        <v>1.8518518518518519</v>
      </c>
      <c r="BF117" s="247">
        <v>3</v>
      </c>
      <c r="BG117" s="248">
        <f t="shared" si="32"/>
        <v>1</v>
      </c>
      <c r="BH117" s="198"/>
      <c r="BI117" s="198"/>
      <c r="BJ117" s="199"/>
      <c r="BK117" s="200"/>
      <c r="BL117" s="200"/>
      <c r="BM117" s="200"/>
      <c r="BN117" s="200"/>
      <c r="BO117" s="10"/>
    </row>
    <row r="118" spans="1:89" ht="18" customHeight="1" x14ac:dyDescent="0.25">
      <c r="A118" s="201">
        <v>10</v>
      </c>
      <c r="B118" s="202">
        <v>70</v>
      </c>
      <c r="C118" s="203">
        <f t="shared" si="0"/>
        <v>0</v>
      </c>
      <c r="D118" s="204"/>
      <c r="E118" s="204"/>
      <c r="F118" s="205" t="s">
        <v>114</v>
      </c>
      <c r="G118" s="206"/>
      <c r="H118" s="207" t="s">
        <v>133</v>
      </c>
      <c r="I118" s="208" t="s">
        <v>125</v>
      </c>
      <c r="J118" s="208" t="s">
        <v>126</v>
      </c>
      <c r="K118" s="209" t="s">
        <v>118</v>
      </c>
      <c r="L118" s="255"/>
      <c r="M118" s="211" t="s">
        <v>139</v>
      </c>
      <c r="N118" s="257"/>
      <c r="O118" s="213">
        <f>SUMIF([1]Mestre!$G$137:$G$409,THEO!A118,[1]Mestre!$AG$137:$AG$409)</f>
        <v>0</v>
      </c>
      <c r="P118" s="214"/>
      <c r="Q118" s="214"/>
      <c r="R118" s="214"/>
      <c r="S118" s="214"/>
      <c r="T118" s="214"/>
      <c r="U118" s="215">
        <f t="shared" si="1"/>
        <v>66.5</v>
      </c>
      <c r="V118" s="216">
        <f t="shared" si="2"/>
        <v>-5.555555555555558E-2</v>
      </c>
      <c r="W118" s="217">
        <f t="shared" si="3"/>
        <v>66.5</v>
      </c>
      <c r="X118" s="218" t="s">
        <v>12</v>
      </c>
      <c r="Y118" s="219" t="str">
        <f t="shared" si="4"/>
        <v>63 mt/Dia</v>
      </c>
      <c r="Z118" s="220" t="str">
        <f t="shared" si="5"/>
        <v>2,59 mt / HH</v>
      </c>
      <c r="AA118" s="221">
        <f t="shared" si="6"/>
        <v>2.59</v>
      </c>
      <c r="AB118" s="222" t="str">
        <f t="shared" si="7"/>
        <v>0 mt /HH</v>
      </c>
      <c r="AC118" s="223">
        <f t="shared" si="8"/>
        <v>3</v>
      </c>
      <c r="AD118" s="224">
        <v>2</v>
      </c>
      <c r="AE118" s="225">
        <v>1</v>
      </c>
      <c r="AF118" s="226">
        <f t="shared" si="9"/>
        <v>0</v>
      </c>
      <c r="AG118" s="227">
        <f t="shared" si="10"/>
        <v>0</v>
      </c>
      <c r="AH118" s="228" t="s">
        <v>25</v>
      </c>
      <c r="AI118" s="229" t="str">
        <f t="shared" si="11"/>
        <v>Extremamente Complexa</v>
      </c>
      <c r="AJ118" s="230" t="str">
        <f t="shared" si="12"/>
        <v>Normal</v>
      </c>
      <c r="AK118" s="231">
        <f t="shared" si="13"/>
        <v>0</v>
      </c>
      <c r="AL118" s="232">
        <f t="shared" si="14"/>
        <v>0.66666666666666663</v>
      </c>
      <c r="AM118" s="233">
        <f t="shared" si="15"/>
        <v>0</v>
      </c>
      <c r="AN118" s="233">
        <f t="shared" si="16"/>
        <v>0</v>
      </c>
      <c r="AO118" s="234">
        <f t="shared" si="17"/>
        <v>0</v>
      </c>
      <c r="AP118" s="235">
        <f t="shared" si="18"/>
        <v>1</v>
      </c>
      <c r="AQ118" s="235">
        <f t="shared" si="18"/>
        <v>1</v>
      </c>
      <c r="AR118" s="236">
        <f t="shared" si="19"/>
        <v>1</v>
      </c>
      <c r="AS118" s="251">
        <f t="shared" si="20"/>
        <v>0</v>
      </c>
      <c r="AT118" s="238">
        <f t="shared" si="21"/>
        <v>63</v>
      </c>
      <c r="AU118" s="239">
        <f t="shared" si="22"/>
        <v>0</v>
      </c>
      <c r="AV118" s="239">
        <f t="shared" si="23"/>
        <v>0</v>
      </c>
      <c r="AW118" s="239">
        <f t="shared" si="24"/>
        <v>0.05</v>
      </c>
      <c r="AX118" s="240">
        <f t="shared" si="25"/>
        <v>63</v>
      </c>
      <c r="AY118" s="241">
        <f t="shared" si="26"/>
        <v>-2.59</v>
      </c>
      <c r="AZ118" s="242">
        <f>IFERROR(VLOOKUP(M118,'[1]Base Brasil Obras'!$C$2:$F$485,4,0),"")</f>
        <v>2.5925925925925926</v>
      </c>
      <c r="BA118" s="243">
        <f t="shared" si="27"/>
        <v>66.5</v>
      </c>
      <c r="BB118" s="244">
        <f t="shared" si="28"/>
        <v>0</v>
      </c>
      <c r="BC118" s="244">
        <f t="shared" si="29"/>
        <v>0.05</v>
      </c>
      <c r="BD118" s="245">
        <f t="shared" si="30"/>
        <v>0.95</v>
      </c>
      <c r="BE118" s="246">
        <f t="shared" si="31"/>
        <v>2.5925925925925926</v>
      </c>
      <c r="BF118" s="247">
        <v>3</v>
      </c>
      <c r="BG118" s="248">
        <f t="shared" si="32"/>
        <v>1</v>
      </c>
      <c r="BH118" s="198"/>
      <c r="BI118" s="198"/>
      <c r="BJ118" s="199"/>
      <c r="BK118" s="200"/>
      <c r="BL118" s="200"/>
      <c r="BM118" s="200"/>
      <c r="BN118" s="200"/>
      <c r="BO118" s="10"/>
    </row>
    <row r="119" spans="1:89" ht="18" customHeight="1" x14ac:dyDescent="0.25">
      <c r="A119" s="201">
        <v>11</v>
      </c>
      <c r="B119" s="202">
        <v>60</v>
      </c>
      <c r="C119" s="203">
        <f t="shared" si="0"/>
        <v>0</v>
      </c>
      <c r="D119" s="204"/>
      <c r="E119" s="204"/>
      <c r="F119" s="205" t="s">
        <v>114</v>
      </c>
      <c r="G119" s="206"/>
      <c r="H119" s="207" t="s">
        <v>133</v>
      </c>
      <c r="I119" s="208" t="s">
        <v>134</v>
      </c>
      <c r="J119" s="208" t="s">
        <v>122</v>
      </c>
      <c r="K119" s="209" t="s">
        <v>118</v>
      </c>
      <c r="L119" s="255"/>
      <c r="M119" s="211" t="s">
        <v>140</v>
      </c>
      <c r="N119" s="257"/>
      <c r="O119" s="213">
        <f>SUMIF([1]Mestre!$G$137:$G$409,THEO!A119,[1]Mestre!$AG$137:$AG$409)*3</f>
        <v>3816</v>
      </c>
      <c r="P119" s="214"/>
      <c r="Q119" s="214"/>
      <c r="R119" s="214"/>
      <c r="S119" s="214"/>
      <c r="T119" s="214"/>
      <c r="U119" s="215">
        <f t="shared" si="1"/>
        <v>57</v>
      </c>
      <c r="V119" s="216">
        <f t="shared" si="2"/>
        <v>-0.1875</v>
      </c>
      <c r="W119" s="217">
        <f t="shared" si="3"/>
        <v>57</v>
      </c>
      <c r="X119" s="218" t="s">
        <v>12</v>
      </c>
      <c r="Y119" s="219" t="str">
        <f t="shared" si="4"/>
        <v>48 mt/Dia</v>
      </c>
      <c r="Z119" s="220" t="str">
        <f t="shared" si="5"/>
        <v>2,22 mt / HH</v>
      </c>
      <c r="AA119" s="221">
        <f t="shared" si="6"/>
        <v>2.2200000000000002</v>
      </c>
      <c r="AB119" s="222" t="str">
        <f t="shared" si="7"/>
        <v>1,8 mt /HH</v>
      </c>
      <c r="AC119" s="223">
        <f t="shared" si="8"/>
        <v>6</v>
      </c>
      <c r="AD119" s="224">
        <v>5</v>
      </c>
      <c r="AE119" s="225">
        <v>1</v>
      </c>
      <c r="AF119" s="226">
        <f t="shared" si="9"/>
        <v>39.75</v>
      </c>
      <c r="AG119" s="227">
        <f t="shared" si="10"/>
        <v>2146.5</v>
      </c>
      <c r="AH119" s="228" t="s">
        <v>25</v>
      </c>
      <c r="AI119" s="229" t="str">
        <f t="shared" si="11"/>
        <v>Extremamente Complexa</v>
      </c>
      <c r="AJ119" s="230" t="str">
        <f t="shared" si="12"/>
        <v>Normal</v>
      </c>
      <c r="AK119" s="231">
        <f t="shared" si="13"/>
        <v>3066.4285714285716</v>
      </c>
      <c r="AL119" s="232">
        <f t="shared" si="14"/>
        <v>0.83333333333333337</v>
      </c>
      <c r="AM119" s="233">
        <f t="shared" si="15"/>
        <v>2555.3571428571431</v>
      </c>
      <c r="AN119" s="233">
        <f t="shared" si="16"/>
        <v>511.07142857142844</v>
      </c>
      <c r="AO119" s="234">
        <f t="shared" si="17"/>
        <v>6.0529750863345326E-2</v>
      </c>
      <c r="AP119" s="235">
        <f t="shared" si="18"/>
        <v>0.93</v>
      </c>
      <c r="AQ119" s="235">
        <f t="shared" si="18"/>
        <v>0.9</v>
      </c>
      <c r="AR119" s="236">
        <f t="shared" si="19"/>
        <v>0.9</v>
      </c>
      <c r="AS119" s="252">
        <f t="shared" si="20"/>
        <v>1.7777777777777777</v>
      </c>
      <c r="AT119" s="238">
        <f t="shared" si="21"/>
        <v>48</v>
      </c>
      <c r="AU119" s="239">
        <f t="shared" si="22"/>
        <v>0</v>
      </c>
      <c r="AV119" s="239">
        <f t="shared" si="23"/>
        <v>0</v>
      </c>
      <c r="AW119" s="239">
        <f t="shared" si="24"/>
        <v>0.05</v>
      </c>
      <c r="AX119" s="240">
        <f t="shared" si="25"/>
        <v>48</v>
      </c>
      <c r="AY119" s="241">
        <f t="shared" si="26"/>
        <v>-0.42000000000000015</v>
      </c>
      <c r="AZ119" s="242">
        <f>IFERROR(VLOOKUP(M119,'[1]Base Brasil Obras'!$C$2:$F$485,4,0),"")</f>
        <v>2.2222222222222223</v>
      </c>
      <c r="BA119" s="243">
        <f t="shared" si="27"/>
        <v>57</v>
      </c>
      <c r="BB119" s="244">
        <f t="shared" si="28"/>
        <v>9.9999999999999978E-2</v>
      </c>
      <c r="BC119" s="244">
        <f t="shared" si="29"/>
        <v>0.05</v>
      </c>
      <c r="BD119" s="245">
        <f t="shared" si="30"/>
        <v>0.85000000000000009</v>
      </c>
      <c r="BE119" s="246">
        <f t="shared" si="31"/>
        <v>1.1111111111111112</v>
      </c>
      <c r="BF119" s="247">
        <v>3</v>
      </c>
      <c r="BG119" s="248">
        <f t="shared" si="32"/>
        <v>2</v>
      </c>
      <c r="BH119" s="198"/>
      <c r="BI119" s="198"/>
      <c r="BJ119" s="199"/>
      <c r="BK119" s="200"/>
      <c r="BL119" s="200"/>
      <c r="BM119" s="200"/>
      <c r="BN119" s="200"/>
      <c r="BO119" s="10"/>
    </row>
    <row r="120" spans="1:89" ht="18" customHeight="1" x14ac:dyDescent="0.25">
      <c r="A120" s="201">
        <v>12</v>
      </c>
      <c r="B120" s="202">
        <v>40</v>
      </c>
      <c r="C120" s="203">
        <f t="shared" si="0"/>
        <v>0</v>
      </c>
      <c r="D120" s="204"/>
      <c r="E120" s="204"/>
      <c r="F120" s="205" t="s">
        <v>114</v>
      </c>
      <c r="G120" s="206"/>
      <c r="H120" s="207" t="s">
        <v>133</v>
      </c>
      <c r="I120" s="208" t="s">
        <v>134</v>
      </c>
      <c r="J120" s="208" t="s">
        <v>122</v>
      </c>
      <c r="K120" s="209" t="s">
        <v>118</v>
      </c>
      <c r="L120" s="255"/>
      <c r="M120" s="211" t="s">
        <v>141</v>
      </c>
      <c r="N120" s="257"/>
      <c r="O120" s="213">
        <f>SUMIF([1]Mestre!$G$137:$G$409,THEO!A120,[1]Mestre!$AG$137:$AG$409)*3</f>
        <v>3126</v>
      </c>
      <c r="P120" s="214"/>
      <c r="Q120" s="214"/>
      <c r="R120" s="214"/>
      <c r="S120" s="214"/>
      <c r="T120" s="214"/>
      <c r="U120" s="215">
        <f t="shared" si="1"/>
        <v>38</v>
      </c>
      <c r="V120" s="216">
        <f t="shared" si="2"/>
        <v>-0.1875</v>
      </c>
      <c r="W120" s="217">
        <f t="shared" si="3"/>
        <v>38</v>
      </c>
      <c r="X120" s="218" t="s">
        <v>12</v>
      </c>
      <c r="Y120" s="219" t="str">
        <f t="shared" si="4"/>
        <v>32 mt/Dia</v>
      </c>
      <c r="Z120" s="220" t="str">
        <f t="shared" si="5"/>
        <v>1,48 mt / HH</v>
      </c>
      <c r="AA120" s="221">
        <f t="shared" si="6"/>
        <v>1.48</v>
      </c>
      <c r="AB120" s="222" t="str">
        <f t="shared" si="7"/>
        <v>1,2 mt /HH</v>
      </c>
      <c r="AC120" s="223">
        <f t="shared" si="8"/>
        <v>3</v>
      </c>
      <c r="AD120" s="224">
        <v>2</v>
      </c>
      <c r="AE120" s="225">
        <v>1</v>
      </c>
      <c r="AF120" s="226">
        <f t="shared" si="9"/>
        <v>97.6875</v>
      </c>
      <c r="AG120" s="227">
        <f t="shared" si="10"/>
        <v>2637.5625</v>
      </c>
      <c r="AH120" s="228" t="s">
        <v>25</v>
      </c>
      <c r="AI120" s="229" t="str">
        <f t="shared" si="11"/>
        <v>Extremamente Complexa</v>
      </c>
      <c r="AJ120" s="230" t="str">
        <f t="shared" si="12"/>
        <v>Normal</v>
      </c>
      <c r="AK120" s="231">
        <f t="shared" si="13"/>
        <v>3767.9464285714289</v>
      </c>
      <c r="AL120" s="232">
        <f t="shared" si="14"/>
        <v>0.66666666666666663</v>
      </c>
      <c r="AM120" s="233">
        <f t="shared" si="15"/>
        <v>2511.9642857142858</v>
      </c>
      <c r="AN120" s="233">
        <f t="shared" si="16"/>
        <v>1255.9821428571431</v>
      </c>
      <c r="AO120" s="234">
        <f t="shared" si="17"/>
        <v>7.4377358961799325E-2</v>
      </c>
      <c r="AP120" s="235">
        <f t="shared" si="18"/>
        <v>0.93</v>
      </c>
      <c r="AQ120" s="235">
        <f t="shared" si="18"/>
        <v>0.9</v>
      </c>
      <c r="AR120" s="235">
        <f t="shared" si="19"/>
        <v>0.9</v>
      </c>
      <c r="AS120" s="251">
        <f t="shared" si="20"/>
        <v>1.1851851851851851</v>
      </c>
      <c r="AT120" s="238">
        <f t="shared" si="21"/>
        <v>32</v>
      </c>
      <c r="AU120" s="239">
        <f t="shared" si="22"/>
        <v>0</v>
      </c>
      <c r="AV120" s="239">
        <f t="shared" si="23"/>
        <v>0</v>
      </c>
      <c r="AW120" s="239">
        <f t="shared" si="24"/>
        <v>0.05</v>
      </c>
      <c r="AX120" s="240">
        <f t="shared" si="25"/>
        <v>32</v>
      </c>
      <c r="AY120" s="241">
        <f t="shared" si="26"/>
        <v>-0.28000000000000003</v>
      </c>
      <c r="AZ120" s="242">
        <f>IFERROR(VLOOKUP(M120,'[1]Base Brasil Obras'!$C$2:$F$485,4,0),"")</f>
        <v>1.4814814814814814</v>
      </c>
      <c r="BA120" s="243">
        <f t="shared" si="27"/>
        <v>38</v>
      </c>
      <c r="BB120" s="244">
        <f t="shared" si="28"/>
        <v>9.9999999999999978E-2</v>
      </c>
      <c r="BC120" s="244">
        <f t="shared" si="29"/>
        <v>0.05</v>
      </c>
      <c r="BD120" s="245">
        <f t="shared" si="30"/>
        <v>0.85000000000000009</v>
      </c>
      <c r="BE120" s="246">
        <f t="shared" si="31"/>
        <v>1.4814814814814814</v>
      </c>
      <c r="BF120" s="247">
        <v>3</v>
      </c>
      <c r="BG120" s="248">
        <f t="shared" si="32"/>
        <v>1</v>
      </c>
      <c r="BH120" s="198"/>
      <c r="BI120" s="198"/>
      <c r="BJ120" s="199"/>
      <c r="BK120" s="200"/>
      <c r="BL120" s="200"/>
      <c r="BM120" s="200"/>
      <c r="BN120" s="200"/>
      <c r="BO120" s="10"/>
    </row>
    <row r="121" spans="1:89" ht="18" customHeight="1" x14ac:dyDescent="0.25">
      <c r="A121" s="201">
        <v>13</v>
      </c>
      <c r="B121" s="202">
        <v>55</v>
      </c>
      <c r="C121" s="203">
        <f t="shared" si="0"/>
        <v>0</v>
      </c>
      <c r="D121" s="204"/>
      <c r="E121" s="204"/>
      <c r="F121" s="205" t="s">
        <v>114</v>
      </c>
      <c r="G121" s="206"/>
      <c r="H121" s="207" t="s">
        <v>133</v>
      </c>
      <c r="I121" s="208" t="s">
        <v>125</v>
      </c>
      <c r="J121" s="208" t="s">
        <v>126</v>
      </c>
      <c r="K121" s="209" t="s">
        <v>118</v>
      </c>
      <c r="L121" s="255"/>
      <c r="M121" s="211" t="s">
        <v>142</v>
      </c>
      <c r="N121" s="257"/>
      <c r="O121" s="213">
        <f>SUMIF([1]Mestre!$G$137:$G$409,THEO!A121,[1]Mestre!$AG$137:$AG$409)</f>
        <v>0</v>
      </c>
      <c r="P121" s="214"/>
      <c r="Q121" s="214"/>
      <c r="R121" s="214"/>
      <c r="S121" s="214"/>
      <c r="T121" s="214"/>
      <c r="U121" s="215">
        <f t="shared" si="1"/>
        <v>52.25</v>
      </c>
      <c r="V121" s="216">
        <f t="shared" si="2"/>
        <v>-4.4999999999999929E-2</v>
      </c>
      <c r="W121" s="217">
        <f t="shared" si="3"/>
        <v>52.25</v>
      </c>
      <c r="X121" s="218" t="s">
        <v>12</v>
      </c>
      <c r="Y121" s="219" t="str">
        <f t="shared" si="4"/>
        <v>50 mt/Dia</v>
      </c>
      <c r="Z121" s="220" t="str">
        <f t="shared" si="5"/>
        <v>2,04 mt / HH</v>
      </c>
      <c r="AA121" s="221">
        <f t="shared" si="6"/>
        <v>2.04</v>
      </c>
      <c r="AB121" s="222" t="str">
        <f t="shared" si="7"/>
        <v>0 mt /HH</v>
      </c>
      <c r="AC121" s="223">
        <f t="shared" si="8"/>
        <v>3</v>
      </c>
      <c r="AD121" s="224">
        <v>2</v>
      </c>
      <c r="AE121" s="225">
        <v>1</v>
      </c>
      <c r="AF121" s="226">
        <f t="shared" si="9"/>
        <v>0</v>
      </c>
      <c r="AG121" s="227">
        <f t="shared" si="10"/>
        <v>0</v>
      </c>
      <c r="AH121" s="228" t="s">
        <v>25</v>
      </c>
      <c r="AI121" s="229" t="str">
        <f t="shared" si="11"/>
        <v>Extremamente Complexa</v>
      </c>
      <c r="AJ121" s="230" t="str">
        <f t="shared" si="12"/>
        <v>Normal</v>
      </c>
      <c r="AK121" s="231">
        <f t="shared" si="13"/>
        <v>0</v>
      </c>
      <c r="AL121" s="232">
        <f t="shared" si="14"/>
        <v>0.66666666666666663</v>
      </c>
      <c r="AM121" s="233">
        <f t="shared" si="15"/>
        <v>0</v>
      </c>
      <c r="AN121" s="233">
        <f t="shared" si="16"/>
        <v>0</v>
      </c>
      <c r="AO121" s="234">
        <f t="shared" si="17"/>
        <v>0</v>
      </c>
      <c r="AP121" s="235">
        <f t="shared" si="18"/>
        <v>1</v>
      </c>
      <c r="AQ121" s="235">
        <f t="shared" si="18"/>
        <v>1</v>
      </c>
      <c r="AR121" s="235">
        <f t="shared" si="19"/>
        <v>1</v>
      </c>
      <c r="AS121" s="252">
        <f t="shared" si="20"/>
        <v>0</v>
      </c>
      <c r="AT121" s="238">
        <f t="shared" si="21"/>
        <v>50</v>
      </c>
      <c r="AU121" s="239">
        <f t="shared" si="22"/>
        <v>0</v>
      </c>
      <c r="AV121" s="239">
        <f t="shared" si="23"/>
        <v>0</v>
      </c>
      <c r="AW121" s="239">
        <f t="shared" si="24"/>
        <v>0.05</v>
      </c>
      <c r="AX121" s="240">
        <f t="shared" si="25"/>
        <v>50</v>
      </c>
      <c r="AY121" s="241">
        <f t="shared" si="26"/>
        <v>-2.04</v>
      </c>
      <c r="AZ121" s="242">
        <f>IFERROR(VLOOKUP(M121,'[1]Base Brasil Obras'!$C$2:$F$485,4,0),"")</f>
        <v>2.0370370370370372</v>
      </c>
      <c r="BA121" s="243">
        <f t="shared" si="27"/>
        <v>52.25</v>
      </c>
      <c r="BB121" s="244">
        <f t="shared" si="28"/>
        <v>0</v>
      </c>
      <c r="BC121" s="244">
        <f t="shared" si="29"/>
        <v>0.05</v>
      </c>
      <c r="BD121" s="245">
        <f t="shared" si="30"/>
        <v>0.95</v>
      </c>
      <c r="BE121" s="246">
        <f t="shared" si="31"/>
        <v>2.0370370370370372</v>
      </c>
      <c r="BF121" s="247">
        <v>3</v>
      </c>
      <c r="BG121" s="248">
        <f t="shared" si="32"/>
        <v>1</v>
      </c>
      <c r="BH121" s="198"/>
      <c r="BI121" s="198"/>
      <c r="BJ121" s="199"/>
      <c r="BK121" s="200"/>
      <c r="BL121" s="200"/>
      <c r="BM121" s="200"/>
      <c r="BN121" s="200"/>
      <c r="BO121" s="10"/>
    </row>
    <row r="122" spans="1:89" ht="18" customHeight="1" x14ac:dyDescent="0.25">
      <c r="A122" s="201">
        <v>14</v>
      </c>
      <c r="B122" s="202">
        <v>15</v>
      </c>
      <c r="C122" s="203">
        <f t="shared" si="0"/>
        <v>0</v>
      </c>
      <c r="D122" s="204"/>
      <c r="E122" s="204"/>
      <c r="F122" s="205" t="s">
        <v>114</v>
      </c>
      <c r="G122" s="206"/>
      <c r="H122" s="207" t="s">
        <v>131</v>
      </c>
      <c r="I122" s="208" t="s">
        <v>125</v>
      </c>
      <c r="J122" s="208" t="s">
        <v>126</v>
      </c>
      <c r="K122" s="209" t="s">
        <v>118</v>
      </c>
      <c r="L122" s="255"/>
      <c r="M122" s="211" t="s">
        <v>143</v>
      </c>
      <c r="N122" s="257"/>
      <c r="O122" s="213">
        <f>SUMIF([1]Mestre!$G$137:$G$409,THEO!A122,[1]Mestre!$AG$137:$AG$409)</f>
        <v>290</v>
      </c>
      <c r="P122" s="214"/>
      <c r="Q122" s="214"/>
      <c r="R122" s="214"/>
      <c r="S122" s="214"/>
      <c r="T122" s="214"/>
      <c r="U122" s="215">
        <f t="shared" si="1"/>
        <v>14.25</v>
      </c>
      <c r="V122" s="216">
        <f t="shared" si="2"/>
        <v>-1.7857142857142794E-2</v>
      </c>
      <c r="W122" s="217">
        <f t="shared" si="3"/>
        <v>14.25</v>
      </c>
      <c r="X122" s="218" t="s">
        <v>4</v>
      </c>
      <c r="Y122" s="219" t="str">
        <f t="shared" si="4"/>
        <v>14 JB/Dia</v>
      </c>
      <c r="Z122" s="220" t="str">
        <f t="shared" si="5"/>
        <v>0,83 JB / HH</v>
      </c>
      <c r="AA122" s="221">
        <f t="shared" si="6"/>
        <v>0.83</v>
      </c>
      <c r="AB122" s="222" t="str">
        <f t="shared" si="7"/>
        <v>0,8 JB /HH</v>
      </c>
      <c r="AC122" s="223">
        <f t="shared" si="8"/>
        <v>2</v>
      </c>
      <c r="AD122" s="224">
        <v>1</v>
      </c>
      <c r="AE122" s="225">
        <v>1</v>
      </c>
      <c r="AF122" s="226">
        <f t="shared" si="9"/>
        <v>20.714285714285715</v>
      </c>
      <c r="AG122" s="227">
        <f t="shared" si="10"/>
        <v>372.85714285714289</v>
      </c>
      <c r="AH122" s="228" t="s">
        <v>25</v>
      </c>
      <c r="AI122" s="229" t="str">
        <f t="shared" si="11"/>
        <v>Extremamente Complexa</v>
      </c>
      <c r="AJ122" s="230" t="str">
        <f t="shared" si="12"/>
        <v>Normal</v>
      </c>
      <c r="AK122" s="231">
        <f t="shared" si="13"/>
        <v>532.65306122448987</v>
      </c>
      <c r="AL122" s="232">
        <f t="shared" si="14"/>
        <v>0.5</v>
      </c>
      <c r="AM122" s="233">
        <f t="shared" si="15"/>
        <v>266.32653061224494</v>
      </c>
      <c r="AN122" s="233">
        <f t="shared" si="16"/>
        <v>266.32653061224494</v>
      </c>
      <c r="AO122" s="234">
        <f t="shared" si="17"/>
        <v>1.0514302336250461E-2</v>
      </c>
      <c r="AP122" s="235">
        <f t="shared" si="18"/>
        <v>1</v>
      </c>
      <c r="AQ122" s="235">
        <f t="shared" si="18"/>
        <v>1</v>
      </c>
      <c r="AR122" s="236">
        <f t="shared" si="19"/>
        <v>1</v>
      </c>
      <c r="AS122" s="251">
        <f t="shared" si="20"/>
        <v>0.77777777777777768</v>
      </c>
      <c r="AT122" s="238">
        <f t="shared" si="21"/>
        <v>14</v>
      </c>
      <c r="AU122" s="239">
        <f t="shared" si="22"/>
        <v>0</v>
      </c>
      <c r="AV122" s="239">
        <f t="shared" si="23"/>
        <v>0</v>
      </c>
      <c r="AW122" s="239">
        <f t="shared" si="24"/>
        <v>0.05</v>
      </c>
      <c r="AX122" s="240">
        <f t="shared" si="25"/>
        <v>14</v>
      </c>
      <c r="AY122" s="241">
        <f t="shared" si="26"/>
        <v>-2.9999999999999916E-2</v>
      </c>
      <c r="AZ122" s="242">
        <f>IFERROR(VLOOKUP(M122,'[1]Base Brasil Obras'!$C$2:$F$485,4,0),"")</f>
        <v>0.83333333333333337</v>
      </c>
      <c r="BA122" s="243">
        <f t="shared" si="27"/>
        <v>14.25</v>
      </c>
      <c r="BB122" s="244">
        <f t="shared" si="28"/>
        <v>0</v>
      </c>
      <c r="BC122" s="244">
        <f t="shared" si="29"/>
        <v>0.05</v>
      </c>
      <c r="BD122" s="245">
        <f t="shared" si="30"/>
        <v>0.95</v>
      </c>
      <c r="BE122" s="246">
        <f t="shared" si="31"/>
        <v>0.83333333333333337</v>
      </c>
      <c r="BF122" s="247">
        <v>2</v>
      </c>
      <c r="BG122" s="248">
        <f t="shared" si="32"/>
        <v>1</v>
      </c>
      <c r="BH122" s="198"/>
      <c r="BI122" s="198"/>
      <c r="BJ122" s="199"/>
      <c r="BK122" s="200"/>
      <c r="BL122" s="200"/>
      <c r="BM122" s="200"/>
      <c r="BN122" s="200"/>
      <c r="BO122" s="10"/>
    </row>
    <row r="123" spans="1:89" ht="18" customHeight="1" x14ac:dyDescent="0.25">
      <c r="A123" s="201">
        <v>15</v>
      </c>
      <c r="B123" s="202">
        <v>4</v>
      </c>
      <c r="C123" s="203">
        <f t="shared" si="0"/>
        <v>0</v>
      </c>
      <c r="D123" s="204"/>
      <c r="E123" s="204"/>
      <c r="F123" s="205" t="s">
        <v>114</v>
      </c>
      <c r="G123" s="206"/>
      <c r="H123" s="207" t="s">
        <v>131</v>
      </c>
      <c r="I123" s="208" t="s">
        <v>125</v>
      </c>
      <c r="J123" s="208" t="s">
        <v>126</v>
      </c>
      <c r="K123" s="209" t="s">
        <v>144</v>
      </c>
      <c r="L123" s="255"/>
      <c r="M123" s="211" t="s">
        <v>145</v>
      </c>
      <c r="N123" s="257"/>
      <c r="O123" s="213">
        <f>SUMIF([1]Mestre!$G$137:$G$409,THEO!A123,[1]Mestre!$AG$137:$AG$409)</f>
        <v>0</v>
      </c>
      <c r="P123" s="214"/>
      <c r="Q123" s="214"/>
      <c r="R123" s="214"/>
      <c r="S123" s="214"/>
      <c r="T123" s="214"/>
      <c r="U123" s="215">
        <f t="shared" si="1"/>
        <v>3.8</v>
      </c>
      <c r="V123" s="216">
        <f t="shared" si="2"/>
        <v>5.0000000000000044E-2</v>
      </c>
      <c r="W123" s="217">
        <f t="shared" si="3"/>
        <v>3.8</v>
      </c>
      <c r="X123" s="218" t="s">
        <v>4</v>
      </c>
      <c r="Y123" s="219" t="str">
        <f t="shared" si="4"/>
        <v>4 JB/Dia</v>
      </c>
      <c r="Z123" s="220" t="str">
        <f t="shared" si="5"/>
        <v>0,22 JB / HH</v>
      </c>
      <c r="AA123" s="221">
        <f t="shared" si="6"/>
        <v>0.22</v>
      </c>
      <c r="AB123" s="222" t="str">
        <f t="shared" si="7"/>
        <v>0 JB /HH</v>
      </c>
      <c r="AC123" s="223">
        <f t="shared" si="8"/>
        <v>2</v>
      </c>
      <c r="AD123" s="224">
        <v>1</v>
      </c>
      <c r="AE123" s="225">
        <v>1</v>
      </c>
      <c r="AF123" s="226">
        <f t="shared" si="9"/>
        <v>0</v>
      </c>
      <c r="AG123" s="227">
        <f t="shared" si="10"/>
        <v>0</v>
      </c>
      <c r="AH123" s="228" t="s">
        <v>25</v>
      </c>
      <c r="AI123" s="229" t="str">
        <f t="shared" si="11"/>
        <v>Extremamente Complexa</v>
      </c>
      <c r="AJ123" s="230" t="str">
        <f t="shared" si="12"/>
        <v>Normal</v>
      </c>
      <c r="AK123" s="231">
        <f t="shared" si="13"/>
        <v>0</v>
      </c>
      <c r="AL123" s="232">
        <f t="shared" si="14"/>
        <v>0.5</v>
      </c>
      <c r="AM123" s="233">
        <f t="shared" si="15"/>
        <v>0</v>
      </c>
      <c r="AN123" s="233">
        <f t="shared" si="16"/>
        <v>0</v>
      </c>
      <c r="AO123" s="234">
        <f t="shared" si="17"/>
        <v>0</v>
      </c>
      <c r="AP123" s="235">
        <f t="shared" si="18"/>
        <v>1</v>
      </c>
      <c r="AQ123" s="235">
        <f t="shared" si="18"/>
        <v>1</v>
      </c>
      <c r="AR123" s="235">
        <f t="shared" si="19"/>
        <v>1</v>
      </c>
      <c r="AS123" s="252">
        <f t="shared" si="20"/>
        <v>0</v>
      </c>
      <c r="AT123" s="238">
        <f t="shared" si="21"/>
        <v>4</v>
      </c>
      <c r="AU123" s="239">
        <f t="shared" si="22"/>
        <v>0</v>
      </c>
      <c r="AV123" s="239">
        <f t="shared" si="23"/>
        <v>0</v>
      </c>
      <c r="AW123" s="239">
        <f t="shared" si="24"/>
        <v>0.05</v>
      </c>
      <c r="AX123" s="240">
        <f t="shared" si="25"/>
        <v>4</v>
      </c>
      <c r="AY123" s="241">
        <f t="shared" si="26"/>
        <v>-0.22</v>
      </c>
      <c r="AZ123" s="242">
        <f>IFERROR(VLOOKUP(M123,'[1]Base Brasil Obras'!$C$2:$F$485,4,0),"")</f>
        <v>0.22222222222222221</v>
      </c>
      <c r="BA123" s="243">
        <f t="shared" si="27"/>
        <v>3.8</v>
      </c>
      <c r="BB123" s="244">
        <f t="shared" si="28"/>
        <v>0</v>
      </c>
      <c r="BC123" s="244">
        <f t="shared" si="29"/>
        <v>0.05</v>
      </c>
      <c r="BD123" s="245">
        <f t="shared" si="30"/>
        <v>0.95</v>
      </c>
      <c r="BE123" s="246">
        <f t="shared" si="31"/>
        <v>0.22222222222222221</v>
      </c>
      <c r="BF123" s="247">
        <v>2</v>
      </c>
      <c r="BG123" s="248">
        <f t="shared" si="32"/>
        <v>1</v>
      </c>
      <c r="BH123" s="198"/>
      <c r="BI123" s="198"/>
      <c r="BJ123" s="199"/>
      <c r="BK123" s="200"/>
      <c r="BL123" s="200"/>
      <c r="BM123" s="200"/>
      <c r="BN123" s="200"/>
      <c r="BO123" s="10"/>
      <c r="BP123" s="249"/>
      <c r="BQ123" s="249"/>
      <c r="BR123" s="249"/>
      <c r="BS123" s="249"/>
      <c r="BT123" s="249"/>
      <c r="BU123" s="249"/>
      <c r="BV123" s="249"/>
      <c r="BW123" s="249"/>
      <c r="BX123" s="249"/>
      <c r="BY123" s="249"/>
      <c r="BZ123" s="249"/>
      <c r="CA123" s="249"/>
      <c r="CB123" s="249"/>
      <c r="CC123" s="249"/>
      <c r="CD123" s="249"/>
      <c r="CE123" s="249"/>
      <c r="CF123" s="249"/>
      <c r="CG123" s="249"/>
      <c r="CH123" s="249"/>
      <c r="CI123" s="249"/>
      <c r="CJ123" s="249"/>
      <c r="CK123" s="249"/>
    </row>
    <row r="124" spans="1:89" ht="18" customHeight="1" x14ac:dyDescent="0.25">
      <c r="A124" s="201">
        <v>16</v>
      </c>
      <c r="B124" s="202">
        <v>20</v>
      </c>
      <c r="C124" s="203">
        <f t="shared" si="0"/>
        <v>0</v>
      </c>
      <c r="D124" s="204"/>
      <c r="E124" s="204"/>
      <c r="F124" s="205" t="s">
        <v>146</v>
      </c>
      <c r="G124" s="206"/>
      <c r="H124" s="207" t="s">
        <v>133</v>
      </c>
      <c r="I124" s="208" t="s">
        <v>125</v>
      </c>
      <c r="J124" s="208" t="s">
        <v>126</v>
      </c>
      <c r="K124" s="209" t="s">
        <v>118</v>
      </c>
      <c r="L124" s="255"/>
      <c r="M124" s="211" t="s">
        <v>147</v>
      </c>
      <c r="N124" s="257"/>
      <c r="O124" s="213">
        <f>SUMIF([1]Mestre!$G$137:$G$409,THEO!A124,[1]Mestre!$AG$137:$AG$409)</f>
        <v>0</v>
      </c>
      <c r="P124" s="214"/>
      <c r="Q124" s="214"/>
      <c r="R124" s="214"/>
      <c r="S124" s="214"/>
      <c r="T124" s="214"/>
      <c r="U124" s="215">
        <f t="shared" si="1"/>
        <v>19</v>
      </c>
      <c r="V124" s="216">
        <f t="shared" si="2"/>
        <v>-5.555555555555558E-2</v>
      </c>
      <c r="W124" s="217">
        <f t="shared" si="3"/>
        <v>19</v>
      </c>
      <c r="X124" s="218" t="s">
        <v>16</v>
      </c>
      <c r="Y124" s="219" t="str">
        <f t="shared" si="4"/>
        <v>18 Pontos/Dia</v>
      </c>
      <c r="Z124" s="220" t="str">
        <f t="shared" si="5"/>
        <v>0,74 Pontos / HH</v>
      </c>
      <c r="AA124" s="221">
        <f t="shared" si="6"/>
        <v>0.74</v>
      </c>
      <c r="AB124" s="222" t="str">
        <f t="shared" si="7"/>
        <v>0 Pontos /HH</v>
      </c>
      <c r="AC124" s="223">
        <f t="shared" si="8"/>
        <v>3</v>
      </c>
      <c r="AD124" s="224">
        <v>2</v>
      </c>
      <c r="AE124" s="225">
        <v>1</v>
      </c>
      <c r="AF124" s="226">
        <f t="shared" si="9"/>
        <v>0</v>
      </c>
      <c r="AG124" s="227">
        <f t="shared" si="10"/>
        <v>0</v>
      </c>
      <c r="AH124" s="228" t="s">
        <v>25</v>
      </c>
      <c r="AI124" s="229" t="str">
        <f t="shared" si="11"/>
        <v>Extremamente Complexa</v>
      </c>
      <c r="AJ124" s="230" t="str">
        <f t="shared" si="12"/>
        <v>Normal</v>
      </c>
      <c r="AK124" s="231">
        <f t="shared" si="13"/>
        <v>0</v>
      </c>
      <c r="AL124" s="232">
        <f t="shared" si="14"/>
        <v>0.66666666666666663</v>
      </c>
      <c r="AM124" s="233">
        <f t="shared" si="15"/>
        <v>0</v>
      </c>
      <c r="AN124" s="233">
        <f t="shared" si="16"/>
        <v>0</v>
      </c>
      <c r="AO124" s="234">
        <f t="shared" si="17"/>
        <v>0</v>
      </c>
      <c r="AP124" s="235">
        <f t="shared" si="18"/>
        <v>1</v>
      </c>
      <c r="AQ124" s="235">
        <f t="shared" si="18"/>
        <v>1</v>
      </c>
      <c r="AR124" s="235">
        <f t="shared" si="19"/>
        <v>1</v>
      </c>
      <c r="AS124" s="251">
        <f t="shared" si="20"/>
        <v>0</v>
      </c>
      <c r="AT124" s="238">
        <f t="shared" si="21"/>
        <v>18</v>
      </c>
      <c r="AU124" s="239">
        <f t="shared" si="22"/>
        <v>0</v>
      </c>
      <c r="AV124" s="239">
        <f t="shared" si="23"/>
        <v>0</v>
      </c>
      <c r="AW124" s="239">
        <f t="shared" si="24"/>
        <v>0.05</v>
      </c>
      <c r="AX124" s="240">
        <f t="shared" si="25"/>
        <v>18</v>
      </c>
      <c r="AY124" s="241">
        <f t="shared" si="26"/>
        <v>-0.74</v>
      </c>
      <c r="AZ124" s="242">
        <f>IFERROR(VLOOKUP(M124,'[1]Base Brasil Obras'!$C$2:$F$485,4,0),"")</f>
        <v>0.7407407407407407</v>
      </c>
      <c r="BA124" s="243">
        <f t="shared" si="27"/>
        <v>19</v>
      </c>
      <c r="BB124" s="244">
        <f t="shared" si="28"/>
        <v>0</v>
      </c>
      <c r="BC124" s="244">
        <f t="shared" si="29"/>
        <v>0.05</v>
      </c>
      <c r="BD124" s="245">
        <f t="shared" si="30"/>
        <v>0.95</v>
      </c>
      <c r="BE124" s="246">
        <f t="shared" si="31"/>
        <v>0.7407407407407407</v>
      </c>
      <c r="BF124" s="247">
        <v>3</v>
      </c>
      <c r="BG124" s="248">
        <f t="shared" si="32"/>
        <v>1</v>
      </c>
      <c r="BH124" s="198"/>
      <c r="BI124" s="198"/>
      <c r="BJ124" s="199"/>
      <c r="BK124" s="200"/>
      <c r="BL124" s="200"/>
      <c r="BM124" s="200"/>
      <c r="BN124" s="200"/>
      <c r="BO124" s="10"/>
    </row>
    <row r="125" spans="1:89" ht="18" customHeight="1" x14ac:dyDescent="0.25">
      <c r="A125" s="201">
        <v>17</v>
      </c>
      <c r="B125" s="202">
        <v>6</v>
      </c>
      <c r="C125" s="203">
        <f t="shared" si="0"/>
        <v>0</v>
      </c>
      <c r="D125" s="204"/>
      <c r="E125" s="204"/>
      <c r="F125" s="205" t="s">
        <v>148</v>
      </c>
      <c r="G125" s="206"/>
      <c r="H125" s="207" t="s">
        <v>149</v>
      </c>
      <c r="I125" s="208" t="s">
        <v>125</v>
      </c>
      <c r="J125" s="208" t="s">
        <v>126</v>
      </c>
      <c r="K125" s="209" t="s">
        <v>118</v>
      </c>
      <c r="L125" s="255"/>
      <c r="M125" s="211" t="s">
        <v>150</v>
      </c>
      <c r="N125" s="257"/>
      <c r="O125" s="213">
        <f>SUMIF([1]Mestre!$G$137:$G$409,THEO!A125,[1]Mestre!$AG$137:$AG$409)</f>
        <v>0</v>
      </c>
      <c r="P125" s="214"/>
      <c r="Q125" s="214"/>
      <c r="R125" s="214"/>
      <c r="S125" s="214"/>
      <c r="T125" s="214"/>
      <c r="U125" s="215">
        <f t="shared" si="1"/>
        <v>5.6999999999999993</v>
      </c>
      <c r="V125" s="216">
        <f t="shared" si="2"/>
        <v>-0.1399999999999999</v>
      </c>
      <c r="W125" s="217">
        <f t="shared" si="3"/>
        <v>5.6999999999999993</v>
      </c>
      <c r="X125" s="218" t="s">
        <v>12</v>
      </c>
      <c r="Y125" s="219" t="str">
        <f t="shared" si="4"/>
        <v>5 mt/Dia</v>
      </c>
      <c r="Z125" s="220" t="str">
        <f t="shared" si="5"/>
        <v>0,22 mt / HH</v>
      </c>
      <c r="AA125" s="221">
        <f t="shared" si="6"/>
        <v>0.22</v>
      </c>
      <c r="AB125" s="222" t="str">
        <f t="shared" si="7"/>
        <v>0 mt /HH</v>
      </c>
      <c r="AC125" s="223">
        <f t="shared" si="8"/>
        <v>3</v>
      </c>
      <c r="AD125" s="224">
        <v>2</v>
      </c>
      <c r="AE125" s="225">
        <v>1</v>
      </c>
      <c r="AF125" s="226">
        <f t="shared" si="9"/>
        <v>0</v>
      </c>
      <c r="AG125" s="227">
        <f t="shared" si="10"/>
        <v>0</v>
      </c>
      <c r="AH125" s="228" t="s">
        <v>25</v>
      </c>
      <c r="AI125" s="229" t="str">
        <f t="shared" si="11"/>
        <v>Extremamente Complexa</v>
      </c>
      <c r="AJ125" s="230" t="str">
        <f t="shared" si="12"/>
        <v>Normal</v>
      </c>
      <c r="AK125" s="231">
        <f t="shared" si="13"/>
        <v>0</v>
      </c>
      <c r="AL125" s="232">
        <f t="shared" si="14"/>
        <v>0.66666666666666663</v>
      </c>
      <c r="AM125" s="233">
        <f t="shared" si="15"/>
        <v>0</v>
      </c>
      <c r="AN125" s="233">
        <f t="shared" si="16"/>
        <v>0</v>
      </c>
      <c r="AO125" s="234">
        <f t="shared" si="17"/>
        <v>0</v>
      </c>
      <c r="AP125" s="235">
        <f t="shared" si="18"/>
        <v>1</v>
      </c>
      <c r="AQ125" s="235">
        <f t="shared" si="18"/>
        <v>1</v>
      </c>
      <c r="AR125" s="235">
        <f t="shared" si="19"/>
        <v>1</v>
      </c>
      <c r="AS125" s="252">
        <f t="shared" si="20"/>
        <v>0</v>
      </c>
      <c r="AT125" s="238">
        <f t="shared" si="21"/>
        <v>5</v>
      </c>
      <c r="AU125" s="239">
        <f t="shared" si="22"/>
        <v>0</v>
      </c>
      <c r="AV125" s="239">
        <f t="shared" si="23"/>
        <v>0</v>
      </c>
      <c r="AW125" s="239">
        <f t="shared" si="24"/>
        <v>0.05</v>
      </c>
      <c r="AX125" s="240">
        <f t="shared" si="25"/>
        <v>5</v>
      </c>
      <c r="AY125" s="241">
        <f t="shared" si="26"/>
        <v>-0.22</v>
      </c>
      <c r="AZ125" s="242">
        <f>IFERROR(VLOOKUP(M125,'[1]Base Brasil Obras'!$C$2:$F$485,4,0),"")</f>
        <v>0.22222222222222221</v>
      </c>
      <c r="BA125" s="243">
        <f t="shared" si="27"/>
        <v>5.6999999999999993</v>
      </c>
      <c r="BB125" s="244">
        <f t="shared" si="28"/>
        <v>0</v>
      </c>
      <c r="BC125" s="244">
        <f t="shared" si="29"/>
        <v>0.05</v>
      </c>
      <c r="BD125" s="245">
        <f t="shared" si="30"/>
        <v>0.95</v>
      </c>
      <c r="BE125" s="246">
        <f t="shared" si="31"/>
        <v>0.22222222222222221</v>
      </c>
      <c r="BF125" s="247">
        <v>3</v>
      </c>
      <c r="BG125" s="248">
        <f t="shared" si="32"/>
        <v>1</v>
      </c>
      <c r="BH125" s="198"/>
      <c r="BI125" s="198"/>
      <c r="BJ125" s="199"/>
      <c r="BK125" s="200"/>
      <c r="BL125" s="200"/>
      <c r="BM125" s="200"/>
      <c r="BN125" s="200"/>
      <c r="BO125" s="10"/>
    </row>
    <row r="126" spans="1:89" ht="18" customHeight="1" x14ac:dyDescent="0.25">
      <c r="A126" s="201">
        <v>18</v>
      </c>
      <c r="B126" s="202">
        <v>90</v>
      </c>
      <c r="C126" s="203">
        <f t="shared" si="0"/>
        <v>0</v>
      </c>
      <c r="D126" s="204"/>
      <c r="E126" s="204"/>
      <c r="F126" s="205" t="s">
        <v>151</v>
      </c>
      <c r="G126" s="206"/>
      <c r="H126" s="207" t="s">
        <v>133</v>
      </c>
      <c r="I126" s="208" t="s">
        <v>134</v>
      </c>
      <c r="J126" s="208" t="s">
        <v>122</v>
      </c>
      <c r="K126" s="209" t="s">
        <v>118</v>
      </c>
      <c r="L126" s="255"/>
      <c r="M126" s="211" t="s">
        <v>152</v>
      </c>
      <c r="N126" s="257"/>
      <c r="O126" s="213">
        <f>SUMIF([1]Mestre!$G$137:$G$409,THEO!A126,[1]Mestre!$AG$137:$AG$409)*3</f>
        <v>7410</v>
      </c>
      <c r="P126" s="214"/>
      <c r="Q126" s="214"/>
      <c r="R126" s="214"/>
      <c r="S126" s="214"/>
      <c r="T126" s="214"/>
      <c r="U126" s="215">
        <f t="shared" si="1"/>
        <v>85.5</v>
      </c>
      <c r="V126" s="216">
        <f t="shared" si="2"/>
        <v>-0.17123287671232879</v>
      </c>
      <c r="W126" s="217">
        <f t="shared" si="3"/>
        <v>85.5</v>
      </c>
      <c r="X126" s="218" t="s">
        <v>12</v>
      </c>
      <c r="Y126" s="219" t="str">
        <f t="shared" si="4"/>
        <v>73 mt/Dia</v>
      </c>
      <c r="Z126" s="220" t="str">
        <f t="shared" si="5"/>
        <v>5 mt / HH</v>
      </c>
      <c r="AA126" s="221">
        <f t="shared" si="6"/>
        <v>5</v>
      </c>
      <c r="AB126" s="222" t="str">
        <f t="shared" si="7"/>
        <v>4,1 mt /HH</v>
      </c>
      <c r="AC126" s="223">
        <f t="shared" si="8"/>
        <v>2</v>
      </c>
      <c r="AD126" s="224">
        <v>1</v>
      </c>
      <c r="AE126" s="225">
        <v>1</v>
      </c>
      <c r="AF126" s="226">
        <f t="shared" si="9"/>
        <v>101.50684931506849</v>
      </c>
      <c r="AG126" s="227">
        <f t="shared" si="10"/>
        <v>1827.1232876712329</v>
      </c>
      <c r="AH126" s="228" t="s">
        <v>25</v>
      </c>
      <c r="AI126" s="229" t="str">
        <f t="shared" si="11"/>
        <v>Extremamente Complexa</v>
      </c>
      <c r="AJ126" s="230" t="str">
        <f t="shared" si="12"/>
        <v>Normal</v>
      </c>
      <c r="AK126" s="231">
        <f t="shared" si="13"/>
        <v>2610.1761252446186</v>
      </c>
      <c r="AL126" s="232">
        <f t="shared" si="14"/>
        <v>0.5</v>
      </c>
      <c r="AM126" s="233">
        <f t="shared" si="15"/>
        <v>1305.0880626223093</v>
      </c>
      <c r="AN126" s="233">
        <f t="shared" si="16"/>
        <v>1305.0880626223093</v>
      </c>
      <c r="AO126" s="234">
        <f t="shared" si="17"/>
        <v>5.1523558070978873E-2</v>
      </c>
      <c r="AP126" s="235">
        <f t="shared" si="18"/>
        <v>0.93</v>
      </c>
      <c r="AQ126" s="235">
        <f t="shared" si="18"/>
        <v>0.9</v>
      </c>
      <c r="AR126" s="236">
        <f t="shared" si="19"/>
        <v>0.9</v>
      </c>
      <c r="AS126" s="251">
        <f t="shared" si="20"/>
        <v>4.0555555555555554</v>
      </c>
      <c r="AT126" s="238">
        <f t="shared" si="21"/>
        <v>73</v>
      </c>
      <c r="AU126" s="239">
        <f t="shared" si="22"/>
        <v>0</v>
      </c>
      <c r="AV126" s="239">
        <f t="shared" si="23"/>
        <v>0</v>
      </c>
      <c r="AW126" s="239">
        <f t="shared" si="24"/>
        <v>0.05</v>
      </c>
      <c r="AX126" s="240">
        <f t="shared" si="25"/>
        <v>73</v>
      </c>
      <c r="AY126" s="241">
        <f t="shared" si="26"/>
        <v>-0.90000000000000036</v>
      </c>
      <c r="AZ126" s="242">
        <f>IFERROR(VLOOKUP(M126,'[1]Base Brasil Obras'!$C$2:$F$485,4,0),"")</f>
        <v>5</v>
      </c>
      <c r="BA126" s="243">
        <f t="shared" si="27"/>
        <v>85.5</v>
      </c>
      <c r="BB126" s="244">
        <f t="shared" si="28"/>
        <v>9.9999999999999978E-2</v>
      </c>
      <c r="BC126" s="244">
        <f t="shared" si="29"/>
        <v>0.05</v>
      </c>
      <c r="BD126" s="245">
        <f t="shared" si="30"/>
        <v>0.85000000000000009</v>
      </c>
      <c r="BE126" s="246">
        <f t="shared" si="31"/>
        <v>5</v>
      </c>
      <c r="BF126" s="247">
        <v>2</v>
      </c>
      <c r="BG126" s="248">
        <f t="shared" si="32"/>
        <v>1</v>
      </c>
      <c r="BH126" s="198"/>
      <c r="BI126" s="198"/>
      <c r="BJ126" s="199"/>
      <c r="BK126" s="200"/>
      <c r="BL126" s="200"/>
      <c r="BM126" s="200"/>
      <c r="BN126" s="200"/>
      <c r="BO126" s="10"/>
    </row>
    <row r="127" spans="1:89" ht="18" customHeight="1" x14ac:dyDescent="0.25">
      <c r="A127" s="201">
        <v>19</v>
      </c>
      <c r="B127" s="202">
        <v>90</v>
      </c>
      <c r="C127" s="203">
        <f t="shared" si="0"/>
        <v>0</v>
      </c>
      <c r="D127" s="204"/>
      <c r="E127" s="204"/>
      <c r="F127" s="205" t="s">
        <v>153</v>
      </c>
      <c r="G127" s="206"/>
      <c r="H127" s="207" t="s">
        <v>131</v>
      </c>
      <c r="I127" s="208" t="s">
        <v>125</v>
      </c>
      <c r="J127" s="208" t="s">
        <v>126</v>
      </c>
      <c r="K127" s="209" t="s">
        <v>154</v>
      </c>
      <c r="L127" s="255"/>
      <c r="M127" s="211" t="s">
        <v>155</v>
      </c>
      <c r="N127" s="257"/>
      <c r="O127" s="213">
        <f>290*4</f>
        <v>1160</v>
      </c>
      <c r="P127" s="214"/>
      <c r="Q127" s="214"/>
      <c r="R127" s="214"/>
      <c r="S127" s="214"/>
      <c r="T127" s="214"/>
      <c r="U127" s="215">
        <f t="shared" si="1"/>
        <v>85.5</v>
      </c>
      <c r="V127" s="216">
        <f t="shared" si="2"/>
        <v>-5.555555555555558E-2</v>
      </c>
      <c r="W127" s="217">
        <f t="shared" si="3"/>
        <v>85.5</v>
      </c>
      <c r="X127" s="218" t="s">
        <v>16</v>
      </c>
      <c r="Y127" s="219" t="str">
        <f t="shared" si="4"/>
        <v>81 Pontos/Dia</v>
      </c>
      <c r="Z127" s="220" t="str">
        <f t="shared" si="5"/>
        <v>5 Pontos / HH</v>
      </c>
      <c r="AA127" s="221">
        <f t="shared" si="6"/>
        <v>5</v>
      </c>
      <c r="AB127" s="222" t="str">
        <f t="shared" si="7"/>
        <v>4,5 Pontos /HH</v>
      </c>
      <c r="AC127" s="223">
        <f t="shared" si="8"/>
        <v>2</v>
      </c>
      <c r="AD127" s="224">
        <v>1</v>
      </c>
      <c r="AE127" s="225">
        <v>1</v>
      </c>
      <c r="AF127" s="226">
        <f t="shared" si="9"/>
        <v>14.320987654320987</v>
      </c>
      <c r="AG127" s="227">
        <f t="shared" si="10"/>
        <v>257.77777777777777</v>
      </c>
      <c r="AH127" s="228" t="s">
        <v>25</v>
      </c>
      <c r="AI127" s="229" t="str">
        <f t="shared" si="11"/>
        <v>Extremamente Complexa</v>
      </c>
      <c r="AJ127" s="230" t="str">
        <f t="shared" si="12"/>
        <v>Normal</v>
      </c>
      <c r="AK127" s="231">
        <f t="shared" si="13"/>
        <v>368.25396825396825</v>
      </c>
      <c r="AL127" s="232">
        <f t="shared" si="14"/>
        <v>0.5</v>
      </c>
      <c r="AM127" s="233">
        <f t="shared" si="15"/>
        <v>184.12698412698413</v>
      </c>
      <c r="AN127" s="233">
        <f t="shared" si="16"/>
        <v>184.12698412698413</v>
      </c>
      <c r="AO127" s="234">
        <f t="shared" si="17"/>
        <v>7.2691472941978485E-3</v>
      </c>
      <c r="AP127" s="235">
        <f t="shared" si="18"/>
        <v>1</v>
      </c>
      <c r="AQ127" s="235">
        <f t="shared" si="18"/>
        <v>1</v>
      </c>
      <c r="AR127" s="236">
        <f t="shared" si="19"/>
        <v>1</v>
      </c>
      <c r="AS127" s="252">
        <f t="shared" si="20"/>
        <v>4.5</v>
      </c>
      <c r="AT127" s="238">
        <f t="shared" si="21"/>
        <v>81</v>
      </c>
      <c r="AU127" s="239">
        <f t="shared" si="22"/>
        <v>0</v>
      </c>
      <c r="AV127" s="239">
        <f t="shared" si="23"/>
        <v>0</v>
      </c>
      <c r="AW127" s="239">
        <f t="shared" si="24"/>
        <v>0.05</v>
      </c>
      <c r="AX127" s="240">
        <f t="shared" si="25"/>
        <v>81</v>
      </c>
      <c r="AY127" s="241">
        <f t="shared" si="26"/>
        <v>-0.5</v>
      </c>
      <c r="AZ127" s="242">
        <f>IFERROR(VLOOKUP(M127,'[1]Base Brasil Obras'!$C$2:$F$485,4,0),"")</f>
        <v>5</v>
      </c>
      <c r="BA127" s="243">
        <f t="shared" si="27"/>
        <v>85.5</v>
      </c>
      <c r="BB127" s="244">
        <f t="shared" si="28"/>
        <v>0</v>
      </c>
      <c r="BC127" s="244">
        <f t="shared" si="29"/>
        <v>0.05</v>
      </c>
      <c r="BD127" s="245">
        <f t="shared" si="30"/>
        <v>0.95</v>
      </c>
      <c r="BE127" s="246">
        <f t="shared" si="31"/>
        <v>5</v>
      </c>
      <c r="BF127" s="247">
        <v>2</v>
      </c>
      <c r="BG127" s="248">
        <f t="shared" si="32"/>
        <v>1</v>
      </c>
      <c r="BH127" s="198"/>
      <c r="BI127" s="198"/>
      <c r="BJ127" s="199"/>
      <c r="BK127" s="200"/>
      <c r="BL127" s="200"/>
      <c r="BM127" s="200"/>
      <c r="BN127" s="200"/>
      <c r="BO127" s="10"/>
    </row>
    <row r="128" spans="1:89" ht="22.5" customHeight="1" x14ac:dyDescent="0.25">
      <c r="A128" s="201">
        <v>20</v>
      </c>
      <c r="B128" s="202">
        <v>75</v>
      </c>
      <c r="C128" s="203">
        <f t="shared" si="0"/>
        <v>0</v>
      </c>
      <c r="D128" s="204"/>
      <c r="E128" s="204"/>
      <c r="F128" s="205" t="s">
        <v>153</v>
      </c>
      <c r="G128" s="206"/>
      <c r="H128" s="207" t="s">
        <v>131</v>
      </c>
      <c r="I128" s="208" t="s">
        <v>125</v>
      </c>
      <c r="J128" s="208" t="s">
        <v>126</v>
      </c>
      <c r="K128" s="209" t="s">
        <v>154</v>
      </c>
      <c r="L128" s="255"/>
      <c r="M128" s="211" t="s">
        <v>156</v>
      </c>
      <c r="N128" s="257"/>
      <c r="O128" s="213">
        <v>60</v>
      </c>
      <c r="P128" s="214"/>
      <c r="Q128" s="214"/>
      <c r="R128" s="214"/>
      <c r="S128" s="214"/>
      <c r="T128" s="214"/>
      <c r="U128" s="215">
        <f t="shared" si="1"/>
        <v>71.25</v>
      </c>
      <c r="V128" s="216">
        <f t="shared" si="2"/>
        <v>-4.7794117647058876E-2</v>
      </c>
      <c r="W128" s="217">
        <f t="shared" si="3"/>
        <v>71.25</v>
      </c>
      <c r="X128" s="218" t="s">
        <v>16</v>
      </c>
      <c r="Y128" s="219" t="str">
        <f t="shared" si="4"/>
        <v>68 Pontos/Dia</v>
      </c>
      <c r="Z128" s="220" t="str">
        <f t="shared" si="5"/>
        <v>4,17 Pontos / HH</v>
      </c>
      <c r="AA128" s="221">
        <f t="shared" si="6"/>
        <v>4.17</v>
      </c>
      <c r="AB128" s="222" t="str">
        <f t="shared" si="7"/>
        <v>3,8 Pontos /HH</v>
      </c>
      <c r="AC128" s="223">
        <f t="shared" si="8"/>
        <v>2</v>
      </c>
      <c r="AD128" s="224">
        <v>1</v>
      </c>
      <c r="AE128" s="225">
        <v>1</v>
      </c>
      <c r="AF128" s="226">
        <f t="shared" si="9"/>
        <v>0.88235294117647056</v>
      </c>
      <c r="AG128" s="227">
        <f t="shared" si="10"/>
        <v>15.882352941176471</v>
      </c>
      <c r="AH128" s="228" t="s">
        <v>25</v>
      </c>
      <c r="AI128" s="229" t="str">
        <f t="shared" si="11"/>
        <v>Extremamente Complexa</v>
      </c>
      <c r="AJ128" s="230" t="str">
        <f t="shared" si="12"/>
        <v>Normal</v>
      </c>
      <c r="AK128" s="231">
        <f t="shared" si="13"/>
        <v>22.689075630252102</v>
      </c>
      <c r="AL128" s="232">
        <f t="shared" si="14"/>
        <v>0.5</v>
      </c>
      <c r="AM128" s="233">
        <f t="shared" si="15"/>
        <v>11.344537815126051</v>
      </c>
      <c r="AN128" s="233">
        <f t="shared" si="16"/>
        <v>11.344537815126051</v>
      </c>
      <c r="AO128" s="234">
        <f t="shared" si="17"/>
        <v>4.4787089059079041E-4</v>
      </c>
      <c r="AP128" s="235">
        <f t="shared" si="18"/>
        <v>1</v>
      </c>
      <c r="AQ128" s="235">
        <f t="shared" si="18"/>
        <v>1</v>
      </c>
      <c r="AR128" s="235">
        <f t="shared" si="19"/>
        <v>1</v>
      </c>
      <c r="AS128" s="251">
        <f t="shared" si="20"/>
        <v>3.7777777777777777</v>
      </c>
      <c r="AT128" s="238">
        <f t="shared" si="21"/>
        <v>68</v>
      </c>
      <c r="AU128" s="239">
        <f t="shared" si="22"/>
        <v>0</v>
      </c>
      <c r="AV128" s="239">
        <f t="shared" si="23"/>
        <v>0</v>
      </c>
      <c r="AW128" s="239">
        <f t="shared" si="24"/>
        <v>0.05</v>
      </c>
      <c r="AX128" s="240">
        <f t="shared" si="25"/>
        <v>68</v>
      </c>
      <c r="AY128" s="241">
        <f t="shared" si="26"/>
        <v>-0.37000000000000011</v>
      </c>
      <c r="AZ128" s="242">
        <f>IFERROR(VLOOKUP(M128,'[1]Base Brasil Obras'!$C$2:$F$485,4,0),"")</f>
        <v>4.166666666666667</v>
      </c>
      <c r="BA128" s="243">
        <f t="shared" si="27"/>
        <v>71.25</v>
      </c>
      <c r="BB128" s="244">
        <f t="shared" si="28"/>
        <v>0</v>
      </c>
      <c r="BC128" s="244">
        <f t="shared" si="29"/>
        <v>0.05</v>
      </c>
      <c r="BD128" s="245">
        <f t="shared" si="30"/>
        <v>0.95</v>
      </c>
      <c r="BE128" s="246">
        <f t="shared" si="31"/>
        <v>4.166666666666667</v>
      </c>
      <c r="BF128" s="247">
        <v>2</v>
      </c>
      <c r="BG128" s="248">
        <f t="shared" si="32"/>
        <v>1</v>
      </c>
      <c r="BH128" s="198"/>
      <c r="BI128" s="198"/>
      <c r="BJ128" s="199"/>
      <c r="BK128" s="200"/>
      <c r="BL128" s="200"/>
      <c r="BM128" s="200"/>
      <c r="BN128" s="200"/>
      <c r="BO128" s="10"/>
    </row>
    <row r="129" spans="1:89" ht="18" customHeight="1" x14ac:dyDescent="0.25">
      <c r="A129" s="201">
        <v>21</v>
      </c>
      <c r="B129" s="202">
        <v>20</v>
      </c>
      <c r="C129" s="203">
        <f t="shared" si="0"/>
        <v>0</v>
      </c>
      <c r="D129" s="204"/>
      <c r="E129" s="204"/>
      <c r="F129" s="205" t="s">
        <v>157</v>
      </c>
      <c r="G129" s="206"/>
      <c r="H129" s="207" t="s">
        <v>115</v>
      </c>
      <c r="I129" s="208" t="s">
        <v>125</v>
      </c>
      <c r="J129" s="208" t="s">
        <v>126</v>
      </c>
      <c r="K129" s="209" t="s">
        <v>154</v>
      </c>
      <c r="L129" s="255"/>
      <c r="M129" s="211" t="s">
        <v>158</v>
      </c>
      <c r="N129" s="257"/>
      <c r="O129" s="213">
        <v>60</v>
      </c>
      <c r="P129" s="214"/>
      <c r="Q129" s="214"/>
      <c r="R129" s="214"/>
      <c r="S129" s="214"/>
      <c r="T129" s="214"/>
      <c r="U129" s="215">
        <f t="shared" si="1"/>
        <v>19</v>
      </c>
      <c r="V129" s="216">
        <f t="shared" si="2"/>
        <v>-5.555555555555558E-2</v>
      </c>
      <c r="W129" s="217">
        <f t="shared" si="3"/>
        <v>19</v>
      </c>
      <c r="X129" s="218" t="s">
        <v>9</v>
      </c>
      <c r="Y129" s="219" t="str">
        <f t="shared" si="4"/>
        <v>18 Malhas contr./Dia</v>
      </c>
      <c r="Z129" s="220" t="str">
        <f t="shared" si="5"/>
        <v>1,11 Malhas contr. / HH</v>
      </c>
      <c r="AA129" s="221">
        <f t="shared" si="6"/>
        <v>1.1100000000000001</v>
      </c>
      <c r="AB129" s="222" t="str">
        <f t="shared" si="7"/>
        <v>1 Malhas contr. /HH</v>
      </c>
      <c r="AC129" s="223">
        <f t="shared" si="8"/>
        <v>2</v>
      </c>
      <c r="AD129" s="224">
        <v>1</v>
      </c>
      <c r="AE129" s="225">
        <v>1</v>
      </c>
      <c r="AF129" s="226">
        <f t="shared" si="9"/>
        <v>3.3333333333333335</v>
      </c>
      <c r="AG129" s="227">
        <f t="shared" si="10"/>
        <v>60</v>
      </c>
      <c r="AH129" s="228" t="s">
        <v>25</v>
      </c>
      <c r="AI129" s="229" t="str">
        <f t="shared" si="11"/>
        <v>Extremamente Complexa</v>
      </c>
      <c r="AJ129" s="230" t="str">
        <f t="shared" si="12"/>
        <v>Normal</v>
      </c>
      <c r="AK129" s="231">
        <f t="shared" si="13"/>
        <v>85.714285714285722</v>
      </c>
      <c r="AL129" s="232">
        <f t="shared" si="14"/>
        <v>0.5</v>
      </c>
      <c r="AM129" s="233">
        <f t="shared" si="15"/>
        <v>42.857142857142861</v>
      </c>
      <c r="AN129" s="233">
        <f t="shared" si="16"/>
        <v>42.857142857142861</v>
      </c>
      <c r="AO129" s="234">
        <f t="shared" si="17"/>
        <v>1.6919566977874306E-3</v>
      </c>
      <c r="AP129" s="235">
        <f t="shared" si="18"/>
        <v>1</v>
      </c>
      <c r="AQ129" s="235">
        <f t="shared" si="18"/>
        <v>1</v>
      </c>
      <c r="AR129" s="235">
        <f t="shared" si="19"/>
        <v>1</v>
      </c>
      <c r="AS129" s="252">
        <f t="shared" si="20"/>
        <v>1</v>
      </c>
      <c r="AT129" s="238">
        <f t="shared" si="21"/>
        <v>18</v>
      </c>
      <c r="AU129" s="239">
        <f t="shared" si="22"/>
        <v>0</v>
      </c>
      <c r="AV129" s="239">
        <f t="shared" si="23"/>
        <v>0</v>
      </c>
      <c r="AW129" s="239">
        <f t="shared" si="24"/>
        <v>0.05</v>
      </c>
      <c r="AX129" s="240">
        <f t="shared" si="25"/>
        <v>18</v>
      </c>
      <c r="AY129" s="241">
        <f t="shared" si="26"/>
        <v>-0.1100000000000001</v>
      </c>
      <c r="AZ129" s="242">
        <f>IFERROR(VLOOKUP(M129,'[1]Base Brasil Obras'!$C$2:$F$485,4,0),"")</f>
        <v>1.1111111111111112</v>
      </c>
      <c r="BA129" s="243">
        <f t="shared" si="27"/>
        <v>19</v>
      </c>
      <c r="BB129" s="244">
        <f t="shared" si="28"/>
        <v>0</v>
      </c>
      <c r="BC129" s="244">
        <f t="shared" si="29"/>
        <v>0.05</v>
      </c>
      <c r="BD129" s="245">
        <f t="shared" si="30"/>
        <v>0.95</v>
      </c>
      <c r="BE129" s="246">
        <f t="shared" si="31"/>
        <v>1.1111111111111112</v>
      </c>
      <c r="BF129" s="247">
        <v>2</v>
      </c>
      <c r="BG129" s="248">
        <f t="shared" si="32"/>
        <v>1</v>
      </c>
      <c r="BH129" s="198"/>
      <c r="BI129" s="198"/>
      <c r="BJ129" s="199"/>
      <c r="BK129" s="200"/>
      <c r="BL129" s="200"/>
      <c r="BM129" s="200"/>
      <c r="BN129" s="200"/>
      <c r="BO129" s="10"/>
    </row>
    <row r="130" spans="1:89" ht="18" x14ac:dyDescent="0.25">
      <c r="A130" s="201">
        <v>22</v>
      </c>
      <c r="B130" s="202">
        <v>300</v>
      </c>
      <c r="C130" s="203">
        <f t="shared" si="0"/>
        <v>0</v>
      </c>
      <c r="D130" s="204"/>
      <c r="E130" s="204"/>
      <c r="F130" s="205" t="s">
        <v>159</v>
      </c>
      <c r="G130" s="206"/>
      <c r="H130" s="207" t="s">
        <v>133</v>
      </c>
      <c r="I130" s="208" t="s">
        <v>160</v>
      </c>
      <c r="J130" s="208" t="s">
        <v>116</v>
      </c>
      <c r="K130" s="209" t="s">
        <v>161</v>
      </c>
      <c r="L130" s="255" t="s">
        <v>162</v>
      </c>
      <c r="M130" s="211" t="s">
        <v>163</v>
      </c>
      <c r="N130" s="257"/>
      <c r="O130" s="213">
        <f>SUMIF([1]Mestre!$G$137:$G$409,THEO!A130,[1]Mestre!$AG$137:$AG$409)</f>
        <v>2500</v>
      </c>
      <c r="P130" s="214"/>
      <c r="Q130" s="214"/>
      <c r="R130" s="214"/>
      <c r="S130" s="214"/>
      <c r="T130" s="214"/>
      <c r="U130" s="215">
        <f t="shared" si="1"/>
        <v>285</v>
      </c>
      <c r="V130" s="216">
        <f t="shared" si="2"/>
        <v>-0.14919354838709675</v>
      </c>
      <c r="W130" s="217">
        <f t="shared" si="3"/>
        <v>285</v>
      </c>
      <c r="X130" s="218" t="s">
        <v>12</v>
      </c>
      <c r="Y130" s="219" t="str">
        <f t="shared" si="4"/>
        <v>248 mt/Dia</v>
      </c>
      <c r="Z130" s="220" t="str">
        <f t="shared" si="5"/>
        <v>11,11 mt / HH</v>
      </c>
      <c r="AA130" s="221">
        <f t="shared" si="6"/>
        <v>11.11</v>
      </c>
      <c r="AB130" s="222" t="str">
        <f t="shared" si="7"/>
        <v>9,2 mt /HH</v>
      </c>
      <c r="AC130" s="223">
        <f t="shared" si="8"/>
        <v>3</v>
      </c>
      <c r="AD130" s="224">
        <v>2</v>
      </c>
      <c r="AE130" s="225">
        <v>1</v>
      </c>
      <c r="AF130" s="226">
        <f t="shared" si="9"/>
        <v>10.080645161290322</v>
      </c>
      <c r="AG130" s="227">
        <f t="shared" si="10"/>
        <v>272.17741935483872</v>
      </c>
      <c r="AH130" s="228" t="s">
        <v>25</v>
      </c>
      <c r="AI130" s="229" t="str">
        <f t="shared" si="11"/>
        <v>Extremamente Complexa</v>
      </c>
      <c r="AJ130" s="230" t="str">
        <f t="shared" si="12"/>
        <v>Normal</v>
      </c>
      <c r="AK130" s="231">
        <f t="shared" si="13"/>
        <v>388.82488479262679</v>
      </c>
      <c r="AL130" s="232">
        <f t="shared" si="14"/>
        <v>0.66666666666666663</v>
      </c>
      <c r="AM130" s="233">
        <f t="shared" si="15"/>
        <v>259.21658986175117</v>
      </c>
      <c r="AN130" s="233">
        <f t="shared" si="16"/>
        <v>129.60829493087562</v>
      </c>
      <c r="AO130" s="234">
        <f t="shared" si="17"/>
        <v>7.6752067943986271E-3</v>
      </c>
      <c r="AP130" s="235">
        <f t="shared" si="18"/>
        <v>0.92</v>
      </c>
      <c r="AQ130" s="235">
        <f t="shared" si="18"/>
        <v>0.93</v>
      </c>
      <c r="AR130" s="236">
        <f t="shared" si="19"/>
        <v>0.92</v>
      </c>
      <c r="AS130" s="251">
        <f t="shared" si="20"/>
        <v>9.1851851851851851</v>
      </c>
      <c r="AT130" s="238">
        <f t="shared" si="21"/>
        <v>248</v>
      </c>
      <c r="AU130" s="239">
        <f t="shared" si="22"/>
        <v>0</v>
      </c>
      <c r="AV130" s="239">
        <f t="shared" si="23"/>
        <v>0</v>
      </c>
      <c r="AW130" s="239">
        <f t="shared" si="24"/>
        <v>0.05</v>
      </c>
      <c r="AX130" s="240">
        <f t="shared" si="25"/>
        <v>248</v>
      </c>
      <c r="AY130" s="241">
        <f t="shared" si="26"/>
        <v>-1.9100000000000001</v>
      </c>
      <c r="AZ130" s="242">
        <f>IFERROR(VLOOKUP(M130,'[1]Base Brasil Obras'!$C$2:$F$485,4,0),"")</f>
        <v>11.111111111111111</v>
      </c>
      <c r="BA130" s="243">
        <f t="shared" si="27"/>
        <v>285</v>
      </c>
      <c r="BB130" s="244">
        <f t="shared" si="28"/>
        <v>7.999999999999996E-2</v>
      </c>
      <c r="BC130" s="244">
        <f t="shared" si="29"/>
        <v>0.05</v>
      </c>
      <c r="BD130" s="245">
        <f t="shared" si="30"/>
        <v>0.87000000000000011</v>
      </c>
      <c r="BE130" s="246">
        <f t="shared" si="31"/>
        <v>11.111111111111111</v>
      </c>
      <c r="BF130" s="247">
        <v>3</v>
      </c>
      <c r="BG130" s="248">
        <f t="shared" si="32"/>
        <v>1</v>
      </c>
      <c r="BH130" s="198"/>
      <c r="BI130" s="198"/>
      <c r="BJ130" s="199"/>
      <c r="BK130" s="200"/>
      <c r="BL130" s="200"/>
      <c r="BM130" s="200"/>
      <c r="BN130" s="200"/>
      <c r="BO130" s="10"/>
    </row>
    <row r="131" spans="1:89" ht="18" customHeight="1" x14ac:dyDescent="0.25">
      <c r="A131" s="201">
        <v>23</v>
      </c>
      <c r="B131" s="202">
        <v>390</v>
      </c>
      <c r="C131" s="203">
        <f t="shared" si="0"/>
        <v>0</v>
      </c>
      <c r="D131" s="204"/>
      <c r="E131" s="204"/>
      <c r="F131" s="205" t="s">
        <v>159</v>
      </c>
      <c r="G131" s="206"/>
      <c r="H131" s="207" t="s">
        <v>133</v>
      </c>
      <c r="I131" s="208" t="s">
        <v>125</v>
      </c>
      <c r="J131" s="208" t="s">
        <v>126</v>
      </c>
      <c r="K131" s="209" t="s">
        <v>161</v>
      </c>
      <c r="L131" s="255"/>
      <c r="M131" s="211" t="s">
        <v>164</v>
      </c>
      <c r="N131" s="257"/>
      <c r="O131" s="213">
        <f>SUMIF([1]Mestre!$G$137:$G$409,THEO!A131,[1]Mestre!$AG$137:$AG$409)</f>
        <v>44395</v>
      </c>
      <c r="P131" s="214"/>
      <c r="Q131" s="214"/>
      <c r="R131" s="214"/>
      <c r="S131" s="214"/>
      <c r="T131" s="214"/>
      <c r="U131" s="215">
        <f t="shared" si="1"/>
        <v>370.5</v>
      </c>
      <c r="V131" s="216">
        <f t="shared" si="2"/>
        <v>-5.2556818181818121E-2</v>
      </c>
      <c r="W131" s="217">
        <f t="shared" si="3"/>
        <v>370.5</v>
      </c>
      <c r="X131" s="218" t="s">
        <v>13</v>
      </c>
      <c r="Y131" s="219" t="str">
        <f t="shared" si="4"/>
        <v>352 Mt de Cabo/Dia</v>
      </c>
      <c r="Z131" s="220" t="str">
        <f t="shared" si="5"/>
        <v>10,83 Mt de Cabo / HH</v>
      </c>
      <c r="AA131" s="221">
        <f t="shared" si="6"/>
        <v>10.83</v>
      </c>
      <c r="AB131" s="222" t="str">
        <f t="shared" si="7"/>
        <v>9,8 Mt de Cabo /HH</v>
      </c>
      <c r="AC131" s="223">
        <f t="shared" si="8"/>
        <v>5</v>
      </c>
      <c r="AD131" s="224">
        <v>4</v>
      </c>
      <c r="AE131" s="225">
        <v>1</v>
      </c>
      <c r="AF131" s="226">
        <f t="shared" si="9"/>
        <v>100.89772727272728</v>
      </c>
      <c r="AG131" s="227">
        <f t="shared" si="10"/>
        <v>4540.397727272727</v>
      </c>
      <c r="AH131" s="228" t="s">
        <v>25</v>
      </c>
      <c r="AI131" s="229" t="str">
        <f t="shared" si="11"/>
        <v>Extremamente Complexa</v>
      </c>
      <c r="AJ131" s="230" t="str">
        <f t="shared" si="12"/>
        <v>Normal</v>
      </c>
      <c r="AK131" s="231">
        <f t="shared" si="13"/>
        <v>6486.2824675324673</v>
      </c>
      <c r="AL131" s="232">
        <f t="shared" si="14"/>
        <v>0.8</v>
      </c>
      <c r="AM131" s="233">
        <f t="shared" si="15"/>
        <v>5189.0259740259744</v>
      </c>
      <c r="AN131" s="233">
        <f t="shared" si="16"/>
        <v>1297.2564935064929</v>
      </c>
      <c r="AO131" s="234">
        <f t="shared" si="17"/>
        <v>0.12803593908796529</v>
      </c>
      <c r="AP131" s="235">
        <f t="shared" si="18"/>
        <v>1</v>
      </c>
      <c r="AQ131" s="235">
        <f t="shared" si="18"/>
        <v>1</v>
      </c>
      <c r="AR131" s="235">
        <f t="shared" si="19"/>
        <v>1</v>
      </c>
      <c r="AS131" s="252">
        <f t="shared" si="20"/>
        <v>9.7777777777777786</v>
      </c>
      <c r="AT131" s="238">
        <f t="shared" si="21"/>
        <v>352</v>
      </c>
      <c r="AU131" s="239">
        <f t="shared" si="22"/>
        <v>0</v>
      </c>
      <c r="AV131" s="239">
        <f t="shared" si="23"/>
        <v>0</v>
      </c>
      <c r="AW131" s="239">
        <f t="shared" si="24"/>
        <v>0.05</v>
      </c>
      <c r="AX131" s="240">
        <f t="shared" si="25"/>
        <v>352</v>
      </c>
      <c r="AY131" s="241">
        <f t="shared" si="26"/>
        <v>-1.0299999999999994</v>
      </c>
      <c r="AZ131" s="242">
        <f>IFERROR(VLOOKUP(M131,'[1]Base Brasil Obras'!$C$2:$F$485,4,0),"")</f>
        <v>10.833333333333334</v>
      </c>
      <c r="BA131" s="243">
        <f t="shared" si="27"/>
        <v>370.5</v>
      </c>
      <c r="BB131" s="244">
        <f t="shared" si="28"/>
        <v>0</v>
      </c>
      <c r="BC131" s="244">
        <f t="shared" si="29"/>
        <v>0.05</v>
      </c>
      <c r="BD131" s="245">
        <f t="shared" si="30"/>
        <v>0.95</v>
      </c>
      <c r="BE131" s="246">
        <f t="shared" si="31"/>
        <v>8.6666666666666661</v>
      </c>
      <c r="BF131" s="247">
        <v>4</v>
      </c>
      <c r="BG131" s="248">
        <f t="shared" si="32"/>
        <v>1.25</v>
      </c>
      <c r="BH131" s="198"/>
      <c r="BI131" s="198"/>
      <c r="BJ131" s="199"/>
      <c r="BK131" s="200"/>
      <c r="BL131" s="200"/>
      <c r="BM131" s="200"/>
      <c r="BN131" s="200"/>
      <c r="BO131" s="10"/>
    </row>
    <row r="132" spans="1:89" ht="18" customHeight="1" x14ac:dyDescent="0.25">
      <c r="A132" s="201">
        <v>24</v>
      </c>
      <c r="B132" s="202">
        <v>425</v>
      </c>
      <c r="C132" s="203">
        <f t="shared" si="0"/>
        <v>0</v>
      </c>
      <c r="D132" s="204"/>
      <c r="E132" s="204"/>
      <c r="F132" s="205" t="s">
        <v>159</v>
      </c>
      <c r="G132" s="206"/>
      <c r="H132" s="207" t="s">
        <v>133</v>
      </c>
      <c r="I132" s="208" t="s">
        <v>125</v>
      </c>
      <c r="J132" s="208" t="s">
        <v>126</v>
      </c>
      <c r="K132" s="209" t="s">
        <v>161</v>
      </c>
      <c r="L132" s="255"/>
      <c r="M132" s="211" t="s">
        <v>165</v>
      </c>
      <c r="N132" s="257"/>
      <c r="O132" s="213">
        <f>SUMIF([1]Mestre!$G$137:$G$409,THEO!A132,[1]Mestre!$AG$137:$AG$409)</f>
        <v>0</v>
      </c>
      <c r="P132" s="214"/>
      <c r="Q132" s="214"/>
      <c r="R132" s="214"/>
      <c r="S132" s="214"/>
      <c r="T132" s="214"/>
      <c r="U132" s="215">
        <f t="shared" si="1"/>
        <v>403.75</v>
      </c>
      <c r="V132" s="216">
        <f t="shared" si="2"/>
        <v>-5.1432291666666741E-2</v>
      </c>
      <c r="W132" s="217">
        <f t="shared" si="3"/>
        <v>403.75</v>
      </c>
      <c r="X132" s="218" t="s">
        <v>13</v>
      </c>
      <c r="Y132" s="219" t="str">
        <f t="shared" si="4"/>
        <v>384 Mt de Cabo/Dia</v>
      </c>
      <c r="Z132" s="220" t="str">
        <f t="shared" si="5"/>
        <v>11,81 Mt de Cabo / HH</v>
      </c>
      <c r="AA132" s="221">
        <f t="shared" si="6"/>
        <v>11.81</v>
      </c>
      <c r="AB132" s="222" t="str">
        <f t="shared" si="7"/>
        <v>0 Mt de Cabo /HH</v>
      </c>
      <c r="AC132" s="223">
        <f t="shared" si="8"/>
        <v>4</v>
      </c>
      <c r="AD132" s="224">
        <v>3</v>
      </c>
      <c r="AE132" s="225">
        <v>1</v>
      </c>
      <c r="AF132" s="226">
        <f t="shared" si="9"/>
        <v>0</v>
      </c>
      <c r="AG132" s="227">
        <f t="shared" si="10"/>
        <v>0</v>
      </c>
      <c r="AH132" s="228" t="s">
        <v>25</v>
      </c>
      <c r="AI132" s="229" t="str">
        <f t="shared" si="11"/>
        <v>Extremamente Complexa</v>
      </c>
      <c r="AJ132" s="230" t="str">
        <f t="shared" si="12"/>
        <v>Normal</v>
      </c>
      <c r="AK132" s="231">
        <f t="shared" si="13"/>
        <v>0</v>
      </c>
      <c r="AL132" s="232">
        <f t="shared" si="14"/>
        <v>0.75</v>
      </c>
      <c r="AM132" s="233">
        <f t="shared" si="15"/>
        <v>0</v>
      </c>
      <c r="AN132" s="233">
        <f t="shared" si="16"/>
        <v>0</v>
      </c>
      <c r="AO132" s="234">
        <f t="shared" si="17"/>
        <v>0</v>
      </c>
      <c r="AP132" s="235">
        <f t="shared" si="18"/>
        <v>1</v>
      </c>
      <c r="AQ132" s="235">
        <f t="shared" si="18"/>
        <v>1</v>
      </c>
      <c r="AR132" s="236">
        <f t="shared" si="19"/>
        <v>1</v>
      </c>
      <c r="AS132" s="251">
        <f t="shared" si="20"/>
        <v>0</v>
      </c>
      <c r="AT132" s="238">
        <f t="shared" si="21"/>
        <v>384</v>
      </c>
      <c r="AU132" s="239">
        <f t="shared" si="22"/>
        <v>0</v>
      </c>
      <c r="AV132" s="239">
        <f t="shared" si="23"/>
        <v>0</v>
      </c>
      <c r="AW132" s="239">
        <f t="shared" si="24"/>
        <v>0.05</v>
      </c>
      <c r="AX132" s="240">
        <f t="shared" si="25"/>
        <v>384</v>
      </c>
      <c r="AY132" s="241">
        <f t="shared" si="26"/>
        <v>-11.81</v>
      </c>
      <c r="AZ132" s="242">
        <f>IFERROR(VLOOKUP(M132,'[1]Base Brasil Obras'!$C$2:$F$485,4,0),"")</f>
        <v>11.805555555555555</v>
      </c>
      <c r="BA132" s="243">
        <f t="shared" si="27"/>
        <v>403.75</v>
      </c>
      <c r="BB132" s="244">
        <f t="shared" si="28"/>
        <v>0</v>
      </c>
      <c r="BC132" s="244">
        <f t="shared" si="29"/>
        <v>0.05</v>
      </c>
      <c r="BD132" s="245">
        <f t="shared" si="30"/>
        <v>0.95</v>
      </c>
      <c r="BE132" s="246">
        <f t="shared" si="31"/>
        <v>11.805555555555555</v>
      </c>
      <c r="BF132" s="247">
        <v>4</v>
      </c>
      <c r="BG132" s="248">
        <f t="shared" si="32"/>
        <v>1</v>
      </c>
      <c r="BH132" s="198"/>
      <c r="BI132" s="198"/>
      <c r="BJ132" s="199"/>
      <c r="BK132" s="200"/>
      <c r="BL132" s="200"/>
      <c r="BM132" s="200"/>
      <c r="BN132" s="200"/>
      <c r="BO132" s="10"/>
    </row>
    <row r="133" spans="1:89" ht="18" customHeight="1" x14ac:dyDescent="0.25">
      <c r="A133" s="201">
        <v>25</v>
      </c>
      <c r="B133" s="202">
        <v>350</v>
      </c>
      <c r="C133" s="203">
        <f t="shared" si="0"/>
        <v>0</v>
      </c>
      <c r="D133" s="204"/>
      <c r="E133" s="204"/>
      <c r="F133" s="205" t="s">
        <v>159</v>
      </c>
      <c r="G133" s="206"/>
      <c r="H133" s="207" t="s">
        <v>133</v>
      </c>
      <c r="I133" s="208" t="s">
        <v>125</v>
      </c>
      <c r="J133" s="208" t="s">
        <v>126</v>
      </c>
      <c r="K133" s="209" t="s">
        <v>161</v>
      </c>
      <c r="L133" s="255"/>
      <c r="M133" s="211" t="s">
        <v>166</v>
      </c>
      <c r="N133" s="257"/>
      <c r="O133" s="213">
        <f>SUMIF([1]Mestre!$G$137:$G$409,THEO!A133,[1]Mestre!$AG$137:$AG$409)</f>
        <v>0</v>
      </c>
      <c r="P133" s="214"/>
      <c r="Q133" s="214"/>
      <c r="R133" s="214"/>
      <c r="S133" s="214"/>
      <c r="T133" s="214"/>
      <c r="U133" s="215">
        <f t="shared" si="1"/>
        <v>332.5</v>
      </c>
      <c r="V133" s="216">
        <f t="shared" si="2"/>
        <v>-5.2215189873417778E-2</v>
      </c>
      <c r="W133" s="217">
        <f t="shared" si="3"/>
        <v>332.5</v>
      </c>
      <c r="X133" s="218" t="s">
        <v>13</v>
      </c>
      <c r="Y133" s="219" t="str">
        <f t="shared" si="4"/>
        <v>316 Mt de Cabo/Dia</v>
      </c>
      <c r="Z133" s="220" t="str">
        <f t="shared" si="5"/>
        <v>7,78 Mt de Cabo / HH</v>
      </c>
      <c r="AA133" s="221">
        <f t="shared" si="6"/>
        <v>7.78</v>
      </c>
      <c r="AB133" s="222" t="str">
        <f t="shared" si="7"/>
        <v>0 Mt de Cabo /HH</v>
      </c>
      <c r="AC133" s="223">
        <f t="shared" si="8"/>
        <v>5</v>
      </c>
      <c r="AD133" s="224">
        <v>4</v>
      </c>
      <c r="AE133" s="225">
        <v>1</v>
      </c>
      <c r="AF133" s="226">
        <f t="shared" si="9"/>
        <v>0</v>
      </c>
      <c r="AG133" s="227">
        <f t="shared" si="10"/>
        <v>0</v>
      </c>
      <c r="AH133" s="228" t="s">
        <v>25</v>
      </c>
      <c r="AI133" s="229" t="str">
        <f t="shared" si="11"/>
        <v>Extremamente Complexa</v>
      </c>
      <c r="AJ133" s="230" t="str">
        <f t="shared" si="12"/>
        <v>Normal</v>
      </c>
      <c r="AK133" s="231">
        <f t="shared" si="13"/>
        <v>0</v>
      </c>
      <c r="AL133" s="232">
        <f t="shared" si="14"/>
        <v>0.8</v>
      </c>
      <c r="AM133" s="233">
        <f t="shared" si="15"/>
        <v>0</v>
      </c>
      <c r="AN133" s="233">
        <f t="shared" si="16"/>
        <v>0</v>
      </c>
      <c r="AO133" s="234">
        <f t="shared" si="17"/>
        <v>0</v>
      </c>
      <c r="AP133" s="235">
        <f t="shared" si="18"/>
        <v>1</v>
      </c>
      <c r="AQ133" s="235">
        <f t="shared" si="18"/>
        <v>1</v>
      </c>
      <c r="AR133" s="235">
        <f t="shared" si="19"/>
        <v>1</v>
      </c>
      <c r="AS133" s="252">
        <f t="shared" si="20"/>
        <v>0</v>
      </c>
      <c r="AT133" s="238">
        <f t="shared" si="21"/>
        <v>316</v>
      </c>
      <c r="AU133" s="239">
        <f t="shared" si="22"/>
        <v>0</v>
      </c>
      <c r="AV133" s="239">
        <f t="shared" si="23"/>
        <v>0</v>
      </c>
      <c r="AW133" s="239">
        <f t="shared" si="24"/>
        <v>0.05</v>
      </c>
      <c r="AX133" s="240">
        <f t="shared" si="25"/>
        <v>316</v>
      </c>
      <c r="AY133" s="241">
        <f t="shared" si="26"/>
        <v>-7.78</v>
      </c>
      <c r="AZ133" s="242">
        <f>IFERROR(VLOOKUP(M133,'[1]Base Brasil Obras'!$C$2:$F$485,4,0),"")</f>
        <v>7.7777777777777777</v>
      </c>
      <c r="BA133" s="243">
        <f t="shared" si="27"/>
        <v>332.5</v>
      </c>
      <c r="BB133" s="244">
        <f t="shared" si="28"/>
        <v>0</v>
      </c>
      <c r="BC133" s="244">
        <f t="shared" si="29"/>
        <v>0.05</v>
      </c>
      <c r="BD133" s="245">
        <f t="shared" si="30"/>
        <v>0.95</v>
      </c>
      <c r="BE133" s="246">
        <f t="shared" si="31"/>
        <v>7.7777777777777777</v>
      </c>
      <c r="BF133" s="247">
        <v>5</v>
      </c>
      <c r="BG133" s="248">
        <f t="shared" si="32"/>
        <v>1</v>
      </c>
      <c r="BH133" s="198"/>
      <c r="BI133" s="198"/>
      <c r="BJ133" s="199"/>
      <c r="BK133" s="200"/>
      <c r="BL133" s="200"/>
      <c r="BM133" s="200"/>
      <c r="BN133" s="200"/>
      <c r="BO133" s="10"/>
    </row>
    <row r="134" spans="1:89" ht="18" customHeight="1" x14ac:dyDescent="0.25">
      <c r="A134" s="201">
        <v>26</v>
      </c>
      <c r="B134" s="202">
        <v>350</v>
      </c>
      <c r="C134" s="203">
        <f t="shared" si="0"/>
        <v>0</v>
      </c>
      <c r="D134" s="204"/>
      <c r="E134" s="204"/>
      <c r="F134" s="205" t="s">
        <v>159</v>
      </c>
      <c r="G134" s="206"/>
      <c r="H134" s="207" t="s">
        <v>133</v>
      </c>
      <c r="I134" s="208" t="s">
        <v>125</v>
      </c>
      <c r="J134" s="208" t="s">
        <v>126</v>
      </c>
      <c r="K134" s="209" t="s">
        <v>161</v>
      </c>
      <c r="L134" s="255"/>
      <c r="M134" s="211" t="s">
        <v>167</v>
      </c>
      <c r="N134" s="257"/>
      <c r="O134" s="213">
        <f>SUMIF([1]Mestre!$G$137:$G$409,THEO!A134,[1]Mestre!$AG$137:$AG$409)</f>
        <v>0</v>
      </c>
      <c r="P134" s="214"/>
      <c r="Q134" s="214"/>
      <c r="R134" s="214"/>
      <c r="S134" s="214"/>
      <c r="T134" s="214"/>
      <c r="U134" s="215">
        <f t="shared" si="1"/>
        <v>332.5</v>
      </c>
      <c r="V134" s="216">
        <f t="shared" si="2"/>
        <v>-5.2215189873417778E-2</v>
      </c>
      <c r="W134" s="217">
        <f t="shared" si="3"/>
        <v>332.5</v>
      </c>
      <c r="X134" s="218" t="s">
        <v>13</v>
      </c>
      <c r="Y134" s="219" t="str">
        <f t="shared" si="4"/>
        <v>316 Mt de Cabo/Dia</v>
      </c>
      <c r="Z134" s="220" t="str">
        <f t="shared" si="5"/>
        <v>12,96 Mt de Cabo / HH</v>
      </c>
      <c r="AA134" s="221">
        <f t="shared" si="6"/>
        <v>12.96</v>
      </c>
      <c r="AB134" s="222" t="str">
        <f t="shared" si="7"/>
        <v>0 Mt de Cabo /HH</v>
      </c>
      <c r="AC134" s="223">
        <f t="shared" si="8"/>
        <v>3</v>
      </c>
      <c r="AD134" s="224">
        <v>2</v>
      </c>
      <c r="AE134" s="225">
        <v>1</v>
      </c>
      <c r="AF134" s="226">
        <f t="shared" si="9"/>
        <v>0</v>
      </c>
      <c r="AG134" s="227">
        <f t="shared" si="10"/>
        <v>0</v>
      </c>
      <c r="AH134" s="228" t="s">
        <v>25</v>
      </c>
      <c r="AI134" s="229" t="str">
        <f t="shared" si="11"/>
        <v>Extremamente Complexa</v>
      </c>
      <c r="AJ134" s="230" t="str">
        <f t="shared" si="12"/>
        <v>Normal</v>
      </c>
      <c r="AK134" s="231">
        <f t="shared" si="13"/>
        <v>0</v>
      </c>
      <c r="AL134" s="232">
        <f t="shared" si="14"/>
        <v>0.66666666666666663</v>
      </c>
      <c r="AM134" s="233">
        <f t="shared" si="15"/>
        <v>0</v>
      </c>
      <c r="AN134" s="233">
        <f t="shared" si="16"/>
        <v>0</v>
      </c>
      <c r="AO134" s="234">
        <f t="shared" si="17"/>
        <v>0</v>
      </c>
      <c r="AP134" s="235">
        <f t="shared" si="18"/>
        <v>1</v>
      </c>
      <c r="AQ134" s="235">
        <f t="shared" si="18"/>
        <v>1</v>
      </c>
      <c r="AR134" s="235">
        <f t="shared" si="19"/>
        <v>1</v>
      </c>
      <c r="AS134" s="251">
        <f t="shared" si="20"/>
        <v>0</v>
      </c>
      <c r="AT134" s="238">
        <f t="shared" si="21"/>
        <v>316</v>
      </c>
      <c r="AU134" s="239">
        <f t="shared" si="22"/>
        <v>0</v>
      </c>
      <c r="AV134" s="239">
        <f t="shared" si="23"/>
        <v>0</v>
      </c>
      <c r="AW134" s="239">
        <f t="shared" si="24"/>
        <v>0.05</v>
      </c>
      <c r="AX134" s="240">
        <f t="shared" si="25"/>
        <v>316</v>
      </c>
      <c r="AY134" s="241">
        <f t="shared" si="26"/>
        <v>-12.96</v>
      </c>
      <c r="AZ134" s="242">
        <f>IFERROR(VLOOKUP(M134,'[1]Base Brasil Obras'!$C$2:$F$485,4,0),"")</f>
        <v>12.962962962962964</v>
      </c>
      <c r="BA134" s="243">
        <f t="shared" si="27"/>
        <v>332.5</v>
      </c>
      <c r="BB134" s="244">
        <f t="shared" si="28"/>
        <v>0</v>
      </c>
      <c r="BC134" s="244">
        <f t="shared" si="29"/>
        <v>0.05</v>
      </c>
      <c r="BD134" s="245">
        <f t="shared" si="30"/>
        <v>0.95</v>
      </c>
      <c r="BE134" s="246">
        <f t="shared" si="31"/>
        <v>12.962962962962964</v>
      </c>
      <c r="BF134" s="247">
        <v>3</v>
      </c>
      <c r="BG134" s="248">
        <f t="shared" si="32"/>
        <v>1</v>
      </c>
      <c r="BH134" s="198"/>
      <c r="BI134" s="198"/>
      <c r="BJ134" s="199"/>
      <c r="BK134" s="200"/>
      <c r="BL134" s="200"/>
      <c r="BM134" s="200"/>
      <c r="BN134" s="200"/>
      <c r="BO134" s="10"/>
      <c r="BP134" s="249"/>
      <c r="BQ134" s="249"/>
      <c r="BR134" s="249"/>
      <c r="BS134" s="249"/>
      <c r="BT134" s="249"/>
      <c r="BU134" s="249"/>
      <c r="BV134" s="249"/>
      <c r="BW134" s="249"/>
      <c r="BX134" s="249"/>
      <c r="BY134" s="249"/>
      <c r="BZ134" s="249"/>
      <c r="CA134" s="249"/>
      <c r="CB134" s="249"/>
      <c r="CC134" s="249"/>
      <c r="CD134" s="249"/>
      <c r="CE134" s="249"/>
      <c r="CF134" s="249"/>
      <c r="CG134" s="249"/>
      <c r="CH134" s="249"/>
      <c r="CI134" s="249"/>
      <c r="CJ134" s="249"/>
      <c r="CK134" s="249"/>
    </row>
    <row r="135" spans="1:89" ht="18" customHeight="1" x14ac:dyDescent="0.25">
      <c r="A135" s="201">
        <v>27</v>
      </c>
      <c r="B135" s="202">
        <v>304</v>
      </c>
      <c r="C135" s="203">
        <f t="shared" si="0"/>
        <v>0</v>
      </c>
      <c r="D135" s="204"/>
      <c r="E135" s="204"/>
      <c r="F135" s="205" t="s">
        <v>159</v>
      </c>
      <c r="G135" s="206"/>
      <c r="H135" s="207" t="s">
        <v>133</v>
      </c>
      <c r="I135" s="208" t="s">
        <v>125</v>
      </c>
      <c r="J135" s="208" t="s">
        <v>126</v>
      </c>
      <c r="K135" s="209" t="s">
        <v>161</v>
      </c>
      <c r="L135" s="255"/>
      <c r="M135" s="211" t="s">
        <v>168</v>
      </c>
      <c r="N135" s="257"/>
      <c r="O135" s="213">
        <f>SUMIF([1]Mestre!$G$137:$G$409,THEO!A135,[1]Mestre!$AG$137:$AG$409)</f>
        <v>0</v>
      </c>
      <c r="P135" s="214"/>
      <c r="Q135" s="214"/>
      <c r="R135" s="214"/>
      <c r="S135" s="214"/>
      <c r="T135" s="214"/>
      <c r="U135" s="215">
        <f t="shared" si="1"/>
        <v>288.8</v>
      </c>
      <c r="V135" s="216">
        <f t="shared" si="2"/>
        <v>-5.4014598540146119E-2</v>
      </c>
      <c r="W135" s="217">
        <f t="shared" si="3"/>
        <v>288.8</v>
      </c>
      <c r="X135" s="218" t="s">
        <v>13</v>
      </c>
      <c r="Y135" s="219" t="str">
        <f t="shared" si="4"/>
        <v>274 Mt de Cabo/Dia</v>
      </c>
      <c r="Z135" s="220" t="str">
        <f t="shared" si="5"/>
        <v>8,44 Mt de Cabo / HH</v>
      </c>
      <c r="AA135" s="221">
        <f t="shared" si="6"/>
        <v>8.44</v>
      </c>
      <c r="AB135" s="222" t="str">
        <f t="shared" si="7"/>
        <v>0 Mt de Cabo /HH</v>
      </c>
      <c r="AC135" s="223">
        <f t="shared" si="8"/>
        <v>4</v>
      </c>
      <c r="AD135" s="224">
        <v>3</v>
      </c>
      <c r="AE135" s="225">
        <v>1</v>
      </c>
      <c r="AF135" s="226">
        <f t="shared" si="9"/>
        <v>0</v>
      </c>
      <c r="AG135" s="227">
        <f t="shared" si="10"/>
        <v>0</v>
      </c>
      <c r="AH135" s="228" t="s">
        <v>25</v>
      </c>
      <c r="AI135" s="229" t="str">
        <f t="shared" si="11"/>
        <v>Extremamente Complexa</v>
      </c>
      <c r="AJ135" s="230" t="str">
        <f t="shared" si="12"/>
        <v>Normal</v>
      </c>
      <c r="AK135" s="231">
        <f t="shared" si="13"/>
        <v>0</v>
      </c>
      <c r="AL135" s="232">
        <f t="shared" si="14"/>
        <v>0.75</v>
      </c>
      <c r="AM135" s="233">
        <f t="shared" si="15"/>
        <v>0</v>
      </c>
      <c r="AN135" s="233">
        <f t="shared" si="16"/>
        <v>0</v>
      </c>
      <c r="AO135" s="234">
        <f t="shared" si="17"/>
        <v>0</v>
      </c>
      <c r="AP135" s="235">
        <f t="shared" si="18"/>
        <v>1</v>
      </c>
      <c r="AQ135" s="235">
        <f t="shared" si="18"/>
        <v>1</v>
      </c>
      <c r="AR135" s="236">
        <f t="shared" si="19"/>
        <v>1</v>
      </c>
      <c r="AS135" s="252">
        <f t="shared" si="20"/>
        <v>0</v>
      </c>
      <c r="AT135" s="238">
        <f t="shared" si="21"/>
        <v>274</v>
      </c>
      <c r="AU135" s="239">
        <f t="shared" si="22"/>
        <v>0</v>
      </c>
      <c r="AV135" s="239">
        <f t="shared" si="23"/>
        <v>0</v>
      </c>
      <c r="AW135" s="239">
        <f t="shared" si="24"/>
        <v>0.05</v>
      </c>
      <c r="AX135" s="240">
        <f t="shared" si="25"/>
        <v>274</v>
      </c>
      <c r="AY135" s="241">
        <f t="shared" si="26"/>
        <v>-8.44</v>
      </c>
      <c r="AZ135" s="242">
        <f>IFERROR(VLOOKUP(M135,'[1]Base Brasil Obras'!$C$2:$F$485,4,0),"")</f>
        <v>8.4444444444444446</v>
      </c>
      <c r="BA135" s="243">
        <f t="shared" si="27"/>
        <v>288.8</v>
      </c>
      <c r="BB135" s="244">
        <f t="shared" si="28"/>
        <v>0</v>
      </c>
      <c r="BC135" s="244">
        <f t="shared" si="29"/>
        <v>0.05</v>
      </c>
      <c r="BD135" s="245">
        <f t="shared" si="30"/>
        <v>0.95</v>
      </c>
      <c r="BE135" s="246">
        <f t="shared" si="31"/>
        <v>8.4444444444444446</v>
      </c>
      <c r="BF135" s="247">
        <v>4</v>
      </c>
      <c r="BG135" s="248">
        <f t="shared" si="32"/>
        <v>1</v>
      </c>
      <c r="BH135" s="198"/>
      <c r="BI135" s="198"/>
      <c r="BJ135" s="199"/>
      <c r="BK135" s="200"/>
      <c r="BL135" s="200"/>
      <c r="BM135" s="200"/>
      <c r="BN135" s="200"/>
      <c r="BO135" s="10"/>
    </row>
    <row r="136" spans="1:89" ht="18" customHeight="1" x14ac:dyDescent="0.25">
      <c r="A136" s="201">
        <v>28</v>
      </c>
      <c r="B136" s="202">
        <v>500</v>
      </c>
      <c r="C136" s="203">
        <f t="shared" si="0"/>
        <v>0</v>
      </c>
      <c r="D136" s="204"/>
      <c r="E136" s="204"/>
      <c r="F136" s="205" t="s">
        <v>159</v>
      </c>
      <c r="G136" s="206"/>
      <c r="H136" s="207" t="s">
        <v>133</v>
      </c>
      <c r="I136" s="208" t="s">
        <v>160</v>
      </c>
      <c r="J136" s="208" t="s">
        <v>116</v>
      </c>
      <c r="K136" s="209" t="s">
        <v>161</v>
      </c>
      <c r="L136" s="255"/>
      <c r="M136" s="211" t="s">
        <v>169</v>
      </c>
      <c r="N136" s="257"/>
      <c r="O136" s="213">
        <f>SUMIF([1]Mestre!$G$137:$G$409,THEO!A136,[1]Mestre!$AG$137:$AG$409)</f>
        <v>64215</v>
      </c>
      <c r="P136" s="214"/>
      <c r="Q136" s="214"/>
      <c r="R136" s="214"/>
      <c r="S136" s="214"/>
      <c r="T136" s="214"/>
      <c r="U136" s="215">
        <f t="shared" si="1"/>
        <v>475</v>
      </c>
      <c r="V136" s="216">
        <f t="shared" si="2"/>
        <v>-0.15012106537530268</v>
      </c>
      <c r="W136" s="217">
        <f t="shared" si="3"/>
        <v>475</v>
      </c>
      <c r="X136" s="218" t="s">
        <v>13</v>
      </c>
      <c r="Y136" s="219" t="str">
        <f t="shared" si="4"/>
        <v>413 Mt de Cabo/Dia</v>
      </c>
      <c r="Z136" s="220" t="str">
        <f t="shared" si="5"/>
        <v>11,11 Mt de Cabo / HH</v>
      </c>
      <c r="AA136" s="221">
        <f t="shared" si="6"/>
        <v>11.11</v>
      </c>
      <c r="AB136" s="222" t="str">
        <f t="shared" si="7"/>
        <v>9,2 Mt de Cabo /HH</v>
      </c>
      <c r="AC136" s="223">
        <f t="shared" si="8"/>
        <v>5</v>
      </c>
      <c r="AD136" s="224">
        <v>4</v>
      </c>
      <c r="AE136" s="225">
        <v>1</v>
      </c>
      <c r="AF136" s="226">
        <f t="shared" si="9"/>
        <v>155.48426150121065</v>
      </c>
      <c r="AG136" s="227">
        <f t="shared" si="10"/>
        <v>6996.7917675544795</v>
      </c>
      <c r="AH136" s="228" t="s">
        <v>25</v>
      </c>
      <c r="AI136" s="229" t="str">
        <f t="shared" si="11"/>
        <v>Extremamente Complexa</v>
      </c>
      <c r="AJ136" s="230" t="str">
        <f t="shared" si="12"/>
        <v>Normal</v>
      </c>
      <c r="AK136" s="231">
        <f t="shared" si="13"/>
        <v>9995.4168107921141</v>
      </c>
      <c r="AL136" s="232">
        <f t="shared" si="14"/>
        <v>0.8</v>
      </c>
      <c r="AM136" s="233">
        <f t="shared" si="15"/>
        <v>7996.3334486336917</v>
      </c>
      <c r="AN136" s="233">
        <f t="shared" si="16"/>
        <v>1999.0833621584225</v>
      </c>
      <c r="AO136" s="234">
        <f t="shared" si="17"/>
        <v>0.19730447823562927</v>
      </c>
      <c r="AP136" s="235">
        <f t="shared" si="18"/>
        <v>0.92</v>
      </c>
      <c r="AQ136" s="235">
        <f t="shared" si="18"/>
        <v>0.93</v>
      </c>
      <c r="AR136" s="236">
        <f t="shared" si="19"/>
        <v>0.92</v>
      </c>
      <c r="AS136" s="251">
        <f t="shared" si="20"/>
        <v>9.1777777777777771</v>
      </c>
      <c r="AT136" s="238">
        <f t="shared" si="21"/>
        <v>413</v>
      </c>
      <c r="AU136" s="239">
        <f t="shared" si="22"/>
        <v>0</v>
      </c>
      <c r="AV136" s="239">
        <f t="shared" si="23"/>
        <v>0</v>
      </c>
      <c r="AW136" s="239">
        <f t="shared" si="24"/>
        <v>0.05</v>
      </c>
      <c r="AX136" s="240">
        <f t="shared" si="25"/>
        <v>413</v>
      </c>
      <c r="AY136" s="241">
        <f t="shared" si="26"/>
        <v>-1.9100000000000001</v>
      </c>
      <c r="AZ136" s="242">
        <f>IFERROR(VLOOKUP(M136,'[1]Base Brasil Obras'!$C$2:$F$485,4,0),"")</f>
        <v>11.111111111111111</v>
      </c>
      <c r="BA136" s="243">
        <f t="shared" si="27"/>
        <v>475</v>
      </c>
      <c r="BB136" s="244">
        <f t="shared" si="28"/>
        <v>7.999999999999996E-2</v>
      </c>
      <c r="BC136" s="244">
        <f t="shared" si="29"/>
        <v>0.05</v>
      </c>
      <c r="BD136" s="245">
        <f t="shared" si="30"/>
        <v>0.87000000000000011</v>
      </c>
      <c r="BE136" s="246">
        <f t="shared" si="31"/>
        <v>11.111111111111111</v>
      </c>
      <c r="BF136" s="247">
        <v>5</v>
      </c>
      <c r="BG136" s="248">
        <f t="shared" si="32"/>
        <v>1</v>
      </c>
      <c r="BH136" s="198"/>
      <c r="BI136" s="198"/>
      <c r="BJ136" s="199"/>
      <c r="BK136" s="200"/>
      <c r="BL136" s="200"/>
      <c r="BM136" s="200"/>
      <c r="BN136" s="200"/>
      <c r="BO136" s="10"/>
      <c r="BP136" s="249"/>
      <c r="BQ136" s="249"/>
      <c r="BR136" s="249"/>
      <c r="BS136" s="249"/>
      <c r="BT136" s="249"/>
      <c r="BU136" s="249"/>
      <c r="BV136" s="249"/>
      <c r="BW136" s="249"/>
      <c r="BX136" s="249"/>
      <c r="BY136" s="249"/>
      <c r="BZ136" s="249"/>
      <c r="CA136" s="249"/>
      <c r="CB136" s="249"/>
      <c r="CC136" s="249"/>
      <c r="CD136" s="249"/>
      <c r="CE136" s="249"/>
      <c r="CF136" s="249"/>
      <c r="CG136" s="249"/>
      <c r="CH136" s="249"/>
      <c r="CI136" s="249"/>
      <c r="CJ136" s="249"/>
      <c r="CK136" s="249"/>
    </row>
    <row r="137" spans="1:89" ht="18" customHeight="1" x14ac:dyDescent="0.25">
      <c r="A137" s="201">
        <v>29</v>
      </c>
      <c r="B137" s="202">
        <v>270</v>
      </c>
      <c r="C137" s="203">
        <f t="shared" si="0"/>
        <v>0</v>
      </c>
      <c r="D137" s="204"/>
      <c r="E137" s="204"/>
      <c r="F137" s="205" t="s">
        <v>159</v>
      </c>
      <c r="G137" s="206"/>
      <c r="H137" s="207" t="s">
        <v>133</v>
      </c>
      <c r="I137" s="208" t="s">
        <v>160</v>
      </c>
      <c r="J137" s="208" t="s">
        <v>116</v>
      </c>
      <c r="K137" s="209" t="s">
        <v>161</v>
      </c>
      <c r="L137" s="255"/>
      <c r="M137" s="211" t="s">
        <v>170</v>
      </c>
      <c r="N137" s="257"/>
      <c r="O137" s="213">
        <f>SUMIF([1]Mestre!$G$137:$G$409,THEO!A137,[1]Mestre!$AG$137:$AG$409)</f>
        <v>18755</v>
      </c>
      <c r="P137" s="214"/>
      <c r="Q137" s="214"/>
      <c r="R137" s="214"/>
      <c r="S137" s="214"/>
      <c r="T137" s="214"/>
      <c r="U137" s="215">
        <f t="shared" si="1"/>
        <v>256.5</v>
      </c>
      <c r="V137" s="216">
        <f t="shared" si="2"/>
        <v>-0.15022421524663687</v>
      </c>
      <c r="W137" s="217">
        <f t="shared" si="3"/>
        <v>256.5</v>
      </c>
      <c r="X137" s="218" t="s">
        <v>13</v>
      </c>
      <c r="Y137" s="219" t="str">
        <f t="shared" si="4"/>
        <v>223 Mt de Cabo/Dia</v>
      </c>
      <c r="Z137" s="220" t="str">
        <f t="shared" si="5"/>
        <v>6 Mt de Cabo / HH</v>
      </c>
      <c r="AA137" s="221">
        <f t="shared" si="6"/>
        <v>6</v>
      </c>
      <c r="AB137" s="222" t="str">
        <f t="shared" si="7"/>
        <v>5 Mt de Cabo /HH</v>
      </c>
      <c r="AC137" s="223">
        <f t="shared" si="8"/>
        <v>5</v>
      </c>
      <c r="AD137" s="224">
        <v>4</v>
      </c>
      <c r="AE137" s="225">
        <v>1</v>
      </c>
      <c r="AF137" s="226">
        <f t="shared" si="9"/>
        <v>84.103139013452918</v>
      </c>
      <c r="AG137" s="227">
        <f t="shared" si="10"/>
        <v>3784.641255605381</v>
      </c>
      <c r="AH137" s="228" t="s">
        <v>25</v>
      </c>
      <c r="AI137" s="229" t="str">
        <f t="shared" si="11"/>
        <v>Extremamente Complexa</v>
      </c>
      <c r="AJ137" s="230" t="str">
        <f t="shared" si="12"/>
        <v>Normal</v>
      </c>
      <c r="AK137" s="231">
        <f t="shared" si="13"/>
        <v>5406.630365150545</v>
      </c>
      <c r="AL137" s="232">
        <f t="shared" si="14"/>
        <v>0.8</v>
      </c>
      <c r="AM137" s="233">
        <f t="shared" si="15"/>
        <v>4325.304292120436</v>
      </c>
      <c r="AN137" s="233">
        <f t="shared" si="16"/>
        <v>1081.326073030109</v>
      </c>
      <c r="AO137" s="234">
        <f t="shared" si="17"/>
        <v>0.10672415201906926</v>
      </c>
      <c r="AP137" s="235">
        <f t="shared" si="18"/>
        <v>0.92</v>
      </c>
      <c r="AQ137" s="235">
        <f t="shared" si="18"/>
        <v>0.93</v>
      </c>
      <c r="AR137" s="235">
        <f t="shared" si="19"/>
        <v>0.92</v>
      </c>
      <c r="AS137" s="252">
        <f t="shared" si="20"/>
        <v>4.9555555555555557</v>
      </c>
      <c r="AT137" s="238">
        <f t="shared" si="21"/>
        <v>223</v>
      </c>
      <c r="AU137" s="239">
        <f t="shared" si="22"/>
        <v>0</v>
      </c>
      <c r="AV137" s="239">
        <f t="shared" si="23"/>
        <v>0</v>
      </c>
      <c r="AW137" s="239">
        <f t="shared" si="24"/>
        <v>0.05</v>
      </c>
      <c r="AX137" s="240">
        <f t="shared" si="25"/>
        <v>223</v>
      </c>
      <c r="AY137" s="241">
        <f t="shared" si="26"/>
        <v>-1</v>
      </c>
      <c r="AZ137" s="242">
        <f>IFERROR(VLOOKUP(M137,'[1]Base Brasil Obras'!$C$2:$F$485,4,0),"")</f>
        <v>6</v>
      </c>
      <c r="BA137" s="243">
        <f t="shared" si="27"/>
        <v>256.5</v>
      </c>
      <c r="BB137" s="244">
        <f t="shared" si="28"/>
        <v>7.999999999999996E-2</v>
      </c>
      <c r="BC137" s="244">
        <f t="shared" si="29"/>
        <v>0.05</v>
      </c>
      <c r="BD137" s="245">
        <f t="shared" si="30"/>
        <v>0.87000000000000011</v>
      </c>
      <c r="BE137" s="246">
        <f t="shared" si="31"/>
        <v>6</v>
      </c>
      <c r="BF137" s="247">
        <v>5</v>
      </c>
      <c r="BG137" s="248">
        <f t="shared" si="32"/>
        <v>1</v>
      </c>
      <c r="BH137" s="198"/>
      <c r="BI137" s="198"/>
      <c r="BJ137" s="199"/>
      <c r="BK137" s="200"/>
      <c r="BL137" s="200"/>
      <c r="BM137" s="200"/>
      <c r="BN137" s="200"/>
      <c r="BO137" s="10"/>
      <c r="BP137" s="249"/>
      <c r="BQ137" s="249"/>
      <c r="BR137" s="249"/>
      <c r="BS137" s="249"/>
      <c r="BT137" s="249"/>
      <c r="BU137" s="249"/>
      <c r="BV137" s="249"/>
      <c r="BW137" s="249"/>
      <c r="BX137" s="249"/>
      <c r="BY137" s="249"/>
      <c r="BZ137" s="249"/>
      <c r="CA137" s="249"/>
      <c r="CB137" s="249"/>
      <c r="CC137" s="249"/>
      <c r="CD137" s="249"/>
      <c r="CE137" s="249"/>
      <c r="CF137" s="249"/>
      <c r="CG137" s="249"/>
      <c r="CH137" s="249"/>
      <c r="CI137" s="249"/>
      <c r="CJ137" s="249"/>
      <c r="CK137" s="249"/>
    </row>
    <row r="138" spans="1:89" ht="18" customHeight="1" x14ac:dyDescent="0.25">
      <c r="A138" s="201">
        <v>30</v>
      </c>
      <c r="B138" s="202">
        <v>400</v>
      </c>
      <c r="C138" s="203">
        <f t="shared" si="0"/>
        <v>0</v>
      </c>
      <c r="D138" s="204"/>
      <c r="E138" s="204"/>
      <c r="F138" s="205" t="s">
        <v>159</v>
      </c>
      <c r="G138" s="206"/>
      <c r="H138" s="207" t="s">
        <v>133</v>
      </c>
      <c r="I138" s="208" t="s">
        <v>125</v>
      </c>
      <c r="J138" s="208" t="s">
        <v>126</v>
      </c>
      <c r="K138" s="209" t="s">
        <v>161</v>
      </c>
      <c r="L138" s="255"/>
      <c r="M138" s="211" t="s">
        <v>171</v>
      </c>
      <c r="N138" s="257"/>
      <c r="O138" s="213">
        <f>SUMIF([1]Mestre!$G$137:$G$409,THEO!A138,[1]Mestre!$AG$137:$AG$409)</f>
        <v>0</v>
      </c>
      <c r="P138" s="214"/>
      <c r="Q138" s="214"/>
      <c r="R138" s="214"/>
      <c r="S138" s="214"/>
      <c r="T138" s="214"/>
      <c r="U138" s="215">
        <f t="shared" si="1"/>
        <v>380</v>
      </c>
      <c r="V138" s="216">
        <f t="shared" si="2"/>
        <v>-5.2631578947368363E-2</v>
      </c>
      <c r="W138" s="217">
        <f t="shared" si="3"/>
        <v>380</v>
      </c>
      <c r="X138" s="218" t="s">
        <v>13</v>
      </c>
      <c r="Y138" s="219" t="str">
        <f t="shared" si="4"/>
        <v>361 Mt de Cabo/Dia</v>
      </c>
      <c r="Z138" s="220" t="str">
        <f t="shared" si="5"/>
        <v>8,89 Mt de Cabo / HH</v>
      </c>
      <c r="AA138" s="221">
        <f t="shared" si="6"/>
        <v>8.89</v>
      </c>
      <c r="AB138" s="222" t="str">
        <f t="shared" si="7"/>
        <v>0 Mt de Cabo /HH</v>
      </c>
      <c r="AC138" s="223">
        <f t="shared" si="8"/>
        <v>5</v>
      </c>
      <c r="AD138" s="224">
        <v>4</v>
      </c>
      <c r="AE138" s="225">
        <v>1</v>
      </c>
      <c r="AF138" s="226">
        <f t="shared" si="9"/>
        <v>0</v>
      </c>
      <c r="AG138" s="227">
        <f t="shared" si="10"/>
        <v>0</v>
      </c>
      <c r="AH138" s="228" t="s">
        <v>25</v>
      </c>
      <c r="AI138" s="229" t="str">
        <f t="shared" si="11"/>
        <v>Extremamente Complexa</v>
      </c>
      <c r="AJ138" s="230" t="str">
        <f t="shared" si="12"/>
        <v>Normal</v>
      </c>
      <c r="AK138" s="231">
        <f t="shared" si="13"/>
        <v>0</v>
      </c>
      <c r="AL138" s="232">
        <f t="shared" si="14"/>
        <v>0.8</v>
      </c>
      <c r="AM138" s="233">
        <f t="shared" si="15"/>
        <v>0</v>
      </c>
      <c r="AN138" s="233">
        <f t="shared" si="16"/>
        <v>0</v>
      </c>
      <c r="AO138" s="234">
        <f t="shared" si="17"/>
        <v>0</v>
      </c>
      <c r="AP138" s="235">
        <f t="shared" si="18"/>
        <v>1</v>
      </c>
      <c r="AQ138" s="235">
        <f t="shared" si="18"/>
        <v>1</v>
      </c>
      <c r="AR138" s="236">
        <f t="shared" si="19"/>
        <v>1</v>
      </c>
      <c r="AS138" s="251">
        <f t="shared" si="20"/>
        <v>0</v>
      </c>
      <c r="AT138" s="238">
        <f t="shared" si="21"/>
        <v>361</v>
      </c>
      <c r="AU138" s="239">
        <f t="shared" si="22"/>
        <v>0</v>
      </c>
      <c r="AV138" s="239">
        <f t="shared" si="23"/>
        <v>0</v>
      </c>
      <c r="AW138" s="239">
        <f t="shared" si="24"/>
        <v>0.05</v>
      </c>
      <c r="AX138" s="240">
        <f t="shared" si="25"/>
        <v>361</v>
      </c>
      <c r="AY138" s="241">
        <f t="shared" si="26"/>
        <v>-8.89</v>
      </c>
      <c r="AZ138" s="242">
        <f>IFERROR(VLOOKUP(M138,'[1]Base Brasil Obras'!$C$2:$F$485,4,0),"")</f>
        <v>8.8888888888888893</v>
      </c>
      <c r="BA138" s="243">
        <f t="shared" si="27"/>
        <v>380</v>
      </c>
      <c r="BB138" s="244">
        <f t="shared" si="28"/>
        <v>0</v>
      </c>
      <c r="BC138" s="244">
        <f t="shared" si="29"/>
        <v>0.05</v>
      </c>
      <c r="BD138" s="245">
        <f t="shared" si="30"/>
        <v>0.95</v>
      </c>
      <c r="BE138" s="246">
        <f t="shared" si="31"/>
        <v>8.8888888888888893</v>
      </c>
      <c r="BF138" s="247">
        <v>5</v>
      </c>
      <c r="BG138" s="248">
        <f t="shared" si="32"/>
        <v>1</v>
      </c>
      <c r="BH138" s="198"/>
      <c r="BI138" s="198"/>
      <c r="BJ138" s="199"/>
      <c r="BK138" s="200"/>
      <c r="BL138" s="200"/>
      <c r="BM138" s="200"/>
      <c r="BN138" s="200"/>
      <c r="BO138" s="10"/>
      <c r="BP138" s="249"/>
      <c r="BQ138" s="249"/>
      <c r="BR138" s="249"/>
      <c r="BS138" s="249"/>
      <c r="BT138" s="249"/>
      <c r="BU138" s="249"/>
      <c r="BV138" s="249"/>
      <c r="BW138" s="249"/>
      <c r="BX138" s="249"/>
      <c r="BY138" s="249"/>
      <c r="BZ138" s="249"/>
      <c r="CA138" s="249"/>
      <c r="CB138" s="249"/>
      <c r="CC138" s="249"/>
      <c r="CD138" s="249"/>
      <c r="CE138" s="249"/>
      <c r="CF138" s="249"/>
      <c r="CG138" s="249"/>
      <c r="CH138" s="249"/>
      <c r="CI138" s="249"/>
      <c r="CJ138" s="249"/>
      <c r="CK138" s="249"/>
    </row>
    <row r="139" spans="1:89" ht="18" customHeight="1" x14ac:dyDescent="0.25">
      <c r="A139" s="201">
        <v>31</v>
      </c>
      <c r="B139" s="202">
        <v>380</v>
      </c>
      <c r="C139" s="203">
        <f t="shared" si="0"/>
        <v>0</v>
      </c>
      <c r="D139" s="204"/>
      <c r="E139" s="204"/>
      <c r="F139" s="205" t="s">
        <v>159</v>
      </c>
      <c r="G139" s="206"/>
      <c r="H139" s="207" t="s">
        <v>133</v>
      </c>
      <c r="I139" s="208" t="s">
        <v>125</v>
      </c>
      <c r="J139" s="208" t="s">
        <v>126</v>
      </c>
      <c r="K139" s="209" t="s">
        <v>161</v>
      </c>
      <c r="L139" s="255"/>
      <c r="M139" s="211" t="s">
        <v>172</v>
      </c>
      <c r="N139" s="257"/>
      <c r="O139" s="213">
        <f>SUMIF([1]Mestre!$G$137:$G$409,THEO!A139,[1]Mestre!$AG$137:$AG$409)</f>
        <v>0</v>
      </c>
      <c r="P139" s="214"/>
      <c r="Q139" s="214"/>
      <c r="R139" s="214"/>
      <c r="S139" s="214"/>
      <c r="T139" s="214"/>
      <c r="U139" s="215">
        <f t="shared" si="1"/>
        <v>361</v>
      </c>
      <c r="V139" s="216">
        <f t="shared" si="2"/>
        <v>-5.2478134110787167E-2</v>
      </c>
      <c r="W139" s="217">
        <f t="shared" si="3"/>
        <v>361</v>
      </c>
      <c r="X139" s="218" t="s">
        <v>13</v>
      </c>
      <c r="Y139" s="219" t="str">
        <f t="shared" si="4"/>
        <v>343 Mt de Cabo/Dia</v>
      </c>
      <c r="Z139" s="220" t="str">
        <f t="shared" si="5"/>
        <v>8,44 Mt de Cabo / HH</v>
      </c>
      <c r="AA139" s="221">
        <f t="shared" si="6"/>
        <v>8.44</v>
      </c>
      <c r="AB139" s="222" t="str">
        <f t="shared" si="7"/>
        <v>0 Mt de Cabo /HH</v>
      </c>
      <c r="AC139" s="223">
        <f t="shared" si="8"/>
        <v>5</v>
      </c>
      <c r="AD139" s="224">
        <v>4</v>
      </c>
      <c r="AE139" s="225">
        <v>1</v>
      </c>
      <c r="AF139" s="226">
        <f t="shared" si="9"/>
        <v>0</v>
      </c>
      <c r="AG139" s="227">
        <f t="shared" si="10"/>
        <v>0</v>
      </c>
      <c r="AH139" s="228" t="s">
        <v>25</v>
      </c>
      <c r="AI139" s="229" t="str">
        <f t="shared" si="11"/>
        <v>Extremamente Complexa</v>
      </c>
      <c r="AJ139" s="230" t="str">
        <f t="shared" si="12"/>
        <v>Normal</v>
      </c>
      <c r="AK139" s="231">
        <f t="shared" si="13"/>
        <v>0</v>
      </c>
      <c r="AL139" s="232">
        <f t="shared" si="14"/>
        <v>0.8</v>
      </c>
      <c r="AM139" s="233">
        <f t="shared" si="15"/>
        <v>0</v>
      </c>
      <c r="AN139" s="233">
        <f t="shared" si="16"/>
        <v>0</v>
      </c>
      <c r="AO139" s="234">
        <f t="shared" si="17"/>
        <v>0</v>
      </c>
      <c r="AP139" s="235">
        <f t="shared" si="18"/>
        <v>1</v>
      </c>
      <c r="AQ139" s="235">
        <f t="shared" si="18"/>
        <v>1</v>
      </c>
      <c r="AR139" s="235">
        <f t="shared" si="19"/>
        <v>1</v>
      </c>
      <c r="AS139" s="252">
        <f t="shared" si="20"/>
        <v>0</v>
      </c>
      <c r="AT139" s="238">
        <f t="shared" si="21"/>
        <v>343</v>
      </c>
      <c r="AU139" s="239">
        <f t="shared" si="22"/>
        <v>0</v>
      </c>
      <c r="AV139" s="239">
        <f t="shared" si="23"/>
        <v>0</v>
      </c>
      <c r="AW139" s="239">
        <f t="shared" si="24"/>
        <v>0.05</v>
      </c>
      <c r="AX139" s="240">
        <f t="shared" si="25"/>
        <v>343</v>
      </c>
      <c r="AY139" s="241">
        <f t="shared" si="26"/>
        <v>-8.44</v>
      </c>
      <c r="AZ139" s="242">
        <f>IFERROR(VLOOKUP(M139,'[1]Base Brasil Obras'!$C$2:$F$485,4,0),"")</f>
        <v>8.4444444444444446</v>
      </c>
      <c r="BA139" s="243">
        <f t="shared" si="27"/>
        <v>361</v>
      </c>
      <c r="BB139" s="244">
        <f t="shared" si="28"/>
        <v>0</v>
      </c>
      <c r="BC139" s="244">
        <f t="shared" si="29"/>
        <v>0.05</v>
      </c>
      <c r="BD139" s="245">
        <f t="shared" si="30"/>
        <v>0.95</v>
      </c>
      <c r="BE139" s="246">
        <f t="shared" si="31"/>
        <v>8.4444444444444446</v>
      </c>
      <c r="BF139" s="247">
        <v>5</v>
      </c>
      <c r="BG139" s="248">
        <f t="shared" si="32"/>
        <v>1</v>
      </c>
      <c r="BH139" s="198"/>
      <c r="BI139" s="198"/>
      <c r="BJ139" s="199"/>
      <c r="BK139" s="200"/>
      <c r="BL139" s="200"/>
      <c r="BM139" s="200"/>
      <c r="BN139" s="200"/>
      <c r="BO139" s="10"/>
    </row>
    <row r="140" spans="1:89" ht="18" customHeight="1" x14ac:dyDescent="0.25">
      <c r="A140" s="201">
        <v>32</v>
      </c>
      <c r="B140" s="202">
        <v>592</v>
      </c>
      <c r="C140" s="203">
        <f t="shared" si="0"/>
        <v>0</v>
      </c>
      <c r="D140" s="204"/>
      <c r="E140" s="204"/>
      <c r="F140" s="205" t="s">
        <v>159</v>
      </c>
      <c r="G140" s="206"/>
      <c r="H140" s="207" t="s">
        <v>133</v>
      </c>
      <c r="I140" s="208" t="s">
        <v>160</v>
      </c>
      <c r="J140" s="208" t="s">
        <v>116</v>
      </c>
      <c r="K140" s="209" t="s">
        <v>161</v>
      </c>
      <c r="L140" s="255"/>
      <c r="M140" s="211" t="s">
        <v>173</v>
      </c>
      <c r="N140" s="257"/>
      <c r="O140" s="213">
        <f>SUMIF([1]Mestre!$G$137:$G$409,THEO!A140,[1]Mestre!$AG$137:$AG$409)</f>
        <v>31500</v>
      </c>
      <c r="P140" s="214"/>
      <c r="Q140" s="214"/>
      <c r="R140" s="214"/>
      <c r="S140" s="214"/>
      <c r="T140" s="214"/>
      <c r="U140" s="215">
        <f t="shared" si="1"/>
        <v>562.4</v>
      </c>
      <c r="V140" s="216">
        <f t="shared" si="2"/>
        <v>-0.17656903765690379</v>
      </c>
      <c r="W140" s="217">
        <f t="shared" si="3"/>
        <v>562.4</v>
      </c>
      <c r="X140" s="218" t="s">
        <v>13</v>
      </c>
      <c r="Y140" s="219" t="str">
        <f t="shared" si="4"/>
        <v>478 Mt de Cabo/Dia</v>
      </c>
      <c r="Z140" s="220" t="str">
        <f t="shared" si="5"/>
        <v>13,16 Mt de Cabo / HH</v>
      </c>
      <c r="AA140" s="221">
        <f t="shared" si="6"/>
        <v>13.16</v>
      </c>
      <c r="AB140" s="222" t="str">
        <f t="shared" si="7"/>
        <v>10,6 Mt de Cabo /HH</v>
      </c>
      <c r="AC140" s="223">
        <f t="shared" si="8"/>
        <v>5</v>
      </c>
      <c r="AD140" s="224">
        <v>4</v>
      </c>
      <c r="AE140" s="225">
        <v>1</v>
      </c>
      <c r="AF140" s="226">
        <f t="shared" si="9"/>
        <v>65.89958158995816</v>
      </c>
      <c r="AG140" s="227">
        <f t="shared" si="10"/>
        <v>2965.4811715481173</v>
      </c>
      <c r="AH140" s="228" t="s">
        <v>23</v>
      </c>
      <c r="AI140" s="229" t="str">
        <f t="shared" si="11"/>
        <v>Extremamente Complexa</v>
      </c>
      <c r="AJ140" s="230" t="str">
        <f t="shared" si="12"/>
        <v>Normal</v>
      </c>
      <c r="AK140" s="231">
        <f t="shared" si="13"/>
        <v>4236.4016736401682</v>
      </c>
      <c r="AL140" s="232">
        <f t="shared" si="14"/>
        <v>0.8</v>
      </c>
      <c r="AM140" s="233">
        <f t="shared" si="15"/>
        <v>3389.1213389121349</v>
      </c>
      <c r="AN140" s="233">
        <f t="shared" si="16"/>
        <v>847.28033472803327</v>
      </c>
      <c r="AO140" s="234">
        <f t="shared" si="17"/>
        <v>8.3624428839389225E-2</v>
      </c>
      <c r="AP140" s="235">
        <f t="shared" si="18"/>
        <v>0.92</v>
      </c>
      <c r="AQ140" s="235">
        <f t="shared" si="18"/>
        <v>0.93</v>
      </c>
      <c r="AR140" s="235">
        <f t="shared" si="19"/>
        <v>0.92</v>
      </c>
      <c r="AS140" s="251">
        <f t="shared" si="20"/>
        <v>10.622222222222222</v>
      </c>
      <c r="AT140" s="238">
        <f t="shared" si="21"/>
        <v>478</v>
      </c>
      <c r="AU140" s="239">
        <f t="shared" si="22"/>
        <v>0.02</v>
      </c>
      <c r="AV140" s="239">
        <f t="shared" si="23"/>
        <v>0</v>
      </c>
      <c r="AW140" s="239">
        <f t="shared" si="24"/>
        <v>0.05</v>
      </c>
      <c r="AX140" s="240">
        <f t="shared" si="25"/>
        <v>478</v>
      </c>
      <c r="AY140" s="241">
        <f t="shared" si="26"/>
        <v>-2.5600000000000005</v>
      </c>
      <c r="AZ140" s="242">
        <f>IFERROR(VLOOKUP(M140,'[1]Base Brasil Obras'!$C$2:$F$485,4,0),"")</f>
        <v>13.155555555555555</v>
      </c>
      <c r="BA140" s="243">
        <f t="shared" si="27"/>
        <v>562.4</v>
      </c>
      <c r="BB140" s="244">
        <f t="shared" si="28"/>
        <v>7.999999999999996E-2</v>
      </c>
      <c r="BC140" s="244">
        <f t="shared" si="29"/>
        <v>7.0000000000000007E-2</v>
      </c>
      <c r="BD140" s="245">
        <f t="shared" si="30"/>
        <v>0.85000000000000009</v>
      </c>
      <c r="BE140" s="246">
        <f t="shared" si="31"/>
        <v>13.155555555555555</v>
      </c>
      <c r="BF140" s="247">
        <v>5</v>
      </c>
      <c r="BG140" s="248">
        <f t="shared" si="32"/>
        <v>1</v>
      </c>
      <c r="BH140" s="198"/>
      <c r="BI140" s="198"/>
      <c r="BJ140" s="199"/>
      <c r="BK140" s="200"/>
      <c r="BL140" s="200"/>
      <c r="BM140" s="200"/>
      <c r="BN140" s="200"/>
      <c r="BO140" s="10"/>
    </row>
    <row r="141" spans="1:89" ht="18" customHeight="1" x14ac:dyDescent="0.25">
      <c r="A141" s="201">
        <v>33</v>
      </c>
      <c r="B141" s="202">
        <v>450</v>
      </c>
      <c r="C141" s="203">
        <f t="shared" si="0"/>
        <v>0</v>
      </c>
      <c r="D141" s="204"/>
      <c r="E141" s="204"/>
      <c r="F141" s="205" t="s">
        <v>159</v>
      </c>
      <c r="G141" s="206"/>
      <c r="H141" s="207" t="s">
        <v>133</v>
      </c>
      <c r="I141" s="208" t="s">
        <v>125</v>
      </c>
      <c r="J141" s="208" t="s">
        <v>126</v>
      </c>
      <c r="K141" s="209" t="s">
        <v>161</v>
      </c>
      <c r="L141" s="255"/>
      <c r="M141" s="211" t="s">
        <v>174</v>
      </c>
      <c r="N141" s="257"/>
      <c r="O141" s="213">
        <f>SUMIF([1]Mestre!$G$137:$G$409,THEO!A141,[1]Mestre!$AG$137:$AG$409)</f>
        <v>0</v>
      </c>
      <c r="P141" s="214"/>
      <c r="Q141" s="214"/>
      <c r="R141" s="214"/>
      <c r="S141" s="214"/>
      <c r="T141" s="214"/>
      <c r="U141" s="215">
        <f t="shared" si="1"/>
        <v>427.5</v>
      </c>
      <c r="V141" s="216">
        <f t="shared" si="2"/>
        <v>-5.295566502463056E-2</v>
      </c>
      <c r="W141" s="217">
        <f t="shared" si="3"/>
        <v>427.5</v>
      </c>
      <c r="X141" s="218" t="s">
        <v>13</v>
      </c>
      <c r="Y141" s="219" t="str">
        <f t="shared" si="4"/>
        <v>406 Mt de Cabo/Dia</v>
      </c>
      <c r="Z141" s="220" t="str">
        <f t="shared" si="5"/>
        <v>12,5 Mt de Cabo / HH</v>
      </c>
      <c r="AA141" s="221">
        <f t="shared" si="6"/>
        <v>12.5</v>
      </c>
      <c r="AB141" s="222" t="str">
        <f t="shared" si="7"/>
        <v>0 Mt de Cabo /HH</v>
      </c>
      <c r="AC141" s="223">
        <f t="shared" si="8"/>
        <v>4</v>
      </c>
      <c r="AD141" s="224">
        <v>3</v>
      </c>
      <c r="AE141" s="225">
        <v>1</v>
      </c>
      <c r="AF141" s="226">
        <f t="shared" si="9"/>
        <v>0</v>
      </c>
      <c r="AG141" s="227">
        <f t="shared" si="10"/>
        <v>0</v>
      </c>
      <c r="AH141" s="228" t="s">
        <v>25</v>
      </c>
      <c r="AI141" s="229" t="str">
        <f t="shared" si="11"/>
        <v>Extremamente Complexa</v>
      </c>
      <c r="AJ141" s="230" t="str">
        <f t="shared" si="12"/>
        <v>Normal</v>
      </c>
      <c r="AK141" s="231">
        <f t="shared" si="13"/>
        <v>0</v>
      </c>
      <c r="AL141" s="232">
        <f t="shared" si="14"/>
        <v>0.75</v>
      </c>
      <c r="AM141" s="233">
        <f t="shared" si="15"/>
        <v>0</v>
      </c>
      <c r="AN141" s="233">
        <f t="shared" si="16"/>
        <v>0</v>
      </c>
      <c r="AO141" s="234">
        <f t="shared" si="17"/>
        <v>0</v>
      </c>
      <c r="AP141" s="235">
        <f t="shared" ref="AP141:AQ172" si="33">IFERROR(VLOOKUP(I141,$J$1070:$K$1089,2,1),0)</f>
        <v>1</v>
      </c>
      <c r="AQ141" s="235">
        <f t="shared" si="33"/>
        <v>1</v>
      </c>
      <c r="AR141" s="235">
        <f t="shared" si="19"/>
        <v>1</v>
      </c>
      <c r="AS141" s="252">
        <f t="shared" si="20"/>
        <v>0</v>
      </c>
      <c r="AT141" s="238">
        <f t="shared" si="21"/>
        <v>406</v>
      </c>
      <c r="AU141" s="239">
        <f t="shared" si="22"/>
        <v>0</v>
      </c>
      <c r="AV141" s="239">
        <f t="shared" si="23"/>
        <v>0</v>
      </c>
      <c r="AW141" s="239">
        <f t="shared" si="24"/>
        <v>0.05</v>
      </c>
      <c r="AX141" s="240">
        <f t="shared" si="25"/>
        <v>406</v>
      </c>
      <c r="AY141" s="241">
        <f t="shared" si="26"/>
        <v>-12.5</v>
      </c>
      <c r="AZ141" s="242">
        <f>IFERROR(VLOOKUP(M141,'[1]Base Brasil Obras'!$C$2:$F$485,4,0),"")</f>
        <v>12.5</v>
      </c>
      <c r="BA141" s="243">
        <f t="shared" si="27"/>
        <v>427.5</v>
      </c>
      <c r="BB141" s="244">
        <f t="shared" si="28"/>
        <v>0</v>
      </c>
      <c r="BC141" s="244">
        <f t="shared" si="29"/>
        <v>0.05</v>
      </c>
      <c r="BD141" s="245">
        <f t="shared" si="30"/>
        <v>0.95</v>
      </c>
      <c r="BE141" s="246">
        <f t="shared" si="31"/>
        <v>12.5</v>
      </c>
      <c r="BF141" s="247">
        <v>4</v>
      </c>
      <c r="BG141" s="248">
        <f t="shared" si="32"/>
        <v>1</v>
      </c>
      <c r="BH141" s="198"/>
      <c r="BI141" s="198"/>
      <c r="BJ141" s="199"/>
      <c r="BK141" s="200"/>
      <c r="BL141" s="200"/>
      <c r="BM141" s="200"/>
      <c r="BN141" s="200"/>
      <c r="BO141" s="10"/>
      <c r="BP141" s="249"/>
      <c r="BQ141" s="249"/>
      <c r="BR141" s="249"/>
      <c r="BS141" s="249"/>
      <c r="BT141" s="249"/>
      <c r="BU141" s="249"/>
      <c r="BV141" s="249"/>
      <c r="BW141" s="249"/>
      <c r="BX141" s="249"/>
      <c r="BY141" s="249"/>
      <c r="BZ141" s="249"/>
      <c r="CA141" s="249"/>
      <c r="CB141" s="249"/>
      <c r="CC141" s="249"/>
      <c r="CD141" s="249"/>
      <c r="CE141" s="249"/>
      <c r="CF141" s="249"/>
      <c r="CG141" s="249"/>
      <c r="CH141" s="249"/>
      <c r="CI141" s="249"/>
      <c r="CJ141" s="249"/>
      <c r="CK141" s="249"/>
    </row>
    <row r="142" spans="1:89" ht="18" customHeight="1" x14ac:dyDescent="0.25">
      <c r="A142" s="201">
        <v>34</v>
      </c>
      <c r="B142" s="202">
        <v>500</v>
      </c>
      <c r="C142" s="203">
        <f t="shared" si="0"/>
        <v>0</v>
      </c>
      <c r="D142" s="204"/>
      <c r="E142" s="204"/>
      <c r="F142" s="205" t="s">
        <v>159</v>
      </c>
      <c r="G142" s="206"/>
      <c r="H142" s="207" t="s">
        <v>133</v>
      </c>
      <c r="I142" s="208" t="s">
        <v>125</v>
      </c>
      <c r="J142" s="208" t="s">
        <v>126</v>
      </c>
      <c r="K142" s="209" t="s">
        <v>161</v>
      </c>
      <c r="L142" s="255"/>
      <c r="M142" s="211" t="s">
        <v>175</v>
      </c>
      <c r="N142" s="257"/>
      <c r="O142" s="213">
        <f>SUMIF([1]Mestre!$G$137:$G$409,THEO!A142,[1]Mestre!$AG$137:$AG$409)</f>
        <v>0</v>
      </c>
      <c r="P142" s="214"/>
      <c r="Q142" s="214"/>
      <c r="R142" s="214"/>
      <c r="S142" s="214"/>
      <c r="T142" s="214"/>
      <c r="U142" s="215">
        <f t="shared" si="1"/>
        <v>475</v>
      </c>
      <c r="V142" s="216">
        <f t="shared" si="2"/>
        <v>-5.3215077605321515E-2</v>
      </c>
      <c r="W142" s="217">
        <f t="shared" si="3"/>
        <v>475</v>
      </c>
      <c r="X142" s="218" t="s">
        <v>13</v>
      </c>
      <c r="Y142" s="219" t="str">
        <f t="shared" si="4"/>
        <v>451 Mt de Cabo/Dia</v>
      </c>
      <c r="Z142" s="220" t="str">
        <f t="shared" si="5"/>
        <v>13,89 Mt de Cabo / HH</v>
      </c>
      <c r="AA142" s="221">
        <f t="shared" si="6"/>
        <v>13.89</v>
      </c>
      <c r="AB142" s="222" t="str">
        <f t="shared" si="7"/>
        <v>0 Mt de Cabo /HH</v>
      </c>
      <c r="AC142" s="223">
        <f t="shared" si="8"/>
        <v>4</v>
      </c>
      <c r="AD142" s="224">
        <v>3</v>
      </c>
      <c r="AE142" s="225">
        <v>1</v>
      </c>
      <c r="AF142" s="226">
        <f t="shared" si="9"/>
        <v>0</v>
      </c>
      <c r="AG142" s="227">
        <f t="shared" si="10"/>
        <v>0</v>
      </c>
      <c r="AH142" s="228" t="s">
        <v>25</v>
      </c>
      <c r="AI142" s="229" t="str">
        <f t="shared" si="11"/>
        <v>Extremamente Complexa</v>
      </c>
      <c r="AJ142" s="230" t="str">
        <f t="shared" si="12"/>
        <v>Normal</v>
      </c>
      <c r="AK142" s="231">
        <f t="shared" si="13"/>
        <v>0</v>
      </c>
      <c r="AL142" s="232">
        <f t="shared" si="14"/>
        <v>0.75</v>
      </c>
      <c r="AM142" s="233">
        <f t="shared" si="15"/>
        <v>0</v>
      </c>
      <c r="AN142" s="233">
        <f t="shared" si="16"/>
        <v>0</v>
      </c>
      <c r="AO142" s="234">
        <f t="shared" si="17"/>
        <v>0</v>
      </c>
      <c r="AP142" s="235">
        <f t="shared" si="33"/>
        <v>1</v>
      </c>
      <c r="AQ142" s="235">
        <f t="shared" si="33"/>
        <v>1</v>
      </c>
      <c r="AR142" s="236">
        <f t="shared" si="19"/>
        <v>1</v>
      </c>
      <c r="AS142" s="251">
        <f t="shared" si="20"/>
        <v>0</v>
      </c>
      <c r="AT142" s="238">
        <f t="shared" si="21"/>
        <v>451</v>
      </c>
      <c r="AU142" s="239">
        <f t="shared" si="22"/>
        <v>0</v>
      </c>
      <c r="AV142" s="239">
        <f t="shared" si="23"/>
        <v>0</v>
      </c>
      <c r="AW142" s="239">
        <f t="shared" si="24"/>
        <v>0.05</v>
      </c>
      <c r="AX142" s="240">
        <f t="shared" si="25"/>
        <v>451</v>
      </c>
      <c r="AY142" s="241">
        <f t="shared" si="26"/>
        <v>-13.89</v>
      </c>
      <c r="AZ142" s="242">
        <f>IFERROR(VLOOKUP(M142,'[1]Base Brasil Obras'!$C$2:$F$485,4,0),"")</f>
        <v>13.888888888888889</v>
      </c>
      <c r="BA142" s="243">
        <f t="shared" si="27"/>
        <v>475</v>
      </c>
      <c r="BB142" s="244">
        <f t="shared" si="28"/>
        <v>0</v>
      </c>
      <c r="BC142" s="244">
        <f t="shared" si="29"/>
        <v>0.05</v>
      </c>
      <c r="BD142" s="245">
        <f t="shared" si="30"/>
        <v>0.95</v>
      </c>
      <c r="BE142" s="246">
        <f t="shared" si="31"/>
        <v>13.888888888888889</v>
      </c>
      <c r="BF142" s="247">
        <v>4</v>
      </c>
      <c r="BG142" s="248">
        <f t="shared" si="32"/>
        <v>1</v>
      </c>
      <c r="BH142" s="198"/>
      <c r="BI142" s="198"/>
      <c r="BJ142" s="199"/>
      <c r="BK142" s="200"/>
      <c r="BL142" s="200"/>
      <c r="BM142" s="200"/>
      <c r="BN142" s="200"/>
      <c r="BO142" s="10"/>
    </row>
    <row r="143" spans="1:89" ht="18" customHeight="1" x14ac:dyDescent="0.25">
      <c r="A143" s="201">
        <v>35</v>
      </c>
      <c r="B143" s="202">
        <v>523</v>
      </c>
      <c r="C143" s="203">
        <f t="shared" si="0"/>
        <v>0</v>
      </c>
      <c r="D143" s="204"/>
      <c r="E143" s="204"/>
      <c r="F143" s="205" t="s">
        <v>159</v>
      </c>
      <c r="G143" s="206"/>
      <c r="H143" s="207" t="s">
        <v>133</v>
      </c>
      <c r="I143" s="208" t="s">
        <v>125</v>
      </c>
      <c r="J143" s="208" t="s">
        <v>126</v>
      </c>
      <c r="K143" s="209" t="s">
        <v>161</v>
      </c>
      <c r="L143" s="255" t="s">
        <v>176</v>
      </c>
      <c r="M143" s="211" t="s">
        <v>177</v>
      </c>
      <c r="N143" s="257"/>
      <c r="O143" s="213">
        <f>SUMIF([1]Mestre!$G$137:$G$409,THEO!A143,[1]Mestre!$AG$137:$AG$409)</f>
        <v>630</v>
      </c>
      <c r="P143" s="214"/>
      <c r="Q143" s="214"/>
      <c r="R143" s="214"/>
      <c r="S143" s="214"/>
      <c r="T143" s="214"/>
      <c r="U143" s="215">
        <f t="shared" si="1"/>
        <v>496.84999999999997</v>
      </c>
      <c r="V143" s="216">
        <f t="shared" si="2"/>
        <v>-5.2648305084745717E-2</v>
      </c>
      <c r="W143" s="217">
        <f t="shared" si="3"/>
        <v>496.84999999999997</v>
      </c>
      <c r="X143" s="218" t="s">
        <v>13</v>
      </c>
      <c r="Y143" s="219" t="str">
        <f t="shared" si="4"/>
        <v>472 Mt de Cabo/Dia</v>
      </c>
      <c r="Z143" s="220" t="str">
        <f t="shared" si="5"/>
        <v>14,53 Mt de Cabo / HH</v>
      </c>
      <c r="AA143" s="221">
        <f t="shared" si="6"/>
        <v>14.53</v>
      </c>
      <c r="AB143" s="222" t="str">
        <f t="shared" si="7"/>
        <v>13,1 Mt de Cabo /HH</v>
      </c>
      <c r="AC143" s="223">
        <f t="shared" si="8"/>
        <v>4</v>
      </c>
      <c r="AD143" s="224">
        <v>3</v>
      </c>
      <c r="AE143" s="225">
        <v>1</v>
      </c>
      <c r="AF143" s="226">
        <f t="shared" si="9"/>
        <v>1.3347457627118644</v>
      </c>
      <c r="AG143" s="227">
        <f t="shared" si="10"/>
        <v>48.050847457627121</v>
      </c>
      <c r="AH143" s="228" t="s">
        <v>25</v>
      </c>
      <c r="AI143" s="229" t="str">
        <f t="shared" si="11"/>
        <v>Extremamente Complexa</v>
      </c>
      <c r="AJ143" s="230" t="str">
        <f t="shared" si="12"/>
        <v>Normal</v>
      </c>
      <c r="AK143" s="231">
        <f t="shared" si="13"/>
        <v>68.644067796610173</v>
      </c>
      <c r="AL143" s="232">
        <f t="shared" si="14"/>
        <v>0.75</v>
      </c>
      <c r="AM143" s="233">
        <f t="shared" si="15"/>
        <v>51.483050847457633</v>
      </c>
      <c r="AN143" s="233">
        <f t="shared" si="16"/>
        <v>17.16101694915254</v>
      </c>
      <c r="AO143" s="234">
        <f t="shared" si="17"/>
        <v>1.3549992198382387E-3</v>
      </c>
      <c r="AP143" s="235">
        <f t="shared" si="33"/>
        <v>1</v>
      </c>
      <c r="AQ143" s="235">
        <f t="shared" si="33"/>
        <v>1</v>
      </c>
      <c r="AR143" s="235">
        <f t="shared" si="19"/>
        <v>1</v>
      </c>
      <c r="AS143" s="252">
        <f t="shared" si="20"/>
        <v>13.111111111111111</v>
      </c>
      <c r="AT143" s="238">
        <f t="shared" si="21"/>
        <v>472</v>
      </c>
      <c r="AU143" s="239">
        <f t="shared" si="22"/>
        <v>0</v>
      </c>
      <c r="AV143" s="239">
        <f t="shared" si="23"/>
        <v>0</v>
      </c>
      <c r="AW143" s="239">
        <f t="shared" si="24"/>
        <v>0.05</v>
      </c>
      <c r="AX143" s="240">
        <f t="shared" si="25"/>
        <v>472</v>
      </c>
      <c r="AY143" s="241">
        <f t="shared" si="26"/>
        <v>-1.4299999999999997</v>
      </c>
      <c r="AZ143" s="242">
        <f>IFERROR(VLOOKUP(M143,'[1]Base Brasil Obras'!$C$2:$F$485,4,0),"")</f>
        <v>14.527777777777779</v>
      </c>
      <c r="BA143" s="243">
        <f t="shared" si="27"/>
        <v>496.84999999999997</v>
      </c>
      <c r="BB143" s="244">
        <f t="shared" si="28"/>
        <v>0</v>
      </c>
      <c r="BC143" s="244">
        <f t="shared" si="29"/>
        <v>0.05</v>
      </c>
      <c r="BD143" s="245">
        <f t="shared" si="30"/>
        <v>0.95</v>
      </c>
      <c r="BE143" s="246">
        <f t="shared" si="31"/>
        <v>14.527777777777779</v>
      </c>
      <c r="BF143" s="247">
        <v>4</v>
      </c>
      <c r="BG143" s="248">
        <f t="shared" si="32"/>
        <v>1</v>
      </c>
      <c r="BH143" s="198"/>
      <c r="BI143" s="198"/>
      <c r="BJ143" s="199"/>
      <c r="BK143" s="200"/>
      <c r="BL143" s="200"/>
      <c r="BM143" s="200"/>
      <c r="BN143" s="200"/>
      <c r="BO143" s="10"/>
      <c r="BP143" s="249"/>
      <c r="BQ143" s="249"/>
      <c r="BR143" s="249"/>
      <c r="BS143" s="249"/>
      <c r="BT143" s="249"/>
      <c r="BU143" s="249"/>
      <c r="BV143" s="249"/>
      <c r="BW143" s="249"/>
      <c r="BX143" s="249"/>
      <c r="BY143" s="249"/>
      <c r="BZ143" s="249"/>
      <c r="CA143" s="249"/>
      <c r="CB143" s="249"/>
      <c r="CC143" s="249"/>
      <c r="CD143" s="249"/>
      <c r="CE143" s="249"/>
      <c r="CF143" s="249"/>
      <c r="CG143" s="249"/>
      <c r="CH143" s="249"/>
      <c r="CI143" s="249"/>
      <c r="CJ143" s="249"/>
      <c r="CK143" s="249"/>
    </row>
    <row r="144" spans="1:89" ht="18" customHeight="1" x14ac:dyDescent="0.25">
      <c r="A144" s="201">
        <v>36</v>
      </c>
      <c r="B144" s="202">
        <v>480</v>
      </c>
      <c r="C144" s="203">
        <f t="shared" si="0"/>
        <v>0</v>
      </c>
      <c r="D144" s="204"/>
      <c r="E144" s="204"/>
      <c r="F144" s="205" t="s">
        <v>159</v>
      </c>
      <c r="G144" s="206"/>
      <c r="H144" s="207" t="s">
        <v>133</v>
      </c>
      <c r="I144" s="208" t="s">
        <v>125</v>
      </c>
      <c r="J144" s="208" t="s">
        <v>126</v>
      </c>
      <c r="K144" s="209" t="s">
        <v>161</v>
      </c>
      <c r="L144" s="255"/>
      <c r="M144" s="211" t="s">
        <v>178</v>
      </c>
      <c r="N144" s="257"/>
      <c r="O144" s="213">
        <f>SUMIF([1]Mestre!$G$137:$G$409,THEO!A144,[1]Mestre!$AG$137:$AG$409)</f>
        <v>0</v>
      </c>
      <c r="P144" s="214"/>
      <c r="Q144" s="214"/>
      <c r="R144" s="214"/>
      <c r="S144" s="214"/>
      <c r="T144" s="214"/>
      <c r="U144" s="215">
        <f t="shared" si="1"/>
        <v>456</v>
      </c>
      <c r="V144" s="216">
        <f t="shared" si="2"/>
        <v>-5.3117782909930744E-2</v>
      </c>
      <c r="W144" s="217">
        <f t="shared" si="3"/>
        <v>456</v>
      </c>
      <c r="X144" s="218" t="s">
        <v>13</v>
      </c>
      <c r="Y144" s="219" t="str">
        <f t="shared" si="4"/>
        <v>433 Mt de Cabo/Dia</v>
      </c>
      <c r="Z144" s="220" t="str">
        <f t="shared" si="5"/>
        <v>13,33 Mt de Cabo / HH</v>
      </c>
      <c r="AA144" s="221">
        <f t="shared" si="6"/>
        <v>13.33</v>
      </c>
      <c r="AB144" s="222" t="str">
        <f t="shared" si="7"/>
        <v>0 Mt de Cabo /HH</v>
      </c>
      <c r="AC144" s="223">
        <f t="shared" si="8"/>
        <v>4</v>
      </c>
      <c r="AD144" s="224">
        <v>3</v>
      </c>
      <c r="AE144" s="225">
        <v>1</v>
      </c>
      <c r="AF144" s="226">
        <f t="shared" si="9"/>
        <v>0</v>
      </c>
      <c r="AG144" s="227">
        <f t="shared" si="10"/>
        <v>0</v>
      </c>
      <c r="AH144" s="228" t="s">
        <v>25</v>
      </c>
      <c r="AI144" s="229" t="str">
        <f t="shared" si="11"/>
        <v>Extremamente Complexa</v>
      </c>
      <c r="AJ144" s="230" t="str">
        <f t="shared" si="12"/>
        <v>Normal</v>
      </c>
      <c r="AK144" s="231">
        <f t="shared" si="13"/>
        <v>0</v>
      </c>
      <c r="AL144" s="232">
        <f t="shared" si="14"/>
        <v>0.75</v>
      </c>
      <c r="AM144" s="233">
        <f t="shared" si="15"/>
        <v>0</v>
      </c>
      <c r="AN144" s="233">
        <f t="shared" si="16"/>
        <v>0</v>
      </c>
      <c r="AO144" s="234">
        <f t="shared" si="17"/>
        <v>0</v>
      </c>
      <c r="AP144" s="235">
        <f t="shared" si="33"/>
        <v>1</v>
      </c>
      <c r="AQ144" s="235">
        <f t="shared" si="33"/>
        <v>1</v>
      </c>
      <c r="AR144" s="236">
        <f t="shared" si="19"/>
        <v>1</v>
      </c>
      <c r="AS144" s="251">
        <f t="shared" si="20"/>
        <v>0</v>
      </c>
      <c r="AT144" s="238">
        <f t="shared" si="21"/>
        <v>433</v>
      </c>
      <c r="AU144" s="239">
        <f t="shared" si="22"/>
        <v>0</v>
      </c>
      <c r="AV144" s="239">
        <f t="shared" si="23"/>
        <v>0</v>
      </c>
      <c r="AW144" s="239">
        <f t="shared" si="24"/>
        <v>0.05</v>
      </c>
      <c r="AX144" s="240">
        <f t="shared" si="25"/>
        <v>433</v>
      </c>
      <c r="AY144" s="241">
        <f t="shared" si="26"/>
        <v>-13.33</v>
      </c>
      <c r="AZ144" s="242">
        <f>IFERROR(VLOOKUP(M144,'[1]Base Brasil Obras'!$C$2:$F$485,4,0),"")</f>
        <v>13.333333333333334</v>
      </c>
      <c r="BA144" s="243">
        <f t="shared" si="27"/>
        <v>456</v>
      </c>
      <c r="BB144" s="244">
        <f t="shared" si="28"/>
        <v>0</v>
      </c>
      <c r="BC144" s="244">
        <f t="shared" si="29"/>
        <v>0.05</v>
      </c>
      <c r="BD144" s="245">
        <f t="shared" si="30"/>
        <v>0.95</v>
      </c>
      <c r="BE144" s="246">
        <f t="shared" si="31"/>
        <v>13.333333333333334</v>
      </c>
      <c r="BF144" s="247">
        <v>4</v>
      </c>
      <c r="BG144" s="248">
        <f t="shared" si="32"/>
        <v>1</v>
      </c>
      <c r="BH144" s="198"/>
      <c r="BI144" s="198"/>
      <c r="BJ144" s="199"/>
      <c r="BK144" s="200"/>
      <c r="BL144" s="200"/>
      <c r="BM144" s="200"/>
      <c r="BN144" s="200"/>
      <c r="BO144" s="10"/>
      <c r="BP144" s="249"/>
      <c r="BQ144" s="249"/>
      <c r="BR144" s="249"/>
      <c r="BS144" s="249"/>
      <c r="BT144" s="249"/>
      <c r="BU144" s="249"/>
      <c r="BV144" s="249"/>
      <c r="BW144" s="249"/>
      <c r="BX144" s="249"/>
      <c r="BY144" s="249"/>
      <c r="BZ144" s="249"/>
      <c r="CA144" s="249"/>
      <c r="CB144" s="249"/>
      <c r="CC144" s="249"/>
      <c r="CD144" s="249"/>
      <c r="CE144" s="249"/>
      <c r="CF144" s="249"/>
      <c r="CG144" s="249"/>
      <c r="CH144" s="249"/>
      <c r="CI144" s="249"/>
      <c r="CJ144" s="249"/>
      <c r="CK144" s="249"/>
    </row>
    <row r="145" spans="1:89" ht="18" customHeight="1" x14ac:dyDescent="0.25">
      <c r="A145" s="201">
        <v>37</v>
      </c>
      <c r="B145" s="202">
        <v>384</v>
      </c>
      <c r="C145" s="203">
        <f t="shared" si="0"/>
        <v>0</v>
      </c>
      <c r="D145" s="204"/>
      <c r="E145" s="204"/>
      <c r="F145" s="205" t="s">
        <v>159</v>
      </c>
      <c r="G145" s="206"/>
      <c r="H145" s="207" t="s">
        <v>133</v>
      </c>
      <c r="I145" s="208" t="s">
        <v>125</v>
      </c>
      <c r="J145" s="208" t="s">
        <v>126</v>
      </c>
      <c r="K145" s="209" t="s">
        <v>161</v>
      </c>
      <c r="L145" s="255"/>
      <c r="M145" s="211" t="s">
        <v>179</v>
      </c>
      <c r="N145" s="257"/>
      <c r="O145" s="213">
        <f>SUMIF([1]Mestre!$G$137:$G$409,THEO!A145,[1]Mestre!$AG$137:$AG$409)</f>
        <v>0</v>
      </c>
      <c r="P145" s="214"/>
      <c r="Q145" s="214"/>
      <c r="R145" s="214"/>
      <c r="S145" s="214"/>
      <c r="T145" s="214"/>
      <c r="U145" s="215">
        <f t="shared" si="1"/>
        <v>364.79999999999995</v>
      </c>
      <c r="V145" s="216">
        <f t="shared" si="2"/>
        <v>-5.1296829971181346E-2</v>
      </c>
      <c r="W145" s="217">
        <f t="shared" si="3"/>
        <v>364.79999999999995</v>
      </c>
      <c r="X145" s="218" t="s">
        <v>13</v>
      </c>
      <c r="Y145" s="219" t="str">
        <f t="shared" si="4"/>
        <v>347 Mt de Cabo/Dia</v>
      </c>
      <c r="Z145" s="220" t="str">
        <f t="shared" si="5"/>
        <v>14,22 Mt de Cabo / HH</v>
      </c>
      <c r="AA145" s="221">
        <f t="shared" si="6"/>
        <v>14.22</v>
      </c>
      <c r="AB145" s="222" t="str">
        <f t="shared" si="7"/>
        <v>0 Mt de Cabo /HH</v>
      </c>
      <c r="AC145" s="223">
        <f t="shared" si="8"/>
        <v>3</v>
      </c>
      <c r="AD145" s="224">
        <v>2</v>
      </c>
      <c r="AE145" s="225">
        <v>1</v>
      </c>
      <c r="AF145" s="226">
        <f t="shared" si="9"/>
        <v>0</v>
      </c>
      <c r="AG145" s="227">
        <f t="shared" si="10"/>
        <v>0</v>
      </c>
      <c r="AH145" s="228" t="s">
        <v>25</v>
      </c>
      <c r="AI145" s="229" t="str">
        <f t="shared" si="11"/>
        <v>Extremamente Complexa</v>
      </c>
      <c r="AJ145" s="230" t="str">
        <f t="shared" si="12"/>
        <v>Normal</v>
      </c>
      <c r="AK145" s="231">
        <f t="shared" si="13"/>
        <v>0</v>
      </c>
      <c r="AL145" s="232">
        <f t="shared" si="14"/>
        <v>0.66666666666666663</v>
      </c>
      <c r="AM145" s="233">
        <f t="shared" si="15"/>
        <v>0</v>
      </c>
      <c r="AN145" s="233">
        <f t="shared" si="16"/>
        <v>0</v>
      </c>
      <c r="AO145" s="234">
        <f t="shared" si="17"/>
        <v>0</v>
      </c>
      <c r="AP145" s="235">
        <f t="shared" si="33"/>
        <v>1</v>
      </c>
      <c r="AQ145" s="235">
        <f t="shared" si="33"/>
        <v>1</v>
      </c>
      <c r="AR145" s="235">
        <f t="shared" si="19"/>
        <v>1</v>
      </c>
      <c r="AS145" s="252">
        <f t="shared" si="20"/>
        <v>0</v>
      </c>
      <c r="AT145" s="238">
        <f t="shared" si="21"/>
        <v>347</v>
      </c>
      <c r="AU145" s="239">
        <f t="shared" si="22"/>
        <v>0</v>
      </c>
      <c r="AV145" s="239">
        <f t="shared" si="23"/>
        <v>0</v>
      </c>
      <c r="AW145" s="239">
        <f t="shared" si="24"/>
        <v>0.05</v>
      </c>
      <c r="AX145" s="240">
        <f t="shared" si="25"/>
        <v>347</v>
      </c>
      <c r="AY145" s="241">
        <f t="shared" si="26"/>
        <v>-14.22</v>
      </c>
      <c r="AZ145" s="242">
        <f>IFERROR(VLOOKUP(M145,'[1]Base Brasil Obras'!$C$2:$F$485,4,0),"")</f>
        <v>14.222222222222221</v>
      </c>
      <c r="BA145" s="243">
        <f t="shared" si="27"/>
        <v>364.79999999999995</v>
      </c>
      <c r="BB145" s="244">
        <f t="shared" si="28"/>
        <v>0</v>
      </c>
      <c r="BC145" s="244">
        <f t="shared" si="29"/>
        <v>0.05</v>
      </c>
      <c r="BD145" s="245">
        <f t="shared" si="30"/>
        <v>0.95</v>
      </c>
      <c r="BE145" s="246">
        <f t="shared" si="31"/>
        <v>14.222222222222221</v>
      </c>
      <c r="BF145" s="247">
        <v>3</v>
      </c>
      <c r="BG145" s="248">
        <f t="shared" si="32"/>
        <v>1</v>
      </c>
      <c r="BH145" s="198"/>
      <c r="BI145" s="198"/>
      <c r="BJ145" s="199"/>
      <c r="BK145" s="200"/>
      <c r="BL145" s="200"/>
      <c r="BM145" s="200"/>
      <c r="BN145" s="200"/>
      <c r="BO145" s="10"/>
      <c r="BP145" s="249"/>
      <c r="BQ145" s="249"/>
      <c r="BR145" s="249"/>
      <c r="BS145" s="249"/>
      <c r="BT145" s="249"/>
      <c r="BU145" s="249"/>
      <c r="BV145" s="249"/>
      <c r="BW145" s="249"/>
      <c r="BX145" s="249"/>
      <c r="BY145" s="249"/>
      <c r="BZ145" s="249"/>
      <c r="CA145" s="249"/>
      <c r="CB145" s="249"/>
      <c r="CC145" s="249"/>
      <c r="CD145" s="249"/>
      <c r="CE145" s="249"/>
      <c r="CF145" s="249"/>
      <c r="CG145" s="249"/>
      <c r="CH145" s="249"/>
      <c r="CI145" s="249"/>
      <c r="CJ145" s="249"/>
      <c r="CK145" s="249"/>
    </row>
    <row r="146" spans="1:89" ht="18" customHeight="1" x14ac:dyDescent="0.25">
      <c r="A146" s="201">
        <v>38</v>
      </c>
      <c r="B146" s="202">
        <v>390</v>
      </c>
      <c r="C146" s="203">
        <f t="shared" si="0"/>
        <v>0</v>
      </c>
      <c r="D146" s="204"/>
      <c r="E146" s="204"/>
      <c r="F146" s="205" t="s">
        <v>159</v>
      </c>
      <c r="G146" s="206"/>
      <c r="H146" s="207" t="s">
        <v>133</v>
      </c>
      <c r="I146" s="208" t="s">
        <v>125</v>
      </c>
      <c r="J146" s="208" t="s">
        <v>126</v>
      </c>
      <c r="K146" s="209" t="s">
        <v>161</v>
      </c>
      <c r="L146" s="255"/>
      <c r="M146" s="211" t="s">
        <v>180</v>
      </c>
      <c r="N146" s="257"/>
      <c r="O146" s="213">
        <f>SUMIF([1]Mestre!$G$137:$G$409,THEO!A146,[1]Mestre!$AG$137:$AG$409)</f>
        <v>0</v>
      </c>
      <c r="P146" s="214"/>
      <c r="Q146" s="214"/>
      <c r="R146" s="214"/>
      <c r="S146" s="214"/>
      <c r="T146" s="214"/>
      <c r="U146" s="215">
        <f t="shared" si="1"/>
        <v>370.5</v>
      </c>
      <c r="V146" s="216">
        <f t="shared" si="2"/>
        <v>-5.2556818181818121E-2</v>
      </c>
      <c r="W146" s="217">
        <f t="shared" si="3"/>
        <v>370.5</v>
      </c>
      <c r="X146" s="218" t="s">
        <v>12</v>
      </c>
      <c r="Y146" s="219" t="str">
        <f t="shared" si="4"/>
        <v>352 mt/Dia</v>
      </c>
      <c r="Z146" s="220" t="str">
        <f t="shared" si="5"/>
        <v>14,44 mt / HH</v>
      </c>
      <c r="AA146" s="221">
        <f t="shared" si="6"/>
        <v>14.44</v>
      </c>
      <c r="AB146" s="222" t="str">
        <f t="shared" si="7"/>
        <v>0 mt /HH</v>
      </c>
      <c r="AC146" s="223">
        <f t="shared" si="8"/>
        <v>3</v>
      </c>
      <c r="AD146" s="224">
        <v>2</v>
      </c>
      <c r="AE146" s="225">
        <v>1</v>
      </c>
      <c r="AF146" s="226">
        <f t="shared" si="9"/>
        <v>0</v>
      </c>
      <c r="AG146" s="227">
        <f t="shared" si="10"/>
        <v>0</v>
      </c>
      <c r="AH146" s="228" t="s">
        <v>25</v>
      </c>
      <c r="AI146" s="229" t="str">
        <f t="shared" si="11"/>
        <v>Extremamente Complexa</v>
      </c>
      <c r="AJ146" s="230" t="str">
        <f t="shared" si="12"/>
        <v>Normal</v>
      </c>
      <c r="AK146" s="231">
        <f t="shared" si="13"/>
        <v>0</v>
      </c>
      <c r="AL146" s="232">
        <f t="shared" si="14"/>
        <v>0.66666666666666663</v>
      </c>
      <c r="AM146" s="233">
        <f t="shared" si="15"/>
        <v>0</v>
      </c>
      <c r="AN146" s="233">
        <f t="shared" si="16"/>
        <v>0</v>
      </c>
      <c r="AO146" s="234">
        <f t="shared" si="17"/>
        <v>0</v>
      </c>
      <c r="AP146" s="235">
        <f t="shared" si="33"/>
        <v>1</v>
      </c>
      <c r="AQ146" s="235">
        <f t="shared" si="33"/>
        <v>1</v>
      </c>
      <c r="AR146" s="236">
        <f t="shared" si="19"/>
        <v>1</v>
      </c>
      <c r="AS146" s="251">
        <f t="shared" si="20"/>
        <v>0</v>
      </c>
      <c r="AT146" s="238">
        <f t="shared" si="21"/>
        <v>352</v>
      </c>
      <c r="AU146" s="239">
        <f t="shared" si="22"/>
        <v>0</v>
      </c>
      <c r="AV146" s="239">
        <f t="shared" si="23"/>
        <v>0</v>
      </c>
      <c r="AW146" s="239">
        <f t="shared" si="24"/>
        <v>0.05</v>
      </c>
      <c r="AX146" s="240">
        <f t="shared" si="25"/>
        <v>352</v>
      </c>
      <c r="AY146" s="241">
        <f t="shared" si="26"/>
        <v>-14.44</v>
      </c>
      <c r="AZ146" s="242">
        <f>IFERROR(VLOOKUP(M146,'[1]Base Brasil Obras'!$C$2:$F$485,4,0),"")</f>
        <v>14.444444444444445</v>
      </c>
      <c r="BA146" s="243">
        <f t="shared" si="27"/>
        <v>370.5</v>
      </c>
      <c r="BB146" s="244">
        <f t="shared" si="28"/>
        <v>0</v>
      </c>
      <c r="BC146" s="244">
        <f t="shared" si="29"/>
        <v>0.05</v>
      </c>
      <c r="BD146" s="245">
        <f t="shared" si="30"/>
        <v>0.95</v>
      </c>
      <c r="BE146" s="246">
        <f t="shared" si="31"/>
        <v>14.444444444444445</v>
      </c>
      <c r="BF146" s="247">
        <v>3</v>
      </c>
      <c r="BG146" s="248">
        <f t="shared" si="32"/>
        <v>1</v>
      </c>
      <c r="BH146" s="198"/>
      <c r="BI146" s="198"/>
      <c r="BJ146" s="199"/>
      <c r="BK146" s="200"/>
      <c r="BL146" s="200"/>
      <c r="BM146" s="200"/>
      <c r="BN146" s="200"/>
      <c r="BO146" s="10"/>
      <c r="BP146" s="249"/>
      <c r="BQ146" s="249"/>
      <c r="BR146" s="249"/>
      <c r="BS146" s="249"/>
      <c r="BT146" s="249"/>
      <c r="BU146" s="249"/>
      <c r="BV146" s="249"/>
      <c r="BW146" s="249"/>
      <c r="BX146" s="249"/>
      <c r="BY146" s="249"/>
      <c r="BZ146" s="249"/>
      <c r="CA146" s="249"/>
      <c r="CB146" s="249"/>
      <c r="CC146" s="249"/>
      <c r="CD146" s="249"/>
      <c r="CE146" s="249"/>
      <c r="CF146" s="249"/>
      <c r="CG146" s="249"/>
      <c r="CH146" s="249"/>
      <c r="CI146" s="249"/>
      <c r="CJ146" s="249"/>
      <c r="CK146" s="249"/>
    </row>
    <row r="147" spans="1:89" ht="18" customHeight="1" x14ac:dyDescent="0.25">
      <c r="A147" s="201">
        <v>39</v>
      </c>
      <c r="B147" s="202">
        <v>8</v>
      </c>
      <c r="C147" s="203">
        <f t="shared" si="0"/>
        <v>0</v>
      </c>
      <c r="D147" s="204"/>
      <c r="E147" s="204"/>
      <c r="F147" s="205" t="s">
        <v>148</v>
      </c>
      <c r="G147" s="206"/>
      <c r="H147" s="207" t="s">
        <v>133</v>
      </c>
      <c r="I147" s="208" t="s">
        <v>125</v>
      </c>
      <c r="J147" s="208" t="s">
        <v>126</v>
      </c>
      <c r="K147" s="209" t="s">
        <v>181</v>
      </c>
      <c r="L147" s="255"/>
      <c r="M147" s="211" t="s">
        <v>182</v>
      </c>
      <c r="N147" s="257"/>
      <c r="O147" s="213">
        <v>290</v>
      </c>
      <c r="P147" s="214"/>
      <c r="Q147" s="214"/>
      <c r="R147" s="214"/>
      <c r="S147" s="214"/>
      <c r="T147" s="214"/>
      <c r="U147" s="215">
        <f t="shared" si="1"/>
        <v>7.6</v>
      </c>
      <c r="V147" s="216">
        <f t="shared" si="2"/>
        <v>-8.5714285714285632E-2</v>
      </c>
      <c r="W147" s="217">
        <f t="shared" si="3"/>
        <v>7.6</v>
      </c>
      <c r="X147" s="218" t="s">
        <v>11</v>
      </c>
      <c r="Y147" s="219" t="str">
        <f t="shared" si="4"/>
        <v>7 Motores/Dia</v>
      </c>
      <c r="Z147" s="220" t="str">
        <f t="shared" si="5"/>
        <v>0,89 Motores / HH</v>
      </c>
      <c r="AA147" s="221">
        <f t="shared" si="6"/>
        <v>0.89</v>
      </c>
      <c r="AB147" s="222" t="str">
        <f t="shared" si="7"/>
        <v>0,8 Motores /HH</v>
      </c>
      <c r="AC147" s="223">
        <f t="shared" si="8"/>
        <v>1</v>
      </c>
      <c r="AD147" s="224">
        <v>1</v>
      </c>
      <c r="AE147" s="225">
        <v>0</v>
      </c>
      <c r="AF147" s="226">
        <f t="shared" si="9"/>
        <v>41.428571428571431</v>
      </c>
      <c r="AG147" s="227">
        <f t="shared" si="10"/>
        <v>372.85714285714289</v>
      </c>
      <c r="AH147" s="228" t="s">
        <v>25</v>
      </c>
      <c r="AI147" s="229" t="str">
        <f t="shared" si="11"/>
        <v>Extremamente Complexa</v>
      </c>
      <c r="AJ147" s="230" t="str">
        <f t="shared" si="12"/>
        <v>Normal</v>
      </c>
      <c r="AK147" s="231">
        <f t="shared" si="13"/>
        <v>532.65306122448987</v>
      </c>
      <c r="AL147" s="232">
        <f t="shared" si="14"/>
        <v>1</v>
      </c>
      <c r="AM147" s="233">
        <f t="shared" si="15"/>
        <v>532.65306122448987</v>
      </c>
      <c r="AN147" s="233">
        <f t="shared" si="16"/>
        <v>0</v>
      </c>
      <c r="AO147" s="234">
        <f t="shared" si="17"/>
        <v>1.0514302336250461E-2</v>
      </c>
      <c r="AP147" s="235">
        <f t="shared" si="33"/>
        <v>1</v>
      </c>
      <c r="AQ147" s="235">
        <f t="shared" si="33"/>
        <v>1</v>
      </c>
      <c r="AR147" s="235">
        <f t="shared" si="19"/>
        <v>1</v>
      </c>
      <c r="AS147" s="252">
        <f t="shared" si="20"/>
        <v>0.77777777777777768</v>
      </c>
      <c r="AT147" s="238">
        <f t="shared" si="21"/>
        <v>7</v>
      </c>
      <c r="AU147" s="239">
        <f t="shared" si="22"/>
        <v>0</v>
      </c>
      <c r="AV147" s="239">
        <f t="shared" si="23"/>
        <v>0</v>
      </c>
      <c r="AW147" s="239">
        <f t="shared" si="24"/>
        <v>0.05</v>
      </c>
      <c r="AX147" s="240">
        <f t="shared" si="25"/>
        <v>7</v>
      </c>
      <c r="AY147" s="241">
        <f t="shared" si="26"/>
        <v>-8.9999999999999969E-2</v>
      </c>
      <c r="AZ147" s="242">
        <f>IFERROR(VLOOKUP(M147,'[1]Base Brasil Obras'!$C$2:$F$485,4,0),"")</f>
        <v>0.88888888888888884</v>
      </c>
      <c r="BA147" s="243">
        <f t="shared" si="27"/>
        <v>7.6</v>
      </c>
      <c r="BB147" s="244">
        <f t="shared" si="28"/>
        <v>0</v>
      </c>
      <c r="BC147" s="244">
        <f t="shared" si="29"/>
        <v>0.05</v>
      </c>
      <c r="BD147" s="245">
        <f t="shared" si="30"/>
        <v>0.95</v>
      </c>
      <c r="BE147" s="246">
        <f t="shared" si="31"/>
        <v>0.88888888888888884</v>
      </c>
      <c r="BF147" s="247">
        <v>1</v>
      </c>
      <c r="BG147" s="248">
        <f t="shared" si="32"/>
        <v>1</v>
      </c>
      <c r="BH147" s="198"/>
      <c r="BI147" s="198"/>
      <c r="BJ147" s="199"/>
      <c r="BK147" s="200"/>
      <c r="BL147" s="200"/>
      <c r="BM147" s="200"/>
      <c r="BN147" s="200"/>
      <c r="BO147" s="10"/>
    </row>
    <row r="148" spans="1:89" ht="18" customHeight="1" x14ac:dyDescent="0.25">
      <c r="A148" s="201">
        <v>40</v>
      </c>
      <c r="B148" s="202">
        <v>3</v>
      </c>
      <c r="C148" s="203">
        <f t="shared" si="0"/>
        <v>0</v>
      </c>
      <c r="D148" s="204"/>
      <c r="E148" s="204"/>
      <c r="F148" s="205" t="s">
        <v>148</v>
      </c>
      <c r="G148" s="206"/>
      <c r="H148" s="207" t="s">
        <v>149</v>
      </c>
      <c r="I148" s="208" t="s">
        <v>125</v>
      </c>
      <c r="J148" s="208" t="s">
        <v>126</v>
      </c>
      <c r="K148" s="209" t="s">
        <v>181</v>
      </c>
      <c r="L148" s="255"/>
      <c r="M148" s="211" t="s">
        <v>183</v>
      </c>
      <c r="N148" s="257"/>
      <c r="O148" s="213">
        <f>SUMIF([1]Mestre!$G$137:$G$409,THEO!A148,[1]Mestre!$AG$137:$AG$409)</f>
        <v>0</v>
      </c>
      <c r="P148" s="214"/>
      <c r="Q148" s="214"/>
      <c r="R148" s="214"/>
      <c r="S148" s="214"/>
      <c r="T148" s="214"/>
      <c r="U148" s="215">
        <f t="shared" si="1"/>
        <v>2.8499999999999996</v>
      </c>
      <c r="V148" s="216">
        <f t="shared" si="2"/>
        <v>5.0000000000000155E-2</v>
      </c>
      <c r="W148" s="217">
        <f t="shared" si="3"/>
        <v>2.8499999999999996</v>
      </c>
      <c r="X148" s="218" t="s">
        <v>14</v>
      </c>
      <c r="Y148" s="219" t="str">
        <f t="shared" si="4"/>
        <v>3 Painel/Dia</v>
      </c>
      <c r="Z148" s="220" t="str">
        <f t="shared" si="5"/>
        <v>0,08 Painel / HH</v>
      </c>
      <c r="AA148" s="221">
        <f t="shared" si="6"/>
        <v>0.08</v>
      </c>
      <c r="AB148" s="222" t="str">
        <f t="shared" si="7"/>
        <v>0 Painel /HH</v>
      </c>
      <c r="AC148" s="223">
        <f t="shared" si="8"/>
        <v>4</v>
      </c>
      <c r="AD148" s="224">
        <v>3</v>
      </c>
      <c r="AE148" s="225">
        <v>1</v>
      </c>
      <c r="AF148" s="226">
        <f t="shared" si="9"/>
        <v>0</v>
      </c>
      <c r="AG148" s="227">
        <f t="shared" si="10"/>
        <v>0</v>
      </c>
      <c r="AH148" s="228" t="s">
        <v>25</v>
      </c>
      <c r="AI148" s="229" t="str">
        <f t="shared" si="11"/>
        <v>Extremamente Complexa</v>
      </c>
      <c r="AJ148" s="230" t="str">
        <f t="shared" si="12"/>
        <v>Normal</v>
      </c>
      <c r="AK148" s="231">
        <f t="shared" si="13"/>
        <v>0</v>
      </c>
      <c r="AL148" s="232">
        <f t="shared" si="14"/>
        <v>0.75</v>
      </c>
      <c r="AM148" s="233">
        <f t="shared" si="15"/>
        <v>0</v>
      </c>
      <c r="AN148" s="233">
        <f t="shared" si="16"/>
        <v>0</v>
      </c>
      <c r="AO148" s="234">
        <f t="shared" si="17"/>
        <v>0</v>
      </c>
      <c r="AP148" s="235">
        <f t="shared" si="33"/>
        <v>1</v>
      </c>
      <c r="AQ148" s="235">
        <f t="shared" si="33"/>
        <v>1</v>
      </c>
      <c r="AR148" s="236">
        <f t="shared" si="19"/>
        <v>1</v>
      </c>
      <c r="AS148" s="251">
        <f t="shared" si="20"/>
        <v>0</v>
      </c>
      <c r="AT148" s="238">
        <f t="shared" si="21"/>
        <v>3</v>
      </c>
      <c r="AU148" s="239">
        <f t="shared" si="22"/>
        <v>0</v>
      </c>
      <c r="AV148" s="239">
        <f t="shared" si="23"/>
        <v>0</v>
      </c>
      <c r="AW148" s="239">
        <f t="shared" si="24"/>
        <v>0.05</v>
      </c>
      <c r="AX148" s="240">
        <f t="shared" si="25"/>
        <v>3</v>
      </c>
      <c r="AY148" s="241">
        <f t="shared" si="26"/>
        <v>-0.08</v>
      </c>
      <c r="AZ148" s="242">
        <f>IFERROR(VLOOKUP(M148,'[1]Base Brasil Obras'!$C$2:$F$485,4,0),"")</f>
        <v>8.3333333333333329E-2</v>
      </c>
      <c r="BA148" s="243">
        <f t="shared" si="27"/>
        <v>2.8499999999999996</v>
      </c>
      <c r="BB148" s="244">
        <f t="shared" si="28"/>
        <v>0</v>
      </c>
      <c r="BC148" s="244">
        <f t="shared" si="29"/>
        <v>0.05</v>
      </c>
      <c r="BD148" s="245">
        <f t="shared" si="30"/>
        <v>0.95</v>
      </c>
      <c r="BE148" s="246">
        <f t="shared" si="31"/>
        <v>8.3333333333333329E-2</v>
      </c>
      <c r="BF148" s="247">
        <v>4</v>
      </c>
      <c r="BG148" s="248">
        <f t="shared" si="32"/>
        <v>1</v>
      </c>
      <c r="BH148" s="198"/>
      <c r="BI148" s="198"/>
      <c r="BJ148" s="199"/>
      <c r="BK148" s="200"/>
      <c r="BL148" s="200"/>
      <c r="BM148" s="200"/>
      <c r="BN148" s="200"/>
      <c r="BO148" s="10"/>
    </row>
    <row r="149" spans="1:89" ht="18" customHeight="1" x14ac:dyDescent="0.25">
      <c r="A149" s="201">
        <v>41</v>
      </c>
      <c r="B149" s="202">
        <v>10.000000000000002</v>
      </c>
      <c r="C149" s="203">
        <f t="shared" si="0"/>
        <v>0</v>
      </c>
      <c r="D149" s="204"/>
      <c r="E149" s="204"/>
      <c r="F149" s="205" t="s">
        <v>129</v>
      </c>
      <c r="G149" s="206"/>
      <c r="H149" s="207" t="s">
        <v>133</v>
      </c>
      <c r="I149" s="208" t="s">
        <v>125</v>
      </c>
      <c r="J149" s="208" t="s">
        <v>126</v>
      </c>
      <c r="K149" s="209" t="s">
        <v>184</v>
      </c>
      <c r="L149" s="255"/>
      <c r="M149" s="211" t="s">
        <v>185</v>
      </c>
      <c r="N149" s="257"/>
      <c r="O149" s="213">
        <f>SUMIF([1]Mestre!$G$137:$G$409,THEO!A149,[1]Mestre!$AG$137:$AG$409)</f>
        <v>0</v>
      </c>
      <c r="P149" s="214"/>
      <c r="Q149" s="214"/>
      <c r="R149" s="214"/>
      <c r="S149" s="214"/>
      <c r="T149" s="214"/>
      <c r="U149" s="215">
        <f t="shared" si="1"/>
        <v>9.5000000000000018</v>
      </c>
      <c r="V149" s="216">
        <f t="shared" si="2"/>
        <v>-5.5555555555555802E-2</v>
      </c>
      <c r="W149" s="217">
        <f t="shared" si="3"/>
        <v>9.5000000000000018</v>
      </c>
      <c r="X149" s="218" t="s">
        <v>17</v>
      </c>
      <c r="Y149" s="219" t="str">
        <f t="shared" si="4"/>
        <v>9 Postes/Dia</v>
      </c>
      <c r="Z149" s="220" t="str">
        <f t="shared" si="5"/>
        <v>0,37 Postes / HH</v>
      </c>
      <c r="AA149" s="221">
        <f t="shared" si="6"/>
        <v>0.37</v>
      </c>
      <c r="AB149" s="222" t="str">
        <f t="shared" si="7"/>
        <v>0 Postes /HH</v>
      </c>
      <c r="AC149" s="223">
        <f t="shared" si="8"/>
        <v>3</v>
      </c>
      <c r="AD149" s="224">
        <v>2</v>
      </c>
      <c r="AE149" s="225">
        <v>1</v>
      </c>
      <c r="AF149" s="226">
        <f t="shared" si="9"/>
        <v>0</v>
      </c>
      <c r="AG149" s="227">
        <f t="shared" si="10"/>
        <v>0</v>
      </c>
      <c r="AH149" s="228" t="s">
        <v>25</v>
      </c>
      <c r="AI149" s="229" t="str">
        <f t="shared" si="11"/>
        <v>Extremamente Complexa</v>
      </c>
      <c r="AJ149" s="230" t="str">
        <f t="shared" si="12"/>
        <v>Normal</v>
      </c>
      <c r="AK149" s="231">
        <f t="shared" si="13"/>
        <v>0</v>
      </c>
      <c r="AL149" s="232">
        <f t="shared" si="14"/>
        <v>0.66666666666666663</v>
      </c>
      <c r="AM149" s="233">
        <f t="shared" si="15"/>
        <v>0</v>
      </c>
      <c r="AN149" s="233">
        <f t="shared" si="16"/>
        <v>0</v>
      </c>
      <c r="AO149" s="234">
        <f t="shared" si="17"/>
        <v>0</v>
      </c>
      <c r="AP149" s="235">
        <f t="shared" si="33"/>
        <v>1</v>
      </c>
      <c r="AQ149" s="235">
        <f t="shared" si="33"/>
        <v>1</v>
      </c>
      <c r="AR149" s="235">
        <f t="shared" si="19"/>
        <v>1</v>
      </c>
      <c r="AS149" s="252">
        <f t="shared" si="20"/>
        <v>0</v>
      </c>
      <c r="AT149" s="238">
        <f t="shared" si="21"/>
        <v>9</v>
      </c>
      <c r="AU149" s="239">
        <f t="shared" si="22"/>
        <v>0</v>
      </c>
      <c r="AV149" s="239">
        <f t="shared" si="23"/>
        <v>0</v>
      </c>
      <c r="AW149" s="239">
        <f t="shared" si="24"/>
        <v>0.05</v>
      </c>
      <c r="AX149" s="240">
        <f t="shared" si="25"/>
        <v>9</v>
      </c>
      <c r="AY149" s="241">
        <f t="shared" si="26"/>
        <v>-0.37</v>
      </c>
      <c r="AZ149" s="242">
        <f>IFERROR(VLOOKUP(M149,'[1]Base Brasil Obras'!$C$2:$F$485,4,0),"")</f>
        <v>0.37037037037037046</v>
      </c>
      <c r="BA149" s="243">
        <f t="shared" si="27"/>
        <v>9.5000000000000018</v>
      </c>
      <c r="BB149" s="244">
        <f t="shared" si="28"/>
        <v>0</v>
      </c>
      <c r="BC149" s="244">
        <f t="shared" si="29"/>
        <v>0.05</v>
      </c>
      <c r="BD149" s="245">
        <f t="shared" si="30"/>
        <v>0.95</v>
      </c>
      <c r="BE149" s="246">
        <f t="shared" si="31"/>
        <v>0.37037037037037046</v>
      </c>
      <c r="BF149" s="247">
        <v>3</v>
      </c>
      <c r="BG149" s="248">
        <f t="shared" si="32"/>
        <v>1</v>
      </c>
      <c r="BH149" s="198"/>
      <c r="BI149" s="198"/>
      <c r="BJ149" s="199"/>
      <c r="BK149" s="200"/>
      <c r="BL149" s="200"/>
      <c r="BM149" s="200"/>
      <c r="BN149" s="200"/>
      <c r="BO149" s="10"/>
    </row>
    <row r="150" spans="1:89" ht="18" customHeight="1" x14ac:dyDescent="0.25">
      <c r="A150" s="201">
        <v>42</v>
      </c>
      <c r="B150" s="202">
        <v>4</v>
      </c>
      <c r="C150" s="203">
        <f t="shared" si="0"/>
        <v>0</v>
      </c>
      <c r="D150" s="204"/>
      <c r="E150" s="204"/>
      <c r="F150" s="205" t="s">
        <v>129</v>
      </c>
      <c r="G150" s="206"/>
      <c r="H150" s="207" t="s">
        <v>133</v>
      </c>
      <c r="I150" s="208" t="s">
        <v>125</v>
      </c>
      <c r="J150" s="208" t="s">
        <v>126</v>
      </c>
      <c r="K150" s="209" t="s">
        <v>184</v>
      </c>
      <c r="L150" s="255"/>
      <c r="M150" s="211" t="s">
        <v>186</v>
      </c>
      <c r="N150" s="257"/>
      <c r="O150" s="213">
        <v>35</v>
      </c>
      <c r="P150" s="214"/>
      <c r="Q150" s="214"/>
      <c r="R150" s="214"/>
      <c r="S150" s="214"/>
      <c r="T150" s="214"/>
      <c r="U150" s="215">
        <f t="shared" si="1"/>
        <v>3.8</v>
      </c>
      <c r="V150" s="216">
        <f t="shared" si="2"/>
        <v>5.0000000000000044E-2</v>
      </c>
      <c r="W150" s="217">
        <f t="shared" si="3"/>
        <v>3.8</v>
      </c>
      <c r="X150" s="218" t="s">
        <v>14</v>
      </c>
      <c r="Y150" s="219" t="str">
        <f t="shared" si="4"/>
        <v>4 Painel/Dia</v>
      </c>
      <c r="Z150" s="220" t="str">
        <f t="shared" si="5"/>
        <v>0,11 Painel / HH</v>
      </c>
      <c r="AA150" s="221">
        <f t="shared" si="6"/>
        <v>0.11</v>
      </c>
      <c r="AB150" s="222" t="str">
        <f t="shared" si="7"/>
        <v>0,1 Painel /HH</v>
      </c>
      <c r="AC150" s="223">
        <f t="shared" si="8"/>
        <v>4</v>
      </c>
      <c r="AD150" s="224">
        <v>3</v>
      </c>
      <c r="AE150" s="225">
        <v>1</v>
      </c>
      <c r="AF150" s="226">
        <f t="shared" si="9"/>
        <v>8.75</v>
      </c>
      <c r="AG150" s="227">
        <f t="shared" si="10"/>
        <v>315</v>
      </c>
      <c r="AH150" s="228" t="s">
        <v>25</v>
      </c>
      <c r="AI150" s="229" t="str">
        <f t="shared" si="11"/>
        <v>Extremamente Complexa</v>
      </c>
      <c r="AJ150" s="230" t="str">
        <f t="shared" si="12"/>
        <v>Normal</v>
      </c>
      <c r="AK150" s="231">
        <f t="shared" si="13"/>
        <v>450.00000000000006</v>
      </c>
      <c r="AL150" s="232">
        <f t="shared" si="14"/>
        <v>0.75</v>
      </c>
      <c r="AM150" s="233">
        <f t="shared" si="15"/>
        <v>337.50000000000006</v>
      </c>
      <c r="AN150" s="233">
        <f t="shared" si="16"/>
        <v>112.5</v>
      </c>
      <c r="AO150" s="234">
        <f t="shared" si="17"/>
        <v>8.8827726633840098E-3</v>
      </c>
      <c r="AP150" s="235">
        <f t="shared" si="33"/>
        <v>1</v>
      </c>
      <c r="AQ150" s="235">
        <f t="shared" si="33"/>
        <v>1</v>
      </c>
      <c r="AR150" s="236">
        <f t="shared" si="19"/>
        <v>1</v>
      </c>
      <c r="AS150" s="251">
        <f t="shared" si="20"/>
        <v>0.1111111111111111</v>
      </c>
      <c r="AT150" s="238">
        <f t="shared" si="21"/>
        <v>4</v>
      </c>
      <c r="AU150" s="239">
        <f t="shared" si="22"/>
        <v>0</v>
      </c>
      <c r="AV150" s="239">
        <f t="shared" si="23"/>
        <v>0</v>
      </c>
      <c r="AW150" s="239">
        <f t="shared" si="24"/>
        <v>0.05</v>
      </c>
      <c r="AX150" s="240">
        <f t="shared" si="25"/>
        <v>4</v>
      </c>
      <c r="AY150" s="241">
        <f t="shared" si="26"/>
        <v>-9.999999999999995E-3</v>
      </c>
      <c r="AZ150" s="242">
        <f>IFERROR(VLOOKUP(M150,'[1]Base Brasil Obras'!$C$2:$F$485,4,0),"")</f>
        <v>0.11111111111111112</v>
      </c>
      <c r="BA150" s="243">
        <f t="shared" si="27"/>
        <v>3.8</v>
      </c>
      <c r="BB150" s="244">
        <f t="shared" si="28"/>
        <v>0</v>
      </c>
      <c r="BC150" s="244">
        <f t="shared" si="29"/>
        <v>0.05</v>
      </c>
      <c r="BD150" s="245">
        <f t="shared" si="30"/>
        <v>0.95</v>
      </c>
      <c r="BE150" s="246">
        <f t="shared" si="31"/>
        <v>0.1111111111111111</v>
      </c>
      <c r="BF150" s="247">
        <v>4</v>
      </c>
      <c r="BG150" s="248">
        <f t="shared" si="32"/>
        <v>1</v>
      </c>
      <c r="BH150" s="198"/>
      <c r="BI150" s="198"/>
      <c r="BJ150" s="199"/>
      <c r="BK150" s="200"/>
      <c r="BL150" s="200"/>
      <c r="BM150" s="200"/>
      <c r="BN150" s="200"/>
      <c r="BO150" s="10"/>
    </row>
    <row r="151" spans="1:89" ht="18" customHeight="1" x14ac:dyDescent="0.25">
      <c r="A151" s="201">
        <v>43</v>
      </c>
      <c r="B151" s="202">
        <v>4</v>
      </c>
      <c r="C151" s="203">
        <f t="shared" si="0"/>
        <v>0</v>
      </c>
      <c r="D151" s="204"/>
      <c r="E151" s="204"/>
      <c r="F151" s="205" t="s">
        <v>129</v>
      </c>
      <c r="G151" s="206"/>
      <c r="H151" s="207" t="s">
        <v>133</v>
      </c>
      <c r="I151" s="208" t="s">
        <v>125</v>
      </c>
      <c r="J151" s="208" t="s">
        <v>126</v>
      </c>
      <c r="K151" s="209" t="s">
        <v>184</v>
      </c>
      <c r="L151" s="255"/>
      <c r="M151" s="211" t="s">
        <v>187</v>
      </c>
      <c r="N151" s="257"/>
      <c r="O151" s="213">
        <v>5</v>
      </c>
      <c r="P151" s="214"/>
      <c r="Q151" s="214"/>
      <c r="R151" s="214"/>
      <c r="S151" s="214"/>
      <c r="T151" s="214"/>
      <c r="U151" s="215">
        <f t="shared" si="1"/>
        <v>3.8</v>
      </c>
      <c r="V151" s="216">
        <f t="shared" si="2"/>
        <v>5.0000000000000044E-2</v>
      </c>
      <c r="W151" s="217">
        <f t="shared" si="3"/>
        <v>3.8</v>
      </c>
      <c r="X151" s="218" t="s">
        <v>15</v>
      </c>
      <c r="Y151" s="219" t="str">
        <f t="shared" si="4"/>
        <v>4 pç/Dia</v>
      </c>
      <c r="Z151" s="220" t="str">
        <f t="shared" si="5"/>
        <v>0,15 pç / HH</v>
      </c>
      <c r="AA151" s="221">
        <f t="shared" si="6"/>
        <v>0.15</v>
      </c>
      <c r="AB151" s="222" t="str">
        <f t="shared" si="7"/>
        <v>0,1 pç /HH</v>
      </c>
      <c r="AC151" s="223">
        <f t="shared" si="8"/>
        <v>3</v>
      </c>
      <c r="AD151" s="224">
        <v>2</v>
      </c>
      <c r="AE151" s="225">
        <v>1</v>
      </c>
      <c r="AF151" s="226">
        <f t="shared" si="9"/>
        <v>1.25</v>
      </c>
      <c r="AG151" s="227">
        <f t="shared" si="10"/>
        <v>33.75</v>
      </c>
      <c r="AH151" s="228" t="s">
        <v>25</v>
      </c>
      <c r="AI151" s="229" t="str">
        <f t="shared" si="11"/>
        <v>Extremamente Complexa</v>
      </c>
      <c r="AJ151" s="230" t="str">
        <f t="shared" si="12"/>
        <v>Normal</v>
      </c>
      <c r="AK151" s="231">
        <f t="shared" si="13"/>
        <v>48.214285714285715</v>
      </c>
      <c r="AL151" s="232">
        <f t="shared" si="14"/>
        <v>0.66666666666666663</v>
      </c>
      <c r="AM151" s="233">
        <f t="shared" si="15"/>
        <v>32.142857142857139</v>
      </c>
      <c r="AN151" s="233">
        <f t="shared" si="16"/>
        <v>16.071428571428577</v>
      </c>
      <c r="AO151" s="234">
        <f t="shared" si="17"/>
        <v>9.5172564250542956E-4</v>
      </c>
      <c r="AP151" s="235">
        <f t="shared" si="33"/>
        <v>1</v>
      </c>
      <c r="AQ151" s="235">
        <f t="shared" si="33"/>
        <v>1</v>
      </c>
      <c r="AR151" s="235">
        <f t="shared" si="19"/>
        <v>1</v>
      </c>
      <c r="AS151" s="252">
        <f t="shared" si="20"/>
        <v>0.14814814814814814</v>
      </c>
      <c r="AT151" s="238">
        <f t="shared" si="21"/>
        <v>4</v>
      </c>
      <c r="AU151" s="239">
        <f t="shared" si="22"/>
        <v>0</v>
      </c>
      <c r="AV151" s="239">
        <f t="shared" si="23"/>
        <v>0</v>
      </c>
      <c r="AW151" s="239">
        <f t="shared" si="24"/>
        <v>0.05</v>
      </c>
      <c r="AX151" s="240">
        <f t="shared" si="25"/>
        <v>4</v>
      </c>
      <c r="AY151" s="241">
        <f t="shared" si="26"/>
        <v>-4.9999999999999989E-2</v>
      </c>
      <c r="AZ151" s="242">
        <f>IFERROR(VLOOKUP(M151,'[1]Base Brasil Obras'!$C$2:$F$485,4,0),"")</f>
        <v>0.14814814814814814</v>
      </c>
      <c r="BA151" s="243">
        <f t="shared" si="27"/>
        <v>3.8</v>
      </c>
      <c r="BB151" s="244">
        <f t="shared" si="28"/>
        <v>0</v>
      </c>
      <c r="BC151" s="244">
        <f t="shared" si="29"/>
        <v>0.05</v>
      </c>
      <c r="BD151" s="245">
        <f t="shared" si="30"/>
        <v>0.95</v>
      </c>
      <c r="BE151" s="246">
        <f t="shared" si="31"/>
        <v>0.14814814814814814</v>
      </c>
      <c r="BF151" s="247">
        <v>3</v>
      </c>
      <c r="BG151" s="248">
        <f t="shared" si="32"/>
        <v>1</v>
      </c>
      <c r="BH151" s="198"/>
      <c r="BI151" s="198"/>
      <c r="BJ151" s="199"/>
      <c r="BK151" s="200"/>
      <c r="BL151" s="200"/>
      <c r="BM151" s="200"/>
      <c r="BN151" s="200"/>
      <c r="BO151" s="10"/>
    </row>
    <row r="152" spans="1:89" ht="18" customHeight="1" x14ac:dyDescent="0.25">
      <c r="A152" s="201">
        <v>44</v>
      </c>
      <c r="B152" s="202">
        <v>18</v>
      </c>
      <c r="C152" s="203">
        <f t="shared" si="0"/>
        <v>0</v>
      </c>
      <c r="D152" s="204"/>
      <c r="E152" s="204"/>
      <c r="F152" s="205" t="s">
        <v>129</v>
      </c>
      <c r="G152" s="206"/>
      <c r="H152" s="207" t="s">
        <v>131</v>
      </c>
      <c r="I152" s="208" t="s">
        <v>125</v>
      </c>
      <c r="J152" s="208" t="s">
        <v>126</v>
      </c>
      <c r="K152" s="209" t="s">
        <v>184</v>
      </c>
      <c r="L152" s="255"/>
      <c r="M152" s="211" t="s">
        <v>188</v>
      </c>
      <c r="N152" s="257"/>
      <c r="O152" s="213">
        <f>SUMIF([1]Mestre!$G$137:$G$409,THEO!A152,[1]Mestre!$AG$137:$AG$409)</f>
        <v>0</v>
      </c>
      <c r="P152" s="214"/>
      <c r="Q152" s="214"/>
      <c r="R152" s="214"/>
      <c r="S152" s="214"/>
      <c r="T152" s="214"/>
      <c r="U152" s="215">
        <f t="shared" si="1"/>
        <v>17.099999999999998</v>
      </c>
      <c r="V152" s="216">
        <f t="shared" si="2"/>
        <v>-6.8749999999999867E-2</v>
      </c>
      <c r="W152" s="217">
        <f t="shared" si="3"/>
        <v>17.099999999999998</v>
      </c>
      <c r="X152" s="218" t="s">
        <v>15</v>
      </c>
      <c r="Y152" s="219" t="str">
        <f t="shared" si="4"/>
        <v>16 pç/Dia</v>
      </c>
      <c r="Z152" s="220" t="str">
        <f t="shared" si="5"/>
        <v>2 pç / HH</v>
      </c>
      <c r="AA152" s="221">
        <f t="shared" si="6"/>
        <v>2</v>
      </c>
      <c r="AB152" s="222" t="str">
        <f t="shared" si="7"/>
        <v>0 pç /HH</v>
      </c>
      <c r="AC152" s="223">
        <f t="shared" si="8"/>
        <v>1</v>
      </c>
      <c r="AD152" s="224">
        <v>0</v>
      </c>
      <c r="AE152" s="225">
        <v>1</v>
      </c>
      <c r="AF152" s="226">
        <f t="shared" si="9"/>
        <v>0</v>
      </c>
      <c r="AG152" s="227">
        <f t="shared" si="10"/>
        <v>0</v>
      </c>
      <c r="AH152" s="228" t="s">
        <v>25</v>
      </c>
      <c r="AI152" s="229" t="str">
        <f t="shared" si="11"/>
        <v>Extremamente Complexa</v>
      </c>
      <c r="AJ152" s="230" t="str">
        <f t="shared" si="12"/>
        <v>Normal</v>
      </c>
      <c r="AK152" s="231">
        <f t="shared" si="13"/>
        <v>0</v>
      </c>
      <c r="AL152" s="232">
        <f t="shared" si="14"/>
        <v>0</v>
      </c>
      <c r="AM152" s="233">
        <f t="shared" si="15"/>
        <v>0</v>
      </c>
      <c r="AN152" s="233">
        <f t="shared" si="16"/>
        <v>0</v>
      </c>
      <c r="AO152" s="234">
        <f t="shared" si="17"/>
        <v>0</v>
      </c>
      <c r="AP152" s="235">
        <f t="shared" si="33"/>
        <v>1</v>
      </c>
      <c r="AQ152" s="235">
        <f t="shared" si="33"/>
        <v>1</v>
      </c>
      <c r="AR152" s="236">
        <f t="shared" si="19"/>
        <v>1</v>
      </c>
      <c r="AS152" s="251">
        <f t="shared" si="20"/>
        <v>0</v>
      </c>
      <c r="AT152" s="238">
        <f t="shared" si="21"/>
        <v>16</v>
      </c>
      <c r="AU152" s="239">
        <f t="shared" si="22"/>
        <v>0</v>
      </c>
      <c r="AV152" s="239">
        <f t="shared" si="23"/>
        <v>0</v>
      </c>
      <c r="AW152" s="239">
        <f t="shared" si="24"/>
        <v>0.05</v>
      </c>
      <c r="AX152" s="240">
        <f t="shared" si="25"/>
        <v>16</v>
      </c>
      <c r="AY152" s="241">
        <f t="shared" si="26"/>
        <v>-2</v>
      </c>
      <c r="AZ152" s="242">
        <f>IFERROR(VLOOKUP(M152,'[1]Base Brasil Obras'!$C$2:$F$485,4,0),"")</f>
        <v>2</v>
      </c>
      <c r="BA152" s="243">
        <f t="shared" si="27"/>
        <v>17.099999999999998</v>
      </c>
      <c r="BB152" s="244">
        <f t="shared" si="28"/>
        <v>0</v>
      </c>
      <c r="BC152" s="244">
        <f t="shared" si="29"/>
        <v>0.05</v>
      </c>
      <c r="BD152" s="245">
        <f t="shared" si="30"/>
        <v>0.95</v>
      </c>
      <c r="BE152" s="246">
        <f t="shared" si="31"/>
        <v>2</v>
      </c>
      <c r="BF152" s="247">
        <v>1</v>
      </c>
      <c r="BG152" s="248">
        <f t="shared" si="32"/>
        <v>1</v>
      </c>
      <c r="BH152" s="198"/>
      <c r="BI152" s="198"/>
      <c r="BJ152" s="199"/>
      <c r="BK152" s="200"/>
      <c r="BL152" s="200"/>
      <c r="BM152" s="200"/>
      <c r="BN152" s="200"/>
      <c r="BO152" s="10"/>
    </row>
    <row r="153" spans="1:89" ht="18" customHeight="1" x14ac:dyDescent="0.25">
      <c r="A153" s="201">
        <v>45</v>
      </c>
      <c r="B153" s="202">
        <v>8</v>
      </c>
      <c r="C153" s="203">
        <f t="shared" si="0"/>
        <v>0</v>
      </c>
      <c r="D153" s="204"/>
      <c r="E153" s="204"/>
      <c r="F153" s="205" t="s">
        <v>129</v>
      </c>
      <c r="G153" s="206"/>
      <c r="H153" s="207" t="s">
        <v>189</v>
      </c>
      <c r="I153" s="208" t="s">
        <v>125</v>
      </c>
      <c r="J153" s="208" t="s">
        <v>126</v>
      </c>
      <c r="K153" s="209" t="s">
        <v>184</v>
      </c>
      <c r="L153" s="255"/>
      <c r="M153" s="211" t="s">
        <v>190</v>
      </c>
      <c r="N153" s="257"/>
      <c r="O153" s="213">
        <f>SUMIF([1]Mestre!$G$137:$G$409,THEO!A153,[1]Mestre!$AG$137:$AG$409)</f>
        <v>0</v>
      </c>
      <c r="P153" s="214"/>
      <c r="Q153" s="214"/>
      <c r="R153" s="214"/>
      <c r="S153" s="214"/>
      <c r="T153" s="214"/>
      <c r="U153" s="215">
        <f t="shared" si="1"/>
        <v>7.6</v>
      </c>
      <c r="V153" s="216">
        <f t="shared" si="2"/>
        <v>-8.5714285714285632E-2</v>
      </c>
      <c r="W153" s="217">
        <f t="shared" si="3"/>
        <v>7.6</v>
      </c>
      <c r="X153" s="218" t="s">
        <v>15</v>
      </c>
      <c r="Y153" s="219" t="str">
        <f t="shared" si="4"/>
        <v>7 pç/Dia</v>
      </c>
      <c r="Z153" s="220" t="str">
        <f t="shared" si="5"/>
        <v>0,44 pç / HH</v>
      </c>
      <c r="AA153" s="221">
        <f t="shared" si="6"/>
        <v>0.44</v>
      </c>
      <c r="AB153" s="222" t="str">
        <f t="shared" si="7"/>
        <v>0 pç /HH</v>
      </c>
      <c r="AC153" s="223">
        <f t="shared" si="8"/>
        <v>2</v>
      </c>
      <c r="AD153" s="224">
        <v>1</v>
      </c>
      <c r="AE153" s="225">
        <v>1</v>
      </c>
      <c r="AF153" s="226">
        <f t="shared" si="9"/>
        <v>0</v>
      </c>
      <c r="AG153" s="227">
        <f t="shared" si="10"/>
        <v>0</v>
      </c>
      <c r="AH153" s="228" t="s">
        <v>25</v>
      </c>
      <c r="AI153" s="229" t="str">
        <f t="shared" si="11"/>
        <v>Extremamente Complexa</v>
      </c>
      <c r="AJ153" s="230" t="str">
        <f t="shared" si="12"/>
        <v>Normal</v>
      </c>
      <c r="AK153" s="231">
        <f t="shared" si="13"/>
        <v>0</v>
      </c>
      <c r="AL153" s="232">
        <f t="shared" si="14"/>
        <v>0.5</v>
      </c>
      <c r="AM153" s="233">
        <f t="shared" si="15"/>
        <v>0</v>
      </c>
      <c r="AN153" s="233">
        <f t="shared" si="16"/>
        <v>0</v>
      </c>
      <c r="AO153" s="234">
        <f t="shared" si="17"/>
        <v>0</v>
      </c>
      <c r="AP153" s="235">
        <f t="shared" si="33"/>
        <v>1</v>
      </c>
      <c r="AQ153" s="235">
        <f t="shared" si="33"/>
        <v>1</v>
      </c>
      <c r="AR153" s="235">
        <f t="shared" si="19"/>
        <v>1</v>
      </c>
      <c r="AS153" s="252">
        <f t="shared" si="20"/>
        <v>0</v>
      </c>
      <c r="AT153" s="238">
        <f t="shared" si="21"/>
        <v>7</v>
      </c>
      <c r="AU153" s="239">
        <f t="shared" si="22"/>
        <v>0</v>
      </c>
      <c r="AV153" s="239">
        <f t="shared" si="23"/>
        <v>0</v>
      </c>
      <c r="AW153" s="239">
        <f t="shared" si="24"/>
        <v>0.05</v>
      </c>
      <c r="AX153" s="240">
        <f t="shared" si="25"/>
        <v>7</v>
      </c>
      <c r="AY153" s="241">
        <f t="shared" si="26"/>
        <v>-0.44</v>
      </c>
      <c r="AZ153" s="242">
        <f>IFERROR(VLOOKUP(M153,'[1]Base Brasil Obras'!$C$2:$F$485,4,0),"")</f>
        <v>0.44444444444444442</v>
      </c>
      <c r="BA153" s="243">
        <f t="shared" si="27"/>
        <v>7.6</v>
      </c>
      <c r="BB153" s="244">
        <f t="shared" si="28"/>
        <v>0</v>
      </c>
      <c r="BC153" s="244">
        <f t="shared" si="29"/>
        <v>0.05</v>
      </c>
      <c r="BD153" s="245">
        <f t="shared" si="30"/>
        <v>0.95</v>
      </c>
      <c r="BE153" s="246">
        <f t="shared" si="31"/>
        <v>0.44444444444444442</v>
      </c>
      <c r="BF153" s="247">
        <v>2</v>
      </c>
      <c r="BG153" s="248">
        <f t="shared" si="32"/>
        <v>1</v>
      </c>
      <c r="BH153" s="198"/>
      <c r="BI153" s="198"/>
      <c r="BJ153" s="199"/>
      <c r="BK153" s="200"/>
      <c r="BL153" s="200"/>
      <c r="BM153" s="200"/>
      <c r="BN153" s="200"/>
      <c r="BO153" s="10"/>
    </row>
    <row r="154" spans="1:89" ht="18" customHeight="1" x14ac:dyDescent="0.25">
      <c r="A154" s="201">
        <v>46</v>
      </c>
      <c r="B154" s="202">
        <v>18</v>
      </c>
      <c r="C154" s="203">
        <f t="shared" si="0"/>
        <v>0</v>
      </c>
      <c r="D154" s="204"/>
      <c r="E154" s="204"/>
      <c r="F154" s="205" t="s">
        <v>129</v>
      </c>
      <c r="G154" s="206"/>
      <c r="H154" s="207" t="s">
        <v>115</v>
      </c>
      <c r="I154" s="208" t="s">
        <v>125</v>
      </c>
      <c r="J154" s="208" t="s">
        <v>126</v>
      </c>
      <c r="K154" s="209" t="s">
        <v>184</v>
      </c>
      <c r="L154" s="255"/>
      <c r="M154" s="211" t="s">
        <v>191</v>
      </c>
      <c r="N154" s="257"/>
      <c r="O154" s="213">
        <f>SUMIF([1]Mestre!$G$137:$G$409,THEO!A154,[1]Mestre!$AG$137:$AG$409)</f>
        <v>0</v>
      </c>
      <c r="P154" s="214"/>
      <c r="Q154" s="214"/>
      <c r="R154" s="214"/>
      <c r="S154" s="214"/>
      <c r="T154" s="214"/>
      <c r="U154" s="215">
        <f t="shared" si="1"/>
        <v>17.099999999999998</v>
      </c>
      <c r="V154" s="216">
        <f t="shared" si="2"/>
        <v>-6.8749999999999867E-2</v>
      </c>
      <c r="W154" s="217">
        <f t="shared" si="3"/>
        <v>17.099999999999998</v>
      </c>
      <c r="X154" s="218" t="s">
        <v>1</v>
      </c>
      <c r="Y154" s="219" t="str">
        <f t="shared" si="4"/>
        <v>16 Dispositivo/Dia</v>
      </c>
      <c r="Z154" s="220" t="str">
        <f t="shared" si="5"/>
        <v>1 Dispositivo / HH</v>
      </c>
      <c r="AA154" s="221">
        <f t="shared" si="6"/>
        <v>1</v>
      </c>
      <c r="AB154" s="222" t="str">
        <f t="shared" si="7"/>
        <v>0 Dispositivo /HH</v>
      </c>
      <c r="AC154" s="223">
        <f t="shared" si="8"/>
        <v>2</v>
      </c>
      <c r="AD154" s="224">
        <v>1</v>
      </c>
      <c r="AE154" s="225">
        <v>1</v>
      </c>
      <c r="AF154" s="226">
        <f t="shared" si="9"/>
        <v>0</v>
      </c>
      <c r="AG154" s="227">
        <f t="shared" si="10"/>
        <v>0</v>
      </c>
      <c r="AH154" s="228" t="s">
        <v>25</v>
      </c>
      <c r="AI154" s="229" t="str">
        <f t="shared" si="11"/>
        <v>Extremamente Complexa</v>
      </c>
      <c r="AJ154" s="230" t="str">
        <f t="shared" si="12"/>
        <v>Normal</v>
      </c>
      <c r="AK154" s="231">
        <f t="shared" si="13"/>
        <v>0</v>
      </c>
      <c r="AL154" s="232">
        <f t="shared" si="14"/>
        <v>0.5</v>
      </c>
      <c r="AM154" s="233">
        <f t="shared" si="15"/>
        <v>0</v>
      </c>
      <c r="AN154" s="233">
        <f t="shared" si="16"/>
        <v>0</v>
      </c>
      <c r="AO154" s="234">
        <f t="shared" si="17"/>
        <v>0</v>
      </c>
      <c r="AP154" s="235">
        <f t="shared" si="33"/>
        <v>1</v>
      </c>
      <c r="AQ154" s="235">
        <f t="shared" si="33"/>
        <v>1</v>
      </c>
      <c r="AR154" s="235">
        <f t="shared" si="19"/>
        <v>1</v>
      </c>
      <c r="AS154" s="251">
        <f t="shared" si="20"/>
        <v>0</v>
      </c>
      <c r="AT154" s="238">
        <f t="shared" si="21"/>
        <v>16</v>
      </c>
      <c r="AU154" s="239">
        <f t="shared" si="22"/>
        <v>0</v>
      </c>
      <c r="AV154" s="239">
        <f t="shared" si="23"/>
        <v>0</v>
      </c>
      <c r="AW154" s="239">
        <f t="shared" si="24"/>
        <v>0.05</v>
      </c>
      <c r="AX154" s="240">
        <f t="shared" si="25"/>
        <v>16</v>
      </c>
      <c r="AY154" s="241">
        <f t="shared" si="26"/>
        <v>-1</v>
      </c>
      <c r="AZ154" s="242">
        <f>IFERROR(VLOOKUP(M154,'[1]Base Brasil Obras'!$C$2:$F$485,4,0),"")</f>
        <v>1</v>
      </c>
      <c r="BA154" s="243">
        <f t="shared" si="27"/>
        <v>17.099999999999998</v>
      </c>
      <c r="BB154" s="244">
        <f t="shared" si="28"/>
        <v>0</v>
      </c>
      <c r="BC154" s="244">
        <f t="shared" si="29"/>
        <v>0.05</v>
      </c>
      <c r="BD154" s="245">
        <f t="shared" si="30"/>
        <v>0.95</v>
      </c>
      <c r="BE154" s="246">
        <f t="shared" si="31"/>
        <v>1</v>
      </c>
      <c r="BF154" s="247">
        <v>2</v>
      </c>
      <c r="BG154" s="248">
        <f t="shared" si="32"/>
        <v>1</v>
      </c>
      <c r="BH154" s="198"/>
      <c r="BI154" s="198"/>
      <c r="BJ154" s="199"/>
      <c r="BK154" s="200"/>
      <c r="BL154" s="200"/>
      <c r="BM154" s="200"/>
      <c r="BN154" s="200"/>
      <c r="BO154" s="10"/>
    </row>
    <row r="155" spans="1:89" ht="18" customHeight="1" x14ac:dyDescent="0.25">
      <c r="A155" s="201">
        <v>47</v>
      </c>
      <c r="B155" s="202">
        <v>200</v>
      </c>
      <c r="C155" s="203">
        <f t="shared" si="0"/>
        <v>0</v>
      </c>
      <c r="D155" s="204"/>
      <c r="E155" s="204"/>
      <c r="F155" s="205" t="s">
        <v>129</v>
      </c>
      <c r="G155" s="206"/>
      <c r="H155" s="207" t="s">
        <v>133</v>
      </c>
      <c r="I155" s="208" t="s">
        <v>125</v>
      </c>
      <c r="J155" s="208" t="s">
        <v>126</v>
      </c>
      <c r="K155" s="209" t="s">
        <v>184</v>
      </c>
      <c r="L155" s="255"/>
      <c r="M155" s="211" t="s">
        <v>192</v>
      </c>
      <c r="N155" s="257"/>
      <c r="O155" s="213">
        <f>SUMIF([1]Mestre!$G$137:$G$409,THEO!A155,[1]Mestre!$AG$137:$AG$409)</f>
        <v>0</v>
      </c>
      <c r="P155" s="214"/>
      <c r="Q155" s="214"/>
      <c r="R155" s="214"/>
      <c r="S155" s="214"/>
      <c r="T155" s="214"/>
      <c r="U155" s="215">
        <f t="shared" si="1"/>
        <v>190</v>
      </c>
      <c r="V155" s="216">
        <f t="shared" si="2"/>
        <v>-4.9723756906077332E-2</v>
      </c>
      <c r="W155" s="217">
        <f t="shared" si="3"/>
        <v>190</v>
      </c>
      <c r="X155" s="218" t="s">
        <v>12</v>
      </c>
      <c r="Y155" s="219" t="str">
        <f t="shared" si="4"/>
        <v>181 mt/Dia</v>
      </c>
      <c r="Z155" s="220" t="str">
        <f t="shared" si="5"/>
        <v>7,41 mt / HH</v>
      </c>
      <c r="AA155" s="221">
        <f t="shared" si="6"/>
        <v>7.41</v>
      </c>
      <c r="AB155" s="222" t="str">
        <f t="shared" si="7"/>
        <v>0 mt /HH</v>
      </c>
      <c r="AC155" s="223">
        <f t="shared" si="8"/>
        <v>3</v>
      </c>
      <c r="AD155" s="224">
        <v>2</v>
      </c>
      <c r="AE155" s="225">
        <v>1</v>
      </c>
      <c r="AF155" s="226">
        <f t="shared" si="9"/>
        <v>0</v>
      </c>
      <c r="AG155" s="227">
        <f t="shared" si="10"/>
        <v>0</v>
      </c>
      <c r="AH155" s="228" t="s">
        <v>25</v>
      </c>
      <c r="AI155" s="229" t="str">
        <f t="shared" si="11"/>
        <v>Extremamente Complexa</v>
      </c>
      <c r="AJ155" s="230" t="str">
        <f t="shared" si="12"/>
        <v>Normal</v>
      </c>
      <c r="AK155" s="231">
        <f t="shared" si="13"/>
        <v>0</v>
      </c>
      <c r="AL155" s="232">
        <f t="shared" si="14"/>
        <v>0.66666666666666663</v>
      </c>
      <c r="AM155" s="233">
        <f t="shared" si="15"/>
        <v>0</v>
      </c>
      <c r="AN155" s="233">
        <f t="shared" si="16"/>
        <v>0</v>
      </c>
      <c r="AO155" s="234">
        <f t="shared" si="17"/>
        <v>0</v>
      </c>
      <c r="AP155" s="235">
        <f t="shared" si="33"/>
        <v>1</v>
      </c>
      <c r="AQ155" s="235">
        <f t="shared" si="33"/>
        <v>1</v>
      </c>
      <c r="AR155" s="235">
        <f t="shared" si="19"/>
        <v>1</v>
      </c>
      <c r="AS155" s="252">
        <f t="shared" si="20"/>
        <v>0</v>
      </c>
      <c r="AT155" s="238">
        <f t="shared" si="21"/>
        <v>181</v>
      </c>
      <c r="AU155" s="239">
        <f t="shared" si="22"/>
        <v>0</v>
      </c>
      <c r="AV155" s="239">
        <f t="shared" si="23"/>
        <v>0</v>
      </c>
      <c r="AW155" s="239">
        <f t="shared" si="24"/>
        <v>0.05</v>
      </c>
      <c r="AX155" s="240">
        <f t="shared" si="25"/>
        <v>181</v>
      </c>
      <c r="AY155" s="241">
        <f t="shared" si="26"/>
        <v>-7.41</v>
      </c>
      <c r="AZ155" s="242">
        <f>IFERROR(VLOOKUP(M155,'[1]Base Brasil Obras'!$C$2:$F$485,4,0),"")</f>
        <v>7.4074074074074074</v>
      </c>
      <c r="BA155" s="243">
        <f t="shared" si="27"/>
        <v>190</v>
      </c>
      <c r="BB155" s="244">
        <f t="shared" si="28"/>
        <v>0</v>
      </c>
      <c r="BC155" s="244">
        <f t="shared" si="29"/>
        <v>0.05</v>
      </c>
      <c r="BD155" s="245">
        <f t="shared" si="30"/>
        <v>0.95</v>
      </c>
      <c r="BE155" s="246">
        <f t="shared" si="31"/>
        <v>7.4074074074074074</v>
      </c>
      <c r="BF155" s="247">
        <v>3</v>
      </c>
      <c r="BG155" s="248">
        <f t="shared" si="32"/>
        <v>1</v>
      </c>
      <c r="BH155" s="198"/>
      <c r="BI155" s="198"/>
      <c r="BJ155" s="199"/>
      <c r="BK155" s="200"/>
      <c r="BL155" s="200"/>
      <c r="BM155" s="200"/>
      <c r="BN155" s="200"/>
      <c r="BO155" s="10"/>
    </row>
    <row r="156" spans="1:89" ht="18" customHeight="1" x14ac:dyDescent="0.25">
      <c r="A156" s="201">
        <v>48</v>
      </c>
      <c r="B156" s="202">
        <v>20</v>
      </c>
      <c r="C156" s="203">
        <f t="shared" si="0"/>
        <v>0</v>
      </c>
      <c r="D156" s="204"/>
      <c r="E156" s="204"/>
      <c r="F156" s="205" t="s">
        <v>129</v>
      </c>
      <c r="G156" s="206"/>
      <c r="H156" s="207" t="s">
        <v>131</v>
      </c>
      <c r="I156" s="208" t="s">
        <v>134</v>
      </c>
      <c r="J156" s="208" t="s">
        <v>122</v>
      </c>
      <c r="K156" s="209" t="s">
        <v>184</v>
      </c>
      <c r="L156" s="255"/>
      <c r="M156" s="211" t="s">
        <v>193</v>
      </c>
      <c r="N156" s="257"/>
      <c r="O156" s="213">
        <f>SUMIF([1]Mestre!$G$137:$G$409,THEO!A156,[1]Mestre!$AG$137:$AG$409)</f>
        <v>0</v>
      </c>
      <c r="P156" s="214"/>
      <c r="Q156" s="214"/>
      <c r="R156" s="214"/>
      <c r="S156" s="214"/>
      <c r="T156" s="214"/>
      <c r="U156" s="215">
        <f t="shared" si="1"/>
        <v>19</v>
      </c>
      <c r="V156" s="216">
        <f t="shared" si="2"/>
        <v>-5.555555555555558E-2</v>
      </c>
      <c r="W156" s="217">
        <f t="shared" si="3"/>
        <v>19</v>
      </c>
      <c r="X156" s="218" t="s">
        <v>15</v>
      </c>
      <c r="Y156" s="219" t="str">
        <f t="shared" si="4"/>
        <v>18 pç/Dia</v>
      </c>
      <c r="Z156" s="220" t="str">
        <f t="shared" si="5"/>
        <v>0,74 pç / HH</v>
      </c>
      <c r="AA156" s="221">
        <f t="shared" si="6"/>
        <v>0.74</v>
      </c>
      <c r="AB156" s="222" t="str">
        <f t="shared" si="7"/>
        <v>0 pç /HH</v>
      </c>
      <c r="AC156" s="223">
        <f t="shared" si="8"/>
        <v>3</v>
      </c>
      <c r="AD156" s="224">
        <v>2</v>
      </c>
      <c r="AE156" s="225">
        <v>1</v>
      </c>
      <c r="AF156" s="226">
        <f t="shared" si="9"/>
        <v>0</v>
      </c>
      <c r="AG156" s="227">
        <f t="shared" si="10"/>
        <v>0</v>
      </c>
      <c r="AH156" s="228" t="s">
        <v>25</v>
      </c>
      <c r="AI156" s="229" t="str">
        <f t="shared" si="11"/>
        <v>Extremamente Complexa</v>
      </c>
      <c r="AJ156" s="230" t="str">
        <f t="shared" si="12"/>
        <v>Normal</v>
      </c>
      <c r="AK156" s="231">
        <f t="shared" si="13"/>
        <v>0</v>
      </c>
      <c r="AL156" s="232">
        <f t="shared" si="14"/>
        <v>0.66666666666666663</v>
      </c>
      <c r="AM156" s="233">
        <f t="shared" si="15"/>
        <v>0</v>
      </c>
      <c r="AN156" s="233">
        <f t="shared" si="16"/>
        <v>0</v>
      </c>
      <c r="AO156" s="234">
        <f t="shared" si="17"/>
        <v>0</v>
      </c>
      <c r="AP156" s="235">
        <f t="shared" si="33"/>
        <v>0.93</v>
      </c>
      <c r="AQ156" s="235">
        <f t="shared" si="33"/>
        <v>0.9</v>
      </c>
      <c r="AR156" s="236">
        <f t="shared" si="19"/>
        <v>1</v>
      </c>
      <c r="AS156" s="251">
        <f t="shared" si="20"/>
        <v>0</v>
      </c>
      <c r="AT156" s="238">
        <f t="shared" si="21"/>
        <v>18</v>
      </c>
      <c r="AU156" s="239">
        <f t="shared" si="22"/>
        <v>0</v>
      </c>
      <c r="AV156" s="239">
        <f t="shared" si="23"/>
        <v>0</v>
      </c>
      <c r="AW156" s="239">
        <f t="shared" si="24"/>
        <v>0.05</v>
      </c>
      <c r="AX156" s="240">
        <f t="shared" si="25"/>
        <v>18</v>
      </c>
      <c r="AY156" s="241">
        <f t="shared" si="26"/>
        <v>-0.74</v>
      </c>
      <c r="AZ156" s="242">
        <f>IFERROR(VLOOKUP(M156,'[1]Base Brasil Obras'!$C$2:$F$485,4,0),"")</f>
        <v>0.7407407407407407</v>
      </c>
      <c r="BA156" s="243">
        <f t="shared" si="27"/>
        <v>19</v>
      </c>
      <c r="BB156" s="244">
        <f t="shared" si="28"/>
        <v>0</v>
      </c>
      <c r="BC156" s="244">
        <f t="shared" si="29"/>
        <v>0.05</v>
      </c>
      <c r="BD156" s="245">
        <f t="shared" si="30"/>
        <v>0.95</v>
      </c>
      <c r="BE156" s="246">
        <f t="shared" si="31"/>
        <v>0.7407407407407407</v>
      </c>
      <c r="BF156" s="247">
        <v>3</v>
      </c>
      <c r="BG156" s="248">
        <f t="shared" si="32"/>
        <v>1</v>
      </c>
      <c r="BH156" s="198"/>
      <c r="BI156" s="198"/>
      <c r="BJ156" s="199"/>
      <c r="BK156" s="200"/>
      <c r="BL156" s="200"/>
      <c r="BM156" s="200"/>
      <c r="BN156" s="200"/>
      <c r="BO156" s="10"/>
    </row>
    <row r="157" spans="1:89" ht="18" customHeight="1" x14ac:dyDescent="0.25">
      <c r="A157" s="201">
        <v>49</v>
      </c>
      <c r="B157" s="202">
        <v>12</v>
      </c>
      <c r="C157" s="203">
        <f t="shared" si="0"/>
        <v>0</v>
      </c>
      <c r="D157" s="204"/>
      <c r="E157" s="204"/>
      <c r="F157" s="205" t="s">
        <v>129</v>
      </c>
      <c r="G157" s="206"/>
      <c r="H157" s="207" t="s">
        <v>189</v>
      </c>
      <c r="I157" s="208" t="s">
        <v>125</v>
      </c>
      <c r="J157" s="208" t="s">
        <v>126</v>
      </c>
      <c r="K157" s="209" t="s">
        <v>184</v>
      </c>
      <c r="L157" s="255"/>
      <c r="M157" s="211" t="s">
        <v>194</v>
      </c>
      <c r="N157" s="257"/>
      <c r="O157" s="213">
        <f>SUMIF([1]Mestre!$G$137:$G$409,THEO!A157,[1]Mestre!$AG$137:$AG$409)</f>
        <v>0</v>
      </c>
      <c r="P157" s="214"/>
      <c r="Q157" s="214"/>
      <c r="R157" s="214"/>
      <c r="S157" s="214"/>
      <c r="T157" s="214"/>
      <c r="U157" s="215">
        <f t="shared" si="1"/>
        <v>11.399999999999999</v>
      </c>
      <c r="V157" s="216">
        <f t="shared" si="2"/>
        <v>-3.6363636363636154E-2</v>
      </c>
      <c r="W157" s="217">
        <f t="shared" si="3"/>
        <v>11.399999999999999</v>
      </c>
      <c r="X157" s="218" t="s">
        <v>15</v>
      </c>
      <c r="Y157" s="219" t="str">
        <f t="shared" si="4"/>
        <v>11 pç/Dia</v>
      </c>
      <c r="Z157" s="220" t="str">
        <f t="shared" si="5"/>
        <v>0,67 pç / HH</v>
      </c>
      <c r="AA157" s="221">
        <f t="shared" si="6"/>
        <v>0.67</v>
      </c>
      <c r="AB157" s="222" t="str">
        <f t="shared" si="7"/>
        <v>0 pç /HH</v>
      </c>
      <c r="AC157" s="223">
        <f t="shared" si="8"/>
        <v>2</v>
      </c>
      <c r="AD157" s="224">
        <v>1</v>
      </c>
      <c r="AE157" s="225">
        <v>1</v>
      </c>
      <c r="AF157" s="226">
        <f t="shared" si="9"/>
        <v>0</v>
      </c>
      <c r="AG157" s="227">
        <f t="shared" si="10"/>
        <v>0</v>
      </c>
      <c r="AH157" s="228" t="s">
        <v>25</v>
      </c>
      <c r="AI157" s="229" t="str">
        <f t="shared" si="11"/>
        <v>Extremamente Complexa</v>
      </c>
      <c r="AJ157" s="230" t="str">
        <f t="shared" si="12"/>
        <v>Normal</v>
      </c>
      <c r="AK157" s="231">
        <f t="shared" si="13"/>
        <v>0</v>
      </c>
      <c r="AL157" s="232">
        <f t="shared" si="14"/>
        <v>0.5</v>
      </c>
      <c r="AM157" s="233">
        <f t="shared" si="15"/>
        <v>0</v>
      </c>
      <c r="AN157" s="233">
        <f t="shared" si="16"/>
        <v>0</v>
      </c>
      <c r="AO157" s="234">
        <f t="shared" si="17"/>
        <v>0</v>
      </c>
      <c r="AP157" s="235">
        <f t="shared" si="33"/>
        <v>1</v>
      </c>
      <c r="AQ157" s="235">
        <f t="shared" si="33"/>
        <v>1</v>
      </c>
      <c r="AR157" s="235">
        <f t="shared" si="19"/>
        <v>1</v>
      </c>
      <c r="AS157" s="252">
        <f t="shared" si="20"/>
        <v>0</v>
      </c>
      <c r="AT157" s="238">
        <f t="shared" si="21"/>
        <v>11</v>
      </c>
      <c r="AU157" s="239">
        <f t="shared" si="22"/>
        <v>0</v>
      </c>
      <c r="AV157" s="239">
        <f t="shared" si="23"/>
        <v>0</v>
      </c>
      <c r="AW157" s="239">
        <f t="shared" si="24"/>
        <v>0.05</v>
      </c>
      <c r="AX157" s="240">
        <f t="shared" si="25"/>
        <v>11</v>
      </c>
      <c r="AY157" s="241">
        <f t="shared" si="26"/>
        <v>-0.67</v>
      </c>
      <c r="AZ157" s="242">
        <f>IFERROR(VLOOKUP(M157,'[1]Base Brasil Obras'!$C$2:$F$485,4,0),"")</f>
        <v>0.66666666666666663</v>
      </c>
      <c r="BA157" s="243">
        <f t="shared" si="27"/>
        <v>11.399999999999999</v>
      </c>
      <c r="BB157" s="244">
        <f t="shared" si="28"/>
        <v>0</v>
      </c>
      <c r="BC157" s="244">
        <f t="shared" si="29"/>
        <v>0.05</v>
      </c>
      <c r="BD157" s="245">
        <f t="shared" si="30"/>
        <v>0.95</v>
      </c>
      <c r="BE157" s="246">
        <f t="shared" si="31"/>
        <v>0.66666666666666663</v>
      </c>
      <c r="BF157" s="247">
        <v>2</v>
      </c>
      <c r="BG157" s="248">
        <f t="shared" si="32"/>
        <v>1</v>
      </c>
      <c r="BH157" s="198"/>
      <c r="BI157" s="198"/>
      <c r="BJ157" s="199"/>
      <c r="BK157" s="200"/>
      <c r="BL157" s="200"/>
      <c r="BM157" s="200"/>
      <c r="BN157" s="200"/>
      <c r="BO157" s="10"/>
    </row>
    <row r="158" spans="1:89" ht="18.75" customHeight="1" x14ac:dyDescent="0.25">
      <c r="A158" s="201">
        <v>50</v>
      </c>
      <c r="B158" s="202">
        <v>4</v>
      </c>
      <c r="C158" s="203">
        <f t="shared" si="0"/>
        <v>0</v>
      </c>
      <c r="D158" s="204"/>
      <c r="E158" s="204"/>
      <c r="F158" s="205" t="s">
        <v>129</v>
      </c>
      <c r="G158" s="206"/>
      <c r="H158" s="207" t="s">
        <v>133</v>
      </c>
      <c r="I158" s="208" t="s">
        <v>125</v>
      </c>
      <c r="J158" s="208" t="s">
        <v>126</v>
      </c>
      <c r="K158" s="209" t="s">
        <v>184</v>
      </c>
      <c r="L158" s="255"/>
      <c r="M158" s="211" t="s">
        <v>195</v>
      </c>
      <c r="N158" s="257"/>
      <c r="O158" s="213">
        <v>18</v>
      </c>
      <c r="P158" s="214"/>
      <c r="Q158" s="214"/>
      <c r="R158" s="214"/>
      <c r="S158" s="214"/>
      <c r="T158" s="214"/>
      <c r="U158" s="215">
        <f t="shared" si="1"/>
        <v>3.8</v>
      </c>
      <c r="V158" s="216">
        <f t="shared" si="2"/>
        <v>5.0000000000000044E-2</v>
      </c>
      <c r="W158" s="217">
        <f t="shared" si="3"/>
        <v>3.8</v>
      </c>
      <c r="X158" s="218" t="s">
        <v>15</v>
      </c>
      <c r="Y158" s="219" t="str">
        <f t="shared" si="4"/>
        <v>4 pç/Dia</v>
      </c>
      <c r="Z158" s="220" t="str">
        <f t="shared" si="5"/>
        <v>0,22 pç / HH</v>
      </c>
      <c r="AA158" s="221">
        <f t="shared" si="6"/>
        <v>0.22</v>
      </c>
      <c r="AB158" s="222" t="str">
        <f t="shared" si="7"/>
        <v>0,2 pç /HH</v>
      </c>
      <c r="AC158" s="223">
        <f t="shared" si="8"/>
        <v>2</v>
      </c>
      <c r="AD158" s="224">
        <v>1</v>
      </c>
      <c r="AE158" s="225">
        <v>1</v>
      </c>
      <c r="AF158" s="226">
        <f t="shared" si="9"/>
        <v>4.5</v>
      </c>
      <c r="AG158" s="227">
        <f t="shared" si="10"/>
        <v>81</v>
      </c>
      <c r="AH158" s="228" t="s">
        <v>25</v>
      </c>
      <c r="AI158" s="229" t="str">
        <f t="shared" si="11"/>
        <v>Extremamente Complexa</v>
      </c>
      <c r="AJ158" s="230" t="str">
        <f t="shared" si="12"/>
        <v>Normal</v>
      </c>
      <c r="AK158" s="231">
        <f t="shared" si="13"/>
        <v>115.71428571428572</v>
      </c>
      <c r="AL158" s="232">
        <f t="shared" si="14"/>
        <v>0.5</v>
      </c>
      <c r="AM158" s="233">
        <f t="shared" si="15"/>
        <v>57.857142857142861</v>
      </c>
      <c r="AN158" s="233">
        <f t="shared" si="16"/>
        <v>57.857142857142861</v>
      </c>
      <c r="AO158" s="234">
        <f t="shared" si="17"/>
        <v>2.2841415420130312E-3</v>
      </c>
      <c r="AP158" s="235">
        <f t="shared" si="33"/>
        <v>1</v>
      </c>
      <c r="AQ158" s="235">
        <f t="shared" si="33"/>
        <v>1</v>
      </c>
      <c r="AR158" s="236">
        <f t="shared" si="19"/>
        <v>1</v>
      </c>
      <c r="AS158" s="251">
        <f t="shared" si="20"/>
        <v>0.22222222222222221</v>
      </c>
      <c r="AT158" s="238">
        <f t="shared" si="21"/>
        <v>4</v>
      </c>
      <c r="AU158" s="239">
        <f t="shared" si="22"/>
        <v>0</v>
      </c>
      <c r="AV158" s="239">
        <f t="shared" si="23"/>
        <v>0</v>
      </c>
      <c r="AW158" s="239">
        <f t="shared" si="24"/>
        <v>0.05</v>
      </c>
      <c r="AX158" s="240">
        <f t="shared" si="25"/>
        <v>4</v>
      </c>
      <c r="AY158" s="241">
        <f t="shared" si="26"/>
        <v>-1.999999999999999E-2</v>
      </c>
      <c r="AZ158" s="242">
        <f>IFERROR(VLOOKUP(M158,'[1]Base Brasil Obras'!$C$2:$F$485,4,0),"")</f>
        <v>0.22222222222222221</v>
      </c>
      <c r="BA158" s="243">
        <f t="shared" si="27"/>
        <v>3.8</v>
      </c>
      <c r="BB158" s="244">
        <f t="shared" si="28"/>
        <v>0</v>
      </c>
      <c r="BC158" s="244">
        <f t="shared" si="29"/>
        <v>0.05</v>
      </c>
      <c r="BD158" s="245">
        <f t="shared" si="30"/>
        <v>0.95</v>
      </c>
      <c r="BE158" s="246">
        <f t="shared" si="31"/>
        <v>0.22222222222222221</v>
      </c>
      <c r="BF158" s="247">
        <v>2</v>
      </c>
      <c r="BG158" s="248">
        <f t="shared" si="32"/>
        <v>1</v>
      </c>
      <c r="BH158" s="198"/>
      <c r="BI158" s="198"/>
      <c r="BJ158" s="199"/>
      <c r="BK158" s="200"/>
      <c r="BL158" s="200"/>
      <c r="BM158" s="200"/>
      <c r="BN158" s="200"/>
      <c r="BO158" s="10"/>
    </row>
    <row r="159" spans="1:89" ht="18" customHeight="1" x14ac:dyDescent="0.25">
      <c r="A159" s="201">
        <v>51</v>
      </c>
      <c r="B159" s="202">
        <v>12</v>
      </c>
      <c r="C159" s="203">
        <f t="shared" si="0"/>
        <v>0</v>
      </c>
      <c r="D159" s="204"/>
      <c r="E159" s="204"/>
      <c r="F159" s="205" t="s">
        <v>129</v>
      </c>
      <c r="G159" s="206"/>
      <c r="H159" s="207" t="s">
        <v>131</v>
      </c>
      <c r="I159" s="208" t="s">
        <v>125</v>
      </c>
      <c r="J159" s="208" t="s">
        <v>126</v>
      </c>
      <c r="K159" s="209" t="s">
        <v>184</v>
      </c>
      <c r="L159" s="255"/>
      <c r="M159" s="211" t="s">
        <v>196</v>
      </c>
      <c r="N159" s="257"/>
      <c r="O159" s="213">
        <f>SUMIF([1]Mestre!$G$137:$G$409,THEO!A159,[1]Mestre!$AG$137:$AG$409)</f>
        <v>0</v>
      </c>
      <c r="P159" s="214"/>
      <c r="Q159" s="214"/>
      <c r="R159" s="214"/>
      <c r="S159" s="214"/>
      <c r="T159" s="214"/>
      <c r="U159" s="215">
        <f t="shared" si="1"/>
        <v>11.399999999999999</v>
      </c>
      <c r="V159" s="216">
        <f t="shared" si="2"/>
        <v>-3.6363636363636154E-2</v>
      </c>
      <c r="W159" s="217">
        <f t="shared" si="3"/>
        <v>11.399999999999999</v>
      </c>
      <c r="X159" s="218" t="s">
        <v>15</v>
      </c>
      <c r="Y159" s="219" t="str">
        <f t="shared" si="4"/>
        <v>11 pç/Dia</v>
      </c>
      <c r="Z159" s="220" t="str">
        <f t="shared" si="5"/>
        <v>0,67 pç / HH</v>
      </c>
      <c r="AA159" s="221">
        <f t="shared" si="6"/>
        <v>0.67</v>
      </c>
      <c r="AB159" s="222" t="str">
        <f t="shared" si="7"/>
        <v>0 pç /HH</v>
      </c>
      <c r="AC159" s="223">
        <f t="shared" si="8"/>
        <v>2</v>
      </c>
      <c r="AD159" s="224">
        <v>1</v>
      </c>
      <c r="AE159" s="225">
        <v>1</v>
      </c>
      <c r="AF159" s="226">
        <f t="shared" si="9"/>
        <v>0</v>
      </c>
      <c r="AG159" s="227">
        <f t="shared" si="10"/>
        <v>0</v>
      </c>
      <c r="AH159" s="228" t="s">
        <v>25</v>
      </c>
      <c r="AI159" s="229" t="str">
        <f t="shared" si="11"/>
        <v>Extremamente Complexa</v>
      </c>
      <c r="AJ159" s="230" t="str">
        <f t="shared" si="12"/>
        <v>Normal</v>
      </c>
      <c r="AK159" s="231">
        <f t="shared" si="13"/>
        <v>0</v>
      </c>
      <c r="AL159" s="232">
        <f t="shared" si="14"/>
        <v>0.5</v>
      </c>
      <c r="AM159" s="233">
        <f t="shared" si="15"/>
        <v>0</v>
      </c>
      <c r="AN159" s="233">
        <f t="shared" si="16"/>
        <v>0</v>
      </c>
      <c r="AO159" s="234">
        <f t="shared" si="17"/>
        <v>0</v>
      </c>
      <c r="AP159" s="235">
        <f t="shared" si="33"/>
        <v>1</v>
      </c>
      <c r="AQ159" s="235">
        <f t="shared" si="33"/>
        <v>1</v>
      </c>
      <c r="AR159" s="236">
        <f t="shared" si="19"/>
        <v>1</v>
      </c>
      <c r="AS159" s="252">
        <f t="shared" si="20"/>
        <v>0</v>
      </c>
      <c r="AT159" s="238">
        <f t="shared" si="21"/>
        <v>11</v>
      </c>
      <c r="AU159" s="239">
        <f t="shared" si="22"/>
        <v>0</v>
      </c>
      <c r="AV159" s="239">
        <f t="shared" si="23"/>
        <v>0</v>
      </c>
      <c r="AW159" s="239">
        <f t="shared" si="24"/>
        <v>0.05</v>
      </c>
      <c r="AX159" s="240">
        <f t="shared" si="25"/>
        <v>11</v>
      </c>
      <c r="AY159" s="241">
        <f t="shared" si="26"/>
        <v>-0.67</v>
      </c>
      <c r="AZ159" s="242">
        <f>IFERROR(VLOOKUP(M159,'[1]Base Brasil Obras'!$C$2:$F$485,4,0),"")</f>
        <v>0.66666666666666663</v>
      </c>
      <c r="BA159" s="243">
        <f t="shared" si="27"/>
        <v>11.399999999999999</v>
      </c>
      <c r="BB159" s="244">
        <f t="shared" si="28"/>
        <v>0</v>
      </c>
      <c r="BC159" s="244">
        <f t="shared" si="29"/>
        <v>0.05</v>
      </c>
      <c r="BD159" s="245">
        <f t="shared" si="30"/>
        <v>0.95</v>
      </c>
      <c r="BE159" s="246">
        <f t="shared" si="31"/>
        <v>0.66666666666666663</v>
      </c>
      <c r="BF159" s="247">
        <v>2</v>
      </c>
      <c r="BG159" s="248">
        <f t="shared" si="32"/>
        <v>1</v>
      </c>
      <c r="BH159" s="198"/>
      <c r="BI159" s="198"/>
      <c r="BJ159" s="199"/>
      <c r="BK159" s="200"/>
      <c r="BL159" s="200"/>
      <c r="BM159" s="200"/>
      <c r="BN159" s="200"/>
      <c r="BO159" s="10"/>
    </row>
    <row r="160" spans="1:89" ht="22.5" customHeight="1" x14ac:dyDescent="0.25">
      <c r="A160" s="201">
        <v>52</v>
      </c>
      <c r="B160" s="202">
        <v>50</v>
      </c>
      <c r="C160" s="203">
        <f t="shared" si="0"/>
        <v>0</v>
      </c>
      <c r="D160" s="204"/>
      <c r="E160" s="204"/>
      <c r="F160" s="205" t="s">
        <v>197</v>
      </c>
      <c r="G160" s="206"/>
      <c r="H160" s="207" t="s">
        <v>131</v>
      </c>
      <c r="I160" s="208" t="s">
        <v>125</v>
      </c>
      <c r="J160" s="208" t="s">
        <v>126</v>
      </c>
      <c r="K160" s="209" t="s">
        <v>198</v>
      </c>
      <c r="L160" s="255"/>
      <c r="M160" s="211" t="s">
        <v>199</v>
      </c>
      <c r="N160" s="257"/>
      <c r="O160" s="213">
        <v>350</v>
      </c>
      <c r="P160" s="214"/>
      <c r="Q160" s="214"/>
      <c r="R160" s="214"/>
      <c r="S160" s="214"/>
      <c r="T160" s="214"/>
      <c r="U160" s="215">
        <f t="shared" si="1"/>
        <v>47.5</v>
      </c>
      <c r="V160" s="216">
        <f t="shared" si="2"/>
        <v>-5.555555555555558E-2</v>
      </c>
      <c r="W160" s="217">
        <f t="shared" si="3"/>
        <v>47.5</v>
      </c>
      <c r="X160" s="218" t="s">
        <v>15</v>
      </c>
      <c r="Y160" s="219" t="str">
        <f t="shared" si="4"/>
        <v>45 pç/Dia</v>
      </c>
      <c r="Z160" s="220" t="str">
        <f t="shared" si="5"/>
        <v>1,85 pç / HH</v>
      </c>
      <c r="AA160" s="221">
        <f t="shared" si="6"/>
        <v>1.85</v>
      </c>
      <c r="AB160" s="222" t="str">
        <f t="shared" si="7"/>
        <v>1,7 pç /HH</v>
      </c>
      <c r="AC160" s="223">
        <f t="shared" si="8"/>
        <v>3</v>
      </c>
      <c r="AD160" s="224">
        <v>2</v>
      </c>
      <c r="AE160" s="225">
        <v>1</v>
      </c>
      <c r="AF160" s="226">
        <f t="shared" si="9"/>
        <v>7.7777777777777777</v>
      </c>
      <c r="AG160" s="258">
        <f t="shared" si="10"/>
        <v>210</v>
      </c>
      <c r="AH160" s="259" t="s">
        <v>25</v>
      </c>
      <c r="AI160" s="260" t="str">
        <f t="shared" si="11"/>
        <v>Extremamente Complexa</v>
      </c>
      <c r="AJ160" s="261" t="str">
        <f t="shared" si="12"/>
        <v>Normal</v>
      </c>
      <c r="AK160" s="262">
        <f t="shared" si="13"/>
        <v>300</v>
      </c>
      <c r="AL160" s="263">
        <f t="shared" si="14"/>
        <v>0.66666666666666663</v>
      </c>
      <c r="AM160" s="262">
        <f t="shared" si="15"/>
        <v>200</v>
      </c>
      <c r="AN160" s="262">
        <f t="shared" si="16"/>
        <v>100</v>
      </c>
      <c r="AO160" s="264">
        <f t="shared" si="17"/>
        <v>5.9218484422560065E-3</v>
      </c>
      <c r="AP160" s="265">
        <f t="shared" si="33"/>
        <v>1</v>
      </c>
      <c r="AQ160" s="265">
        <f t="shared" si="33"/>
        <v>1</v>
      </c>
      <c r="AR160" s="265">
        <f t="shared" si="19"/>
        <v>1</v>
      </c>
      <c r="AS160" s="266">
        <f t="shared" si="20"/>
        <v>1.6666666666666667</v>
      </c>
      <c r="AT160" s="267">
        <f t="shared" si="21"/>
        <v>45</v>
      </c>
      <c r="AU160" s="268">
        <f t="shared" si="22"/>
        <v>0</v>
      </c>
      <c r="AV160" s="268">
        <f t="shared" si="23"/>
        <v>0</v>
      </c>
      <c r="AW160" s="268">
        <f t="shared" si="24"/>
        <v>0.05</v>
      </c>
      <c r="AX160" s="240">
        <f t="shared" si="25"/>
        <v>45</v>
      </c>
      <c r="AY160" s="269">
        <f t="shared" si="26"/>
        <v>-0.15000000000000013</v>
      </c>
      <c r="AZ160" s="242">
        <f>IFERROR(VLOOKUP(M160,'[1]Base Brasil Obras'!$C$2:$F$485,4,0),"")</f>
        <v>1.8518518518518519</v>
      </c>
      <c r="BA160" s="243">
        <f t="shared" si="27"/>
        <v>47.5</v>
      </c>
      <c r="BB160" s="270">
        <f t="shared" si="28"/>
        <v>0</v>
      </c>
      <c r="BC160" s="270">
        <f t="shared" si="29"/>
        <v>0.05</v>
      </c>
      <c r="BD160" s="271">
        <f t="shared" si="30"/>
        <v>0.95</v>
      </c>
      <c r="BE160" s="246">
        <f t="shared" si="31"/>
        <v>1.8518518518518519</v>
      </c>
      <c r="BF160" s="247">
        <v>3</v>
      </c>
      <c r="BG160" s="248">
        <f t="shared" si="32"/>
        <v>1</v>
      </c>
      <c r="BH160" s="198"/>
      <c r="BI160" s="198"/>
      <c r="BJ160" s="199"/>
      <c r="BK160" s="200"/>
      <c r="BL160" s="200"/>
      <c r="BM160" s="200"/>
      <c r="BN160" s="200"/>
      <c r="BO160" s="10"/>
    </row>
    <row r="161" spans="1:67" ht="22.5" customHeight="1" x14ac:dyDescent="0.25">
      <c r="A161" s="201">
        <v>53</v>
      </c>
      <c r="B161" s="202">
        <v>3</v>
      </c>
      <c r="C161" s="203">
        <f t="shared" si="0"/>
        <v>0</v>
      </c>
      <c r="D161" s="204"/>
      <c r="E161" s="204"/>
      <c r="F161" s="205" t="s">
        <v>129</v>
      </c>
      <c r="G161" s="206"/>
      <c r="H161" s="207" t="s">
        <v>131</v>
      </c>
      <c r="I161" s="208" t="s">
        <v>125</v>
      </c>
      <c r="J161" s="208" t="s">
        <v>126</v>
      </c>
      <c r="K161" s="209" t="s">
        <v>118</v>
      </c>
      <c r="L161" s="255"/>
      <c r="M161" s="211" t="s">
        <v>200</v>
      </c>
      <c r="N161" s="257"/>
      <c r="O161" s="213">
        <f>SUMIF([1]Mestre!$G$137:$G$409,THEO!A161,[1]Mestre!$AG$137:$AG$409)</f>
        <v>0</v>
      </c>
      <c r="P161" s="214"/>
      <c r="Q161" s="214"/>
      <c r="R161" s="214"/>
      <c r="S161" s="214"/>
      <c r="T161" s="214"/>
      <c r="U161" s="215">
        <f t="shared" si="1"/>
        <v>2.8499999999999996</v>
      </c>
      <c r="V161" s="216">
        <f t="shared" si="2"/>
        <v>5.0000000000000155E-2</v>
      </c>
      <c r="W161" s="217">
        <f t="shared" si="3"/>
        <v>2.8499999999999996</v>
      </c>
      <c r="X161" s="218" t="s">
        <v>15</v>
      </c>
      <c r="Y161" s="219" t="str">
        <f t="shared" si="4"/>
        <v>3 pç/Dia</v>
      </c>
      <c r="Z161" s="220" t="str">
        <f t="shared" si="5"/>
        <v>0,11 pç / HH</v>
      </c>
      <c r="AA161" s="221">
        <f t="shared" si="6"/>
        <v>0.11</v>
      </c>
      <c r="AB161" s="222" t="str">
        <f t="shared" si="7"/>
        <v>0 pç /HH</v>
      </c>
      <c r="AC161" s="223">
        <f t="shared" si="8"/>
        <v>3</v>
      </c>
      <c r="AD161" s="224">
        <v>2</v>
      </c>
      <c r="AE161" s="225">
        <v>1</v>
      </c>
      <c r="AF161" s="226">
        <f t="shared" si="9"/>
        <v>0</v>
      </c>
      <c r="AG161" s="227">
        <f t="shared" si="10"/>
        <v>0</v>
      </c>
      <c r="AH161" s="228" t="s">
        <v>25</v>
      </c>
      <c r="AI161" s="229" t="str">
        <f t="shared" si="11"/>
        <v>Extremamente Complexa</v>
      </c>
      <c r="AJ161" s="230" t="str">
        <f t="shared" si="12"/>
        <v>Normal</v>
      </c>
      <c r="AK161" s="231">
        <f t="shared" si="13"/>
        <v>0</v>
      </c>
      <c r="AL161" s="232">
        <f t="shared" si="14"/>
        <v>0.66666666666666663</v>
      </c>
      <c r="AM161" s="233">
        <f t="shared" si="15"/>
        <v>0</v>
      </c>
      <c r="AN161" s="233">
        <f t="shared" si="16"/>
        <v>0</v>
      </c>
      <c r="AO161" s="234">
        <f t="shared" si="17"/>
        <v>0</v>
      </c>
      <c r="AP161" s="235">
        <f t="shared" si="33"/>
        <v>1</v>
      </c>
      <c r="AQ161" s="235">
        <f t="shared" si="33"/>
        <v>1</v>
      </c>
      <c r="AR161" s="236">
        <f t="shared" si="19"/>
        <v>1</v>
      </c>
      <c r="AS161" s="252">
        <f t="shared" si="20"/>
        <v>0</v>
      </c>
      <c r="AT161" s="238">
        <f t="shared" si="21"/>
        <v>3</v>
      </c>
      <c r="AU161" s="239">
        <f t="shared" si="22"/>
        <v>0</v>
      </c>
      <c r="AV161" s="239">
        <f t="shared" si="23"/>
        <v>0</v>
      </c>
      <c r="AW161" s="239">
        <f t="shared" si="24"/>
        <v>0.05</v>
      </c>
      <c r="AX161" s="240">
        <f t="shared" si="25"/>
        <v>3</v>
      </c>
      <c r="AY161" s="241">
        <f t="shared" si="26"/>
        <v>-0.11</v>
      </c>
      <c r="AZ161" s="242">
        <f>IFERROR(VLOOKUP(M161,'[1]Base Brasil Obras'!$C$2:$F$485,4,0),"")</f>
        <v>0.1111111111111111</v>
      </c>
      <c r="BA161" s="243">
        <f t="shared" si="27"/>
        <v>2.8499999999999996</v>
      </c>
      <c r="BB161" s="244">
        <f t="shared" si="28"/>
        <v>0</v>
      </c>
      <c r="BC161" s="244">
        <f t="shared" si="29"/>
        <v>0.05</v>
      </c>
      <c r="BD161" s="245">
        <f t="shared" si="30"/>
        <v>0.95</v>
      </c>
      <c r="BE161" s="246">
        <f t="shared" si="31"/>
        <v>0.1111111111111111</v>
      </c>
      <c r="BF161" s="247">
        <v>3</v>
      </c>
      <c r="BG161" s="248">
        <f t="shared" si="32"/>
        <v>1</v>
      </c>
      <c r="BH161" s="198"/>
      <c r="BI161" s="198"/>
      <c r="BJ161" s="199"/>
      <c r="BK161" s="200"/>
      <c r="BL161" s="200"/>
      <c r="BM161" s="200"/>
      <c r="BN161" s="200"/>
      <c r="BO161" s="10"/>
    </row>
    <row r="162" spans="1:67" ht="22.5" customHeight="1" x14ac:dyDescent="0.25">
      <c r="A162" s="201">
        <v>54</v>
      </c>
      <c r="B162" s="202">
        <v>12</v>
      </c>
      <c r="C162" s="203">
        <f t="shared" si="0"/>
        <v>0</v>
      </c>
      <c r="D162" s="204"/>
      <c r="E162" s="204"/>
      <c r="F162" s="205" t="s">
        <v>129</v>
      </c>
      <c r="G162" s="206"/>
      <c r="H162" s="207" t="s">
        <v>115</v>
      </c>
      <c r="I162" s="208" t="s">
        <v>125</v>
      </c>
      <c r="J162" s="208" t="s">
        <v>126</v>
      </c>
      <c r="K162" s="209" t="s">
        <v>118</v>
      </c>
      <c r="L162" s="255"/>
      <c r="M162" s="211" t="s">
        <v>201</v>
      </c>
      <c r="N162" s="257"/>
      <c r="O162" s="213">
        <v>185</v>
      </c>
      <c r="P162" s="214"/>
      <c r="Q162" s="214"/>
      <c r="R162" s="214"/>
      <c r="S162" s="214"/>
      <c r="T162" s="214"/>
      <c r="U162" s="215">
        <f t="shared" si="1"/>
        <v>11.399999999999999</v>
      </c>
      <c r="V162" s="216">
        <f t="shared" si="2"/>
        <v>-3.6363636363636154E-2</v>
      </c>
      <c r="W162" s="217">
        <f t="shared" si="3"/>
        <v>11.399999999999999</v>
      </c>
      <c r="X162" s="218" t="s">
        <v>3</v>
      </c>
      <c r="Y162" s="219" t="str">
        <f t="shared" si="4"/>
        <v>11 Instrumento/Dia</v>
      </c>
      <c r="Z162" s="220" t="str">
        <f t="shared" si="5"/>
        <v>0,67 Instrumento / HH</v>
      </c>
      <c r="AA162" s="221">
        <f t="shared" si="6"/>
        <v>0.67</v>
      </c>
      <c r="AB162" s="222" t="str">
        <f t="shared" si="7"/>
        <v>0,6 Instrumento /HH</v>
      </c>
      <c r="AC162" s="223">
        <f t="shared" si="8"/>
        <v>2</v>
      </c>
      <c r="AD162" s="224">
        <v>1</v>
      </c>
      <c r="AE162" s="225">
        <v>1</v>
      </c>
      <c r="AF162" s="226">
        <f t="shared" si="9"/>
        <v>16.818181818181817</v>
      </c>
      <c r="AG162" s="272">
        <f t="shared" si="10"/>
        <v>302.72727272727269</v>
      </c>
      <c r="AH162" s="273" t="s">
        <v>25</v>
      </c>
      <c r="AI162" s="274" t="str">
        <f t="shared" si="11"/>
        <v>Extremamente Complexa</v>
      </c>
      <c r="AJ162" s="275" t="str">
        <f t="shared" si="12"/>
        <v>Normal</v>
      </c>
      <c r="AK162" s="231">
        <f t="shared" si="13"/>
        <v>432.46753246753246</v>
      </c>
      <c r="AL162" s="276">
        <f t="shared" si="14"/>
        <v>0.5</v>
      </c>
      <c r="AM162" s="277">
        <f t="shared" si="15"/>
        <v>216.23376623376623</v>
      </c>
      <c r="AN162" s="277">
        <f t="shared" si="16"/>
        <v>216.23376623376623</v>
      </c>
      <c r="AO162" s="278">
        <f t="shared" si="17"/>
        <v>8.5366906115638529E-3</v>
      </c>
      <c r="AP162" s="279">
        <f t="shared" si="33"/>
        <v>1</v>
      </c>
      <c r="AQ162" s="279">
        <f t="shared" si="33"/>
        <v>1</v>
      </c>
      <c r="AR162" s="279">
        <f t="shared" si="19"/>
        <v>1</v>
      </c>
      <c r="AS162" s="280">
        <f t="shared" si="20"/>
        <v>0.61111111111111116</v>
      </c>
      <c r="AT162" s="281">
        <f t="shared" si="21"/>
        <v>11</v>
      </c>
      <c r="AU162" s="282">
        <f t="shared" si="22"/>
        <v>0</v>
      </c>
      <c r="AV162" s="282">
        <f t="shared" si="23"/>
        <v>0</v>
      </c>
      <c r="AW162" s="282">
        <f t="shared" si="24"/>
        <v>0.05</v>
      </c>
      <c r="AX162" s="240">
        <f t="shared" si="25"/>
        <v>11</v>
      </c>
      <c r="AY162" s="283">
        <f t="shared" si="26"/>
        <v>-7.0000000000000062E-2</v>
      </c>
      <c r="AZ162" s="242">
        <f>IFERROR(VLOOKUP(M162,'[1]Base Brasil Obras'!$C$2:$F$485,4,0),"")</f>
        <v>0.66666666666666663</v>
      </c>
      <c r="BA162" s="243">
        <f t="shared" si="27"/>
        <v>11.399999999999999</v>
      </c>
      <c r="BB162" s="244">
        <f t="shared" si="28"/>
        <v>0</v>
      </c>
      <c r="BC162" s="244">
        <f t="shared" si="29"/>
        <v>0.05</v>
      </c>
      <c r="BD162" s="245">
        <f t="shared" si="30"/>
        <v>0.95</v>
      </c>
      <c r="BE162" s="246">
        <f t="shared" si="31"/>
        <v>0.66666666666666663</v>
      </c>
      <c r="BF162" s="247">
        <v>2</v>
      </c>
      <c r="BG162" s="248">
        <f t="shared" si="32"/>
        <v>1</v>
      </c>
      <c r="BH162" s="198"/>
      <c r="BI162" s="198"/>
      <c r="BJ162" s="199"/>
      <c r="BK162" s="200"/>
      <c r="BL162" s="200"/>
      <c r="BM162" s="200"/>
      <c r="BN162" s="200"/>
      <c r="BO162" s="10"/>
    </row>
    <row r="163" spans="1:67" ht="22.5" customHeight="1" x14ac:dyDescent="0.25">
      <c r="A163" s="201">
        <v>55</v>
      </c>
      <c r="B163" s="202">
        <v>25</v>
      </c>
      <c r="C163" s="203">
        <f t="shared" si="0"/>
        <v>0</v>
      </c>
      <c r="D163" s="204"/>
      <c r="E163" s="204"/>
      <c r="F163" s="205" t="s">
        <v>151</v>
      </c>
      <c r="G163" s="206"/>
      <c r="H163" s="207" t="s">
        <v>131</v>
      </c>
      <c r="I163" s="208" t="s">
        <v>125</v>
      </c>
      <c r="J163" s="208" t="s">
        <v>126</v>
      </c>
      <c r="K163" s="209" t="s">
        <v>118</v>
      </c>
      <c r="L163" s="255"/>
      <c r="M163" s="211" t="s">
        <v>202</v>
      </c>
      <c r="N163" s="257"/>
      <c r="O163" s="213">
        <f>SUMIF([1]Mestre!$G$137:$G$409,THEO!A163,[1]Mestre!$AG$137:$AG$409)</f>
        <v>0</v>
      </c>
      <c r="P163" s="214"/>
      <c r="Q163" s="214"/>
      <c r="R163" s="214"/>
      <c r="S163" s="214"/>
      <c r="T163" s="214"/>
      <c r="U163" s="215">
        <f t="shared" si="1"/>
        <v>23.75</v>
      </c>
      <c r="V163" s="216">
        <f t="shared" si="2"/>
        <v>-3.2608695652173836E-2</v>
      </c>
      <c r="W163" s="217">
        <f t="shared" si="3"/>
        <v>23.75</v>
      </c>
      <c r="X163" s="218" t="s">
        <v>15</v>
      </c>
      <c r="Y163" s="219" t="str">
        <f t="shared" si="4"/>
        <v>23 pç/Dia</v>
      </c>
      <c r="Z163" s="220" t="str">
        <f t="shared" si="5"/>
        <v>2,78 pç / HH</v>
      </c>
      <c r="AA163" s="221">
        <f t="shared" si="6"/>
        <v>2.78</v>
      </c>
      <c r="AB163" s="222" t="str">
        <f t="shared" si="7"/>
        <v>0 pç /HH</v>
      </c>
      <c r="AC163" s="223">
        <f t="shared" si="8"/>
        <v>1</v>
      </c>
      <c r="AD163" s="224">
        <v>0</v>
      </c>
      <c r="AE163" s="225">
        <v>1</v>
      </c>
      <c r="AF163" s="226">
        <f t="shared" si="9"/>
        <v>0</v>
      </c>
      <c r="AG163" s="227">
        <f t="shared" si="10"/>
        <v>0</v>
      </c>
      <c r="AH163" s="228" t="s">
        <v>25</v>
      </c>
      <c r="AI163" s="229" t="str">
        <f t="shared" si="11"/>
        <v>Extremamente Complexa</v>
      </c>
      <c r="AJ163" s="230" t="str">
        <f t="shared" si="12"/>
        <v>Normal</v>
      </c>
      <c r="AK163" s="231">
        <f t="shared" si="13"/>
        <v>0</v>
      </c>
      <c r="AL163" s="232">
        <f t="shared" si="14"/>
        <v>0</v>
      </c>
      <c r="AM163" s="233">
        <f t="shared" si="15"/>
        <v>0</v>
      </c>
      <c r="AN163" s="233">
        <f t="shared" si="16"/>
        <v>0</v>
      </c>
      <c r="AO163" s="234">
        <f t="shared" si="17"/>
        <v>0</v>
      </c>
      <c r="AP163" s="235">
        <f t="shared" si="33"/>
        <v>1</v>
      </c>
      <c r="AQ163" s="235">
        <f t="shared" si="33"/>
        <v>1</v>
      </c>
      <c r="AR163" s="236">
        <f t="shared" si="19"/>
        <v>1</v>
      </c>
      <c r="AS163" s="252">
        <f t="shared" si="20"/>
        <v>0</v>
      </c>
      <c r="AT163" s="238">
        <f t="shared" si="21"/>
        <v>23</v>
      </c>
      <c r="AU163" s="239">
        <f t="shared" si="22"/>
        <v>0</v>
      </c>
      <c r="AV163" s="239">
        <f t="shared" si="23"/>
        <v>0</v>
      </c>
      <c r="AW163" s="239">
        <f t="shared" si="24"/>
        <v>0.05</v>
      </c>
      <c r="AX163" s="240">
        <f t="shared" si="25"/>
        <v>23</v>
      </c>
      <c r="AY163" s="241">
        <f t="shared" si="26"/>
        <v>-2.78</v>
      </c>
      <c r="AZ163" s="242">
        <f>IFERROR(VLOOKUP(M163,'[1]Base Brasil Obras'!$C$2:$F$485,4,0),"")</f>
        <v>2.7777777777777777</v>
      </c>
      <c r="BA163" s="243">
        <f t="shared" si="27"/>
        <v>23.75</v>
      </c>
      <c r="BB163" s="244">
        <f t="shared" si="28"/>
        <v>0</v>
      </c>
      <c r="BC163" s="244">
        <f t="shared" si="29"/>
        <v>0.05</v>
      </c>
      <c r="BD163" s="245">
        <f t="shared" si="30"/>
        <v>0.95</v>
      </c>
      <c r="BE163" s="246">
        <f t="shared" si="31"/>
        <v>2.7777777777777777</v>
      </c>
      <c r="BF163" s="247">
        <v>1</v>
      </c>
      <c r="BG163" s="248">
        <f t="shared" si="32"/>
        <v>1</v>
      </c>
      <c r="BH163" s="198"/>
      <c r="BI163" s="198"/>
      <c r="BJ163" s="199"/>
      <c r="BK163" s="200"/>
      <c r="BL163" s="200"/>
      <c r="BM163" s="200"/>
      <c r="BN163" s="200"/>
      <c r="BO163" s="10"/>
    </row>
    <row r="164" spans="1:67" ht="22.5" customHeight="1" x14ac:dyDescent="0.25">
      <c r="A164" s="201">
        <v>56</v>
      </c>
      <c r="B164" s="202">
        <v>100</v>
      </c>
      <c r="C164" s="203">
        <f t="shared" si="0"/>
        <v>0</v>
      </c>
      <c r="D164" s="204"/>
      <c r="E164" s="204"/>
      <c r="F164" s="205" t="s">
        <v>203</v>
      </c>
      <c r="G164" s="206"/>
      <c r="H164" s="207" t="s">
        <v>133</v>
      </c>
      <c r="I164" s="208" t="s">
        <v>125</v>
      </c>
      <c r="J164" s="208" t="s">
        <v>126</v>
      </c>
      <c r="K164" s="209" t="s">
        <v>204</v>
      </c>
      <c r="L164" s="255"/>
      <c r="M164" s="211" t="s">
        <v>205</v>
      </c>
      <c r="N164" s="257"/>
      <c r="O164" s="213">
        <f>SUMIF([1]Mestre!$G$137:$G$409,THEO!A164,[1]Mestre!$AG$137:$AG$409)</f>
        <v>0</v>
      </c>
      <c r="P164" s="214"/>
      <c r="Q164" s="214"/>
      <c r="R164" s="214"/>
      <c r="S164" s="214"/>
      <c r="T164" s="214"/>
      <c r="U164" s="215">
        <f t="shared" si="1"/>
        <v>95</v>
      </c>
      <c r="V164" s="216">
        <f t="shared" si="2"/>
        <v>-5.555555555555558E-2</v>
      </c>
      <c r="W164" s="217">
        <f t="shared" si="3"/>
        <v>95</v>
      </c>
      <c r="X164" s="218" t="s">
        <v>12</v>
      </c>
      <c r="Y164" s="219" t="str">
        <f t="shared" si="4"/>
        <v>90 mt/Dia</v>
      </c>
      <c r="Z164" s="220" t="str">
        <f t="shared" si="5"/>
        <v>3,7 mt / HH</v>
      </c>
      <c r="AA164" s="221">
        <f t="shared" si="6"/>
        <v>3.7</v>
      </c>
      <c r="AB164" s="222" t="str">
        <f t="shared" si="7"/>
        <v>0 mt /HH</v>
      </c>
      <c r="AC164" s="223">
        <f t="shared" si="8"/>
        <v>3</v>
      </c>
      <c r="AD164" s="224">
        <v>2</v>
      </c>
      <c r="AE164" s="225">
        <v>1</v>
      </c>
      <c r="AF164" s="226">
        <f t="shared" si="9"/>
        <v>0</v>
      </c>
      <c r="AG164" s="227">
        <f t="shared" si="10"/>
        <v>0</v>
      </c>
      <c r="AH164" s="228" t="s">
        <v>25</v>
      </c>
      <c r="AI164" s="229" t="str">
        <f t="shared" si="11"/>
        <v>Extremamente Complexa</v>
      </c>
      <c r="AJ164" s="230" t="str">
        <f t="shared" si="12"/>
        <v>Normal</v>
      </c>
      <c r="AK164" s="231">
        <f t="shared" si="13"/>
        <v>0</v>
      </c>
      <c r="AL164" s="232">
        <f t="shared" si="14"/>
        <v>0.66666666666666663</v>
      </c>
      <c r="AM164" s="233">
        <f t="shared" si="15"/>
        <v>0</v>
      </c>
      <c r="AN164" s="233">
        <f t="shared" si="16"/>
        <v>0</v>
      </c>
      <c r="AO164" s="234">
        <f t="shared" si="17"/>
        <v>0</v>
      </c>
      <c r="AP164" s="235">
        <f t="shared" si="33"/>
        <v>1</v>
      </c>
      <c r="AQ164" s="235">
        <f t="shared" si="33"/>
        <v>1</v>
      </c>
      <c r="AR164" s="236">
        <f t="shared" si="19"/>
        <v>1</v>
      </c>
      <c r="AS164" s="251">
        <f t="shared" si="20"/>
        <v>0</v>
      </c>
      <c r="AT164" s="238">
        <f t="shared" si="21"/>
        <v>90</v>
      </c>
      <c r="AU164" s="239">
        <f t="shared" si="22"/>
        <v>0</v>
      </c>
      <c r="AV164" s="239">
        <f t="shared" si="23"/>
        <v>0</v>
      </c>
      <c r="AW164" s="239">
        <f t="shared" si="24"/>
        <v>0.05</v>
      </c>
      <c r="AX164" s="240">
        <f t="shared" si="25"/>
        <v>90</v>
      </c>
      <c r="AY164" s="241">
        <f t="shared" si="26"/>
        <v>-3.7</v>
      </c>
      <c r="AZ164" s="242">
        <f>IFERROR(VLOOKUP(M164,'[1]Base Brasil Obras'!$C$2:$F$485,4,0),"")</f>
        <v>3.7037037037037037</v>
      </c>
      <c r="BA164" s="243">
        <f t="shared" si="27"/>
        <v>95</v>
      </c>
      <c r="BB164" s="244">
        <f t="shared" si="28"/>
        <v>0</v>
      </c>
      <c r="BC164" s="244">
        <f t="shared" si="29"/>
        <v>0.05</v>
      </c>
      <c r="BD164" s="245">
        <f t="shared" si="30"/>
        <v>0.95</v>
      </c>
      <c r="BE164" s="246">
        <f t="shared" si="31"/>
        <v>3.7037037037037037</v>
      </c>
      <c r="BF164" s="247">
        <v>3</v>
      </c>
      <c r="BG164" s="248">
        <f t="shared" si="32"/>
        <v>1</v>
      </c>
      <c r="BH164" s="198"/>
      <c r="BI164" s="198"/>
      <c r="BJ164" s="199"/>
      <c r="BK164" s="200"/>
      <c r="BL164" s="200"/>
      <c r="BM164" s="200"/>
      <c r="BN164" s="200"/>
      <c r="BO164" s="10"/>
    </row>
    <row r="165" spans="1:67" ht="22.5" customHeight="1" x14ac:dyDescent="0.25">
      <c r="A165" s="201">
        <v>57</v>
      </c>
      <c r="B165" s="202">
        <v>90</v>
      </c>
      <c r="C165" s="203">
        <f t="shared" si="0"/>
        <v>0</v>
      </c>
      <c r="D165" s="204"/>
      <c r="E165" s="204"/>
      <c r="F165" s="205" t="s">
        <v>203</v>
      </c>
      <c r="G165" s="206"/>
      <c r="H165" s="207" t="s">
        <v>133</v>
      </c>
      <c r="I165" s="208" t="s">
        <v>125</v>
      </c>
      <c r="J165" s="208" t="s">
        <v>126</v>
      </c>
      <c r="K165" s="209" t="s">
        <v>204</v>
      </c>
      <c r="L165" s="255"/>
      <c r="M165" s="211" t="s">
        <v>206</v>
      </c>
      <c r="N165" s="257"/>
      <c r="O165" s="213">
        <f>SUMIF([1]Mestre!$G$137:$G$409,THEO!A165,[1]Mestre!$AG$137:$AG$409)</f>
        <v>0</v>
      </c>
      <c r="P165" s="214"/>
      <c r="Q165" s="214"/>
      <c r="R165" s="214"/>
      <c r="S165" s="214"/>
      <c r="T165" s="214"/>
      <c r="U165" s="215">
        <f t="shared" si="1"/>
        <v>85.5</v>
      </c>
      <c r="V165" s="216">
        <f t="shared" si="2"/>
        <v>-5.555555555555558E-2</v>
      </c>
      <c r="W165" s="217">
        <f t="shared" si="3"/>
        <v>85.5</v>
      </c>
      <c r="X165" s="218" t="s">
        <v>12</v>
      </c>
      <c r="Y165" s="219" t="str">
        <f t="shared" si="4"/>
        <v>81 mt/Dia</v>
      </c>
      <c r="Z165" s="220" t="str">
        <f t="shared" si="5"/>
        <v>3,33 mt / HH</v>
      </c>
      <c r="AA165" s="221">
        <f t="shared" si="6"/>
        <v>3.33</v>
      </c>
      <c r="AB165" s="222" t="str">
        <f t="shared" si="7"/>
        <v>0 mt /HH</v>
      </c>
      <c r="AC165" s="223">
        <f t="shared" si="8"/>
        <v>3</v>
      </c>
      <c r="AD165" s="224">
        <v>2</v>
      </c>
      <c r="AE165" s="225">
        <v>1</v>
      </c>
      <c r="AF165" s="226">
        <f t="shared" si="9"/>
        <v>0</v>
      </c>
      <c r="AG165" s="227">
        <f t="shared" si="10"/>
        <v>0</v>
      </c>
      <c r="AH165" s="228" t="s">
        <v>25</v>
      </c>
      <c r="AI165" s="229" t="str">
        <f t="shared" si="11"/>
        <v>Extremamente Complexa</v>
      </c>
      <c r="AJ165" s="230" t="str">
        <f t="shared" si="12"/>
        <v>Normal</v>
      </c>
      <c r="AK165" s="231">
        <f t="shared" si="13"/>
        <v>0</v>
      </c>
      <c r="AL165" s="232">
        <f t="shared" si="14"/>
        <v>0.66666666666666663</v>
      </c>
      <c r="AM165" s="233">
        <f t="shared" si="15"/>
        <v>0</v>
      </c>
      <c r="AN165" s="233">
        <f t="shared" si="16"/>
        <v>0</v>
      </c>
      <c r="AO165" s="234">
        <f t="shared" si="17"/>
        <v>0</v>
      </c>
      <c r="AP165" s="235">
        <f t="shared" si="33"/>
        <v>1</v>
      </c>
      <c r="AQ165" s="235">
        <f t="shared" si="33"/>
        <v>1</v>
      </c>
      <c r="AR165" s="235">
        <f t="shared" si="19"/>
        <v>1</v>
      </c>
      <c r="AS165" s="252">
        <f t="shared" si="20"/>
        <v>0</v>
      </c>
      <c r="AT165" s="238">
        <f t="shared" si="21"/>
        <v>81</v>
      </c>
      <c r="AU165" s="239">
        <f t="shared" si="22"/>
        <v>0</v>
      </c>
      <c r="AV165" s="239">
        <f t="shared" si="23"/>
        <v>0</v>
      </c>
      <c r="AW165" s="239">
        <f t="shared" si="24"/>
        <v>0.05</v>
      </c>
      <c r="AX165" s="240">
        <f t="shared" si="25"/>
        <v>81</v>
      </c>
      <c r="AY165" s="241">
        <f t="shared" si="26"/>
        <v>-3.33</v>
      </c>
      <c r="AZ165" s="242">
        <f>IFERROR(VLOOKUP(M165,'[1]Base Brasil Obras'!$C$2:$F$485,4,0),"")</f>
        <v>3.3333333333333335</v>
      </c>
      <c r="BA165" s="243">
        <f t="shared" si="27"/>
        <v>85.5</v>
      </c>
      <c r="BB165" s="244">
        <f t="shared" si="28"/>
        <v>0</v>
      </c>
      <c r="BC165" s="244">
        <f t="shared" si="29"/>
        <v>0.05</v>
      </c>
      <c r="BD165" s="245">
        <f t="shared" si="30"/>
        <v>0.95</v>
      </c>
      <c r="BE165" s="246">
        <f t="shared" si="31"/>
        <v>3.3333333333333335</v>
      </c>
      <c r="BF165" s="247">
        <v>3</v>
      </c>
      <c r="BG165" s="248">
        <f t="shared" si="32"/>
        <v>1</v>
      </c>
      <c r="BH165" s="198"/>
      <c r="BI165" s="198"/>
      <c r="BJ165" s="199"/>
      <c r="BK165" s="200"/>
      <c r="BL165" s="200"/>
      <c r="BM165" s="200"/>
      <c r="BN165" s="200"/>
      <c r="BO165" s="10"/>
    </row>
    <row r="166" spans="1:67" ht="22.5" customHeight="1" x14ac:dyDescent="0.25">
      <c r="A166" s="201">
        <v>58</v>
      </c>
      <c r="B166" s="202">
        <v>7.9999999999999982</v>
      </c>
      <c r="C166" s="203">
        <f t="shared" si="0"/>
        <v>0</v>
      </c>
      <c r="D166" s="204"/>
      <c r="E166" s="204"/>
      <c r="F166" s="205" t="s">
        <v>203</v>
      </c>
      <c r="G166" s="206"/>
      <c r="H166" s="207" t="s">
        <v>207</v>
      </c>
      <c r="I166" s="208" t="s">
        <v>125</v>
      </c>
      <c r="J166" s="208" t="s">
        <v>126</v>
      </c>
      <c r="K166" s="209" t="s">
        <v>204</v>
      </c>
      <c r="L166" s="255"/>
      <c r="M166" s="211" t="s">
        <v>208</v>
      </c>
      <c r="N166" s="257"/>
      <c r="O166" s="213">
        <f>SUMIF([1]Mestre!$G$137:$G$409,THEO!A166,[1]Mestre!$AG$137:$AG$409)</f>
        <v>6</v>
      </c>
      <c r="P166" s="214"/>
      <c r="Q166" s="214"/>
      <c r="R166" s="214"/>
      <c r="S166" s="214"/>
      <c r="T166" s="214"/>
      <c r="U166" s="215">
        <f t="shared" si="1"/>
        <v>7.5999999999999979</v>
      </c>
      <c r="V166" s="216">
        <f t="shared" si="2"/>
        <v>-8.571428571428541E-2</v>
      </c>
      <c r="W166" s="217">
        <f t="shared" si="3"/>
        <v>7.5999999999999979</v>
      </c>
      <c r="X166" s="218" t="s">
        <v>15</v>
      </c>
      <c r="Y166" s="219" t="str">
        <f t="shared" si="4"/>
        <v>7 pç/Dia</v>
      </c>
      <c r="Z166" s="220" t="str">
        <f t="shared" si="5"/>
        <v>0,3 pç / HH</v>
      </c>
      <c r="AA166" s="221">
        <f t="shared" si="6"/>
        <v>0.3</v>
      </c>
      <c r="AB166" s="222" t="str">
        <f t="shared" si="7"/>
        <v>0,3 pç /HH</v>
      </c>
      <c r="AC166" s="223">
        <f t="shared" si="8"/>
        <v>3</v>
      </c>
      <c r="AD166" s="224">
        <v>2</v>
      </c>
      <c r="AE166" s="225">
        <v>1</v>
      </c>
      <c r="AF166" s="226">
        <f t="shared" si="9"/>
        <v>0.8571428571428571</v>
      </c>
      <c r="AG166" s="227">
        <f t="shared" si="10"/>
        <v>23.142857142857139</v>
      </c>
      <c r="AH166" s="228" t="s">
        <v>25</v>
      </c>
      <c r="AI166" s="229" t="str">
        <f t="shared" si="11"/>
        <v>Extremamente Complexa</v>
      </c>
      <c r="AJ166" s="230" t="str">
        <f t="shared" si="12"/>
        <v>Normal</v>
      </c>
      <c r="AK166" s="231">
        <f t="shared" si="13"/>
        <v>33.061224489795912</v>
      </c>
      <c r="AL166" s="232">
        <f t="shared" si="14"/>
        <v>0.66666666666666663</v>
      </c>
      <c r="AM166" s="233">
        <f t="shared" si="15"/>
        <v>22.040816326530607</v>
      </c>
      <c r="AN166" s="233">
        <f t="shared" si="16"/>
        <v>11.020408163265305</v>
      </c>
      <c r="AO166" s="234">
        <f t="shared" si="17"/>
        <v>6.5261186914658011E-4</v>
      </c>
      <c r="AP166" s="235">
        <f t="shared" si="33"/>
        <v>1</v>
      </c>
      <c r="AQ166" s="235">
        <f t="shared" si="33"/>
        <v>1</v>
      </c>
      <c r="AR166" s="236">
        <f t="shared" si="19"/>
        <v>1</v>
      </c>
      <c r="AS166" s="251">
        <f t="shared" si="20"/>
        <v>0.2592592592592593</v>
      </c>
      <c r="AT166" s="238">
        <f t="shared" si="21"/>
        <v>7</v>
      </c>
      <c r="AU166" s="239">
        <f t="shared" si="22"/>
        <v>0</v>
      </c>
      <c r="AV166" s="239">
        <f t="shared" si="23"/>
        <v>0</v>
      </c>
      <c r="AW166" s="239">
        <f t="shared" si="24"/>
        <v>0.05</v>
      </c>
      <c r="AX166" s="240">
        <f t="shared" si="25"/>
        <v>7</v>
      </c>
      <c r="AY166" s="241">
        <f t="shared" si="26"/>
        <v>0</v>
      </c>
      <c r="AZ166" s="242">
        <f>IFERROR(VLOOKUP(M166,'[1]Base Brasil Obras'!$C$2:$F$485,4,0),"")</f>
        <v>0.29629629629629622</v>
      </c>
      <c r="BA166" s="243">
        <f t="shared" si="27"/>
        <v>7.5999999999999979</v>
      </c>
      <c r="BB166" s="244">
        <f t="shared" si="28"/>
        <v>0</v>
      </c>
      <c r="BC166" s="244">
        <f t="shared" si="29"/>
        <v>0.05</v>
      </c>
      <c r="BD166" s="245">
        <f t="shared" si="30"/>
        <v>0.95</v>
      </c>
      <c r="BE166" s="246">
        <f t="shared" si="31"/>
        <v>0.29629629629629622</v>
      </c>
      <c r="BF166" s="247">
        <v>3</v>
      </c>
      <c r="BG166" s="248">
        <f t="shared" si="32"/>
        <v>1</v>
      </c>
      <c r="BH166" s="198"/>
      <c r="BI166" s="198"/>
      <c r="BJ166" s="199"/>
      <c r="BK166" s="200"/>
      <c r="BL166" s="200"/>
      <c r="BM166" s="200"/>
      <c r="BN166" s="200"/>
      <c r="BO166" s="10"/>
    </row>
    <row r="167" spans="1:67" ht="22.5" customHeight="1" x14ac:dyDescent="0.25">
      <c r="A167" s="201">
        <v>59</v>
      </c>
      <c r="B167" s="202">
        <v>20</v>
      </c>
      <c r="C167" s="203">
        <f t="shared" si="0"/>
        <v>0</v>
      </c>
      <c r="D167" s="204"/>
      <c r="E167" s="204"/>
      <c r="F167" s="205" t="s">
        <v>129</v>
      </c>
      <c r="G167" s="206"/>
      <c r="H167" s="207" t="s">
        <v>131</v>
      </c>
      <c r="I167" s="208" t="s">
        <v>125</v>
      </c>
      <c r="J167" s="208" t="s">
        <v>126</v>
      </c>
      <c r="K167" s="209" t="s">
        <v>204</v>
      </c>
      <c r="L167" s="255"/>
      <c r="M167" s="211" t="s">
        <v>209</v>
      </c>
      <c r="N167" s="257"/>
      <c r="O167" s="213">
        <f>SUMIF([1]Mestre!$G$137:$G$409,THEO!A167,[1]Mestre!$AG$137:$AG$409)</f>
        <v>60</v>
      </c>
      <c r="P167" s="214"/>
      <c r="Q167" s="214"/>
      <c r="R167" s="214"/>
      <c r="S167" s="214"/>
      <c r="T167" s="214"/>
      <c r="U167" s="215">
        <f t="shared" si="1"/>
        <v>19</v>
      </c>
      <c r="V167" s="216">
        <f t="shared" si="2"/>
        <v>-5.555555555555558E-2</v>
      </c>
      <c r="W167" s="217">
        <f t="shared" si="3"/>
        <v>19</v>
      </c>
      <c r="X167" s="218" t="s">
        <v>15</v>
      </c>
      <c r="Y167" s="219" t="str">
        <f t="shared" si="4"/>
        <v>18 pç/Dia</v>
      </c>
      <c r="Z167" s="220" t="str">
        <f t="shared" si="5"/>
        <v>1,11 pç / HH</v>
      </c>
      <c r="AA167" s="221">
        <f t="shared" si="6"/>
        <v>1.1100000000000001</v>
      </c>
      <c r="AB167" s="222" t="str">
        <f t="shared" si="7"/>
        <v>1 pç /HH</v>
      </c>
      <c r="AC167" s="223">
        <f t="shared" si="8"/>
        <v>2</v>
      </c>
      <c r="AD167" s="224">
        <v>1</v>
      </c>
      <c r="AE167" s="225">
        <v>1</v>
      </c>
      <c r="AF167" s="226">
        <f t="shared" si="9"/>
        <v>3.3333333333333335</v>
      </c>
      <c r="AG167" s="227">
        <f t="shared" si="10"/>
        <v>60</v>
      </c>
      <c r="AH167" s="228" t="s">
        <v>25</v>
      </c>
      <c r="AI167" s="229" t="str">
        <f t="shared" si="11"/>
        <v>Extremamente Complexa</v>
      </c>
      <c r="AJ167" s="230" t="str">
        <f t="shared" si="12"/>
        <v>Normal</v>
      </c>
      <c r="AK167" s="231">
        <f t="shared" si="13"/>
        <v>85.714285714285722</v>
      </c>
      <c r="AL167" s="232">
        <f t="shared" si="14"/>
        <v>0.5</v>
      </c>
      <c r="AM167" s="233">
        <f t="shared" si="15"/>
        <v>42.857142857142861</v>
      </c>
      <c r="AN167" s="233">
        <f t="shared" si="16"/>
        <v>42.857142857142861</v>
      </c>
      <c r="AO167" s="234">
        <f t="shared" si="17"/>
        <v>1.6919566977874306E-3</v>
      </c>
      <c r="AP167" s="235">
        <f t="shared" si="33"/>
        <v>1</v>
      </c>
      <c r="AQ167" s="235">
        <f t="shared" si="33"/>
        <v>1</v>
      </c>
      <c r="AR167" s="235">
        <f t="shared" si="19"/>
        <v>1</v>
      </c>
      <c r="AS167" s="252">
        <f t="shared" si="20"/>
        <v>1</v>
      </c>
      <c r="AT167" s="238">
        <f t="shared" si="21"/>
        <v>18</v>
      </c>
      <c r="AU167" s="239">
        <f t="shared" si="22"/>
        <v>0</v>
      </c>
      <c r="AV167" s="239">
        <f t="shared" si="23"/>
        <v>0</v>
      </c>
      <c r="AW167" s="239">
        <f t="shared" si="24"/>
        <v>0.05</v>
      </c>
      <c r="AX167" s="240">
        <f t="shared" si="25"/>
        <v>18</v>
      </c>
      <c r="AY167" s="241">
        <f t="shared" si="26"/>
        <v>-0.1100000000000001</v>
      </c>
      <c r="AZ167" s="242">
        <f>IFERROR(VLOOKUP(M167,'[1]Base Brasil Obras'!$C$2:$F$485,4,0),"")</f>
        <v>1.1111111111111112</v>
      </c>
      <c r="BA167" s="243">
        <f t="shared" si="27"/>
        <v>19</v>
      </c>
      <c r="BB167" s="244">
        <f t="shared" si="28"/>
        <v>0</v>
      </c>
      <c r="BC167" s="244">
        <f t="shared" si="29"/>
        <v>0.05</v>
      </c>
      <c r="BD167" s="245">
        <f t="shared" si="30"/>
        <v>0.95</v>
      </c>
      <c r="BE167" s="246">
        <f t="shared" si="31"/>
        <v>1.1111111111111112</v>
      </c>
      <c r="BF167" s="247">
        <v>2</v>
      </c>
      <c r="BG167" s="248">
        <f t="shared" si="32"/>
        <v>1</v>
      </c>
      <c r="BH167" s="198"/>
      <c r="BI167" s="198"/>
      <c r="BJ167" s="199"/>
      <c r="BK167" s="200"/>
      <c r="BL167" s="200"/>
      <c r="BM167" s="200"/>
      <c r="BN167" s="200"/>
      <c r="BO167" s="10"/>
    </row>
    <row r="168" spans="1:67" ht="22.5" customHeight="1" x14ac:dyDescent="0.25">
      <c r="A168" s="201">
        <v>60</v>
      </c>
      <c r="B168" s="202">
        <v>20</v>
      </c>
      <c r="C168" s="203">
        <f t="shared" si="0"/>
        <v>0</v>
      </c>
      <c r="D168" s="204"/>
      <c r="E168" s="204"/>
      <c r="F168" s="205" t="s">
        <v>129</v>
      </c>
      <c r="G168" s="206"/>
      <c r="H168" s="207" t="s">
        <v>149</v>
      </c>
      <c r="I168" s="208" t="s">
        <v>125</v>
      </c>
      <c r="J168" s="208" t="s">
        <v>126</v>
      </c>
      <c r="K168" s="209" t="s">
        <v>184</v>
      </c>
      <c r="L168" s="255"/>
      <c r="M168" s="211" t="s">
        <v>210</v>
      </c>
      <c r="N168" s="257"/>
      <c r="O168" s="213">
        <f>SUMIF([1]Mestre!$G$137:$G$409,THEO!A168,[1]Mestre!$AG$137:$AG$409)</f>
        <v>0</v>
      </c>
      <c r="P168" s="214"/>
      <c r="Q168" s="214"/>
      <c r="R168" s="214"/>
      <c r="S168" s="214"/>
      <c r="T168" s="214"/>
      <c r="U168" s="215">
        <f t="shared" si="1"/>
        <v>19</v>
      </c>
      <c r="V168" s="216">
        <f t="shared" si="2"/>
        <v>-5.555555555555558E-2</v>
      </c>
      <c r="W168" s="217">
        <f t="shared" si="3"/>
        <v>19</v>
      </c>
      <c r="X168" s="218" t="s">
        <v>15</v>
      </c>
      <c r="Y168" s="219" t="str">
        <f t="shared" si="4"/>
        <v>18 pç/Dia</v>
      </c>
      <c r="Z168" s="220" t="str">
        <f t="shared" si="5"/>
        <v>1,11 pç / HH</v>
      </c>
      <c r="AA168" s="221">
        <f t="shared" si="6"/>
        <v>1.1100000000000001</v>
      </c>
      <c r="AB168" s="222" t="str">
        <f t="shared" si="7"/>
        <v>0 pç /HH</v>
      </c>
      <c r="AC168" s="223">
        <f t="shared" si="8"/>
        <v>2</v>
      </c>
      <c r="AD168" s="224">
        <v>1</v>
      </c>
      <c r="AE168" s="225">
        <v>1</v>
      </c>
      <c r="AF168" s="226">
        <f t="shared" si="9"/>
        <v>0</v>
      </c>
      <c r="AG168" s="227">
        <f t="shared" si="10"/>
        <v>0</v>
      </c>
      <c r="AH168" s="228" t="s">
        <v>25</v>
      </c>
      <c r="AI168" s="229" t="str">
        <f t="shared" si="11"/>
        <v>Extremamente Complexa</v>
      </c>
      <c r="AJ168" s="230" t="str">
        <f t="shared" si="12"/>
        <v>Normal</v>
      </c>
      <c r="AK168" s="231">
        <f t="shared" si="13"/>
        <v>0</v>
      </c>
      <c r="AL168" s="232">
        <f t="shared" si="14"/>
        <v>0.5</v>
      </c>
      <c r="AM168" s="233">
        <f t="shared" si="15"/>
        <v>0</v>
      </c>
      <c r="AN168" s="233">
        <f t="shared" si="16"/>
        <v>0</v>
      </c>
      <c r="AO168" s="234">
        <f t="shared" si="17"/>
        <v>0</v>
      </c>
      <c r="AP168" s="235">
        <f t="shared" si="33"/>
        <v>1</v>
      </c>
      <c r="AQ168" s="235">
        <f t="shared" si="33"/>
        <v>1</v>
      </c>
      <c r="AR168" s="235">
        <f t="shared" si="19"/>
        <v>1</v>
      </c>
      <c r="AS168" s="251">
        <f t="shared" si="20"/>
        <v>0</v>
      </c>
      <c r="AT168" s="238">
        <f t="shared" si="21"/>
        <v>18</v>
      </c>
      <c r="AU168" s="239">
        <f t="shared" si="22"/>
        <v>0</v>
      </c>
      <c r="AV168" s="239">
        <f t="shared" si="23"/>
        <v>0</v>
      </c>
      <c r="AW168" s="239">
        <f t="shared" si="24"/>
        <v>0.05</v>
      </c>
      <c r="AX168" s="240">
        <f t="shared" si="25"/>
        <v>18</v>
      </c>
      <c r="AY168" s="241">
        <f t="shared" si="26"/>
        <v>-1.1100000000000001</v>
      </c>
      <c r="AZ168" s="242">
        <f>IFERROR(VLOOKUP(M168,'[1]Base Brasil Obras'!$C$2:$F$485,4,0),"")</f>
        <v>1.1111111111111112</v>
      </c>
      <c r="BA168" s="243">
        <f t="shared" si="27"/>
        <v>19</v>
      </c>
      <c r="BB168" s="244">
        <f t="shared" si="28"/>
        <v>0</v>
      </c>
      <c r="BC168" s="244">
        <f t="shared" si="29"/>
        <v>0.05</v>
      </c>
      <c r="BD168" s="245">
        <f t="shared" si="30"/>
        <v>0.95</v>
      </c>
      <c r="BE168" s="246">
        <f t="shared" si="31"/>
        <v>1.1111111111111112</v>
      </c>
      <c r="BF168" s="247">
        <v>2</v>
      </c>
      <c r="BG168" s="248">
        <f t="shared" si="32"/>
        <v>1</v>
      </c>
      <c r="BH168" s="198"/>
      <c r="BI168" s="198"/>
      <c r="BJ168" s="199"/>
      <c r="BK168" s="200"/>
      <c r="BL168" s="200"/>
      <c r="BM168" s="200"/>
      <c r="BN168" s="200"/>
      <c r="BO168" s="10"/>
    </row>
    <row r="169" spans="1:67" ht="22.5" customHeight="1" x14ac:dyDescent="0.25">
      <c r="A169" s="201">
        <v>61</v>
      </c>
      <c r="B169" s="202">
        <v>15</v>
      </c>
      <c r="C169" s="203">
        <f t="shared" si="0"/>
        <v>0</v>
      </c>
      <c r="D169" s="204"/>
      <c r="E169" s="204"/>
      <c r="F169" s="205" t="s">
        <v>129</v>
      </c>
      <c r="G169" s="206"/>
      <c r="H169" s="207" t="s">
        <v>133</v>
      </c>
      <c r="I169" s="208" t="s">
        <v>125</v>
      </c>
      <c r="J169" s="208" t="s">
        <v>126</v>
      </c>
      <c r="K169" s="209" t="s">
        <v>184</v>
      </c>
      <c r="L169" s="255"/>
      <c r="M169" s="211" t="s">
        <v>211</v>
      </c>
      <c r="N169" s="257"/>
      <c r="O169" s="213">
        <f>SUMIF([1]Mestre!$G$137:$G$409,THEO!A169,[1]Mestre!$AG$137:$AG$409)</f>
        <v>0</v>
      </c>
      <c r="P169" s="214"/>
      <c r="Q169" s="214"/>
      <c r="R169" s="214"/>
      <c r="S169" s="214"/>
      <c r="T169" s="214"/>
      <c r="U169" s="215">
        <f t="shared" si="1"/>
        <v>14.25</v>
      </c>
      <c r="V169" s="216">
        <f t="shared" si="2"/>
        <v>-1.7857142857142794E-2</v>
      </c>
      <c r="W169" s="217">
        <f t="shared" si="3"/>
        <v>14.25</v>
      </c>
      <c r="X169" s="218" t="s">
        <v>15</v>
      </c>
      <c r="Y169" s="219" t="str">
        <f t="shared" si="4"/>
        <v>14 pç/Dia</v>
      </c>
      <c r="Z169" s="220" t="str">
        <f t="shared" si="5"/>
        <v>0,56 pç / HH</v>
      </c>
      <c r="AA169" s="221">
        <f t="shared" si="6"/>
        <v>0.56000000000000005</v>
      </c>
      <c r="AB169" s="222" t="str">
        <f t="shared" si="7"/>
        <v>0 pç /HH</v>
      </c>
      <c r="AC169" s="223">
        <f t="shared" si="8"/>
        <v>3</v>
      </c>
      <c r="AD169" s="224">
        <v>2</v>
      </c>
      <c r="AE169" s="225">
        <v>1</v>
      </c>
      <c r="AF169" s="226">
        <f t="shared" si="9"/>
        <v>0</v>
      </c>
      <c r="AG169" s="227">
        <f t="shared" si="10"/>
        <v>0</v>
      </c>
      <c r="AH169" s="228" t="s">
        <v>25</v>
      </c>
      <c r="AI169" s="229" t="str">
        <f t="shared" si="11"/>
        <v>Extremamente Complexa</v>
      </c>
      <c r="AJ169" s="230" t="str">
        <f t="shared" si="12"/>
        <v>Normal</v>
      </c>
      <c r="AK169" s="231">
        <f t="shared" si="13"/>
        <v>0</v>
      </c>
      <c r="AL169" s="232">
        <f t="shared" si="14"/>
        <v>0.66666666666666663</v>
      </c>
      <c r="AM169" s="233">
        <f t="shared" si="15"/>
        <v>0</v>
      </c>
      <c r="AN169" s="233">
        <f t="shared" si="16"/>
        <v>0</v>
      </c>
      <c r="AO169" s="234">
        <f t="shared" si="17"/>
        <v>0</v>
      </c>
      <c r="AP169" s="235">
        <f t="shared" si="33"/>
        <v>1</v>
      </c>
      <c r="AQ169" s="235">
        <f t="shared" si="33"/>
        <v>1</v>
      </c>
      <c r="AR169" s="236">
        <f t="shared" si="19"/>
        <v>1</v>
      </c>
      <c r="AS169" s="252">
        <f t="shared" si="20"/>
        <v>0</v>
      </c>
      <c r="AT169" s="238">
        <f t="shared" si="21"/>
        <v>14</v>
      </c>
      <c r="AU169" s="239">
        <f t="shared" si="22"/>
        <v>0</v>
      </c>
      <c r="AV169" s="239">
        <f t="shared" si="23"/>
        <v>0</v>
      </c>
      <c r="AW169" s="239">
        <f t="shared" si="24"/>
        <v>0.05</v>
      </c>
      <c r="AX169" s="240">
        <f t="shared" si="25"/>
        <v>14</v>
      </c>
      <c r="AY169" s="241">
        <f t="shared" si="26"/>
        <v>-0.56000000000000005</v>
      </c>
      <c r="AZ169" s="242">
        <f>IFERROR(VLOOKUP(M169,'[1]Base Brasil Obras'!$C$2:$F$485,4,0),"")</f>
        <v>0.55555555555555558</v>
      </c>
      <c r="BA169" s="243">
        <f t="shared" si="27"/>
        <v>14.25</v>
      </c>
      <c r="BB169" s="244">
        <f t="shared" si="28"/>
        <v>0</v>
      </c>
      <c r="BC169" s="244">
        <f t="shared" si="29"/>
        <v>0.05</v>
      </c>
      <c r="BD169" s="245">
        <f t="shared" si="30"/>
        <v>0.95</v>
      </c>
      <c r="BE169" s="246">
        <f t="shared" si="31"/>
        <v>0.55555555555555558</v>
      </c>
      <c r="BF169" s="247">
        <v>3</v>
      </c>
      <c r="BG169" s="248">
        <f t="shared" si="32"/>
        <v>1</v>
      </c>
      <c r="BH169" s="198"/>
      <c r="BI169" s="198"/>
      <c r="BJ169" s="199"/>
      <c r="BK169" s="200"/>
      <c r="BL169" s="200"/>
      <c r="BM169" s="200"/>
      <c r="BN169" s="200"/>
      <c r="BO169" s="10"/>
    </row>
    <row r="170" spans="1:67" ht="22.5" customHeight="1" x14ac:dyDescent="0.25">
      <c r="A170" s="201">
        <v>62</v>
      </c>
      <c r="B170" s="202">
        <v>30</v>
      </c>
      <c r="C170" s="203">
        <f t="shared" si="0"/>
        <v>0</v>
      </c>
      <c r="D170" s="204"/>
      <c r="E170" s="204"/>
      <c r="F170" s="205" t="s">
        <v>148</v>
      </c>
      <c r="G170" s="206"/>
      <c r="H170" s="207" t="s">
        <v>133</v>
      </c>
      <c r="I170" s="208" t="s">
        <v>125</v>
      </c>
      <c r="J170" s="208" t="s">
        <v>126</v>
      </c>
      <c r="K170" s="209" t="s">
        <v>181</v>
      </c>
      <c r="L170" s="255"/>
      <c r="M170" s="211" t="s">
        <v>212</v>
      </c>
      <c r="N170" s="257"/>
      <c r="O170" s="213">
        <f>SUMIF([1]Mestre!$G$137:$G$409,THEO!A170,[1]Mestre!$AG$137:$AG$409)</f>
        <v>0</v>
      </c>
      <c r="P170" s="214"/>
      <c r="Q170" s="214"/>
      <c r="R170" s="214"/>
      <c r="S170" s="214"/>
      <c r="T170" s="214"/>
      <c r="U170" s="215">
        <f t="shared" si="1"/>
        <v>28.5</v>
      </c>
      <c r="V170" s="216">
        <f t="shared" si="2"/>
        <v>-5.555555555555558E-2</v>
      </c>
      <c r="W170" s="217">
        <f t="shared" si="3"/>
        <v>28.5</v>
      </c>
      <c r="X170" s="218" t="s">
        <v>15</v>
      </c>
      <c r="Y170" s="219" t="str">
        <f t="shared" si="4"/>
        <v>27 pç/Dia</v>
      </c>
      <c r="Z170" s="220" t="str">
        <f t="shared" si="5"/>
        <v>1,11 pç / HH</v>
      </c>
      <c r="AA170" s="221">
        <f t="shared" si="6"/>
        <v>1.1100000000000001</v>
      </c>
      <c r="AB170" s="222" t="str">
        <f t="shared" si="7"/>
        <v>0 pç /HH</v>
      </c>
      <c r="AC170" s="223">
        <f t="shared" si="8"/>
        <v>3</v>
      </c>
      <c r="AD170" s="224">
        <v>2</v>
      </c>
      <c r="AE170" s="225">
        <v>1</v>
      </c>
      <c r="AF170" s="226">
        <f t="shared" si="9"/>
        <v>0</v>
      </c>
      <c r="AG170" s="227">
        <f t="shared" si="10"/>
        <v>0</v>
      </c>
      <c r="AH170" s="228" t="s">
        <v>25</v>
      </c>
      <c r="AI170" s="229" t="str">
        <f t="shared" si="11"/>
        <v>Extremamente Complexa</v>
      </c>
      <c r="AJ170" s="230" t="str">
        <f t="shared" si="12"/>
        <v>Normal</v>
      </c>
      <c r="AK170" s="231">
        <f t="shared" si="13"/>
        <v>0</v>
      </c>
      <c r="AL170" s="232">
        <f t="shared" si="14"/>
        <v>0.66666666666666663</v>
      </c>
      <c r="AM170" s="233">
        <f t="shared" si="15"/>
        <v>0</v>
      </c>
      <c r="AN170" s="233">
        <f t="shared" si="16"/>
        <v>0</v>
      </c>
      <c r="AO170" s="234">
        <f t="shared" si="17"/>
        <v>0</v>
      </c>
      <c r="AP170" s="235">
        <f t="shared" si="33"/>
        <v>1</v>
      </c>
      <c r="AQ170" s="235">
        <f t="shared" si="33"/>
        <v>1</v>
      </c>
      <c r="AR170" s="236">
        <f t="shared" si="19"/>
        <v>1</v>
      </c>
      <c r="AS170" s="251">
        <f t="shared" si="20"/>
        <v>0</v>
      </c>
      <c r="AT170" s="238">
        <f t="shared" si="21"/>
        <v>27</v>
      </c>
      <c r="AU170" s="239">
        <f t="shared" si="22"/>
        <v>0</v>
      </c>
      <c r="AV170" s="239">
        <f t="shared" si="23"/>
        <v>0</v>
      </c>
      <c r="AW170" s="239">
        <f t="shared" si="24"/>
        <v>0.05</v>
      </c>
      <c r="AX170" s="240">
        <f t="shared" si="25"/>
        <v>27</v>
      </c>
      <c r="AY170" s="241">
        <f t="shared" si="26"/>
        <v>-1.1100000000000001</v>
      </c>
      <c r="AZ170" s="242">
        <f>IFERROR(VLOOKUP(M170,'[1]Base Brasil Obras'!$C$2:$F$485,4,0),"")</f>
        <v>1.1111111111111112</v>
      </c>
      <c r="BA170" s="243">
        <f t="shared" si="27"/>
        <v>28.5</v>
      </c>
      <c r="BB170" s="244">
        <f t="shared" si="28"/>
        <v>0</v>
      </c>
      <c r="BC170" s="244">
        <f t="shared" si="29"/>
        <v>0.05</v>
      </c>
      <c r="BD170" s="245">
        <f t="shared" si="30"/>
        <v>0.95</v>
      </c>
      <c r="BE170" s="246">
        <f t="shared" si="31"/>
        <v>1.1111111111111112</v>
      </c>
      <c r="BF170" s="247">
        <v>3</v>
      </c>
      <c r="BG170" s="248">
        <f t="shared" si="32"/>
        <v>1</v>
      </c>
      <c r="BH170" s="198"/>
      <c r="BI170" s="198"/>
      <c r="BJ170" s="199"/>
      <c r="BK170" s="200"/>
      <c r="BL170" s="200"/>
      <c r="BM170" s="200"/>
      <c r="BN170" s="200"/>
      <c r="BO170" s="10"/>
    </row>
    <row r="171" spans="1:67" ht="22.5" customHeight="1" x14ac:dyDescent="0.25">
      <c r="A171" s="201">
        <v>63</v>
      </c>
      <c r="B171" s="202">
        <v>25</v>
      </c>
      <c r="C171" s="203">
        <f t="shared" si="0"/>
        <v>0</v>
      </c>
      <c r="D171" s="204"/>
      <c r="E171" s="204"/>
      <c r="F171" s="205" t="s">
        <v>153</v>
      </c>
      <c r="G171" s="206"/>
      <c r="H171" s="207" t="s">
        <v>149</v>
      </c>
      <c r="I171" s="208" t="s">
        <v>125</v>
      </c>
      <c r="J171" s="208" t="s">
        <v>126</v>
      </c>
      <c r="K171" s="209" t="s">
        <v>154</v>
      </c>
      <c r="L171" s="255"/>
      <c r="M171" s="211" t="s">
        <v>213</v>
      </c>
      <c r="N171" s="257"/>
      <c r="O171" s="213">
        <f>SUMIF([1]Mestre!$G$137:$G$409,THEO!A171,[1]Mestre!$AG$137:$AG$409)</f>
        <v>0</v>
      </c>
      <c r="P171" s="214"/>
      <c r="Q171" s="214"/>
      <c r="R171" s="214"/>
      <c r="S171" s="214"/>
      <c r="T171" s="214"/>
      <c r="U171" s="215">
        <f t="shared" si="1"/>
        <v>23.75</v>
      </c>
      <c r="V171" s="216">
        <f t="shared" si="2"/>
        <v>-3.2608695652173836E-2</v>
      </c>
      <c r="W171" s="217">
        <f t="shared" si="3"/>
        <v>23.75</v>
      </c>
      <c r="X171" s="218" t="s">
        <v>14</v>
      </c>
      <c r="Y171" s="219" t="str">
        <f t="shared" si="4"/>
        <v>23 Painel/Dia</v>
      </c>
      <c r="Z171" s="220" t="str">
        <f t="shared" si="5"/>
        <v>1,39 Painel / HH</v>
      </c>
      <c r="AA171" s="221">
        <f t="shared" si="6"/>
        <v>1.39</v>
      </c>
      <c r="AB171" s="222" t="str">
        <f t="shared" si="7"/>
        <v>0 Painel /HH</v>
      </c>
      <c r="AC171" s="223">
        <f t="shared" si="8"/>
        <v>2</v>
      </c>
      <c r="AD171" s="224">
        <v>1</v>
      </c>
      <c r="AE171" s="225">
        <v>1</v>
      </c>
      <c r="AF171" s="226">
        <f t="shared" si="9"/>
        <v>0</v>
      </c>
      <c r="AG171" s="227">
        <f t="shared" si="10"/>
        <v>0</v>
      </c>
      <c r="AH171" s="228" t="s">
        <v>25</v>
      </c>
      <c r="AI171" s="229" t="str">
        <f t="shared" si="11"/>
        <v>Extremamente Complexa</v>
      </c>
      <c r="AJ171" s="230" t="str">
        <f t="shared" si="12"/>
        <v>Normal</v>
      </c>
      <c r="AK171" s="231">
        <f t="shared" si="13"/>
        <v>0</v>
      </c>
      <c r="AL171" s="232">
        <f t="shared" si="14"/>
        <v>0.5</v>
      </c>
      <c r="AM171" s="233">
        <f t="shared" si="15"/>
        <v>0</v>
      </c>
      <c r="AN171" s="233">
        <f t="shared" si="16"/>
        <v>0</v>
      </c>
      <c r="AO171" s="234">
        <f t="shared" si="17"/>
        <v>0</v>
      </c>
      <c r="AP171" s="235">
        <f t="shared" si="33"/>
        <v>1</v>
      </c>
      <c r="AQ171" s="235">
        <f t="shared" si="33"/>
        <v>1</v>
      </c>
      <c r="AR171" s="236">
        <f t="shared" si="19"/>
        <v>1</v>
      </c>
      <c r="AS171" s="252">
        <f t="shared" si="20"/>
        <v>0</v>
      </c>
      <c r="AT171" s="238">
        <f t="shared" si="21"/>
        <v>23</v>
      </c>
      <c r="AU171" s="239">
        <f t="shared" si="22"/>
        <v>0</v>
      </c>
      <c r="AV171" s="239">
        <f t="shared" si="23"/>
        <v>0</v>
      </c>
      <c r="AW171" s="239">
        <f t="shared" si="24"/>
        <v>0.05</v>
      </c>
      <c r="AX171" s="240">
        <f t="shared" si="25"/>
        <v>23</v>
      </c>
      <c r="AY171" s="241">
        <f t="shared" si="26"/>
        <v>-1.39</v>
      </c>
      <c r="AZ171" s="242">
        <f>IFERROR(VLOOKUP(M171,'[1]Base Brasil Obras'!$C$2:$F$485,4,0),"")</f>
        <v>1.3888888888888888</v>
      </c>
      <c r="BA171" s="243">
        <f t="shared" si="27"/>
        <v>23.75</v>
      </c>
      <c r="BB171" s="244">
        <f t="shared" si="28"/>
        <v>0</v>
      </c>
      <c r="BC171" s="244">
        <f t="shared" si="29"/>
        <v>0.05</v>
      </c>
      <c r="BD171" s="245">
        <f t="shared" si="30"/>
        <v>0.95</v>
      </c>
      <c r="BE171" s="246">
        <f t="shared" si="31"/>
        <v>1.3888888888888888</v>
      </c>
      <c r="BF171" s="247">
        <v>2</v>
      </c>
      <c r="BG171" s="248">
        <f t="shared" si="32"/>
        <v>1</v>
      </c>
      <c r="BH171" s="198"/>
      <c r="BI171" s="198"/>
      <c r="BJ171" s="199"/>
      <c r="BK171" s="200"/>
      <c r="BL171" s="200"/>
      <c r="BM171" s="200"/>
      <c r="BN171" s="200"/>
      <c r="BO171" s="10"/>
    </row>
    <row r="172" spans="1:67" ht="22.5" customHeight="1" x14ac:dyDescent="0.25">
      <c r="A172" s="201">
        <v>64</v>
      </c>
      <c r="B172" s="202">
        <v>30</v>
      </c>
      <c r="C172" s="203">
        <f t="shared" si="0"/>
        <v>0</v>
      </c>
      <c r="D172" s="204"/>
      <c r="E172" s="204"/>
      <c r="F172" s="205" t="s">
        <v>148</v>
      </c>
      <c r="G172" s="206"/>
      <c r="H172" s="207" t="s">
        <v>149</v>
      </c>
      <c r="I172" s="208" t="s">
        <v>125</v>
      </c>
      <c r="J172" s="208" t="s">
        <v>126</v>
      </c>
      <c r="K172" s="209" t="s">
        <v>144</v>
      </c>
      <c r="L172" s="255"/>
      <c r="M172" s="211" t="s">
        <v>214</v>
      </c>
      <c r="N172" s="257"/>
      <c r="O172" s="213">
        <f>SUMIF([1]Mestre!$G$137:$G$409,THEO!A172,[1]Mestre!$AG$137:$AG$409)</f>
        <v>0</v>
      </c>
      <c r="P172" s="214"/>
      <c r="Q172" s="214"/>
      <c r="R172" s="214"/>
      <c r="S172" s="214"/>
      <c r="T172" s="214"/>
      <c r="U172" s="215">
        <f t="shared" si="1"/>
        <v>28.5</v>
      </c>
      <c r="V172" s="216">
        <f t="shared" si="2"/>
        <v>-5.555555555555558E-2</v>
      </c>
      <c r="W172" s="217">
        <f t="shared" si="3"/>
        <v>28.5</v>
      </c>
      <c r="X172" s="218" t="s">
        <v>15</v>
      </c>
      <c r="Y172" s="219" t="str">
        <f t="shared" si="4"/>
        <v>27 pç/Dia</v>
      </c>
      <c r="Z172" s="220" t="str">
        <f t="shared" si="5"/>
        <v>1,11 pç / HH</v>
      </c>
      <c r="AA172" s="221">
        <f t="shared" si="6"/>
        <v>1.1100000000000001</v>
      </c>
      <c r="AB172" s="222" t="str">
        <f t="shared" si="7"/>
        <v>0 pç /HH</v>
      </c>
      <c r="AC172" s="223">
        <f t="shared" si="8"/>
        <v>3</v>
      </c>
      <c r="AD172" s="224">
        <v>2</v>
      </c>
      <c r="AE172" s="225">
        <v>1</v>
      </c>
      <c r="AF172" s="226">
        <f t="shared" si="9"/>
        <v>0</v>
      </c>
      <c r="AG172" s="227">
        <f t="shared" si="10"/>
        <v>0</v>
      </c>
      <c r="AH172" s="228" t="s">
        <v>25</v>
      </c>
      <c r="AI172" s="229" t="str">
        <f t="shared" si="11"/>
        <v>Extremamente Complexa</v>
      </c>
      <c r="AJ172" s="230" t="str">
        <f t="shared" si="12"/>
        <v>Normal</v>
      </c>
      <c r="AK172" s="231">
        <f t="shared" si="13"/>
        <v>0</v>
      </c>
      <c r="AL172" s="232">
        <f t="shared" si="14"/>
        <v>0.66666666666666663</v>
      </c>
      <c r="AM172" s="233">
        <f t="shared" si="15"/>
        <v>0</v>
      </c>
      <c r="AN172" s="233">
        <f t="shared" si="16"/>
        <v>0</v>
      </c>
      <c r="AO172" s="234">
        <f t="shared" si="17"/>
        <v>0</v>
      </c>
      <c r="AP172" s="235">
        <f t="shared" si="33"/>
        <v>1</v>
      </c>
      <c r="AQ172" s="235">
        <f t="shared" si="33"/>
        <v>1</v>
      </c>
      <c r="AR172" s="235">
        <f t="shared" si="19"/>
        <v>1</v>
      </c>
      <c r="AS172" s="251">
        <f t="shared" si="20"/>
        <v>0</v>
      </c>
      <c r="AT172" s="238">
        <f t="shared" si="21"/>
        <v>27</v>
      </c>
      <c r="AU172" s="239">
        <f t="shared" si="22"/>
        <v>0</v>
      </c>
      <c r="AV172" s="239">
        <f t="shared" si="23"/>
        <v>0</v>
      </c>
      <c r="AW172" s="239">
        <f t="shared" si="24"/>
        <v>0.05</v>
      </c>
      <c r="AX172" s="240">
        <f t="shared" si="25"/>
        <v>27</v>
      </c>
      <c r="AY172" s="241">
        <f t="shared" si="26"/>
        <v>-1.1100000000000001</v>
      </c>
      <c r="AZ172" s="242">
        <f>IFERROR(VLOOKUP(M172,'[1]Base Brasil Obras'!$C$2:$F$485,4,0),"")</f>
        <v>1.1111111111111112</v>
      </c>
      <c r="BA172" s="243">
        <f t="shared" si="27"/>
        <v>28.5</v>
      </c>
      <c r="BB172" s="244">
        <f t="shared" si="28"/>
        <v>0</v>
      </c>
      <c r="BC172" s="244">
        <f t="shared" si="29"/>
        <v>0.05</v>
      </c>
      <c r="BD172" s="245">
        <f t="shared" si="30"/>
        <v>0.95</v>
      </c>
      <c r="BE172" s="246">
        <f t="shared" si="31"/>
        <v>1.1111111111111112</v>
      </c>
      <c r="BF172" s="247">
        <v>3</v>
      </c>
      <c r="BG172" s="248">
        <f t="shared" si="32"/>
        <v>1</v>
      </c>
      <c r="BH172" s="198"/>
      <c r="BI172" s="198"/>
      <c r="BJ172" s="199"/>
      <c r="BK172" s="200"/>
      <c r="BL172" s="200"/>
      <c r="BM172" s="200"/>
      <c r="BN172" s="200"/>
      <c r="BO172" s="10"/>
    </row>
    <row r="173" spans="1:67" ht="22.5" customHeight="1" x14ac:dyDescent="0.25">
      <c r="A173" s="201">
        <v>65</v>
      </c>
      <c r="B173" s="202">
        <v>40</v>
      </c>
      <c r="C173" s="203">
        <f t="shared" ref="C173:C236" si="34">IFERROR(AVERAGEIF(P173:T173,"&gt;0,1"),0)</f>
        <v>0</v>
      </c>
      <c r="D173" s="204"/>
      <c r="E173" s="204"/>
      <c r="F173" s="205" t="s">
        <v>146</v>
      </c>
      <c r="G173" s="206"/>
      <c r="H173" s="207" t="s">
        <v>133</v>
      </c>
      <c r="I173" s="208" t="s">
        <v>125</v>
      </c>
      <c r="J173" s="208" t="s">
        <v>126</v>
      </c>
      <c r="K173" s="209" t="s">
        <v>215</v>
      </c>
      <c r="L173" s="255"/>
      <c r="M173" s="211" t="s">
        <v>216</v>
      </c>
      <c r="N173" s="257"/>
      <c r="O173" s="213">
        <f>SUMIF([1]Mestre!$G$137:$G$409,THEO!A173,[1]Mestre!$AG$137:$AG$409)</f>
        <v>0</v>
      </c>
      <c r="P173" s="214"/>
      <c r="Q173" s="214"/>
      <c r="R173" s="214"/>
      <c r="S173" s="214"/>
      <c r="T173" s="214"/>
      <c r="U173" s="215">
        <f t="shared" ref="U173:U236" si="35">B173*(1-$U$107)</f>
        <v>38</v>
      </c>
      <c r="V173" s="216">
        <f t="shared" ref="V173:V236" si="36">IF(IFERROR((1-BA173/AX173),"")=0%,"",IFERROR((1-BA173/AX173),""))</f>
        <v>-5.555555555555558E-2</v>
      </c>
      <c r="W173" s="217">
        <f t="shared" ref="W173:W236" si="37">IFERROR(AVERAGEIF(P173:U173,"&gt;0,1"),"")</f>
        <v>38</v>
      </c>
      <c r="X173" s="218" t="s">
        <v>16</v>
      </c>
      <c r="Y173" s="219" t="str">
        <f t="shared" ref="Y173:Y236" si="38">_xlfn.CONCAT(AX173," ",X173,"/","Dia")</f>
        <v>36 Pontos/Dia</v>
      </c>
      <c r="Z173" s="220" t="str">
        <f t="shared" ref="Z173:Z236" si="39">_xlfn.CONCAT(AA173," ",X173," ","/ HH")</f>
        <v>2,22 Pontos / HH</v>
      </c>
      <c r="AA173" s="221">
        <f t="shared" ref="AA173:AA236" si="40">IFERROR(IF(B173=0,"",ROUND(AZ173,2)),0)</f>
        <v>2.2200000000000002</v>
      </c>
      <c r="AB173" s="222" t="str">
        <f t="shared" ref="AB173:AB236" si="41">_xlfn.CONCAT(ROUND(AS173,1)," ",X173," /","HH")</f>
        <v>0 Pontos /HH</v>
      </c>
      <c r="AC173" s="223">
        <f t="shared" ref="AC173:AC236" si="42">AD173+AE173</f>
        <v>2</v>
      </c>
      <c r="AD173" s="224">
        <v>2</v>
      </c>
      <c r="AE173" s="225">
        <v>0</v>
      </c>
      <c r="AF173" s="226">
        <f t="shared" ref="AF173:AF236" si="43">IFERROR(O173/AT173,0)/BG173</f>
        <v>0</v>
      </c>
      <c r="AG173" s="227">
        <f t="shared" ref="AG173:AG236" si="44">AF173*AC173*$Z$101*$Y$104</f>
        <v>0</v>
      </c>
      <c r="AH173" s="228" t="s">
        <v>25</v>
      </c>
      <c r="AI173" s="229" t="str">
        <f t="shared" ref="AI173:AI236" si="45">$AI$107</f>
        <v>Extremamente Complexa</v>
      </c>
      <c r="AJ173" s="230" t="str">
        <f t="shared" ref="AJ173:AJ236" si="46">$AJ$107</f>
        <v>Normal</v>
      </c>
      <c r="AK173" s="231">
        <f t="shared" ref="AK173:AK236" si="47">(AG173*(1+0)/$Y$102)*$Y$104</f>
        <v>0</v>
      </c>
      <c r="AL173" s="232">
        <f t="shared" ref="AL173:AL236" si="48">IFERROR(AD173/AC173,"")</f>
        <v>1</v>
      </c>
      <c r="AM173" s="233">
        <f t="shared" ref="AM173:AM236" si="49">IFERROR(AK173*AL173,"")</f>
        <v>0</v>
      </c>
      <c r="AN173" s="233">
        <f t="shared" ref="AN173:AN236" si="50">IFERROR(AK173-AM173,"")</f>
        <v>0</v>
      </c>
      <c r="AO173" s="234">
        <f t="shared" ref="AO173:AO236" si="51">IFERROR(AK173/$AK$107,"")</f>
        <v>0</v>
      </c>
      <c r="AP173" s="235">
        <f t="shared" ref="AP173:AQ204" si="52">IFERROR(VLOOKUP(I173,$J$1070:$K$1089,2,1),0)</f>
        <v>1</v>
      </c>
      <c r="AQ173" s="235">
        <f t="shared" si="52"/>
        <v>1</v>
      </c>
      <c r="AR173" s="236">
        <f t="shared" ref="AR173:AR236" si="53">IF(O173=0,1,IF(I173=0,AQ173,IF(J173=0,AP173,SMALL(AP173:AQ173,1))))</f>
        <v>1</v>
      </c>
      <c r="AS173" s="252">
        <f t="shared" ref="AS173:AS236" si="54">IFERROR(O173/AG173,0)</f>
        <v>0</v>
      </c>
      <c r="AT173" s="238">
        <f t="shared" ref="AT173:AT236" si="55">IF(X173=$X$5,1,AX173)</f>
        <v>36</v>
      </c>
      <c r="AU173" s="239">
        <f t="shared" ref="AU173:AU236" si="56">VLOOKUP(AH173,$AI$66:$AJ$69,2,0)</f>
        <v>0</v>
      </c>
      <c r="AV173" s="239">
        <f t="shared" ref="AV173:AV236" si="57">VLOOKUP(AJ173,$AJ$73:$AK$76,2,1)</f>
        <v>0</v>
      </c>
      <c r="AW173" s="239">
        <f t="shared" ref="AW173:AW236" si="58">VLOOKUP(AI173,$AI$83:$AJ$86,2,0)</f>
        <v>0.05</v>
      </c>
      <c r="AX173" s="240">
        <f t="shared" ref="AX173:AX236" si="59" xml:space="preserve">   ROUND((IFERROR(AVERAGEIF(P173:U173,"&gt;0,1"),0)*BD173),0)</f>
        <v>36</v>
      </c>
      <c r="AY173" s="241">
        <f t="shared" ref="AY173:AY236" si="60">IFERROR(ROUND(AS173,1)-AA173,"")</f>
        <v>-2.2200000000000002</v>
      </c>
      <c r="AZ173" s="242">
        <f>IFERROR(VLOOKUP(M173,'[1]Base Brasil Obras'!$C$2:$F$485,4,0),"")</f>
        <v>2.2222222222222223</v>
      </c>
      <c r="BA173" s="243">
        <f t="shared" ref="BA173:BA236" si="61">B173*(1-$U$107)</f>
        <v>38</v>
      </c>
      <c r="BB173" s="244">
        <f t="shared" ref="BB173:BB236" si="62">1-AR173</f>
        <v>0</v>
      </c>
      <c r="BC173" s="244">
        <f t="shared" ref="BC173:BC236" si="63">AU173+AV173+AW173</f>
        <v>0.05</v>
      </c>
      <c r="BD173" s="245">
        <f t="shared" ref="BD173:BD236" si="64">1-(BB173+BC173)</f>
        <v>0.95</v>
      </c>
      <c r="BE173" s="246">
        <f t="shared" ref="BE173:BE236" si="65">IFERROR(B173/(AC173*$Z$101),0)</f>
        <v>2.2222222222222223</v>
      </c>
      <c r="BF173" s="247">
        <v>2</v>
      </c>
      <c r="BG173" s="248">
        <f t="shared" ref="BG173:BG236" si="66">IFERROR(AC173/BF173,1)</f>
        <v>1</v>
      </c>
      <c r="BH173" s="198"/>
      <c r="BI173" s="198"/>
      <c r="BJ173" s="199"/>
      <c r="BK173" s="200"/>
      <c r="BL173" s="200"/>
      <c r="BM173" s="200"/>
      <c r="BN173" s="200"/>
      <c r="BO173" s="10"/>
    </row>
    <row r="174" spans="1:67" ht="22.5" customHeight="1" x14ac:dyDescent="0.25">
      <c r="A174" s="201">
        <v>66</v>
      </c>
      <c r="B174" s="202">
        <v>40</v>
      </c>
      <c r="C174" s="203">
        <f t="shared" si="34"/>
        <v>0</v>
      </c>
      <c r="D174" s="204"/>
      <c r="E174" s="204"/>
      <c r="F174" s="205" t="s">
        <v>148</v>
      </c>
      <c r="G174" s="206"/>
      <c r="H174" s="207" t="s">
        <v>131</v>
      </c>
      <c r="I174" s="208" t="s">
        <v>125</v>
      </c>
      <c r="J174" s="208" t="s">
        <v>126</v>
      </c>
      <c r="K174" s="209" t="s">
        <v>144</v>
      </c>
      <c r="L174" s="255"/>
      <c r="M174" s="211" t="s">
        <v>217</v>
      </c>
      <c r="N174" s="257"/>
      <c r="O174" s="213">
        <f>SUMIF([1]Mestre!$G$137:$G$409,THEO!A174,[1]Mestre!$AG$137:$AG$409)</f>
        <v>196</v>
      </c>
      <c r="P174" s="214"/>
      <c r="Q174" s="214"/>
      <c r="R174" s="214"/>
      <c r="S174" s="214"/>
      <c r="T174" s="214"/>
      <c r="U174" s="215">
        <f t="shared" si="35"/>
        <v>38</v>
      </c>
      <c r="V174" s="216">
        <f t="shared" si="36"/>
        <v>-5.555555555555558E-2</v>
      </c>
      <c r="W174" s="217">
        <f t="shared" si="37"/>
        <v>38</v>
      </c>
      <c r="X174" s="218" t="s">
        <v>11</v>
      </c>
      <c r="Y174" s="219" t="str">
        <f t="shared" si="38"/>
        <v>36 Motores/Dia</v>
      </c>
      <c r="Z174" s="220" t="str">
        <f t="shared" si="39"/>
        <v>2,22 Motores / HH</v>
      </c>
      <c r="AA174" s="221">
        <f t="shared" si="40"/>
        <v>2.2200000000000002</v>
      </c>
      <c r="AB174" s="222" t="str">
        <f t="shared" si="41"/>
        <v>2 Motores /HH</v>
      </c>
      <c r="AC174" s="223">
        <f t="shared" si="42"/>
        <v>2</v>
      </c>
      <c r="AD174" s="224">
        <v>1</v>
      </c>
      <c r="AE174" s="225">
        <v>1</v>
      </c>
      <c r="AF174" s="226">
        <f t="shared" si="43"/>
        <v>5.4444444444444446</v>
      </c>
      <c r="AG174" s="227">
        <f t="shared" si="44"/>
        <v>98</v>
      </c>
      <c r="AH174" s="228" t="s">
        <v>25</v>
      </c>
      <c r="AI174" s="229" t="str">
        <f t="shared" si="45"/>
        <v>Extremamente Complexa</v>
      </c>
      <c r="AJ174" s="230" t="str">
        <f t="shared" si="46"/>
        <v>Normal</v>
      </c>
      <c r="AK174" s="231">
        <f t="shared" si="47"/>
        <v>140</v>
      </c>
      <c r="AL174" s="232">
        <f t="shared" si="48"/>
        <v>0.5</v>
      </c>
      <c r="AM174" s="233">
        <f t="shared" si="49"/>
        <v>70</v>
      </c>
      <c r="AN174" s="233">
        <f t="shared" si="50"/>
        <v>70</v>
      </c>
      <c r="AO174" s="234">
        <f t="shared" si="51"/>
        <v>2.7635292730528028E-3</v>
      </c>
      <c r="AP174" s="235">
        <f t="shared" si="52"/>
        <v>1</v>
      </c>
      <c r="AQ174" s="235">
        <f t="shared" si="52"/>
        <v>1</v>
      </c>
      <c r="AR174" s="236">
        <f t="shared" si="53"/>
        <v>1</v>
      </c>
      <c r="AS174" s="251">
        <f t="shared" si="54"/>
        <v>2</v>
      </c>
      <c r="AT174" s="238">
        <f t="shared" si="55"/>
        <v>36</v>
      </c>
      <c r="AU174" s="239">
        <f t="shared" si="56"/>
        <v>0</v>
      </c>
      <c r="AV174" s="239">
        <f t="shared" si="57"/>
        <v>0</v>
      </c>
      <c r="AW174" s="239">
        <f t="shared" si="58"/>
        <v>0.05</v>
      </c>
      <c r="AX174" s="240">
        <f t="shared" si="59"/>
        <v>36</v>
      </c>
      <c r="AY174" s="241">
        <f t="shared" si="60"/>
        <v>-0.2200000000000002</v>
      </c>
      <c r="AZ174" s="242">
        <f>IFERROR(VLOOKUP(M174,'[1]Base Brasil Obras'!$C$2:$F$485,4,0),"")</f>
        <v>2.2222222222222223</v>
      </c>
      <c r="BA174" s="243">
        <f t="shared" si="61"/>
        <v>38</v>
      </c>
      <c r="BB174" s="244">
        <f t="shared" si="62"/>
        <v>0</v>
      </c>
      <c r="BC174" s="244">
        <f t="shared" si="63"/>
        <v>0.05</v>
      </c>
      <c r="BD174" s="245">
        <f t="shared" si="64"/>
        <v>0.95</v>
      </c>
      <c r="BE174" s="246">
        <f t="shared" si="65"/>
        <v>2.2222222222222223</v>
      </c>
      <c r="BF174" s="247">
        <v>2</v>
      </c>
      <c r="BG174" s="248">
        <f t="shared" si="66"/>
        <v>1</v>
      </c>
      <c r="BH174" s="198"/>
      <c r="BI174" s="198"/>
      <c r="BJ174" s="199"/>
      <c r="BK174" s="200"/>
      <c r="BL174" s="200"/>
      <c r="BM174" s="200"/>
      <c r="BN174" s="200"/>
      <c r="BO174" s="10"/>
    </row>
    <row r="175" spans="1:67" ht="22.5" customHeight="1" x14ac:dyDescent="0.25">
      <c r="A175" s="201">
        <v>67</v>
      </c>
      <c r="B175" s="202">
        <v>21</v>
      </c>
      <c r="C175" s="203">
        <f t="shared" si="34"/>
        <v>0</v>
      </c>
      <c r="D175" s="204"/>
      <c r="E175" s="204"/>
      <c r="F175" s="205" t="s">
        <v>148</v>
      </c>
      <c r="G175" s="206"/>
      <c r="H175" s="207" t="s">
        <v>131</v>
      </c>
      <c r="I175" s="208" t="s">
        <v>125</v>
      </c>
      <c r="J175" s="208" t="s">
        <v>126</v>
      </c>
      <c r="K175" s="209" t="s">
        <v>144</v>
      </c>
      <c r="L175" s="255"/>
      <c r="M175" s="211" t="s">
        <v>218</v>
      </c>
      <c r="N175" s="257"/>
      <c r="O175" s="213">
        <f>O174</f>
        <v>196</v>
      </c>
      <c r="P175" s="214"/>
      <c r="Q175" s="214"/>
      <c r="R175" s="214"/>
      <c r="S175" s="214"/>
      <c r="T175" s="214"/>
      <c r="U175" s="215">
        <f t="shared" si="35"/>
        <v>19.95</v>
      </c>
      <c r="V175" s="216">
        <f t="shared" si="36"/>
        <v>-5.0000000000000044E-2</v>
      </c>
      <c r="W175" s="217">
        <f t="shared" si="37"/>
        <v>19.95</v>
      </c>
      <c r="X175" s="218" t="s">
        <v>11</v>
      </c>
      <c r="Y175" s="219" t="str">
        <f t="shared" si="38"/>
        <v>19 Motores/Dia</v>
      </c>
      <c r="Z175" s="220" t="str">
        <f t="shared" si="39"/>
        <v>1,17 Motores / HH</v>
      </c>
      <c r="AA175" s="221">
        <f t="shared" si="40"/>
        <v>1.17</v>
      </c>
      <c r="AB175" s="222" t="str">
        <f t="shared" si="41"/>
        <v>1,1 Motores /HH</v>
      </c>
      <c r="AC175" s="223">
        <f t="shared" si="42"/>
        <v>2</v>
      </c>
      <c r="AD175" s="224">
        <v>1</v>
      </c>
      <c r="AE175" s="225">
        <v>1</v>
      </c>
      <c r="AF175" s="226">
        <f t="shared" si="43"/>
        <v>10.315789473684211</v>
      </c>
      <c r="AG175" s="227">
        <f t="shared" si="44"/>
        <v>185.68421052631578</v>
      </c>
      <c r="AH175" s="228" t="s">
        <v>25</v>
      </c>
      <c r="AI175" s="229" t="str">
        <f t="shared" si="45"/>
        <v>Extremamente Complexa</v>
      </c>
      <c r="AJ175" s="230" t="str">
        <f t="shared" si="46"/>
        <v>Normal</v>
      </c>
      <c r="AK175" s="231">
        <f t="shared" si="47"/>
        <v>265.26315789473682</v>
      </c>
      <c r="AL175" s="232">
        <f t="shared" si="48"/>
        <v>0.5</v>
      </c>
      <c r="AM175" s="233">
        <f t="shared" si="49"/>
        <v>132.63157894736841</v>
      </c>
      <c r="AN175" s="233">
        <f t="shared" si="50"/>
        <v>132.63157894736841</v>
      </c>
      <c r="AO175" s="234">
        <f t="shared" si="51"/>
        <v>5.2361607278895205E-3</v>
      </c>
      <c r="AP175" s="235">
        <f t="shared" si="52"/>
        <v>1</v>
      </c>
      <c r="AQ175" s="235">
        <f t="shared" si="52"/>
        <v>1</v>
      </c>
      <c r="AR175" s="236">
        <f t="shared" si="53"/>
        <v>1</v>
      </c>
      <c r="AS175" s="252">
        <f t="shared" si="54"/>
        <v>1.0555555555555556</v>
      </c>
      <c r="AT175" s="238">
        <f t="shared" si="55"/>
        <v>19</v>
      </c>
      <c r="AU175" s="239">
        <f t="shared" si="56"/>
        <v>0</v>
      </c>
      <c r="AV175" s="239">
        <f t="shared" si="57"/>
        <v>0</v>
      </c>
      <c r="AW175" s="239">
        <f t="shared" si="58"/>
        <v>0.05</v>
      </c>
      <c r="AX175" s="240">
        <f t="shared" si="59"/>
        <v>19</v>
      </c>
      <c r="AY175" s="241">
        <f t="shared" si="60"/>
        <v>-6.999999999999984E-2</v>
      </c>
      <c r="AZ175" s="242">
        <f>IFERROR(VLOOKUP(M175,'[1]Base Brasil Obras'!$C$2:$F$485,4,0),"")</f>
        <v>1.1666666666666667</v>
      </c>
      <c r="BA175" s="243">
        <f t="shared" si="61"/>
        <v>19.95</v>
      </c>
      <c r="BB175" s="244">
        <f t="shared" si="62"/>
        <v>0</v>
      </c>
      <c r="BC175" s="244">
        <f t="shared" si="63"/>
        <v>0.05</v>
      </c>
      <c r="BD175" s="245">
        <f t="shared" si="64"/>
        <v>0.95</v>
      </c>
      <c r="BE175" s="246">
        <f t="shared" si="65"/>
        <v>1.1666666666666667</v>
      </c>
      <c r="BF175" s="247">
        <v>2</v>
      </c>
      <c r="BG175" s="248">
        <f t="shared" si="66"/>
        <v>1</v>
      </c>
      <c r="BH175" s="198"/>
      <c r="BI175" s="198"/>
      <c r="BJ175" s="199"/>
      <c r="BK175" s="200"/>
      <c r="BL175" s="200"/>
      <c r="BM175" s="200"/>
      <c r="BN175" s="200"/>
      <c r="BO175" s="10"/>
    </row>
    <row r="176" spans="1:67" ht="22.5" customHeight="1" x14ac:dyDescent="0.25">
      <c r="A176" s="201">
        <v>68</v>
      </c>
      <c r="B176" s="202">
        <v>30</v>
      </c>
      <c r="C176" s="203">
        <f t="shared" si="34"/>
        <v>0</v>
      </c>
      <c r="D176" s="204"/>
      <c r="E176" s="204"/>
      <c r="F176" s="205" t="s">
        <v>148</v>
      </c>
      <c r="G176" s="206"/>
      <c r="H176" s="207" t="s">
        <v>131</v>
      </c>
      <c r="I176" s="208" t="s">
        <v>125</v>
      </c>
      <c r="J176" s="208" t="s">
        <v>126</v>
      </c>
      <c r="K176" s="209" t="s">
        <v>144</v>
      </c>
      <c r="L176" s="255"/>
      <c r="M176" s="211" t="s">
        <v>219</v>
      </c>
      <c r="N176" s="257"/>
      <c r="O176" s="213">
        <f>SUMIF([1]Mestre!$G$137:$G$409,THEO!A176,[1]Mestre!$AG$137:$AG$409)</f>
        <v>86</v>
      </c>
      <c r="P176" s="214"/>
      <c r="Q176" s="214"/>
      <c r="R176" s="214"/>
      <c r="S176" s="214"/>
      <c r="T176" s="214"/>
      <c r="U176" s="215">
        <f t="shared" si="35"/>
        <v>28.5</v>
      </c>
      <c r="V176" s="216">
        <f t="shared" si="36"/>
        <v>-5.555555555555558E-2</v>
      </c>
      <c r="W176" s="217">
        <f t="shared" si="37"/>
        <v>28.5</v>
      </c>
      <c r="X176" s="218" t="s">
        <v>11</v>
      </c>
      <c r="Y176" s="219" t="str">
        <f t="shared" si="38"/>
        <v>27 Motores/Dia</v>
      </c>
      <c r="Z176" s="220" t="str">
        <f t="shared" si="39"/>
        <v>1,67 Motores / HH</v>
      </c>
      <c r="AA176" s="221">
        <f t="shared" si="40"/>
        <v>1.67</v>
      </c>
      <c r="AB176" s="222" t="str">
        <f t="shared" si="41"/>
        <v>1,5 Motores /HH</v>
      </c>
      <c r="AC176" s="223">
        <f t="shared" si="42"/>
        <v>2</v>
      </c>
      <c r="AD176" s="224">
        <v>1</v>
      </c>
      <c r="AE176" s="225">
        <v>1</v>
      </c>
      <c r="AF176" s="226">
        <f t="shared" si="43"/>
        <v>3.1851851851851851</v>
      </c>
      <c r="AG176" s="227">
        <f t="shared" si="44"/>
        <v>57.333333333333329</v>
      </c>
      <c r="AH176" s="228" t="s">
        <v>25</v>
      </c>
      <c r="AI176" s="229" t="str">
        <f t="shared" si="45"/>
        <v>Extremamente Complexa</v>
      </c>
      <c r="AJ176" s="230" t="str">
        <f t="shared" si="46"/>
        <v>Normal</v>
      </c>
      <c r="AK176" s="231">
        <f t="shared" si="47"/>
        <v>81.904761904761898</v>
      </c>
      <c r="AL176" s="232">
        <f t="shared" si="48"/>
        <v>0.5</v>
      </c>
      <c r="AM176" s="233">
        <f t="shared" si="49"/>
        <v>40.952380952380949</v>
      </c>
      <c r="AN176" s="233">
        <f t="shared" si="50"/>
        <v>40.952380952380949</v>
      </c>
      <c r="AO176" s="234">
        <f t="shared" si="51"/>
        <v>1.6167586223302111E-3</v>
      </c>
      <c r="AP176" s="235">
        <f t="shared" si="52"/>
        <v>1</v>
      </c>
      <c r="AQ176" s="235">
        <f t="shared" si="52"/>
        <v>1</v>
      </c>
      <c r="AR176" s="236">
        <f t="shared" si="53"/>
        <v>1</v>
      </c>
      <c r="AS176" s="251">
        <f t="shared" si="54"/>
        <v>1.5000000000000002</v>
      </c>
      <c r="AT176" s="238">
        <f t="shared" si="55"/>
        <v>27</v>
      </c>
      <c r="AU176" s="239">
        <f t="shared" si="56"/>
        <v>0</v>
      </c>
      <c r="AV176" s="239">
        <f t="shared" si="57"/>
        <v>0</v>
      </c>
      <c r="AW176" s="239">
        <f t="shared" si="58"/>
        <v>0.05</v>
      </c>
      <c r="AX176" s="240">
        <f t="shared" si="59"/>
        <v>27</v>
      </c>
      <c r="AY176" s="241">
        <f t="shared" si="60"/>
        <v>-0.16999999999999993</v>
      </c>
      <c r="AZ176" s="242">
        <f>IFERROR(VLOOKUP(M176,'[1]Base Brasil Obras'!$C$2:$F$485,4,0),"")</f>
        <v>1.6666666666666667</v>
      </c>
      <c r="BA176" s="243">
        <f t="shared" si="61"/>
        <v>28.5</v>
      </c>
      <c r="BB176" s="244">
        <f t="shared" si="62"/>
        <v>0</v>
      </c>
      <c r="BC176" s="244">
        <f t="shared" si="63"/>
        <v>0.05</v>
      </c>
      <c r="BD176" s="245">
        <f t="shared" si="64"/>
        <v>0.95</v>
      </c>
      <c r="BE176" s="246">
        <f t="shared" si="65"/>
        <v>1.6666666666666667</v>
      </c>
      <c r="BF176" s="247">
        <v>2</v>
      </c>
      <c r="BG176" s="248">
        <f t="shared" si="66"/>
        <v>1</v>
      </c>
      <c r="BH176" s="198"/>
      <c r="BI176" s="198"/>
      <c r="BJ176" s="199"/>
      <c r="BK176" s="200"/>
      <c r="BL176" s="200"/>
      <c r="BM176" s="200"/>
      <c r="BN176" s="200"/>
      <c r="BO176" s="10"/>
    </row>
    <row r="177" spans="1:89" ht="22.5" customHeight="1" x14ac:dyDescent="0.25">
      <c r="A177" s="201">
        <v>69</v>
      </c>
      <c r="B177" s="202">
        <v>20</v>
      </c>
      <c r="C177" s="203">
        <f t="shared" si="34"/>
        <v>0</v>
      </c>
      <c r="D177" s="204"/>
      <c r="E177" s="204"/>
      <c r="F177" s="205" t="s">
        <v>148</v>
      </c>
      <c r="G177" s="206"/>
      <c r="H177" s="207" t="s">
        <v>131</v>
      </c>
      <c r="I177" s="208" t="s">
        <v>125</v>
      </c>
      <c r="J177" s="208" t="s">
        <v>126</v>
      </c>
      <c r="K177" s="209" t="s">
        <v>144</v>
      </c>
      <c r="L177" s="255"/>
      <c r="M177" s="211" t="s">
        <v>220</v>
      </c>
      <c r="N177" s="257"/>
      <c r="O177" s="213">
        <f>O176</f>
        <v>86</v>
      </c>
      <c r="P177" s="214"/>
      <c r="Q177" s="214"/>
      <c r="R177" s="214"/>
      <c r="S177" s="214"/>
      <c r="T177" s="214"/>
      <c r="U177" s="215">
        <f t="shared" si="35"/>
        <v>19</v>
      </c>
      <c r="V177" s="216">
        <f t="shared" si="36"/>
        <v>-5.555555555555558E-2</v>
      </c>
      <c r="W177" s="217">
        <f t="shared" si="37"/>
        <v>19</v>
      </c>
      <c r="X177" s="218" t="s">
        <v>11</v>
      </c>
      <c r="Y177" s="219" t="str">
        <f t="shared" si="38"/>
        <v>18 Motores/Dia</v>
      </c>
      <c r="Z177" s="220" t="str">
        <f t="shared" si="39"/>
        <v>1,11 Motores / HH</v>
      </c>
      <c r="AA177" s="221">
        <f t="shared" si="40"/>
        <v>1.1100000000000001</v>
      </c>
      <c r="AB177" s="222" t="str">
        <f t="shared" si="41"/>
        <v>1 Motores /HH</v>
      </c>
      <c r="AC177" s="223">
        <f t="shared" si="42"/>
        <v>2</v>
      </c>
      <c r="AD177" s="224">
        <v>1</v>
      </c>
      <c r="AE177" s="225">
        <v>1</v>
      </c>
      <c r="AF177" s="226">
        <f t="shared" si="43"/>
        <v>4.7777777777777777</v>
      </c>
      <c r="AG177" s="227">
        <f t="shared" si="44"/>
        <v>86</v>
      </c>
      <c r="AH177" s="228" t="s">
        <v>25</v>
      </c>
      <c r="AI177" s="229" t="str">
        <f t="shared" si="45"/>
        <v>Extremamente Complexa</v>
      </c>
      <c r="AJ177" s="230" t="str">
        <f t="shared" si="46"/>
        <v>Normal</v>
      </c>
      <c r="AK177" s="231">
        <f t="shared" si="47"/>
        <v>122.85714285714286</v>
      </c>
      <c r="AL177" s="232">
        <f t="shared" si="48"/>
        <v>0.5</v>
      </c>
      <c r="AM177" s="233">
        <f t="shared" si="49"/>
        <v>61.428571428571431</v>
      </c>
      <c r="AN177" s="233">
        <f t="shared" si="50"/>
        <v>61.428571428571431</v>
      </c>
      <c r="AO177" s="234">
        <f t="shared" si="51"/>
        <v>2.425137933495317E-3</v>
      </c>
      <c r="AP177" s="235">
        <f t="shared" si="52"/>
        <v>1</v>
      </c>
      <c r="AQ177" s="235">
        <f t="shared" si="52"/>
        <v>1</v>
      </c>
      <c r="AR177" s="236">
        <f t="shared" si="53"/>
        <v>1</v>
      </c>
      <c r="AS177" s="251">
        <f t="shared" si="54"/>
        <v>1</v>
      </c>
      <c r="AT177" s="238">
        <f t="shared" si="55"/>
        <v>18</v>
      </c>
      <c r="AU177" s="239">
        <f t="shared" si="56"/>
        <v>0</v>
      </c>
      <c r="AV177" s="239">
        <f t="shared" si="57"/>
        <v>0</v>
      </c>
      <c r="AW177" s="239">
        <f t="shared" si="58"/>
        <v>0.05</v>
      </c>
      <c r="AX177" s="240">
        <f t="shared" si="59"/>
        <v>18</v>
      </c>
      <c r="AY177" s="241">
        <f t="shared" si="60"/>
        <v>-0.1100000000000001</v>
      </c>
      <c r="AZ177" s="242">
        <f>IFERROR(VLOOKUP(M177,'[1]Base Brasil Obras'!$C$2:$F$485,4,0),"")</f>
        <v>1.1111111111111112</v>
      </c>
      <c r="BA177" s="243">
        <f t="shared" si="61"/>
        <v>19</v>
      </c>
      <c r="BB177" s="244">
        <f t="shared" si="62"/>
        <v>0</v>
      </c>
      <c r="BC177" s="244">
        <f t="shared" si="63"/>
        <v>0.05</v>
      </c>
      <c r="BD177" s="245">
        <f t="shared" si="64"/>
        <v>0.95</v>
      </c>
      <c r="BE177" s="246">
        <f t="shared" si="65"/>
        <v>1.1111111111111112</v>
      </c>
      <c r="BF177" s="247">
        <v>2</v>
      </c>
      <c r="BG177" s="248">
        <f t="shared" si="66"/>
        <v>1</v>
      </c>
      <c r="BH177" s="198"/>
      <c r="BI177" s="198"/>
      <c r="BJ177" s="199"/>
      <c r="BK177" s="200"/>
      <c r="BL177" s="200"/>
      <c r="BM177" s="200"/>
      <c r="BN177" s="200"/>
      <c r="BO177" s="10"/>
    </row>
    <row r="178" spans="1:89" ht="22.5" customHeight="1" x14ac:dyDescent="0.25">
      <c r="A178" s="201">
        <v>70</v>
      </c>
      <c r="B178" s="202">
        <v>20</v>
      </c>
      <c r="C178" s="203">
        <f t="shared" si="34"/>
        <v>0</v>
      </c>
      <c r="D178" s="204"/>
      <c r="E178" s="204"/>
      <c r="F178" s="205" t="s">
        <v>148</v>
      </c>
      <c r="G178" s="206"/>
      <c r="H178" s="207" t="s">
        <v>131</v>
      </c>
      <c r="I178" s="208" t="s">
        <v>125</v>
      </c>
      <c r="J178" s="208" t="s">
        <v>126</v>
      </c>
      <c r="K178" s="209" t="s">
        <v>144</v>
      </c>
      <c r="L178" s="255"/>
      <c r="M178" s="211" t="s">
        <v>221</v>
      </c>
      <c r="N178" s="257"/>
      <c r="O178" s="213">
        <f>SUMIF([1]Mestre!$G$137:$G$409,THEO!A178,[1]Mestre!$AG$137:$AG$409)</f>
        <v>0</v>
      </c>
      <c r="P178" s="214"/>
      <c r="Q178" s="214"/>
      <c r="R178" s="214"/>
      <c r="S178" s="214"/>
      <c r="T178" s="214"/>
      <c r="U178" s="215">
        <f t="shared" si="35"/>
        <v>19</v>
      </c>
      <c r="V178" s="216">
        <f t="shared" si="36"/>
        <v>-5.555555555555558E-2</v>
      </c>
      <c r="W178" s="217">
        <f t="shared" si="37"/>
        <v>19</v>
      </c>
      <c r="X178" s="218" t="s">
        <v>11</v>
      </c>
      <c r="Y178" s="219" t="str">
        <f t="shared" si="38"/>
        <v>18 Motores/Dia</v>
      </c>
      <c r="Z178" s="220" t="str">
        <f t="shared" si="39"/>
        <v>1,11 Motores / HH</v>
      </c>
      <c r="AA178" s="221">
        <f t="shared" si="40"/>
        <v>1.1100000000000001</v>
      </c>
      <c r="AB178" s="222" t="str">
        <f t="shared" si="41"/>
        <v>0 Motores /HH</v>
      </c>
      <c r="AC178" s="223">
        <f t="shared" si="42"/>
        <v>2</v>
      </c>
      <c r="AD178" s="224">
        <v>1</v>
      </c>
      <c r="AE178" s="225">
        <v>1</v>
      </c>
      <c r="AF178" s="226">
        <f t="shared" si="43"/>
        <v>0</v>
      </c>
      <c r="AG178" s="227">
        <f t="shared" si="44"/>
        <v>0</v>
      </c>
      <c r="AH178" s="228" t="s">
        <v>25</v>
      </c>
      <c r="AI178" s="229" t="str">
        <f t="shared" si="45"/>
        <v>Extremamente Complexa</v>
      </c>
      <c r="AJ178" s="230" t="str">
        <f t="shared" si="46"/>
        <v>Normal</v>
      </c>
      <c r="AK178" s="231">
        <f t="shared" si="47"/>
        <v>0</v>
      </c>
      <c r="AL178" s="232">
        <f t="shared" si="48"/>
        <v>0.5</v>
      </c>
      <c r="AM178" s="233">
        <f t="shared" si="49"/>
        <v>0</v>
      </c>
      <c r="AN178" s="233">
        <f t="shared" si="50"/>
        <v>0</v>
      </c>
      <c r="AO178" s="234">
        <f t="shared" si="51"/>
        <v>0</v>
      </c>
      <c r="AP178" s="235">
        <f t="shared" si="52"/>
        <v>1</v>
      </c>
      <c r="AQ178" s="235">
        <f t="shared" si="52"/>
        <v>1</v>
      </c>
      <c r="AR178" s="235">
        <f t="shared" si="53"/>
        <v>1</v>
      </c>
      <c r="AS178" s="252">
        <f t="shared" si="54"/>
        <v>0</v>
      </c>
      <c r="AT178" s="238">
        <f t="shared" si="55"/>
        <v>18</v>
      </c>
      <c r="AU178" s="239">
        <f t="shared" si="56"/>
        <v>0</v>
      </c>
      <c r="AV178" s="239">
        <f t="shared" si="57"/>
        <v>0</v>
      </c>
      <c r="AW178" s="239">
        <f t="shared" si="58"/>
        <v>0.05</v>
      </c>
      <c r="AX178" s="240">
        <f t="shared" si="59"/>
        <v>18</v>
      </c>
      <c r="AY178" s="241">
        <f t="shared" si="60"/>
        <v>-1.1100000000000001</v>
      </c>
      <c r="AZ178" s="242">
        <f>IFERROR(VLOOKUP(M178,'[1]Base Brasil Obras'!$C$2:$F$485,4,0),"")</f>
        <v>1.1111111111111112</v>
      </c>
      <c r="BA178" s="243">
        <f t="shared" si="61"/>
        <v>19</v>
      </c>
      <c r="BB178" s="244">
        <f t="shared" si="62"/>
        <v>0</v>
      </c>
      <c r="BC178" s="244">
        <f t="shared" si="63"/>
        <v>0.05</v>
      </c>
      <c r="BD178" s="245">
        <f t="shared" si="64"/>
        <v>0.95</v>
      </c>
      <c r="BE178" s="246">
        <f t="shared" si="65"/>
        <v>1.1111111111111112</v>
      </c>
      <c r="BF178" s="247">
        <v>2</v>
      </c>
      <c r="BG178" s="248">
        <f t="shared" si="66"/>
        <v>1</v>
      </c>
      <c r="BH178" s="198"/>
      <c r="BI178" s="198"/>
      <c r="BJ178" s="199"/>
      <c r="BK178" s="200"/>
      <c r="BL178" s="200"/>
      <c r="BM178" s="200"/>
      <c r="BN178" s="200"/>
      <c r="BO178" s="10"/>
    </row>
    <row r="179" spans="1:89" ht="22.5" customHeight="1" x14ac:dyDescent="0.25">
      <c r="A179" s="201">
        <v>71</v>
      </c>
      <c r="B179" s="202">
        <v>15</v>
      </c>
      <c r="C179" s="203">
        <f t="shared" si="34"/>
        <v>0</v>
      </c>
      <c r="D179" s="204"/>
      <c r="E179" s="204"/>
      <c r="F179" s="205" t="s">
        <v>148</v>
      </c>
      <c r="G179" s="206"/>
      <c r="H179" s="207" t="s">
        <v>131</v>
      </c>
      <c r="I179" s="208" t="s">
        <v>125</v>
      </c>
      <c r="J179" s="208" t="s">
        <v>126</v>
      </c>
      <c r="K179" s="209" t="s">
        <v>144</v>
      </c>
      <c r="L179" s="255"/>
      <c r="M179" s="211" t="s">
        <v>222</v>
      </c>
      <c r="N179" s="257"/>
      <c r="O179" s="213">
        <f>SUMIF([1]Mestre!$G$137:$G$409,THEO!A179,[1]Mestre!$AG$137:$AG$409)</f>
        <v>0</v>
      </c>
      <c r="P179" s="214"/>
      <c r="Q179" s="214"/>
      <c r="R179" s="214"/>
      <c r="S179" s="214"/>
      <c r="T179" s="214"/>
      <c r="U179" s="215">
        <f t="shared" si="35"/>
        <v>14.25</v>
      </c>
      <c r="V179" s="216">
        <f t="shared" si="36"/>
        <v>-1.7857142857142794E-2</v>
      </c>
      <c r="W179" s="217">
        <f t="shared" si="37"/>
        <v>14.25</v>
      </c>
      <c r="X179" s="218" t="s">
        <v>11</v>
      </c>
      <c r="Y179" s="219" t="str">
        <f t="shared" si="38"/>
        <v>14 Motores/Dia</v>
      </c>
      <c r="Z179" s="220" t="str">
        <f t="shared" si="39"/>
        <v>0,83 Motores / HH</v>
      </c>
      <c r="AA179" s="221">
        <f t="shared" si="40"/>
        <v>0.83</v>
      </c>
      <c r="AB179" s="222" t="str">
        <f t="shared" si="41"/>
        <v>0 Motores /HH</v>
      </c>
      <c r="AC179" s="223">
        <f t="shared" si="42"/>
        <v>2</v>
      </c>
      <c r="AD179" s="224">
        <v>1</v>
      </c>
      <c r="AE179" s="225">
        <v>1</v>
      </c>
      <c r="AF179" s="226">
        <f t="shared" si="43"/>
        <v>0</v>
      </c>
      <c r="AG179" s="227">
        <f t="shared" si="44"/>
        <v>0</v>
      </c>
      <c r="AH179" s="228" t="s">
        <v>25</v>
      </c>
      <c r="AI179" s="229" t="str">
        <f t="shared" si="45"/>
        <v>Extremamente Complexa</v>
      </c>
      <c r="AJ179" s="230" t="str">
        <f t="shared" si="46"/>
        <v>Normal</v>
      </c>
      <c r="AK179" s="231">
        <f t="shared" si="47"/>
        <v>0</v>
      </c>
      <c r="AL179" s="232">
        <f t="shared" si="48"/>
        <v>0.5</v>
      </c>
      <c r="AM179" s="233">
        <f t="shared" si="49"/>
        <v>0</v>
      </c>
      <c r="AN179" s="233">
        <f t="shared" si="50"/>
        <v>0</v>
      </c>
      <c r="AO179" s="234">
        <f t="shared" si="51"/>
        <v>0</v>
      </c>
      <c r="AP179" s="235">
        <f t="shared" si="52"/>
        <v>1</v>
      </c>
      <c r="AQ179" s="235">
        <f t="shared" si="52"/>
        <v>1</v>
      </c>
      <c r="AR179" s="235">
        <f t="shared" si="53"/>
        <v>1</v>
      </c>
      <c r="AS179" s="251">
        <f t="shared" si="54"/>
        <v>0</v>
      </c>
      <c r="AT179" s="238">
        <f t="shared" si="55"/>
        <v>14</v>
      </c>
      <c r="AU179" s="239">
        <f t="shared" si="56"/>
        <v>0</v>
      </c>
      <c r="AV179" s="239">
        <f t="shared" si="57"/>
        <v>0</v>
      </c>
      <c r="AW179" s="239">
        <f t="shared" si="58"/>
        <v>0.05</v>
      </c>
      <c r="AX179" s="240">
        <f t="shared" si="59"/>
        <v>14</v>
      </c>
      <c r="AY179" s="241">
        <f t="shared" si="60"/>
        <v>-0.83</v>
      </c>
      <c r="AZ179" s="242">
        <f>IFERROR(VLOOKUP(M179,'[1]Base Brasil Obras'!$C$2:$F$485,4,0),"")</f>
        <v>0.83333333333333337</v>
      </c>
      <c r="BA179" s="243">
        <f t="shared" si="61"/>
        <v>14.25</v>
      </c>
      <c r="BB179" s="244">
        <f t="shared" si="62"/>
        <v>0</v>
      </c>
      <c r="BC179" s="244">
        <f t="shared" si="63"/>
        <v>0.05</v>
      </c>
      <c r="BD179" s="245">
        <f t="shared" si="64"/>
        <v>0.95</v>
      </c>
      <c r="BE179" s="246">
        <f t="shared" si="65"/>
        <v>0.83333333333333337</v>
      </c>
      <c r="BF179" s="247">
        <v>2</v>
      </c>
      <c r="BG179" s="248">
        <f t="shared" si="66"/>
        <v>1</v>
      </c>
      <c r="BH179" s="198"/>
      <c r="BI179" s="198"/>
      <c r="BJ179" s="199"/>
      <c r="BK179" s="200"/>
      <c r="BL179" s="200"/>
      <c r="BM179" s="200"/>
      <c r="BN179" s="200"/>
      <c r="BO179" s="10"/>
    </row>
    <row r="180" spans="1:89" ht="22.5" customHeight="1" x14ac:dyDescent="0.25">
      <c r="A180" s="201">
        <v>72</v>
      </c>
      <c r="B180" s="202">
        <v>25</v>
      </c>
      <c r="C180" s="203">
        <f t="shared" si="34"/>
        <v>0</v>
      </c>
      <c r="D180" s="204"/>
      <c r="E180" s="204"/>
      <c r="F180" s="205" t="s">
        <v>148</v>
      </c>
      <c r="G180" s="206"/>
      <c r="H180" s="207" t="s">
        <v>115</v>
      </c>
      <c r="I180" s="208" t="s">
        <v>125</v>
      </c>
      <c r="J180" s="208" t="s">
        <v>126</v>
      </c>
      <c r="K180" s="209" t="s">
        <v>144</v>
      </c>
      <c r="L180" s="255"/>
      <c r="M180" s="211" t="s">
        <v>223</v>
      </c>
      <c r="N180" s="257"/>
      <c r="O180" s="213">
        <v>540</v>
      </c>
      <c r="P180" s="214"/>
      <c r="Q180" s="214"/>
      <c r="R180" s="214"/>
      <c r="S180" s="214"/>
      <c r="T180" s="214"/>
      <c r="U180" s="215">
        <f t="shared" si="35"/>
        <v>23.75</v>
      </c>
      <c r="V180" s="216">
        <f t="shared" si="36"/>
        <v>-3.2608695652173836E-2</v>
      </c>
      <c r="W180" s="217">
        <f t="shared" si="37"/>
        <v>23.75</v>
      </c>
      <c r="X180" s="218" t="s">
        <v>3</v>
      </c>
      <c r="Y180" s="219" t="str">
        <f t="shared" si="38"/>
        <v>23 Instrumento/Dia</v>
      </c>
      <c r="Z180" s="220" t="str">
        <f t="shared" si="39"/>
        <v>1,39 Instrumento / HH</v>
      </c>
      <c r="AA180" s="221">
        <f t="shared" si="40"/>
        <v>1.39</v>
      </c>
      <c r="AB180" s="222" t="str">
        <f t="shared" si="41"/>
        <v>1,3 Instrumento /HH</v>
      </c>
      <c r="AC180" s="223">
        <f t="shared" si="42"/>
        <v>2</v>
      </c>
      <c r="AD180" s="224">
        <v>1</v>
      </c>
      <c r="AE180" s="225">
        <v>1</v>
      </c>
      <c r="AF180" s="226">
        <f t="shared" si="43"/>
        <v>23.478260869565219</v>
      </c>
      <c r="AG180" s="227">
        <f t="shared" si="44"/>
        <v>422.60869565217394</v>
      </c>
      <c r="AH180" s="228" t="s">
        <v>25</v>
      </c>
      <c r="AI180" s="229" t="str">
        <f t="shared" si="45"/>
        <v>Extremamente Complexa</v>
      </c>
      <c r="AJ180" s="230" t="str">
        <f t="shared" si="46"/>
        <v>Normal</v>
      </c>
      <c r="AK180" s="231">
        <f t="shared" si="47"/>
        <v>603.72670807453426</v>
      </c>
      <c r="AL180" s="232">
        <f t="shared" si="48"/>
        <v>0.5</v>
      </c>
      <c r="AM180" s="233">
        <f t="shared" si="49"/>
        <v>301.86335403726713</v>
      </c>
      <c r="AN180" s="233">
        <f t="shared" si="50"/>
        <v>301.86335403726713</v>
      </c>
      <c r="AO180" s="234">
        <f t="shared" si="51"/>
        <v>1.1917260219198424E-2</v>
      </c>
      <c r="AP180" s="235">
        <f t="shared" si="52"/>
        <v>1</v>
      </c>
      <c r="AQ180" s="235">
        <f t="shared" si="52"/>
        <v>1</v>
      </c>
      <c r="AR180" s="236">
        <f t="shared" si="53"/>
        <v>1</v>
      </c>
      <c r="AS180" s="252">
        <f t="shared" si="54"/>
        <v>1.2777777777777777</v>
      </c>
      <c r="AT180" s="238">
        <f t="shared" si="55"/>
        <v>23</v>
      </c>
      <c r="AU180" s="239">
        <f t="shared" si="56"/>
        <v>0</v>
      </c>
      <c r="AV180" s="239">
        <f t="shared" si="57"/>
        <v>0</v>
      </c>
      <c r="AW180" s="239">
        <f t="shared" si="58"/>
        <v>0.05</v>
      </c>
      <c r="AX180" s="240">
        <f t="shared" si="59"/>
        <v>23</v>
      </c>
      <c r="AY180" s="241">
        <f t="shared" si="60"/>
        <v>-8.9999999999999858E-2</v>
      </c>
      <c r="AZ180" s="242">
        <f>IFERROR(VLOOKUP(M180,'[1]Base Brasil Obras'!$C$2:$F$485,4,0),"")</f>
        <v>1.3888888888888888</v>
      </c>
      <c r="BA180" s="243">
        <f t="shared" si="61"/>
        <v>23.75</v>
      </c>
      <c r="BB180" s="244">
        <f t="shared" si="62"/>
        <v>0</v>
      </c>
      <c r="BC180" s="244">
        <f t="shared" si="63"/>
        <v>0.05</v>
      </c>
      <c r="BD180" s="245">
        <f t="shared" si="64"/>
        <v>0.95</v>
      </c>
      <c r="BE180" s="246">
        <f t="shared" si="65"/>
        <v>1.3888888888888888</v>
      </c>
      <c r="BF180" s="247">
        <v>2</v>
      </c>
      <c r="BG180" s="248">
        <f t="shared" si="66"/>
        <v>1</v>
      </c>
      <c r="BH180" s="198"/>
      <c r="BI180" s="198"/>
      <c r="BJ180" s="199"/>
      <c r="BK180" s="200"/>
      <c r="BL180" s="200"/>
      <c r="BM180" s="200"/>
      <c r="BN180" s="200"/>
      <c r="BO180" s="10"/>
      <c r="BP180" s="249"/>
      <c r="BQ180" s="249"/>
      <c r="BR180" s="249"/>
      <c r="BS180" s="249"/>
      <c r="BT180" s="249"/>
      <c r="BU180" s="249"/>
      <c r="BV180" s="249"/>
      <c r="BW180" s="249"/>
      <c r="BX180" s="249"/>
      <c r="BY180" s="249"/>
      <c r="BZ180" s="249"/>
      <c r="CA180" s="249"/>
      <c r="CB180" s="249"/>
      <c r="CC180" s="249"/>
      <c r="CD180" s="249"/>
      <c r="CE180" s="249"/>
      <c r="CF180" s="249"/>
      <c r="CG180" s="249"/>
      <c r="CH180" s="249"/>
      <c r="CI180" s="249"/>
      <c r="CJ180" s="249"/>
      <c r="CK180" s="249"/>
    </row>
    <row r="181" spans="1:89" ht="18" customHeight="1" x14ac:dyDescent="0.25">
      <c r="A181" s="201">
        <v>73</v>
      </c>
      <c r="B181" s="202">
        <v>15</v>
      </c>
      <c r="C181" s="203">
        <f t="shared" si="34"/>
        <v>0</v>
      </c>
      <c r="D181" s="204"/>
      <c r="E181" s="204"/>
      <c r="F181" s="205" t="s">
        <v>148</v>
      </c>
      <c r="G181" s="206"/>
      <c r="H181" s="207" t="s">
        <v>131</v>
      </c>
      <c r="I181" s="208" t="s">
        <v>125</v>
      </c>
      <c r="J181" s="208" t="s">
        <v>126</v>
      </c>
      <c r="K181" s="209" t="s">
        <v>144</v>
      </c>
      <c r="L181" s="255"/>
      <c r="M181" s="211" t="s">
        <v>224</v>
      </c>
      <c r="N181" s="257"/>
      <c r="O181" s="213">
        <v>50</v>
      </c>
      <c r="P181" s="214"/>
      <c r="Q181" s="214"/>
      <c r="R181" s="214"/>
      <c r="S181" s="214"/>
      <c r="T181" s="214"/>
      <c r="U181" s="215">
        <f t="shared" si="35"/>
        <v>14.25</v>
      </c>
      <c r="V181" s="216">
        <f t="shared" si="36"/>
        <v>-1.7857142857142794E-2</v>
      </c>
      <c r="W181" s="217">
        <f t="shared" si="37"/>
        <v>14.25</v>
      </c>
      <c r="X181" s="218" t="s">
        <v>15</v>
      </c>
      <c r="Y181" s="219" t="str">
        <f t="shared" si="38"/>
        <v>14 pç/Dia</v>
      </c>
      <c r="Z181" s="220" t="str">
        <f t="shared" si="39"/>
        <v>0,83 pç / HH</v>
      </c>
      <c r="AA181" s="221">
        <f t="shared" si="40"/>
        <v>0.83</v>
      </c>
      <c r="AB181" s="222" t="str">
        <f t="shared" si="41"/>
        <v>0,8 pç /HH</v>
      </c>
      <c r="AC181" s="223">
        <f t="shared" si="42"/>
        <v>2</v>
      </c>
      <c r="AD181" s="224">
        <v>1</v>
      </c>
      <c r="AE181" s="225">
        <v>1</v>
      </c>
      <c r="AF181" s="226">
        <f t="shared" si="43"/>
        <v>3.5714285714285716</v>
      </c>
      <c r="AG181" s="227">
        <f t="shared" si="44"/>
        <v>64.285714285714292</v>
      </c>
      <c r="AH181" s="228" t="s">
        <v>25</v>
      </c>
      <c r="AI181" s="229" t="str">
        <f t="shared" si="45"/>
        <v>Extremamente Complexa</v>
      </c>
      <c r="AJ181" s="230" t="str">
        <f t="shared" si="46"/>
        <v>Normal</v>
      </c>
      <c r="AK181" s="231">
        <f t="shared" si="47"/>
        <v>91.83673469387756</v>
      </c>
      <c r="AL181" s="232">
        <f t="shared" si="48"/>
        <v>0.5</v>
      </c>
      <c r="AM181" s="233">
        <f t="shared" si="49"/>
        <v>45.91836734693878</v>
      </c>
      <c r="AN181" s="233">
        <f t="shared" si="50"/>
        <v>45.91836734693878</v>
      </c>
      <c r="AO181" s="234">
        <f t="shared" si="51"/>
        <v>1.8128107476293898E-3</v>
      </c>
      <c r="AP181" s="235">
        <f t="shared" si="52"/>
        <v>1</v>
      </c>
      <c r="AQ181" s="235">
        <f t="shared" si="52"/>
        <v>1</v>
      </c>
      <c r="AR181" s="235">
        <f t="shared" si="53"/>
        <v>1</v>
      </c>
      <c r="AS181" s="251">
        <f t="shared" si="54"/>
        <v>0.77777777777777768</v>
      </c>
      <c r="AT181" s="238">
        <f t="shared" si="55"/>
        <v>14</v>
      </c>
      <c r="AU181" s="239">
        <f t="shared" si="56"/>
        <v>0</v>
      </c>
      <c r="AV181" s="239">
        <f t="shared" si="57"/>
        <v>0</v>
      </c>
      <c r="AW181" s="239">
        <f t="shared" si="58"/>
        <v>0.05</v>
      </c>
      <c r="AX181" s="240">
        <f t="shared" si="59"/>
        <v>14</v>
      </c>
      <c r="AY181" s="241">
        <f t="shared" si="60"/>
        <v>-2.9999999999999916E-2</v>
      </c>
      <c r="AZ181" s="242">
        <f>IFERROR(VLOOKUP(M181,'[1]Base Brasil Obras'!$C$2:$F$485,4,0),"")</f>
        <v>0.83333333333333337</v>
      </c>
      <c r="BA181" s="243">
        <f t="shared" si="61"/>
        <v>14.25</v>
      </c>
      <c r="BB181" s="244">
        <f t="shared" si="62"/>
        <v>0</v>
      </c>
      <c r="BC181" s="244">
        <f t="shared" si="63"/>
        <v>0.05</v>
      </c>
      <c r="BD181" s="245">
        <f t="shared" si="64"/>
        <v>0.95</v>
      </c>
      <c r="BE181" s="246">
        <f t="shared" si="65"/>
        <v>0.83333333333333337</v>
      </c>
      <c r="BF181" s="247">
        <v>2</v>
      </c>
      <c r="BG181" s="248">
        <f t="shared" si="66"/>
        <v>1</v>
      </c>
      <c r="BH181" s="198"/>
      <c r="BI181" s="198"/>
      <c r="BJ181" s="199"/>
      <c r="BK181" s="200"/>
      <c r="BL181" s="200"/>
      <c r="BM181" s="200"/>
      <c r="BN181" s="200"/>
      <c r="BO181" s="10"/>
      <c r="BP181" s="249"/>
      <c r="BQ181" s="249"/>
      <c r="BR181" s="249"/>
      <c r="BS181" s="249"/>
      <c r="BT181" s="249"/>
      <c r="BU181" s="249"/>
      <c r="BV181" s="249"/>
      <c r="BW181" s="249"/>
      <c r="BX181" s="249"/>
      <c r="BY181" s="249"/>
      <c r="BZ181" s="249"/>
      <c r="CA181" s="249"/>
      <c r="CB181" s="249"/>
      <c r="CC181" s="249"/>
      <c r="CD181" s="249"/>
      <c r="CE181" s="249"/>
      <c r="CF181" s="249"/>
      <c r="CG181" s="249"/>
      <c r="CH181" s="249"/>
      <c r="CI181" s="249"/>
      <c r="CJ181" s="249"/>
      <c r="CK181" s="249"/>
    </row>
    <row r="182" spans="1:89" ht="18" customHeight="1" x14ac:dyDescent="0.25">
      <c r="A182" s="201">
        <v>74</v>
      </c>
      <c r="B182" s="202">
        <v>18</v>
      </c>
      <c r="C182" s="203">
        <f t="shared" si="34"/>
        <v>0</v>
      </c>
      <c r="D182" s="204"/>
      <c r="E182" s="204"/>
      <c r="F182" s="205" t="s">
        <v>153</v>
      </c>
      <c r="G182" s="206"/>
      <c r="H182" s="207" t="s">
        <v>115</v>
      </c>
      <c r="I182" s="208" t="s">
        <v>125</v>
      </c>
      <c r="J182" s="208" t="s">
        <v>126</v>
      </c>
      <c r="K182" s="209" t="s">
        <v>225</v>
      </c>
      <c r="L182" s="255"/>
      <c r="M182" s="211" t="s">
        <v>226</v>
      </c>
      <c r="N182" s="257"/>
      <c r="O182" s="213">
        <f>SUMIF([1]Mestre!$G$137:$G$409,THEO!A182,[1]Mestre!$AG$137:$AG$409)</f>
        <v>0</v>
      </c>
      <c r="P182" s="214"/>
      <c r="Q182" s="214"/>
      <c r="R182" s="214"/>
      <c r="S182" s="214"/>
      <c r="T182" s="214"/>
      <c r="U182" s="215">
        <f t="shared" si="35"/>
        <v>17.099999999999998</v>
      </c>
      <c r="V182" s="216">
        <f t="shared" si="36"/>
        <v>-6.8749999999999867E-2</v>
      </c>
      <c r="W182" s="217">
        <f t="shared" si="37"/>
        <v>17.099999999999998</v>
      </c>
      <c r="X182" s="218" t="s">
        <v>3</v>
      </c>
      <c r="Y182" s="219" t="str">
        <f t="shared" si="38"/>
        <v>16 Instrumento/Dia</v>
      </c>
      <c r="Z182" s="220" t="str">
        <f t="shared" si="39"/>
        <v>1 Instrumento / HH</v>
      </c>
      <c r="AA182" s="221">
        <f t="shared" si="40"/>
        <v>1</v>
      </c>
      <c r="AB182" s="222" t="str">
        <f t="shared" si="41"/>
        <v>0 Instrumento /HH</v>
      </c>
      <c r="AC182" s="223">
        <f t="shared" si="42"/>
        <v>2</v>
      </c>
      <c r="AD182" s="224">
        <v>1</v>
      </c>
      <c r="AE182" s="225">
        <v>1</v>
      </c>
      <c r="AF182" s="226">
        <f t="shared" si="43"/>
        <v>0</v>
      </c>
      <c r="AG182" s="227">
        <f t="shared" si="44"/>
        <v>0</v>
      </c>
      <c r="AH182" s="228" t="s">
        <v>25</v>
      </c>
      <c r="AI182" s="229" t="str">
        <f t="shared" si="45"/>
        <v>Extremamente Complexa</v>
      </c>
      <c r="AJ182" s="230" t="str">
        <f t="shared" si="46"/>
        <v>Normal</v>
      </c>
      <c r="AK182" s="231">
        <f t="shared" si="47"/>
        <v>0</v>
      </c>
      <c r="AL182" s="232">
        <f t="shared" si="48"/>
        <v>0.5</v>
      </c>
      <c r="AM182" s="233">
        <f t="shared" si="49"/>
        <v>0</v>
      </c>
      <c r="AN182" s="233">
        <f t="shared" si="50"/>
        <v>0</v>
      </c>
      <c r="AO182" s="234">
        <f t="shared" si="51"/>
        <v>0</v>
      </c>
      <c r="AP182" s="235">
        <f t="shared" si="52"/>
        <v>1</v>
      </c>
      <c r="AQ182" s="235">
        <f t="shared" si="52"/>
        <v>1</v>
      </c>
      <c r="AR182" s="236">
        <f t="shared" si="53"/>
        <v>1</v>
      </c>
      <c r="AS182" s="252">
        <f t="shared" si="54"/>
        <v>0</v>
      </c>
      <c r="AT182" s="238">
        <f t="shared" si="55"/>
        <v>16</v>
      </c>
      <c r="AU182" s="239">
        <f t="shared" si="56"/>
        <v>0</v>
      </c>
      <c r="AV182" s="239">
        <f t="shared" si="57"/>
        <v>0</v>
      </c>
      <c r="AW182" s="239">
        <f t="shared" si="58"/>
        <v>0.05</v>
      </c>
      <c r="AX182" s="240">
        <f t="shared" si="59"/>
        <v>16</v>
      </c>
      <c r="AY182" s="241">
        <f t="shared" si="60"/>
        <v>-1</v>
      </c>
      <c r="AZ182" s="242">
        <f>IFERROR(VLOOKUP(M182,'[1]Base Brasil Obras'!$C$2:$F$485,4,0),"")</f>
        <v>1</v>
      </c>
      <c r="BA182" s="243">
        <f t="shared" si="61"/>
        <v>17.099999999999998</v>
      </c>
      <c r="BB182" s="244">
        <f t="shared" si="62"/>
        <v>0</v>
      </c>
      <c r="BC182" s="244">
        <f t="shared" si="63"/>
        <v>0.05</v>
      </c>
      <c r="BD182" s="245">
        <f t="shared" si="64"/>
        <v>0.95</v>
      </c>
      <c r="BE182" s="246">
        <f t="shared" si="65"/>
        <v>1</v>
      </c>
      <c r="BF182" s="247">
        <v>2</v>
      </c>
      <c r="BG182" s="248">
        <f t="shared" si="66"/>
        <v>1</v>
      </c>
      <c r="BH182" s="198"/>
      <c r="BI182" s="198"/>
      <c r="BJ182" s="199"/>
      <c r="BK182" s="200"/>
      <c r="BL182" s="200"/>
      <c r="BM182" s="200"/>
      <c r="BN182" s="200"/>
      <c r="BO182" s="10"/>
    </row>
    <row r="183" spans="1:89" ht="18" customHeight="1" x14ac:dyDescent="0.25">
      <c r="A183" s="201">
        <v>75</v>
      </c>
      <c r="B183" s="202">
        <v>30</v>
      </c>
      <c r="C183" s="203">
        <f t="shared" si="34"/>
        <v>0</v>
      </c>
      <c r="D183" s="204"/>
      <c r="E183" s="204"/>
      <c r="F183" s="205" t="s">
        <v>146</v>
      </c>
      <c r="G183" s="206"/>
      <c r="H183" s="207" t="s">
        <v>133</v>
      </c>
      <c r="I183" s="208" t="s">
        <v>125</v>
      </c>
      <c r="J183" s="208" t="s">
        <v>126</v>
      </c>
      <c r="K183" s="209" t="s">
        <v>118</v>
      </c>
      <c r="L183" s="255"/>
      <c r="M183" s="211" t="s">
        <v>227</v>
      </c>
      <c r="N183" s="257"/>
      <c r="O183" s="213">
        <v>290</v>
      </c>
      <c r="P183" s="214"/>
      <c r="Q183" s="214"/>
      <c r="R183" s="214"/>
      <c r="S183" s="214"/>
      <c r="T183" s="214"/>
      <c r="U183" s="215">
        <f t="shared" si="35"/>
        <v>28.5</v>
      </c>
      <c r="V183" s="216">
        <f t="shared" si="36"/>
        <v>-5.555555555555558E-2</v>
      </c>
      <c r="W183" s="217">
        <f t="shared" si="37"/>
        <v>28.5</v>
      </c>
      <c r="X183" s="218" t="s">
        <v>11</v>
      </c>
      <c r="Y183" s="219" t="str">
        <f t="shared" si="38"/>
        <v>27 Motores/Dia</v>
      </c>
      <c r="Z183" s="220" t="str">
        <f t="shared" si="39"/>
        <v>1,67 Motores / HH</v>
      </c>
      <c r="AA183" s="221">
        <f t="shared" si="40"/>
        <v>1.67</v>
      </c>
      <c r="AB183" s="222" t="str">
        <f t="shared" si="41"/>
        <v>1,5 Motores /HH</v>
      </c>
      <c r="AC183" s="223">
        <f t="shared" si="42"/>
        <v>2</v>
      </c>
      <c r="AD183" s="224">
        <v>1</v>
      </c>
      <c r="AE183" s="225">
        <v>1</v>
      </c>
      <c r="AF183" s="226">
        <f t="shared" si="43"/>
        <v>10.74074074074074</v>
      </c>
      <c r="AG183" s="227">
        <f t="shared" si="44"/>
        <v>193.33333333333331</v>
      </c>
      <c r="AH183" s="228" t="s">
        <v>25</v>
      </c>
      <c r="AI183" s="229" t="str">
        <f t="shared" si="45"/>
        <v>Extremamente Complexa</v>
      </c>
      <c r="AJ183" s="230" t="str">
        <f t="shared" si="46"/>
        <v>Normal</v>
      </c>
      <c r="AK183" s="231">
        <f t="shared" si="47"/>
        <v>276.1904761904762</v>
      </c>
      <c r="AL183" s="232">
        <f t="shared" si="48"/>
        <v>0.5</v>
      </c>
      <c r="AM183" s="233">
        <f t="shared" si="49"/>
        <v>138.0952380952381</v>
      </c>
      <c r="AN183" s="233">
        <f t="shared" si="50"/>
        <v>138.0952380952381</v>
      </c>
      <c r="AO183" s="234">
        <f t="shared" si="51"/>
        <v>5.4518604706483868E-3</v>
      </c>
      <c r="AP183" s="235">
        <f t="shared" si="52"/>
        <v>1</v>
      </c>
      <c r="AQ183" s="235">
        <f t="shared" si="52"/>
        <v>1</v>
      </c>
      <c r="AR183" s="235">
        <f t="shared" si="53"/>
        <v>1</v>
      </c>
      <c r="AS183" s="251">
        <f t="shared" si="54"/>
        <v>1.5000000000000002</v>
      </c>
      <c r="AT183" s="238">
        <f t="shared" si="55"/>
        <v>27</v>
      </c>
      <c r="AU183" s="239">
        <f t="shared" si="56"/>
        <v>0</v>
      </c>
      <c r="AV183" s="239">
        <f t="shared" si="57"/>
        <v>0</v>
      </c>
      <c r="AW183" s="239">
        <f t="shared" si="58"/>
        <v>0.05</v>
      </c>
      <c r="AX183" s="240">
        <f t="shared" si="59"/>
        <v>27</v>
      </c>
      <c r="AY183" s="241">
        <f t="shared" si="60"/>
        <v>-0.16999999999999993</v>
      </c>
      <c r="AZ183" s="242">
        <f>IFERROR(VLOOKUP(M183,'[1]Base Brasil Obras'!$C$2:$F$485,4,0),"")</f>
        <v>1.6666666666666667</v>
      </c>
      <c r="BA183" s="243">
        <f t="shared" si="61"/>
        <v>28.5</v>
      </c>
      <c r="BB183" s="244">
        <f t="shared" si="62"/>
        <v>0</v>
      </c>
      <c r="BC183" s="244">
        <f t="shared" si="63"/>
        <v>0.05</v>
      </c>
      <c r="BD183" s="245">
        <f t="shared" si="64"/>
        <v>0.95</v>
      </c>
      <c r="BE183" s="246">
        <f t="shared" si="65"/>
        <v>1.6666666666666667</v>
      </c>
      <c r="BF183" s="247">
        <v>2</v>
      </c>
      <c r="BG183" s="248">
        <f t="shared" si="66"/>
        <v>1</v>
      </c>
      <c r="BH183" s="198"/>
      <c r="BI183" s="198"/>
      <c r="BJ183" s="199"/>
      <c r="BK183" s="200"/>
      <c r="BL183" s="200"/>
      <c r="BM183" s="200"/>
      <c r="BN183" s="200"/>
      <c r="BO183" s="10"/>
      <c r="BP183" s="249"/>
      <c r="BQ183" s="249"/>
      <c r="BR183" s="249"/>
      <c r="BS183" s="249"/>
      <c r="BT183" s="249"/>
      <c r="BU183" s="249"/>
      <c r="BV183" s="249"/>
      <c r="BW183" s="249"/>
      <c r="BX183" s="249"/>
      <c r="BY183" s="249"/>
      <c r="BZ183" s="249"/>
      <c r="CA183" s="249"/>
      <c r="CB183" s="249"/>
      <c r="CC183" s="249"/>
      <c r="CD183" s="249"/>
      <c r="CE183" s="249"/>
      <c r="CF183" s="249"/>
      <c r="CG183" s="249"/>
      <c r="CH183" s="249"/>
      <c r="CI183" s="249"/>
      <c r="CJ183" s="249"/>
      <c r="CK183" s="249"/>
    </row>
    <row r="184" spans="1:89" ht="18" customHeight="1" x14ac:dyDescent="0.25">
      <c r="A184" s="201">
        <v>76</v>
      </c>
      <c r="B184" s="202">
        <v>1</v>
      </c>
      <c r="C184" s="203">
        <f t="shared" si="34"/>
        <v>0</v>
      </c>
      <c r="D184" s="204"/>
      <c r="E184" s="204"/>
      <c r="F184" s="205" t="s">
        <v>197</v>
      </c>
      <c r="G184" s="206"/>
      <c r="H184" s="207" t="s">
        <v>149</v>
      </c>
      <c r="I184" s="208" t="s">
        <v>125</v>
      </c>
      <c r="J184" s="208" t="s">
        <v>126</v>
      </c>
      <c r="K184" s="209" t="s">
        <v>198</v>
      </c>
      <c r="L184" s="255"/>
      <c r="M184" s="211" t="s">
        <v>228</v>
      </c>
      <c r="N184" s="257"/>
      <c r="O184" s="213">
        <f>SUMIF([1]Mestre!$G$137:$G$409,THEO!A184,[1]Mestre!$AG$137:$AG$409)</f>
        <v>0</v>
      </c>
      <c r="P184" s="214"/>
      <c r="Q184" s="214"/>
      <c r="R184" s="214"/>
      <c r="S184" s="214"/>
      <c r="T184" s="214"/>
      <c r="U184" s="215">
        <f t="shared" si="35"/>
        <v>0.95</v>
      </c>
      <c r="V184" s="216">
        <f t="shared" si="36"/>
        <v>5.0000000000000044E-2</v>
      </c>
      <c r="W184" s="217">
        <f t="shared" si="37"/>
        <v>0.95</v>
      </c>
      <c r="X184" s="218" t="s">
        <v>0</v>
      </c>
      <c r="Y184" s="219" t="str">
        <f t="shared" si="38"/>
        <v>1 Dias/Dia</v>
      </c>
      <c r="Z184" s="220" t="str">
        <f t="shared" si="39"/>
        <v>0,06 Dias / HH</v>
      </c>
      <c r="AA184" s="221">
        <f t="shared" si="40"/>
        <v>0.06</v>
      </c>
      <c r="AB184" s="222" t="str">
        <f t="shared" si="41"/>
        <v>0 Dias /HH</v>
      </c>
      <c r="AC184" s="223">
        <f t="shared" si="42"/>
        <v>2</v>
      </c>
      <c r="AD184" s="224"/>
      <c r="AE184" s="225">
        <v>2</v>
      </c>
      <c r="AF184" s="226">
        <f t="shared" si="43"/>
        <v>0</v>
      </c>
      <c r="AG184" s="227">
        <f t="shared" si="44"/>
        <v>0</v>
      </c>
      <c r="AH184" s="228" t="s">
        <v>25</v>
      </c>
      <c r="AI184" s="229" t="str">
        <f t="shared" si="45"/>
        <v>Extremamente Complexa</v>
      </c>
      <c r="AJ184" s="230" t="str">
        <f t="shared" si="46"/>
        <v>Normal</v>
      </c>
      <c r="AK184" s="231">
        <f t="shared" si="47"/>
        <v>0</v>
      </c>
      <c r="AL184" s="232">
        <f t="shared" si="48"/>
        <v>0</v>
      </c>
      <c r="AM184" s="233">
        <f t="shared" si="49"/>
        <v>0</v>
      </c>
      <c r="AN184" s="233">
        <f t="shared" si="50"/>
        <v>0</v>
      </c>
      <c r="AO184" s="234">
        <f t="shared" si="51"/>
        <v>0</v>
      </c>
      <c r="AP184" s="235">
        <f t="shared" si="52"/>
        <v>1</v>
      </c>
      <c r="AQ184" s="235">
        <f t="shared" si="52"/>
        <v>1</v>
      </c>
      <c r="AR184" s="236">
        <f t="shared" si="53"/>
        <v>1</v>
      </c>
      <c r="AS184" s="252">
        <f t="shared" si="54"/>
        <v>0</v>
      </c>
      <c r="AT184" s="238">
        <f t="shared" si="55"/>
        <v>1</v>
      </c>
      <c r="AU184" s="239">
        <f t="shared" si="56"/>
        <v>0</v>
      </c>
      <c r="AV184" s="239">
        <f t="shared" si="57"/>
        <v>0</v>
      </c>
      <c r="AW184" s="239">
        <f t="shared" si="58"/>
        <v>0.05</v>
      </c>
      <c r="AX184" s="240">
        <f t="shared" si="59"/>
        <v>1</v>
      </c>
      <c r="AY184" s="241">
        <f t="shared" si="60"/>
        <v>-0.06</v>
      </c>
      <c r="AZ184" s="242">
        <f>IFERROR(VLOOKUP(M184,'[1]Base Brasil Obras'!$C$2:$F$485,4,0),"")</f>
        <v>5.5555555555555552E-2</v>
      </c>
      <c r="BA184" s="243">
        <f t="shared" si="61"/>
        <v>0.95</v>
      </c>
      <c r="BB184" s="244">
        <f t="shared" si="62"/>
        <v>0</v>
      </c>
      <c r="BC184" s="244">
        <f t="shared" si="63"/>
        <v>0.05</v>
      </c>
      <c r="BD184" s="245">
        <f t="shared" si="64"/>
        <v>0.95</v>
      </c>
      <c r="BE184" s="246">
        <f t="shared" si="65"/>
        <v>5.5555555555555552E-2</v>
      </c>
      <c r="BF184" s="247">
        <v>2</v>
      </c>
      <c r="BG184" s="248">
        <f t="shared" si="66"/>
        <v>1</v>
      </c>
      <c r="BH184" s="198"/>
      <c r="BI184" s="198"/>
      <c r="BJ184" s="199"/>
      <c r="BK184" s="200"/>
      <c r="BL184" s="200"/>
      <c r="BM184" s="200"/>
      <c r="BN184" s="200"/>
      <c r="BO184" s="10"/>
      <c r="BP184" s="249"/>
      <c r="BQ184" s="249"/>
      <c r="BR184" s="249"/>
      <c r="BS184" s="249"/>
      <c r="BT184" s="249"/>
      <c r="BU184" s="249"/>
      <c r="BV184" s="249"/>
      <c r="BW184" s="249"/>
      <c r="BX184" s="249"/>
      <c r="BY184" s="249"/>
      <c r="BZ184" s="249"/>
      <c r="CA184" s="249"/>
      <c r="CB184" s="249"/>
      <c r="CC184" s="249"/>
      <c r="CD184" s="249"/>
      <c r="CE184" s="249"/>
      <c r="CF184" s="249"/>
      <c r="CG184" s="249"/>
      <c r="CH184" s="249"/>
      <c r="CI184" s="249"/>
      <c r="CJ184" s="249"/>
      <c r="CK184" s="249"/>
    </row>
    <row r="185" spans="1:89" ht="18" customHeight="1" x14ac:dyDescent="0.25">
      <c r="A185" s="201">
        <v>77</v>
      </c>
      <c r="B185" s="202">
        <v>500</v>
      </c>
      <c r="C185" s="203">
        <f t="shared" si="34"/>
        <v>0</v>
      </c>
      <c r="D185" s="204"/>
      <c r="E185" s="204"/>
      <c r="F185" s="205" t="s">
        <v>146</v>
      </c>
      <c r="G185" s="206"/>
      <c r="H185" s="207" t="s">
        <v>133</v>
      </c>
      <c r="I185" s="208" t="s">
        <v>125</v>
      </c>
      <c r="J185" s="208" t="s">
        <v>126</v>
      </c>
      <c r="K185" s="209" t="s">
        <v>229</v>
      </c>
      <c r="L185" s="255"/>
      <c r="M185" s="211" t="s">
        <v>230</v>
      </c>
      <c r="N185" s="257"/>
      <c r="O185" s="213">
        <f>SUMIF([1]Mestre!$G$137:$G$409,THEO!A185,[1]Mestre!$AG$137:$AG$409)</f>
        <v>0</v>
      </c>
      <c r="P185" s="214"/>
      <c r="Q185" s="214"/>
      <c r="R185" s="214"/>
      <c r="S185" s="214"/>
      <c r="T185" s="214"/>
      <c r="U185" s="215">
        <f t="shared" si="35"/>
        <v>475</v>
      </c>
      <c r="V185" s="216">
        <f t="shared" si="36"/>
        <v>-5.3215077605321515E-2</v>
      </c>
      <c r="W185" s="217">
        <f t="shared" si="37"/>
        <v>475</v>
      </c>
      <c r="X185" s="218" t="s">
        <v>12</v>
      </c>
      <c r="Y185" s="219" t="str">
        <f t="shared" si="38"/>
        <v>451 mt/Dia</v>
      </c>
      <c r="Z185" s="220" t="str">
        <f t="shared" si="39"/>
        <v>18,52 mt / HH</v>
      </c>
      <c r="AA185" s="221">
        <f t="shared" si="40"/>
        <v>18.52</v>
      </c>
      <c r="AB185" s="222" t="str">
        <f t="shared" si="41"/>
        <v>0 mt /HH</v>
      </c>
      <c r="AC185" s="223">
        <f t="shared" si="42"/>
        <v>3</v>
      </c>
      <c r="AD185" s="224">
        <v>2</v>
      </c>
      <c r="AE185" s="225">
        <v>1</v>
      </c>
      <c r="AF185" s="226">
        <f t="shared" si="43"/>
        <v>0</v>
      </c>
      <c r="AG185" s="227">
        <f t="shared" si="44"/>
        <v>0</v>
      </c>
      <c r="AH185" s="228" t="s">
        <v>25</v>
      </c>
      <c r="AI185" s="229" t="str">
        <f t="shared" si="45"/>
        <v>Extremamente Complexa</v>
      </c>
      <c r="AJ185" s="230" t="str">
        <f t="shared" si="46"/>
        <v>Normal</v>
      </c>
      <c r="AK185" s="231">
        <f t="shared" si="47"/>
        <v>0</v>
      </c>
      <c r="AL185" s="232">
        <f t="shared" si="48"/>
        <v>0.66666666666666663</v>
      </c>
      <c r="AM185" s="233">
        <f t="shared" si="49"/>
        <v>0</v>
      </c>
      <c r="AN185" s="233">
        <f t="shared" si="50"/>
        <v>0</v>
      </c>
      <c r="AO185" s="234">
        <f t="shared" si="51"/>
        <v>0</v>
      </c>
      <c r="AP185" s="235">
        <f t="shared" si="52"/>
        <v>1</v>
      </c>
      <c r="AQ185" s="235">
        <f t="shared" si="52"/>
        <v>1</v>
      </c>
      <c r="AR185" s="235">
        <f t="shared" si="53"/>
        <v>1</v>
      </c>
      <c r="AS185" s="251">
        <f t="shared" si="54"/>
        <v>0</v>
      </c>
      <c r="AT185" s="238">
        <f t="shared" si="55"/>
        <v>451</v>
      </c>
      <c r="AU185" s="239">
        <f t="shared" si="56"/>
        <v>0</v>
      </c>
      <c r="AV185" s="239">
        <f t="shared" si="57"/>
        <v>0</v>
      </c>
      <c r="AW185" s="239">
        <f t="shared" si="58"/>
        <v>0.05</v>
      </c>
      <c r="AX185" s="240">
        <f t="shared" si="59"/>
        <v>451</v>
      </c>
      <c r="AY185" s="241">
        <f t="shared" si="60"/>
        <v>-18.52</v>
      </c>
      <c r="AZ185" s="242">
        <f>IFERROR(VLOOKUP(M185,'[1]Base Brasil Obras'!$C$2:$F$485,4,0),"")</f>
        <v>18.518518518518519</v>
      </c>
      <c r="BA185" s="243">
        <f t="shared" si="61"/>
        <v>475</v>
      </c>
      <c r="BB185" s="244">
        <f t="shared" si="62"/>
        <v>0</v>
      </c>
      <c r="BC185" s="244">
        <f t="shared" si="63"/>
        <v>0.05</v>
      </c>
      <c r="BD185" s="245">
        <f t="shared" si="64"/>
        <v>0.95</v>
      </c>
      <c r="BE185" s="246">
        <f t="shared" si="65"/>
        <v>18.518518518518519</v>
      </c>
      <c r="BF185" s="247">
        <v>3</v>
      </c>
      <c r="BG185" s="248">
        <f t="shared" si="66"/>
        <v>1</v>
      </c>
      <c r="BH185" s="198"/>
      <c r="BI185" s="198"/>
      <c r="BJ185" s="199"/>
      <c r="BK185" s="200"/>
      <c r="BL185" s="200"/>
      <c r="BM185" s="200"/>
      <c r="BN185" s="200"/>
      <c r="BO185" s="10"/>
    </row>
    <row r="186" spans="1:89" ht="18" customHeight="1" x14ac:dyDescent="0.25">
      <c r="A186" s="201">
        <v>78</v>
      </c>
      <c r="B186" s="202">
        <v>2</v>
      </c>
      <c r="C186" s="203">
        <f t="shared" si="34"/>
        <v>0</v>
      </c>
      <c r="D186" s="204"/>
      <c r="E186" s="204"/>
      <c r="F186" s="205" t="s">
        <v>129</v>
      </c>
      <c r="G186" s="206"/>
      <c r="H186" s="207" t="s">
        <v>133</v>
      </c>
      <c r="I186" s="208" t="s">
        <v>125</v>
      </c>
      <c r="J186" s="208" t="s">
        <v>126</v>
      </c>
      <c r="K186" s="209" t="s">
        <v>231</v>
      </c>
      <c r="L186" s="255"/>
      <c r="M186" s="211" t="s">
        <v>232</v>
      </c>
      <c r="N186" s="257"/>
      <c r="O186" s="213">
        <f>SUMIF([1]Mestre!$G$137:$G$409,THEO!A186,[1]Mestre!$AG$137:$AG$409)</f>
        <v>0</v>
      </c>
      <c r="P186" s="214"/>
      <c r="Q186" s="214"/>
      <c r="R186" s="214"/>
      <c r="S186" s="214"/>
      <c r="T186" s="214"/>
      <c r="U186" s="215">
        <f t="shared" si="35"/>
        <v>1.9</v>
      </c>
      <c r="V186" s="216">
        <f t="shared" si="36"/>
        <v>5.0000000000000044E-2</v>
      </c>
      <c r="W186" s="217">
        <f t="shared" si="37"/>
        <v>1.9</v>
      </c>
      <c r="X186" s="218" t="s">
        <v>15</v>
      </c>
      <c r="Y186" s="219" t="str">
        <f t="shared" si="38"/>
        <v>2 pç/Dia</v>
      </c>
      <c r="Z186" s="220" t="str">
        <f t="shared" si="39"/>
        <v>0,07 pç / HH</v>
      </c>
      <c r="AA186" s="221">
        <f t="shared" si="40"/>
        <v>7.0000000000000007E-2</v>
      </c>
      <c r="AB186" s="222" t="str">
        <f t="shared" si="41"/>
        <v>0 pç /HH</v>
      </c>
      <c r="AC186" s="223">
        <f t="shared" si="42"/>
        <v>3</v>
      </c>
      <c r="AD186" s="224">
        <v>2</v>
      </c>
      <c r="AE186" s="225">
        <v>1</v>
      </c>
      <c r="AF186" s="226">
        <f t="shared" si="43"/>
        <v>0</v>
      </c>
      <c r="AG186" s="227">
        <f t="shared" si="44"/>
        <v>0</v>
      </c>
      <c r="AH186" s="228" t="s">
        <v>25</v>
      </c>
      <c r="AI186" s="229" t="str">
        <f t="shared" si="45"/>
        <v>Extremamente Complexa</v>
      </c>
      <c r="AJ186" s="230" t="str">
        <f t="shared" si="46"/>
        <v>Normal</v>
      </c>
      <c r="AK186" s="231">
        <f t="shared" si="47"/>
        <v>0</v>
      </c>
      <c r="AL186" s="232">
        <f t="shared" si="48"/>
        <v>0.66666666666666663</v>
      </c>
      <c r="AM186" s="233">
        <f t="shared" si="49"/>
        <v>0</v>
      </c>
      <c r="AN186" s="233">
        <f t="shared" si="50"/>
        <v>0</v>
      </c>
      <c r="AO186" s="234">
        <f t="shared" si="51"/>
        <v>0</v>
      </c>
      <c r="AP186" s="235">
        <f t="shared" si="52"/>
        <v>1</v>
      </c>
      <c r="AQ186" s="235">
        <f t="shared" si="52"/>
        <v>1</v>
      </c>
      <c r="AR186" s="235">
        <f t="shared" si="53"/>
        <v>1</v>
      </c>
      <c r="AS186" s="252">
        <f t="shared" si="54"/>
        <v>0</v>
      </c>
      <c r="AT186" s="284">
        <f t="shared" si="55"/>
        <v>2</v>
      </c>
      <c r="AU186" s="239">
        <f t="shared" si="56"/>
        <v>0</v>
      </c>
      <c r="AV186" s="239">
        <f t="shared" si="57"/>
        <v>0</v>
      </c>
      <c r="AW186" s="239">
        <f t="shared" si="58"/>
        <v>0.05</v>
      </c>
      <c r="AX186" s="240">
        <f t="shared" si="59"/>
        <v>2</v>
      </c>
      <c r="AY186" s="241">
        <f t="shared" si="60"/>
        <v>-7.0000000000000007E-2</v>
      </c>
      <c r="AZ186" s="242">
        <f>IFERROR(VLOOKUP(M186,'[1]Base Brasil Obras'!$C$2:$F$485,4,0),"")</f>
        <v>7.407407407407407E-2</v>
      </c>
      <c r="BA186" s="243">
        <f t="shared" si="61"/>
        <v>1.9</v>
      </c>
      <c r="BB186" s="244">
        <f t="shared" si="62"/>
        <v>0</v>
      </c>
      <c r="BC186" s="244">
        <f t="shared" si="63"/>
        <v>0.05</v>
      </c>
      <c r="BD186" s="245">
        <f t="shared" si="64"/>
        <v>0.95</v>
      </c>
      <c r="BE186" s="246">
        <f t="shared" si="65"/>
        <v>7.407407407407407E-2</v>
      </c>
      <c r="BF186" s="247">
        <v>3</v>
      </c>
      <c r="BG186" s="248">
        <f t="shared" si="66"/>
        <v>1</v>
      </c>
      <c r="BH186" s="198"/>
      <c r="BI186" s="198"/>
      <c r="BJ186" s="199"/>
      <c r="BK186" s="200"/>
      <c r="BL186" s="200"/>
      <c r="BM186" s="200"/>
      <c r="BN186" s="200"/>
      <c r="BO186" s="10"/>
      <c r="BP186" s="249"/>
      <c r="BQ186" s="249"/>
      <c r="BR186" s="249"/>
      <c r="BS186" s="249"/>
      <c r="BT186" s="249"/>
      <c r="BU186" s="249"/>
      <c r="BV186" s="249"/>
      <c r="BW186" s="249"/>
      <c r="BX186" s="249"/>
      <c r="BY186" s="249"/>
      <c r="BZ186" s="249"/>
      <c r="CA186" s="249"/>
      <c r="CB186" s="249"/>
      <c r="CC186" s="249"/>
      <c r="CD186" s="249"/>
      <c r="CE186" s="249"/>
      <c r="CF186" s="249"/>
      <c r="CG186" s="249"/>
      <c r="CH186" s="249"/>
      <c r="CI186" s="249"/>
      <c r="CJ186" s="249"/>
      <c r="CK186" s="249"/>
    </row>
    <row r="187" spans="1:89" ht="18" customHeight="1" x14ac:dyDescent="0.25">
      <c r="A187" s="201">
        <v>79</v>
      </c>
      <c r="B187" s="202">
        <v>500</v>
      </c>
      <c r="C187" s="203">
        <f t="shared" si="34"/>
        <v>0</v>
      </c>
      <c r="D187" s="204"/>
      <c r="E187" s="204"/>
      <c r="F187" s="205" t="s">
        <v>233</v>
      </c>
      <c r="G187" s="206"/>
      <c r="H187" s="207" t="s">
        <v>133</v>
      </c>
      <c r="I187" s="208" t="s">
        <v>125</v>
      </c>
      <c r="J187" s="208" t="s">
        <v>126</v>
      </c>
      <c r="K187" s="209" t="s">
        <v>231</v>
      </c>
      <c r="L187" s="255"/>
      <c r="M187" s="211" t="s">
        <v>234</v>
      </c>
      <c r="N187" s="257"/>
      <c r="O187" s="213">
        <f>SUMIF([1]Mestre!$G$137:$G$409,THEO!A187,[1]Mestre!$AG$137:$AG$409)</f>
        <v>0</v>
      </c>
      <c r="P187" s="214"/>
      <c r="Q187" s="214"/>
      <c r="R187" s="214"/>
      <c r="S187" s="214"/>
      <c r="T187" s="214"/>
      <c r="U187" s="215">
        <f t="shared" si="35"/>
        <v>475</v>
      </c>
      <c r="V187" s="216">
        <f t="shared" si="36"/>
        <v>-5.3215077605321515E-2</v>
      </c>
      <c r="W187" s="217">
        <f t="shared" si="37"/>
        <v>475</v>
      </c>
      <c r="X187" s="218" t="s">
        <v>12</v>
      </c>
      <c r="Y187" s="219" t="str">
        <f t="shared" si="38"/>
        <v>451 mt/Dia</v>
      </c>
      <c r="Z187" s="220" t="str">
        <f t="shared" si="39"/>
        <v>18,52 mt / HH</v>
      </c>
      <c r="AA187" s="221">
        <f t="shared" si="40"/>
        <v>18.52</v>
      </c>
      <c r="AB187" s="222" t="str">
        <f t="shared" si="41"/>
        <v>0 mt /HH</v>
      </c>
      <c r="AC187" s="223">
        <f t="shared" si="42"/>
        <v>3</v>
      </c>
      <c r="AD187" s="224">
        <v>3</v>
      </c>
      <c r="AE187" s="225">
        <v>0</v>
      </c>
      <c r="AF187" s="226">
        <f t="shared" si="43"/>
        <v>0</v>
      </c>
      <c r="AG187" s="227">
        <f t="shared" si="44"/>
        <v>0</v>
      </c>
      <c r="AH187" s="228" t="s">
        <v>25</v>
      </c>
      <c r="AI187" s="229" t="str">
        <f t="shared" si="45"/>
        <v>Extremamente Complexa</v>
      </c>
      <c r="AJ187" s="230" t="str">
        <f t="shared" si="46"/>
        <v>Normal</v>
      </c>
      <c r="AK187" s="231">
        <f t="shared" si="47"/>
        <v>0</v>
      </c>
      <c r="AL187" s="232">
        <f t="shared" si="48"/>
        <v>1</v>
      </c>
      <c r="AM187" s="233">
        <f t="shared" si="49"/>
        <v>0</v>
      </c>
      <c r="AN187" s="233">
        <f t="shared" si="50"/>
        <v>0</v>
      </c>
      <c r="AO187" s="234">
        <f t="shared" si="51"/>
        <v>0</v>
      </c>
      <c r="AP187" s="235">
        <f t="shared" si="52"/>
        <v>1</v>
      </c>
      <c r="AQ187" s="235">
        <f t="shared" si="52"/>
        <v>1</v>
      </c>
      <c r="AR187" s="235">
        <f t="shared" si="53"/>
        <v>1</v>
      </c>
      <c r="AS187" s="251">
        <f t="shared" si="54"/>
        <v>0</v>
      </c>
      <c r="AT187" s="238">
        <f t="shared" si="55"/>
        <v>451</v>
      </c>
      <c r="AU187" s="239">
        <f t="shared" si="56"/>
        <v>0</v>
      </c>
      <c r="AV187" s="239">
        <f t="shared" si="57"/>
        <v>0</v>
      </c>
      <c r="AW187" s="239">
        <f t="shared" si="58"/>
        <v>0.05</v>
      </c>
      <c r="AX187" s="240">
        <f t="shared" si="59"/>
        <v>451</v>
      </c>
      <c r="AY187" s="241">
        <f t="shared" si="60"/>
        <v>-18.52</v>
      </c>
      <c r="AZ187" s="242">
        <f>IFERROR(VLOOKUP(M187,'[1]Base Brasil Obras'!$C$2:$F$485,4,0),"")</f>
        <v>18.518518518518519</v>
      </c>
      <c r="BA187" s="243">
        <f t="shared" si="61"/>
        <v>475</v>
      </c>
      <c r="BB187" s="244">
        <f t="shared" si="62"/>
        <v>0</v>
      </c>
      <c r="BC187" s="244">
        <f t="shared" si="63"/>
        <v>0.05</v>
      </c>
      <c r="BD187" s="245">
        <f t="shared" si="64"/>
        <v>0.95</v>
      </c>
      <c r="BE187" s="246">
        <f t="shared" si="65"/>
        <v>18.518518518518519</v>
      </c>
      <c r="BF187" s="247">
        <v>3</v>
      </c>
      <c r="BG187" s="248">
        <f t="shared" si="66"/>
        <v>1</v>
      </c>
      <c r="BH187" s="198"/>
      <c r="BI187" s="198"/>
      <c r="BJ187" s="199"/>
      <c r="BK187" s="200"/>
      <c r="BL187" s="200"/>
      <c r="BM187" s="200"/>
      <c r="BN187" s="200"/>
      <c r="BO187" s="10"/>
    </row>
    <row r="188" spans="1:89" ht="18" x14ac:dyDescent="0.25">
      <c r="A188" s="201">
        <v>80</v>
      </c>
      <c r="B188" s="202">
        <v>450.00000000000006</v>
      </c>
      <c r="C188" s="203">
        <f t="shared" si="34"/>
        <v>0</v>
      </c>
      <c r="D188" s="204"/>
      <c r="E188" s="204"/>
      <c r="F188" s="205" t="s">
        <v>114</v>
      </c>
      <c r="G188" s="206"/>
      <c r="H188" s="207" t="s">
        <v>133</v>
      </c>
      <c r="I188" s="208" t="s">
        <v>125</v>
      </c>
      <c r="J188" s="208" t="s">
        <v>126</v>
      </c>
      <c r="K188" s="209" t="s">
        <v>231</v>
      </c>
      <c r="L188" s="255"/>
      <c r="M188" s="211" t="s">
        <v>235</v>
      </c>
      <c r="N188" s="257"/>
      <c r="O188" s="213">
        <f>SUMIF([1]Mestre!$G$137:$G$409,THEO!A188,[1]Mestre!$AG$137:$AG$409)</f>
        <v>100</v>
      </c>
      <c r="P188" s="214"/>
      <c r="Q188" s="214"/>
      <c r="R188" s="214"/>
      <c r="S188" s="214"/>
      <c r="T188" s="214"/>
      <c r="U188" s="215">
        <f t="shared" si="35"/>
        <v>427.50000000000006</v>
      </c>
      <c r="V188" s="216">
        <f t="shared" si="36"/>
        <v>-5.2955665024630783E-2</v>
      </c>
      <c r="W188" s="217">
        <f t="shared" si="37"/>
        <v>427.50000000000006</v>
      </c>
      <c r="X188" s="218" t="s">
        <v>12</v>
      </c>
      <c r="Y188" s="219" t="str">
        <f t="shared" si="38"/>
        <v>406 mt/Dia</v>
      </c>
      <c r="Z188" s="220" t="str">
        <f t="shared" si="39"/>
        <v>16,67 mt / HH</v>
      </c>
      <c r="AA188" s="221">
        <f t="shared" si="40"/>
        <v>16.670000000000002</v>
      </c>
      <c r="AB188" s="222" t="str">
        <f t="shared" si="41"/>
        <v>15 mt /HH</v>
      </c>
      <c r="AC188" s="223">
        <f t="shared" si="42"/>
        <v>3</v>
      </c>
      <c r="AD188" s="224">
        <v>3</v>
      </c>
      <c r="AE188" s="225">
        <v>0</v>
      </c>
      <c r="AF188" s="226">
        <f t="shared" si="43"/>
        <v>0.24630541871921183</v>
      </c>
      <c r="AG188" s="227">
        <f t="shared" si="44"/>
        <v>6.6502463054187189</v>
      </c>
      <c r="AH188" s="228" t="s">
        <v>25</v>
      </c>
      <c r="AI188" s="229" t="str">
        <f t="shared" si="45"/>
        <v>Extremamente Complexa</v>
      </c>
      <c r="AJ188" s="230" t="str">
        <f t="shared" si="46"/>
        <v>Normal</v>
      </c>
      <c r="AK188" s="231">
        <f t="shared" si="47"/>
        <v>9.5003518648838838</v>
      </c>
      <c r="AL188" s="232">
        <f t="shared" si="48"/>
        <v>1</v>
      </c>
      <c r="AM188" s="233">
        <f t="shared" si="49"/>
        <v>9.5003518648838838</v>
      </c>
      <c r="AN188" s="233">
        <f t="shared" si="50"/>
        <v>0</v>
      </c>
      <c r="AO188" s="234">
        <f t="shared" si="51"/>
        <v>1.8753214630648856E-4</v>
      </c>
      <c r="AP188" s="235">
        <f t="shared" si="52"/>
        <v>1</v>
      </c>
      <c r="AQ188" s="235">
        <f t="shared" si="52"/>
        <v>1</v>
      </c>
      <c r="AR188" s="236">
        <f t="shared" si="53"/>
        <v>1</v>
      </c>
      <c r="AS188" s="252">
        <f t="shared" si="54"/>
        <v>15.037037037037038</v>
      </c>
      <c r="AT188" s="238">
        <f t="shared" si="55"/>
        <v>406</v>
      </c>
      <c r="AU188" s="239">
        <f t="shared" si="56"/>
        <v>0</v>
      </c>
      <c r="AV188" s="239">
        <f t="shared" si="57"/>
        <v>0</v>
      </c>
      <c r="AW188" s="239">
        <f t="shared" si="58"/>
        <v>0.05</v>
      </c>
      <c r="AX188" s="240">
        <f t="shared" si="59"/>
        <v>406</v>
      </c>
      <c r="AY188" s="241">
        <f t="shared" si="60"/>
        <v>-1.6700000000000017</v>
      </c>
      <c r="AZ188" s="242">
        <f>IFERROR(VLOOKUP(M188,'[1]Base Brasil Obras'!$C$2:$F$485,4,0),"")</f>
        <v>16.666666666666668</v>
      </c>
      <c r="BA188" s="243">
        <f t="shared" si="61"/>
        <v>427.50000000000006</v>
      </c>
      <c r="BB188" s="244">
        <f t="shared" si="62"/>
        <v>0</v>
      </c>
      <c r="BC188" s="244">
        <f t="shared" si="63"/>
        <v>0.05</v>
      </c>
      <c r="BD188" s="245">
        <f t="shared" si="64"/>
        <v>0.95</v>
      </c>
      <c r="BE188" s="246">
        <f t="shared" si="65"/>
        <v>16.666666666666668</v>
      </c>
      <c r="BF188" s="247">
        <v>3</v>
      </c>
      <c r="BG188" s="248">
        <f t="shared" si="66"/>
        <v>1</v>
      </c>
      <c r="BH188" s="198"/>
      <c r="BI188" s="198"/>
      <c r="BJ188" s="199"/>
      <c r="BK188" s="200"/>
      <c r="BL188" s="200"/>
      <c r="BM188" s="200"/>
      <c r="BN188" s="200"/>
      <c r="BO188" s="10"/>
    </row>
    <row r="189" spans="1:89" ht="18" customHeight="1" x14ac:dyDescent="0.25">
      <c r="A189" s="201">
        <v>81</v>
      </c>
      <c r="B189" s="202">
        <v>20</v>
      </c>
      <c r="C189" s="203">
        <f t="shared" si="34"/>
        <v>0</v>
      </c>
      <c r="D189" s="204"/>
      <c r="E189" s="204"/>
      <c r="F189" s="205" t="s">
        <v>157</v>
      </c>
      <c r="G189" s="206"/>
      <c r="H189" s="207" t="s">
        <v>131</v>
      </c>
      <c r="I189" s="208" t="s">
        <v>125</v>
      </c>
      <c r="J189" s="208" t="s">
        <v>126</v>
      </c>
      <c r="K189" s="209" t="s">
        <v>154</v>
      </c>
      <c r="L189" s="255"/>
      <c r="M189" s="211" t="s">
        <v>236</v>
      </c>
      <c r="N189" s="257"/>
      <c r="O189" s="213">
        <f>SUMIF([1]Mestre!$G$137:$G$409,THEO!A189,[1]Mestre!$AG$137:$AG$409)</f>
        <v>0</v>
      </c>
      <c r="P189" s="214"/>
      <c r="Q189" s="214"/>
      <c r="R189" s="214"/>
      <c r="S189" s="214"/>
      <c r="T189" s="214"/>
      <c r="U189" s="215">
        <f t="shared" si="35"/>
        <v>19</v>
      </c>
      <c r="V189" s="216">
        <f t="shared" si="36"/>
        <v>-5.555555555555558E-2</v>
      </c>
      <c r="W189" s="217">
        <f t="shared" si="37"/>
        <v>19</v>
      </c>
      <c r="X189" s="218" t="s">
        <v>11</v>
      </c>
      <c r="Y189" s="219" t="str">
        <f t="shared" si="38"/>
        <v>18 Motores/Dia</v>
      </c>
      <c r="Z189" s="220" t="str">
        <f t="shared" si="39"/>
        <v>1,11 Motores / HH</v>
      </c>
      <c r="AA189" s="221">
        <f t="shared" si="40"/>
        <v>1.1100000000000001</v>
      </c>
      <c r="AB189" s="222" t="str">
        <f t="shared" si="41"/>
        <v>0 Motores /HH</v>
      </c>
      <c r="AC189" s="223">
        <f t="shared" si="42"/>
        <v>2</v>
      </c>
      <c r="AD189" s="224">
        <v>1</v>
      </c>
      <c r="AE189" s="225">
        <v>1</v>
      </c>
      <c r="AF189" s="226">
        <f t="shared" si="43"/>
        <v>0</v>
      </c>
      <c r="AG189" s="227">
        <f t="shared" si="44"/>
        <v>0</v>
      </c>
      <c r="AH189" s="228" t="s">
        <v>25</v>
      </c>
      <c r="AI189" s="229" t="str">
        <f t="shared" si="45"/>
        <v>Extremamente Complexa</v>
      </c>
      <c r="AJ189" s="230" t="str">
        <f t="shared" si="46"/>
        <v>Normal</v>
      </c>
      <c r="AK189" s="231">
        <f t="shared" si="47"/>
        <v>0</v>
      </c>
      <c r="AL189" s="232">
        <f t="shared" si="48"/>
        <v>0.5</v>
      </c>
      <c r="AM189" s="233">
        <f t="shared" si="49"/>
        <v>0</v>
      </c>
      <c r="AN189" s="233">
        <f t="shared" si="50"/>
        <v>0</v>
      </c>
      <c r="AO189" s="234">
        <f t="shared" si="51"/>
        <v>0</v>
      </c>
      <c r="AP189" s="235">
        <f t="shared" si="52"/>
        <v>1</v>
      </c>
      <c r="AQ189" s="235">
        <f t="shared" si="52"/>
        <v>1</v>
      </c>
      <c r="AR189" s="235">
        <f t="shared" si="53"/>
        <v>1</v>
      </c>
      <c r="AS189" s="251">
        <f t="shared" si="54"/>
        <v>0</v>
      </c>
      <c r="AT189" s="238">
        <f t="shared" si="55"/>
        <v>18</v>
      </c>
      <c r="AU189" s="239">
        <f t="shared" si="56"/>
        <v>0</v>
      </c>
      <c r="AV189" s="239">
        <f t="shared" si="57"/>
        <v>0</v>
      </c>
      <c r="AW189" s="239">
        <f t="shared" si="58"/>
        <v>0.05</v>
      </c>
      <c r="AX189" s="240">
        <f t="shared" si="59"/>
        <v>18</v>
      </c>
      <c r="AY189" s="241">
        <f t="shared" si="60"/>
        <v>-1.1100000000000001</v>
      </c>
      <c r="AZ189" s="242">
        <f>IFERROR(VLOOKUP(M189,'[1]Base Brasil Obras'!$C$2:$F$485,4,0),"")</f>
        <v>1.1111111111111112</v>
      </c>
      <c r="BA189" s="243">
        <f t="shared" si="61"/>
        <v>19</v>
      </c>
      <c r="BB189" s="244">
        <f t="shared" si="62"/>
        <v>0</v>
      </c>
      <c r="BC189" s="244">
        <f t="shared" si="63"/>
        <v>0.05</v>
      </c>
      <c r="BD189" s="245">
        <f t="shared" si="64"/>
        <v>0.95</v>
      </c>
      <c r="BE189" s="246">
        <f t="shared" si="65"/>
        <v>1.1111111111111112</v>
      </c>
      <c r="BF189" s="247">
        <v>2</v>
      </c>
      <c r="BG189" s="248">
        <f t="shared" si="66"/>
        <v>1</v>
      </c>
      <c r="BH189" s="198"/>
      <c r="BI189" s="198"/>
      <c r="BJ189" s="199"/>
      <c r="BK189" s="200"/>
      <c r="BL189" s="200"/>
      <c r="BM189" s="200"/>
      <c r="BN189" s="200"/>
      <c r="BO189" s="10"/>
    </row>
    <row r="190" spans="1:89" ht="18" x14ac:dyDescent="0.25">
      <c r="A190" s="201">
        <v>82</v>
      </c>
      <c r="B190" s="202">
        <v>8</v>
      </c>
      <c r="C190" s="203">
        <f t="shared" si="34"/>
        <v>0</v>
      </c>
      <c r="D190" s="204"/>
      <c r="E190" s="204"/>
      <c r="F190" s="205" t="s">
        <v>153</v>
      </c>
      <c r="G190" s="206"/>
      <c r="H190" s="207" t="s">
        <v>237</v>
      </c>
      <c r="I190" s="208" t="s">
        <v>125</v>
      </c>
      <c r="J190" s="208" t="s">
        <v>126</v>
      </c>
      <c r="K190" s="209" t="s">
        <v>154</v>
      </c>
      <c r="L190" s="255"/>
      <c r="M190" s="211" t="s">
        <v>238</v>
      </c>
      <c r="N190" s="257"/>
      <c r="O190" s="213">
        <f>SUMIF([1]Mestre!$G$137:$G$409,THEO!A190,[1]Mestre!$AG$137:$AG$409)</f>
        <v>0</v>
      </c>
      <c r="P190" s="214"/>
      <c r="Q190" s="214"/>
      <c r="R190" s="214"/>
      <c r="S190" s="214"/>
      <c r="T190" s="214"/>
      <c r="U190" s="215">
        <f t="shared" si="35"/>
        <v>7.6</v>
      </c>
      <c r="V190" s="216">
        <f t="shared" si="36"/>
        <v>-8.5714285714285632E-2</v>
      </c>
      <c r="W190" s="217">
        <f t="shared" si="37"/>
        <v>7.6</v>
      </c>
      <c r="X190" s="218" t="s">
        <v>15</v>
      </c>
      <c r="Y190" s="219" t="str">
        <f t="shared" si="38"/>
        <v>7 pç/Dia</v>
      </c>
      <c r="Z190" s="220" t="str">
        <f t="shared" si="39"/>
        <v>0,44 pç / HH</v>
      </c>
      <c r="AA190" s="221">
        <f t="shared" si="40"/>
        <v>0.44</v>
      </c>
      <c r="AB190" s="222" t="str">
        <f t="shared" si="41"/>
        <v>0 pç /HH</v>
      </c>
      <c r="AC190" s="223">
        <f t="shared" si="42"/>
        <v>2</v>
      </c>
      <c r="AD190" s="224">
        <v>1</v>
      </c>
      <c r="AE190" s="225">
        <v>1</v>
      </c>
      <c r="AF190" s="226">
        <f t="shared" si="43"/>
        <v>0</v>
      </c>
      <c r="AG190" s="227">
        <f t="shared" si="44"/>
        <v>0</v>
      </c>
      <c r="AH190" s="228" t="s">
        <v>25</v>
      </c>
      <c r="AI190" s="229" t="str">
        <f t="shared" si="45"/>
        <v>Extremamente Complexa</v>
      </c>
      <c r="AJ190" s="230" t="str">
        <f t="shared" si="46"/>
        <v>Normal</v>
      </c>
      <c r="AK190" s="231">
        <f t="shared" si="47"/>
        <v>0</v>
      </c>
      <c r="AL190" s="232">
        <f t="shared" si="48"/>
        <v>0.5</v>
      </c>
      <c r="AM190" s="233">
        <f t="shared" si="49"/>
        <v>0</v>
      </c>
      <c r="AN190" s="233">
        <f t="shared" si="50"/>
        <v>0</v>
      </c>
      <c r="AO190" s="234">
        <f t="shared" si="51"/>
        <v>0</v>
      </c>
      <c r="AP190" s="235">
        <f t="shared" si="52"/>
        <v>1</v>
      </c>
      <c r="AQ190" s="235">
        <f t="shared" si="52"/>
        <v>1</v>
      </c>
      <c r="AR190" s="236">
        <f t="shared" si="53"/>
        <v>1</v>
      </c>
      <c r="AS190" s="252">
        <f t="shared" si="54"/>
        <v>0</v>
      </c>
      <c r="AT190" s="238">
        <f t="shared" si="55"/>
        <v>7</v>
      </c>
      <c r="AU190" s="239">
        <f t="shared" si="56"/>
        <v>0</v>
      </c>
      <c r="AV190" s="239">
        <f t="shared" si="57"/>
        <v>0</v>
      </c>
      <c r="AW190" s="239">
        <f t="shared" si="58"/>
        <v>0.05</v>
      </c>
      <c r="AX190" s="240">
        <f t="shared" si="59"/>
        <v>7</v>
      </c>
      <c r="AY190" s="241">
        <f t="shared" si="60"/>
        <v>-0.44</v>
      </c>
      <c r="AZ190" s="242">
        <f>IFERROR(VLOOKUP(M190,'[1]Base Brasil Obras'!$C$2:$F$485,4,0),"")</f>
        <v>0.44444444444444442</v>
      </c>
      <c r="BA190" s="243">
        <f t="shared" si="61"/>
        <v>7.6</v>
      </c>
      <c r="BB190" s="244">
        <f t="shared" si="62"/>
        <v>0</v>
      </c>
      <c r="BC190" s="244">
        <f t="shared" si="63"/>
        <v>0.05</v>
      </c>
      <c r="BD190" s="245">
        <f t="shared" si="64"/>
        <v>0.95</v>
      </c>
      <c r="BE190" s="246">
        <f t="shared" si="65"/>
        <v>0.44444444444444442</v>
      </c>
      <c r="BF190" s="247">
        <v>2</v>
      </c>
      <c r="BG190" s="248">
        <f t="shared" si="66"/>
        <v>1</v>
      </c>
      <c r="BH190" s="198"/>
      <c r="BI190" s="198"/>
      <c r="BJ190" s="199"/>
      <c r="BK190" s="200"/>
      <c r="BL190" s="200"/>
      <c r="BM190" s="200"/>
      <c r="BN190" s="200"/>
      <c r="BO190" s="10"/>
    </row>
    <row r="191" spans="1:89" ht="18" customHeight="1" x14ac:dyDescent="0.25">
      <c r="A191" s="201">
        <v>83</v>
      </c>
      <c r="B191" s="202">
        <v>38</v>
      </c>
      <c r="C191" s="203">
        <f t="shared" si="34"/>
        <v>0</v>
      </c>
      <c r="D191" s="204"/>
      <c r="E191" s="204"/>
      <c r="F191" s="205" t="s">
        <v>197</v>
      </c>
      <c r="G191" s="206"/>
      <c r="H191" s="207" t="s">
        <v>115</v>
      </c>
      <c r="I191" s="208" t="s">
        <v>125</v>
      </c>
      <c r="J191" s="208" t="s">
        <v>126</v>
      </c>
      <c r="K191" s="209" t="s">
        <v>154</v>
      </c>
      <c r="L191" s="255"/>
      <c r="M191" s="211" t="s">
        <v>239</v>
      </c>
      <c r="N191" s="257"/>
      <c r="O191" s="213">
        <v>185</v>
      </c>
      <c r="P191" s="214"/>
      <c r="Q191" s="214"/>
      <c r="R191" s="214"/>
      <c r="S191" s="214"/>
      <c r="T191" s="214"/>
      <c r="U191" s="215">
        <f t="shared" si="35"/>
        <v>36.1</v>
      </c>
      <c r="V191" s="216">
        <f t="shared" si="36"/>
        <v>-6.1764705882352944E-2</v>
      </c>
      <c r="W191" s="217">
        <f t="shared" si="37"/>
        <v>36.1</v>
      </c>
      <c r="X191" s="218" t="s">
        <v>3</v>
      </c>
      <c r="Y191" s="219" t="str">
        <f t="shared" si="38"/>
        <v>34 Instrumento/Dia</v>
      </c>
      <c r="Z191" s="220" t="str">
        <f t="shared" si="39"/>
        <v>4,22 Instrumento / HH</v>
      </c>
      <c r="AA191" s="221">
        <f t="shared" si="40"/>
        <v>4.22</v>
      </c>
      <c r="AB191" s="222" t="str">
        <f t="shared" si="41"/>
        <v>3,8 Instrumento /HH</v>
      </c>
      <c r="AC191" s="223">
        <f t="shared" si="42"/>
        <v>1</v>
      </c>
      <c r="AD191" s="224">
        <v>0</v>
      </c>
      <c r="AE191" s="225">
        <v>1</v>
      </c>
      <c r="AF191" s="226">
        <f t="shared" si="43"/>
        <v>5.4411764705882355</v>
      </c>
      <c r="AG191" s="227">
        <f t="shared" si="44"/>
        <v>48.970588235294116</v>
      </c>
      <c r="AH191" s="228" t="s">
        <v>25</v>
      </c>
      <c r="AI191" s="229" t="str">
        <f t="shared" si="45"/>
        <v>Extremamente Complexa</v>
      </c>
      <c r="AJ191" s="230" t="str">
        <f t="shared" si="46"/>
        <v>Normal</v>
      </c>
      <c r="AK191" s="231">
        <f t="shared" si="47"/>
        <v>69.957983193277315</v>
      </c>
      <c r="AL191" s="232">
        <f t="shared" si="48"/>
        <v>0</v>
      </c>
      <c r="AM191" s="233">
        <f t="shared" si="49"/>
        <v>0</v>
      </c>
      <c r="AN191" s="233">
        <f t="shared" si="50"/>
        <v>69.957983193277315</v>
      </c>
      <c r="AO191" s="234">
        <f t="shared" si="51"/>
        <v>1.3809352459882704E-3</v>
      </c>
      <c r="AP191" s="235">
        <f t="shared" si="52"/>
        <v>1</v>
      </c>
      <c r="AQ191" s="235">
        <f t="shared" si="52"/>
        <v>1</v>
      </c>
      <c r="AR191" s="235">
        <f t="shared" si="53"/>
        <v>1</v>
      </c>
      <c r="AS191" s="251">
        <f t="shared" si="54"/>
        <v>3.7777777777777781</v>
      </c>
      <c r="AT191" s="238">
        <f t="shared" si="55"/>
        <v>34</v>
      </c>
      <c r="AU191" s="239">
        <f t="shared" si="56"/>
        <v>0</v>
      </c>
      <c r="AV191" s="239">
        <f t="shared" si="57"/>
        <v>0</v>
      </c>
      <c r="AW191" s="239">
        <f t="shared" si="58"/>
        <v>0.05</v>
      </c>
      <c r="AX191" s="240">
        <f t="shared" si="59"/>
        <v>34</v>
      </c>
      <c r="AY191" s="241">
        <f t="shared" si="60"/>
        <v>-0.41999999999999993</v>
      </c>
      <c r="AZ191" s="242">
        <f>IFERROR(VLOOKUP(M191,'[1]Base Brasil Obras'!$C$2:$F$485,4,0),"")</f>
        <v>4.2222222222222223</v>
      </c>
      <c r="BA191" s="243">
        <f t="shared" si="61"/>
        <v>36.1</v>
      </c>
      <c r="BB191" s="244">
        <f t="shared" si="62"/>
        <v>0</v>
      </c>
      <c r="BC191" s="244">
        <f t="shared" si="63"/>
        <v>0.05</v>
      </c>
      <c r="BD191" s="245">
        <f t="shared" si="64"/>
        <v>0.95</v>
      </c>
      <c r="BE191" s="246">
        <f t="shared" si="65"/>
        <v>4.2222222222222223</v>
      </c>
      <c r="BF191" s="247">
        <v>1</v>
      </c>
      <c r="BG191" s="248">
        <f t="shared" si="66"/>
        <v>1</v>
      </c>
      <c r="BH191" s="198"/>
      <c r="BI191" s="198"/>
      <c r="BJ191" s="199"/>
      <c r="BK191" s="200"/>
      <c r="BL191" s="200"/>
      <c r="BM191" s="200"/>
      <c r="BN191" s="200"/>
      <c r="BO191" s="10"/>
    </row>
    <row r="192" spans="1:89" ht="18" customHeight="1" x14ac:dyDescent="0.25">
      <c r="A192" s="201">
        <v>84</v>
      </c>
      <c r="B192" s="202">
        <v>40</v>
      </c>
      <c r="C192" s="203">
        <f t="shared" si="34"/>
        <v>0</v>
      </c>
      <c r="D192" s="204"/>
      <c r="E192" s="204"/>
      <c r="F192" s="205" t="s">
        <v>157</v>
      </c>
      <c r="G192" s="206"/>
      <c r="H192" s="207" t="s">
        <v>237</v>
      </c>
      <c r="I192" s="208" t="s">
        <v>125</v>
      </c>
      <c r="J192" s="208" t="s">
        <v>126</v>
      </c>
      <c r="K192" s="209" t="s">
        <v>154</v>
      </c>
      <c r="L192" s="255"/>
      <c r="M192" s="211" t="s">
        <v>240</v>
      </c>
      <c r="N192" s="257"/>
      <c r="O192" s="213">
        <v>540</v>
      </c>
      <c r="P192" s="214"/>
      <c r="Q192" s="214"/>
      <c r="R192" s="214"/>
      <c r="S192" s="214"/>
      <c r="T192" s="214"/>
      <c r="U192" s="215">
        <f t="shared" si="35"/>
        <v>38</v>
      </c>
      <c r="V192" s="216">
        <f t="shared" si="36"/>
        <v>-5.555555555555558E-2</v>
      </c>
      <c r="W192" s="217">
        <f t="shared" si="37"/>
        <v>38</v>
      </c>
      <c r="X192" s="218" t="s">
        <v>3</v>
      </c>
      <c r="Y192" s="219" t="str">
        <f t="shared" si="38"/>
        <v>36 Instrumento/Dia</v>
      </c>
      <c r="Z192" s="220" t="str">
        <f t="shared" si="39"/>
        <v>2,22 Instrumento / HH</v>
      </c>
      <c r="AA192" s="221">
        <f t="shared" si="40"/>
        <v>2.2200000000000002</v>
      </c>
      <c r="AB192" s="222" t="str">
        <f t="shared" si="41"/>
        <v>2 Instrumento /HH</v>
      </c>
      <c r="AC192" s="223">
        <f t="shared" si="42"/>
        <v>2</v>
      </c>
      <c r="AD192" s="224">
        <v>1</v>
      </c>
      <c r="AE192" s="225">
        <v>1</v>
      </c>
      <c r="AF192" s="226">
        <f t="shared" si="43"/>
        <v>15</v>
      </c>
      <c r="AG192" s="227">
        <f t="shared" si="44"/>
        <v>270</v>
      </c>
      <c r="AH192" s="228" t="s">
        <v>25</v>
      </c>
      <c r="AI192" s="229" t="str">
        <f t="shared" si="45"/>
        <v>Extremamente Complexa</v>
      </c>
      <c r="AJ192" s="230" t="str">
        <f t="shared" si="46"/>
        <v>Normal</v>
      </c>
      <c r="AK192" s="231">
        <f t="shared" si="47"/>
        <v>385.71428571428572</v>
      </c>
      <c r="AL192" s="232">
        <f t="shared" si="48"/>
        <v>0.5</v>
      </c>
      <c r="AM192" s="233">
        <f t="shared" si="49"/>
        <v>192.85714285714286</v>
      </c>
      <c r="AN192" s="233">
        <f t="shared" si="50"/>
        <v>192.85714285714286</v>
      </c>
      <c r="AO192" s="234">
        <f t="shared" si="51"/>
        <v>7.6138051400434364E-3</v>
      </c>
      <c r="AP192" s="235">
        <f t="shared" si="52"/>
        <v>1</v>
      </c>
      <c r="AQ192" s="235">
        <f t="shared" si="52"/>
        <v>1</v>
      </c>
      <c r="AR192" s="236">
        <f t="shared" si="53"/>
        <v>1</v>
      </c>
      <c r="AS192" s="252">
        <f t="shared" si="54"/>
        <v>2</v>
      </c>
      <c r="AT192" s="238">
        <f t="shared" si="55"/>
        <v>36</v>
      </c>
      <c r="AU192" s="239">
        <f t="shared" si="56"/>
        <v>0</v>
      </c>
      <c r="AV192" s="239">
        <f t="shared" si="57"/>
        <v>0</v>
      </c>
      <c r="AW192" s="239">
        <f t="shared" si="58"/>
        <v>0.05</v>
      </c>
      <c r="AX192" s="240">
        <f t="shared" si="59"/>
        <v>36</v>
      </c>
      <c r="AY192" s="241">
        <f t="shared" si="60"/>
        <v>-0.2200000000000002</v>
      </c>
      <c r="AZ192" s="242">
        <f>IFERROR(VLOOKUP(M192,'[1]Base Brasil Obras'!$C$2:$F$485,4,0),"")</f>
        <v>2.2222222222222223</v>
      </c>
      <c r="BA192" s="243">
        <f t="shared" si="61"/>
        <v>38</v>
      </c>
      <c r="BB192" s="244">
        <f t="shared" si="62"/>
        <v>0</v>
      </c>
      <c r="BC192" s="244">
        <f t="shared" si="63"/>
        <v>0.05</v>
      </c>
      <c r="BD192" s="245">
        <f t="shared" si="64"/>
        <v>0.95</v>
      </c>
      <c r="BE192" s="246">
        <f t="shared" si="65"/>
        <v>2.2222222222222223</v>
      </c>
      <c r="BF192" s="247">
        <v>2</v>
      </c>
      <c r="BG192" s="248">
        <f t="shared" si="66"/>
        <v>1</v>
      </c>
      <c r="BH192" s="198"/>
      <c r="BI192" s="198"/>
      <c r="BJ192" s="199"/>
      <c r="BK192" s="200"/>
      <c r="BL192" s="200"/>
      <c r="BM192" s="200"/>
      <c r="BN192" s="200"/>
      <c r="BO192" s="10"/>
    </row>
    <row r="193" spans="1:89" ht="18" customHeight="1" x14ac:dyDescent="0.25">
      <c r="A193" s="201">
        <v>85</v>
      </c>
      <c r="B193" s="202">
        <v>40</v>
      </c>
      <c r="C193" s="203">
        <f t="shared" si="34"/>
        <v>0</v>
      </c>
      <c r="D193" s="204"/>
      <c r="E193" s="204"/>
      <c r="F193" s="205" t="s">
        <v>153</v>
      </c>
      <c r="G193" s="206"/>
      <c r="H193" s="207" t="s">
        <v>131</v>
      </c>
      <c r="I193" s="208" t="s">
        <v>125</v>
      </c>
      <c r="J193" s="208" t="s">
        <v>126</v>
      </c>
      <c r="K193" s="209" t="s">
        <v>225</v>
      </c>
      <c r="L193" s="255"/>
      <c r="M193" s="211" t="s">
        <v>241</v>
      </c>
      <c r="N193" s="257"/>
      <c r="O193" s="213">
        <f>SUMIF([1]Mestre!$G$137:$G$409,THEO!A193,[1]Mestre!$AG$137:$AG$409)</f>
        <v>0</v>
      </c>
      <c r="P193" s="214"/>
      <c r="Q193" s="214"/>
      <c r="R193" s="214"/>
      <c r="S193" s="214"/>
      <c r="T193" s="214"/>
      <c r="U193" s="215">
        <f t="shared" si="35"/>
        <v>38</v>
      </c>
      <c r="V193" s="216">
        <f t="shared" si="36"/>
        <v>-5.555555555555558E-2</v>
      </c>
      <c r="W193" s="217">
        <f t="shared" si="37"/>
        <v>38</v>
      </c>
      <c r="X193" s="218" t="s">
        <v>1</v>
      </c>
      <c r="Y193" s="219" t="str">
        <f t="shared" si="38"/>
        <v>36 Dispositivo/Dia</v>
      </c>
      <c r="Z193" s="220" t="str">
        <f t="shared" si="39"/>
        <v>2,22 Dispositivo / HH</v>
      </c>
      <c r="AA193" s="221">
        <f t="shared" si="40"/>
        <v>2.2200000000000002</v>
      </c>
      <c r="AB193" s="222" t="str">
        <f t="shared" si="41"/>
        <v>0 Dispositivo /HH</v>
      </c>
      <c r="AC193" s="223">
        <f t="shared" si="42"/>
        <v>2</v>
      </c>
      <c r="AD193" s="224">
        <v>1</v>
      </c>
      <c r="AE193" s="225">
        <v>1</v>
      </c>
      <c r="AF193" s="226">
        <f t="shared" si="43"/>
        <v>0</v>
      </c>
      <c r="AG193" s="227">
        <f t="shared" si="44"/>
        <v>0</v>
      </c>
      <c r="AH193" s="228" t="s">
        <v>25</v>
      </c>
      <c r="AI193" s="229" t="str">
        <f t="shared" si="45"/>
        <v>Extremamente Complexa</v>
      </c>
      <c r="AJ193" s="230" t="str">
        <f t="shared" si="46"/>
        <v>Normal</v>
      </c>
      <c r="AK193" s="231">
        <f t="shared" si="47"/>
        <v>0</v>
      </c>
      <c r="AL193" s="232">
        <f t="shared" si="48"/>
        <v>0.5</v>
      </c>
      <c r="AM193" s="233">
        <f t="shared" si="49"/>
        <v>0</v>
      </c>
      <c r="AN193" s="233">
        <f t="shared" si="50"/>
        <v>0</v>
      </c>
      <c r="AO193" s="234">
        <f t="shared" si="51"/>
        <v>0</v>
      </c>
      <c r="AP193" s="235">
        <f t="shared" si="52"/>
        <v>1</v>
      </c>
      <c r="AQ193" s="235">
        <f t="shared" si="52"/>
        <v>1</v>
      </c>
      <c r="AR193" s="235">
        <f t="shared" si="53"/>
        <v>1</v>
      </c>
      <c r="AS193" s="251">
        <f t="shared" si="54"/>
        <v>0</v>
      </c>
      <c r="AT193" s="238">
        <f t="shared" si="55"/>
        <v>36</v>
      </c>
      <c r="AU193" s="239">
        <f t="shared" si="56"/>
        <v>0</v>
      </c>
      <c r="AV193" s="239">
        <f t="shared" si="57"/>
        <v>0</v>
      </c>
      <c r="AW193" s="239">
        <f t="shared" si="58"/>
        <v>0.05</v>
      </c>
      <c r="AX193" s="240">
        <f t="shared" si="59"/>
        <v>36</v>
      </c>
      <c r="AY193" s="241">
        <f t="shared" si="60"/>
        <v>-2.2200000000000002</v>
      </c>
      <c r="AZ193" s="242">
        <f>IFERROR(VLOOKUP(M193,'[1]Base Brasil Obras'!$C$2:$F$485,4,0),"")</f>
        <v>2.2222222222222223</v>
      </c>
      <c r="BA193" s="243">
        <f t="shared" si="61"/>
        <v>38</v>
      </c>
      <c r="BB193" s="244">
        <f t="shared" si="62"/>
        <v>0</v>
      </c>
      <c r="BC193" s="244">
        <f t="shared" si="63"/>
        <v>0.05</v>
      </c>
      <c r="BD193" s="245">
        <f t="shared" si="64"/>
        <v>0.95</v>
      </c>
      <c r="BE193" s="246">
        <f t="shared" si="65"/>
        <v>2.2222222222222223</v>
      </c>
      <c r="BF193" s="247">
        <v>2</v>
      </c>
      <c r="BG193" s="248">
        <f t="shared" si="66"/>
        <v>1</v>
      </c>
      <c r="BH193" s="198"/>
      <c r="BI193" s="198"/>
      <c r="BJ193" s="199"/>
      <c r="BK193" s="200"/>
      <c r="BL193" s="200"/>
      <c r="BM193" s="200"/>
      <c r="BN193" s="200"/>
      <c r="BO193" s="10"/>
    </row>
    <row r="194" spans="1:89" ht="18" customHeight="1" x14ac:dyDescent="0.25">
      <c r="A194" s="201">
        <v>86</v>
      </c>
      <c r="B194" s="202">
        <v>20</v>
      </c>
      <c r="C194" s="203">
        <f t="shared" si="34"/>
        <v>0</v>
      </c>
      <c r="D194" s="204"/>
      <c r="E194" s="204"/>
      <c r="F194" s="205" t="s">
        <v>153</v>
      </c>
      <c r="G194" s="206"/>
      <c r="H194" s="207" t="s">
        <v>149</v>
      </c>
      <c r="I194" s="208" t="s">
        <v>125</v>
      </c>
      <c r="J194" s="208" t="s">
        <v>126</v>
      </c>
      <c r="K194" s="209" t="s">
        <v>225</v>
      </c>
      <c r="L194" s="255"/>
      <c r="M194" s="211" t="s">
        <v>242</v>
      </c>
      <c r="N194" s="257"/>
      <c r="O194" s="213">
        <f>SUMIF([1]Mestre!$G$137:$G$409,THEO!A194,[1]Mestre!$AG$137:$AG$409)</f>
        <v>0</v>
      </c>
      <c r="P194" s="214"/>
      <c r="Q194" s="214"/>
      <c r="R194" s="214"/>
      <c r="S194" s="214"/>
      <c r="T194" s="214"/>
      <c r="U194" s="215">
        <f t="shared" si="35"/>
        <v>19</v>
      </c>
      <c r="V194" s="216">
        <f t="shared" si="36"/>
        <v>-5.555555555555558E-2</v>
      </c>
      <c r="W194" s="217">
        <f t="shared" si="37"/>
        <v>19</v>
      </c>
      <c r="X194" s="218" t="s">
        <v>14</v>
      </c>
      <c r="Y194" s="219" t="str">
        <f t="shared" si="38"/>
        <v>18 Painel/Dia</v>
      </c>
      <c r="Z194" s="220" t="str">
        <f t="shared" si="39"/>
        <v>1,11 Painel / HH</v>
      </c>
      <c r="AA194" s="221">
        <f t="shared" si="40"/>
        <v>1.1100000000000001</v>
      </c>
      <c r="AB194" s="222" t="str">
        <f t="shared" si="41"/>
        <v>0 Painel /HH</v>
      </c>
      <c r="AC194" s="223">
        <f t="shared" si="42"/>
        <v>2</v>
      </c>
      <c r="AD194" s="224"/>
      <c r="AE194" s="225">
        <v>2</v>
      </c>
      <c r="AF194" s="226">
        <f t="shared" si="43"/>
        <v>0</v>
      </c>
      <c r="AG194" s="227">
        <f t="shared" si="44"/>
        <v>0</v>
      </c>
      <c r="AH194" s="228" t="s">
        <v>25</v>
      </c>
      <c r="AI194" s="229" t="str">
        <f t="shared" si="45"/>
        <v>Extremamente Complexa</v>
      </c>
      <c r="AJ194" s="230" t="str">
        <f t="shared" si="46"/>
        <v>Normal</v>
      </c>
      <c r="AK194" s="231">
        <f t="shared" si="47"/>
        <v>0</v>
      </c>
      <c r="AL194" s="232">
        <f t="shared" si="48"/>
        <v>0</v>
      </c>
      <c r="AM194" s="233">
        <f t="shared" si="49"/>
        <v>0</v>
      </c>
      <c r="AN194" s="233">
        <f t="shared" si="50"/>
        <v>0</v>
      </c>
      <c r="AO194" s="234">
        <f t="shared" si="51"/>
        <v>0</v>
      </c>
      <c r="AP194" s="235">
        <f t="shared" si="52"/>
        <v>1</v>
      </c>
      <c r="AQ194" s="235">
        <f t="shared" si="52"/>
        <v>1</v>
      </c>
      <c r="AR194" s="236">
        <f t="shared" si="53"/>
        <v>1</v>
      </c>
      <c r="AS194" s="252">
        <f t="shared" si="54"/>
        <v>0</v>
      </c>
      <c r="AT194" s="238">
        <f t="shared" si="55"/>
        <v>18</v>
      </c>
      <c r="AU194" s="239">
        <f t="shared" si="56"/>
        <v>0</v>
      </c>
      <c r="AV194" s="239">
        <f t="shared" si="57"/>
        <v>0</v>
      </c>
      <c r="AW194" s="239">
        <f t="shared" si="58"/>
        <v>0.05</v>
      </c>
      <c r="AX194" s="240">
        <f t="shared" si="59"/>
        <v>18</v>
      </c>
      <c r="AY194" s="241">
        <f t="shared" si="60"/>
        <v>-1.1100000000000001</v>
      </c>
      <c r="AZ194" s="242">
        <f>IFERROR(VLOOKUP(M194,'[1]Base Brasil Obras'!$C$2:$F$485,4,0),"")</f>
        <v>1.1111111111111112</v>
      </c>
      <c r="BA194" s="243">
        <f t="shared" si="61"/>
        <v>19</v>
      </c>
      <c r="BB194" s="244">
        <f t="shared" si="62"/>
        <v>0</v>
      </c>
      <c r="BC194" s="244">
        <f t="shared" si="63"/>
        <v>0.05</v>
      </c>
      <c r="BD194" s="245">
        <f t="shared" si="64"/>
        <v>0.95</v>
      </c>
      <c r="BE194" s="246">
        <f t="shared" si="65"/>
        <v>1.1111111111111112</v>
      </c>
      <c r="BF194" s="247">
        <v>2</v>
      </c>
      <c r="BG194" s="248">
        <f t="shared" si="66"/>
        <v>1</v>
      </c>
      <c r="BH194" s="198"/>
      <c r="BI194" s="198"/>
      <c r="BJ194" s="199"/>
      <c r="BK194" s="200"/>
      <c r="BL194" s="200"/>
      <c r="BM194" s="200"/>
      <c r="BN194" s="200"/>
      <c r="BO194" s="10"/>
    </row>
    <row r="195" spans="1:89" ht="18" customHeight="1" x14ac:dyDescent="0.25">
      <c r="A195" s="201">
        <v>87</v>
      </c>
      <c r="B195" s="202">
        <v>50</v>
      </c>
      <c r="C195" s="203">
        <f t="shared" si="34"/>
        <v>0</v>
      </c>
      <c r="D195" s="204"/>
      <c r="E195" s="204"/>
      <c r="F195" s="205" t="s">
        <v>153</v>
      </c>
      <c r="G195" s="206"/>
      <c r="H195" s="207" t="s">
        <v>131</v>
      </c>
      <c r="I195" s="208" t="s">
        <v>125</v>
      </c>
      <c r="J195" s="208" t="s">
        <v>126</v>
      </c>
      <c r="K195" s="209" t="s">
        <v>225</v>
      </c>
      <c r="L195" s="255"/>
      <c r="M195" s="211" t="s">
        <v>243</v>
      </c>
      <c r="N195" s="257"/>
      <c r="O195" s="213">
        <f>SUMIF([1]Mestre!$G$137:$G$409,THEO!A195,[1]Mestre!$AG$137:$AG$409)</f>
        <v>0</v>
      </c>
      <c r="P195" s="214"/>
      <c r="Q195" s="214"/>
      <c r="R195" s="214"/>
      <c r="S195" s="214"/>
      <c r="T195" s="214"/>
      <c r="U195" s="215">
        <f t="shared" si="35"/>
        <v>47.5</v>
      </c>
      <c r="V195" s="216">
        <f t="shared" si="36"/>
        <v>-5.555555555555558E-2</v>
      </c>
      <c r="W195" s="217">
        <f t="shared" si="37"/>
        <v>47.5</v>
      </c>
      <c r="X195" s="218" t="s">
        <v>12</v>
      </c>
      <c r="Y195" s="219" t="str">
        <f t="shared" si="38"/>
        <v>45 mt/Dia</v>
      </c>
      <c r="Z195" s="220" t="str">
        <f t="shared" si="39"/>
        <v>2,78 mt / HH</v>
      </c>
      <c r="AA195" s="221">
        <f t="shared" si="40"/>
        <v>2.78</v>
      </c>
      <c r="AB195" s="222" t="str">
        <f t="shared" si="41"/>
        <v>0 mt /HH</v>
      </c>
      <c r="AC195" s="223">
        <f t="shared" si="42"/>
        <v>2</v>
      </c>
      <c r="AD195" s="224">
        <v>1</v>
      </c>
      <c r="AE195" s="225">
        <v>1</v>
      </c>
      <c r="AF195" s="226">
        <f t="shared" si="43"/>
        <v>0</v>
      </c>
      <c r="AG195" s="227">
        <f t="shared" si="44"/>
        <v>0</v>
      </c>
      <c r="AH195" s="228" t="s">
        <v>25</v>
      </c>
      <c r="AI195" s="229" t="str">
        <f t="shared" si="45"/>
        <v>Extremamente Complexa</v>
      </c>
      <c r="AJ195" s="230" t="str">
        <f t="shared" si="46"/>
        <v>Normal</v>
      </c>
      <c r="AK195" s="231">
        <f t="shared" si="47"/>
        <v>0</v>
      </c>
      <c r="AL195" s="232">
        <f t="shared" si="48"/>
        <v>0.5</v>
      </c>
      <c r="AM195" s="233">
        <f t="shared" si="49"/>
        <v>0</v>
      </c>
      <c r="AN195" s="233">
        <f t="shared" si="50"/>
        <v>0</v>
      </c>
      <c r="AO195" s="234">
        <f t="shared" si="51"/>
        <v>0</v>
      </c>
      <c r="AP195" s="235">
        <f t="shared" si="52"/>
        <v>1</v>
      </c>
      <c r="AQ195" s="235">
        <f t="shared" si="52"/>
        <v>1</v>
      </c>
      <c r="AR195" s="235">
        <f t="shared" si="53"/>
        <v>1</v>
      </c>
      <c r="AS195" s="251">
        <f t="shared" si="54"/>
        <v>0</v>
      </c>
      <c r="AT195" s="238">
        <f t="shared" si="55"/>
        <v>45</v>
      </c>
      <c r="AU195" s="239">
        <f t="shared" si="56"/>
        <v>0</v>
      </c>
      <c r="AV195" s="239">
        <f t="shared" si="57"/>
        <v>0</v>
      </c>
      <c r="AW195" s="239">
        <f t="shared" si="58"/>
        <v>0.05</v>
      </c>
      <c r="AX195" s="240">
        <f t="shared" si="59"/>
        <v>45</v>
      </c>
      <c r="AY195" s="241">
        <f t="shared" si="60"/>
        <v>-2.78</v>
      </c>
      <c r="AZ195" s="242">
        <f>IFERROR(VLOOKUP(M195,'[1]Base Brasil Obras'!$C$2:$F$485,4,0),"")</f>
        <v>2.7777777777777777</v>
      </c>
      <c r="BA195" s="243">
        <f t="shared" si="61"/>
        <v>47.5</v>
      </c>
      <c r="BB195" s="244">
        <f t="shared" si="62"/>
        <v>0</v>
      </c>
      <c r="BC195" s="244">
        <f t="shared" si="63"/>
        <v>0.05</v>
      </c>
      <c r="BD195" s="245">
        <f t="shared" si="64"/>
        <v>0.95</v>
      </c>
      <c r="BE195" s="246">
        <f t="shared" si="65"/>
        <v>2.7777777777777777</v>
      </c>
      <c r="BF195" s="247">
        <v>2</v>
      </c>
      <c r="BG195" s="248">
        <f t="shared" si="66"/>
        <v>1</v>
      </c>
      <c r="BH195" s="198"/>
      <c r="BI195" s="198"/>
      <c r="BJ195" s="199"/>
      <c r="BK195" s="200"/>
      <c r="BL195" s="200"/>
      <c r="BM195" s="200"/>
      <c r="BN195" s="200"/>
      <c r="BO195" s="10"/>
    </row>
    <row r="196" spans="1:89" ht="18" x14ac:dyDescent="0.25">
      <c r="A196" s="201">
        <v>88</v>
      </c>
      <c r="B196" s="202">
        <v>25</v>
      </c>
      <c r="C196" s="203">
        <f t="shared" si="34"/>
        <v>0</v>
      </c>
      <c r="D196" s="204"/>
      <c r="E196" s="204"/>
      <c r="F196" s="205" t="s">
        <v>153</v>
      </c>
      <c r="G196" s="206"/>
      <c r="H196" s="207" t="s">
        <v>237</v>
      </c>
      <c r="I196" s="208" t="s">
        <v>125</v>
      </c>
      <c r="J196" s="208" t="s">
        <v>126</v>
      </c>
      <c r="K196" s="209" t="s">
        <v>225</v>
      </c>
      <c r="L196" s="255"/>
      <c r="M196" s="211" t="s">
        <v>244</v>
      </c>
      <c r="N196" s="257"/>
      <c r="O196" s="213">
        <f>SUMIF([1]Mestre!$G$137:$G$409,THEO!A196,[1]Mestre!$AG$137:$AG$409)</f>
        <v>0</v>
      </c>
      <c r="P196" s="214"/>
      <c r="Q196" s="214"/>
      <c r="R196" s="214"/>
      <c r="S196" s="214"/>
      <c r="T196" s="214"/>
      <c r="U196" s="215">
        <f t="shared" si="35"/>
        <v>23.75</v>
      </c>
      <c r="V196" s="216">
        <f t="shared" si="36"/>
        <v>-3.2608695652173836E-2</v>
      </c>
      <c r="W196" s="217">
        <f t="shared" si="37"/>
        <v>23.75</v>
      </c>
      <c r="X196" s="218" t="s">
        <v>16</v>
      </c>
      <c r="Y196" s="219" t="str">
        <f t="shared" si="38"/>
        <v>23 Pontos/Dia</v>
      </c>
      <c r="Z196" s="220" t="str">
        <f t="shared" si="39"/>
        <v>2,78 Pontos / HH</v>
      </c>
      <c r="AA196" s="221">
        <f t="shared" si="40"/>
        <v>2.78</v>
      </c>
      <c r="AB196" s="222" t="str">
        <f t="shared" si="41"/>
        <v>0 Pontos /HH</v>
      </c>
      <c r="AC196" s="223">
        <f t="shared" si="42"/>
        <v>1</v>
      </c>
      <c r="AD196" s="224"/>
      <c r="AE196" s="225">
        <v>1</v>
      </c>
      <c r="AF196" s="226">
        <f t="shared" si="43"/>
        <v>0</v>
      </c>
      <c r="AG196" s="227">
        <f t="shared" si="44"/>
        <v>0</v>
      </c>
      <c r="AH196" s="228" t="s">
        <v>25</v>
      </c>
      <c r="AI196" s="229" t="str">
        <f t="shared" si="45"/>
        <v>Extremamente Complexa</v>
      </c>
      <c r="AJ196" s="230" t="str">
        <f t="shared" si="46"/>
        <v>Normal</v>
      </c>
      <c r="AK196" s="231">
        <f t="shared" si="47"/>
        <v>0</v>
      </c>
      <c r="AL196" s="232">
        <f t="shared" si="48"/>
        <v>0</v>
      </c>
      <c r="AM196" s="233">
        <f t="shared" si="49"/>
        <v>0</v>
      </c>
      <c r="AN196" s="233">
        <f t="shared" si="50"/>
        <v>0</v>
      </c>
      <c r="AO196" s="234">
        <f t="shared" si="51"/>
        <v>0</v>
      </c>
      <c r="AP196" s="235">
        <f t="shared" si="52"/>
        <v>1</v>
      </c>
      <c r="AQ196" s="235">
        <f t="shared" si="52"/>
        <v>1</v>
      </c>
      <c r="AR196" s="236">
        <f t="shared" si="53"/>
        <v>1</v>
      </c>
      <c r="AS196" s="252">
        <f t="shared" si="54"/>
        <v>0</v>
      </c>
      <c r="AT196" s="238">
        <f t="shared" si="55"/>
        <v>23</v>
      </c>
      <c r="AU196" s="239">
        <f t="shared" si="56"/>
        <v>0</v>
      </c>
      <c r="AV196" s="239">
        <f t="shared" si="57"/>
        <v>0</v>
      </c>
      <c r="AW196" s="239">
        <f t="shared" si="58"/>
        <v>0.05</v>
      </c>
      <c r="AX196" s="240">
        <f t="shared" si="59"/>
        <v>23</v>
      </c>
      <c r="AY196" s="241">
        <f t="shared" si="60"/>
        <v>-2.78</v>
      </c>
      <c r="AZ196" s="242">
        <f>IFERROR(VLOOKUP(M196,'[1]Base Brasil Obras'!$C$2:$F$485,4,0),"")</f>
        <v>2.7777777777777777</v>
      </c>
      <c r="BA196" s="243">
        <f t="shared" si="61"/>
        <v>23.75</v>
      </c>
      <c r="BB196" s="244">
        <f t="shared" si="62"/>
        <v>0</v>
      </c>
      <c r="BC196" s="244">
        <f t="shared" si="63"/>
        <v>0.05</v>
      </c>
      <c r="BD196" s="245">
        <f t="shared" si="64"/>
        <v>0.95</v>
      </c>
      <c r="BE196" s="246">
        <f t="shared" si="65"/>
        <v>2.7777777777777777</v>
      </c>
      <c r="BF196" s="247">
        <v>1</v>
      </c>
      <c r="BG196" s="248">
        <f t="shared" si="66"/>
        <v>1</v>
      </c>
      <c r="BH196" s="198"/>
      <c r="BI196" s="198"/>
      <c r="BJ196" s="199"/>
      <c r="BK196" s="200"/>
      <c r="BL196" s="200"/>
      <c r="BM196" s="200"/>
      <c r="BN196" s="200"/>
      <c r="BO196" s="10"/>
    </row>
    <row r="197" spans="1:89" ht="18" customHeight="1" x14ac:dyDescent="0.25">
      <c r="A197" s="201">
        <v>89</v>
      </c>
      <c r="B197" s="202">
        <v>1</v>
      </c>
      <c r="C197" s="203">
        <f t="shared" si="34"/>
        <v>0</v>
      </c>
      <c r="D197" s="204"/>
      <c r="E197" s="204"/>
      <c r="F197" s="205" t="s">
        <v>245</v>
      </c>
      <c r="G197" s="206"/>
      <c r="H197" s="207" t="s">
        <v>246</v>
      </c>
      <c r="I197" s="208" t="s">
        <v>125</v>
      </c>
      <c r="J197" s="208" t="s">
        <v>126</v>
      </c>
      <c r="K197" s="209" t="s">
        <v>247</v>
      </c>
      <c r="L197" s="255"/>
      <c r="M197" s="211" t="s">
        <v>248</v>
      </c>
      <c r="N197" s="257"/>
      <c r="O197" s="213">
        <f>SUMIF([1]Mestre!$G$137:$G$409,THEO!A197,[1]Mestre!$AG$137:$AG$409)</f>
        <v>0</v>
      </c>
      <c r="P197" s="214"/>
      <c r="Q197" s="214"/>
      <c r="R197" s="214"/>
      <c r="S197" s="214"/>
      <c r="T197" s="214"/>
      <c r="U197" s="215">
        <f t="shared" si="35"/>
        <v>0.95</v>
      </c>
      <c r="V197" s="216">
        <f t="shared" si="36"/>
        <v>5.0000000000000044E-2</v>
      </c>
      <c r="W197" s="217">
        <f t="shared" si="37"/>
        <v>0.95</v>
      </c>
      <c r="X197" s="218" t="s">
        <v>20</v>
      </c>
      <c r="Y197" s="219" t="str">
        <f t="shared" si="38"/>
        <v>1 um/Dia</v>
      </c>
      <c r="Z197" s="220" t="str">
        <f t="shared" si="39"/>
        <v>0,11 um / HH</v>
      </c>
      <c r="AA197" s="221">
        <f t="shared" si="40"/>
        <v>0.11</v>
      </c>
      <c r="AB197" s="222" t="str">
        <f t="shared" si="41"/>
        <v>0 um /HH</v>
      </c>
      <c r="AC197" s="223">
        <f t="shared" si="42"/>
        <v>1</v>
      </c>
      <c r="AD197" s="224"/>
      <c r="AE197" s="225">
        <v>1</v>
      </c>
      <c r="AF197" s="226">
        <f t="shared" si="43"/>
        <v>0</v>
      </c>
      <c r="AG197" s="227">
        <f t="shared" si="44"/>
        <v>0</v>
      </c>
      <c r="AH197" s="228" t="s">
        <v>25</v>
      </c>
      <c r="AI197" s="229" t="str">
        <f t="shared" si="45"/>
        <v>Extremamente Complexa</v>
      </c>
      <c r="AJ197" s="230" t="str">
        <f t="shared" si="46"/>
        <v>Normal</v>
      </c>
      <c r="AK197" s="231">
        <f t="shared" si="47"/>
        <v>0</v>
      </c>
      <c r="AL197" s="232">
        <f t="shared" si="48"/>
        <v>0</v>
      </c>
      <c r="AM197" s="233">
        <f t="shared" si="49"/>
        <v>0</v>
      </c>
      <c r="AN197" s="233">
        <f t="shared" si="50"/>
        <v>0</v>
      </c>
      <c r="AO197" s="234">
        <f t="shared" si="51"/>
        <v>0</v>
      </c>
      <c r="AP197" s="235">
        <f t="shared" si="52"/>
        <v>1</v>
      </c>
      <c r="AQ197" s="235">
        <f t="shared" si="52"/>
        <v>1</v>
      </c>
      <c r="AR197" s="235">
        <f t="shared" si="53"/>
        <v>1</v>
      </c>
      <c r="AS197" s="251">
        <f t="shared" si="54"/>
        <v>0</v>
      </c>
      <c r="AT197" s="238">
        <f t="shared" si="55"/>
        <v>1</v>
      </c>
      <c r="AU197" s="239">
        <f t="shared" si="56"/>
        <v>0</v>
      </c>
      <c r="AV197" s="239">
        <f t="shared" si="57"/>
        <v>0</v>
      </c>
      <c r="AW197" s="239">
        <f t="shared" si="58"/>
        <v>0.05</v>
      </c>
      <c r="AX197" s="240">
        <f t="shared" si="59"/>
        <v>1</v>
      </c>
      <c r="AY197" s="241">
        <f t="shared" si="60"/>
        <v>-0.11</v>
      </c>
      <c r="AZ197" s="242">
        <f>IFERROR(VLOOKUP(M197,'[1]Base Brasil Obras'!$C$2:$F$485,4,0),"")</f>
        <v>0.1111111111111111</v>
      </c>
      <c r="BA197" s="243">
        <f t="shared" si="61"/>
        <v>0.95</v>
      </c>
      <c r="BB197" s="244">
        <f t="shared" si="62"/>
        <v>0</v>
      </c>
      <c r="BC197" s="244">
        <f t="shared" si="63"/>
        <v>0.05</v>
      </c>
      <c r="BD197" s="245">
        <f t="shared" si="64"/>
        <v>0.95</v>
      </c>
      <c r="BE197" s="246">
        <f t="shared" si="65"/>
        <v>0.1111111111111111</v>
      </c>
      <c r="BF197" s="247">
        <v>1</v>
      </c>
      <c r="BG197" s="248">
        <f t="shared" si="66"/>
        <v>1</v>
      </c>
      <c r="BH197" s="198"/>
      <c r="BI197" s="198"/>
      <c r="BJ197" s="199"/>
      <c r="BK197" s="200"/>
      <c r="BL197" s="200"/>
      <c r="BM197" s="200"/>
      <c r="BN197" s="200"/>
      <c r="BO197" s="10"/>
    </row>
    <row r="198" spans="1:89" ht="18" x14ac:dyDescent="0.25">
      <c r="A198" s="201">
        <v>90</v>
      </c>
      <c r="B198" s="202">
        <v>1</v>
      </c>
      <c r="C198" s="203">
        <f t="shared" si="34"/>
        <v>0</v>
      </c>
      <c r="D198" s="204"/>
      <c r="E198" s="204"/>
      <c r="F198" s="205" t="s">
        <v>114</v>
      </c>
      <c r="G198" s="206"/>
      <c r="H198" s="207" t="s">
        <v>133</v>
      </c>
      <c r="I198" s="208" t="s">
        <v>125</v>
      </c>
      <c r="J198" s="208" t="s">
        <v>126</v>
      </c>
      <c r="K198" s="209" t="s">
        <v>247</v>
      </c>
      <c r="L198" s="255"/>
      <c r="M198" s="211" t="s">
        <v>249</v>
      </c>
      <c r="N198" s="257"/>
      <c r="O198" s="213">
        <f>SUMIF([1]Mestre!$G$137:$G$409,THEO!A198,[1]Mestre!$AG$137:$AG$409)</f>
        <v>0</v>
      </c>
      <c r="P198" s="214"/>
      <c r="Q198" s="214"/>
      <c r="R198" s="214"/>
      <c r="S198" s="214"/>
      <c r="T198" s="214"/>
      <c r="U198" s="215">
        <f t="shared" si="35"/>
        <v>0.95</v>
      </c>
      <c r="V198" s="216">
        <f t="shared" si="36"/>
        <v>5.0000000000000044E-2</v>
      </c>
      <c r="W198" s="217">
        <f t="shared" si="37"/>
        <v>0.95</v>
      </c>
      <c r="X198" s="218" t="s">
        <v>20</v>
      </c>
      <c r="Y198" s="219" t="str">
        <f t="shared" si="38"/>
        <v>1 um/Dia</v>
      </c>
      <c r="Z198" s="220" t="str">
        <f t="shared" si="39"/>
        <v>0,11 um / HH</v>
      </c>
      <c r="AA198" s="221">
        <f t="shared" si="40"/>
        <v>0.11</v>
      </c>
      <c r="AB198" s="222" t="str">
        <f t="shared" si="41"/>
        <v>0 um /HH</v>
      </c>
      <c r="AC198" s="223">
        <f t="shared" si="42"/>
        <v>1</v>
      </c>
      <c r="AD198" s="224"/>
      <c r="AE198" s="225">
        <v>1</v>
      </c>
      <c r="AF198" s="226">
        <f t="shared" si="43"/>
        <v>0</v>
      </c>
      <c r="AG198" s="227">
        <f t="shared" si="44"/>
        <v>0</v>
      </c>
      <c r="AH198" s="228" t="s">
        <v>25</v>
      </c>
      <c r="AI198" s="229" t="str">
        <f t="shared" si="45"/>
        <v>Extremamente Complexa</v>
      </c>
      <c r="AJ198" s="230" t="str">
        <f t="shared" si="46"/>
        <v>Normal</v>
      </c>
      <c r="AK198" s="231">
        <f t="shared" si="47"/>
        <v>0</v>
      </c>
      <c r="AL198" s="232">
        <f t="shared" si="48"/>
        <v>0</v>
      </c>
      <c r="AM198" s="233">
        <f t="shared" si="49"/>
        <v>0</v>
      </c>
      <c r="AN198" s="233">
        <f t="shared" si="50"/>
        <v>0</v>
      </c>
      <c r="AO198" s="234">
        <f t="shared" si="51"/>
        <v>0</v>
      </c>
      <c r="AP198" s="235">
        <f t="shared" si="52"/>
        <v>1</v>
      </c>
      <c r="AQ198" s="235">
        <f t="shared" si="52"/>
        <v>1</v>
      </c>
      <c r="AR198" s="236">
        <f t="shared" si="53"/>
        <v>1</v>
      </c>
      <c r="AS198" s="252">
        <f t="shared" si="54"/>
        <v>0</v>
      </c>
      <c r="AT198" s="238">
        <f t="shared" si="55"/>
        <v>1</v>
      </c>
      <c r="AU198" s="239">
        <f t="shared" si="56"/>
        <v>0</v>
      </c>
      <c r="AV198" s="239">
        <f t="shared" si="57"/>
        <v>0</v>
      </c>
      <c r="AW198" s="239">
        <f t="shared" si="58"/>
        <v>0.05</v>
      </c>
      <c r="AX198" s="240">
        <f t="shared" si="59"/>
        <v>1</v>
      </c>
      <c r="AY198" s="241">
        <f t="shared" si="60"/>
        <v>-0.11</v>
      </c>
      <c r="AZ198" s="242">
        <f>IFERROR(VLOOKUP(M198,'[1]Base Brasil Obras'!$C$2:$F$485,4,0),"")</f>
        <v>0.1111111111111111</v>
      </c>
      <c r="BA198" s="243">
        <f t="shared" si="61"/>
        <v>0.95</v>
      </c>
      <c r="BB198" s="244">
        <f t="shared" si="62"/>
        <v>0</v>
      </c>
      <c r="BC198" s="244">
        <f t="shared" si="63"/>
        <v>0.05</v>
      </c>
      <c r="BD198" s="245">
        <f t="shared" si="64"/>
        <v>0.95</v>
      </c>
      <c r="BE198" s="246">
        <f t="shared" si="65"/>
        <v>0.1111111111111111</v>
      </c>
      <c r="BF198" s="247">
        <v>1</v>
      </c>
      <c r="BG198" s="248">
        <f t="shared" si="66"/>
        <v>1</v>
      </c>
      <c r="BH198" s="198"/>
      <c r="BI198" s="198"/>
      <c r="BJ198" s="199"/>
      <c r="BK198" s="200"/>
      <c r="BL198" s="200"/>
      <c r="BM198" s="200"/>
      <c r="BN198" s="200"/>
      <c r="BO198" s="10"/>
    </row>
    <row r="199" spans="1:89" ht="18" x14ac:dyDescent="0.25">
      <c r="A199" s="201">
        <v>91</v>
      </c>
      <c r="B199" s="202">
        <v>8</v>
      </c>
      <c r="C199" s="203">
        <f t="shared" si="34"/>
        <v>0</v>
      </c>
      <c r="D199" s="204"/>
      <c r="E199" s="204"/>
      <c r="F199" s="205" t="s">
        <v>129</v>
      </c>
      <c r="G199" s="206"/>
      <c r="H199" s="207" t="s">
        <v>133</v>
      </c>
      <c r="I199" s="208" t="s">
        <v>125</v>
      </c>
      <c r="J199" s="208" t="s">
        <v>126</v>
      </c>
      <c r="K199" s="209" t="s">
        <v>118</v>
      </c>
      <c r="L199" s="255"/>
      <c r="M199" s="211" t="s">
        <v>250</v>
      </c>
      <c r="N199" s="257"/>
      <c r="O199" s="213">
        <f>SUMIF([1]Mestre!$G$137:$G$409,THEO!A199,[1]Mestre!$AG$137:$AG$409)</f>
        <v>0</v>
      </c>
      <c r="P199" s="214"/>
      <c r="Q199" s="214"/>
      <c r="R199" s="214"/>
      <c r="S199" s="214"/>
      <c r="T199" s="214"/>
      <c r="U199" s="215">
        <f t="shared" si="35"/>
        <v>7.6</v>
      </c>
      <c r="V199" s="216">
        <f t="shared" si="36"/>
        <v>-8.5714285714285632E-2</v>
      </c>
      <c r="W199" s="217">
        <f t="shared" si="37"/>
        <v>7.6</v>
      </c>
      <c r="X199" s="218" t="s">
        <v>11</v>
      </c>
      <c r="Y199" s="219" t="str">
        <f t="shared" si="38"/>
        <v>7 Motores/Dia</v>
      </c>
      <c r="Z199" s="220" t="str">
        <f t="shared" si="39"/>
        <v>0,44 Motores / HH</v>
      </c>
      <c r="AA199" s="221">
        <f t="shared" si="40"/>
        <v>0.44</v>
      </c>
      <c r="AB199" s="222" t="str">
        <f t="shared" si="41"/>
        <v>0 Motores /HH</v>
      </c>
      <c r="AC199" s="223">
        <f t="shared" si="42"/>
        <v>2</v>
      </c>
      <c r="AD199" s="224">
        <v>1</v>
      </c>
      <c r="AE199" s="225">
        <v>1</v>
      </c>
      <c r="AF199" s="226">
        <f t="shared" si="43"/>
        <v>0</v>
      </c>
      <c r="AG199" s="227">
        <f t="shared" si="44"/>
        <v>0</v>
      </c>
      <c r="AH199" s="228" t="s">
        <v>25</v>
      </c>
      <c r="AI199" s="229" t="str">
        <f t="shared" si="45"/>
        <v>Extremamente Complexa</v>
      </c>
      <c r="AJ199" s="230" t="str">
        <f t="shared" si="46"/>
        <v>Normal</v>
      </c>
      <c r="AK199" s="231">
        <f t="shared" si="47"/>
        <v>0</v>
      </c>
      <c r="AL199" s="232">
        <f t="shared" si="48"/>
        <v>0.5</v>
      </c>
      <c r="AM199" s="233">
        <f t="shared" si="49"/>
        <v>0</v>
      </c>
      <c r="AN199" s="233">
        <f t="shared" si="50"/>
        <v>0</v>
      </c>
      <c r="AO199" s="234">
        <f t="shared" si="51"/>
        <v>0</v>
      </c>
      <c r="AP199" s="235">
        <f t="shared" si="52"/>
        <v>1</v>
      </c>
      <c r="AQ199" s="235">
        <f t="shared" si="52"/>
        <v>1</v>
      </c>
      <c r="AR199" s="235">
        <f t="shared" si="53"/>
        <v>1</v>
      </c>
      <c r="AS199" s="251">
        <f t="shared" si="54"/>
        <v>0</v>
      </c>
      <c r="AT199" s="238">
        <f t="shared" si="55"/>
        <v>7</v>
      </c>
      <c r="AU199" s="239">
        <f t="shared" si="56"/>
        <v>0</v>
      </c>
      <c r="AV199" s="239">
        <f t="shared" si="57"/>
        <v>0</v>
      </c>
      <c r="AW199" s="239">
        <f t="shared" si="58"/>
        <v>0.05</v>
      </c>
      <c r="AX199" s="240">
        <f t="shared" si="59"/>
        <v>7</v>
      </c>
      <c r="AY199" s="241">
        <f t="shared" si="60"/>
        <v>-0.44</v>
      </c>
      <c r="AZ199" s="242">
        <f>IFERROR(VLOOKUP(M199,'[1]Base Brasil Obras'!$C$2:$F$485,4,0),"")</f>
        <v>0.44444444444444442</v>
      </c>
      <c r="BA199" s="243">
        <f t="shared" si="61"/>
        <v>7.6</v>
      </c>
      <c r="BB199" s="244">
        <f t="shared" si="62"/>
        <v>0</v>
      </c>
      <c r="BC199" s="244">
        <f t="shared" si="63"/>
        <v>0.05</v>
      </c>
      <c r="BD199" s="245">
        <f t="shared" si="64"/>
        <v>0.95</v>
      </c>
      <c r="BE199" s="246">
        <f t="shared" si="65"/>
        <v>0.44444444444444442</v>
      </c>
      <c r="BF199" s="247">
        <v>2</v>
      </c>
      <c r="BG199" s="248">
        <f t="shared" si="66"/>
        <v>1</v>
      </c>
      <c r="BH199" s="198"/>
      <c r="BI199" s="198"/>
      <c r="BJ199" s="199"/>
      <c r="BK199" s="200"/>
      <c r="BL199" s="200"/>
      <c r="BM199" s="200"/>
      <c r="BN199" s="200"/>
      <c r="BO199" s="10"/>
    </row>
    <row r="200" spans="1:89" ht="18" customHeight="1" x14ac:dyDescent="0.25">
      <c r="A200" s="201">
        <v>92</v>
      </c>
      <c r="B200" s="202">
        <v>2</v>
      </c>
      <c r="C200" s="203">
        <f t="shared" si="34"/>
        <v>0</v>
      </c>
      <c r="D200" s="204"/>
      <c r="E200" s="204"/>
      <c r="F200" s="205" t="s">
        <v>129</v>
      </c>
      <c r="G200" s="206"/>
      <c r="H200" s="207" t="s">
        <v>133</v>
      </c>
      <c r="I200" s="208" t="s">
        <v>125</v>
      </c>
      <c r="J200" s="208" t="s">
        <v>126</v>
      </c>
      <c r="K200" s="209" t="s">
        <v>118</v>
      </c>
      <c r="L200" s="255"/>
      <c r="M200" s="211" t="s">
        <v>251</v>
      </c>
      <c r="N200" s="257"/>
      <c r="O200" s="213">
        <f>SUMIF([1]Mestre!$G$137:$G$409,THEO!A200,[1]Mestre!$AG$137:$AG$409)</f>
        <v>0</v>
      </c>
      <c r="P200" s="214"/>
      <c r="Q200" s="214"/>
      <c r="R200" s="214"/>
      <c r="S200" s="214"/>
      <c r="T200" s="214"/>
      <c r="U200" s="215">
        <f t="shared" si="35"/>
        <v>1.9</v>
      </c>
      <c r="V200" s="216">
        <f t="shared" si="36"/>
        <v>5.0000000000000044E-2</v>
      </c>
      <c r="W200" s="217">
        <f t="shared" si="37"/>
        <v>1.9</v>
      </c>
      <c r="X200" s="218" t="s">
        <v>11</v>
      </c>
      <c r="Y200" s="219" t="str">
        <f t="shared" si="38"/>
        <v>2 Motores/Dia</v>
      </c>
      <c r="Z200" s="220" t="str">
        <f t="shared" si="39"/>
        <v>0,11 Motores / HH</v>
      </c>
      <c r="AA200" s="221">
        <f t="shared" si="40"/>
        <v>0.11</v>
      </c>
      <c r="AB200" s="222" t="str">
        <f t="shared" si="41"/>
        <v>0 Motores /HH</v>
      </c>
      <c r="AC200" s="223">
        <f t="shared" si="42"/>
        <v>2</v>
      </c>
      <c r="AD200" s="224">
        <v>1</v>
      </c>
      <c r="AE200" s="225">
        <v>1</v>
      </c>
      <c r="AF200" s="226">
        <f t="shared" si="43"/>
        <v>0</v>
      </c>
      <c r="AG200" s="227">
        <f t="shared" si="44"/>
        <v>0</v>
      </c>
      <c r="AH200" s="228" t="s">
        <v>25</v>
      </c>
      <c r="AI200" s="229" t="str">
        <f t="shared" si="45"/>
        <v>Extremamente Complexa</v>
      </c>
      <c r="AJ200" s="230" t="str">
        <f t="shared" si="46"/>
        <v>Normal</v>
      </c>
      <c r="AK200" s="231">
        <f t="shared" si="47"/>
        <v>0</v>
      </c>
      <c r="AL200" s="232">
        <f t="shared" si="48"/>
        <v>0.5</v>
      </c>
      <c r="AM200" s="233">
        <f t="shared" si="49"/>
        <v>0</v>
      </c>
      <c r="AN200" s="233">
        <f t="shared" si="50"/>
        <v>0</v>
      </c>
      <c r="AO200" s="234">
        <f t="shared" si="51"/>
        <v>0</v>
      </c>
      <c r="AP200" s="235">
        <f t="shared" si="52"/>
        <v>1</v>
      </c>
      <c r="AQ200" s="235">
        <f t="shared" si="52"/>
        <v>1</v>
      </c>
      <c r="AR200" s="236">
        <f t="shared" si="53"/>
        <v>1</v>
      </c>
      <c r="AS200" s="252">
        <f t="shared" si="54"/>
        <v>0</v>
      </c>
      <c r="AT200" s="238">
        <f t="shared" si="55"/>
        <v>2</v>
      </c>
      <c r="AU200" s="239">
        <f t="shared" si="56"/>
        <v>0</v>
      </c>
      <c r="AV200" s="239">
        <f t="shared" si="57"/>
        <v>0</v>
      </c>
      <c r="AW200" s="239">
        <f t="shared" si="58"/>
        <v>0.05</v>
      </c>
      <c r="AX200" s="240">
        <f t="shared" si="59"/>
        <v>2</v>
      </c>
      <c r="AY200" s="241">
        <f t="shared" si="60"/>
        <v>-0.11</v>
      </c>
      <c r="AZ200" s="242">
        <f>IFERROR(VLOOKUP(M200,'[1]Base Brasil Obras'!$C$2:$F$485,4,0),"")</f>
        <v>0.1111111111111111</v>
      </c>
      <c r="BA200" s="243">
        <f t="shared" si="61"/>
        <v>1.9</v>
      </c>
      <c r="BB200" s="244">
        <f t="shared" si="62"/>
        <v>0</v>
      </c>
      <c r="BC200" s="244">
        <f t="shared" si="63"/>
        <v>0.05</v>
      </c>
      <c r="BD200" s="245">
        <f t="shared" si="64"/>
        <v>0.95</v>
      </c>
      <c r="BE200" s="246">
        <f t="shared" si="65"/>
        <v>0.1111111111111111</v>
      </c>
      <c r="BF200" s="247">
        <v>2</v>
      </c>
      <c r="BG200" s="248">
        <f t="shared" si="66"/>
        <v>1</v>
      </c>
      <c r="BH200" s="198"/>
      <c r="BI200" s="198"/>
      <c r="BJ200" s="199"/>
      <c r="BK200" s="200"/>
      <c r="BL200" s="200"/>
      <c r="BM200" s="200"/>
      <c r="BN200" s="200"/>
      <c r="BO200" s="10"/>
    </row>
    <row r="201" spans="1:89" ht="18" x14ac:dyDescent="0.25">
      <c r="A201" s="201">
        <v>93</v>
      </c>
      <c r="B201" s="202">
        <v>60</v>
      </c>
      <c r="C201" s="203">
        <f t="shared" si="34"/>
        <v>0</v>
      </c>
      <c r="D201" s="204"/>
      <c r="E201" s="204"/>
      <c r="F201" s="205" t="s">
        <v>114</v>
      </c>
      <c r="G201" s="206"/>
      <c r="H201" s="207" t="s">
        <v>133</v>
      </c>
      <c r="I201" s="208" t="s">
        <v>125</v>
      </c>
      <c r="J201" s="208" t="s">
        <v>126</v>
      </c>
      <c r="K201" s="209" t="s">
        <v>118</v>
      </c>
      <c r="L201" s="255"/>
      <c r="M201" s="211" t="s">
        <v>252</v>
      </c>
      <c r="N201" s="257"/>
      <c r="O201" s="213">
        <f>SUMIF([1]Mestre!$G$137:$G$409,THEO!A201,[1]Mestre!$AG$137:$AG$409)</f>
        <v>0</v>
      </c>
      <c r="P201" s="214"/>
      <c r="Q201" s="214"/>
      <c r="R201" s="214"/>
      <c r="S201" s="214"/>
      <c r="T201" s="214"/>
      <c r="U201" s="215">
        <f t="shared" si="35"/>
        <v>57</v>
      </c>
      <c r="V201" s="216">
        <f t="shared" si="36"/>
        <v>-5.555555555555558E-2</v>
      </c>
      <c r="W201" s="217">
        <f t="shared" si="37"/>
        <v>57</v>
      </c>
      <c r="X201" s="218" t="s">
        <v>20</v>
      </c>
      <c r="Y201" s="219" t="str">
        <f t="shared" si="38"/>
        <v>54 um/Dia</v>
      </c>
      <c r="Z201" s="220" t="str">
        <f t="shared" si="39"/>
        <v>2,22 um / HH</v>
      </c>
      <c r="AA201" s="221">
        <f t="shared" si="40"/>
        <v>2.2200000000000002</v>
      </c>
      <c r="AB201" s="222" t="str">
        <f t="shared" si="41"/>
        <v>0 um /HH</v>
      </c>
      <c r="AC201" s="223">
        <f t="shared" si="42"/>
        <v>3</v>
      </c>
      <c r="AD201" s="224">
        <v>2</v>
      </c>
      <c r="AE201" s="225">
        <v>1</v>
      </c>
      <c r="AF201" s="226">
        <f t="shared" si="43"/>
        <v>0</v>
      </c>
      <c r="AG201" s="227">
        <f t="shared" si="44"/>
        <v>0</v>
      </c>
      <c r="AH201" s="228" t="s">
        <v>25</v>
      </c>
      <c r="AI201" s="229" t="str">
        <f t="shared" si="45"/>
        <v>Extremamente Complexa</v>
      </c>
      <c r="AJ201" s="230" t="str">
        <f t="shared" si="46"/>
        <v>Normal</v>
      </c>
      <c r="AK201" s="231">
        <f t="shared" si="47"/>
        <v>0</v>
      </c>
      <c r="AL201" s="232">
        <f t="shared" si="48"/>
        <v>0.66666666666666663</v>
      </c>
      <c r="AM201" s="233">
        <f t="shared" si="49"/>
        <v>0</v>
      </c>
      <c r="AN201" s="233">
        <f t="shared" si="50"/>
        <v>0</v>
      </c>
      <c r="AO201" s="234">
        <f t="shared" si="51"/>
        <v>0</v>
      </c>
      <c r="AP201" s="235">
        <f t="shared" si="52"/>
        <v>1</v>
      </c>
      <c r="AQ201" s="235">
        <f t="shared" si="52"/>
        <v>1</v>
      </c>
      <c r="AR201" s="235">
        <f t="shared" si="53"/>
        <v>1</v>
      </c>
      <c r="AS201" s="251">
        <f t="shared" si="54"/>
        <v>0</v>
      </c>
      <c r="AT201" s="238">
        <f t="shared" si="55"/>
        <v>54</v>
      </c>
      <c r="AU201" s="239">
        <f t="shared" si="56"/>
        <v>0</v>
      </c>
      <c r="AV201" s="239">
        <f t="shared" si="57"/>
        <v>0</v>
      </c>
      <c r="AW201" s="239">
        <f t="shared" si="58"/>
        <v>0.05</v>
      </c>
      <c r="AX201" s="240">
        <f t="shared" si="59"/>
        <v>54</v>
      </c>
      <c r="AY201" s="241">
        <f t="shared" si="60"/>
        <v>-2.2200000000000002</v>
      </c>
      <c r="AZ201" s="242">
        <f>IFERROR(VLOOKUP(M201,'[1]Base Brasil Obras'!$C$2:$F$485,4,0),"")</f>
        <v>2.2222222222222223</v>
      </c>
      <c r="BA201" s="243">
        <f t="shared" si="61"/>
        <v>57</v>
      </c>
      <c r="BB201" s="244">
        <f t="shared" si="62"/>
        <v>0</v>
      </c>
      <c r="BC201" s="244">
        <f t="shared" si="63"/>
        <v>0.05</v>
      </c>
      <c r="BD201" s="245">
        <f t="shared" si="64"/>
        <v>0.95</v>
      </c>
      <c r="BE201" s="246">
        <f t="shared" si="65"/>
        <v>2.2222222222222223</v>
      </c>
      <c r="BF201" s="247">
        <v>3</v>
      </c>
      <c r="BG201" s="248">
        <f t="shared" si="66"/>
        <v>1</v>
      </c>
      <c r="BH201" s="198"/>
      <c r="BI201" s="198"/>
      <c r="BJ201" s="199"/>
      <c r="BK201" s="200"/>
      <c r="BL201" s="200"/>
      <c r="BM201" s="200"/>
      <c r="BN201" s="200"/>
      <c r="BO201" s="10"/>
      <c r="BP201" s="249"/>
      <c r="BQ201" s="249"/>
      <c r="BR201" s="249"/>
      <c r="BS201" s="249"/>
      <c r="BT201" s="249"/>
      <c r="BU201" s="249"/>
      <c r="BV201" s="249"/>
      <c r="BW201" s="249"/>
      <c r="BX201" s="249"/>
      <c r="BY201" s="249"/>
      <c r="BZ201" s="249"/>
      <c r="CA201" s="249"/>
      <c r="CB201" s="249"/>
      <c r="CC201" s="249"/>
      <c r="CD201" s="249"/>
      <c r="CE201" s="249"/>
      <c r="CF201" s="249"/>
      <c r="CG201" s="249"/>
      <c r="CH201" s="249"/>
      <c r="CI201" s="249"/>
      <c r="CJ201" s="249"/>
      <c r="CK201" s="249"/>
    </row>
    <row r="202" spans="1:89" ht="18" customHeight="1" x14ac:dyDescent="0.25">
      <c r="A202" s="201">
        <v>94</v>
      </c>
      <c r="B202" s="202">
        <v>2</v>
      </c>
      <c r="C202" s="203">
        <f t="shared" si="34"/>
        <v>0</v>
      </c>
      <c r="D202" s="204"/>
      <c r="E202" s="204"/>
      <c r="F202" s="205" t="s">
        <v>253</v>
      </c>
      <c r="G202" s="206"/>
      <c r="H202" s="207" t="s">
        <v>189</v>
      </c>
      <c r="I202" s="208" t="s">
        <v>125</v>
      </c>
      <c r="J202" s="208" t="s">
        <v>126</v>
      </c>
      <c r="K202" s="209" t="s">
        <v>118</v>
      </c>
      <c r="L202" s="255"/>
      <c r="M202" s="211" t="s">
        <v>254</v>
      </c>
      <c r="N202" s="257"/>
      <c r="O202" s="213">
        <f>SUMIF([1]Mestre!$G$137:$G$409,THEO!A202,[1]Mestre!$AG$137:$AG$409)</f>
        <v>0</v>
      </c>
      <c r="P202" s="214"/>
      <c r="Q202" s="214"/>
      <c r="R202" s="214"/>
      <c r="S202" s="214"/>
      <c r="T202" s="214"/>
      <c r="U202" s="215">
        <f t="shared" si="35"/>
        <v>1.9</v>
      </c>
      <c r="V202" s="216">
        <f t="shared" si="36"/>
        <v>5.0000000000000044E-2</v>
      </c>
      <c r="W202" s="217">
        <f t="shared" si="37"/>
        <v>1.9</v>
      </c>
      <c r="X202" s="218" t="s">
        <v>20</v>
      </c>
      <c r="Y202" s="219" t="str">
        <f t="shared" si="38"/>
        <v>2 um/Dia</v>
      </c>
      <c r="Z202" s="220" t="str">
        <f t="shared" si="39"/>
        <v>0,11 um / HH</v>
      </c>
      <c r="AA202" s="221">
        <f t="shared" si="40"/>
        <v>0.11</v>
      </c>
      <c r="AB202" s="222" t="str">
        <f t="shared" si="41"/>
        <v>0 um /HH</v>
      </c>
      <c r="AC202" s="223">
        <f t="shared" si="42"/>
        <v>2</v>
      </c>
      <c r="AD202" s="224">
        <v>1</v>
      </c>
      <c r="AE202" s="225">
        <v>1</v>
      </c>
      <c r="AF202" s="226">
        <f t="shared" si="43"/>
        <v>0</v>
      </c>
      <c r="AG202" s="227">
        <f t="shared" si="44"/>
        <v>0</v>
      </c>
      <c r="AH202" s="228" t="s">
        <v>25</v>
      </c>
      <c r="AI202" s="229" t="str">
        <f t="shared" si="45"/>
        <v>Extremamente Complexa</v>
      </c>
      <c r="AJ202" s="230" t="str">
        <f t="shared" si="46"/>
        <v>Normal</v>
      </c>
      <c r="AK202" s="231">
        <f t="shared" si="47"/>
        <v>0</v>
      </c>
      <c r="AL202" s="232">
        <f t="shared" si="48"/>
        <v>0.5</v>
      </c>
      <c r="AM202" s="233">
        <f t="shared" si="49"/>
        <v>0</v>
      </c>
      <c r="AN202" s="233">
        <f t="shared" si="50"/>
        <v>0</v>
      </c>
      <c r="AO202" s="234">
        <f t="shared" si="51"/>
        <v>0</v>
      </c>
      <c r="AP202" s="235">
        <f t="shared" si="52"/>
        <v>1</v>
      </c>
      <c r="AQ202" s="235">
        <f t="shared" si="52"/>
        <v>1</v>
      </c>
      <c r="AR202" s="235">
        <f t="shared" si="53"/>
        <v>1</v>
      </c>
      <c r="AS202" s="252">
        <f t="shared" si="54"/>
        <v>0</v>
      </c>
      <c r="AT202" s="238">
        <f t="shared" si="55"/>
        <v>2</v>
      </c>
      <c r="AU202" s="239">
        <f t="shared" si="56"/>
        <v>0</v>
      </c>
      <c r="AV202" s="239">
        <f t="shared" si="57"/>
        <v>0</v>
      </c>
      <c r="AW202" s="239">
        <f t="shared" si="58"/>
        <v>0.05</v>
      </c>
      <c r="AX202" s="240">
        <f t="shared" si="59"/>
        <v>2</v>
      </c>
      <c r="AY202" s="241">
        <f t="shared" si="60"/>
        <v>-0.11</v>
      </c>
      <c r="AZ202" s="242">
        <f>IFERROR(VLOOKUP(M202,'[1]Base Brasil Obras'!$C$2:$F$485,4,0),"")</f>
        <v>0.1111111111111111</v>
      </c>
      <c r="BA202" s="243">
        <f t="shared" si="61"/>
        <v>1.9</v>
      </c>
      <c r="BB202" s="244">
        <f t="shared" si="62"/>
        <v>0</v>
      </c>
      <c r="BC202" s="244">
        <f t="shared" si="63"/>
        <v>0.05</v>
      </c>
      <c r="BD202" s="245">
        <f t="shared" si="64"/>
        <v>0.95</v>
      </c>
      <c r="BE202" s="246">
        <f t="shared" si="65"/>
        <v>0.1111111111111111</v>
      </c>
      <c r="BF202" s="247">
        <v>2</v>
      </c>
      <c r="BG202" s="248">
        <f t="shared" si="66"/>
        <v>1</v>
      </c>
      <c r="BH202" s="198"/>
      <c r="BI202" s="198"/>
      <c r="BJ202" s="199"/>
      <c r="BK202" s="200"/>
      <c r="BL202" s="200"/>
      <c r="BM202" s="200"/>
      <c r="BN202" s="200"/>
      <c r="BO202" s="10"/>
    </row>
    <row r="203" spans="1:89" ht="18" customHeight="1" x14ac:dyDescent="0.25">
      <c r="A203" s="201">
        <v>95</v>
      </c>
      <c r="B203" s="202">
        <v>8</v>
      </c>
      <c r="C203" s="203">
        <f t="shared" si="34"/>
        <v>0</v>
      </c>
      <c r="D203" s="204"/>
      <c r="E203" s="204"/>
      <c r="F203" s="205" t="s">
        <v>253</v>
      </c>
      <c r="G203" s="206"/>
      <c r="H203" s="207" t="s">
        <v>133</v>
      </c>
      <c r="I203" s="208" t="s">
        <v>125</v>
      </c>
      <c r="J203" s="208" t="s">
        <v>126</v>
      </c>
      <c r="K203" s="209" t="s">
        <v>118</v>
      </c>
      <c r="L203" s="255"/>
      <c r="M203" s="211" t="s">
        <v>255</v>
      </c>
      <c r="N203" s="257"/>
      <c r="O203" s="213">
        <f>SUMIF([1]Mestre!$G$137:$G$409,THEO!A203,[1]Mestre!$AG$137:$AG$409)</f>
        <v>0</v>
      </c>
      <c r="P203" s="214"/>
      <c r="Q203" s="214"/>
      <c r="R203" s="214"/>
      <c r="S203" s="214"/>
      <c r="T203" s="214"/>
      <c r="U203" s="215">
        <f t="shared" si="35"/>
        <v>7.6</v>
      </c>
      <c r="V203" s="216">
        <f t="shared" si="36"/>
        <v>-8.5714285714285632E-2</v>
      </c>
      <c r="W203" s="217">
        <f t="shared" si="37"/>
        <v>7.6</v>
      </c>
      <c r="X203" s="218" t="s">
        <v>20</v>
      </c>
      <c r="Y203" s="219" t="str">
        <f t="shared" si="38"/>
        <v>7 um/Dia</v>
      </c>
      <c r="Z203" s="220" t="str">
        <f t="shared" si="39"/>
        <v>0,44 um / HH</v>
      </c>
      <c r="AA203" s="221">
        <f t="shared" si="40"/>
        <v>0.44</v>
      </c>
      <c r="AB203" s="222" t="str">
        <f t="shared" si="41"/>
        <v>0 um /HH</v>
      </c>
      <c r="AC203" s="223">
        <f t="shared" si="42"/>
        <v>2</v>
      </c>
      <c r="AD203" s="224">
        <v>1</v>
      </c>
      <c r="AE203" s="225">
        <v>1</v>
      </c>
      <c r="AF203" s="226">
        <f t="shared" si="43"/>
        <v>0</v>
      </c>
      <c r="AG203" s="227">
        <f t="shared" si="44"/>
        <v>0</v>
      </c>
      <c r="AH203" s="228" t="s">
        <v>25</v>
      </c>
      <c r="AI203" s="229" t="str">
        <f t="shared" si="45"/>
        <v>Extremamente Complexa</v>
      </c>
      <c r="AJ203" s="230" t="str">
        <f t="shared" si="46"/>
        <v>Normal</v>
      </c>
      <c r="AK203" s="231">
        <f t="shared" si="47"/>
        <v>0</v>
      </c>
      <c r="AL203" s="232">
        <f t="shared" si="48"/>
        <v>0.5</v>
      </c>
      <c r="AM203" s="233">
        <f t="shared" si="49"/>
        <v>0</v>
      </c>
      <c r="AN203" s="233">
        <f t="shared" si="50"/>
        <v>0</v>
      </c>
      <c r="AO203" s="234">
        <f t="shared" si="51"/>
        <v>0</v>
      </c>
      <c r="AP203" s="235">
        <f t="shared" si="52"/>
        <v>1</v>
      </c>
      <c r="AQ203" s="235">
        <f t="shared" si="52"/>
        <v>1</v>
      </c>
      <c r="AR203" s="235">
        <f t="shared" si="53"/>
        <v>1</v>
      </c>
      <c r="AS203" s="251">
        <f t="shared" si="54"/>
        <v>0</v>
      </c>
      <c r="AT203" s="238">
        <f t="shared" si="55"/>
        <v>7</v>
      </c>
      <c r="AU203" s="239">
        <f t="shared" si="56"/>
        <v>0</v>
      </c>
      <c r="AV203" s="239">
        <f t="shared" si="57"/>
        <v>0</v>
      </c>
      <c r="AW203" s="239">
        <f t="shared" si="58"/>
        <v>0.05</v>
      </c>
      <c r="AX203" s="240">
        <f t="shared" si="59"/>
        <v>7</v>
      </c>
      <c r="AY203" s="241">
        <f t="shared" si="60"/>
        <v>-0.44</v>
      </c>
      <c r="AZ203" s="242">
        <f>IFERROR(VLOOKUP(M203,'[1]Base Brasil Obras'!$C$2:$F$485,4,0),"")</f>
        <v>0.44444444444444442</v>
      </c>
      <c r="BA203" s="243">
        <f t="shared" si="61"/>
        <v>7.6</v>
      </c>
      <c r="BB203" s="244">
        <f t="shared" si="62"/>
        <v>0</v>
      </c>
      <c r="BC203" s="244">
        <f t="shared" si="63"/>
        <v>0.05</v>
      </c>
      <c r="BD203" s="245">
        <f t="shared" si="64"/>
        <v>0.95</v>
      </c>
      <c r="BE203" s="246">
        <f t="shared" si="65"/>
        <v>0.44444444444444442</v>
      </c>
      <c r="BF203" s="247">
        <v>2</v>
      </c>
      <c r="BG203" s="248">
        <f t="shared" si="66"/>
        <v>1</v>
      </c>
      <c r="BH203" s="198"/>
      <c r="BI203" s="198"/>
      <c r="BJ203" s="199"/>
      <c r="BK203" s="200"/>
      <c r="BL203" s="200"/>
      <c r="BM203" s="200"/>
      <c r="BN203" s="200"/>
      <c r="BO203" s="10"/>
    </row>
    <row r="204" spans="1:89" ht="18" customHeight="1" x14ac:dyDescent="0.25">
      <c r="A204" s="201">
        <v>96</v>
      </c>
      <c r="B204" s="202">
        <v>15</v>
      </c>
      <c r="C204" s="203">
        <f t="shared" si="34"/>
        <v>0</v>
      </c>
      <c r="D204" s="204"/>
      <c r="E204" s="204"/>
      <c r="F204" s="205" t="s">
        <v>148</v>
      </c>
      <c r="G204" s="206"/>
      <c r="H204" s="207" t="s">
        <v>115</v>
      </c>
      <c r="I204" s="208" t="s">
        <v>125</v>
      </c>
      <c r="J204" s="208" t="s">
        <v>126</v>
      </c>
      <c r="K204" s="209" t="s">
        <v>144</v>
      </c>
      <c r="L204" s="255"/>
      <c r="M204" s="211" t="s">
        <v>256</v>
      </c>
      <c r="N204" s="257"/>
      <c r="O204" s="213">
        <f>SUMIF([1]Mestre!$G$137:$G$409,THEO!A204,[1]Mestre!$AG$137:$AG$409)</f>
        <v>0</v>
      </c>
      <c r="P204" s="214"/>
      <c r="Q204" s="214"/>
      <c r="R204" s="214"/>
      <c r="S204" s="214"/>
      <c r="T204" s="214"/>
      <c r="U204" s="215">
        <f t="shared" si="35"/>
        <v>14.25</v>
      </c>
      <c r="V204" s="216">
        <f t="shared" si="36"/>
        <v>-1.7857142857142794E-2</v>
      </c>
      <c r="W204" s="217">
        <f t="shared" si="37"/>
        <v>14.25</v>
      </c>
      <c r="X204" s="218" t="s">
        <v>20</v>
      </c>
      <c r="Y204" s="219" t="str">
        <f t="shared" si="38"/>
        <v>14 um/Dia</v>
      </c>
      <c r="Z204" s="220" t="str">
        <f t="shared" si="39"/>
        <v>0,56 um / HH</v>
      </c>
      <c r="AA204" s="221">
        <f t="shared" si="40"/>
        <v>0.56000000000000005</v>
      </c>
      <c r="AB204" s="222" t="str">
        <f t="shared" si="41"/>
        <v>0 um /HH</v>
      </c>
      <c r="AC204" s="223">
        <f t="shared" si="42"/>
        <v>3</v>
      </c>
      <c r="AD204" s="224">
        <v>1</v>
      </c>
      <c r="AE204" s="225">
        <v>2</v>
      </c>
      <c r="AF204" s="226">
        <f t="shared" si="43"/>
        <v>0</v>
      </c>
      <c r="AG204" s="227">
        <f t="shared" si="44"/>
        <v>0</v>
      </c>
      <c r="AH204" s="228" t="s">
        <v>25</v>
      </c>
      <c r="AI204" s="229" t="str">
        <f t="shared" si="45"/>
        <v>Extremamente Complexa</v>
      </c>
      <c r="AJ204" s="230" t="str">
        <f t="shared" si="46"/>
        <v>Normal</v>
      </c>
      <c r="AK204" s="231">
        <f t="shared" si="47"/>
        <v>0</v>
      </c>
      <c r="AL204" s="232">
        <f t="shared" si="48"/>
        <v>0.33333333333333331</v>
      </c>
      <c r="AM204" s="233">
        <f t="shared" si="49"/>
        <v>0</v>
      </c>
      <c r="AN204" s="233">
        <f t="shared" si="50"/>
        <v>0</v>
      </c>
      <c r="AO204" s="234">
        <f t="shared" si="51"/>
        <v>0</v>
      </c>
      <c r="AP204" s="235">
        <f t="shared" si="52"/>
        <v>1</v>
      </c>
      <c r="AQ204" s="235">
        <f t="shared" si="52"/>
        <v>1</v>
      </c>
      <c r="AR204" s="235">
        <f t="shared" si="53"/>
        <v>1</v>
      </c>
      <c r="AS204" s="252">
        <f t="shared" si="54"/>
        <v>0</v>
      </c>
      <c r="AT204" s="238">
        <f t="shared" si="55"/>
        <v>14</v>
      </c>
      <c r="AU204" s="239">
        <f t="shared" si="56"/>
        <v>0</v>
      </c>
      <c r="AV204" s="239">
        <f t="shared" si="57"/>
        <v>0</v>
      </c>
      <c r="AW204" s="239">
        <f t="shared" si="58"/>
        <v>0.05</v>
      </c>
      <c r="AX204" s="240">
        <f t="shared" si="59"/>
        <v>14</v>
      </c>
      <c r="AY204" s="241">
        <f t="shared" si="60"/>
        <v>-0.56000000000000005</v>
      </c>
      <c r="AZ204" s="242">
        <f>IFERROR(VLOOKUP(M204,'[1]Base Brasil Obras'!$C$2:$F$485,4,0),"")</f>
        <v>0.55555555555555558</v>
      </c>
      <c r="BA204" s="243">
        <f t="shared" si="61"/>
        <v>14.25</v>
      </c>
      <c r="BB204" s="244">
        <f t="shared" si="62"/>
        <v>0</v>
      </c>
      <c r="BC204" s="244">
        <f t="shared" si="63"/>
        <v>0.05</v>
      </c>
      <c r="BD204" s="245">
        <f t="shared" si="64"/>
        <v>0.95</v>
      </c>
      <c r="BE204" s="246">
        <f t="shared" si="65"/>
        <v>0.55555555555555558</v>
      </c>
      <c r="BF204" s="247">
        <v>3</v>
      </c>
      <c r="BG204" s="248">
        <f t="shared" si="66"/>
        <v>1</v>
      </c>
      <c r="BH204" s="198"/>
      <c r="BI204" s="198"/>
      <c r="BJ204" s="199"/>
      <c r="BK204" s="200"/>
      <c r="BL204" s="200"/>
      <c r="BM204" s="200"/>
      <c r="BN204" s="200"/>
      <c r="BO204" s="10"/>
    </row>
    <row r="205" spans="1:89" ht="18" customHeight="1" x14ac:dyDescent="0.25">
      <c r="A205" s="201">
        <v>97</v>
      </c>
      <c r="B205" s="202">
        <v>45</v>
      </c>
      <c r="C205" s="203">
        <f t="shared" si="34"/>
        <v>0</v>
      </c>
      <c r="D205" s="204"/>
      <c r="E205" s="204"/>
      <c r="F205" s="205" t="s">
        <v>146</v>
      </c>
      <c r="G205" s="206"/>
      <c r="H205" s="207" t="s">
        <v>133</v>
      </c>
      <c r="I205" s="208" t="s">
        <v>125</v>
      </c>
      <c r="J205" s="208" t="s">
        <v>126</v>
      </c>
      <c r="K205" s="209" t="s">
        <v>118</v>
      </c>
      <c r="L205" s="255"/>
      <c r="M205" s="211" t="s">
        <v>257</v>
      </c>
      <c r="N205" s="257"/>
      <c r="O205" s="213">
        <f>SUMIF([1]Mestre!$G$137:$G$409,THEO!A205,[1]Mestre!$AG$137:$AG$409)</f>
        <v>0</v>
      </c>
      <c r="P205" s="214"/>
      <c r="Q205" s="214"/>
      <c r="R205" s="214"/>
      <c r="S205" s="214"/>
      <c r="T205" s="214"/>
      <c r="U205" s="215">
        <f t="shared" si="35"/>
        <v>42.75</v>
      </c>
      <c r="V205" s="216">
        <f t="shared" si="36"/>
        <v>-4.2682926829268331E-2</v>
      </c>
      <c r="W205" s="217">
        <f t="shared" si="37"/>
        <v>42.75</v>
      </c>
      <c r="X205" s="218" t="s">
        <v>20</v>
      </c>
      <c r="Y205" s="285" t="str">
        <f t="shared" si="38"/>
        <v>41 um/Dia</v>
      </c>
      <c r="Z205" s="220" t="str">
        <f t="shared" si="39"/>
        <v>1,67 um / HH</v>
      </c>
      <c r="AA205" s="221">
        <f t="shared" si="40"/>
        <v>1.67</v>
      </c>
      <c r="AB205" s="222" t="str">
        <f t="shared" si="41"/>
        <v>0 um /HH</v>
      </c>
      <c r="AC205" s="223">
        <f t="shared" si="42"/>
        <v>3</v>
      </c>
      <c r="AD205" s="224">
        <v>2</v>
      </c>
      <c r="AE205" s="225">
        <v>1</v>
      </c>
      <c r="AF205" s="226">
        <f t="shared" si="43"/>
        <v>0</v>
      </c>
      <c r="AG205" s="227">
        <f t="shared" si="44"/>
        <v>0</v>
      </c>
      <c r="AH205" s="228" t="s">
        <v>25</v>
      </c>
      <c r="AI205" s="229" t="str">
        <f t="shared" si="45"/>
        <v>Extremamente Complexa</v>
      </c>
      <c r="AJ205" s="230" t="str">
        <f t="shared" si="46"/>
        <v>Normal</v>
      </c>
      <c r="AK205" s="231">
        <f t="shared" si="47"/>
        <v>0</v>
      </c>
      <c r="AL205" s="232">
        <f t="shared" si="48"/>
        <v>0.66666666666666663</v>
      </c>
      <c r="AM205" s="233">
        <f t="shared" si="49"/>
        <v>0</v>
      </c>
      <c r="AN205" s="233">
        <f t="shared" si="50"/>
        <v>0</v>
      </c>
      <c r="AO205" s="234">
        <f t="shared" si="51"/>
        <v>0</v>
      </c>
      <c r="AP205" s="235">
        <f t="shared" ref="AP205:AQ236" si="67">IFERROR(VLOOKUP(I205,$J$1070:$K$1089,2,1),0)</f>
        <v>1</v>
      </c>
      <c r="AQ205" s="235">
        <f t="shared" si="67"/>
        <v>1</v>
      </c>
      <c r="AR205" s="236">
        <f t="shared" si="53"/>
        <v>1</v>
      </c>
      <c r="AS205" s="251">
        <f t="shared" si="54"/>
        <v>0</v>
      </c>
      <c r="AT205" s="238">
        <f t="shared" si="55"/>
        <v>41</v>
      </c>
      <c r="AU205" s="239">
        <f t="shared" si="56"/>
        <v>0</v>
      </c>
      <c r="AV205" s="239">
        <f t="shared" si="57"/>
        <v>0</v>
      </c>
      <c r="AW205" s="239">
        <f t="shared" si="58"/>
        <v>0.05</v>
      </c>
      <c r="AX205" s="240">
        <f t="shared" si="59"/>
        <v>41</v>
      </c>
      <c r="AY205" s="241">
        <f t="shared" si="60"/>
        <v>-1.67</v>
      </c>
      <c r="AZ205" s="242">
        <f>IFERROR(VLOOKUP(M205,'[1]Base Brasil Obras'!$C$2:$F$485,4,0),"")</f>
        <v>1.6666666666666667</v>
      </c>
      <c r="BA205" s="243">
        <f t="shared" si="61"/>
        <v>42.75</v>
      </c>
      <c r="BB205" s="244">
        <f t="shared" si="62"/>
        <v>0</v>
      </c>
      <c r="BC205" s="244">
        <f t="shared" si="63"/>
        <v>0.05</v>
      </c>
      <c r="BD205" s="245">
        <f t="shared" si="64"/>
        <v>0.95</v>
      </c>
      <c r="BE205" s="246">
        <f t="shared" si="65"/>
        <v>1.6666666666666667</v>
      </c>
      <c r="BF205" s="247">
        <v>3</v>
      </c>
      <c r="BG205" s="248">
        <f t="shared" si="66"/>
        <v>1</v>
      </c>
      <c r="BH205" s="198"/>
      <c r="BI205" s="198"/>
      <c r="BJ205" s="199"/>
      <c r="BK205" s="200"/>
      <c r="BL205" s="200"/>
      <c r="BM205" s="200"/>
      <c r="BN205" s="200"/>
      <c r="BO205" s="10"/>
      <c r="BP205" s="249"/>
      <c r="BQ205" s="249"/>
      <c r="BR205" s="249"/>
      <c r="BS205" s="249"/>
      <c r="BT205" s="249"/>
      <c r="BU205" s="249"/>
      <c r="BV205" s="249"/>
      <c r="BW205" s="249"/>
      <c r="BX205" s="249"/>
      <c r="BY205" s="249"/>
      <c r="BZ205" s="249"/>
      <c r="CA205" s="249"/>
      <c r="CB205" s="249"/>
      <c r="CC205" s="249"/>
      <c r="CD205" s="249"/>
      <c r="CE205" s="249"/>
      <c r="CF205" s="249"/>
      <c r="CG205" s="249"/>
      <c r="CH205" s="249"/>
      <c r="CI205" s="249"/>
      <c r="CJ205" s="249"/>
      <c r="CK205" s="249"/>
    </row>
    <row r="206" spans="1:89" ht="18" customHeight="1" x14ac:dyDescent="0.25">
      <c r="A206" s="201">
        <v>98</v>
      </c>
      <c r="B206" s="202">
        <v>90</v>
      </c>
      <c r="C206" s="203">
        <f t="shared" si="34"/>
        <v>0</v>
      </c>
      <c r="D206" s="204"/>
      <c r="E206" s="204"/>
      <c r="F206" s="205" t="s">
        <v>148</v>
      </c>
      <c r="G206" s="206"/>
      <c r="H206" s="207" t="s">
        <v>115</v>
      </c>
      <c r="I206" s="208" t="s">
        <v>125</v>
      </c>
      <c r="J206" s="208" t="s">
        <v>126</v>
      </c>
      <c r="K206" s="209" t="s">
        <v>144</v>
      </c>
      <c r="L206" s="255"/>
      <c r="M206" s="211" t="s">
        <v>258</v>
      </c>
      <c r="N206" s="257"/>
      <c r="O206" s="213">
        <v>540</v>
      </c>
      <c r="P206" s="214"/>
      <c r="Q206" s="214"/>
      <c r="R206" s="214"/>
      <c r="S206" s="214"/>
      <c r="T206" s="214"/>
      <c r="U206" s="215">
        <f t="shared" si="35"/>
        <v>85.5</v>
      </c>
      <c r="V206" s="216">
        <f t="shared" si="36"/>
        <v>-5.555555555555558E-2</v>
      </c>
      <c r="W206" s="217">
        <f t="shared" si="37"/>
        <v>85.5</v>
      </c>
      <c r="X206" s="218" t="s">
        <v>20</v>
      </c>
      <c r="Y206" s="285" t="str">
        <f t="shared" si="38"/>
        <v>81 um/Dia</v>
      </c>
      <c r="Z206" s="220" t="str">
        <f t="shared" si="39"/>
        <v>5 um / HH</v>
      </c>
      <c r="AA206" s="221">
        <f t="shared" si="40"/>
        <v>5</v>
      </c>
      <c r="AB206" s="222" t="str">
        <f t="shared" si="41"/>
        <v>4,5 um /HH</v>
      </c>
      <c r="AC206" s="223">
        <f t="shared" si="42"/>
        <v>2</v>
      </c>
      <c r="AD206" s="224">
        <v>1</v>
      </c>
      <c r="AE206" s="225">
        <v>1</v>
      </c>
      <c r="AF206" s="226">
        <f t="shared" si="43"/>
        <v>6.666666666666667</v>
      </c>
      <c r="AG206" s="227">
        <f t="shared" si="44"/>
        <v>120</v>
      </c>
      <c r="AH206" s="228" t="s">
        <v>25</v>
      </c>
      <c r="AI206" s="229" t="str">
        <f t="shared" si="45"/>
        <v>Extremamente Complexa</v>
      </c>
      <c r="AJ206" s="230" t="str">
        <f t="shared" si="46"/>
        <v>Normal</v>
      </c>
      <c r="AK206" s="231">
        <f t="shared" si="47"/>
        <v>171.42857142857144</v>
      </c>
      <c r="AL206" s="232">
        <f t="shared" si="48"/>
        <v>0.5</v>
      </c>
      <c r="AM206" s="233">
        <f t="shared" si="49"/>
        <v>85.714285714285722</v>
      </c>
      <c r="AN206" s="233">
        <f t="shared" si="50"/>
        <v>85.714285714285722</v>
      </c>
      <c r="AO206" s="234">
        <f t="shared" si="51"/>
        <v>3.3839133955748612E-3</v>
      </c>
      <c r="AP206" s="235">
        <f t="shared" si="67"/>
        <v>1</v>
      </c>
      <c r="AQ206" s="235">
        <f t="shared" si="67"/>
        <v>1</v>
      </c>
      <c r="AR206" s="236">
        <f t="shared" si="53"/>
        <v>1</v>
      </c>
      <c r="AS206" s="252">
        <f t="shared" si="54"/>
        <v>4.5</v>
      </c>
      <c r="AT206" s="238">
        <f t="shared" si="55"/>
        <v>81</v>
      </c>
      <c r="AU206" s="239">
        <f t="shared" si="56"/>
        <v>0</v>
      </c>
      <c r="AV206" s="239">
        <f t="shared" si="57"/>
        <v>0</v>
      </c>
      <c r="AW206" s="239">
        <f t="shared" si="58"/>
        <v>0.05</v>
      </c>
      <c r="AX206" s="240">
        <f t="shared" si="59"/>
        <v>81</v>
      </c>
      <c r="AY206" s="241">
        <f t="shared" si="60"/>
        <v>-0.5</v>
      </c>
      <c r="AZ206" s="242">
        <f>IFERROR(VLOOKUP(M206,'[1]Base Brasil Obras'!$C$2:$F$485,4,0),"")</f>
        <v>5</v>
      </c>
      <c r="BA206" s="243">
        <f t="shared" si="61"/>
        <v>85.5</v>
      </c>
      <c r="BB206" s="244">
        <f t="shared" si="62"/>
        <v>0</v>
      </c>
      <c r="BC206" s="244">
        <f t="shared" si="63"/>
        <v>0.05</v>
      </c>
      <c r="BD206" s="245">
        <f t="shared" si="64"/>
        <v>0.95</v>
      </c>
      <c r="BE206" s="246">
        <f t="shared" si="65"/>
        <v>5</v>
      </c>
      <c r="BF206" s="247">
        <v>2</v>
      </c>
      <c r="BG206" s="248">
        <f t="shared" si="66"/>
        <v>1</v>
      </c>
      <c r="BH206" s="198"/>
      <c r="BI206" s="198"/>
      <c r="BJ206" s="199"/>
      <c r="BK206" s="200"/>
      <c r="BL206" s="200"/>
      <c r="BM206" s="200"/>
      <c r="BN206" s="200"/>
      <c r="BO206" s="10"/>
      <c r="BP206" s="249"/>
      <c r="BQ206" s="249"/>
      <c r="BR206" s="249"/>
      <c r="BS206" s="249"/>
      <c r="BT206" s="249"/>
      <c r="BU206" s="249"/>
      <c r="BV206" s="249"/>
      <c r="BW206" s="249"/>
      <c r="BX206" s="249"/>
      <c r="BY206" s="249"/>
      <c r="BZ206" s="249"/>
      <c r="CA206" s="249"/>
      <c r="CB206" s="249"/>
      <c r="CC206" s="249"/>
      <c r="CD206" s="249"/>
      <c r="CE206" s="249"/>
      <c r="CF206" s="249"/>
      <c r="CG206" s="249"/>
      <c r="CH206" s="249"/>
      <c r="CI206" s="249"/>
      <c r="CJ206" s="249"/>
      <c r="CK206" s="249"/>
    </row>
    <row r="207" spans="1:89" ht="18" customHeight="1" x14ac:dyDescent="0.25">
      <c r="A207" s="201">
        <v>99</v>
      </c>
      <c r="B207" s="202">
        <v>30</v>
      </c>
      <c r="C207" s="203">
        <f t="shared" si="34"/>
        <v>0</v>
      </c>
      <c r="D207" s="204"/>
      <c r="E207" s="204"/>
      <c r="F207" s="205" t="s">
        <v>148</v>
      </c>
      <c r="G207" s="206"/>
      <c r="H207" s="207" t="s">
        <v>131</v>
      </c>
      <c r="I207" s="208" t="s">
        <v>125</v>
      </c>
      <c r="J207" s="208" t="s">
        <v>126</v>
      </c>
      <c r="K207" s="209" t="s">
        <v>144</v>
      </c>
      <c r="L207" s="255"/>
      <c r="M207" s="211" t="s">
        <v>259</v>
      </c>
      <c r="N207" s="257"/>
      <c r="O207" s="213">
        <v>185</v>
      </c>
      <c r="P207" s="214"/>
      <c r="Q207" s="214"/>
      <c r="R207" s="214"/>
      <c r="S207" s="214"/>
      <c r="T207" s="214"/>
      <c r="U207" s="215">
        <f t="shared" si="35"/>
        <v>28.5</v>
      </c>
      <c r="V207" s="216">
        <f t="shared" si="36"/>
        <v>-5.555555555555558E-2</v>
      </c>
      <c r="W207" s="217">
        <f t="shared" si="37"/>
        <v>28.5</v>
      </c>
      <c r="X207" s="218" t="s">
        <v>20</v>
      </c>
      <c r="Y207" s="285" t="str">
        <f t="shared" si="38"/>
        <v>27 um/Dia</v>
      </c>
      <c r="Z207" s="220" t="str">
        <f t="shared" si="39"/>
        <v>1,11 um / HH</v>
      </c>
      <c r="AA207" s="221">
        <f t="shared" si="40"/>
        <v>1.1100000000000001</v>
      </c>
      <c r="AB207" s="222" t="str">
        <f t="shared" si="41"/>
        <v>1 um /HH</v>
      </c>
      <c r="AC207" s="223">
        <f t="shared" si="42"/>
        <v>3</v>
      </c>
      <c r="AD207" s="224">
        <v>1</v>
      </c>
      <c r="AE207" s="225">
        <v>2</v>
      </c>
      <c r="AF207" s="226">
        <f t="shared" si="43"/>
        <v>6.8518518518518521</v>
      </c>
      <c r="AG207" s="227">
        <f t="shared" si="44"/>
        <v>185</v>
      </c>
      <c r="AH207" s="228" t="s">
        <v>25</v>
      </c>
      <c r="AI207" s="229" t="str">
        <f t="shared" si="45"/>
        <v>Extremamente Complexa</v>
      </c>
      <c r="AJ207" s="230" t="str">
        <f t="shared" si="46"/>
        <v>Normal</v>
      </c>
      <c r="AK207" s="231">
        <f t="shared" si="47"/>
        <v>264.28571428571428</v>
      </c>
      <c r="AL207" s="232">
        <f t="shared" si="48"/>
        <v>0.33333333333333331</v>
      </c>
      <c r="AM207" s="233">
        <f t="shared" si="49"/>
        <v>88.095238095238088</v>
      </c>
      <c r="AN207" s="233">
        <f t="shared" si="50"/>
        <v>176.1904761904762</v>
      </c>
      <c r="AO207" s="234">
        <f t="shared" si="51"/>
        <v>5.2168664848445765E-3</v>
      </c>
      <c r="AP207" s="235">
        <f t="shared" si="67"/>
        <v>1</v>
      </c>
      <c r="AQ207" s="235">
        <f t="shared" si="67"/>
        <v>1</v>
      </c>
      <c r="AR207" s="235">
        <f t="shared" si="53"/>
        <v>1</v>
      </c>
      <c r="AS207" s="251">
        <f t="shared" si="54"/>
        <v>1</v>
      </c>
      <c r="AT207" s="238">
        <f t="shared" si="55"/>
        <v>27</v>
      </c>
      <c r="AU207" s="239">
        <f t="shared" si="56"/>
        <v>0</v>
      </c>
      <c r="AV207" s="239">
        <f t="shared" si="57"/>
        <v>0</v>
      </c>
      <c r="AW207" s="239">
        <f t="shared" si="58"/>
        <v>0.05</v>
      </c>
      <c r="AX207" s="240">
        <f t="shared" si="59"/>
        <v>27</v>
      </c>
      <c r="AY207" s="241">
        <f t="shared" si="60"/>
        <v>-0.1100000000000001</v>
      </c>
      <c r="AZ207" s="242">
        <f>IFERROR(VLOOKUP(M207,'[1]Base Brasil Obras'!$C$2:$F$485,4,0),"")</f>
        <v>1.1111111111111112</v>
      </c>
      <c r="BA207" s="243">
        <f t="shared" si="61"/>
        <v>28.5</v>
      </c>
      <c r="BB207" s="244">
        <f t="shared" si="62"/>
        <v>0</v>
      </c>
      <c r="BC207" s="244">
        <f t="shared" si="63"/>
        <v>0.05</v>
      </c>
      <c r="BD207" s="245">
        <f t="shared" si="64"/>
        <v>0.95</v>
      </c>
      <c r="BE207" s="246">
        <f t="shared" si="65"/>
        <v>1.1111111111111112</v>
      </c>
      <c r="BF207" s="247">
        <v>3</v>
      </c>
      <c r="BG207" s="248">
        <f t="shared" si="66"/>
        <v>1</v>
      </c>
      <c r="BH207" s="198"/>
      <c r="BI207" s="198"/>
      <c r="BJ207" s="199"/>
      <c r="BK207" s="200"/>
      <c r="BL207" s="200"/>
      <c r="BM207" s="200"/>
      <c r="BN207" s="200"/>
      <c r="BO207" s="10"/>
      <c r="BP207" s="249"/>
      <c r="BQ207" s="249"/>
      <c r="BR207" s="249"/>
      <c r="BS207" s="249"/>
      <c r="BT207" s="249"/>
      <c r="BU207" s="249"/>
      <c r="BV207" s="249"/>
      <c r="BW207" s="249"/>
      <c r="BX207" s="249"/>
      <c r="BY207" s="249"/>
      <c r="BZ207" s="249"/>
      <c r="CA207" s="249"/>
      <c r="CB207" s="249"/>
      <c r="CC207" s="249"/>
      <c r="CD207" s="249"/>
      <c r="CE207" s="249"/>
      <c r="CF207" s="249"/>
      <c r="CG207" s="249"/>
      <c r="CH207" s="249"/>
      <c r="CI207" s="249"/>
      <c r="CJ207" s="249"/>
      <c r="CK207" s="249"/>
    </row>
    <row r="208" spans="1:89" ht="18" customHeight="1" x14ac:dyDescent="0.25">
      <c r="A208" s="201">
        <v>100</v>
      </c>
      <c r="B208" s="202">
        <v>19.999999999999993</v>
      </c>
      <c r="C208" s="203">
        <f t="shared" si="34"/>
        <v>0</v>
      </c>
      <c r="D208" s="204"/>
      <c r="E208" s="204"/>
      <c r="F208" s="205" t="s">
        <v>148</v>
      </c>
      <c r="G208" s="206"/>
      <c r="H208" s="207" t="s">
        <v>131</v>
      </c>
      <c r="I208" s="208" t="s">
        <v>125</v>
      </c>
      <c r="J208" s="208" t="s">
        <v>126</v>
      </c>
      <c r="K208" s="209" t="s">
        <v>144</v>
      </c>
      <c r="L208" s="255"/>
      <c r="M208" s="211" t="s">
        <v>260</v>
      </c>
      <c r="N208" s="257"/>
      <c r="O208" s="213">
        <v>10</v>
      </c>
      <c r="P208" s="214"/>
      <c r="Q208" s="214"/>
      <c r="R208" s="214"/>
      <c r="S208" s="214"/>
      <c r="T208" s="214"/>
      <c r="U208" s="215">
        <f t="shared" si="35"/>
        <v>18.999999999999993</v>
      </c>
      <c r="V208" s="216">
        <f t="shared" si="36"/>
        <v>-5.5555555555555136E-2</v>
      </c>
      <c r="W208" s="217">
        <f t="shared" si="37"/>
        <v>18.999999999999993</v>
      </c>
      <c r="X208" s="218" t="s">
        <v>20</v>
      </c>
      <c r="Y208" s="285" t="str">
        <f t="shared" si="38"/>
        <v>18 um/Dia</v>
      </c>
      <c r="Z208" s="220" t="str">
        <f t="shared" si="39"/>
        <v>0,74 um / HH</v>
      </c>
      <c r="AA208" s="221">
        <f t="shared" si="40"/>
        <v>0.74</v>
      </c>
      <c r="AB208" s="222" t="str">
        <f t="shared" si="41"/>
        <v>0,7 um /HH</v>
      </c>
      <c r="AC208" s="223">
        <f t="shared" si="42"/>
        <v>3</v>
      </c>
      <c r="AD208" s="224">
        <v>1</v>
      </c>
      <c r="AE208" s="225">
        <v>2</v>
      </c>
      <c r="AF208" s="226">
        <f t="shared" si="43"/>
        <v>0.55555555555555558</v>
      </c>
      <c r="AG208" s="227">
        <f t="shared" si="44"/>
        <v>15</v>
      </c>
      <c r="AH208" s="228" t="s">
        <v>25</v>
      </c>
      <c r="AI208" s="229" t="str">
        <f t="shared" si="45"/>
        <v>Extremamente Complexa</v>
      </c>
      <c r="AJ208" s="230" t="str">
        <f t="shared" si="46"/>
        <v>Normal</v>
      </c>
      <c r="AK208" s="231">
        <f t="shared" si="47"/>
        <v>21.428571428571431</v>
      </c>
      <c r="AL208" s="232">
        <f t="shared" si="48"/>
        <v>0.33333333333333331</v>
      </c>
      <c r="AM208" s="233">
        <f t="shared" si="49"/>
        <v>7.1428571428571432</v>
      </c>
      <c r="AN208" s="233">
        <f t="shared" si="50"/>
        <v>14.285714285714288</v>
      </c>
      <c r="AO208" s="234">
        <f t="shared" si="51"/>
        <v>4.2298917444685765E-4</v>
      </c>
      <c r="AP208" s="235">
        <f t="shared" si="67"/>
        <v>1</v>
      </c>
      <c r="AQ208" s="235">
        <f t="shared" si="67"/>
        <v>1</v>
      </c>
      <c r="AR208" s="236">
        <f t="shared" si="53"/>
        <v>1</v>
      </c>
      <c r="AS208" s="252">
        <f t="shared" si="54"/>
        <v>0.66666666666666663</v>
      </c>
      <c r="AT208" s="238">
        <f t="shared" si="55"/>
        <v>18</v>
      </c>
      <c r="AU208" s="239">
        <f t="shared" si="56"/>
        <v>0</v>
      </c>
      <c r="AV208" s="239">
        <f t="shared" si="57"/>
        <v>0</v>
      </c>
      <c r="AW208" s="239">
        <f t="shared" si="58"/>
        <v>0.05</v>
      </c>
      <c r="AX208" s="240">
        <f t="shared" si="59"/>
        <v>18</v>
      </c>
      <c r="AY208" s="241">
        <f t="shared" si="60"/>
        <v>-4.0000000000000036E-2</v>
      </c>
      <c r="AZ208" s="242">
        <f>IFERROR(VLOOKUP(M208,'[1]Base Brasil Obras'!$C$2:$F$485,4,0),"")</f>
        <v>0.74074074074074048</v>
      </c>
      <c r="BA208" s="243">
        <f t="shared" si="61"/>
        <v>18.999999999999993</v>
      </c>
      <c r="BB208" s="244">
        <f t="shared" si="62"/>
        <v>0</v>
      </c>
      <c r="BC208" s="244">
        <f t="shared" si="63"/>
        <v>0.05</v>
      </c>
      <c r="BD208" s="245">
        <f t="shared" si="64"/>
        <v>0.95</v>
      </c>
      <c r="BE208" s="246">
        <f t="shared" si="65"/>
        <v>0.74074074074074048</v>
      </c>
      <c r="BF208" s="247">
        <v>3</v>
      </c>
      <c r="BG208" s="248">
        <f t="shared" si="66"/>
        <v>1</v>
      </c>
      <c r="BH208" s="198"/>
      <c r="BI208" s="198"/>
      <c r="BJ208" s="199"/>
      <c r="BK208" s="200"/>
      <c r="BL208" s="200"/>
      <c r="BM208" s="200"/>
      <c r="BN208" s="200"/>
      <c r="BO208" s="10"/>
      <c r="BP208" s="249"/>
      <c r="BQ208" s="249"/>
      <c r="BR208" s="249"/>
      <c r="BS208" s="249"/>
      <c r="BT208" s="249"/>
      <c r="BU208" s="249"/>
      <c r="BV208" s="249"/>
      <c r="BW208" s="249"/>
      <c r="BX208" s="249"/>
      <c r="BY208" s="249"/>
      <c r="BZ208" s="249"/>
      <c r="CA208" s="249"/>
      <c r="CB208" s="249"/>
      <c r="CC208" s="249"/>
      <c r="CD208" s="249"/>
      <c r="CE208" s="249"/>
      <c r="CF208" s="249"/>
      <c r="CG208" s="249"/>
      <c r="CH208" s="249"/>
      <c r="CI208" s="249"/>
      <c r="CJ208" s="249"/>
      <c r="CK208" s="249"/>
    </row>
    <row r="209" spans="1:89" ht="18" customHeight="1" x14ac:dyDescent="0.25">
      <c r="A209" s="201">
        <v>101</v>
      </c>
      <c r="B209" s="202">
        <v>70</v>
      </c>
      <c r="C209" s="203">
        <f t="shared" si="34"/>
        <v>0</v>
      </c>
      <c r="D209" s="204"/>
      <c r="E209" s="204"/>
      <c r="F209" s="205" t="s">
        <v>148</v>
      </c>
      <c r="G209" s="206"/>
      <c r="H209" s="207" t="s">
        <v>131</v>
      </c>
      <c r="I209" s="208" t="s">
        <v>125</v>
      </c>
      <c r="J209" s="208" t="s">
        <v>126</v>
      </c>
      <c r="K209" s="209" t="s">
        <v>144</v>
      </c>
      <c r="L209" s="255"/>
      <c r="M209" s="211" t="s">
        <v>261</v>
      </c>
      <c r="N209" s="257"/>
      <c r="O209" s="213">
        <f>SUMIF([1]Mestre!$G$137:$G$409,THEO!A209,[1]Mestre!$AG$137:$AG$409)</f>
        <v>0</v>
      </c>
      <c r="P209" s="214"/>
      <c r="Q209" s="214"/>
      <c r="R209" s="214"/>
      <c r="S209" s="214"/>
      <c r="T209" s="214"/>
      <c r="U209" s="215">
        <f t="shared" si="35"/>
        <v>66.5</v>
      </c>
      <c r="V209" s="216">
        <f t="shared" si="36"/>
        <v>-5.555555555555558E-2</v>
      </c>
      <c r="W209" s="217">
        <f t="shared" si="37"/>
        <v>66.5</v>
      </c>
      <c r="X209" s="218" t="s">
        <v>20</v>
      </c>
      <c r="Y209" s="285" t="str">
        <f t="shared" si="38"/>
        <v>63 um/Dia</v>
      </c>
      <c r="Z209" s="220" t="str">
        <f t="shared" si="39"/>
        <v>2,59 um / HH</v>
      </c>
      <c r="AA209" s="221">
        <f t="shared" si="40"/>
        <v>2.59</v>
      </c>
      <c r="AB209" s="222" t="str">
        <f t="shared" si="41"/>
        <v>0 um /HH</v>
      </c>
      <c r="AC209" s="223">
        <f t="shared" si="42"/>
        <v>3</v>
      </c>
      <c r="AD209" s="224">
        <v>1</v>
      </c>
      <c r="AE209" s="225">
        <v>2</v>
      </c>
      <c r="AF209" s="226">
        <f t="shared" si="43"/>
        <v>0</v>
      </c>
      <c r="AG209" s="227">
        <f t="shared" si="44"/>
        <v>0</v>
      </c>
      <c r="AH209" s="228" t="s">
        <v>25</v>
      </c>
      <c r="AI209" s="229" t="str">
        <f t="shared" si="45"/>
        <v>Extremamente Complexa</v>
      </c>
      <c r="AJ209" s="230" t="str">
        <f t="shared" si="46"/>
        <v>Normal</v>
      </c>
      <c r="AK209" s="231">
        <f t="shared" si="47"/>
        <v>0</v>
      </c>
      <c r="AL209" s="232">
        <f t="shared" si="48"/>
        <v>0.33333333333333331</v>
      </c>
      <c r="AM209" s="233">
        <f t="shared" si="49"/>
        <v>0</v>
      </c>
      <c r="AN209" s="233">
        <f t="shared" si="50"/>
        <v>0</v>
      </c>
      <c r="AO209" s="234">
        <f t="shared" si="51"/>
        <v>0</v>
      </c>
      <c r="AP209" s="235">
        <f t="shared" si="67"/>
        <v>1</v>
      </c>
      <c r="AQ209" s="235">
        <f t="shared" si="67"/>
        <v>1</v>
      </c>
      <c r="AR209" s="236">
        <f t="shared" si="53"/>
        <v>1</v>
      </c>
      <c r="AS209" s="251">
        <f t="shared" si="54"/>
        <v>0</v>
      </c>
      <c r="AT209" s="238">
        <f t="shared" si="55"/>
        <v>63</v>
      </c>
      <c r="AU209" s="239">
        <f t="shared" si="56"/>
        <v>0</v>
      </c>
      <c r="AV209" s="239">
        <f t="shared" si="57"/>
        <v>0</v>
      </c>
      <c r="AW209" s="239">
        <f t="shared" si="58"/>
        <v>0.05</v>
      </c>
      <c r="AX209" s="240">
        <f t="shared" si="59"/>
        <v>63</v>
      </c>
      <c r="AY209" s="241">
        <f t="shared" si="60"/>
        <v>-2.59</v>
      </c>
      <c r="AZ209" s="242">
        <f>IFERROR(VLOOKUP(M209,'[1]Base Brasil Obras'!$C$2:$F$485,4,0),"")</f>
        <v>2.5925925925925926</v>
      </c>
      <c r="BA209" s="243">
        <f t="shared" si="61"/>
        <v>66.5</v>
      </c>
      <c r="BB209" s="244">
        <f t="shared" si="62"/>
        <v>0</v>
      </c>
      <c r="BC209" s="244">
        <f t="shared" si="63"/>
        <v>0.05</v>
      </c>
      <c r="BD209" s="245">
        <f t="shared" si="64"/>
        <v>0.95</v>
      </c>
      <c r="BE209" s="246">
        <f t="shared" si="65"/>
        <v>2.5925925925925926</v>
      </c>
      <c r="BF209" s="247">
        <v>3</v>
      </c>
      <c r="BG209" s="248">
        <f t="shared" si="66"/>
        <v>1</v>
      </c>
      <c r="BH209" s="198"/>
      <c r="BI209" s="198"/>
      <c r="BJ209" s="199"/>
      <c r="BK209" s="200"/>
      <c r="BL209" s="200"/>
      <c r="BM209" s="200"/>
      <c r="BN209" s="200"/>
      <c r="BO209" s="10"/>
    </row>
    <row r="210" spans="1:89" ht="18" x14ac:dyDescent="0.25">
      <c r="A210" s="201">
        <v>102</v>
      </c>
      <c r="B210" s="202">
        <v>30</v>
      </c>
      <c r="C210" s="203">
        <f t="shared" si="34"/>
        <v>0</v>
      </c>
      <c r="D210" s="204"/>
      <c r="E210" s="204"/>
      <c r="F210" s="205" t="s">
        <v>148</v>
      </c>
      <c r="G210" s="206"/>
      <c r="H210" s="207" t="s">
        <v>115</v>
      </c>
      <c r="I210" s="208" t="s">
        <v>125</v>
      </c>
      <c r="J210" s="208" t="s">
        <v>126</v>
      </c>
      <c r="K210" s="209" t="s">
        <v>144</v>
      </c>
      <c r="L210" s="255"/>
      <c r="M210" s="211" t="s">
        <v>262</v>
      </c>
      <c r="N210" s="257"/>
      <c r="O210" s="213">
        <f>SUMIF([1]Mestre!$G$137:$G$409,THEO!A210,[1]Mestre!$AG$137:$AG$409)</f>
        <v>0</v>
      </c>
      <c r="P210" s="214"/>
      <c r="Q210" s="214"/>
      <c r="R210" s="214"/>
      <c r="S210" s="214"/>
      <c r="T210" s="214"/>
      <c r="U210" s="215">
        <f t="shared" si="35"/>
        <v>28.5</v>
      </c>
      <c r="V210" s="216">
        <f t="shared" si="36"/>
        <v>-5.555555555555558E-2</v>
      </c>
      <c r="W210" s="217">
        <f t="shared" si="37"/>
        <v>28.5</v>
      </c>
      <c r="X210" s="218" t="s">
        <v>20</v>
      </c>
      <c r="Y210" s="285" t="str">
        <f t="shared" si="38"/>
        <v>27 um/Dia</v>
      </c>
      <c r="Z210" s="220" t="str">
        <f t="shared" si="39"/>
        <v>1,11 um / HH</v>
      </c>
      <c r="AA210" s="221">
        <f t="shared" si="40"/>
        <v>1.1100000000000001</v>
      </c>
      <c r="AB210" s="222" t="str">
        <f t="shared" si="41"/>
        <v>0 um /HH</v>
      </c>
      <c r="AC210" s="223">
        <f t="shared" si="42"/>
        <v>3</v>
      </c>
      <c r="AD210" s="224">
        <v>1</v>
      </c>
      <c r="AE210" s="225">
        <v>2</v>
      </c>
      <c r="AF210" s="226">
        <f t="shared" si="43"/>
        <v>0</v>
      </c>
      <c r="AG210" s="227">
        <f t="shared" si="44"/>
        <v>0</v>
      </c>
      <c r="AH210" s="228" t="s">
        <v>25</v>
      </c>
      <c r="AI210" s="229" t="str">
        <f t="shared" si="45"/>
        <v>Extremamente Complexa</v>
      </c>
      <c r="AJ210" s="230" t="str">
        <f t="shared" si="46"/>
        <v>Normal</v>
      </c>
      <c r="AK210" s="231">
        <f t="shared" si="47"/>
        <v>0</v>
      </c>
      <c r="AL210" s="232">
        <f t="shared" si="48"/>
        <v>0.33333333333333331</v>
      </c>
      <c r="AM210" s="233">
        <f t="shared" si="49"/>
        <v>0</v>
      </c>
      <c r="AN210" s="233">
        <f t="shared" si="50"/>
        <v>0</v>
      </c>
      <c r="AO210" s="234">
        <f t="shared" si="51"/>
        <v>0</v>
      </c>
      <c r="AP210" s="235">
        <f t="shared" si="67"/>
        <v>1</v>
      </c>
      <c r="AQ210" s="235">
        <f t="shared" si="67"/>
        <v>1</v>
      </c>
      <c r="AR210" s="235">
        <f t="shared" si="53"/>
        <v>1</v>
      </c>
      <c r="AS210" s="252">
        <f t="shared" si="54"/>
        <v>0</v>
      </c>
      <c r="AT210" s="238">
        <f t="shared" si="55"/>
        <v>27</v>
      </c>
      <c r="AU210" s="239">
        <f t="shared" si="56"/>
        <v>0</v>
      </c>
      <c r="AV210" s="239">
        <f t="shared" si="57"/>
        <v>0</v>
      </c>
      <c r="AW210" s="239">
        <f t="shared" si="58"/>
        <v>0.05</v>
      </c>
      <c r="AX210" s="240">
        <f t="shared" si="59"/>
        <v>27</v>
      </c>
      <c r="AY210" s="241">
        <f t="shared" si="60"/>
        <v>-1.1100000000000001</v>
      </c>
      <c r="AZ210" s="242">
        <f>IFERROR(VLOOKUP(M210,'[1]Base Brasil Obras'!$C$2:$F$485,4,0),"")</f>
        <v>1.1111111111111112</v>
      </c>
      <c r="BA210" s="243">
        <f t="shared" si="61"/>
        <v>28.5</v>
      </c>
      <c r="BB210" s="244">
        <f t="shared" si="62"/>
        <v>0</v>
      </c>
      <c r="BC210" s="244">
        <f t="shared" si="63"/>
        <v>0.05</v>
      </c>
      <c r="BD210" s="245">
        <f t="shared" si="64"/>
        <v>0.95</v>
      </c>
      <c r="BE210" s="246">
        <f t="shared" si="65"/>
        <v>1.1111111111111112</v>
      </c>
      <c r="BF210" s="247">
        <v>3</v>
      </c>
      <c r="BG210" s="248">
        <f t="shared" si="66"/>
        <v>1</v>
      </c>
      <c r="BH210" s="198"/>
      <c r="BI210" s="198"/>
      <c r="BJ210" s="199"/>
      <c r="BK210" s="200"/>
      <c r="BL210" s="200"/>
      <c r="BM210" s="200"/>
      <c r="BN210" s="200"/>
      <c r="BO210" s="10"/>
      <c r="BP210" s="249"/>
      <c r="BQ210" s="249"/>
      <c r="BR210" s="249"/>
      <c r="BS210" s="249"/>
      <c r="BT210" s="249"/>
      <c r="BU210" s="249"/>
      <c r="BV210" s="249"/>
      <c r="BW210" s="249"/>
      <c r="BX210" s="249"/>
      <c r="BY210" s="249"/>
      <c r="BZ210" s="249"/>
      <c r="CA210" s="249"/>
      <c r="CB210" s="249"/>
      <c r="CC210" s="249"/>
      <c r="CD210" s="249"/>
      <c r="CE210" s="249"/>
      <c r="CF210" s="249"/>
      <c r="CG210" s="249"/>
      <c r="CH210" s="249"/>
      <c r="CI210" s="249"/>
      <c r="CJ210" s="249"/>
      <c r="CK210" s="249"/>
    </row>
    <row r="211" spans="1:89" ht="18" x14ac:dyDescent="0.25">
      <c r="A211" s="201">
        <v>103</v>
      </c>
      <c r="B211" s="286"/>
      <c r="C211" s="203">
        <f t="shared" si="34"/>
        <v>0</v>
      </c>
      <c r="D211" s="204"/>
      <c r="E211" s="204"/>
      <c r="F211" s="207"/>
      <c r="G211" s="206"/>
      <c r="H211" s="207"/>
      <c r="I211" s="208" t="s">
        <v>125</v>
      </c>
      <c r="J211" s="208" t="s">
        <v>126</v>
      </c>
      <c r="K211" s="287"/>
      <c r="L211" s="288"/>
      <c r="M211" s="289"/>
      <c r="N211" s="257"/>
      <c r="O211" s="213"/>
      <c r="P211" s="214"/>
      <c r="Q211" s="214"/>
      <c r="R211" s="214"/>
      <c r="S211" s="214"/>
      <c r="T211" s="214"/>
      <c r="U211" s="215">
        <f t="shared" si="35"/>
        <v>0</v>
      </c>
      <c r="V211" s="216" t="str">
        <f t="shared" si="36"/>
        <v/>
      </c>
      <c r="W211" s="217" t="str">
        <f t="shared" si="37"/>
        <v/>
      </c>
      <c r="X211" s="218" t="s">
        <v>20</v>
      </c>
      <c r="Y211" s="219" t="str">
        <f t="shared" si="38"/>
        <v>0 um/Dia</v>
      </c>
      <c r="Z211" s="220" t="str">
        <f t="shared" si="39"/>
        <v xml:space="preserve"> um / HH</v>
      </c>
      <c r="AA211" s="221" t="str">
        <f t="shared" si="40"/>
        <v/>
      </c>
      <c r="AB211" s="222" t="str">
        <f t="shared" si="41"/>
        <v>0 um /HH</v>
      </c>
      <c r="AC211" s="223">
        <f t="shared" si="42"/>
        <v>3</v>
      </c>
      <c r="AD211" s="224">
        <v>2</v>
      </c>
      <c r="AE211" s="225">
        <v>1</v>
      </c>
      <c r="AF211" s="226">
        <f t="shared" si="43"/>
        <v>0</v>
      </c>
      <c r="AG211" s="227">
        <f t="shared" si="44"/>
        <v>0</v>
      </c>
      <c r="AH211" s="228" t="s">
        <v>25</v>
      </c>
      <c r="AI211" s="229" t="str">
        <f t="shared" si="45"/>
        <v>Extremamente Complexa</v>
      </c>
      <c r="AJ211" s="230" t="str">
        <f t="shared" si="46"/>
        <v>Normal</v>
      </c>
      <c r="AK211" s="231">
        <f t="shared" si="47"/>
        <v>0</v>
      </c>
      <c r="AL211" s="232">
        <f t="shared" si="48"/>
        <v>0.66666666666666663</v>
      </c>
      <c r="AM211" s="233">
        <f t="shared" si="49"/>
        <v>0</v>
      </c>
      <c r="AN211" s="233">
        <f t="shared" si="50"/>
        <v>0</v>
      </c>
      <c r="AO211" s="234">
        <f t="shared" si="51"/>
        <v>0</v>
      </c>
      <c r="AP211" s="235">
        <f t="shared" si="67"/>
        <v>1</v>
      </c>
      <c r="AQ211" s="235">
        <f t="shared" si="67"/>
        <v>1</v>
      </c>
      <c r="AR211" s="236">
        <f t="shared" si="53"/>
        <v>1</v>
      </c>
      <c r="AS211" s="251">
        <f t="shared" si="54"/>
        <v>0</v>
      </c>
      <c r="AT211" s="238">
        <f t="shared" si="55"/>
        <v>0</v>
      </c>
      <c r="AU211" s="239">
        <f t="shared" si="56"/>
        <v>0</v>
      </c>
      <c r="AV211" s="239">
        <f t="shared" si="57"/>
        <v>0</v>
      </c>
      <c r="AW211" s="239">
        <f t="shared" si="58"/>
        <v>0.05</v>
      </c>
      <c r="AX211" s="240">
        <f t="shared" si="59"/>
        <v>0</v>
      </c>
      <c r="AY211" s="241" t="str">
        <f t="shared" si="60"/>
        <v/>
      </c>
      <c r="AZ211" s="242" t="str">
        <f>IFERROR(VLOOKUP(M211,'[1]Base Brasil Obras'!$C$2:$F$485,4,0),"")</f>
        <v/>
      </c>
      <c r="BA211" s="243">
        <f t="shared" si="61"/>
        <v>0</v>
      </c>
      <c r="BB211" s="244">
        <f t="shared" si="62"/>
        <v>0</v>
      </c>
      <c r="BC211" s="244">
        <f t="shared" si="63"/>
        <v>0.05</v>
      </c>
      <c r="BD211" s="245">
        <f t="shared" si="64"/>
        <v>0.95</v>
      </c>
      <c r="BE211" s="246">
        <f t="shared" si="65"/>
        <v>0</v>
      </c>
      <c r="BF211" s="247">
        <v>0</v>
      </c>
      <c r="BG211" s="248">
        <f t="shared" si="66"/>
        <v>1</v>
      </c>
      <c r="BH211" s="198"/>
      <c r="BI211" s="198"/>
      <c r="BJ211" s="199"/>
      <c r="BK211" s="200"/>
      <c r="BL211" s="200"/>
      <c r="BM211" s="200"/>
      <c r="BN211" s="200"/>
      <c r="BO211" s="10"/>
    </row>
    <row r="212" spans="1:89" ht="18" x14ac:dyDescent="0.25">
      <c r="A212" s="201">
        <v>104</v>
      </c>
      <c r="B212" s="286"/>
      <c r="C212" s="203">
        <f t="shared" si="34"/>
        <v>0</v>
      </c>
      <c r="D212" s="204"/>
      <c r="E212" s="204"/>
      <c r="F212" s="207"/>
      <c r="G212" s="206"/>
      <c r="H212" s="207"/>
      <c r="I212" s="208" t="s">
        <v>125</v>
      </c>
      <c r="J212" s="208" t="s">
        <v>126</v>
      </c>
      <c r="K212" s="287"/>
      <c r="L212" s="288"/>
      <c r="M212" s="289"/>
      <c r="N212" s="257"/>
      <c r="O212" s="213"/>
      <c r="P212" s="214"/>
      <c r="Q212" s="214"/>
      <c r="R212" s="214"/>
      <c r="S212" s="214"/>
      <c r="T212" s="214"/>
      <c r="U212" s="215">
        <f t="shared" si="35"/>
        <v>0</v>
      </c>
      <c r="V212" s="216" t="str">
        <f t="shared" si="36"/>
        <v/>
      </c>
      <c r="W212" s="217" t="str">
        <f t="shared" si="37"/>
        <v/>
      </c>
      <c r="X212" s="218" t="s">
        <v>20</v>
      </c>
      <c r="Y212" s="219" t="str">
        <f t="shared" si="38"/>
        <v>0 um/Dia</v>
      </c>
      <c r="Z212" s="220" t="str">
        <f t="shared" si="39"/>
        <v xml:space="preserve"> um / HH</v>
      </c>
      <c r="AA212" s="221" t="str">
        <f t="shared" si="40"/>
        <v/>
      </c>
      <c r="AB212" s="222" t="str">
        <f t="shared" si="41"/>
        <v>0 um /HH</v>
      </c>
      <c r="AC212" s="223">
        <f t="shared" si="42"/>
        <v>0</v>
      </c>
      <c r="AD212" s="224"/>
      <c r="AE212" s="225"/>
      <c r="AF212" s="226">
        <f t="shared" si="43"/>
        <v>0</v>
      </c>
      <c r="AG212" s="227">
        <f t="shared" si="44"/>
        <v>0</v>
      </c>
      <c r="AH212" s="228" t="s">
        <v>25</v>
      </c>
      <c r="AI212" s="229" t="str">
        <f t="shared" si="45"/>
        <v>Extremamente Complexa</v>
      </c>
      <c r="AJ212" s="230" t="str">
        <f t="shared" si="46"/>
        <v>Normal</v>
      </c>
      <c r="AK212" s="231">
        <f t="shared" si="47"/>
        <v>0</v>
      </c>
      <c r="AL212" s="232" t="str">
        <f t="shared" si="48"/>
        <v/>
      </c>
      <c r="AM212" s="233" t="str">
        <f t="shared" si="49"/>
        <v/>
      </c>
      <c r="AN212" s="233" t="str">
        <f t="shared" si="50"/>
        <v/>
      </c>
      <c r="AO212" s="234">
        <f t="shared" si="51"/>
        <v>0</v>
      </c>
      <c r="AP212" s="235">
        <f t="shared" si="67"/>
        <v>1</v>
      </c>
      <c r="AQ212" s="235">
        <f t="shared" si="67"/>
        <v>1</v>
      </c>
      <c r="AR212" s="235">
        <f t="shared" si="53"/>
        <v>1</v>
      </c>
      <c r="AS212" s="252">
        <f t="shared" si="54"/>
        <v>0</v>
      </c>
      <c r="AT212" s="238">
        <f t="shared" si="55"/>
        <v>0</v>
      </c>
      <c r="AU212" s="239">
        <f t="shared" si="56"/>
        <v>0</v>
      </c>
      <c r="AV212" s="239">
        <f t="shared" si="57"/>
        <v>0</v>
      </c>
      <c r="AW212" s="239">
        <f t="shared" si="58"/>
        <v>0.05</v>
      </c>
      <c r="AX212" s="240">
        <f t="shared" si="59"/>
        <v>0</v>
      </c>
      <c r="AY212" s="241" t="str">
        <f t="shared" si="60"/>
        <v/>
      </c>
      <c r="AZ212" s="242" t="str">
        <f>IFERROR(VLOOKUP(M212,'[1]Base Brasil Obras'!$C$2:$F$485,4,0),"")</f>
        <v/>
      </c>
      <c r="BA212" s="243">
        <f t="shared" si="61"/>
        <v>0</v>
      </c>
      <c r="BB212" s="244">
        <f t="shared" si="62"/>
        <v>0</v>
      </c>
      <c r="BC212" s="244">
        <f t="shared" si="63"/>
        <v>0.05</v>
      </c>
      <c r="BD212" s="245">
        <f t="shared" si="64"/>
        <v>0.95</v>
      </c>
      <c r="BE212" s="246">
        <f t="shared" si="65"/>
        <v>0</v>
      </c>
      <c r="BF212" s="247">
        <v>0</v>
      </c>
      <c r="BG212" s="248">
        <f t="shared" si="66"/>
        <v>1</v>
      </c>
      <c r="BH212" s="198"/>
      <c r="BI212" s="198"/>
      <c r="BJ212" s="199"/>
      <c r="BK212" s="200"/>
      <c r="BL212" s="200"/>
      <c r="BM212" s="200"/>
      <c r="BN212" s="200"/>
      <c r="BO212" s="10"/>
    </row>
    <row r="213" spans="1:89" ht="18" customHeight="1" x14ac:dyDescent="0.25">
      <c r="A213" s="201">
        <v>105</v>
      </c>
      <c r="B213" s="286"/>
      <c r="C213" s="203">
        <f t="shared" si="34"/>
        <v>0</v>
      </c>
      <c r="D213" s="204"/>
      <c r="E213" s="204"/>
      <c r="F213" s="207"/>
      <c r="G213" s="206"/>
      <c r="H213" s="207"/>
      <c r="I213" s="208" t="s">
        <v>125</v>
      </c>
      <c r="J213" s="208" t="s">
        <v>126</v>
      </c>
      <c r="K213" s="287"/>
      <c r="L213" s="288"/>
      <c r="M213" s="289"/>
      <c r="N213" s="257"/>
      <c r="O213" s="213"/>
      <c r="P213" s="214"/>
      <c r="Q213" s="214"/>
      <c r="R213" s="214"/>
      <c r="S213" s="214"/>
      <c r="T213" s="214"/>
      <c r="U213" s="215">
        <f t="shared" si="35"/>
        <v>0</v>
      </c>
      <c r="V213" s="216" t="str">
        <f t="shared" si="36"/>
        <v/>
      </c>
      <c r="W213" s="217" t="str">
        <f t="shared" si="37"/>
        <v/>
      </c>
      <c r="X213" s="218" t="s">
        <v>20</v>
      </c>
      <c r="Y213" s="219" t="str">
        <f t="shared" si="38"/>
        <v>0 um/Dia</v>
      </c>
      <c r="Z213" s="220" t="str">
        <f t="shared" si="39"/>
        <v xml:space="preserve"> um / HH</v>
      </c>
      <c r="AA213" s="221" t="str">
        <f t="shared" si="40"/>
        <v/>
      </c>
      <c r="AB213" s="222" t="str">
        <f t="shared" si="41"/>
        <v>0 um /HH</v>
      </c>
      <c r="AC213" s="223">
        <f t="shared" si="42"/>
        <v>0</v>
      </c>
      <c r="AD213" s="224"/>
      <c r="AE213" s="225"/>
      <c r="AF213" s="226">
        <f t="shared" si="43"/>
        <v>0</v>
      </c>
      <c r="AG213" s="227">
        <f t="shared" si="44"/>
        <v>0</v>
      </c>
      <c r="AH213" s="228" t="s">
        <v>25</v>
      </c>
      <c r="AI213" s="229" t="str">
        <f t="shared" si="45"/>
        <v>Extremamente Complexa</v>
      </c>
      <c r="AJ213" s="230" t="str">
        <f t="shared" si="46"/>
        <v>Normal</v>
      </c>
      <c r="AK213" s="231">
        <f t="shared" si="47"/>
        <v>0</v>
      </c>
      <c r="AL213" s="232" t="str">
        <f t="shared" si="48"/>
        <v/>
      </c>
      <c r="AM213" s="233" t="str">
        <f t="shared" si="49"/>
        <v/>
      </c>
      <c r="AN213" s="233" t="str">
        <f t="shared" si="50"/>
        <v/>
      </c>
      <c r="AO213" s="234">
        <f t="shared" si="51"/>
        <v>0</v>
      </c>
      <c r="AP213" s="235">
        <f t="shared" si="67"/>
        <v>1</v>
      </c>
      <c r="AQ213" s="235">
        <f t="shared" si="67"/>
        <v>1</v>
      </c>
      <c r="AR213" s="236">
        <f t="shared" si="53"/>
        <v>1</v>
      </c>
      <c r="AS213" s="251">
        <f t="shared" si="54"/>
        <v>0</v>
      </c>
      <c r="AT213" s="238">
        <f t="shared" si="55"/>
        <v>0</v>
      </c>
      <c r="AU213" s="239">
        <f t="shared" si="56"/>
        <v>0</v>
      </c>
      <c r="AV213" s="239">
        <f t="shared" si="57"/>
        <v>0</v>
      </c>
      <c r="AW213" s="239">
        <f t="shared" si="58"/>
        <v>0.05</v>
      </c>
      <c r="AX213" s="240">
        <f t="shared" si="59"/>
        <v>0</v>
      </c>
      <c r="AY213" s="241" t="str">
        <f t="shared" si="60"/>
        <v/>
      </c>
      <c r="AZ213" s="242" t="str">
        <f>IFERROR(VLOOKUP(M213,'[1]Base Brasil Obras'!$C$2:$F$485,4,0),"")</f>
        <v/>
      </c>
      <c r="BA213" s="243">
        <f t="shared" si="61"/>
        <v>0</v>
      </c>
      <c r="BB213" s="244">
        <f t="shared" si="62"/>
        <v>0</v>
      </c>
      <c r="BC213" s="244">
        <f t="shared" si="63"/>
        <v>0.05</v>
      </c>
      <c r="BD213" s="245">
        <f t="shared" si="64"/>
        <v>0.95</v>
      </c>
      <c r="BE213" s="246">
        <f t="shared" si="65"/>
        <v>0</v>
      </c>
      <c r="BF213" s="247">
        <v>0</v>
      </c>
      <c r="BG213" s="248">
        <f t="shared" si="66"/>
        <v>1</v>
      </c>
      <c r="BH213" s="198"/>
      <c r="BI213" s="198"/>
      <c r="BJ213" s="199"/>
      <c r="BK213" s="200"/>
      <c r="BL213" s="200"/>
      <c r="BM213" s="200"/>
      <c r="BN213" s="200"/>
      <c r="BO213" s="10"/>
    </row>
    <row r="214" spans="1:89" ht="18" customHeight="1" x14ac:dyDescent="0.25">
      <c r="A214" s="201">
        <v>106</v>
      </c>
      <c r="B214" s="286"/>
      <c r="C214" s="203">
        <f t="shared" si="34"/>
        <v>0</v>
      </c>
      <c r="D214" s="204"/>
      <c r="E214" s="204"/>
      <c r="F214" s="207"/>
      <c r="G214" s="206"/>
      <c r="H214" s="207"/>
      <c r="I214" s="208" t="s">
        <v>125</v>
      </c>
      <c r="J214" s="208" t="s">
        <v>126</v>
      </c>
      <c r="K214" s="287"/>
      <c r="L214" s="288"/>
      <c r="M214" s="289"/>
      <c r="N214" s="257"/>
      <c r="O214" s="213"/>
      <c r="P214" s="214"/>
      <c r="Q214" s="214"/>
      <c r="R214" s="214"/>
      <c r="S214" s="214"/>
      <c r="T214" s="214"/>
      <c r="U214" s="215">
        <f t="shared" si="35"/>
        <v>0</v>
      </c>
      <c r="V214" s="216" t="str">
        <f t="shared" si="36"/>
        <v/>
      </c>
      <c r="W214" s="217" t="str">
        <f t="shared" si="37"/>
        <v/>
      </c>
      <c r="X214" s="218" t="s">
        <v>20</v>
      </c>
      <c r="Y214" s="219" t="str">
        <f t="shared" si="38"/>
        <v>0 um/Dia</v>
      </c>
      <c r="Z214" s="220" t="str">
        <f t="shared" si="39"/>
        <v xml:space="preserve"> um / HH</v>
      </c>
      <c r="AA214" s="221" t="str">
        <f t="shared" si="40"/>
        <v/>
      </c>
      <c r="AB214" s="222" t="str">
        <f t="shared" si="41"/>
        <v>0 um /HH</v>
      </c>
      <c r="AC214" s="223">
        <f t="shared" si="42"/>
        <v>0</v>
      </c>
      <c r="AD214" s="224"/>
      <c r="AE214" s="225"/>
      <c r="AF214" s="226">
        <f t="shared" si="43"/>
        <v>0</v>
      </c>
      <c r="AG214" s="227">
        <f t="shared" si="44"/>
        <v>0</v>
      </c>
      <c r="AH214" s="228" t="s">
        <v>25</v>
      </c>
      <c r="AI214" s="229" t="str">
        <f t="shared" si="45"/>
        <v>Extremamente Complexa</v>
      </c>
      <c r="AJ214" s="230" t="str">
        <f t="shared" si="46"/>
        <v>Normal</v>
      </c>
      <c r="AK214" s="231">
        <f t="shared" si="47"/>
        <v>0</v>
      </c>
      <c r="AL214" s="232" t="str">
        <f t="shared" si="48"/>
        <v/>
      </c>
      <c r="AM214" s="233" t="str">
        <f t="shared" si="49"/>
        <v/>
      </c>
      <c r="AN214" s="233" t="str">
        <f t="shared" si="50"/>
        <v/>
      </c>
      <c r="AO214" s="234">
        <f t="shared" si="51"/>
        <v>0</v>
      </c>
      <c r="AP214" s="235">
        <f t="shared" si="67"/>
        <v>1</v>
      </c>
      <c r="AQ214" s="235">
        <f t="shared" si="67"/>
        <v>1</v>
      </c>
      <c r="AR214" s="236">
        <f t="shared" si="53"/>
        <v>1</v>
      </c>
      <c r="AS214" s="251">
        <f t="shared" si="54"/>
        <v>0</v>
      </c>
      <c r="AT214" s="238">
        <f t="shared" si="55"/>
        <v>0</v>
      </c>
      <c r="AU214" s="239">
        <f t="shared" si="56"/>
        <v>0</v>
      </c>
      <c r="AV214" s="239">
        <f t="shared" si="57"/>
        <v>0</v>
      </c>
      <c r="AW214" s="239">
        <f t="shared" si="58"/>
        <v>0.05</v>
      </c>
      <c r="AX214" s="240">
        <f t="shared" si="59"/>
        <v>0</v>
      </c>
      <c r="AY214" s="241" t="str">
        <f t="shared" si="60"/>
        <v/>
      </c>
      <c r="AZ214" s="242" t="str">
        <f>IFERROR(VLOOKUP(M214,'[1]Base Brasil Obras'!$C$2:$F$485,4,0),"")</f>
        <v/>
      </c>
      <c r="BA214" s="243">
        <f t="shared" si="61"/>
        <v>0</v>
      </c>
      <c r="BB214" s="244">
        <f t="shared" si="62"/>
        <v>0</v>
      </c>
      <c r="BC214" s="244">
        <f t="shared" si="63"/>
        <v>0.05</v>
      </c>
      <c r="BD214" s="245">
        <f t="shared" si="64"/>
        <v>0.95</v>
      </c>
      <c r="BE214" s="246">
        <f t="shared" si="65"/>
        <v>0</v>
      </c>
      <c r="BF214" s="247">
        <v>0</v>
      </c>
      <c r="BG214" s="248">
        <f t="shared" si="66"/>
        <v>1</v>
      </c>
      <c r="BH214" s="198"/>
      <c r="BI214" s="198"/>
      <c r="BJ214" s="199"/>
      <c r="BK214" s="200"/>
      <c r="BL214" s="200"/>
      <c r="BM214" s="200"/>
      <c r="BN214" s="200"/>
      <c r="BO214" s="10"/>
    </row>
    <row r="215" spans="1:89" ht="18" customHeight="1" x14ac:dyDescent="0.25">
      <c r="A215" s="201">
        <v>107</v>
      </c>
      <c r="B215" s="286"/>
      <c r="C215" s="203">
        <f t="shared" si="34"/>
        <v>0</v>
      </c>
      <c r="D215" s="204"/>
      <c r="E215" s="204"/>
      <c r="F215" s="207"/>
      <c r="G215" s="206"/>
      <c r="H215" s="207"/>
      <c r="I215" s="208" t="s">
        <v>125</v>
      </c>
      <c r="J215" s="208" t="s">
        <v>126</v>
      </c>
      <c r="K215" s="287"/>
      <c r="L215" s="288"/>
      <c r="M215" s="289"/>
      <c r="N215" s="257"/>
      <c r="O215" s="213"/>
      <c r="P215" s="214"/>
      <c r="Q215" s="214"/>
      <c r="R215" s="214"/>
      <c r="S215" s="214"/>
      <c r="T215" s="214"/>
      <c r="U215" s="215">
        <f t="shared" si="35"/>
        <v>0</v>
      </c>
      <c r="V215" s="216" t="str">
        <f t="shared" si="36"/>
        <v/>
      </c>
      <c r="W215" s="217" t="str">
        <f t="shared" si="37"/>
        <v/>
      </c>
      <c r="X215" s="218" t="s">
        <v>20</v>
      </c>
      <c r="Y215" s="219" t="str">
        <f t="shared" si="38"/>
        <v>0 um/Dia</v>
      </c>
      <c r="Z215" s="220" t="str">
        <f t="shared" si="39"/>
        <v xml:space="preserve"> um / HH</v>
      </c>
      <c r="AA215" s="221" t="str">
        <f t="shared" si="40"/>
        <v/>
      </c>
      <c r="AB215" s="222" t="str">
        <f t="shared" si="41"/>
        <v>0 um /HH</v>
      </c>
      <c r="AC215" s="223">
        <f t="shared" si="42"/>
        <v>0</v>
      </c>
      <c r="AD215" s="224"/>
      <c r="AE215" s="225"/>
      <c r="AF215" s="226">
        <f t="shared" si="43"/>
        <v>0</v>
      </c>
      <c r="AG215" s="227">
        <f t="shared" si="44"/>
        <v>0</v>
      </c>
      <c r="AH215" s="228" t="s">
        <v>25</v>
      </c>
      <c r="AI215" s="229" t="str">
        <f t="shared" si="45"/>
        <v>Extremamente Complexa</v>
      </c>
      <c r="AJ215" s="230" t="str">
        <f t="shared" si="46"/>
        <v>Normal</v>
      </c>
      <c r="AK215" s="231">
        <f t="shared" si="47"/>
        <v>0</v>
      </c>
      <c r="AL215" s="232" t="str">
        <f t="shared" si="48"/>
        <v/>
      </c>
      <c r="AM215" s="233" t="str">
        <f t="shared" si="49"/>
        <v/>
      </c>
      <c r="AN215" s="233" t="str">
        <f t="shared" si="50"/>
        <v/>
      </c>
      <c r="AO215" s="234">
        <f t="shared" si="51"/>
        <v>0</v>
      </c>
      <c r="AP215" s="235">
        <f t="shared" si="67"/>
        <v>1</v>
      </c>
      <c r="AQ215" s="235">
        <f t="shared" si="67"/>
        <v>1</v>
      </c>
      <c r="AR215" s="235">
        <f t="shared" si="53"/>
        <v>1</v>
      </c>
      <c r="AS215" s="252">
        <f t="shared" si="54"/>
        <v>0</v>
      </c>
      <c r="AT215" s="238">
        <f t="shared" si="55"/>
        <v>0</v>
      </c>
      <c r="AU215" s="239">
        <f t="shared" si="56"/>
        <v>0</v>
      </c>
      <c r="AV215" s="239">
        <f t="shared" si="57"/>
        <v>0</v>
      </c>
      <c r="AW215" s="239">
        <f t="shared" si="58"/>
        <v>0.05</v>
      </c>
      <c r="AX215" s="240">
        <f t="shared" si="59"/>
        <v>0</v>
      </c>
      <c r="AY215" s="241" t="str">
        <f t="shared" si="60"/>
        <v/>
      </c>
      <c r="AZ215" s="242" t="str">
        <f>IFERROR(VLOOKUP(M215,'[1]Base Brasil Obras'!$C$2:$F$485,4,0),"")</f>
        <v/>
      </c>
      <c r="BA215" s="243">
        <f t="shared" si="61"/>
        <v>0</v>
      </c>
      <c r="BB215" s="244">
        <f t="shared" si="62"/>
        <v>0</v>
      </c>
      <c r="BC215" s="244">
        <f t="shared" si="63"/>
        <v>0.05</v>
      </c>
      <c r="BD215" s="245">
        <f t="shared" si="64"/>
        <v>0.95</v>
      </c>
      <c r="BE215" s="246">
        <f t="shared" si="65"/>
        <v>0</v>
      </c>
      <c r="BF215" s="247">
        <v>0</v>
      </c>
      <c r="BG215" s="248">
        <f t="shared" si="66"/>
        <v>1</v>
      </c>
      <c r="BH215" s="198"/>
      <c r="BI215" s="198"/>
      <c r="BJ215" s="199"/>
      <c r="BK215" s="200"/>
      <c r="BL215" s="200"/>
      <c r="BM215" s="200"/>
      <c r="BN215" s="200"/>
      <c r="BO215" s="10"/>
    </row>
    <row r="216" spans="1:89" ht="18" x14ac:dyDescent="0.25">
      <c r="A216" s="201">
        <v>108</v>
      </c>
      <c r="B216" s="286"/>
      <c r="C216" s="203">
        <f t="shared" si="34"/>
        <v>0</v>
      </c>
      <c r="D216" s="204"/>
      <c r="E216" s="204"/>
      <c r="F216" s="207"/>
      <c r="G216" s="206"/>
      <c r="H216" s="207"/>
      <c r="I216" s="208" t="s">
        <v>125</v>
      </c>
      <c r="J216" s="208" t="s">
        <v>126</v>
      </c>
      <c r="K216" s="287"/>
      <c r="L216" s="288"/>
      <c r="M216" s="289"/>
      <c r="N216" s="257"/>
      <c r="O216" s="213"/>
      <c r="P216" s="214"/>
      <c r="Q216" s="214"/>
      <c r="R216" s="214"/>
      <c r="S216" s="214"/>
      <c r="T216" s="214"/>
      <c r="U216" s="215">
        <f t="shared" si="35"/>
        <v>0</v>
      </c>
      <c r="V216" s="216" t="str">
        <f t="shared" si="36"/>
        <v/>
      </c>
      <c r="W216" s="217" t="str">
        <f t="shared" si="37"/>
        <v/>
      </c>
      <c r="X216" s="218" t="s">
        <v>20</v>
      </c>
      <c r="Y216" s="219" t="str">
        <f t="shared" si="38"/>
        <v>0 um/Dia</v>
      </c>
      <c r="Z216" s="220" t="str">
        <f t="shared" si="39"/>
        <v xml:space="preserve"> um / HH</v>
      </c>
      <c r="AA216" s="221" t="str">
        <f t="shared" si="40"/>
        <v/>
      </c>
      <c r="AB216" s="222" t="str">
        <f t="shared" si="41"/>
        <v>0 um /HH</v>
      </c>
      <c r="AC216" s="223">
        <f t="shared" si="42"/>
        <v>0</v>
      </c>
      <c r="AD216" s="224"/>
      <c r="AE216" s="225"/>
      <c r="AF216" s="226">
        <f t="shared" si="43"/>
        <v>0</v>
      </c>
      <c r="AG216" s="227">
        <f t="shared" si="44"/>
        <v>0</v>
      </c>
      <c r="AH216" s="228" t="s">
        <v>25</v>
      </c>
      <c r="AI216" s="229" t="str">
        <f t="shared" si="45"/>
        <v>Extremamente Complexa</v>
      </c>
      <c r="AJ216" s="230" t="str">
        <f t="shared" si="46"/>
        <v>Normal</v>
      </c>
      <c r="AK216" s="231">
        <f t="shared" si="47"/>
        <v>0</v>
      </c>
      <c r="AL216" s="232" t="str">
        <f t="shared" si="48"/>
        <v/>
      </c>
      <c r="AM216" s="233" t="str">
        <f t="shared" si="49"/>
        <v/>
      </c>
      <c r="AN216" s="233" t="str">
        <f t="shared" si="50"/>
        <v/>
      </c>
      <c r="AO216" s="234">
        <f t="shared" si="51"/>
        <v>0</v>
      </c>
      <c r="AP216" s="235">
        <f t="shared" si="67"/>
        <v>1</v>
      </c>
      <c r="AQ216" s="235">
        <f t="shared" si="67"/>
        <v>1</v>
      </c>
      <c r="AR216" s="236">
        <f t="shared" si="53"/>
        <v>1</v>
      </c>
      <c r="AS216" s="251">
        <f t="shared" si="54"/>
        <v>0</v>
      </c>
      <c r="AT216" s="238">
        <f t="shared" si="55"/>
        <v>0</v>
      </c>
      <c r="AU216" s="239">
        <f t="shared" si="56"/>
        <v>0</v>
      </c>
      <c r="AV216" s="239">
        <f t="shared" si="57"/>
        <v>0</v>
      </c>
      <c r="AW216" s="239">
        <f t="shared" si="58"/>
        <v>0.05</v>
      </c>
      <c r="AX216" s="240">
        <f t="shared" si="59"/>
        <v>0</v>
      </c>
      <c r="AY216" s="241" t="str">
        <f t="shared" si="60"/>
        <v/>
      </c>
      <c r="AZ216" s="242" t="str">
        <f>IFERROR(VLOOKUP(M216,'[1]Base Brasil Obras'!$C$2:$F$485,4,0),"")</f>
        <v/>
      </c>
      <c r="BA216" s="243">
        <f t="shared" si="61"/>
        <v>0</v>
      </c>
      <c r="BB216" s="244">
        <f t="shared" si="62"/>
        <v>0</v>
      </c>
      <c r="BC216" s="244">
        <f t="shared" si="63"/>
        <v>0.05</v>
      </c>
      <c r="BD216" s="245">
        <f t="shared" si="64"/>
        <v>0.95</v>
      </c>
      <c r="BE216" s="246">
        <f t="shared" si="65"/>
        <v>0</v>
      </c>
      <c r="BF216" s="247">
        <v>0</v>
      </c>
      <c r="BG216" s="248">
        <f t="shared" si="66"/>
        <v>1</v>
      </c>
      <c r="BH216" s="198"/>
      <c r="BI216" s="198"/>
      <c r="BJ216" s="199"/>
      <c r="BK216" s="200"/>
      <c r="BL216" s="200"/>
      <c r="BM216" s="200"/>
      <c r="BN216" s="200"/>
      <c r="BO216" s="10"/>
    </row>
    <row r="217" spans="1:89" ht="18" x14ac:dyDescent="0.25">
      <c r="A217" s="201">
        <v>109</v>
      </c>
      <c r="B217" s="286"/>
      <c r="C217" s="203">
        <f t="shared" si="34"/>
        <v>0</v>
      </c>
      <c r="D217" s="204"/>
      <c r="E217" s="204"/>
      <c r="F217" s="207"/>
      <c r="G217" s="206"/>
      <c r="H217" s="207"/>
      <c r="I217" s="208" t="s">
        <v>125</v>
      </c>
      <c r="J217" s="208" t="s">
        <v>126</v>
      </c>
      <c r="K217" s="287"/>
      <c r="L217" s="288"/>
      <c r="M217" s="289"/>
      <c r="N217" s="257"/>
      <c r="O217" s="213"/>
      <c r="P217" s="214"/>
      <c r="Q217" s="214"/>
      <c r="R217" s="214"/>
      <c r="S217" s="214"/>
      <c r="T217" s="214"/>
      <c r="U217" s="215">
        <f t="shared" si="35"/>
        <v>0</v>
      </c>
      <c r="V217" s="216" t="str">
        <f t="shared" si="36"/>
        <v/>
      </c>
      <c r="W217" s="217" t="str">
        <f t="shared" si="37"/>
        <v/>
      </c>
      <c r="X217" s="218" t="s">
        <v>20</v>
      </c>
      <c r="Y217" s="219" t="str">
        <f t="shared" si="38"/>
        <v>0 um/Dia</v>
      </c>
      <c r="Z217" s="220" t="str">
        <f t="shared" si="39"/>
        <v xml:space="preserve"> um / HH</v>
      </c>
      <c r="AA217" s="221" t="str">
        <f t="shared" si="40"/>
        <v/>
      </c>
      <c r="AB217" s="222" t="str">
        <f t="shared" si="41"/>
        <v>0 um /HH</v>
      </c>
      <c r="AC217" s="223">
        <f t="shared" si="42"/>
        <v>0</v>
      </c>
      <c r="AD217" s="224"/>
      <c r="AE217" s="225"/>
      <c r="AF217" s="226">
        <f t="shared" si="43"/>
        <v>0</v>
      </c>
      <c r="AG217" s="227">
        <f t="shared" si="44"/>
        <v>0</v>
      </c>
      <c r="AH217" s="228" t="s">
        <v>25</v>
      </c>
      <c r="AI217" s="229" t="str">
        <f t="shared" si="45"/>
        <v>Extremamente Complexa</v>
      </c>
      <c r="AJ217" s="230" t="str">
        <f t="shared" si="46"/>
        <v>Normal</v>
      </c>
      <c r="AK217" s="231">
        <f t="shared" si="47"/>
        <v>0</v>
      </c>
      <c r="AL217" s="232" t="str">
        <f t="shared" si="48"/>
        <v/>
      </c>
      <c r="AM217" s="233" t="str">
        <f t="shared" si="49"/>
        <v/>
      </c>
      <c r="AN217" s="233" t="str">
        <f t="shared" si="50"/>
        <v/>
      </c>
      <c r="AO217" s="234">
        <f t="shared" si="51"/>
        <v>0</v>
      </c>
      <c r="AP217" s="235">
        <f t="shared" si="67"/>
        <v>1</v>
      </c>
      <c r="AQ217" s="235">
        <f t="shared" si="67"/>
        <v>1</v>
      </c>
      <c r="AR217" s="235">
        <f t="shared" si="53"/>
        <v>1</v>
      </c>
      <c r="AS217" s="252">
        <f t="shared" si="54"/>
        <v>0</v>
      </c>
      <c r="AT217" s="238">
        <f t="shared" si="55"/>
        <v>0</v>
      </c>
      <c r="AU217" s="239">
        <f t="shared" si="56"/>
        <v>0</v>
      </c>
      <c r="AV217" s="239">
        <f t="shared" si="57"/>
        <v>0</v>
      </c>
      <c r="AW217" s="239">
        <f t="shared" si="58"/>
        <v>0.05</v>
      </c>
      <c r="AX217" s="240">
        <f t="shared" si="59"/>
        <v>0</v>
      </c>
      <c r="AY217" s="241" t="str">
        <f t="shared" si="60"/>
        <v/>
      </c>
      <c r="AZ217" s="242" t="str">
        <f>IFERROR(VLOOKUP(M217,'[1]Base Brasil Obras'!$C$2:$F$485,4,0),"")</f>
        <v/>
      </c>
      <c r="BA217" s="243">
        <f t="shared" si="61"/>
        <v>0</v>
      </c>
      <c r="BB217" s="244">
        <f t="shared" si="62"/>
        <v>0</v>
      </c>
      <c r="BC217" s="244">
        <f t="shared" si="63"/>
        <v>0.05</v>
      </c>
      <c r="BD217" s="245">
        <f t="shared" si="64"/>
        <v>0.95</v>
      </c>
      <c r="BE217" s="246">
        <f t="shared" si="65"/>
        <v>0</v>
      </c>
      <c r="BF217" s="247">
        <v>0</v>
      </c>
      <c r="BG217" s="248">
        <f t="shared" si="66"/>
        <v>1</v>
      </c>
      <c r="BH217" s="198"/>
      <c r="BI217" s="198"/>
      <c r="BJ217" s="199"/>
      <c r="BK217" s="200"/>
      <c r="BL217" s="200"/>
      <c r="BM217" s="200"/>
      <c r="BN217" s="200"/>
      <c r="BO217" s="10"/>
    </row>
    <row r="218" spans="1:89" ht="18" x14ac:dyDescent="0.25">
      <c r="A218" s="201">
        <v>110</v>
      </c>
      <c r="B218" s="286"/>
      <c r="C218" s="203">
        <f t="shared" si="34"/>
        <v>0</v>
      </c>
      <c r="D218" s="204"/>
      <c r="E218" s="204"/>
      <c r="F218" s="207"/>
      <c r="G218" s="206"/>
      <c r="H218" s="207"/>
      <c r="I218" s="208" t="s">
        <v>125</v>
      </c>
      <c r="J218" s="208" t="s">
        <v>126</v>
      </c>
      <c r="K218" s="287"/>
      <c r="L218" s="288"/>
      <c r="M218" s="289"/>
      <c r="N218" s="257"/>
      <c r="O218" s="213"/>
      <c r="P218" s="214"/>
      <c r="Q218" s="214"/>
      <c r="R218" s="214"/>
      <c r="S218" s="214"/>
      <c r="T218" s="214"/>
      <c r="U218" s="215">
        <f t="shared" si="35"/>
        <v>0</v>
      </c>
      <c r="V218" s="216" t="str">
        <f t="shared" si="36"/>
        <v/>
      </c>
      <c r="W218" s="217" t="str">
        <f t="shared" si="37"/>
        <v/>
      </c>
      <c r="X218" s="218" t="s">
        <v>20</v>
      </c>
      <c r="Y218" s="219" t="str">
        <f t="shared" si="38"/>
        <v>0 um/Dia</v>
      </c>
      <c r="Z218" s="220" t="str">
        <f t="shared" si="39"/>
        <v xml:space="preserve"> um / HH</v>
      </c>
      <c r="AA218" s="221" t="str">
        <f t="shared" si="40"/>
        <v/>
      </c>
      <c r="AB218" s="222" t="str">
        <f t="shared" si="41"/>
        <v>0 um /HH</v>
      </c>
      <c r="AC218" s="223">
        <f t="shared" si="42"/>
        <v>0</v>
      </c>
      <c r="AD218" s="224"/>
      <c r="AE218" s="225"/>
      <c r="AF218" s="226">
        <f t="shared" si="43"/>
        <v>0</v>
      </c>
      <c r="AG218" s="227">
        <f t="shared" si="44"/>
        <v>0</v>
      </c>
      <c r="AH218" s="228" t="s">
        <v>25</v>
      </c>
      <c r="AI218" s="229" t="str">
        <f t="shared" si="45"/>
        <v>Extremamente Complexa</v>
      </c>
      <c r="AJ218" s="230" t="str">
        <f t="shared" si="46"/>
        <v>Normal</v>
      </c>
      <c r="AK218" s="231">
        <f t="shared" si="47"/>
        <v>0</v>
      </c>
      <c r="AL218" s="232" t="str">
        <f t="shared" si="48"/>
        <v/>
      </c>
      <c r="AM218" s="233" t="str">
        <f t="shared" si="49"/>
        <v/>
      </c>
      <c r="AN218" s="233" t="str">
        <f t="shared" si="50"/>
        <v/>
      </c>
      <c r="AO218" s="234">
        <f t="shared" si="51"/>
        <v>0</v>
      </c>
      <c r="AP218" s="235">
        <f t="shared" si="67"/>
        <v>1</v>
      </c>
      <c r="AQ218" s="235">
        <f t="shared" si="67"/>
        <v>1</v>
      </c>
      <c r="AR218" s="236">
        <f t="shared" si="53"/>
        <v>1</v>
      </c>
      <c r="AS218" s="251">
        <f t="shared" si="54"/>
        <v>0</v>
      </c>
      <c r="AT218" s="238">
        <f t="shared" si="55"/>
        <v>0</v>
      </c>
      <c r="AU218" s="239">
        <f t="shared" si="56"/>
        <v>0</v>
      </c>
      <c r="AV218" s="239">
        <f t="shared" si="57"/>
        <v>0</v>
      </c>
      <c r="AW218" s="239">
        <f t="shared" si="58"/>
        <v>0.05</v>
      </c>
      <c r="AX218" s="240">
        <f t="shared" si="59"/>
        <v>0</v>
      </c>
      <c r="AY218" s="241" t="str">
        <f t="shared" si="60"/>
        <v/>
      </c>
      <c r="AZ218" s="242" t="str">
        <f>IFERROR(VLOOKUP(M218,'[1]Base Brasil Obras'!$C$2:$F$485,4,0),"")</f>
        <v/>
      </c>
      <c r="BA218" s="243">
        <f t="shared" si="61"/>
        <v>0</v>
      </c>
      <c r="BB218" s="244">
        <f t="shared" si="62"/>
        <v>0</v>
      </c>
      <c r="BC218" s="244">
        <f t="shared" si="63"/>
        <v>0.05</v>
      </c>
      <c r="BD218" s="245">
        <f t="shared" si="64"/>
        <v>0.95</v>
      </c>
      <c r="BE218" s="246">
        <f t="shared" si="65"/>
        <v>0</v>
      </c>
      <c r="BF218" s="247">
        <v>0</v>
      </c>
      <c r="BG218" s="248">
        <f t="shared" si="66"/>
        <v>1</v>
      </c>
      <c r="BH218" s="198"/>
      <c r="BI218" s="198"/>
      <c r="BJ218" s="199"/>
      <c r="BK218" s="200"/>
      <c r="BL218" s="200"/>
      <c r="BM218" s="200"/>
      <c r="BN218" s="200"/>
      <c r="BO218" s="10"/>
    </row>
    <row r="219" spans="1:89" ht="18" x14ac:dyDescent="0.25">
      <c r="A219" s="201">
        <v>111</v>
      </c>
      <c r="B219" s="286"/>
      <c r="C219" s="203">
        <f t="shared" si="34"/>
        <v>0</v>
      </c>
      <c r="D219" s="204"/>
      <c r="E219" s="204"/>
      <c r="F219" s="207"/>
      <c r="G219" s="206"/>
      <c r="H219" s="207"/>
      <c r="I219" s="208" t="s">
        <v>125</v>
      </c>
      <c r="J219" s="208" t="s">
        <v>126</v>
      </c>
      <c r="K219" s="287"/>
      <c r="L219" s="288"/>
      <c r="M219" s="289"/>
      <c r="N219" s="257"/>
      <c r="O219" s="213"/>
      <c r="P219" s="214"/>
      <c r="Q219" s="214"/>
      <c r="R219" s="214"/>
      <c r="S219" s="214"/>
      <c r="T219" s="214"/>
      <c r="U219" s="215">
        <f t="shared" si="35"/>
        <v>0</v>
      </c>
      <c r="V219" s="216" t="str">
        <f t="shared" si="36"/>
        <v/>
      </c>
      <c r="W219" s="217" t="str">
        <f t="shared" si="37"/>
        <v/>
      </c>
      <c r="X219" s="218" t="s">
        <v>20</v>
      </c>
      <c r="Y219" s="219" t="str">
        <f t="shared" si="38"/>
        <v>0 um/Dia</v>
      </c>
      <c r="Z219" s="220" t="str">
        <f t="shared" si="39"/>
        <v xml:space="preserve"> um / HH</v>
      </c>
      <c r="AA219" s="221" t="str">
        <f t="shared" si="40"/>
        <v/>
      </c>
      <c r="AB219" s="222" t="str">
        <f t="shared" si="41"/>
        <v>0 um /HH</v>
      </c>
      <c r="AC219" s="223">
        <f t="shared" si="42"/>
        <v>0</v>
      </c>
      <c r="AD219" s="224"/>
      <c r="AE219" s="225"/>
      <c r="AF219" s="226">
        <f t="shared" si="43"/>
        <v>0</v>
      </c>
      <c r="AG219" s="227">
        <f t="shared" si="44"/>
        <v>0</v>
      </c>
      <c r="AH219" s="228" t="s">
        <v>25</v>
      </c>
      <c r="AI219" s="229" t="str">
        <f t="shared" si="45"/>
        <v>Extremamente Complexa</v>
      </c>
      <c r="AJ219" s="230" t="str">
        <f t="shared" si="46"/>
        <v>Normal</v>
      </c>
      <c r="AK219" s="231">
        <f t="shared" si="47"/>
        <v>0</v>
      </c>
      <c r="AL219" s="232" t="str">
        <f t="shared" si="48"/>
        <v/>
      </c>
      <c r="AM219" s="233" t="str">
        <f t="shared" si="49"/>
        <v/>
      </c>
      <c r="AN219" s="233" t="str">
        <f t="shared" si="50"/>
        <v/>
      </c>
      <c r="AO219" s="234">
        <f t="shared" si="51"/>
        <v>0</v>
      </c>
      <c r="AP219" s="235">
        <f t="shared" si="67"/>
        <v>1</v>
      </c>
      <c r="AQ219" s="235">
        <f t="shared" si="67"/>
        <v>1</v>
      </c>
      <c r="AR219" s="235">
        <f t="shared" si="53"/>
        <v>1</v>
      </c>
      <c r="AS219" s="252">
        <f t="shared" si="54"/>
        <v>0</v>
      </c>
      <c r="AT219" s="238">
        <f t="shared" si="55"/>
        <v>0</v>
      </c>
      <c r="AU219" s="239">
        <f t="shared" si="56"/>
        <v>0</v>
      </c>
      <c r="AV219" s="239">
        <f t="shared" si="57"/>
        <v>0</v>
      </c>
      <c r="AW219" s="239">
        <f t="shared" si="58"/>
        <v>0.05</v>
      </c>
      <c r="AX219" s="240">
        <f t="shared" si="59"/>
        <v>0</v>
      </c>
      <c r="AY219" s="241" t="str">
        <f t="shared" si="60"/>
        <v/>
      </c>
      <c r="AZ219" s="242" t="str">
        <f>IFERROR(VLOOKUP(M219,'[1]Base Brasil Obras'!$C$2:$F$485,4,0),"")</f>
        <v/>
      </c>
      <c r="BA219" s="243">
        <f t="shared" si="61"/>
        <v>0</v>
      </c>
      <c r="BB219" s="244">
        <f t="shared" si="62"/>
        <v>0</v>
      </c>
      <c r="BC219" s="244">
        <f t="shared" si="63"/>
        <v>0.05</v>
      </c>
      <c r="BD219" s="245">
        <f t="shared" si="64"/>
        <v>0.95</v>
      </c>
      <c r="BE219" s="246">
        <f t="shared" si="65"/>
        <v>0</v>
      </c>
      <c r="BF219" s="247">
        <v>0</v>
      </c>
      <c r="BG219" s="248">
        <f t="shared" si="66"/>
        <v>1</v>
      </c>
      <c r="BH219" s="198"/>
      <c r="BI219" s="198"/>
      <c r="BJ219" s="199"/>
      <c r="BK219" s="200"/>
      <c r="BL219" s="200"/>
      <c r="BM219" s="200"/>
      <c r="BN219" s="200"/>
      <c r="BO219" s="10"/>
    </row>
    <row r="220" spans="1:89" ht="18" x14ac:dyDescent="0.25">
      <c r="A220" s="201">
        <v>112</v>
      </c>
      <c r="B220" s="286"/>
      <c r="C220" s="203">
        <f t="shared" si="34"/>
        <v>0</v>
      </c>
      <c r="D220" s="204"/>
      <c r="E220" s="204"/>
      <c r="F220" s="207"/>
      <c r="G220" s="206"/>
      <c r="H220" s="207"/>
      <c r="I220" s="208" t="s">
        <v>125</v>
      </c>
      <c r="J220" s="208" t="s">
        <v>126</v>
      </c>
      <c r="K220" s="287"/>
      <c r="L220" s="288"/>
      <c r="M220" s="289"/>
      <c r="N220" s="257"/>
      <c r="O220" s="213"/>
      <c r="P220" s="214"/>
      <c r="Q220" s="214"/>
      <c r="R220" s="214"/>
      <c r="S220" s="214"/>
      <c r="T220" s="214"/>
      <c r="U220" s="215">
        <f t="shared" si="35"/>
        <v>0</v>
      </c>
      <c r="V220" s="216" t="str">
        <f t="shared" si="36"/>
        <v/>
      </c>
      <c r="W220" s="217" t="str">
        <f t="shared" si="37"/>
        <v/>
      </c>
      <c r="X220" s="218" t="s">
        <v>20</v>
      </c>
      <c r="Y220" s="219" t="str">
        <f t="shared" si="38"/>
        <v>0 um/Dia</v>
      </c>
      <c r="Z220" s="220" t="str">
        <f t="shared" si="39"/>
        <v xml:space="preserve"> um / HH</v>
      </c>
      <c r="AA220" s="221" t="str">
        <f t="shared" si="40"/>
        <v/>
      </c>
      <c r="AB220" s="222" t="str">
        <f t="shared" si="41"/>
        <v>0 um /HH</v>
      </c>
      <c r="AC220" s="223">
        <f t="shared" si="42"/>
        <v>0</v>
      </c>
      <c r="AD220" s="224"/>
      <c r="AE220" s="225"/>
      <c r="AF220" s="226">
        <f t="shared" si="43"/>
        <v>0</v>
      </c>
      <c r="AG220" s="227">
        <f t="shared" si="44"/>
        <v>0</v>
      </c>
      <c r="AH220" s="228" t="s">
        <v>25</v>
      </c>
      <c r="AI220" s="229" t="str">
        <f t="shared" si="45"/>
        <v>Extremamente Complexa</v>
      </c>
      <c r="AJ220" s="230" t="str">
        <f t="shared" si="46"/>
        <v>Normal</v>
      </c>
      <c r="AK220" s="231">
        <f t="shared" si="47"/>
        <v>0</v>
      </c>
      <c r="AL220" s="232" t="str">
        <f t="shared" si="48"/>
        <v/>
      </c>
      <c r="AM220" s="233" t="str">
        <f t="shared" si="49"/>
        <v/>
      </c>
      <c r="AN220" s="233" t="str">
        <f t="shared" si="50"/>
        <v/>
      </c>
      <c r="AO220" s="234">
        <f t="shared" si="51"/>
        <v>0</v>
      </c>
      <c r="AP220" s="235">
        <f t="shared" si="67"/>
        <v>1</v>
      </c>
      <c r="AQ220" s="235">
        <f t="shared" si="67"/>
        <v>1</v>
      </c>
      <c r="AR220" s="236">
        <f t="shared" si="53"/>
        <v>1</v>
      </c>
      <c r="AS220" s="251">
        <f t="shared" si="54"/>
        <v>0</v>
      </c>
      <c r="AT220" s="238">
        <f t="shared" si="55"/>
        <v>0</v>
      </c>
      <c r="AU220" s="239">
        <f t="shared" si="56"/>
        <v>0</v>
      </c>
      <c r="AV220" s="239">
        <f t="shared" si="57"/>
        <v>0</v>
      </c>
      <c r="AW220" s="239">
        <f t="shared" si="58"/>
        <v>0.05</v>
      </c>
      <c r="AX220" s="240">
        <f t="shared" si="59"/>
        <v>0</v>
      </c>
      <c r="AY220" s="241" t="str">
        <f t="shared" si="60"/>
        <v/>
      </c>
      <c r="AZ220" s="242" t="str">
        <f>IFERROR(VLOOKUP(M220,'[1]Base Brasil Obras'!$C$2:$F$485,4,0),"")</f>
        <v/>
      </c>
      <c r="BA220" s="243">
        <f t="shared" si="61"/>
        <v>0</v>
      </c>
      <c r="BB220" s="244">
        <f t="shared" si="62"/>
        <v>0</v>
      </c>
      <c r="BC220" s="244">
        <f t="shared" si="63"/>
        <v>0.05</v>
      </c>
      <c r="BD220" s="245">
        <f t="shared" si="64"/>
        <v>0.95</v>
      </c>
      <c r="BE220" s="246">
        <f t="shared" si="65"/>
        <v>0</v>
      </c>
      <c r="BF220" s="247">
        <v>0</v>
      </c>
      <c r="BG220" s="248">
        <f t="shared" si="66"/>
        <v>1</v>
      </c>
      <c r="BH220" s="198"/>
      <c r="BI220" s="198"/>
      <c r="BJ220" s="199"/>
      <c r="BK220" s="200"/>
      <c r="BL220" s="200"/>
      <c r="BM220" s="200"/>
      <c r="BN220" s="200"/>
      <c r="BO220" s="10"/>
    </row>
    <row r="221" spans="1:89" ht="18" x14ac:dyDescent="0.25">
      <c r="A221" s="201">
        <v>113</v>
      </c>
      <c r="B221" s="286"/>
      <c r="C221" s="203">
        <f t="shared" si="34"/>
        <v>0</v>
      </c>
      <c r="D221" s="204"/>
      <c r="E221" s="204"/>
      <c r="F221" s="207"/>
      <c r="G221" s="206"/>
      <c r="H221" s="207"/>
      <c r="I221" s="208" t="s">
        <v>125</v>
      </c>
      <c r="J221" s="208" t="s">
        <v>126</v>
      </c>
      <c r="K221" s="287"/>
      <c r="L221" s="288"/>
      <c r="M221" s="289"/>
      <c r="N221" s="257"/>
      <c r="O221" s="213"/>
      <c r="P221" s="214"/>
      <c r="Q221" s="214"/>
      <c r="R221" s="214"/>
      <c r="S221" s="214"/>
      <c r="T221" s="214"/>
      <c r="U221" s="215">
        <f t="shared" si="35"/>
        <v>0</v>
      </c>
      <c r="V221" s="216" t="str">
        <f t="shared" si="36"/>
        <v/>
      </c>
      <c r="W221" s="217" t="str">
        <f t="shared" si="37"/>
        <v/>
      </c>
      <c r="X221" s="218" t="s">
        <v>20</v>
      </c>
      <c r="Y221" s="219" t="str">
        <f t="shared" si="38"/>
        <v>0 um/Dia</v>
      </c>
      <c r="Z221" s="220" t="str">
        <f t="shared" si="39"/>
        <v xml:space="preserve"> um / HH</v>
      </c>
      <c r="AA221" s="221" t="str">
        <f t="shared" si="40"/>
        <v/>
      </c>
      <c r="AB221" s="222" t="str">
        <f t="shared" si="41"/>
        <v>0 um /HH</v>
      </c>
      <c r="AC221" s="223">
        <f t="shared" si="42"/>
        <v>0</v>
      </c>
      <c r="AD221" s="224"/>
      <c r="AE221" s="225"/>
      <c r="AF221" s="226">
        <f t="shared" si="43"/>
        <v>0</v>
      </c>
      <c r="AG221" s="227">
        <f t="shared" si="44"/>
        <v>0</v>
      </c>
      <c r="AH221" s="228" t="s">
        <v>25</v>
      </c>
      <c r="AI221" s="229" t="str">
        <f t="shared" si="45"/>
        <v>Extremamente Complexa</v>
      </c>
      <c r="AJ221" s="230" t="str">
        <f t="shared" si="46"/>
        <v>Normal</v>
      </c>
      <c r="AK221" s="231">
        <f t="shared" si="47"/>
        <v>0</v>
      </c>
      <c r="AL221" s="232" t="str">
        <f t="shared" si="48"/>
        <v/>
      </c>
      <c r="AM221" s="233" t="str">
        <f t="shared" si="49"/>
        <v/>
      </c>
      <c r="AN221" s="233" t="str">
        <f t="shared" si="50"/>
        <v/>
      </c>
      <c r="AO221" s="234">
        <f t="shared" si="51"/>
        <v>0</v>
      </c>
      <c r="AP221" s="235">
        <f t="shared" si="67"/>
        <v>1</v>
      </c>
      <c r="AQ221" s="235">
        <f t="shared" si="67"/>
        <v>1</v>
      </c>
      <c r="AR221" s="235">
        <f t="shared" si="53"/>
        <v>1</v>
      </c>
      <c r="AS221" s="252">
        <f t="shared" si="54"/>
        <v>0</v>
      </c>
      <c r="AT221" s="238">
        <f t="shared" si="55"/>
        <v>0</v>
      </c>
      <c r="AU221" s="239">
        <f t="shared" si="56"/>
        <v>0</v>
      </c>
      <c r="AV221" s="239">
        <f t="shared" si="57"/>
        <v>0</v>
      </c>
      <c r="AW221" s="239">
        <f t="shared" si="58"/>
        <v>0.05</v>
      </c>
      <c r="AX221" s="240">
        <f t="shared" si="59"/>
        <v>0</v>
      </c>
      <c r="AY221" s="241" t="str">
        <f t="shared" si="60"/>
        <v/>
      </c>
      <c r="AZ221" s="242" t="str">
        <f>IFERROR(VLOOKUP(M221,'[1]Base Brasil Obras'!$C$2:$F$485,4,0),"")</f>
        <v/>
      </c>
      <c r="BA221" s="243">
        <f t="shared" si="61"/>
        <v>0</v>
      </c>
      <c r="BB221" s="244">
        <f t="shared" si="62"/>
        <v>0</v>
      </c>
      <c r="BC221" s="244">
        <f t="shared" si="63"/>
        <v>0.05</v>
      </c>
      <c r="BD221" s="245">
        <f t="shared" si="64"/>
        <v>0.95</v>
      </c>
      <c r="BE221" s="246">
        <f t="shared" si="65"/>
        <v>0</v>
      </c>
      <c r="BF221" s="247">
        <v>0</v>
      </c>
      <c r="BG221" s="248">
        <f t="shared" si="66"/>
        <v>1</v>
      </c>
      <c r="BH221" s="198"/>
      <c r="BI221" s="198"/>
      <c r="BJ221" s="199"/>
      <c r="BK221" s="200"/>
      <c r="BL221" s="200"/>
      <c r="BM221" s="200"/>
      <c r="BN221" s="200"/>
      <c r="BO221" s="10"/>
    </row>
    <row r="222" spans="1:89" ht="18" x14ac:dyDescent="0.25">
      <c r="A222" s="201">
        <v>114</v>
      </c>
      <c r="B222" s="286"/>
      <c r="C222" s="203">
        <f t="shared" si="34"/>
        <v>0</v>
      </c>
      <c r="D222" s="204"/>
      <c r="E222" s="204"/>
      <c r="F222" s="207"/>
      <c r="G222" s="206"/>
      <c r="H222" s="207"/>
      <c r="I222" s="208" t="s">
        <v>125</v>
      </c>
      <c r="J222" s="208" t="s">
        <v>126</v>
      </c>
      <c r="K222" s="287"/>
      <c r="L222" s="288"/>
      <c r="M222" s="289"/>
      <c r="N222" s="257"/>
      <c r="O222" s="213"/>
      <c r="P222" s="214"/>
      <c r="Q222" s="214"/>
      <c r="R222" s="214"/>
      <c r="S222" s="214"/>
      <c r="T222" s="214"/>
      <c r="U222" s="215">
        <f t="shared" si="35"/>
        <v>0</v>
      </c>
      <c r="V222" s="216" t="str">
        <f t="shared" si="36"/>
        <v/>
      </c>
      <c r="W222" s="217" t="str">
        <f t="shared" si="37"/>
        <v/>
      </c>
      <c r="X222" s="218" t="s">
        <v>20</v>
      </c>
      <c r="Y222" s="219" t="str">
        <f t="shared" si="38"/>
        <v>0 um/Dia</v>
      </c>
      <c r="Z222" s="220" t="str">
        <f t="shared" si="39"/>
        <v xml:space="preserve"> um / HH</v>
      </c>
      <c r="AA222" s="221" t="str">
        <f t="shared" si="40"/>
        <v/>
      </c>
      <c r="AB222" s="222" t="str">
        <f t="shared" si="41"/>
        <v>0 um /HH</v>
      </c>
      <c r="AC222" s="223">
        <f t="shared" si="42"/>
        <v>0</v>
      </c>
      <c r="AD222" s="224"/>
      <c r="AE222" s="225"/>
      <c r="AF222" s="226">
        <f t="shared" si="43"/>
        <v>0</v>
      </c>
      <c r="AG222" s="227">
        <f t="shared" si="44"/>
        <v>0</v>
      </c>
      <c r="AH222" s="228" t="s">
        <v>25</v>
      </c>
      <c r="AI222" s="229" t="str">
        <f t="shared" si="45"/>
        <v>Extremamente Complexa</v>
      </c>
      <c r="AJ222" s="230" t="str">
        <f t="shared" si="46"/>
        <v>Normal</v>
      </c>
      <c r="AK222" s="231">
        <f t="shared" si="47"/>
        <v>0</v>
      </c>
      <c r="AL222" s="232" t="str">
        <f t="shared" si="48"/>
        <v/>
      </c>
      <c r="AM222" s="233" t="str">
        <f t="shared" si="49"/>
        <v/>
      </c>
      <c r="AN222" s="233" t="str">
        <f t="shared" si="50"/>
        <v/>
      </c>
      <c r="AO222" s="234">
        <f t="shared" si="51"/>
        <v>0</v>
      </c>
      <c r="AP222" s="235">
        <f t="shared" si="67"/>
        <v>1</v>
      </c>
      <c r="AQ222" s="235">
        <f t="shared" si="67"/>
        <v>1</v>
      </c>
      <c r="AR222" s="236">
        <f t="shared" si="53"/>
        <v>1</v>
      </c>
      <c r="AS222" s="251">
        <f t="shared" si="54"/>
        <v>0</v>
      </c>
      <c r="AT222" s="238">
        <f t="shared" si="55"/>
        <v>0</v>
      </c>
      <c r="AU222" s="239">
        <f t="shared" si="56"/>
        <v>0</v>
      </c>
      <c r="AV222" s="239">
        <f t="shared" si="57"/>
        <v>0</v>
      </c>
      <c r="AW222" s="239">
        <f t="shared" si="58"/>
        <v>0.05</v>
      </c>
      <c r="AX222" s="240">
        <f t="shared" si="59"/>
        <v>0</v>
      </c>
      <c r="AY222" s="241" t="str">
        <f t="shared" si="60"/>
        <v/>
      </c>
      <c r="AZ222" s="242" t="str">
        <f>IFERROR(VLOOKUP(M222,'[1]Base Brasil Obras'!$C$2:$F$485,4,0),"")</f>
        <v/>
      </c>
      <c r="BA222" s="243">
        <f t="shared" si="61"/>
        <v>0</v>
      </c>
      <c r="BB222" s="244">
        <f t="shared" si="62"/>
        <v>0</v>
      </c>
      <c r="BC222" s="244">
        <f t="shared" si="63"/>
        <v>0.05</v>
      </c>
      <c r="BD222" s="245">
        <f t="shared" si="64"/>
        <v>0.95</v>
      </c>
      <c r="BE222" s="246">
        <f t="shared" si="65"/>
        <v>0</v>
      </c>
      <c r="BF222" s="247">
        <v>0</v>
      </c>
      <c r="BG222" s="248">
        <f t="shared" si="66"/>
        <v>1</v>
      </c>
      <c r="BH222" s="198"/>
      <c r="BI222" s="198"/>
      <c r="BJ222" s="199"/>
      <c r="BK222" s="200"/>
      <c r="BL222" s="200"/>
      <c r="BM222" s="200"/>
      <c r="BN222" s="200"/>
      <c r="BO222" s="10"/>
    </row>
    <row r="223" spans="1:89" ht="18" x14ac:dyDescent="0.25">
      <c r="A223" s="201">
        <v>115</v>
      </c>
      <c r="B223" s="286"/>
      <c r="C223" s="203">
        <f t="shared" si="34"/>
        <v>0</v>
      </c>
      <c r="D223" s="204"/>
      <c r="E223" s="204"/>
      <c r="F223" s="207"/>
      <c r="G223" s="206"/>
      <c r="H223" s="207"/>
      <c r="I223" s="208" t="s">
        <v>125</v>
      </c>
      <c r="J223" s="208" t="s">
        <v>126</v>
      </c>
      <c r="K223" s="287"/>
      <c r="L223" s="288"/>
      <c r="M223" s="289"/>
      <c r="N223" s="257"/>
      <c r="O223" s="213"/>
      <c r="P223" s="214"/>
      <c r="Q223" s="214"/>
      <c r="R223" s="214"/>
      <c r="S223" s="214"/>
      <c r="T223" s="214"/>
      <c r="U223" s="215">
        <f t="shared" si="35"/>
        <v>0</v>
      </c>
      <c r="V223" s="216" t="str">
        <f t="shared" si="36"/>
        <v/>
      </c>
      <c r="W223" s="217" t="str">
        <f t="shared" si="37"/>
        <v/>
      </c>
      <c r="X223" s="218" t="s">
        <v>20</v>
      </c>
      <c r="Y223" s="219" t="str">
        <f t="shared" si="38"/>
        <v>0 um/Dia</v>
      </c>
      <c r="Z223" s="220" t="str">
        <f t="shared" si="39"/>
        <v xml:space="preserve"> um / HH</v>
      </c>
      <c r="AA223" s="221" t="str">
        <f t="shared" si="40"/>
        <v/>
      </c>
      <c r="AB223" s="222" t="str">
        <f t="shared" si="41"/>
        <v>0 um /HH</v>
      </c>
      <c r="AC223" s="223">
        <f t="shared" si="42"/>
        <v>0</v>
      </c>
      <c r="AD223" s="224"/>
      <c r="AE223" s="225"/>
      <c r="AF223" s="226">
        <f t="shared" si="43"/>
        <v>0</v>
      </c>
      <c r="AG223" s="227">
        <f t="shared" si="44"/>
        <v>0</v>
      </c>
      <c r="AH223" s="228" t="s">
        <v>25</v>
      </c>
      <c r="AI223" s="229" t="str">
        <f t="shared" si="45"/>
        <v>Extremamente Complexa</v>
      </c>
      <c r="AJ223" s="230" t="str">
        <f t="shared" si="46"/>
        <v>Normal</v>
      </c>
      <c r="AK223" s="231">
        <f t="shared" si="47"/>
        <v>0</v>
      </c>
      <c r="AL223" s="232" t="str">
        <f t="shared" si="48"/>
        <v/>
      </c>
      <c r="AM223" s="233" t="str">
        <f t="shared" si="49"/>
        <v/>
      </c>
      <c r="AN223" s="233" t="str">
        <f t="shared" si="50"/>
        <v/>
      </c>
      <c r="AO223" s="234">
        <f t="shared" si="51"/>
        <v>0</v>
      </c>
      <c r="AP223" s="235">
        <f t="shared" si="67"/>
        <v>1</v>
      </c>
      <c r="AQ223" s="235">
        <f t="shared" si="67"/>
        <v>1</v>
      </c>
      <c r="AR223" s="235">
        <f t="shared" si="53"/>
        <v>1</v>
      </c>
      <c r="AS223" s="252">
        <f t="shared" si="54"/>
        <v>0</v>
      </c>
      <c r="AT223" s="238">
        <f t="shared" si="55"/>
        <v>0</v>
      </c>
      <c r="AU223" s="239">
        <f t="shared" si="56"/>
        <v>0</v>
      </c>
      <c r="AV223" s="239">
        <f t="shared" si="57"/>
        <v>0</v>
      </c>
      <c r="AW223" s="239">
        <f t="shared" si="58"/>
        <v>0.05</v>
      </c>
      <c r="AX223" s="240">
        <f t="shared" si="59"/>
        <v>0</v>
      </c>
      <c r="AY223" s="241" t="str">
        <f t="shared" si="60"/>
        <v/>
      </c>
      <c r="AZ223" s="242" t="str">
        <f>IFERROR(VLOOKUP(M223,'[1]Base Brasil Obras'!$C$2:$F$485,4,0),"")</f>
        <v/>
      </c>
      <c r="BA223" s="243">
        <f t="shared" si="61"/>
        <v>0</v>
      </c>
      <c r="BB223" s="244">
        <f t="shared" si="62"/>
        <v>0</v>
      </c>
      <c r="BC223" s="244">
        <f t="shared" si="63"/>
        <v>0.05</v>
      </c>
      <c r="BD223" s="245">
        <f t="shared" si="64"/>
        <v>0.95</v>
      </c>
      <c r="BE223" s="246">
        <f t="shared" si="65"/>
        <v>0</v>
      </c>
      <c r="BF223" s="247">
        <v>0</v>
      </c>
      <c r="BG223" s="248">
        <f t="shared" si="66"/>
        <v>1</v>
      </c>
      <c r="BH223" s="198"/>
      <c r="BI223" s="198"/>
      <c r="BJ223" s="199"/>
      <c r="BK223" s="200"/>
      <c r="BL223" s="200"/>
      <c r="BM223" s="200"/>
      <c r="BN223" s="200"/>
      <c r="BO223" s="10"/>
    </row>
    <row r="224" spans="1:89" ht="18" x14ac:dyDescent="0.25">
      <c r="A224" s="201">
        <v>116</v>
      </c>
      <c r="B224" s="286"/>
      <c r="C224" s="203">
        <f t="shared" si="34"/>
        <v>0</v>
      </c>
      <c r="D224" s="204"/>
      <c r="E224" s="204"/>
      <c r="F224" s="207"/>
      <c r="G224" s="206"/>
      <c r="H224" s="207"/>
      <c r="I224" s="208" t="s">
        <v>125</v>
      </c>
      <c r="J224" s="208" t="s">
        <v>126</v>
      </c>
      <c r="K224" s="287"/>
      <c r="L224" s="288"/>
      <c r="M224" s="289"/>
      <c r="N224" s="257"/>
      <c r="O224" s="213"/>
      <c r="P224" s="214"/>
      <c r="Q224" s="214"/>
      <c r="R224" s="214"/>
      <c r="S224" s="214"/>
      <c r="T224" s="214"/>
      <c r="U224" s="215">
        <f t="shared" si="35"/>
        <v>0</v>
      </c>
      <c r="V224" s="216" t="str">
        <f t="shared" si="36"/>
        <v/>
      </c>
      <c r="W224" s="217" t="str">
        <f t="shared" si="37"/>
        <v/>
      </c>
      <c r="X224" s="218" t="s">
        <v>20</v>
      </c>
      <c r="Y224" s="219" t="str">
        <f t="shared" si="38"/>
        <v>0 um/Dia</v>
      </c>
      <c r="Z224" s="220" t="str">
        <f t="shared" si="39"/>
        <v xml:space="preserve"> um / HH</v>
      </c>
      <c r="AA224" s="221" t="str">
        <f t="shared" si="40"/>
        <v/>
      </c>
      <c r="AB224" s="222" t="str">
        <f t="shared" si="41"/>
        <v>0 um /HH</v>
      </c>
      <c r="AC224" s="223">
        <f t="shared" si="42"/>
        <v>0</v>
      </c>
      <c r="AD224" s="224"/>
      <c r="AE224" s="225"/>
      <c r="AF224" s="226">
        <f t="shared" si="43"/>
        <v>0</v>
      </c>
      <c r="AG224" s="227">
        <f t="shared" si="44"/>
        <v>0</v>
      </c>
      <c r="AH224" s="228" t="s">
        <v>25</v>
      </c>
      <c r="AI224" s="229" t="str">
        <f t="shared" si="45"/>
        <v>Extremamente Complexa</v>
      </c>
      <c r="AJ224" s="230" t="str">
        <f t="shared" si="46"/>
        <v>Normal</v>
      </c>
      <c r="AK224" s="231">
        <f t="shared" si="47"/>
        <v>0</v>
      </c>
      <c r="AL224" s="232" t="str">
        <f t="shared" si="48"/>
        <v/>
      </c>
      <c r="AM224" s="233" t="str">
        <f t="shared" si="49"/>
        <v/>
      </c>
      <c r="AN224" s="233" t="str">
        <f t="shared" si="50"/>
        <v/>
      </c>
      <c r="AO224" s="234">
        <f t="shared" si="51"/>
        <v>0</v>
      </c>
      <c r="AP224" s="235">
        <f t="shared" si="67"/>
        <v>1</v>
      </c>
      <c r="AQ224" s="235">
        <f t="shared" si="67"/>
        <v>1</v>
      </c>
      <c r="AR224" s="236">
        <f t="shared" si="53"/>
        <v>1</v>
      </c>
      <c r="AS224" s="251">
        <f t="shared" si="54"/>
        <v>0</v>
      </c>
      <c r="AT224" s="238">
        <f t="shared" si="55"/>
        <v>0</v>
      </c>
      <c r="AU224" s="239">
        <f t="shared" si="56"/>
        <v>0</v>
      </c>
      <c r="AV224" s="239">
        <f t="shared" si="57"/>
        <v>0</v>
      </c>
      <c r="AW224" s="239">
        <f t="shared" si="58"/>
        <v>0.05</v>
      </c>
      <c r="AX224" s="240">
        <f t="shared" si="59"/>
        <v>0</v>
      </c>
      <c r="AY224" s="241" t="str">
        <f t="shared" si="60"/>
        <v/>
      </c>
      <c r="AZ224" s="242" t="str">
        <f>IFERROR(VLOOKUP(M224,'[1]Base Brasil Obras'!$C$2:$F$485,4,0),"")</f>
        <v/>
      </c>
      <c r="BA224" s="243">
        <f t="shared" si="61"/>
        <v>0</v>
      </c>
      <c r="BB224" s="244">
        <f t="shared" si="62"/>
        <v>0</v>
      </c>
      <c r="BC224" s="244">
        <f t="shared" si="63"/>
        <v>0.05</v>
      </c>
      <c r="BD224" s="245">
        <f t="shared" si="64"/>
        <v>0.95</v>
      </c>
      <c r="BE224" s="246">
        <f t="shared" si="65"/>
        <v>0</v>
      </c>
      <c r="BF224" s="247">
        <v>0</v>
      </c>
      <c r="BG224" s="248">
        <f t="shared" si="66"/>
        <v>1</v>
      </c>
      <c r="BH224" s="198"/>
      <c r="BI224" s="198"/>
      <c r="BJ224" s="199"/>
      <c r="BK224" s="200"/>
      <c r="BL224" s="200"/>
      <c r="BM224" s="200"/>
      <c r="BN224" s="200"/>
      <c r="BO224" s="10"/>
    </row>
    <row r="225" spans="1:67" ht="18" x14ac:dyDescent="0.25">
      <c r="A225" s="201">
        <v>117</v>
      </c>
      <c r="B225" s="286"/>
      <c r="C225" s="203">
        <f t="shared" si="34"/>
        <v>0</v>
      </c>
      <c r="D225" s="204"/>
      <c r="E225" s="204"/>
      <c r="F225" s="207"/>
      <c r="G225" s="206"/>
      <c r="H225" s="207"/>
      <c r="I225" s="208" t="s">
        <v>125</v>
      </c>
      <c r="J225" s="208" t="s">
        <v>126</v>
      </c>
      <c r="K225" s="287"/>
      <c r="L225" s="288"/>
      <c r="M225" s="289"/>
      <c r="N225" s="257"/>
      <c r="O225" s="213"/>
      <c r="P225" s="214"/>
      <c r="Q225" s="214"/>
      <c r="R225" s="214"/>
      <c r="S225" s="214"/>
      <c r="T225" s="214"/>
      <c r="U225" s="215">
        <f t="shared" si="35"/>
        <v>0</v>
      </c>
      <c r="V225" s="216" t="str">
        <f t="shared" si="36"/>
        <v/>
      </c>
      <c r="W225" s="217" t="str">
        <f t="shared" si="37"/>
        <v/>
      </c>
      <c r="X225" s="218" t="s">
        <v>20</v>
      </c>
      <c r="Y225" s="219" t="str">
        <f t="shared" si="38"/>
        <v>0 um/Dia</v>
      </c>
      <c r="Z225" s="220" t="str">
        <f t="shared" si="39"/>
        <v xml:space="preserve"> um / HH</v>
      </c>
      <c r="AA225" s="221" t="str">
        <f t="shared" si="40"/>
        <v/>
      </c>
      <c r="AB225" s="222" t="str">
        <f t="shared" si="41"/>
        <v>0 um /HH</v>
      </c>
      <c r="AC225" s="223">
        <f t="shared" si="42"/>
        <v>0</v>
      </c>
      <c r="AD225" s="224"/>
      <c r="AE225" s="225"/>
      <c r="AF225" s="226">
        <f t="shared" si="43"/>
        <v>0</v>
      </c>
      <c r="AG225" s="227">
        <f t="shared" si="44"/>
        <v>0</v>
      </c>
      <c r="AH225" s="228" t="s">
        <v>25</v>
      </c>
      <c r="AI225" s="229" t="str">
        <f t="shared" si="45"/>
        <v>Extremamente Complexa</v>
      </c>
      <c r="AJ225" s="230" t="str">
        <f t="shared" si="46"/>
        <v>Normal</v>
      </c>
      <c r="AK225" s="231">
        <f t="shared" si="47"/>
        <v>0</v>
      </c>
      <c r="AL225" s="232" t="str">
        <f t="shared" si="48"/>
        <v/>
      </c>
      <c r="AM225" s="233" t="str">
        <f t="shared" si="49"/>
        <v/>
      </c>
      <c r="AN225" s="233" t="str">
        <f t="shared" si="50"/>
        <v/>
      </c>
      <c r="AO225" s="234">
        <f t="shared" si="51"/>
        <v>0</v>
      </c>
      <c r="AP225" s="235">
        <f t="shared" si="67"/>
        <v>1</v>
      </c>
      <c r="AQ225" s="235">
        <f t="shared" si="67"/>
        <v>1</v>
      </c>
      <c r="AR225" s="235">
        <f t="shared" si="53"/>
        <v>1</v>
      </c>
      <c r="AS225" s="252">
        <f t="shared" si="54"/>
        <v>0</v>
      </c>
      <c r="AT225" s="238">
        <f t="shared" si="55"/>
        <v>0</v>
      </c>
      <c r="AU225" s="239">
        <f t="shared" si="56"/>
        <v>0</v>
      </c>
      <c r="AV225" s="239">
        <f t="shared" si="57"/>
        <v>0</v>
      </c>
      <c r="AW225" s="239">
        <f t="shared" si="58"/>
        <v>0.05</v>
      </c>
      <c r="AX225" s="240">
        <f t="shared" si="59"/>
        <v>0</v>
      </c>
      <c r="AY225" s="241" t="str">
        <f t="shared" si="60"/>
        <v/>
      </c>
      <c r="AZ225" s="242" t="str">
        <f>IFERROR(VLOOKUP(M225,'[1]Base Brasil Obras'!$C$2:$F$485,4,0),"")</f>
        <v/>
      </c>
      <c r="BA225" s="243">
        <f t="shared" si="61"/>
        <v>0</v>
      </c>
      <c r="BB225" s="244">
        <f t="shared" si="62"/>
        <v>0</v>
      </c>
      <c r="BC225" s="244">
        <f t="shared" si="63"/>
        <v>0.05</v>
      </c>
      <c r="BD225" s="245">
        <f t="shared" si="64"/>
        <v>0.95</v>
      </c>
      <c r="BE225" s="246">
        <f t="shared" si="65"/>
        <v>0</v>
      </c>
      <c r="BF225" s="247">
        <v>0</v>
      </c>
      <c r="BG225" s="248">
        <f t="shared" si="66"/>
        <v>1</v>
      </c>
      <c r="BH225" s="198"/>
      <c r="BI225" s="198"/>
      <c r="BJ225" s="199"/>
      <c r="BK225" s="200"/>
      <c r="BL225" s="200"/>
      <c r="BM225" s="200"/>
      <c r="BN225" s="200"/>
      <c r="BO225" s="10"/>
    </row>
    <row r="226" spans="1:67" ht="18" x14ac:dyDescent="0.25">
      <c r="A226" s="201">
        <v>118</v>
      </c>
      <c r="B226" s="286"/>
      <c r="C226" s="203">
        <f t="shared" si="34"/>
        <v>0</v>
      </c>
      <c r="D226" s="204"/>
      <c r="E226" s="204"/>
      <c r="F226" s="207"/>
      <c r="G226" s="206"/>
      <c r="H226" s="207"/>
      <c r="I226" s="208" t="s">
        <v>125</v>
      </c>
      <c r="J226" s="208" t="s">
        <v>126</v>
      </c>
      <c r="K226" s="287"/>
      <c r="L226" s="288"/>
      <c r="M226" s="289"/>
      <c r="N226" s="257"/>
      <c r="O226" s="213"/>
      <c r="P226" s="214"/>
      <c r="Q226" s="214"/>
      <c r="R226" s="214"/>
      <c r="S226" s="214"/>
      <c r="T226" s="214"/>
      <c r="U226" s="215">
        <f t="shared" si="35"/>
        <v>0</v>
      </c>
      <c r="V226" s="216" t="str">
        <f t="shared" si="36"/>
        <v/>
      </c>
      <c r="W226" s="217" t="str">
        <f t="shared" si="37"/>
        <v/>
      </c>
      <c r="X226" s="218" t="s">
        <v>20</v>
      </c>
      <c r="Y226" s="219" t="str">
        <f t="shared" si="38"/>
        <v>0 um/Dia</v>
      </c>
      <c r="Z226" s="220" t="str">
        <f t="shared" si="39"/>
        <v xml:space="preserve"> um / HH</v>
      </c>
      <c r="AA226" s="221" t="str">
        <f t="shared" si="40"/>
        <v/>
      </c>
      <c r="AB226" s="222" t="str">
        <f t="shared" si="41"/>
        <v>0 um /HH</v>
      </c>
      <c r="AC226" s="223">
        <f t="shared" si="42"/>
        <v>0</v>
      </c>
      <c r="AD226" s="224"/>
      <c r="AE226" s="225"/>
      <c r="AF226" s="226">
        <f t="shared" si="43"/>
        <v>0</v>
      </c>
      <c r="AG226" s="227">
        <f t="shared" si="44"/>
        <v>0</v>
      </c>
      <c r="AH226" s="228" t="s">
        <v>25</v>
      </c>
      <c r="AI226" s="229" t="str">
        <f t="shared" si="45"/>
        <v>Extremamente Complexa</v>
      </c>
      <c r="AJ226" s="230" t="str">
        <f t="shared" si="46"/>
        <v>Normal</v>
      </c>
      <c r="AK226" s="231">
        <f t="shared" si="47"/>
        <v>0</v>
      </c>
      <c r="AL226" s="232" t="str">
        <f t="shared" si="48"/>
        <v/>
      </c>
      <c r="AM226" s="233" t="str">
        <f t="shared" si="49"/>
        <v/>
      </c>
      <c r="AN226" s="233" t="str">
        <f t="shared" si="50"/>
        <v/>
      </c>
      <c r="AO226" s="234">
        <f t="shared" si="51"/>
        <v>0</v>
      </c>
      <c r="AP226" s="235">
        <f t="shared" si="67"/>
        <v>1</v>
      </c>
      <c r="AQ226" s="235">
        <f t="shared" si="67"/>
        <v>1</v>
      </c>
      <c r="AR226" s="236">
        <f t="shared" si="53"/>
        <v>1</v>
      </c>
      <c r="AS226" s="251">
        <f t="shared" si="54"/>
        <v>0</v>
      </c>
      <c r="AT226" s="238">
        <f t="shared" si="55"/>
        <v>0</v>
      </c>
      <c r="AU226" s="239">
        <f t="shared" si="56"/>
        <v>0</v>
      </c>
      <c r="AV226" s="239">
        <f t="shared" si="57"/>
        <v>0</v>
      </c>
      <c r="AW226" s="239">
        <f t="shared" si="58"/>
        <v>0.05</v>
      </c>
      <c r="AX226" s="240">
        <f t="shared" si="59"/>
        <v>0</v>
      </c>
      <c r="AY226" s="241" t="str">
        <f t="shared" si="60"/>
        <v/>
      </c>
      <c r="AZ226" s="242" t="str">
        <f>IFERROR(VLOOKUP(M226,'[1]Base Brasil Obras'!$C$2:$F$485,4,0),"")</f>
        <v/>
      </c>
      <c r="BA226" s="243">
        <f t="shared" si="61"/>
        <v>0</v>
      </c>
      <c r="BB226" s="244">
        <f t="shared" si="62"/>
        <v>0</v>
      </c>
      <c r="BC226" s="244">
        <f t="shared" si="63"/>
        <v>0.05</v>
      </c>
      <c r="BD226" s="245">
        <f t="shared" si="64"/>
        <v>0.95</v>
      </c>
      <c r="BE226" s="246">
        <f t="shared" si="65"/>
        <v>0</v>
      </c>
      <c r="BF226" s="247">
        <v>0</v>
      </c>
      <c r="BG226" s="248">
        <f t="shared" si="66"/>
        <v>1</v>
      </c>
      <c r="BH226" s="198"/>
      <c r="BI226" s="198"/>
      <c r="BJ226" s="199"/>
      <c r="BK226" s="200"/>
      <c r="BL226" s="200"/>
      <c r="BM226" s="200"/>
      <c r="BN226" s="200"/>
      <c r="BO226" s="10"/>
    </row>
    <row r="227" spans="1:67" ht="18" x14ac:dyDescent="0.25">
      <c r="A227" s="201">
        <v>119</v>
      </c>
      <c r="B227" s="286"/>
      <c r="C227" s="203">
        <f t="shared" si="34"/>
        <v>0</v>
      </c>
      <c r="D227" s="204"/>
      <c r="E227" s="204"/>
      <c r="F227" s="207"/>
      <c r="G227" s="206"/>
      <c r="H227" s="207"/>
      <c r="I227" s="208" t="s">
        <v>125</v>
      </c>
      <c r="J227" s="208" t="s">
        <v>126</v>
      </c>
      <c r="K227" s="287"/>
      <c r="L227" s="288"/>
      <c r="M227" s="289"/>
      <c r="N227" s="257"/>
      <c r="O227" s="213"/>
      <c r="P227" s="214"/>
      <c r="Q227" s="214"/>
      <c r="R227" s="214"/>
      <c r="S227" s="214"/>
      <c r="T227" s="214"/>
      <c r="U227" s="215">
        <f t="shared" si="35"/>
        <v>0</v>
      </c>
      <c r="V227" s="216" t="str">
        <f t="shared" si="36"/>
        <v/>
      </c>
      <c r="W227" s="217" t="str">
        <f t="shared" si="37"/>
        <v/>
      </c>
      <c r="X227" s="218" t="s">
        <v>20</v>
      </c>
      <c r="Y227" s="219" t="str">
        <f t="shared" si="38"/>
        <v>0 um/Dia</v>
      </c>
      <c r="Z227" s="220" t="str">
        <f t="shared" si="39"/>
        <v xml:space="preserve"> um / HH</v>
      </c>
      <c r="AA227" s="221" t="str">
        <f t="shared" si="40"/>
        <v/>
      </c>
      <c r="AB227" s="222" t="str">
        <f t="shared" si="41"/>
        <v>0 um /HH</v>
      </c>
      <c r="AC227" s="223">
        <f t="shared" si="42"/>
        <v>0</v>
      </c>
      <c r="AD227" s="224"/>
      <c r="AE227" s="225"/>
      <c r="AF227" s="226">
        <f t="shared" si="43"/>
        <v>0</v>
      </c>
      <c r="AG227" s="227">
        <f t="shared" si="44"/>
        <v>0</v>
      </c>
      <c r="AH227" s="228" t="s">
        <v>25</v>
      </c>
      <c r="AI227" s="229" t="str">
        <f t="shared" si="45"/>
        <v>Extremamente Complexa</v>
      </c>
      <c r="AJ227" s="230" t="str">
        <f t="shared" si="46"/>
        <v>Normal</v>
      </c>
      <c r="AK227" s="231">
        <f t="shared" si="47"/>
        <v>0</v>
      </c>
      <c r="AL227" s="232" t="str">
        <f t="shared" si="48"/>
        <v/>
      </c>
      <c r="AM227" s="233" t="str">
        <f t="shared" si="49"/>
        <v/>
      </c>
      <c r="AN227" s="233" t="str">
        <f t="shared" si="50"/>
        <v/>
      </c>
      <c r="AO227" s="234">
        <f t="shared" si="51"/>
        <v>0</v>
      </c>
      <c r="AP227" s="235">
        <f t="shared" si="67"/>
        <v>1</v>
      </c>
      <c r="AQ227" s="235">
        <f t="shared" si="67"/>
        <v>1</v>
      </c>
      <c r="AR227" s="235">
        <f t="shared" si="53"/>
        <v>1</v>
      </c>
      <c r="AS227" s="252">
        <f t="shared" si="54"/>
        <v>0</v>
      </c>
      <c r="AT227" s="238">
        <f t="shared" si="55"/>
        <v>0</v>
      </c>
      <c r="AU227" s="239">
        <f t="shared" si="56"/>
        <v>0</v>
      </c>
      <c r="AV227" s="239">
        <f t="shared" si="57"/>
        <v>0</v>
      </c>
      <c r="AW227" s="239">
        <f t="shared" si="58"/>
        <v>0.05</v>
      </c>
      <c r="AX227" s="240">
        <f t="shared" si="59"/>
        <v>0</v>
      </c>
      <c r="AY227" s="241" t="str">
        <f t="shared" si="60"/>
        <v/>
      </c>
      <c r="AZ227" s="242" t="str">
        <f>IFERROR(VLOOKUP(M227,'[1]Base Brasil Obras'!$C$2:$F$485,4,0),"")</f>
        <v/>
      </c>
      <c r="BA227" s="243">
        <f t="shared" si="61"/>
        <v>0</v>
      </c>
      <c r="BB227" s="244">
        <f t="shared" si="62"/>
        <v>0</v>
      </c>
      <c r="BC227" s="244">
        <f t="shared" si="63"/>
        <v>0.05</v>
      </c>
      <c r="BD227" s="245">
        <f t="shared" si="64"/>
        <v>0.95</v>
      </c>
      <c r="BE227" s="246">
        <f t="shared" si="65"/>
        <v>0</v>
      </c>
      <c r="BF227" s="247">
        <v>0</v>
      </c>
      <c r="BG227" s="248">
        <f t="shared" si="66"/>
        <v>1</v>
      </c>
      <c r="BH227" s="198"/>
      <c r="BI227" s="198"/>
      <c r="BJ227" s="199"/>
      <c r="BK227" s="200"/>
      <c r="BL227" s="200"/>
      <c r="BM227" s="200"/>
      <c r="BN227" s="200"/>
      <c r="BO227" s="10"/>
    </row>
    <row r="228" spans="1:67" ht="18" x14ac:dyDescent="0.25">
      <c r="A228" s="201">
        <v>120</v>
      </c>
      <c r="B228" s="286"/>
      <c r="C228" s="203">
        <f t="shared" si="34"/>
        <v>0</v>
      </c>
      <c r="D228" s="204"/>
      <c r="E228" s="204"/>
      <c r="F228" s="207"/>
      <c r="G228" s="206"/>
      <c r="H228" s="207"/>
      <c r="I228" s="208" t="s">
        <v>125</v>
      </c>
      <c r="J228" s="208" t="s">
        <v>126</v>
      </c>
      <c r="K228" s="287"/>
      <c r="L228" s="288"/>
      <c r="M228" s="289"/>
      <c r="N228" s="257"/>
      <c r="O228" s="213"/>
      <c r="P228" s="214"/>
      <c r="Q228" s="214"/>
      <c r="R228" s="214"/>
      <c r="S228" s="214"/>
      <c r="T228" s="214"/>
      <c r="U228" s="215">
        <f t="shared" si="35"/>
        <v>0</v>
      </c>
      <c r="V228" s="216" t="str">
        <f t="shared" si="36"/>
        <v/>
      </c>
      <c r="W228" s="217" t="str">
        <f t="shared" si="37"/>
        <v/>
      </c>
      <c r="X228" s="218" t="s">
        <v>20</v>
      </c>
      <c r="Y228" s="219" t="str">
        <f t="shared" si="38"/>
        <v>0 um/Dia</v>
      </c>
      <c r="Z228" s="220" t="str">
        <f t="shared" si="39"/>
        <v xml:space="preserve"> um / HH</v>
      </c>
      <c r="AA228" s="221" t="str">
        <f t="shared" si="40"/>
        <v/>
      </c>
      <c r="AB228" s="222" t="str">
        <f t="shared" si="41"/>
        <v>0 um /HH</v>
      </c>
      <c r="AC228" s="223">
        <f t="shared" si="42"/>
        <v>0</v>
      </c>
      <c r="AD228" s="224"/>
      <c r="AE228" s="225"/>
      <c r="AF228" s="226">
        <f t="shared" si="43"/>
        <v>0</v>
      </c>
      <c r="AG228" s="227">
        <f t="shared" si="44"/>
        <v>0</v>
      </c>
      <c r="AH228" s="228" t="s">
        <v>25</v>
      </c>
      <c r="AI228" s="229" t="str">
        <f t="shared" si="45"/>
        <v>Extremamente Complexa</v>
      </c>
      <c r="AJ228" s="230" t="str">
        <f t="shared" si="46"/>
        <v>Normal</v>
      </c>
      <c r="AK228" s="231">
        <f t="shared" si="47"/>
        <v>0</v>
      </c>
      <c r="AL228" s="232" t="str">
        <f t="shared" si="48"/>
        <v/>
      </c>
      <c r="AM228" s="233" t="str">
        <f t="shared" si="49"/>
        <v/>
      </c>
      <c r="AN228" s="233" t="str">
        <f t="shared" si="50"/>
        <v/>
      </c>
      <c r="AO228" s="234">
        <f t="shared" si="51"/>
        <v>0</v>
      </c>
      <c r="AP228" s="235">
        <f t="shared" si="67"/>
        <v>1</v>
      </c>
      <c r="AQ228" s="235">
        <f t="shared" si="67"/>
        <v>1</v>
      </c>
      <c r="AR228" s="236">
        <f t="shared" si="53"/>
        <v>1</v>
      </c>
      <c r="AS228" s="251">
        <f t="shared" si="54"/>
        <v>0</v>
      </c>
      <c r="AT228" s="238">
        <f t="shared" si="55"/>
        <v>0</v>
      </c>
      <c r="AU228" s="239">
        <f t="shared" si="56"/>
        <v>0</v>
      </c>
      <c r="AV228" s="239">
        <f t="shared" si="57"/>
        <v>0</v>
      </c>
      <c r="AW228" s="239">
        <f t="shared" si="58"/>
        <v>0.05</v>
      </c>
      <c r="AX228" s="240">
        <f t="shared" si="59"/>
        <v>0</v>
      </c>
      <c r="AY228" s="241" t="str">
        <f t="shared" si="60"/>
        <v/>
      </c>
      <c r="AZ228" s="242" t="str">
        <f>IFERROR(VLOOKUP(M228,'[1]Base Brasil Obras'!$C$2:$F$485,4,0),"")</f>
        <v/>
      </c>
      <c r="BA228" s="243">
        <f t="shared" si="61"/>
        <v>0</v>
      </c>
      <c r="BB228" s="244">
        <f t="shared" si="62"/>
        <v>0</v>
      </c>
      <c r="BC228" s="244">
        <f t="shared" si="63"/>
        <v>0.05</v>
      </c>
      <c r="BD228" s="245">
        <f t="shared" si="64"/>
        <v>0.95</v>
      </c>
      <c r="BE228" s="246">
        <f t="shared" si="65"/>
        <v>0</v>
      </c>
      <c r="BF228" s="247">
        <v>0</v>
      </c>
      <c r="BG228" s="248">
        <f t="shared" si="66"/>
        <v>1</v>
      </c>
      <c r="BH228" s="198"/>
      <c r="BI228" s="198"/>
      <c r="BJ228" s="199"/>
      <c r="BK228" s="200"/>
      <c r="BL228" s="200"/>
      <c r="BM228" s="200"/>
      <c r="BN228" s="200"/>
      <c r="BO228" s="10"/>
    </row>
    <row r="229" spans="1:67" ht="18" x14ac:dyDescent="0.25">
      <c r="A229" s="201">
        <v>121</v>
      </c>
      <c r="B229" s="286"/>
      <c r="C229" s="203">
        <f t="shared" si="34"/>
        <v>0</v>
      </c>
      <c r="D229" s="204"/>
      <c r="E229" s="204"/>
      <c r="F229" s="207"/>
      <c r="G229" s="206"/>
      <c r="H229" s="207"/>
      <c r="I229" s="208" t="s">
        <v>125</v>
      </c>
      <c r="J229" s="208" t="s">
        <v>126</v>
      </c>
      <c r="K229" s="287"/>
      <c r="L229" s="288"/>
      <c r="M229" s="289"/>
      <c r="N229" s="257"/>
      <c r="O229" s="213"/>
      <c r="P229" s="214"/>
      <c r="Q229" s="214"/>
      <c r="R229" s="214"/>
      <c r="S229" s="214"/>
      <c r="T229" s="214"/>
      <c r="U229" s="215">
        <f t="shared" si="35"/>
        <v>0</v>
      </c>
      <c r="V229" s="216" t="str">
        <f t="shared" si="36"/>
        <v/>
      </c>
      <c r="W229" s="217" t="str">
        <f t="shared" si="37"/>
        <v/>
      </c>
      <c r="X229" s="218" t="s">
        <v>20</v>
      </c>
      <c r="Y229" s="219" t="str">
        <f t="shared" si="38"/>
        <v>0 um/Dia</v>
      </c>
      <c r="Z229" s="220" t="str">
        <f t="shared" si="39"/>
        <v xml:space="preserve"> um / HH</v>
      </c>
      <c r="AA229" s="221" t="str">
        <f t="shared" si="40"/>
        <v/>
      </c>
      <c r="AB229" s="222" t="str">
        <f t="shared" si="41"/>
        <v>0 um /HH</v>
      </c>
      <c r="AC229" s="223">
        <f t="shared" si="42"/>
        <v>0</v>
      </c>
      <c r="AD229" s="224"/>
      <c r="AE229" s="225"/>
      <c r="AF229" s="226">
        <f t="shared" si="43"/>
        <v>0</v>
      </c>
      <c r="AG229" s="227">
        <f t="shared" si="44"/>
        <v>0</v>
      </c>
      <c r="AH229" s="228" t="s">
        <v>25</v>
      </c>
      <c r="AI229" s="229" t="str">
        <f t="shared" si="45"/>
        <v>Extremamente Complexa</v>
      </c>
      <c r="AJ229" s="230" t="str">
        <f t="shared" si="46"/>
        <v>Normal</v>
      </c>
      <c r="AK229" s="231">
        <f t="shared" si="47"/>
        <v>0</v>
      </c>
      <c r="AL229" s="232" t="str">
        <f t="shared" si="48"/>
        <v/>
      </c>
      <c r="AM229" s="233" t="str">
        <f t="shared" si="49"/>
        <v/>
      </c>
      <c r="AN229" s="233" t="str">
        <f t="shared" si="50"/>
        <v/>
      </c>
      <c r="AO229" s="234">
        <f t="shared" si="51"/>
        <v>0</v>
      </c>
      <c r="AP229" s="235">
        <f t="shared" si="67"/>
        <v>1</v>
      </c>
      <c r="AQ229" s="235">
        <f t="shared" si="67"/>
        <v>1</v>
      </c>
      <c r="AR229" s="235">
        <f t="shared" si="53"/>
        <v>1</v>
      </c>
      <c r="AS229" s="252">
        <f t="shared" si="54"/>
        <v>0</v>
      </c>
      <c r="AT229" s="238">
        <f t="shared" si="55"/>
        <v>0</v>
      </c>
      <c r="AU229" s="239">
        <f t="shared" si="56"/>
        <v>0</v>
      </c>
      <c r="AV229" s="239">
        <f t="shared" si="57"/>
        <v>0</v>
      </c>
      <c r="AW229" s="239">
        <f t="shared" si="58"/>
        <v>0.05</v>
      </c>
      <c r="AX229" s="240">
        <f t="shared" si="59"/>
        <v>0</v>
      </c>
      <c r="AY229" s="241" t="str">
        <f t="shared" si="60"/>
        <v/>
      </c>
      <c r="AZ229" s="242" t="str">
        <f>IFERROR(VLOOKUP(M229,'[1]Base Brasil Obras'!$C$2:$F$485,4,0),"")</f>
        <v/>
      </c>
      <c r="BA229" s="243">
        <f t="shared" si="61"/>
        <v>0</v>
      </c>
      <c r="BB229" s="244">
        <f t="shared" si="62"/>
        <v>0</v>
      </c>
      <c r="BC229" s="244">
        <f t="shared" si="63"/>
        <v>0.05</v>
      </c>
      <c r="BD229" s="245">
        <f t="shared" si="64"/>
        <v>0.95</v>
      </c>
      <c r="BE229" s="246">
        <f t="shared" si="65"/>
        <v>0</v>
      </c>
      <c r="BF229" s="247">
        <v>0</v>
      </c>
      <c r="BG229" s="248">
        <f t="shared" si="66"/>
        <v>1</v>
      </c>
      <c r="BH229" s="198"/>
      <c r="BI229" s="198"/>
      <c r="BJ229" s="199"/>
      <c r="BK229" s="200"/>
      <c r="BL229" s="200"/>
      <c r="BM229" s="200"/>
      <c r="BN229" s="200"/>
      <c r="BO229" s="10"/>
    </row>
    <row r="230" spans="1:67" ht="18" x14ac:dyDescent="0.25">
      <c r="A230" s="201">
        <v>122</v>
      </c>
      <c r="B230" s="286"/>
      <c r="C230" s="203">
        <f t="shared" si="34"/>
        <v>0</v>
      </c>
      <c r="D230" s="204"/>
      <c r="E230" s="204"/>
      <c r="F230" s="207"/>
      <c r="G230" s="206"/>
      <c r="H230" s="207"/>
      <c r="I230" s="208" t="s">
        <v>125</v>
      </c>
      <c r="J230" s="208" t="s">
        <v>126</v>
      </c>
      <c r="K230" s="287"/>
      <c r="L230" s="288"/>
      <c r="M230" s="289"/>
      <c r="N230" s="257"/>
      <c r="O230" s="213"/>
      <c r="P230" s="214"/>
      <c r="Q230" s="214"/>
      <c r="R230" s="214"/>
      <c r="S230" s="214"/>
      <c r="T230" s="214"/>
      <c r="U230" s="215">
        <f t="shared" si="35"/>
        <v>0</v>
      </c>
      <c r="V230" s="216" t="str">
        <f t="shared" si="36"/>
        <v/>
      </c>
      <c r="W230" s="217" t="str">
        <f t="shared" si="37"/>
        <v/>
      </c>
      <c r="X230" s="218" t="s">
        <v>20</v>
      </c>
      <c r="Y230" s="219" t="str">
        <f t="shared" si="38"/>
        <v>0 um/Dia</v>
      </c>
      <c r="Z230" s="220" t="str">
        <f t="shared" si="39"/>
        <v xml:space="preserve"> um / HH</v>
      </c>
      <c r="AA230" s="221" t="str">
        <f t="shared" si="40"/>
        <v/>
      </c>
      <c r="AB230" s="222" t="str">
        <f t="shared" si="41"/>
        <v>0 um /HH</v>
      </c>
      <c r="AC230" s="223">
        <f t="shared" si="42"/>
        <v>0</v>
      </c>
      <c r="AD230" s="224"/>
      <c r="AE230" s="225"/>
      <c r="AF230" s="226">
        <f t="shared" si="43"/>
        <v>0</v>
      </c>
      <c r="AG230" s="227">
        <f t="shared" si="44"/>
        <v>0</v>
      </c>
      <c r="AH230" s="228" t="s">
        <v>25</v>
      </c>
      <c r="AI230" s="229" t="str">
        <f t="shared" si="45"/>
        <v>Extremamente Complexa</v>
      </c>
      <c r="AJ230" s="230" t="str">
        <f t="shared" si="46"/>
        <v>Normal</v>
      </c>
      <c r="AK230" s="231">
        <f t="shared" si="47"/>
        <v>0</v>
      </c>
      <c r="AL230" s="232" t="str">
        <f t="shared" si="48"/>
        <v/>
      </c>
      <c r="AM230" s="233" t="str">
        <f t="shared" si="49"/>
        <v/>
      </c>
      <c r="AN230" s="233" t="str">
        <f t="shared" si="50"/>
        <v/>
      </c>
      <c r="AO230" s="234">
        <f t="shared" si="51"/>
        <v>0</v>
      </c>
      <c r="AP230" s="235">
        <f t="shared" si="67"/>
        <v>1</v>
      </c>
      <c r="AQ230" s="235">
        <f t="shared" si="67"/>
        <v>1</v>
      </c>
      <c r="AR230" s="236">
        <f t="shared" si="53"/>
        <v>1</v>
      </c>
      <c r="AS230" s="251">
        <f t="shared" si="54"/>
        <v>0</v>
      </c>
      <c r="AT230" s="238">
        <f t="shared" si="55"/>
        <v>0</v>
      </c>
      <c r="AU230" s="239">
        <f t="shared" si="56"/>
        <v>0</v>
      </c>
      <c r="AV230" s="239">
        <f t="shared" si="57"/>
        <v>0</v>
      </c>
      <c r="AW230" s="239">
        <f t="shared" si="58"/>
        <v>0.05</v>
      </c>
      <c r="AX230" s="240">
        <f t="shared" si="59"/>
        <v>0</v>
      </c>
      <c r="AY230" s="241" t="str">
        <f t="shared" si="60"/>
        <v/>
      </c>
      <c r="AZ230" s="242" t="str">
        <f>IFERROR(VLOOKUP(M230,'[1]Base Brasil Obras'!$C$2:$F$485,4,0),"")</f>
        <v/>
      </c>
      <c r="BA230" s="243">
        <f t="shared" si="61"/>
        <v>0</v>
      </c>
      <c r="BB230" s="244">
        <f t="shared" si="62"/>
        <v>0</v>
      </c>
      <c r="BC230" s="244">
        <f t="shared" si="63"/>
        <v>0.05</v>
      </c>
      <c r="BD230" s="245">
        <f t="shared" si="64"/>
        <v>0.95</v>
      </c>
      <c r="BE230" s="246">
        <f t="shared" si="65"/>
        <v>0</v>
      </c>
      <c r="BF230" s="247">
        <v>0</v>
      </c>
      <c r="BG230" s="248">
        <f t="shared" si="66"/>
        <v>1</v>
      </c>
      <c r="BH230" s="198"/>
      <c r="BI230" s="198"/>
      <c r="BJ230" s="199"/>
      <c r="BK230" s="200"/>
      <c r="BL230" s="200"/>
      <c r="BM230" s="200"/>
      <c r="BN230" s="200"/>
      <c r="BO230" s="10"/>
    </row>
    <row r="231" spans="1:67" ht="18" x14ac:dyDescent="0.25">
      <c r="A231" s="201">
        <v>123</v>
      </c>
      <c r="B231" s="286"/>
      <c r="C231" s="203">
        <f t="shared" si="34"/>
        <v>0</v>
      </c>
      <c r="D231" s="204"/>
      <c r="E231" s="204"/>
      <c r="F231" s="207"/>
      <c r="G231" s="206"/>
      <c r="H231" s="207"/>
      <c r="I231" s="208" t="s">
        <v>125</v>
      </c>
      <c r="J231" s="208" t="s">
        <v>126</v>
      </c>
      <c r="K231" s="287"/>
      <c r="L231" s="288"/>
      <c r="M231" s="289"/>
      <c r="N231" s="257"/>
      <c r="O231" s="213"/>
      <c r="P231" s="214"/>
      <c r="Q231" s="214"/>
      <c r="R231" s="214"/>
      <c r="S231" s="214"/>
      <c r="T231" s="214"/>
      <c r="U231" s="215">
        <f t="shared" si="35"/>
        <v>0</v>
      </c>
      <c r="V231" s="216" t="str">
        <f t="shared" si="36"/>
        <v/>
      </c>
      <c r="W231" s="217" t="str">
        <f t="shared" si="37"/>
        <v/>
      </c>
      <c r="X231" s="218" t="s">
        <v>20</v>
      </c>
      <c r="Y231" s="219" t="str">
        <f t="shared" si="38"/>
        <v>0 um/Dia</v>
      </c>
      <c r="Z231" s="220" t="str">
        <f t="shared" si="39"/>
        <v xml:space="preserve"> um / HH</v>
      </c>
      <c r="AA231" s="221" t="str">
        <f t="shared" si="40"/>
        <v/>
      </c>
      <c r="AB231" s="222" t="str">
        <f t="shared" si="41"/>
        <v>0 um /HH</v>
      </c>
      <c r="AC231" s="223">
        <f t="shared" si="42"/>
        <v>0</v>
      </c>
      <c r="AD231" s="224"/>
      <c r="AE231" s="225"/>
      <c r="AF231" s="226">
        <f t="shared" si="43"/>
        <v>0</v>
      </c>
      <c r="AG231" s="227">
        <f t="shared" si="44"/>
        <v>0</v>
      </c>
      <c r="AH231" s="228" t="s">
        <v>25</v>
      </c>
      <c r="AI231" s="229" t="str">
        <f t="shared" si="45"/>
        <v>Extremamente Complexa</v>
      </c>
      <c r="AJ231" s="230" t="str">
        <f t="shared" si="46"/>
        <v>Normal</v>
      </c>
      <c r="AK231" s="231">
        <f t="shared" si="47"/>
        <v>0</v>
      </c>
      <c r="AL231" s="232" t="str">
        <f t="shared" si="48"/>
        <v/>
      </c>
      <c r="AM231" s="233" t="str">
        <f t="shared" si="49"/>
        <v/>
      </c>
      <c r="AN231" s="233" t="str">
        <f t="shared" si="50"/>
        <v/>
      </c>
      <c r="AO231" s="234">
        <f t="shared" si="51"/>
        <v>0</v>
      </c>
      <c r="AP231" s="235">
        <f t="shared" si="67"/>
        <v>1</v>
      </c>
      <c r="AQ231" s="235">
        <f t="shared" si="67"/>
        <v>1</v>
      </c>
      <c r="AR231" s="235">
        <f t="shared" si="53"/>
        <v>1</v>
      </c>
      <c r="AS231" s="252">
        <f t="shared" si="54"/>
        <v>0</v>
      </c>
      <c r="AT231" s="238">
        <f t="shared" si="55"/>
        <v>0</v>
      </c>
      <c r="AU231" s="239">
        <f t="shared" si="56"/>
        <v>0</v>
      </c>
      <c r="AV231" s="239">
        <f t="shared" si="57"/>
        <v>0</v>
      </c>
      <c r="AW231" s="239">
        <f t="shared" si="58"/>
        <v>0.05</v>
      </c>
      <c r="AX231" s="240">
        <f t="shared" si="59"/>
        <v>0</v>
      </c>
      <c r="AY231" s="241" t="str">
        <f t="shared" si="60"/>
        <v/>
      </c>
      <c r="AZ231" s="242" t="str">
        <f>IFERROR(VLOOKUP(M231,'[1]Base Brasil Obras'!$C$2:$F$485,4,0),"")</f>
        <v/>
      </c>
      <c r="BA231" s="243">
        <f t="shared" si="61"/>
        <v>0</v>
      </c>
      <c r="BB231" s="244">
        <f t="shared" si="62"/>
        <v>0</v>
      </c>
      <c r="BC231" s="244">
        <f t="shared" si="63"/>
        <v>0.05</v>
      </c>
      <c r="BD231" s="245">
        <f t="shared" si="64"/>
        <v>0.95</v>
      </c>
      <c r="BE231" s="246">
        <f t="shared" si="65"/>
        <v>0</v>
      </c>
      <c r="BF231" s="247">
        <v>0</v>
      </c>
      <c r="BG231" s="248">
        <f t="shared" si="66"/>
        <v>1</v>
      </c>
      <c r="BH231" s="198"/>
      <c r="BI231" s="198"/>
      <c r="BJ231" s="199"/>
      <c r="BK231" s="200"/>
      <c r="BL231" s="200"/>
      <c r="BM231" s="200"/>
      <c r="BN231" s="200"/>
      <c r="BO231" s="10"/>
    </row>
    <row r="232" spans="1:67" ht="18" x14ac:dyDescent="0.25">
      <c r="A232" s="201">
        <v>124</v>
      </c>
      <c r="B232" s="286"/>
      <c r="C232" s="203">
        <f t="shared" si="34"/>
        <v>0</v>
      </c>
      <c r="D232" s="204"/>
      <c r="E232" s="204"/>
      <c r="F232" s="207"/>
      <c r="G232" s="206"/>
      <c r="H232" s="207"/>
      <c r="I232" s="208" t="s">
        <v>125</v>
      </c>
      <c r="J232" s="208" t="s">
        <v>126</v>
      </c>
      <c r="K232" s="287"/>
      <c r="L232" s="288"/>
      <c r="M232" s="289"/>
      <c r="N232" s="257"/>
      <c r="O232" s="213"/>
      <c r="P232" s="214"/>
      <c r="Q232" s="214"/>
      <c r="R232" s="214"/>
      <c r="S232" s="214"/>
      <c r="T232" s="214"/>
      <c r="U232" s="215">
        <f t="shared" si="35"/>
        <v>0</v>
      </c>
      <c r="V232" s="216" t="str">
        <f t="shared" si="36"/>
        <v/>
      </c>
      <c r="W232" s="217" t="str">
        <f t="shared" si="37"/>
        <v/>
      </c>
      <c r="X232" s="218" t="s">
        <v>20</v>
      </c>
      <c r="Y232" s="219" t="str">
        <f t="shared" si="38"/>
        <v>0 um/Dia</v>
      </c>
      <c r="Z232" s="220" t="str">
        <f t="shared" si="39"/>
        <v xml:space="preserve"> um / HH</v>
      </c>
      <c r="AA232" s="221" t="str">
        <f t="shared" si="40"/>
        <v/>
      </c>
      <c r="AB232" s="222" t="str">
        <f t="shared" si="41"/>
        <v>0 um /HH</v>
      </c>
      <c r="AC232" s="223">
        <f t="shared" si="42"/>
        <v>0</v>
      </c>
      <c r="AD232" s="224"/>
      <c r="AE232" s="225"/>
      <c r="AF232" s="226">
        <f t="shared" si="43"/>
        <v>0</v>
      </c>
      <c r="AG232" s="227">
        <f t="shared" si="44"/>
        <v>0</v>
      </c>
      <c r="AH232" s="228" t="s">
        <v>25</v>
      </c>
      <c r="AI232" s="229" t="str">
        <f t="shared" si="45"/>
        <v>Extremamente Complexa</v>
      </c>
      <c r="AJ232" s="230" t="str">
        <f t="shared" si="46"/>
        <v>Normal</v>
      </c>
      <c r="AK232" s="231">
        <f t="shared" si="47"/>
        <v>0</v>
      </c>
      <c r="AL232" s="232" t="str">
        <f t="shared" si="48"/>
        <v/>
      </c>
      <c r="AM232" s="233" t="str">
        <f t="shared" si="49"/>
        <v/>
      </c>
      <c r="AN232" s="233" t="str">
        <f t="shared" si="50"/>
        <v/>
      </c>
      <c r="AO232" s="234">
        <f t="shared" si="51"/>
        <v>0</v>
      </c>
      <c r="AP232" s="235">
        <f t="shared" si="67"/>
        <v>1</v>
      </c>
      <c r="AQ232" s="235">
        <f t="shared" si="67"/>
        <v>1</v>
      </c>
      <c r="AR232" s="236">
        <f t="shared" si="53"/>
        <v>1</v>
      </c>
      <c r="AS232" s="251">
        <f t="shared" si="54"/>
        <v>0</v>
      </c>
      <c r="AT232" s="238">
        <f t="shared" si="55"/>
        <v>0</v>
      </c>
      <c r="AU232" s="239">
        <f t="shared" si="56"/>
        <v>0</v>
      </c>
      <c r="AV232" s="239">
        <f t="shared" si="57"/>
        <v>0</v>
      </c>
      <c r="AW232" s="239">
        <f t="shared" si="58"/>
        <v>0.05</v>
      </c>
      <c r="AX232" s="240">
        <f t="shared" si="59"/>
        <v>0</v>
      </c>
      <c r="AY232" s="241" t="str">
        <f t="shared" si="60"/>
        <v/>
      </c>
      <c r="AZ232" s="242" t="str">
        <f>IFERROR(VLOOKUP(M232,'[1]Base Brasil Obras'!$C$2:$F$485,4,0),"")</f>
        <v/>
      </c>
      <c r="BA232" s="243">
        <f t="shared" si="61"/>
        <v>0</v>
      </c>
      <c r="BB232" s="244">
        <f t="shared" si="62"/>
        <v>0</v>
      </c>
      <c r="BC232" s="244">
        <f t="shared" si="63"/>
        <v>0.05</v>
      </c>
      <c r="BD232" s="245">
        <f t="shared" si="64"/>
        <v>0.95</v>
      </c>
      <c r="BE232" s="246">
        <f t="shared" si="65"/>
        <v>0</v>
      </c>
      <c r="BF232" s="247">
        <v>0</v>
      </c>
      <c r="BG232" s="248">
        <f t="shared" si="66"/>
        <v>1</v>
      </c>
      <c r="BH232" s="198"/>
      <c r="BI232" s="198"/>
      <c r="BJ232" s="199"/>
      <c r="BK232" s="200"/>
      <c r="BL232" s="200"/>
      <c r="BM232" s="200"/>
      <c r="BN232" s="200"/>
      <c r="BO232" s="10"/>
    </row>
    <row r="233" spans="1:67" ht="18" x14ac:dyDescent="0.25">
      <c r="A233" s="201">
        <v>125</v>
      </c>
      <c r="B233" s="286"/>
      <c r="C233" s="203">
        <f t="shared" si="34"/>
        <v>0</v>
      </c>
      <c r="D233" s="204"/>
      <c r="E233" s="204"/>
      <c r="F233" s="207"/>
      <c r="G233" s="206"/>
      <c r="H233" s="207"/>
      <c r="I233" s="208" t="s">
        <v>125</v>
      </c>
      <c r="J233" s="208" t="s">
        <v>126</v>
      </c>
      <c r="K233" s="287"/>
      <c r="L233" s="288"/>
      <c r="M233" s="289"/>
      <c r="N233" s="257"/>
      <c r="O233" s="213"/>
      <c r="P233" s="214"/>
      <c r="Q233" s="214"/>
      <c r="R233" s="214"/>
      <c r="S233" s="214"/>
      <c r="T233" s="214"/>
      <c r="U233" s="215">
        <f t="shared" si="35"/>
        <v>0</v>
      </c>
      <c r="V233" s="216" t="str">
        <f t="shared" si="36"/>
        <v/>
      </c>
      <c r="W233" s="217" t="str">
        <f t="shared" si="37"/>
        <v/>
      </c>
      <c r="X233" s="218" t="s">
        <v>20</v>
      </c>
      <c r="Y233" s="219" t="str">
        <f t="shared" si="38"/>
        <v>0 um/Dia</v>
      </c>
      <c r="Z233" s="220" t="str">
        <f t="shared" si="39"/>
        <v xml:space="preserve"> um / HH</v>
      </c>
      <c r="AA233" s="221" t="str">
        <f t="shared" si="40"/>
        <v/>
      </c>
      <c r="AB233" s="222" t="str">
        <f t="shared" si="41"/>
        <v>0 um /HH</v>
      </c>
      <c r="AC233" s="223">
        <f t="shared" si="42"/>
        <v>0</v>
      </c>
      <c r="AD233" s="224"/>
      <c r="AE233" s="225"/>
      <c r="AF233" s="226">
        <f t="shared" si="43"/>
        <v>0</v>
      </c>
      <c r="AG233" s="227">
        <f t="shared" si="44"/>
        <v>0</v>
      </c>
      <c r="AH233" s="228" t="s">
        <v>25</v>
      </c>
      <c r="AI233" s="229" t="str">
        <f t="shared" si="45"/>
        <v>Extremamente Complexa</v>
      </c>
      <c r="AJ233" s="230" t="str">
        <f t="shared" si="46"/>
        <v>Normal</v>
      </c>
      <c r="AK233" s="231">
        <f t="shared" si="47"/>
        <v>0</v>
      </c>
      <c r="AL233" s="232" t="str">
        <f t="shared" si="48"/>
        <v/>
      </c>
      <c r="AM233" s="233" t="str">
        <f t="shared" si="49"/>
        <v/>
      </c>
      <c r="AN233" s="233" t="str">
        <f t="shared" si="50"/>
        <v/>
      </c>
      <c r="AO233" s="234">
        <f t="shared" si="51"/>
        <v>0</v>
      </c>
      <c r="AP233" s="235">
        <f t="shared" si="67"/>
        <v>1</v>
      </c>
      <c r="AQ233" s="235">
        <f t="shared" si="67"/>
        <v>1</v>
      </c>
      <c r="AR233" s="235">
        <f t="shared" si="53"/>
        <v>1</v>
      </c>
      <c r="AS233" s="252">
        <f t="shared" si="54"/>
        <v>0</v>
      </c>
      <c r="AT233" s="238">
        <f t="shared" si="55"/>
        <v>0</v>
      </c>
      <c r="AU233" s="239">
        <f t="shared" si="56"/>
        <v>0</v>
      </c>
      <c r="AV233" s="239">
        <f t="shared" si="57"/>
        <v>0</v>
      </c>
      <c r="AW233" s="239">
        <f t="shared" si="58"/>
        <v>0.05</v>
      </c>
      <c r="AX233" s="240">
        <f t="shared" si="59"/>
        <v>0</v>
      </c>
      <c r="AY233" s="241" t="str">
        <f t="shared" si="60"/>
        <v/>
      </c>
      <c r="AZ233" s="242" t="str">
        <f>IFERROR(VLOOKUP(M233,'[1]Base Brasil Obras'!$C$2:$F$485,4,0),"")</f>
        <v/>
      </c>
      <c r="BA233" s="243">
        <f t="shared" si="61"/>
        <v>0</v>
      </c>
      <c r="BB233" s="244">
        <f t="shared" si="62"/>
        <v>0</v>
      </c>
      <c r="BC233" s="244">
        <f t="shared" si="63"/>
        <v>0.05</v>
      </c>
      <c r="BD233" s="245">
        <f t="shared" si="64"/>
        <v>0.95</v>
      </c>
      <c r="BE233" s="246">
        <f t="shared" si="65"/>
        <v>0</v>
      </c>
      <c r="BF233" s="247">
        <v>0</v>
      </c>
      <c r="BG233" s="248">
        <f t="shared" si="66"/>
        <v>1</v>
      </c>
      <c r="BH233" s="198"/>
      <c r="BI233" s="198"/>
      <c r="BJ233" s="199"/>
      <c r="BK233" s="200"/>
      <c r="BL233" s="200"/>
      <c r="BM233" s="200"/>
      <c r="BN233" s="200"/>
      <c r="BO233" s="10"/>
    </row>
    <row r="234" spans="1:67" ht="18" customHeight="1" x14ac:dyDescent="0.25">
      <c r="A234" s="201">
        <v>126</v>
      </c>
      <c r="B234" s="286"/>
      <c r="C234" s="203">
        <f t="shared" si="34"/>
        <v>0</v>
      </c>
      <c r="D234" s="204"/>
      <c r="E234" s="204"/>
      <c r="F234" s="207"/>
      <c r="G234" s="206"/>
      <c r="H234" s="207"/>
      <c r="I234" s="208" t="s">
        <v>125</v>
      </c>
      <c r="J234" s="208" t="s">
        <v>126</v>
      </c>
      <c r="K234" s="287"/>
      <c r="L234" s="288"/>
      <c r="M234" s="289"/>
      <c r="N234" s="257"/>
      <c r="O234" s="213"/>
      <c r="P234" s="214"/>
      <c r="Q234" s="214"/>
      <c r="R234" s="214"/>
      <c r="S234" s="214"/>
      <c r="T234" s="214"/>
      <c r="U234" s="215">
        <f t="shared" si="35"/>
        <v>0</v>
      </c>
      <c r="V234" s="216" t="str">
        <f t="shared" si="36"/>
        <v/>
      </c>
      <c r="W234" s="217" t="str">
        <f t="shared" si="37"/>
        <v/>
      </c>
      <c r="X234" s="218" t="s">
        <v>20</v>
      </c>
      <c r="Y234" s="219" t="str">
        <f t="shared" si="38"/>
        <v>0 um/Dia</v>
      </c>
      <c r="Z234" s="220" t="str">
        <f t="shared" si="39"/>
        <v xml:space="preserve"> um / HH</v>
      </c>
      <c r="AA234" s="221" t="str">
        <f t="shared" si="40"/>
        <v/>
      </c>
      <c r="AB234" s="222" t="str">
        <f t="shared" si="41"/>
        <v>0 um /HH</v>
      </c>
      <c r="AC234" s="223">
        <f t="shared" si="42"/>
        <v>0</v>
      </c>
      <c r="AD234" s="224"/>
      <c r="AE234" s="225"/>
      <c r="AF234" s="226">
        <f t="shared" si="43"/>
        <v>0</v>
      </c>
      <c r="AG234" s="227">
        <f t="shared" si="44"/>
        <v>0</v>
      </c>
      <c r="AH234" s="228" t="s">
        <v>25</v>
      </c>
      <c r="AI234" s="229" t="str">
        <f t="shared" si="45"/>
        <v>Extremamente Complexa</v>
      </c>
      <c r="AJ234" s="230" t="str">
        <f t="shared" si="46"/>
        <v>Normal</v>
      </c>
      <c r="AK234" s="231">
        <f t="shared" si="47"/>
        <v>0</v>
      </c>
      <c r="AL234" s="232" t="str">
        <f t="shared" si="48"/>
        <v/>
      </c>
      <c r="AM234" s="233" t="str">
        <f t="shared" si="49"/>
        <v/>
      </c>
      <c r="AN234" s="233" t="str">
        <f t="shared" si="50"/>
        <v/>
      </c>
      <c r="AO234" s="234">
        <f t="shared" si="51"/>
        <v>0</v>
      </c>
      <c r="AP234" s="235">
        <f t="shared" si="67"/>
        <v>1</v>
      </c>
      <c r="AQ234" s="235">
        <f t="shared" si="67"/>
        <v>1</v>
      </c>
      <c r="AR234" s="236">
        <f t="shared" si="53"/>
        <v>1</v>
      </c>
      <c r="AS234" s="251">
        <f t="shared" si="54"/>
        <v>0</v>
      </c>
      <c r="AT234" s="238">
        <f t="shared" si="55"/>
        <v>0</v>
      </c>
      <c r="AU234" s="239">
        <f t="shared" si="56"/>
        <v>0</v>
      </c>
      <c r="AV234" s="239">
        <f t="shared" si="57"/>
        <v>0</v>
      </c>
      <c r="AW234" s="239">
        <f t="shared" si="58"/>
        <v>0.05</v>
      </c>
      <c r="AX234" s="240">
        <f t="shared" si="59"/>
        <v>0</v>
      </c>
      <c r="AY234" s="241" t="str">
        <f t="shared" si="60"/>
        <v/>
      </c>
      <c r="AZ234" s="242" t="str">
        <f>IFERROR(VLOOKUP(M234,'[1]Base Brasil Obras'!$C$2:$F$485,4,0),"")</f>
        <v/>
      </c>
      <c r="BA234" s="243">
        <f t="shared" si="61"/>
        <v>0</v>
      </c>
      <c r="BB234" s="244">
        <f t="shared" si="62"/>
        <v>0</v>
      </c>
      <c r="BC234" s="244">
        <f t="shared" si="63"/>
        <v>0.05</v>
      </c>
      <c r="BD234" s="245">
        <f t="shared" si="64"/>
        <v>0.95</v>
      </c>
      <c r="BE234" s="246">
        <f t="shared" si="65"/>
        <v>0</v>
      </c>
      <c r="BF234" s="247">
        <v>0</v>
      </c>
      <c r="BG234" s="248">
        <f t="shared" si="66"/>
        <v>1</v>
      </c>
      <c r="BH234" s="198"/>
      <c r="BI234" s="198"/>
      <c r="BJ234" s="199"/>
      <c r="BK234" s="200"/>
      <c r="BL234" s="200"/>
      <c r="BM234" s="200"/>
      <c r="BN234" s="200"/>
      <c r="BO234" s="10"/>
    </row>
    <row r="235" spans="1:67" ht="18" customHeight="1" x14ac:dyDescent="0.25">
      <c r="A235" s="201">
        <v>127</v>
      </c>
      <c r="B235" s="286"/>
      <c r="C235" s="203">
        <f t="shared" si="34"/>
        <v>0</v>
      </c>
      <c r="D235" s="204"/>
      <c r="E235" s="204"/>
      <c r="F235" s="207"/>
      <c r="G235" s="206"/>
      <c r="H235" s="207"/>
      <c r="I235" s="208" t="s">
        <v>125</v>
      </c>
      <c r="J235" s="208" t="s">
        <v>126</v>
      </c>
      <c r="K235" s="287"/>
      <c r="L235" s="288"/>
      <c r="M235" s="289"/>
      <c r="N235" s="257"/>
      <c r="O235" s="213"/>
      <c r="P235" s="214"/>
      <c r="Q235" s="214"/>
      <c r="R235" s="214"/>
      <c r="S235" s="214"/>
      <c r="T235" s="214"/>
      <c r="U235" s="215">
        <f t="shared" si="35"/>
        <v>0</v>
      </c>
      <c r="V235" s="216" t="str">
        <f t="shared" si="36"/>
        <v/>
      </c>
      <c r="W235" s="217" t="str">
        <f t="shared" si="37"/>
        <v/>
      </c>
      <c r="X235" s="218" t="s">
        <v>20</v>
      </c>
      <c r="Y235" s="219" t="str">
        <f t="shared" si="38"/>
        <v>0 um/Dia</v>
      </c>
      <c r="Z235" s="220" t="str">
        <f t="shared" si="39"/>
        <v xml:space="preserve"> um / HH</v>
      </c>
      <c r="AA235" s="221" t="str">
        <f t="shared" si="40"/>
        <v/>
      </c>
      <c r="AB235" s="222" t="str">
        <f t="shared" si="41"/>
        <v>0 um /HH</v>
      </c>
      <c r="AC235" s="223">
        <f t="shared" si="42"/>
        <v>0</v>
      </c>
      <c r="AD235" s="224"/>
      <c r="AE235" s="225"/>
      <c r="AF235" s="226">
        <f t="shared" si="43"/>
        <v>0</v>
      </c>
      <c r="AG235" s="227">
        <f t="shared" si="44"/>
        <v>0</v>
      </c>
      <c r="AH235" s="228" t="s">
        <v>25</v>
      </c>
      <c r="AI235" s="229" t="str">
        <f t="shared" si="45"/>
        <v>Extremamente Complexa</v>
      </c>
      <c r="AJ235" s="230" t="str">
        <f t="shared" si="46"/>
        <v>Normal</v>
      </c>
      <c r="AK235" s="231">
        <f t="shared" si="47"/>
        <v>0</v>
      </c>
      <c r="AL235" s="232" t="str">
        <f t="shared" si="48"/>
        <v/>
      </c>
      <c r="AM235" s="233" t="str">
        <f t="shared" si="49"/>
        <v/>
      </c>
      <c r="AN235" s="233" t="str">
        <f t="shared" si="50"/>
        <v/>
      </c>
      <c r="AO235" s="234">
        <f t="shared" si="51"/>
        <v>0</v>
      </c>
      <c r="AP235" s="235">
        <f t="shared" si="67"/>
        <v>1</v>
      </c>
      <c r="AQ235" s="235">
        <f t="shared" si="67"/>
        <v>1</v>
      </c>
      <c r="AR235" s="235">
        <f t="shared" si="53"/>
        <v>1</v>
      </c>
      <c r="AS235" s="252">
        <f t="shared" si="54"/>
        <v>0</v>
      </c>
      <c r="AT235" s="238">
        <f t="shared" si="55"/>
        <v>0</v>
      </c>
      <c r="AU235" s="239">
        <f t="shared" si="56"/>
        <v>0</v>
      </c>
      <c r="AV235" s="239">
        <f t="shared" si="57"/>
        <v>0</v>
      </c>
      <c r="AW235" s="239">
        <f t="shared" si="58"/>
        <v>0.05</v>
      </c>
      <c r="AX235" s="240">
        <f t="shared" si="59"/>
        <v>0</v>
      </c>
      <c r="AY235" s="241" t="str">
        <f t="shared" si="60"/>
        <v/>
      </c>
      <c r="AZ235" s="242" t="str">
        <f>IFERROR(VLOOKUP(M235,'[1]Base Brasil Obras'!$C$2:$F$485,4,0),"")</f>
        <v/>
      </c>
      <c r="BA235" s="243">
        <f t="shared" si="61"/>
        <v>0</v>
      </c>
      <c r="BB235" s="244">
        <f t="shared" si="62"/>
        <v>0</v>
      </c>
      <c r="BC235" s="244">
        <f t="shared" si="63"/>
        <v>0.05</v>
      </c>
      <c r="BD235" s="245">
        <f t="shared" si="64"/>
        <v>0.95</v>
      </c>
      <c r="BE235" s="246">
        <f t="shared" si="65"/>
        <v>0</v>
      </c>
      <c r="BF235" s="247">
        <v>0</v>
      </c>
      <c r="BG235" s="248">
        <f t="shared" si="66"/>
        <v>1</v>
      </c>
      <c r="BH235" s="198"/>
      <c r="BI235" s="198"/>
      <c r="BJ235" s="199"/>
      <c r="BK235" s="200"/>
      <c r="BL235" s="200"/>
      <c r="BM235" s="200"/>
      <c r="BN235" s="200"/>
      <c r="BO235" s="10"/>
    </row>
    <row r="236" spans="1:67" ht="18" customHeight="1" x14ac:dyDescent="0.25">
      <c r="A236" s="201">
        <v>128</v>
      </c>
      <c r="B236" s="286"/>
      <c r="C236" s="203">
        <f t="shared" si="34"/>
        <v>0</v>
      </c>
      <c r="D236" s="204"/>
      <c r="E236" s="204"/>
      <c r="F236" s="207"/>
      <c r="G236" s="206"/>
      <c r="H236" s="207"/>
      <c r="I236" s="208" t="s">
        <v>125</v>
      </c>
      <c r="J236" s="208" t="s">
        <v>126</v>
      </c>
      <c r="K236" s="287"/>
      <c r="L236" s="288"/>
      <c r="M236" s="289"/>
      <c r="N236" s="257"/>
      <c r="O236" s="213"/>
      <c r="P236" s="214"/>
      <c r="Q236" s="214"/>
      <c r="R236" s="214"/>
      <c r="S236" s="214"/>
      <c r="T236" s="214"/>
      <c r="U236" s="215">
        <f t="shared" si="35"/>
        <v>0</v>
      </c>
      <c r="V236" s="216" t="str">
        <f t="shared" si="36"/>
        <v/>
      </c>
      <c r="W236" s="217" t="str">
        <f t="shared" si="37"/>
        <v/>
      </c>
      <c r="X236" s="218" t="s">
        <v>20</v>
      </c>
      <c r="Y236" s="219" t="str">
        <f t="shared" si="38"/>
        <v>0 um/Dia</v>
      </c>
      <c r="Z236" s="220" t="str">
        <f t="shared" si="39"/>
        <v xml:space="preserve"> um / HH</v>
      </c>
      <c r="AA236" s="221" t="str">
        <f t="shared" si="40"/>
        <v/>
      </c>
      <c r="AB236" s="222" t="str">
        <f t="shared" si="41"/>
        <v>0 um /HH</v>
      </c>
      <c r="AC236" s="223">
        <f t="shared" si="42"/>
        <v>0</v>
      </c>
      <c r="AD236" s="224"/>
      <c r="AE236" s="225"/>
      <c r="AF236" s="226">
        <f t="shared" si="43"/>
        <v>0</v>
      </c>
      <c r="AG236" s="227">
        <f t="shared" si="44"/>
        <v>0</v>
      </c>
      <c r="AH236" s="228" t="s">
        <v>25</v>
      </c>
      <c r="AI236" s="229" t="str">
        <f t="shared" si="45"/>
        <v>Extremamente Complexa</v>
      </c>
      <c r="AJ236" s="230" t="str">
        <f t="shared" si="46"/>
        <v>Normal</v>
      </c>
      <c r="AK236" s="231">
        <f t="shared" si="47"/>
        <v>0</v>
      </c>
      <c r="AL236" s="232" t="str">
        <f t="shared" si="48"/>
        <v/>
      </c>
      <c r="AM236" s="233" t="str">
        <f t="shared" si="49"/>
        <v/>
      </c>
      <c r="AN236" s="233" t="str">
        <f t="shared" si="50"/>
        <v/>
      </c>
      <c r="AO236" s="234">
        <f t="shared" si="51"/>
        <v>0</v>
      </c>
      <c r="AP236" s="235">
        <f t="shared" si="67"/>
        <v>1</v>
      </c>
      <c r="AQ236" s="235">
        <f t="shared" si="67"/>
        <v>1</v>
      </c>
      <c r="AR236" s="236">
        <f t="shared" si="53"/>
        <v>1</v>
      </c>
      <c r="AS236" s="251">
        <f t="shared" si="54"/>
        <v>0</v>
      </c>
      <c r="AT236" s="238">
        <f t="shared" si="55"/>
        <v>0</v>
      </c>
      <c r="AU236" s="239">
        <f t="shared" si="56"/>
        <v>0</v>
      </c>
      <c r="AV236" s="239">
        <f t="shared" si="57"/>
        <v>0</v>
      </c>
      <c r="AW236" s="239">
        <f t="shared" si="58"/>
        <v>0.05</v>
      </c>
      <c r="AX236" s="240">
        <f t="shared" si="59"/>
        <v>0</v>
      </c>
      <c r="AY236" s="241" t="str">
        <f t="shared" si="60"/>
        <v/>
      </c>
      <c r="AZ236" s="242" t="str">
        <f>IFERROR(VLOOKUP(M236,'[1]Base Brasil Obras'!$C$2:$F$485,4,0),"")</f>
        <v/>
      </c>
      <c r="BA236" s="243">
        <f t="shared" si="61"/>
        <v>0</v>
      </c>
      <c r="BB236" s="244">
        <f t="shared" si="62"/>
        <v>0</v>
      </c>
      <c r="BC236" s="244">
        <f t="shared" si="63"/>
        <v>0.05</v>
      </c>
      <c r="BD236" s="245">
        <f t="shared" si="64"/>
        <v>0.95</v>
      </c>
      <c r="BE236" s="246">
        <f t="shared" si="65"/>
        <v>0</v>
      </c>
      <c r="BF236" s="247">
        <v>0</v>
      </c>
      <c r="BG236" s="248">
        <f t="shared" si="66"/>
        <v>1</v>
      </c>
      <c r="BH236" s="198"/>
      <c r="BI236" s="198"/>
      <c r="BJ236" s="199"/>
      <c r="BK236" s="200"/>
      <c r="BL236" s="200"/>
      <c r="BM236" s="200"/>
      <c r="BN236" s="200"/>
      <c r="BO236" s="10"/>
    </row>
    <row r="237" spans="1:67" ht="18" customHeight="1" x14ac:dyDescent="0.25">
      <c r="A237" s="201">
        <v>129</v>
      </c>
      <c r="B237" s="286"/>
      <c r="C237" s="203">
        <f t="shared" ref="C237:C300" si="68">IFERROR(AVERAGEIF(P237:T237,"&gt;0,1"),0)</f>
        <v>0</v>
      </c>
      <c r="D237" s="204"/>
      <c r="E237" s="204"/>
      <c r="F237" s="207"/>
      <c r="G237" s="206"/>
      <c r="H237" s="207"/>
      <c r="I237" s="208" t="s">
        <v>125</v>
      </c>
      <c r="J237" s="208" t="s">
        <v>126</v>
      </c>
      <c r="K237" s="287"/>
      <c r="L237" s="288"/>
      <c r="M237" s="289"/>
      <c r="N237" s="257"/>
      <c r="O237" s="213"/>
      <c r="P237" s="214"/>
      <c r="Q237" s="214"/>
      <c r="R237" s="214"/>
      <c r="S237" s="214"/>
      <c r="T237" s="214"/>
      <c r="U237" s="215">
        <f t="shared" ref="U237:U300" si="69">B237*(1-$U$107)</f>
        <v>0</v>
      </c>
      <c r="V237" s="216" t="str">
        <f t="shared" ref="V237:V300" si="70">IF(IFERROR((1-BA237/AX237),"")=0%,"",IFERROR((1-BA237/AX237),""))</f>
        <v/>
      </c>
      <c r="W237" s="217" t="str">
        <f t="shared" ref="W237:W300" si="71">IFERROR(AVERAGEIF(P237:U237,"&gt;0,1"),"")</f>
        <v/>
      </c>
      <c r="X237" s="218" t="s">
        <v>20</v>
      </c>
      <c r="Y237" s="219" t="str">
        <f t="shared" ref="Y237:Y300" si="72">_xlfn.CONCAT(AX237," ",X237,"/","Dia")</f>
        <v>0 um/Dia</v>
      </c>
      <c r="Z237" s="220" t="str">
        <f t="shared" ref="Z237:Z300" si="73">_xlfn.CONCAT(AA237," ",X237," ","/ HH")</f>
        <v xml:space="preserve"> um / HH</v>
      </c>
      <c r="AA237" s="221" t="str">
        <f t="shared" ref="AA237:AA300" si="74">IFERROR(IF(B237=0,"",ROUND(AZ237,2)),0)</f>
        <v/>
      </c>
      <c r="AB237" s="222" t="str">
        <f t="shared" ref="AB237:AB300" si="75">_xlfn.CONCAT(ROUND(AS237,1)," ",X237," /","HH")</f>
        <v>0 um /HH</v>
      </c>
      <c r="AC237" s="223">
        <f t="shared" ref="AC237:AC300" si="76">AD237+AE237</f>
        <v>0</v>
      </c>
      <c r="AD237" s="224"/>
      <c r="AE237" s="225"/>
      <c r="AF237" s="226">
        <f t="shared" ref="AF237:AF300" si="77">IFERROR(O237/AT237,0)/BG237</f>
        <v>0</v>
      </c>
      <c r="AG237" s="227">
        <f t="shared" ref="AG237:AG300" si="78">AF237*AC237*$Z$101*$Y$104</f>
        <v>0</v>
      </c>
      <c r="AH237" s="228" t="s">
        <v>25</v>
      </c>
      <c r="AI237" s="229" t="str">
        <f t="shared" ref="AI237:AI444" si="79">$AI$107</f>
        <v>Extremamente Complexa</v>
      </c>
      <c r="AJ237" s="230" t="str">
        <f t="shared" ref="AJ237:AJ444" si="80">$AJ$107</f>
        <v>Normal</v>
      </c>
      <c r="AK237" s="231">
        <f t="shared" ref="AK237:AK300" si="81">(AG237*(1+0)/$Y$102)*$Y$104</f>
        <v>0</v>
      </c>
      <c r="AL237" s="232" t="str">
        <f t="shared" ref="AL237:AL300" si="82">IFERROR(AD237/AC237,"")</f>
        <v/>
      </c>
      <c r="AM237" s="233" t="str">
        <f t="shared" ref="AM237:AM300" si="83">IFERROR(AK237*AL237,"")</f>
        <v/>
      </c>
      <c r="AN237" s="233" t="str">
        <f t="shared" ref="AN237:AN300" si="84">IFERROR(AK237-AM237,"")</f>
        <v/>
      </c>
      <c r="AO237" s="234">
        <f t="shared" ref="AO237:AO300" si="85">IFERROR(AK237/$AK$107,"")</f>
        <v>0</v>
      </c>
      <c r="AP237" s="235">
        <f t="shared" ref="AP237:AQ268" si="86">IFERROR(VLOOKUP(I237,$J$1070:$K$1089,2,1),0)</f>
        <v>1</v>
      </c>
      <c r="AQ237" s="235">
        <f t="shared" si="86"/>
        <v>1</v>
      </c>
      <c r="AR237" s="235">
        <f t="shared" ref="AR237:AR300" si="87">IF(O237=0,1,IF(I237=0,AQ237,IF(J237=0,AP237,SMALL(AP237:AQ237,1))))</f>
        <v>1</v>
      </c>
      <c r="AS237" s="252">
        <f t="shared" ref="AS237:AS300" si="88">IFERROR(O237/AG237,0)</f>
        <v>0</v>
      </c>
      <c r="AT237" s="238">
        <f t="shared" ref="AT237:AT300" si="89">IF(X237=$X$5,1,AX237)</f>
        <v>0</v>
      </c>
      <c r="AU237" s="239">
        <f t="shared" ref="AU237:AU300" si="90">VLOOKUP(AH237,$AI$66:$AJ$69,2,0)</f>
        <v>0</v>
      </c>
      <c r="AV237" s="239">
        <f t="shared" ref="AV237:AV300" si="91">VLOOKUP(AJ237,$AJ$73:$AK$76,2,1)</f>
        <v>0</v>
      </c>
      <c r="AW237" s="239">
        <f t="shared" ref="AW237:AW300" si="92">VLOOKUP(AI237,$AI$83:$AJ$86,2,0)</f>
        <v>0.05</v>
      </c>
      <c r="AX237" s="240">
        <f t="shared" ref="AX237:AX300" si="93" xml:space="preserve">   ROUND((IFERROR(AVERAGEIF(P237:U237,"&gt;0,1"),0)*BD237),0)</f>
        <v>0</v>
      </c>
      <c r="AY237" s="241" t="str">
        <f t="shared" ref="AY237:AY300" si="94">IFERROR(ROUND(AS237,1)-AA237,"")</f>
        <v/>
      </c>
      <c r="AZ237" s="242" t="str">
        <f>IFERROR(VLOOKUP(M237,'[1]Base Brasil Obras'!$C$2:$F$485,4,0),"")</f>
        <v/>
      </c>
      <c r="BA237" s="243">
        <f t="shared" ref="BA237:BA300" si="95">B237*(1-$U$107)</f>
        <v>0</v>
      </c>
      <c r="BB237" s="244">
        <f t="shared" ref="BB237:BB300" si="96">1-AR237</f>
        <v>0</v>
      </c>
      <c r="BC237" s="244">
        <f t="shared" ref="BC237:BC300" si="97">AU237+AV237+AW237</f>
        <v>0.05</v>
      </c>
      <c r="BD237" s="245">
        <f t="shared" ref="BD237:BD300" si="98">1-(BB237+BC237)</f>
        <v>0.95</v>
      </c>
      <c r="BE237" s="246">
        <f t="shared" ref="BE237:BE300" si="99">IFERROR(B237/(AC237*$Z$101),0)</f>
        <v>0</v>
      </c>
      <c r="BF237" s="247">
        <v>0</v>
      </c>
      <c r="BG237" s="248">
        <f t="shared" ref="BG237:BG300" si="100">IFERROR(AC237/BF237,1)</f>
        <v>1</v>
      </c>
      <c r="BH237" s="198"/>
      <c r="BI237" s="198"/>
      <c r="BJ237" s="199"/>
      <c r="BK237" s="200"/>
      <c r="BL237" s="200"/>
      <c r="BM237" s="200"/>
      <c r="BN237" s="200"/>
      <c r="BO237" s="10"/>
    </row>
    <row r="238" spans="1:67" ht="18" customHeight="1" x14ac:dyDescent="0.25">
      <c r="A238" s="201">
        <v>130</v>
      </c>
      <c r="B238" s="286"/>
      <c r="C238" s="203">
        <f t="shared" si="68"/>
        <v>0</v>
      </c>
      <c r="D238" s="204"/>
      <c r="E238" s="204"/>
      <c r="F238" s="207"/>
      <c r="G238" s="206"/>
      <c r="H238" s="207"/>
      <c r="I238" s="208" t="s">
        <v>125</v>
      </c>
      <c r="J238" s="208" t="s">
        <v>126</v>
      </c>
      <c r="K238" s="287"/>
      <c r="L238" s="288"/>
      <c r="M238" s="289"/>
      <c r="N238" s="257"/>
      <c r="O238" s="213"/>
      <c r="P238" s="214"/>
      <c r="Q238" s="214"/>
      <c r="R238" s="214"/>
      <c r="S238" s="214"/>
      <c r="T238" s="214"/>
      <c r="U238" s="215">
        <f t="shared" si="69"/>
        <v>0</v>
      </c>
      <c r="V238" s="216" t="str">
        <f t="shared" si="70"/>
        <v/>
      </c>
      <c r="W238" s="217" t="str">
        <f t="shared" si="71"/>
        <v/>
      </c>
      <c r="X238" s="218" t="s">
        <v>20</v>
      </c>
      <c r="Y238" s="219" t="str">
        <f t="shared" si="72"/>
        <v>0 um/Dia</v>
      </c>
      <c r="Z238" s="220" t="str">
        <f t="shared" si="73"/>
        <v xml:space="preserve"> um / HH</v>
      </c>
      <c r="AA238" s="221" t="str">
        <f t="shared" si="74"/>
        <v/>
      </c>
      <c r="AB238" s="222" t="str">
        <f t="shared" si="75"/>
        <v>0 um /HH</v>
      </c>
      <c r="AC238" s="223">
        <f t="shared" si="76"/>
        <v>0</v>
      </c>
      <c r="AD238" s="224"/>
      <c r="AE238" s="225"/>
      <c r="AF238" s="226">
        <f t="shared" si="77"/>
        <v>0</v>
      </c>
      <c r="AG238" s="227">
        <f t="shared" si="78"/>
        <v>0</v>
      </c>
      <c r="AH238" s="228" t="s">
        <v>25</v>
      </c>
      <c r="AI238" s="229" t="str">
        <f t="shared" si="79"/>
        <v>Extremamente Complexa</v>
      </c>
      <c r="AJ238" s="230" t="str">
        <f t="shared" si="80"/>
        <v>Normal</v>
      </c>
      <c r="AK238" s="231">
        <f t="shared" si="81"/>
        <v>0</v>
      </c>
      <c r="AL238" s="232" t="str">
        <f t="shared" si="82"/>
        <v/>
      </c>
      <c r="AM238" s="233" t="str">
        <f t="shared" si="83"/>
        <v/>
      </c>
      <c r="AN238" s="233" t="str">
        <f t="shared" si="84"/>
        <v/>
      </c>
      <c r="AO238" s="234">
        <f t="shared" si="85"/>
        <v>0</v>
      </c>
      <c r="AP238" s="235">
        <f t="shared" si="86"/>
        <v>1</v>
      </c>
      <c r="AQ238" s="235">
        <f t="shared" si="86"/>
        <v>1</v>
      </c>
      <c r="AR238" s="236">
        <f t="shared" si="87"/>
        <v>1</v>
      </c>
      <c r="AS238" s="251">
        <f t="shared" si="88"/>
        <v>0</v>
      </c>
      <c r="AT238" s="238">
        <f t="shared" si="89"/>
        <v>0</v>
      </c>
      <c r="AU238" s="239">
        <f t="shared" si="90"/>
        <v>0</v>
      </c>
      <c r="AV238" s="239">
        <f t="shared" si="91"/>
        <v>0</v>
      </c>
      <c r="AW238" s="239">
        <f t="shared" si="92"/>
        <v>0.05</v>
      </c>
      <c r="AX238" s="240">
        <f t="shared" si="93"/>
        <v>0</v>
      </c>
      <c r="AY238" s="241" t="str">
        <f t="shared" si="94"/>
        <v/>
      </c>
      <c r="AZ238" s="242" t="str">
        <f>IFERROR(VLOOKUP(M238,'[1]Base Brasil Obras'!$C$2:$F$485,4,0),"")</f>
        <v/>
      </c>
      <c r="BA238" s="243">
        <f t="shared" si="95"/>
        <v>0</v>
      </c>
      <c r="BB238" s="244">
        <f t="shared" si="96"/>
        <v>0</v>
      </c>
      <c r="BC238" s="244">
        <f t="shared" si="97"/>
        <v>0.05</v>
      </c>
      <c r="BD238" s="245">
        <f t="shared" si="98"/>
        <v>0.95</v>
      </c>
      <c r="BE238" s="246">
        <f t="shared" si="99"/>
        <v>0</v>
      </c>
      <c r="BF238" s="247">
        <v>0</v>
      </c>
      <c r="BG238" s="248">
        <f t="shared" si="100"/>
        <v>1</v>
      </c>
      <c r="BH238" s="198"/>
      <c r="BI238" s="198"/>
      <c r="BJ238" s="199"/>
      <c r="BK238" s="200"/>
      <c r="BL238" s="200"/>
      <c r="BM238" s="200"/>
      <c r="BN238" s="200"/>
      <c r="BO238" s="10"/>
    </row>
    <row r="239" spans="1:67" ht="18.75" customHeight="1" x14ac:dyDescent="0.25">
      <c r="A239" s="201">
        <v>131</v>
      </c>
      <c r="B239" s="286"/>
      <c r="C239" s="203">
        <f t="shared" si="68"/>
        <v>0</v>
      </c>
      <c r="D239" s="204"/>
      <c r="E239" s="204"/>
      <c r="F239" s="207"/>
      <c r="G239" s="206"/>
      <c r="H239" s="207"/>
      <c r="I239" s="208" t="s">
        <v>125</v>
      </c>
      <c r="J239" s="208" t="s">
        <v>126</v>
      </c>
      <c r="K239" s="287"/>
      <c r="L239" s="288"/>
      <c r="M239" s="289"/>
      <c r="N239" s="257"/>
      <c r="O239" s="213"/>
      <c r="P239" s="214"/>
      <c r="Q239" s="214"/>
      <c r="R239" s="214"/>
      <c r="S239" s="214"/>
      <c r="T239" s="214"/>
      <c r="U239" s="215">
        <f t="shared" si="69"/>
        <v>0</v>
      </c>
      <c r="V239" s="216" t="str">
        <f t="shared" si="70"/>
        <v/>
      </c>
      <c r="W239" s="217" t="str">
        <f t="shared" si="71"/>
        <v/>
      </c>
      <c r="X239" s="218" t="s">
        <v>20</v>
      </c>
      <c r="Y239" s="219" t="str">
        <f t="shared" si="72"/>
        <v>0 um/Dia</v>
      </c>
      <c r="Z239" s="220" t="str">
        <f t="shared" si="73"/>
        <v xml:space="preserve"> um / HH</v>
      </c>
      <c r="AA239" s="221" t="str">
        <f t="shared" si="74"/>
        <v/>
      </c>
      <c r="AB239" s="222" t="str">
        <f t="shared" si="75"/>
        <v>0 um /HH</v>
      </c>
      <c r="AC239" s="223">
        <f t="shared" si="76"/>
        <v>0</v>
      </c>
      <c r="AD239" s="224"/>
      <c r="AE239" s="225"/>
      <c r="AF239" s="226">
        <f t="shared" si="77"/>
        <v>0</v>
      </c>
      <c r="AG239" s="227">
        <f t="shared" si="78"/>
        <v>0</v>
      </c>
      <c r="AH239" s="228" t="s">
        <v>25</v>
      </c>
      <c r="AI239" s="229" t="str">
        <f t="shared" si="79"/>
        <v>Extremamente Complexa</v>
      </c>
      <c r="AJ239" s="230" t="str">
        <f t="shared" si="80"/>
        <v>Normal</v>
      </c>
      <c r="AK239" s="231">
        <f t="shared" si="81"/>
        <v>0</v>
      </c>
      <c r="AL239" s="232" t="str">
        <f t="shared" si="82"/>
        <v/>
      </c>
      <c r="AM239" s="233" t="str">
        <f t="shared" si="83"/>
        <v/>
      </c>
      <c r="AN239" s="233" t="str">
        <f t="shared" si="84"/>
        <v/>
      </c>
      <c r="AO239" s="234">
        <f t="shared" si="85"/>
        <v>0</v>
      </c>
      <c r="AP239" s="235">
        <f t="shared" si="86"/>
        <v>1</v>
      </c>
      <c r="AQ239" s="235">
        <f t="shared" si="86"/>
        <v>1</v>
      </c>
      <c r="AR239" s="235">
        <f t="shared" si="87"/>
        <v>1</v>
      </c>
      <c r="AS239" s="252">
        <f t="shared" si="88"/>
        <v>0</v>
      </c>
      <c r="AT239" s="238">
        <f t="shared" si="89"/>
        <v>0</v>
      </c>
      <c r="AU239" s="239">
        <f t="shared" si="90"/>
        <v>0</v>
      </c>
      <c r="AV239" s="239">
        <f t="shared" si="91"/>
        <v>0</v>
      </c>
      <c r="AW239" s="239">
        <f t="shared" si="92"/>
        <v>0.05</v>
      </c>
      <c r="AX239" s="240">
        <f t="shared" si="93"/>
        <v>0</v>
      </c>
      <c r="AY239" s="241" t="str">
        <f t="shared" si="94"/>
        <v/>
      </c>
      <c r="AZ239" s="242" t="str">
        <f>IFERROR(VLOOKUP(M239,'[1]Base Brasil Obras'!$C$2:$F$485,4,0),"")</f>
        <v/>
      </c>
      <c r="BA239" s="243">
        <f t="shared" si="95"/>
        <v>0</v>
      </c>
      <c r="BB239" s="244">
        <f t="shared" si="96"/>
        <v>0</v>
      </c>
      <c r="BC239" s="244">
        <f t="shared" si="97"/>
        <v>0.05</v>
      </c>
      <c r="BD239" s="245">
        <f t="shared" si="98"/>
        <v>0.95</v>
      </c>
      <c r="BE239" s="246">
        <f t="shared" si="99"/>
        <v>0</v>
      </c>
      <c r="BF239" s="247">
        <v>0</v>
      </c>
      <c r="BG239" s="248">
        <f t="shared" si="100"/>
        <v>1</v>
      </c>
      <c r="BH239" s="198"/>
      <c r="BI239" s="198"/>
      <c r="BJ239" s="199"/>
      <c r="BK239" s="200"/>
      <c r="BL239" s="200"/>
      <c r="BM239" s="200"/>
      <c r="BN239" s="200"/>
      <c r="BO239" s="10"/>
    </row>
    <row r="240" spans="1:67" ht="18" customHeight="1" x14ac:dyDescent="0.25">
      <c r="A240" s="201">
        <v>132</v>
      </c>
      <c r="B240" s="286"/>
      <c r="C240" s="203">
        <f t="shared" si="68"/>
        <v>0</v>
      </c>
      <c r="D240" s="204"/>
      <c r="E240" s="204"/>
      <c r="F240" s="207"/>
      <c r="G240" s="206"/>
      <c r="H240" s="207"/>
      <c r="I240" s="208" t="s">
        <v>125</v>
      </c>
      <c r="J240" s="208" t="s">
        <v>126</v>
      </c>
      <c r="K240" s="287"/>
      <c r="L240" s="288"/>
      <c r="M240" s="289"/>
      <c r="N240" s="257"/>
      <c r="O240" s="213"/>
      <c r="P240" s="214"/>
      <c r="Q240" s="214"/>
      <c r="R240" s="214"/>
      <c r="S240" s="214"/>
      <c r="T240" s="214"/>
      <c r="U240" s="215">
        <f t="shared" si="69"/>
        <v>0</v>
      </c>
      <c r="V240" s="216" t="str">
        <f t="shared" si="70"/>
        <v/>
      </c>
      <c r="W240" s="217" t="str">
        <f t="shared" si="71"/>
        <v/>
      </c>
      <c r="X240" s="218" t="s">
        <v>20</v>
      </c>
      <c r="Y240" s="219" t="str">
        <f t="shared" si="72"/>
        <v>0 um/Dia</v>
      </c>
      <c r="Z240" s="220" t="str">
        <f t="shared" si="73"/>
        <v xml:space="preserve"> um / HH</v>
      </c>
      <c r="AA240" s="221" t="str">
        <f t="shared" si="74"/>
        <v/>
      </c>
      <c r="AB240" s="222" t="str">
        <f t="shared" si="75"/>
        <v>0 um /HH</v>
      </c>
      <c r="AC240" s="223">
        <f t="shared" si="76"/>
        <v>0</v>
      </c>
      <c r="AD240" s="224"/>
      <c r="AE240" s="225"/>
      <c r="AF240" s="226">
        <f t="shared" si="77"/>
        <v>0</v>
      </c>
      <c r="AG240" s="227">
        <f t="shared" si="78"/>
        <v>0</v>
      </c>
      <c r="AH240" s="228" t="s">
        <v>25</v>
      </c>
      <c r="AI240" s="229" t="str">
        <f t="shared" si="79"/>
        <v>Extremamente Complexa</v>
      </c>
      <c r="AJ240" s="230" t="str">
        <f t="shared" si="80"/>
        <v>Normal</v>
      </c>
      <c r="AK240" s="231">
        <f t="shared" si="81"/>
        <v>0</v>
      </c>
      <c r="AL240" s="232" t="str">
        <f t="shared" si="82"/>
        <v/>
      </c>
      <c r="AM240" s="233" t="str">
        <f t="shared" si="83"/>
        <v/>
      </c>
      <c r="AN240" s="233" t="str">
        <f t="shared" si="84"/>
        <v/>
      </c>
      <c r="AO240" s="234">
        <f t="shared" si="85"/>
        <v>0</v>
      </c>
      <c r="AP240" s="235">
        <f t="shared" si="86"/>
        <v>1</v>
      </c>
      <c r="AQ240" s="235">
        <f t="shared" si="86"/>
        <v>1</v>
      </c>
      <c r="AR240" s="236">
        <f t="shared" si="87"/>
        <v>1</v>
      </c>
      <c r="AS240" s="251">
        <f t="shared" si="88"/>
        <v>0</v>
      </c>
      <c r="AT240" s="238">
        <f t="shared" si="89"/>
        <v>0</v>
      </c>
      <c r="AU240" s="239">
        <f t="shared" si="90"/>
        <v>0</v>
      </c>
      <c r="AV240" s="239">
        <f t="shared" si="91"/>
        <v>0</v>
      </c>
      <c r="AW240" s="239">
        <f t="shared" si="92"/>
        <v>0.05</v>
      </c>
      <c r="AX240" s="240">
        <f t="shared" si="93"/>
        <v>0</v>
      </c>
      <c r="AY240" s="241" t="str">
        <f t="shared" si="94"/>
        <v/>
      </c>
      <c r="AZ240" s="242" t="str">
        <f>IFERROR(VLOOKUP(M240,'[1]Base Brasil Obras'!$C$2:$F$485,4,0),"")</f>
        <v/>
      </c>
      <c r="BA240" s="243">
        <f t="shared" si="95"/>
        <v>0</v>
      </c>
      <c r="BB240" s="244">
        <f t="shared" si="96"/>
        <v>0</v>
      </c>
      <c r="BC240" s="244">
        <f t="shared" si="97"/>
        <v>0.05</v>
      </c>
      <c r="BD240" s="245">
        <f t="shared" si="98"/>
        <v>0.95</v>
      </c>
      <c r="BE240" s="246">
        <f t="shared" si="99"/>
        <v>0</v>
      </c>
      <c r="BF240" s="247">
        <v>0</v>
      </c>
      <c r="BG240" s="248">
        <f t="shared" si="100"/>
        <v>1</v>
      </c>
      <c r="BH240" s="198"/>
      <c r="BI240" s="198"/>
      <c r="BJ240" s="199"/>
      <c r="BK240" s="200"/>
      <c r="BL240" s="200"/>
      <c r="BM240" s="200"/>
      <c r="BN240" s="200"/>
      <c r="BO240" s="10"/>
    </row>
    <row r="241" spans="1:67" ht="18.75" customHeight="1" x14ac:dyDescent="0.25">
      <c r="A241" s="201">
        <v>133</v>
      </c>
      <c r="B241" s="286"/>
      <c r="C241" s="203">
        <f t="shared" si="68"/>
        <v>0</v>
      </c>
      <c r="D241" s="204"/>
      <c r="E241" s="204"/>
      <c r="F241" s="207"/>
      <c r="G241" s="206"/>
      <c r="H241" s="207"/>
      <c r="I241" s="208" t="s">
        <v>125</v>
      </c>
      <c r="J241" s="208" t="s">
        <v>126</v>
      </c>
      <c r="K241" s="287"/>
      <c r="L241" s="288"/>
      <c r="M241" s="289"/>
      <c r="N241" s="257"/>
      <c r="O241" s="213"/>
      <c r="P241" s="214"/>
      <c r="Q241" s="214"/>
      <c r="R241" s="214"/>
      <c r="S241" s="214"/>
      <c r="T241" s="214"/>
      <c r="U241" s="215">
        <f t="shared" si="69"/>
        <v>0</v>
      </c>
      <c r="V241" s="216" t="str">
        <f t="shared" si="70"/>
        <v/>
      </c>
      <c r="W241" s="217" t="str">
        <f t="shared" si="71"/>
        <v/>
      </c>
      <c r="X241" s="218" t="s">
        <v>20</v>
      </c>
      <c r="Y241" s="219" t="str">
        <f t="shared" si="72"/>
        <v>0 um/Dia</v>
      </c>
      <c r="Z241" s="220" t="str">
        <f t="shared" si="73"/>
        <v xml:space="preserve"> um / HH</v>
      </c>
      <c r="AA241" s="221" t="str">
        <f t="shared" si="74"/>
        <v/>
      </c>
      <c r="AB241" s="222" t="str">
        <f t="shared" si="75"/>
        <v>0 um /HH</v>
      </c>
      <c r="AC241" s="223">
        <f t="shared" si="76"/>
        <v>0</v>
      </c>
      <c r="AD241" s="224"/>
      <c r="AE241" s="225"/>
      <c r="AF241" s="226">
        <f t="shared" si="77"/>
        <v>0</v>
      </c>
      <c r="AG241" s="227">
        <f t="shared" si="78"/>
        <v>0</v>
      </c>
      <c r="AH241" s="228" t="s">
        <v>25</v>
      </c>
      <c r="AI241" s="229" t="str">
        <f t="shared" si="79"/>
        <v>Extremamente Complexa</v>
      </c>
      <c r="AJ241" s="230" t="str">
        <f t="shared" si="80"/>
        <v>Normal</v>
      </c>
      <c r="AK241" s="231">
        <f t="shared" si="81"/>
        <v>0</v>
      </c>
      <c r="AL241" s="232" t="str">
        <f t="shared" si="82"/>
        <v/>
      </c>
      <c r="AM241" s="233" t="str">
        <f t="shared" si="83"/>
        <v/>
      </c>
      <c r="AN241" s="233" t="str">
        <f t="shared" si="84"/>
        <v/>
      </c>
      <c r="AO241" s="234">
        <f t="shared" si="85"/>
        <v>0</v>
      </c>
      <c r="AP241" s="235">
        <f t="shared" si="86"/>
        <v>1</v>
      </c>
      <c r="AQ241" s="235">
        <f t="shared" si="86"/>
        <v>1</v>
      </c>
      <c r="AR241" s="235">
        <f t="shared" si="87"/>
        <v>1</v>
      </c>
      <c r="AS241" s="252">
        <f t="shared" si="88"/>
        <v>0</v>
      </c>
      <c r="AT241" s="238">
        <f t="shared" si="89"/>
        <v>0</v>
      </c>
      <c r="AU241" s="239">
        <f t="shared" si="90"/>
        <v>0</v>
      </c>
      <c r="AV241" s="239">
        <f t="shared" si="91"/>
        <v>0</v>
      </c>
      <c r="AW241" s="239">
        <f t="shared" si="92"/>
        <v>0.05</v>
      </c>
      <c r="AX241" s="240">
        <f t="shared" si="93"/>
        <v>0</v>
      </c>
      <c r="AY241" s="241" t="str">
        <f t="shared" si="94"/>
        <v/>
      </c>
      <c r="AZ241" s="242" t="str">
        <f>IFERROR(VLOOKUP(M241,'[1]Base Brasil Obras'!$C$2:$F$485,4,0),"")</f>
        <v/>
      </c>
      <c r="BA241" s="243">
        <f t="shared" si="95"/>
        <v>0</v>
      </c>
      <c r="BB241" s="244">
        <f t="shared" si="96"/>
        <v>0</v>
      </c>
      <c r="BC241" s="244">
        <f t="shared" si="97"/>
        <v>0.05</v>
      </c>
      <c r="BD241" s="245">
        <f t="shared" si="98"/>
        <v>0.95</v>
      </c>
      <c r="BE241" s="246">
        <f t="shared" si="99"/>
        <v>0</v>
      </c>
      <c r="BF241" s="247">
        <v>0</v>
      </c>
      <c r="BG241" s="248">
        <f t="shared" si="100"/>
        <v>1</v>
      </c>
      <c r="BH241" s="198"/>
      <c r="BI241" s="198"/>
      <c r="BJ241" s="199"/>
      <c r="BK241" s="200"/>
      <c r="BL241" s="200"/>
      <c r="BM241" s="200"/>
      <c r="BN241" s="200"/>
      <c r="BO241" s="10"/>
    </row>
    <row r="242" spans="1:67" ht="18" x14ac:dyDescent="0.25">
      <c r="A242" s="201">
        <v>134</v>
      </c>
      <c r="B242" s="286"/>
      <c r="C242" s="203">
        <f t="shared" si="68"/>
        <v>0</v>
      </c>
      <c r="D242" s="204"/>
      <c r="E242" s="204"/>
      <c r="F242" s="207"/>
      <c r="G242" s="206"/>
      <c r="H242" s="207"/>
      <c r="I242" s="208" t="s">
        <v>125</v>
      </c>
      <c r="J242" s="208" t="s">
        <v>126</v>
      </c>
      <c r="K242" s="287"/>
      <c r="L242" s="288"/>
      <c r="M242" s="289"/>
      <c r="N242" s="257"/>
      <c r="O242" s="213"/>
      <c r="P242" s="214"/>
      <c r="Q242" s="214"/>
      <c r="R242" s="214"/>
      <c r="S242" s="214"/>
      <c r="T242" s="214"/>
      <c r="U242" s="215">
        <f t="shared" si="69"/>
        <v>0</v>
      </c>
      <c r="V242" s="216" t="str">
        <f t="shared" si="70"/>
        <v/>
      </c>
      <c r="W242" s="217" t="str">
        <f t="shared" si="71"/>
        <v/>
      </c>
      <c r="X242" s="218" t="s">
        <v>20</v>
      </c>
      <c r="Y242" s="219" t="str">
        <f t="shared" si="72"/>
        <v>0 um/Dia</v>
      </c>
      <c r="Z242" s="220" t="str">
        <f t="shared" si="73"/>
        <v xml:space="preserve"> um / HH</v>
      </c>
      <c r="AA242" s="221" t="str">
        <f t="shared" si="74"/>
        <v/>
      </c>
      <c r="AB242" s="222" t="str">
        <f t="shared" si="75"/>
        <v>0 um /HH</v>
      </c>
      <c r="AC242" s="223">
        <f t="shared" si="76"/>
        <v>0</v>
      </c>
      <c r="AD242" s="224"/>
      <c r="AE242" s="225"/>
      <c r="AF242" s="226">
        <f t="shared" si="77"/>
        <v>0</v>
      </c>
      <c r="AG242" s="227">
        <f t="shared" si="78"/>
        <v>0</v>
      </c>
      <c r="AH242" s="228" t="s">
        <v>25</v>
      </c>
      <c r="AI242" s="229" t="str">
        <f t="shared" si="79"/>
        <v>Extremamente Complexa</v>
      </c>
      <c r="AJ242" s="230" t="str">
        <f t="shared" si="80"/>
        <v>Normal</v>
      </c>
      <c r="AK242" s="231">
        <f t="shared" si="81"/>
        <v>0</v>
      </c>
      <c r="AL242" s="232" t="str">
        <f t="shared" si="82"/>
        <v/>
      </c>
      <c r="AM242" s="233" t="str">
        <f t="shared" si="83"/>
        <v/>
      </c>
      <c r="AN242" s="233" t="str">
        <f t="shared" si="84"/>
        <v/>
      </c>
      <c r="AO242" s="234">
        <f t="shared" si="85"/>
        <v>0</v>
      </c>
      <c r="AP242" s="235">
        <f t="shared" si="86"/>
        <v>1</v>
      </c>
      <c r="AQ242" s="235">
        <f t="shared" si="86"/>
        <v>1</v>
      </c>
      <c r="AR242" s="236">
        <f t="shared" si="87"/>
        <v>1</v>
      </c>
      <c r="AS242" s="251">
        <f t="shared" si="88"/>
        <v>0</v>
      </c>
      <c r="AT242" s="238">
        <f t="shared" si="89"/>
        <v>0</v>
      </c>
      <c r="AU242" s="239">
        <f t="shared" si="90"/>
        <v>0</v>
      </c>
      <c r="AV242" s="239">
        <f t="shared" si="91"/>
        <v>0</v>
      </c>
      <c r="AW242" s="239">
        <f t="shared" si="92"/>
        <v>0.05</v>
      </c>
      <c r="AX242" s="240">
        <f t="shared" si="93"/>
        <v>0</v>
      </c>
      <c r="AY242" s="241" t="str">
        <f t="shared" si="94"/>
        <v/>
      </c>
      <c r="AZ242" s="242" t="str">
        <f>IFERROR(VLOOKUP(M242,'[1]Base Brasil Obras'!$C$2:$F$485,4,0),"")</f>
        <v/>
      </c>
      <c r="BA242" s="243">
        <f t="shared" si="95"/>
        <v>0</v>
      </c>
      <c r="BB242" s="244">
        <f t="shared" si="96"/>
        <v>0</v>
      </c>
      <c r="BC242" s="244">
        <f t="shared" si="97"/>
        <v>0.05</v>
      </c>
      <c r="BD242" s="245">
        <f t="shared" si="98"/>
        <v>0.95</v>
      </c>
      <c r="BE242" s="246">
        <f t="shared" si="99"/>
        <v>0</v>
      </c>
      <c r="BF242" s="247">
        <v>0</v>
      </c>
      <c r="BG242" s="248">
        <f t="shared" si="100"/>
        <v>1</v>
      </c>
      <c r="BH242" s="198"/>
      <c r="BI242" s="198"/>
      <c r="BJ242" s="199"/>
      <c r="BK242" s="200"/>
      <c r="BL242" s="200"/>
      <c r="BM242" s="200"/>
      <c r="BN242" s="200"/>
      <c r="BO242" s="10"/>
    </row>
    <row r="243" spans="1:67" ht="18" customHeight="1" x14ac:dyDescent="0.25">
      <c r="A243" s="201">
        <v>135</v>
      </c>
      <c r="B243" s="286"/>
      <c r="C243" s="203">
        <f t="shared" si="68"/>
        <v>0</v>
      </c>
      <c r="D243" s="204"/>
      <c r="E243" s="204"/>
      <c r="F243" s="207"/>
      <c r="G243" s="206"/>
      <c r="H243" s="207"/>
      <c r="I243" s="208" t="s">
        <v>125</v>
      </c>
      <c r="J243" s="208" t="s">
        <v>126</v>
      </c>
      <c r="K243" s="287"/>
      <c r="L243" s="288"/>
      <c r="M243" s="289"/>
      <c r="N243" s="257"/>
      <c r="O243" s="213"/>
      <c r="P243" s="214"/>
      <c r="Q243" s="214"/>
      <c r="R243" s="214"/>
      <c r="S243" s="214"/>
      <c r="T243" s="214"/>
      <c r="U243" s="215">
        <f t="shared" si="69"/>
        <v>0</v>
      </c>
      <c r="V243" s="216" t="str">
        <f t="shared" si="70"/>
        <v/>
      </c>
      <c r="W243" s="217" t="str">
        <f t="shared" si="71"/>
        <v/>
      </c>
      <c r="X243" s="218" t="s">
        <v>20</v>
      </c>
      <c r="Y243" s="219" t="str">
        <f t="shared" si="72"/>
        <v>0 um/Dia</v>
      </c>
      <c r="Z243" s="220" t="str">
        <f t="shared" si="73"/>
        <v xml:space="preserve"> um / HH</v>
      </c>
      <c r="AA243" s="221" t="str">
        <f t="shared" si="74"/>
        <v/>
      </c>
      <c r="AB243" s="222" t="str">
        <f t="shared" si="75"/>
        <v>0 um /HH</v>
      </c>
      <c r="AC243" s="223">
        <f t="shared" si="76"/>
        <v>0</v>
      </c>
      <c r="AD243" s="224"/>
      <c r="AE243" s="225"/>
      <c r="AF243" s="226">
        <f t="shared" si="77"/>
        <v>0</v>
      </c>
      <c r="AG243" s="227">
        <f t="shared" si="78"/>
        <v>0</v>
      </c>
      <c r="AH243" s="228" t="s">
        <v>25</v>
      </c>
      <c r="AI243" s="229" t="str">
        <f t="shared" si="79"/>
        <v>Extremamente Complexa</v>
      </c>
      <c r="AJ243" s="230" t="str">
        <f t="shared" si="80"/>
        <v>Normal</v>
      </c>
      <c r="AK243" s="231">
        <f t="shared" si="81"/>
        <v>0</v>
      </c>
      <c r="AL243" s="232" t="str">
        <f t="shared" si="82"/>
        <v/>
      </c>
      <c r="AM243" s="233" t="str">
        <f t="shared" si="83"/>
        <v/>
      </c>
      <c r="AN243" s="233" t="str">
        <f t="shared" si="84"/>
        <v/>
      </c>
      <c r="AO243" s="234">
        <f t="shared" si="85"/>
        <v>0</v>
      </c>
      <c r="AP243" s="235">
        <f t="shared" si="86"/>
        <v>1</v>
      </c>
      <c r="AQ243" s="235">
        <f t="shared" si="86"/>
        <v>1</v>
      </c>
      <c r="AR243" s="235">
        <f t="shared" si="87"/>
        <v>1</v>
      </c>
      <c r="AS243" s="252">
        <f t="shared" si="88"/>
        <v>0</v>
      </c>
      <c r="AT243" s="238">
        <f t="shared" si="89"/>
        <v>0</v>
      </c>
      <c r="AU243" s="239">
        <f t="shared" si="90"/>
        <v>0</v>
      </c>
      <c r="AV243" s="239">
        <f t="shared" si="91"/>
        <v>0</v>
      </c>
      <c r="AW243" s="239">
        <f t="shared" si="92"/>
        <v>0.05</v>
      </c>
      <c r="AX243" s="240">
        <f t="shared" si="93"/>
        <v>0</v>
      </c>
      <c r="AY243" s="241" t="str">
        <f t="shared" si="94"/>
        <v/>
      </c>
      <c r="AZ243" s="242" t="str">
        <f>IFERROR(VLOOKUP(M243,'[1]Base Brasil Obras'!$C$2:$F$485,4,0),"")</f>
        <v/>
      </c>
      <c r="BA243" s="243">
        <f t="shared" si="95"/>
        <v>0</v>
      </c>
      <c r="BB243" s="244">
        <f t="shared" si="96"/>
        <v>0</v>
      </c>
      <c r="BC243" s="244">
        <f t="shared" si="97"/>
        <v>0.05</v>
      </c>
      <c r="BD243" s="245">
        <f t="shared" si="98"/>
        <v>0.95</v>
      </c>
      <c r="BE243" s="246">
        <f t="shared" si="99"/>
        <v>0</v>
      </c>
      <c r="BF243" s="247">
        <v>0</v>
      </c>
      <c r="BG243" s="248">
        <f t="shared" si="100"/>
        <v>1</v>
      </c>
      <c r="BH243" s="198"/>
      <c r="BI243" s="198"/>
      <c r="BJ243" s="199"/>
      <c r="BK243" s="200"/>
      <c r="BL243" s="200"/>
      <c r="BM243" s="200"/>
      <c r="BN243" s="200"/>
      <c r="BO243" s="10"/>
    </row>
    <row r="244" spans="1:67" ht="18" x14ac:dyDescent="0.25">
      <c r="A244" s="201">
        <v>136</v>
      </c>
      <c r="B244" s="286"/>
      <c r="C244" s="203">
        <f t="shared" si="68"/>
        <v>0</v>
      </c>
      <c r="D244" s="204"/>
      <c r="E244" s="204"/>
      <c r="F244" s="207"/>
      <c r="G244" s="206"/>
      <c r="H244" s="207"/>
      <c r="I244" s="208" t="s">
        <v>125</v>
      </c>
      <c r="J244" s="208" t="s">
        <v>126</v>
      </c>
      <c r="K244" s="287"/>
      <c r="L244" s="288"/>
      <c r="M244" s="289"/>
      <c r="N244" s="257"/>
      <c r="O244" s="213"/>
      <c r="P244" s="214"/>
      <c r="Q244" s="214"/>
      <c r="R244" s="214"/>
      <c r="S244" s="214"/>
      <c r="T244" s="214"/>
      <c r="U244" s="215">
        <f t="shared" si="69"/>
        <v>0</v>
      </c>
      <c r="V244" s="216" t="str">
        <f t="shared" si="70"/>
        <v/>
      </c>
      <c r="W244" s="217" t="str">
        <f t="shared" si="71"/>
        <v/>
      </c>
      <c r="X244" s="218" t="s">
        <v>20</v>
      </c>
      <c r="Y244" s="219" t="str">
        <f t="shared" si="72"/>
        <v>0 um/Dia</v>
      </c>
      <c r="Z244" s="220" t="str">
        <f t="shared" si="73"/>
        <v xml:space="preserve"> um / HH</v>
      </c>
      <c r="AA244" s="221" t="str">
        <f t="shared" si="74"/>
        <v/>
      </c>
      <c r="AB244" s="222" t="str">
        <f t="shared" si="75"/>
        <v>0 um /HH</v>
      </c>
      <c r="AC244" s="223">
        <f t="shared" si="76"/>
        <v>0</v>
      </c>
      <c r="AD244" s="224"/>
      <c r="AE244" s="225"/>
      <c r="AF244" s="226">
        <f t="shared" si="77"/>
        <v>0</v>
      </c>
      <c r="AG244" s="227">
        <f t="shared" si="78"/>
        <v>0</v>
      </c>
      <c r="AH244" s="228" t="s">
        <v>25</v>
      </c>
      <c r="AI244" s="229" t="str">
        <f t="shared" si="79"/>
        <v>Extremamente Complexa</v>
      </c>
      <c r="AJ244" s="230" t="str">
        <f t="shared" si="80"/>
        <v>Normal</v>
      </c>
      <c r="AK244" s="231">
        <f t="shared" si="81"/>
        <v>0</v>
      </c>
      <c r="AL244" s="232" t="str">
        <f t="shared" si="82"/>
        <v/>
      </c>
      <c r="AM244" s="233" t="str">
        <f t="shared" si="83"/>
        <v/>
      </c>
      <c r="AN244" s="233" t="str">
        <f t="shared" si="84"/>
        <v/>
      </c>
      <c r="AO244" s="234">
        <f t="shared" si="85"/>
        <v>0</v>
      </c>
      <c r="AP244" s="235">
        <f t="shared" si="86"/>
        <v>1</v>
      </c>
      <c r="AQ244" s="235">
        <f t="shared" si="86"/>
        <v>1</v>
      </c>
      <c r="AR244" s="236">
        <f t="shared" si="87"/>
        <v>1</v>
      </c>
      <c r="AS244" s="251">
        <f t="shared" si="88"/>
        <v>0</v>
      </c>
      <c r="AT244" s="238">
        <f t="shared" si="89"/>
        <v>0</v>
      </c>
      <c r="AU244" s="239">
        <f t="shared" si="90"/>
        <v>0</v>
      </c>
      <c r="AV244" s="239">
        <f t="shared" si="91"/>
        <v>0</v>
      </c>
      <c r="AW244" s="239">
        <f t="shared" si="92"/>
        <v>0.05</v>
      </c>
      <c r="AX244" s="240">
        <f t="shared" si="93"/>
        <v>0</v>
      </c>
      <c r="AY244" s="241" t="str">
        <f t="shared" si="94"/>
        <v/>
      </c>
      <c r="AZ244" s="242" t="str">
        <f>IFERROR(VLOOKUP(M244,'[1]Base Brasil Obras'!$C$2:$F$485,4,0),"")</f>
        <v/>
      </c>
      <c r="BA244" s="243">
        <f t="shared" si="95"/>
        <v>0</v>
      </c>
      <c r="BB244" s="244">
        <f t="shared" si="96"/>
        <v>0</v>
      </c>
      <c r="BC244" s="244">
        <f t="shared" si="97"/>
        <v>0.05</v>
      </c>
      <c r="BD244" s="245">
        <f t="shared" si="98"/>
        <v>0.95</v>
      </c>
      <c r="BE244" s="246">
        <f t="shared" si="99"/>
        <v>0</v>
      </c>
      <c r="BF244" s="247">
        <v>0</v>
      </c>
      <c r="BG244" s="248">
        <f t="shared" si="100"/>
        <v>1</v>
      </c>
      <c r="BH244" s="198"/>
      <c r="BI244" s="198"/>
      <c r="BJ244" s="199"/>
      <c r="BK244" s="200"/>
      <c r="BL244" s="200"/>
      <c r="BM244" s="200"/>
      <c r="BN244" s="200"/>
      <c r="BO244" s="10"/>
    </row>
    <row r="245" spans="1:67" ht="18" x14ac:dyDescent="0.25">
      <c r="A245" s="201">
        <v>137</v>
      </c>
      <c r="B245" s="286"/>
      <c r="C245" s="203">
        <f t="shared" si="68"/>
        <v>0</v>
      </c>
      <c r="D245" s="204"/>
      <c r="E245" s="204"/>
      <c r="F245" s="207"/>
      <c r="G245" s="206"/>
      <c r="H245" s="207"/>
      <c r="I245" s="208" t="s">
        <v>125</v>
      </c>
      <c r="J245" s="208" t="s">
        <v>126</v>
      </c>
      <c r="K245" s="287"/>
      <c r="L245" s="288"/>
      <c r="M245" s="289"/>
      <c r="N245" s="257"/>
      <c r="O245" s="213"/>
      <c r="P245" s="214"/>
      <c r="Q245" s="214"/>
      <c r="R245" s="214"/>
      <c r="S245" s="214"/>
      <c r="T245" s="214"/>
      <c r="U245" s="215">
        <f t="shared" si="69"/>
        <v>0</v>
      </c>
      <c r="V245" s="216" t="str">
        <f t="shared" si="70"/>
        <v/>
      </c>
      <c r="W245" s="217" t="str">
        <f t="shared" si="71"/>
        <v/>
      </c>
      <c r="X245" s="218" t="s">
        <v>20</v>
      </c>
      <c r="Y245" s="219" t="str">
        <f t="shared" si="72"/>
        <v>0 um/Dia</v>
      </c>
      <c r="Z245" s="220" t="str">
        <f t="shared" si="73"/>
        <v xml:space="preserve"> um / HH</v>
      </c>
      <c r="AA245" s="221" t="str">
        <f t="shared" si="74"/>
        <v/>
      </c>
      <c r="AB245" s="222" t="str">
        <f t="shared" si="75"/>
        <v>0 um /HH</v>
      </c>
      <c r="AC245" s="223">
        <f t="shared" si="76"/>
        <v>0</v>
      </c>
      <c r="AD245" s="224"/>
      <c r="AE245" s="225"/>
      <c r="AF245" s="226">
        <f t="shared" si="77"/>
        <v>0</v>
      </c>
      <c r="AG245" s="227">
        <f t="shared" si="78"/>
        <v>0</v>
      </c>
      <c r="AH245" s="228" t="s">
        <v>25</v>
      </c>
      <c r="AI245" s="229" t="str">
        <f t="shared" si="79"/>
        <v>Extremamente Complexa</v>
      </c>
      <c r="AJ245" s="230" t="str">
        <f t="shared" si="80"/>
        <v>Normal</v>
      </c>
      <c r="AK245" s="231">
        <f t="shared" si="81"/>
        <v>0</v>
      </c>
      <c r="AL245" s="232" t="str">
        <f t="shared" si="82"/>
        <v/>
      </c>
      <c r="AM245" s="233" t="str">
        <f t="shared" si="83"/>
        <v/>
      </c>
      <c r="AN245" s="233" t="str">
        <f t="shared" si="84"/>
        <v/>
      </c>
      <c r="AO245" s="234">
        <f t="shared" si="85"/>
        <v>0</v>
      </c>
      <c r="AP245" s="235">
        <f t="shared" si="86"/>
        <v>1</v>
      </c>
      <c r="AQ245" s="235">
        <f t="shared" si="86"/>
        <v>1</v>
      </c>
      <c r="AR245" s="235">
        <f t="shared" si="87"/>
        <v>1</v>
      </c>
      <c r="AS245" s="252">
        <f t="shared" si="88"/>
        <v>0</v>
      </c>
      <c r="AT245" s="238">
        <f t="shared" si="89"/>
        <v>0</v>
      </c>
      <c r="AU245" s="239">
        <f t="shared" si="90"/>
        <v>0</v>
      </c>
      <c r="AV245" s="239">
        <f t="shared" si="91"/>
        <v>0</v>
      </c>
      <c r="AW245" s="239">
        <f t="shared" si="92"/>
        <v>0.05</v>
      </c>
      <c r="AX245" s="240">
        <f t="shared" si="93"/>
        <v>0</v>
      </c>
      <c r="AY245" s="241" t="str">
        <f t="shared" si="94"/>
        <v/>
      </c>
      <c r="AZ245" s="242" t="str">
        <f>IFERROR(VLOOKUP(M245,'[1]Base Brasil Obras'!$C$2:$F$485,4,0),"")</f>
        <v/>
      </c>
      <c r="BA245" s="243">
        <f t="shared" si="95"/>
        <v>0</v>
      </c>
      <c r="BB245" s="244">
        <f t="shared" si="96"/>
        <v>0</v>
      </c>
      <c r="BC245" s="244">
        <f t="shared" si="97"/>
        <v>0.05</v>
      </c>
      <c r="BD245" s="245">
        <f t="shared" si="98"/>
        <v>0.95</v>
      </c>
      <c r="BE245" s="246">
        <f t="shared" si="99"/>
        <v>0</v>
      </c>
      <c r="BF245" s="247">
        <v>0</v>
      </c>
      <c r="BG245" s="248">
        <f t="shared" si="100"/>
        <v>1</v>
      </c>
      <c r="BH245" s="198"/>
      <c r="BI245" s="198"/>
      <c r="BJ245" s="199"/>
      <c r="BK245" s="200"/>
      <c r="BL245" s="200"/>
      <c r="BM245" s="200"/>
      <c r="BN245" s="200"/>
      <c r="BO245" s="10"/>
    </row>
    <row r="246" spans="1:67" ht="18" x14ac:dyDescent="0.25">
      <c r="A246" s="201">
        <v>138</v>
      </c>
      <c r="B246" s="286"/>
      <c r="C246" s="203">
        <f t="shared" si="68"/>
        <v>0</v>
      </c>
      <c r="D246" s="204"/>
      <c r="E246" s="204"/>
      <c r="F246" s="207"/>
      <c r="G246" s="206"/>
      <c r="H246" s="207"/>
      <c r="I246" s="208" t="s">
        <v>125</v>
      </c>
      <c r="J246" s="208" t="s">
        <v>126</v>
      </c>
      <c r="K246" s="287"/>
      <c r="L246" s="288"/>
      <c r="M246" s="289"/>
      <c r="N246" s="257"/>
      <c r="O246" s="213"/>
      <c r="P246" s="214"/>
      <c r="Q246" s="214"/>
      <c r="R246" s="214"/>
      <c r="S246" s="214"/>
      <c r="T246" s="214"/>
      <c r="U246" s="215">
        <f t="shared" si="69"/>
        <v>0</v>
      </c>
      <c r="V246" s="216" t="str">
        <f t="shared" si="70"/>
        <v/>
      </c>
      <c r="W246" s="217" t="str">
        <f t="shared" si="71"/>
        <v/>
      </c>
      <c r="X246" s="218" t="s">
        <v>20</v>
      </c>
      <c r="Y246" s="219" t="str">
        <f t="shared" si="72"/>
        <v>0 um/Dia</v>
      </c>
      <c r="Z246" s="220" t="str">
        <f t="shared" si="73"/>
        <v xml:space="preserve"> um / HH</v>
      </c>
      <c r="AA246" s="221" t="str">
        <f t="shared" si="74"/>
        <v/>
      </c>
      <c r="AB246" s="222" t="str">
        <f t="shared" si="75"/>
        <v>0 um /HH</v>
      </c>
      <c r="AC246" s="223">
        <f t="shared" si="76"/>
        <v>0</v>
      </c>
      <c r="AD246" s="224"/>
      <c r="AE246" s="225"/>
      <c r="AF246" s="226">
        <f t="shared" si="77"/>
        <v>0</v>
      </c>
      <c r="AG246" s="227">
        <f t="shared" si="78"/>
        <v>0</v>
      </c>
      <c r="AH246" s="228" t="s">
        <v>25</v>
      </c>
      <c r="AI246" s="229" t="str">
        <f t="shared" si="79"/>
        <v>Extremamente Complexa</v>
      </c>
      <c r="AJ246" s="230" t="str">
        <f t="shared" si="80"/>
        <v>Normal</v>
      </c>
      <c r="AK246" s="231">
        <f t="shared" si="81"/>
        <v>0</v>
      </c>
      <c r="AL246" s="232" t="str">
        <f t="shared" si="82"/>
        <v/>
      </c>
      <c r="AM246" s="233" t="str">
        <f t="shared" si="83"/>
        <v/>
      </c>
      <c r="AN246" s="233" t="str">
        <f t="shared" si="84"/>
        <v/>
      </c>
      <c r="AO246" s="234">
        <f t="shared" si="85"/>
        <v>0</v>
      </c>
      <c r="AP246" s="235">
        <f t="shared" si="86"/>
        <v>1</v>
      </c>
      <c r="AQ246" s="235">
        <f t="shared" si="86"/>
        <v>1</v>
      </c>
      <c r="AR246" s="236">
        <f t="shared" si="87"/>
        <v>1</v>
      </c>
      <c r="AS246" s="251">
        <f t="shared" si="88"/>
        <v>0</v>
      </c>
      <c r="AT246" s="238">
        <f t="shared" si="89"/>
        <v>0</v>
      </c>
      <c r="AU246" s="239">
        <f t="shared" si="90"/>
        <v>0</v>
      </c>
      <c r="AV246" s="239">
        <f t="shared" si="91"/>
        <v>0</v>
      </c>
      <c r="AW246" s="239">
        <f t="shared" si="92"/>
        <v>0.05</v>
      </c>
      <c r="AX246" s="240">
        <f t="shared" si="93"/>
        <v>0</v>
      </c>
      <c r="AY246" s="241" t="str">
        <f t="shared" si="94"/>
        <v/>
      </c>
      <c r="AZ246" s="242" t="str">
        <f>IFERROR(VLOOKUP(M246,'[1]Base Brasil Obras'!$C$2:$F$485,4,0),"")</f>
        <v/>
      </c>
      <c r="BA246" s="243">
        <f t="shared" si="95"/>
        <v>0</v>
      </c>
      <c r="BB246" s="244">
        <f t="shared" si="96"/>
        <v>0</v>
      </c>
      <c r="BC246" s="244">
        <f t="shared" si="97"/>
        <v>0.05</v>
      </c>
      <c r="BD246" s="245">
        <f t="shared" si="98"/>
        <v>0.95</v>
      </c>
      <c r="BE246" s="246">
        <f t="shared" si="99"/>
        <v>0</v>
      </c>
      <c r="BF246" s="247">
        <v>0</v>
      </c>
      <c r="BG246" s="248">
        <f t="shared" si="100"/>
        <v>1</v>
      </c>
      <c r="BH246" s="198"/>
      <c r="BI246" s="198"/>
      <c r="BJ246" s="199"/>
      <c r="BK246" s="200"/>
      <c r="BL246" s="200"/>
      <c r="BM246" s="200"/>
      <c r="BN246" s="200"/>
      <c r="BO246" s="10"/>
    </row>
    <row r="247" spans="1:67" ht="18" x14ac:dyDescent="0.25">
      <c r="A247" s="201">
        <v>139</v>
      </c>
      <c r="B247" s="286"/>
      <c r="C247" s="203">
        <f t="shared" si="68"/>
        <v>0</v>
      </c>
      <c r="D247" s="204"/>
      <c r="E247" s="204"/>
      <c r="F247" s="207"/>
      <c r="G247" s="206"/>
      <c r="H247" s="207"/>
      <c r="I247" s="208" t="s">
        <v>125</v>
      </c>
      <c r="J247" s="208" t="s">
        <v>126</v>
      </c>
      <c r="K247" s="287"/>
      <c r="L247" s="288"/>
      <c r="M247" s="289"/>
      <c r="N247" s="257"/>
      <c r="O247" s="213"/>
      <c r="P247" s="214"/>
      <c r="Q247" s="214"/>
      <c r="R247" s="214"/>
      <c r="S247" s="214"/>
      <c r="T247" s="214"/>
      <c r="U247" s="215">
        <f t="shared" si="69"/>
        <v>0</v>
      </c>
      <c r="V247" s="216" t="str">
        <f t="shared" si="70"/>
        <v/>
      </c>
      <c r="W247" s="217" t="str">
        <f t="shared" si="71"/>
        <v/>
      </c>
      <c r="X247" s="218" t="s">
        <v>20</v>
      </c>
      <c r="Y247" s="219" t="str">
        <f t="shared" si="72"/>
        <v>0 um/Dia</v>
      </c>
      <c r="Z247" s="220" t="str">
        <f t="shared" si="73"/>
        <v xml:space="preserve"> um / HH</v>
      </c>
      <c r="AA247" s="221" t="str">
        <f t="shared" si="74"/>
        <v/>
      </c>
      <c r="AB247" s="222" t="str">
        <f t="shared" si="75"/>
        <v>0 um /HH</v>
      </c>
      <c r="AC247" s="223">
        <f t="shared" si="76"/>
        <v>0</v>
      </c>
      <c r="AD247" s="224"/>
      <c r="AE247" s="225"/>
      <c r="AF247" s="226">
        <f t="shared" si="77"/>
        <v>0</v>
      </c>
      <c r="AG247" s="227">
        <f t="shared" si="78"/>
        <v>0</v>
      </c>
      <c r="AH247" s="228" t="s">
        <v>25</v>
      </c>
      <c r="AI247" s="229" t="str">
        <f t="shared" si="79"/>
        <v>Extremamente Complexa</v>
      </c>
      <c r="AJ247" s="230" t="str">
        <f t="shared" si="80"/>
        <v>Normal</v>
      </c>
      <c r="AK247" s="231">
        <f t="shared" si="81"/>
        <v>0</v>
      </c>
      <c r="AL247" s="232" t="str">
        <f t="shared" si="82"/>
        <v/>
      </c>
      <c r="AM247" s="233" t="str">
        <f t="shared" si="83"/>
        <v/>
      </c>
      <c r="AN247" s="233" t="str">
        <f t="shared" si="84"/>
        <v/>
      </c>
      <c r="AO247" s="234">
        <f t="shared" si="85"/>
        <v>0</v>
      </c>
      <c r="AP247" s="235">
        <f t="shared" si="86"/>
        <v>1</v>
      </c>
      <c r="AQ247" s="235">
        <f t="shared" si="86"/>
        <v>1</v>
      </c>
      <c r="AR247" s="235">
        <f t="shared" si="87"/>
        <v>1</v>
      </c>
      <c r="AS247" s="252">
        <f t="shared" si="88"/>
        <v>0</v>
      </c>
      <c r="AT247" s="238">
        <f t="shared" si="89"/>
        <v>0</v>
      </c>
      <c r="AU247" s="239">
        <f t="shared" si="90"/>
        <v>0</v>
      </c>
      <c r="AV247" s="239">
        <f t="shared" si="91"/>
        <v>0</v>
      </c>
      <c r="AW247" s="239">
        <f t="shared" si="92"/>
        <v>0.05</v>
      </c>
      <c r="AX247" s="240">
        <f t="shared" si="93"/>
        <v>0</v>
      </c>
      <c r="AY247" s="241" t="str">
        <f t="shared" si="94"/>
        <v/>
      </c>
      <c r="AZ247" s="242" t="str">
        <f>IFERROR(VLOOKUP(M247,'[1]Base Brasil Obras'!$C$2:$F$485,4,0),"")</f>
        <v/>
      </c>
      <c r="BA247" s="243">
        <f t="shared" si="95"/>
        <v>0</v>
      </c>
      <c r="BB247" s="244">
        <f t="shared" si="96"/>
        <v>0</v>
      </c>
      <c r="BC247" s="244">
        <f t="shared" si="97"/>
        <v>0.05</v>
      </c>
      <c r="BD247" s="245">
        <f t="shared" si="98"/>
        <v>0.95</v>
      </c>
      <c r="BE247" s="246">
        <f t="shared" si="99"/>
        <v>0</v>
      </c>
      <c r="BF247" s="247">
        <v>0</v>
      </c>
      <c r="BG247" s="248">
        <f t="shared" si="100"/>
        <v>1</v>
      </c>
      <c r="BH247" s="198"/>
      <c r="BI247" s="198"/>
      <c r="BJ247" s="199"/>
      <c r="BK247" s="200"/>
      <c r="BL247" s="200"/>
      <c r="BM247" s="200"/>
      <c r="BN247" s="200"/>
      <c r="BO247" s="10"/>
    </row>
    <row r="248" spans="1:67" ht="18" x14ac:dyDescent="0.25">
      <c r="A248" s="201">
        <v>140</v>
      </c>
      <c r="B248" s="286"/>
      <c r="C248" s="203">
        <f t="shared" si="68"/>
        <v>0</v>
      </c>
      <c r="D248" s="204"/>
      <c r="E248" s="204"/>
      <c r="F248" s="207"/>
      <c r="G248" s="206"/>
      <c r="H248" s="207"/>
      <c r="I248" s="208" t="s">
        <v>125</v>
      </c>
      <c r="J248" s="208" t="s">
        <v>126</v>
      </c>
      <c r="K248" s="287"/>
      <c r="L248" s="288"/>
      <c r="M248" s="289"/>
      <c r="N248" s="257"/>
      <c r="O248" s="213"/>
      <c r="P248" s="214"/>
      <c r="Q248" s="214"/>
      <c r="R248" s="214"/>
      <c r="S248" s="214"/>
      <c r="T248" s="214"/>
      <c r="U248" s="215">
        <f t="shared" si="69"/>
        <v>0</v>
      </c>
      <c r="V248" s="216" t="str">
        <f t="shared" si="70"/>
        <v/>
      </c>
      <c r="W248" s="217" t="str">
        <f t="shared" si="71"/>
        <v/>
      </c>
      <c r="X248" s="218" t="s">
        <v>20</v>
      </c>
      <c r="Y248" s="219" t="str">
        <f t="shared" si="72"/>
        <v>0 um/Dia</v>
      </c>
      <c r="Z248" s="220" t="str">
        <f t="shared" si="73"/>
        <v xml:space="preserve"> um / HH</v>
      </c>
      <c r="AA248" s="221" t="str">
        <f t="shared" si="74"/>
        <v/>
      </c>
      <c r="AB248" s="222" t="str">
        <f t="shared" si="75"/>
        <v>0 um /HH</v>
      </c>
      <c r="AC248" s="223">
        <f t="shared" si="76"/>
        <v>0</v>
      </c>
      <c r="AD248" s="224"/>
      <c r="AE248" s="225"/>
      <c r="AF248" s="226">
        <f t="shared" si="77"/>
        <v>0</v>
      </c>
      <c r="AG248" s="227">
        <f t="shared" si="78"/>
        <v>0</v>
      </c>
      <c r="AH248" s="228" t="s">
        <v>25</v>
      </c>
      <c r="AI248" s="229" t="str">
        <f t="shared" si="79"/>
        <v>Extremamente Complexa</v>
      </c>
      <c r="AJ248" s="230" t="str">
        <f t="shared" si="80"/>
        <v>Normal</v>
      </c>
      <c r="AK248" s="231">
        <f t="shared" si="81"/>
        <v>0</v>
      </c>
      <c r="AL248" s="232" t="str">
        <f t="shared" si="82"/>
        <v/>
      </c>
      <c r="AM248" s="233" t="str">
        <f t="shared" si="83"/>
        <v/>
      </c>
      <c r="AN248" s="233" t="str">
        <f t="shared" si="84"/>
        <v/>
      </c>
      <c r="AO248" s="234">
        <f t="shared" si="85"/>
        <v>0</v>
      </c>
      <c r="AP248" s="235">
        <f t="shared" si="86"/>
        <v>1</v>
      </c>
      <c r="AQ248" s="235">
        <f t="shared" si="86"/>
        <v>1</v>
      </c>
      <c r="AR248" s="236">
        <f t="shared" si="87"/>
        <v>1</v>
      </c>
      <c r="AS248" s="251">
        <f t="shared" si="88"/>
        <v>0</v>
      </c>
      <c r="AT248" s="238">
        <f t="shared" si="89"/>
        <v>0</v>
      </c>
      <c r="AU248" s="239">
        <f t="shared" si="90"/>
        <v>0</v>
      </c>
      <c r="AV248" s="239">
        <f t="shared" si="91"/>
        <v>0</v>
      </c>
      <c r="AW248" s="239">
        <f t="shared" si="92"/>
        <v>0.05</v>
      </c>
      <c r="AX248" s="240">
        <f t="shared" si="93"/>
        <v>0</v>
      </c>
      <c r="AY248" s="241" t="str">
        <f t="shared" si="94"/>
        <v/>
      </c>
      <c r="AZ248" s="242" t="str">
        <f>IFERROR(VLOOKUP(M248,'[1]Base Brasil Obras'!$C$2:$F$485,4,0),"")</f>
        <v/>
      </c>
      <c r="BA248" s="243">
        <f t="shared" si="95"/>
        <v>0</v>
      </c>
      <c r="BB248" s="244">
        <f t="shared" si="96"/>
        <v>0</v>
      </c>
      <c r="BC248" s="244">
        <f t="shared" si="97"/>
        <v>0.05</v>
      </c>
      <c r="BD248" s="245">
        <f t="shared" si="98"/>
        <v>0.95</v>
      </c>
      <c r="BE248" s="246">
        <f t="shared" si="99"/>
        <v>0</v>
      </c>
      <c r="BF248" s="247">
        <v>0</v>
      </c>
      <c r="BG248" s="248">
        <f t="shared" si="100"/>
        <v>1</v>
      </c>
      <c r="BH248" s="198"/>
      <c r="BI248" s="198"/>
      <c r="BJ248" s="199"/>
      <c r="BK248" s="200"/>
      <c r="BL248" s="200"/>
      <c r="BM248" s="200"/>
      <c r="BN248" s="200"/>
      <c r="BO248" s="10"/>
    </row>
    <row r="249" spans="1:67" ht="18" x14ac:dyDescent="0.25">
      <c r="A249" s="201">
        <v>141</v>
      </c>
      <c r="B249" s="286"/>
      <c r="C249" s="203">
        <f t="shared" si="68"/>
        <v>0</v>
      </c>
      <c r="D249" s="204"/>
      <c r="E249" s="204"/>
      <c r="F249" s="207"/>
      <c r="G249" s="206"/>
      <c r="H249" s="207"/>
      <c r="I249" s="208" t="s">
        <v>125</v>
      </c>
      <c r="J249" s="208" t="s">
        <v>126</v>
      </c>
      <c r="K249" s="287"/>
      <c r="L249" s="288"/>
      <c r="M249" s="289"/>
      <c r="N249" s="257"/>
      <c r="O249" s="213"/>
      <c r="P249" s="214"/>
      <c r="Q249" s="214"/>
      <c r="R249" s="214"/>
      <c r="S249" s="214"/>
      <c r="T249" s="214"/>
      <c r="U249" s="215">
        <f t="shared" si="69"/>
        <v>0</v>
      </c>
      <c r="V249" s="216" t="str">
        <f t="shared" si="70"/>
        <v/>
      </c>
      <c r="W249" s="217" t="str">
        <f t="shared" si="71"/>
        <v/>
      </c>
      <c r="X249" s="218" t="s">
        <v>20</v>
      </c>
      <c r="Y249" s="219" t="str">
        <f t="shared" si="72"/>
        <v>0 um/Dia</v>
      </c>
      <c r="Z249" s="220" t="str">
        <f t="shared" si="73"/>
        <v xml:space="preserve"> um / HH</v>
      </c>
      <c r="AA249" s="221" t="str">
        <f t="shared" si="74"/>
        <v/>
      </c>
      <c r="AB249" s="222" t="str">
        <f t="shared" si="75"/>
        <v>0 um /HH</v>
      </c>
      <c r="AC249" s="223">
        <f t="shared" si="76"/>
        <v>0</v>
      </c>
      <c r="AD249" s="224"/>
      <c r="AE249" s="225"/>
      <c r="AF249" s="226">
        <f t="shared" si="77"/>
        <v>0</v>
      </c>
      <c r="AG249" s="227">
        <f t="shared" si="78"/>
        <v>0</v>
      </c>
      <c r="AH249" s="228" t="s">
        <v>25</v>
      </c>
      <c r="AI249" s="229" t="str">
        <f t="shared" si="79"/>
        <v>Extremamente Complexa</v>
      </c>
      <c r="AJ249" s="230" t="str">
        <f t="shared" si="80"/>
        <v>Normal</v>
      </c>
      <c r="AK249" s="231">
        <f t="shared" si="81"/>
        <v>0</v>
      </c>
      <c r="AL249" s="232" t="str">
        <f t="shared" si="82"/>
        <v/>
      </c>
      <c r="AM249" s="233" t="str">
        <f t="shared" si="83"/>
        <v/>
      </c>
      <c r="AN249" s="233" t="str">
        <f t="shared" si="84"/>
        <v/>
      </c>
      <c r="AO249" s="234">
        <f t="shared" si="85"/>
        <v>0</v>
      </c>
      <c r="AP249" s="235">
        <f t="shared" si="86"/>
        <v>1</v>
      </c>
      <c r="AQ249" s="235">
        <f t="shared" si="86"/>
        <v>1</v>
      </c>
      <c r="AR249" s="235">
        <f t="shared" si="87"/>
        <v>1</v>
      </c>
      <c r="AS249" s="252">
        <f t="shared" si="88"/>
        <v>0</v>
      </c>
      <c r="AT249" s="238">
        <f t="shared" si="89"/>
        <v>0</v>
      </c>
      <c r="AU249" s="239">
        <f t="shared" si="90"/>
        <v>0</v>
      </c>
      <c r="AV249" s="239">
        <f t="shared" si="91"/>
        <v>0</v>
      </c>
      <c r="AW249" s="239">
        <f t="shared" si="92"/>
        <v>0.05</v>
      </c>
      <c r="AX249" s="240">
        <f t="shared" si="93"/>
        <v>0</v>
      </c>
      <c r="AY249" s="241" t="str">
        <f t="shared" si="94"/>
        <v/>
      </c>
      <c r="AZ249" s="242" t="str">
        <f>IFERROR(VLOOKUP(M249,'[1]Base Brasil Obras'!$C$2:$F$485,4,0),"")</f>
        <v/>
      </c>
      <c r="BA249" s="243">
        <f t="shared" si="95"/>
        <v>0</v>
      </c>
      <c r="BB249" s="244">
        <f t="shared" si="96"/>
        <v>0</v>
      </c>
      <c r="BC249" s="244">
        <f t="shared" si="97"/>
        <v>0.05</v>
      </c>
      <c r="BD249" s="245">
        <f t="shared" si="98"/>
        <v>0.95</v>
      </c>
      <c r="BE249" s="246">
        <f t="shared" si="99"/>
        <v>0</v>
      </c>
      <c r="BF249" s="247">
        <v>0</v>
      </c>
      <c r="BG249" s="248">
        <f t="shared" si="100"/>
        <v>1</v>
      </c>
      <c r="BH249" s="198"/>
      <c r="BI249" s="198"/>
      <c r="BJ249" s="199"/>
      <c r="BK249" s="200"/>
      <c r="BL249" s="200"/>
      <c r="BM249" s="200"/>
      <c r="BN249" s="200"/>
      <c r="BO249" s="10"/>
    </row>
    <row r="250" spans="1:67" ht="18" x14ac:dyDescent="0.25">
      <c r="A250" s="201">
        <v>142</v>
      </c>
      <c r="B250" s="286"/>
      <c r="C250" s="203">
        <f t="shared" si="68"/>
        <v>0</v>
      </c>
      <c r="D250" s="204"/>
      <c r="E250" s="204"/>
      <c r="F250" s="207"/>
      <c r="G250" s="206"/>
      <c r="H250" s="207"/>
      <c r="I250" s="208" t="s">
        <v>125</v>
      </c>
      <c r="J250" s="208" t="s">
        <v>126</v>
      </c>
      <c r="K250" s="287"/>
      <c r="L250" s="288"/>
      <c r="M250" s="289"/>
      <c r="N250" s="257"/>
      <c r="O250" s="213"/>
      <c r="P250" s="214"/>
      <c r="Q250" s="214"/>
      <c r="R250" s="214"/>
      <c r="S250" s="214"/>
      <c r="T250" s="214"/>
      <c r="U250" s="215">
        <f t="shared" si="69"/>
        <v>0</v>
      </c>
      <c r="V250" s="216" t="str">
        <f t="shared" si="70"/>
        <v/>
      </c>
      <c r="W250" s="217" t="str">
        <f t="shared" si="71"/>
        <v/>
      </c>
      <c r="X250" s="218" t="s">
        <v>20</v>
      </c>
      <c r="Y250" s="219" t="str">
        <f t="shared" si="72"/>
        <v>0 um/Dia</v>
      </c>
      <c r="Z250" s="220" t="str">
        <f t="shared" si="73"/>
        <v xml:space="preserve"> um / HH</v>
      </c>
      <c r="AA250" s="221" t="str">
        <f t="shared" si="74"/>
        <v/>
      </c>
      <c r="AB250" s="222" t="str">
        <f t="shared" si="75"/>
        <v>0 um /HH</v>
      </c>
      <c r="AC250" s="223">
        <f t="shared" si="76"/>
        <v>0</v>
      </c>
      <c r="AD250" s="224"/>
      <c r="AE250" s="225"/>
      <c r="AF250" s="226">
        <f t="shared" si="77"/>
        <v>0</v>
      </c>
      <c r="AG250" s="227">
        <f t="shared" si="78"/>
        <v>0</v>
      </c>
      <c r="AH250" s="228" t="s">
        <v>25</v>
      </c>
      <c r="AI250" s="229" t="str">
        <f t="shared" si="79"/>
        <v>Extremamente Complexa</v>
      </c>
      <c r="AJ250" s="230" t="str">
        <f t="shared" si="80"/>
        <v>Normal</v>
      </c>
      <c r="AK250" s="231">
        <f t="shared" si="81"/>
        <v>0</v>
      </c>
      <c r="AL250" s="232" t="str">
        <f t="shared" si="82"/>
        <v/>
      </c>
      <c r="AM250" s="233" t="str">
        <f t="shared" si="83"/>
        <v/>
      </c>
      <c r="AN250" s="233" t="str">
        <f t="shared" si="84"/>
        <v/>
      </c>
      <c r="AO250" s="234">
        <f t="shared" si="85"/>
        <v>0</v>
      </c>
      <c r="AP250" s="235">
        <f t="shared" si="86"/>
        <v>1</v>
      </c>
      <c r="AQ250" s="235">
        <f t="shared" si="86"/>
        <v>1</v>
      </c>
      <c r="AR250" s="236">
        <f t="shared" si="87"/>
        <v>1</v>
      </c>
      <c r="AS250" s="251">
        <f t="shared" si="88"/>
        <v>0</v>
      </c>
      <c r="AT250" s="238">
        <f t="shared" si="89"/>
        <v>0</v>
      </c>
      <c r="AU250" s="239">
        <f t="shared" si="90"/>
        <v>0</v>
      </c>
      <c r="AV250" s="239">
        <f t="shared" si="91"/>
        <v>0</v>
      </c>
      <c r="AW250" s="239">
        <f t="shared" si="92"/>
        <v>0.05</v>
      </c>
      <c r="AX250" s="240">
        <f t="shared" si="93"/>
        <v>0</v>
      </c>
      <c r="AY250" s="241" t="str">
        <f t="shared" si="94"/>
        <v/>
      </c>
      <c r="AZ250" s="242" t="str">
        <f>IFERROR(VLOOKUP(M250,'[1]Base Brasil Obras'!$C$2:$F$485,4,0),"")</f>
        <v/>
      </c>
      <c r="BA250" s="243">
        <f t="shared" si="95"/>
        <v>0</v>
      </c>
      <c r="BB250" s="244">
        <f t="shared" si="96"/>
        <v>0</v>
      </c>
      <c r="BC250" s="244">
        <f t="shared" si="97"/>
        <v>0.05</v>
      </c>
      <c r="BD250" s="245">
        <f t="shared" si="98"/>
        <v>0.95</v>
      </c>
      <c r="BE250" s="246">
        <f t="shared" si="99"/>
        <v>0</v>
      </c>
      <c r="BF250" s="247">
        <v>0</v>
      </c>
      <c r="BG250" s="248">
        <f t="shared" si="100"/>
        <v>1</v>
      </c>
      <c r="BH250" s="198"/>
      <c r="BI250" s="198"/>
      <c r="BJ250" s="199"/>
      <c r="BK250" s="200"/>
      <c r="BL250" s="200"/>
      <c r="BM250" s="200"/>
      <c r="BN250" s="200"/>
      <c r="BO250" s="10"/>
    </row>
    <row r="251" spans="1:67" ht="18" x14ac:dyDescent="0.25">
      <c r="A251" s="201">
        <v>143</v>
      </c>
      <c r="B251" s="286"/>
      <c r="C251" s="203">
        <f t="shared" si="68"/>
        <v>0</v>
      </c>
      <c r="D251" s="204"/>
      <c r="E251" s="204"/>
      <c r="F251" s="207"/>
      <c r="G251" s="206"/>
      <c r="H251" s="207"/>
      <c r="I251" s="208" t="s">
        <v>125</v>
      </c>
      <c r="J251" s="208" t="s">
        <v>126</v>
      </c>
      <c r="K251" s="287"/>
      <c r="L251" s="288"/>
      <c r="M251" s="289"/>
      <c r="N251" s="257"/>
      <c r="O251" s="213"/>
      <c r="P251" s="214"/>
      <c r="Q251" s="214"/>
      <c r="R251" s="214"/>
      <c r="S251" s="214"/>
      <c r="T251" s="214"/>
      <c r="U251" s="215">
        <f t="shared" si="69"/>
        <v>0</v>
      </c>
      <c r="V251" s="216" t="str">
        <f t="shared" si="70"/>
        <v/>
      </c>
      <c r="W251" s="217" t="str">
        <f t="shared" si="71"/>
        <v/>
      </c>
      <c r="X251" s="218" t="s">
        <v>20</v>
      </c>
      <c r="Y251" s="219" t="str">
        <f t="shared" si="72"/>
        <v>0 um/Dia</v>
      </c>
      <c r="Z251" s="220" t="str">
        <f t="shared" si="73"/>
        <v xml:space="preserve"> um / HH</v>
      </c>
      <c r="AA251" s="221" t="str">
        <f t="shared" si="74"/>
        <v/>
      </c>
      <c r="AB251" s="222" t="str">
        <f t="shared" si="75"/>
        <v>0 um /HH</v>
      </c>
      <c r="AC251" s="223">
        <f t="shared" si="76"/>
        <v>0</v>
      </c>
      <c r="AD251" s="224"/>
      <c r="AE251" s="225"/>
      <c r="AF251" s="226">
        <f t="shared" si="77"/>
        <v>0</v>
      </c>
      <c r="AG251" s="227">
        <f t="shared" si="78"/>
        <v>0</v>
      </c>
      <c r="AH251" s="228" t="s">
        <v>25</v>
      </c>
      <c r="AI251" s="229" t="str">
        <f t="shared" si="79"/>
        <v>Extremamente Complexa</v>
      </c>
      <c r="AJ251" s="230" t="str">
        <f t="shared" si="80"/>
        <v>Normal</v>
      </c>
      <c r="AK251" s="231">
        <f t="shared" si="81"/>
        <v>0</v>
      </c>
      <c r="AL251" s="232" t="str">
        <f t="shared" si="82"/>
        <v/>
      </c>
      <c r="AM251" s="233" t="str">
        <f t="shared" si="83"/>
        <v/>
      </c>
      <c r="AN251" s="233" t="str">
        <f t="shared" si="84"/>
        <v/>
      </c>
      <c r="AO251" s="234">
        <f t="shared" si="85"/>
        <v>0</v>
      </c>
      <c r="AP251" s="235">
        <f t="shared" si="86"/>
        <v>1</v>
      </c>
      <c r="AQ251" s="235">
        <f t="shared" si="86"/>
        <v>1</v>
      </c>
      <c r="AR251" s="235">
        <f t="shared" si="87"/>
        <v>1</v>
      </c>
      <c r="AS251" s="252">
        <f t="shared" si="88"/>
        <v>0</v>
      </c>
      <c r="AT251" s="238">
        <f t="shared" si="89"/>
        <v>0</v>
      </c>
      <c r="AU251" s="239">
        <f t="shared" si="90"/>
        <v>0</v>
      </c>
      <c r="AV251" s="239">
        <f t="shared" si="91"/>
        <v>0</v>
      </c>
      <c r="AW251" s="239">
        <f t="shared" si="92"/>
        <v>0.05</v>
      </c>
      <c r="AX251" s="240">
        <f t="shared" si="93"/>
        <v>0</v>
      </c>
      <c r="AY251" s="241" t="str">
        <f t="shared" si="94"/>
        <v/>
      </c>
      <c r="AZ251" s="242" t="str">
        <f>IFERROR(VLOOKUP(M251,'[1]Base Brasil Obras'!$C$2:$F$485,4,0),"")</f>
        <v/>
      </c>
      <c r="BA251" s="243">
        <f t="shared" si="95"/>
        <v>0</v>
      </c>
      <c r="BB251" s="244">
        <f t="shared" si="96"/>
        <v>0</v>
      </c>
      <c r="BC251" s="244">
        <f t="shared" si="97"/>
        <v>0.05</v>
      </c>
      <c r="BD251" s="245">
        <f t="shared" si="98"/>
        <v>0.95</v>
      </c>
      <c r="BE251" s="246">
        <f t="shared" si="99"/>
        <v>0</v>
      </c>
      <c r="BF251" s="247">
        <v>0</v>
      </c>
      <c r="BG251" s="248">
        <f t="shared" si="100"/>
        <v>1</v>
      </c>
      <c r="BH251" s="198"/>
      <c r="BI251" s="198"/>
      <c r="BJ251" s="199"/>
      <c r="BK251" s="200"/>
      <c r="BL251" s="200"/>
      <c r="BM251" s="200"/>
      <c r="BN251" s="200"/>
      <c r="BO251" s="10"/>
    </row>
    <row r="252" spans="1:67" ht="18" x14ac:dyDescent="0.25">
      <c r="A252" s="201">
        <v>144</v>
      </c>
      <c r="B252" s="286"/>
      <c r="C252" s="203">
        <f t="shared" si="68"/>
        <v>0</v>
      </c>
      <c r="D252" s="204"/>
      <c r="E252" s="204"/>
      <c r="F252" s="207"/>
      <c r="G252" s="206"/>
      <c r="H252" s="207"/>
      <c r="I252" s="208" t="s">
        <v>125</v>
      </c>
      <c r="J252" s="208" t="s">
        <v>126</v>
      </c>
      <c r="K252" s="287"/>
      <c r="L252" s="288"/>
      <c r="M252" s="289"/>
      <c r="N252" s="257"/>
      <c r="O252" s="213"/>
      <c r="P252" s="214"/>
      <c r="Q252" s="214"/>
      <c r="R252" s="214"/>
      <c r="S252" s="214"/>
      <c r="T252" s="214"/>
      <c r="U252" s="215">
        <f t="shared" si="69"/>
        <v>0</v>
      </c>
      <c r="V252" s="216" t="str">
        <f t="shared" si="70"/>
        <v/>
      </c>
      <c r="W252" s="217" t="str">
        <f t="shared" si="71"/>
        <v/>
      </c>
      <c r="X252" s="218" t="s">
        <v>20</v>
      </c>
      <c r="Y252" s="219" t="str">
        <f t="shared" si="72"/>
        <v>0 um/Dia</v>
      </c>
      <c r="Z252" s="220" t="str">
        <f t="shared" si="73"/>
        <v xml:space="preserve"> um / HH</v>
      </c>
      <c r="AA252" s="221" t="str">
        <f t="shared" si="74"/>
        <v/>
      </c>
      <c r="AB252" s="222" t="str">
        <f t="shared" si="75"/>
        <v>0 um /HH</v>
      </c>
      <c r="AC252" s="223">
        <f t="shared" si="76"/>
        <v>0</v>
      </c>
      <c r="AD252" s="224"/>
      <c r="AE252" s="225"/>
      <c r="AF252" s="226">
        <f t="shared" si="77"/>
        <v>0</v>
      </c>
      <c r="AG252" s="227">
        <f t="shared" si="78"/>
        <v>0</v>
      </c>
      <c r="AH252" s="228" t="s">
        <v>25</v>
      </c>
      <c r="AI252" s="229" t="str">
        <f t="shared" si="79"/>
        <v>Extremamente Complexa</v>
      </c>
      <c r="AJ252" s="230" t="str">
        <f t="shared" si="80"/>
        <v>Normal</v>
      </c>
      <c r="AK252" s="231">
        <f t="shared" si="81"/>
        <v>0</v>
      </c>
      <c r="AL252" s="232" t="str">
        <f t="shared" si="82"/>
        <v/>
      </c>
      <c r="AM252" s="233" t="str">
        <f t="shared" si="83"/>
        <v/>
      </c>
      <c r="AN252" s="233" t="str">
        <f t="shared" si="84"/>
        <v/>
      </c>
      <c r="AO252" s="234">
        <f t="shared" si="85"/>
        <v>0</v>
      </c>
      <c r="AP252" s="235">
        <f t="shared" si="86"/>
        <v>1</v>
      </c>
      <c r="AQ252" s="235">
        <f t="shared" si="86"/>
        <v>1</v>
      </c>
      <c r="AR252" s="236">
        <f t="shared" si="87"/>
        <v>1</v>
      </c>
      <c r="AS252" s="251">
        <f t="shared" si="88"/>
        <v>0</v>
      </c>
      <c r="AT252" s="238">
        <f t="shared" si="89"/>
        <v>0</v>
      </c>
      <c r="AU252" s="239">
        <f t="shared" si="90"/>
        <v>0</v>
      </c>
      <c r="AV252" s="239">
        <f t="shared" si="91"/>
        <v>0</v>
      </c>
      <c r="AW252" s="239">
        <f t="shared" si="92"/>
        <v>0.05</v>
      </c>
      <c r="AX252" s="240">
        <f t="shared" si="93"/>
        <v>0</v>
      </c>
      <c r="AY252" s="241" t="str">
        <f t="shared" si="94"/>
        <v/>
      </c>
      <c r="AZ252" s="242" t="str">
        <f>IFERROR(VLOOKUP(M252,'[1]Base Brasil Obras'!$C$2:$F$485,4,0),"")</f>
        <v/>
      </c>
      <c r="BA252" s="243">
        <f t="shared" si="95"/>
        <v>0</v>
      </c>
      <c r="BB252" s="244">
        <f t="shared" si="96"/>
        <v>0</v>
      </c>
      <c r="BC252" s="244">
        <f t="shared" si="97"/>
        <v>0.05</v>
      </c>
      <c r="BD252" s="245">
        <f t="shared" si="98"/>
        <v>0.95</v>
      </c>
      <c r="BE252" s="246">
        <f t="shared" si="99"/>
        <v>0</v>
      </c>
      <c r="BF252" s="247">
        <v>0</v>
      </c>
      <c r="BG252" s="248">
        <f t="shared" si="100"/>
        <v>1</v>
      </c>
      <c r="BH252" s="198"/>
      <c r="BI252" s="198"/>
      <c r="BJ252" s="199"/>
      <c r="BK252" s="200"/>
      <c r="BL252" s="200"/>
      <c r="BM252" s="200"/>
      <c r="BN252" s="200"/>
      <c r="BO252" s="10"/>
    </row>
    <row r="253" spans="1:67" ht="18" x14ac:dyDescent="0.25">
      <c r="A253" s="201">
        <v>145</v>
      </c>
      <c r="B253" s="286"/>
      <c r="C253" s="203">
        <f t="shared" si="68"/>
        <v>0</v>
      </c>
      <c r="D253" s="204"/>
      <c r="E253" s="204"/>
      <c r="F253" s="207"/>
      <c r="G253" s="206"/>
      <c r="H253" s="207"/>
      <c r="I253" s="208" t="s">
        <v>125</v>
      </c>
      <c r="J253" s="208" t="s">
        <v>126</v>
      </c>
      <c r="K253" s="287"/>
      <c r="L253" s="288"/>
      <c r="M253" s="289"/>
      <c r="N253" s="257"/>
      <c r="O253" s="213"/>
      <c r="P253" s="214"/>
      <c r="Q253" s="214"/>
      <c r="R253" s="214"/>
      <c r="S253" s="214"/>
      <c r="T253" s="214"/>
      <c r="U253" s="215">
        <f t="shared" si="69"/>
        <v>0</v>
      </c>
      <c r="V253" s="216" t="str">
        <f t="shared" si="70"/>
        <v/>
      </c>
      <c r="W253" s="217" t="str">
        <f t="shared" si="71"/>
        <v/>
      </c>
      <c r="X253" s="218" t="s">
        <v>20</v>
      </c>
      <c r="Y253" s="219" t="str">
        <f t="shared" si="72"/>
        <v>0 um/Dia</v>
      </c>
      <c r="Z253" s="220" t="str">
        <f t="shared" si="73"/>
        <v xml:space="preserve"> um / HH</v>
      </c>
      <c r="AA253" s="221" t="str">
        <f t="shared" si="74"/>
        <v/>
      </c>
      <c r="AB253" s="222" t="str">
        <f t="shared" si="75"/>
        <v>0 um /HH</v>
      </c>
      <c r="AC253" s="223">
        <f t="shared" si="76"/>
        <v>0</v>
      </c>
      <c r="AD253" s="224"/>
      <c r="AE253" s="225"/>
      <c r="AF253" s="226">
        <f t="shared" si="77"/>
        <v>0</v>
      </c>
      <c r="AG253" s="227">
        <f t="shared" si="78"/>
        <v>0</v>
      </c>
      <c r="AH253" s="228" t="s">
        <v>25</v>
      </c>
      <c r="AI253" s="229" t="str">
        <f t="shared" si="79"/>
        <v>Extremamente Complexa</v>
      </c>
      <c r="AJ253" s="230" t="str">
        <f t="shared" si="80"/>
        <v>Normal</v>
      </c>
      <c r="AK253" s="231">
        <f t="shared" si="81"/>
        <v>0</v>
      </c>
      <c r="AL253" s="232" t="str">
        <f t="shared" si="82"/>
        <v/>
      </c>
      <c r="AM253" s="233" t="str">
        <f t="shared" si="83"/>
        <v/>
      </c>
      <c r="AN253" s="233" t="str">
        <f t="shared" si="84"/>
        <v/>
      </c>
      <c r="AO253" s="234">
        <f t="shared" si="85"/>
        <v>0</v>
      </c>
      <c r="AP253" s="235">
        <f t="shared" si="86"/>
        <v>1</v>
      </c>
      <c r="AQ253" s="235">
        <f t="shared" si="86"/>
        <v>1</v>
      </c>
      <c r="AR253" s="235">
        <f t="shared" si="87"/>
        <v>1</v>
      </c>
      <c r="AS253" s="252">
        <f t="shared" si="88"/>
        <v>0</v>
      </c>
      <c r="AT253" s="238">
        <f t="shared" si="89"/>
        <v>0</v>
      </c>
      <c r="AU253" s="239">
        <f t="shared" si="90"/>
        <v>0</v>
      </c>
      <c r="AV253" s="239">
        <f t="shared" si="91"/>
        <v>0</v>
      </c>
      <c r="AW253" s="239">
        <f t="shared" si="92"/>
        <v>0.05</v>
      </c>
      <c r="AX253" s="240">
        <f t="shared" si="93"/>
        <v>0</v>
      </c>
      <c r="AY253" s="241" t="str">
        <f t="shared" si="94"/>
        <v/>
      </c>
      <c r="AZ253" s="242" t="str">
        <f>IFERROR(VLOOKUP(M253,'[1]Base Brasil Obras'!$C$2:$F$485,4,0),"")</f>
        <v/>
      </c>
      <c r="BA253" s="243">
        <f t="shared" si="95"/>
        <v>0</v>
      </c>
      <c r="BB253" s="244">
        <f t="shared" si="96"/>
        <v>0</v>
      </c>
      <c r="BC253" s="244">
        <f t="shared" si="97"/>
        <v>0.05</v>
      </c>
      <c r="BD253" s="245">
        <f t="shared" si="98"/>
        <v>0.95</v>
      </c>
      <c r="BE253" s="246">
        <f t="shared" si="99"/>
        <v>0</v>
      </c>
      <c r="BF253" s="247">
        <v>0</v>
      </c>
      <c r="BG253" s="248">
        <f t="shared" si="100"/>
        <v>1</v>
      </c>
      <c r="BH253" s="198"/>
      <c r="BI253" s="198"/>
      <c r="BJ253" s="199"/>
      <c r="BK253" s="200"/>
      <c r="BL253" s="200"/>
      <c r="BM253" s="200"/>
      <c r="BN253" s="200"/>
      <c r="BO253" s="10"/>
    </row>
    <row r="254" spans="1:67" ht="18" x14ac:dyDescent="0.25">
      <c r="A254" s="201">
        <v>146</v>
      </c>
      <c r="B254" s="286"/>
      <c r="C254" s="203">
        <f t="shared" si="68"/>
        <v>0</v>
      </c>
      <c r="D254" s="204"/>
      <c r="E254" s="204"/>
      <c r="F254" s="207"/>
      <c r="G254" s="206"/>
      <c r="H254" s="207"/>
      <c r="I254" s="208" t="s">
        <v>125</v>
      </c>
      <c r="J254" s="208" t="s">
        <v>126</v>
      </c>
      <c r="K254" s="287"/>
      <c r="L254" s="288"/>
      <c r="M254" s="289"/>
      <c r="N254" s="257"/>
      <c r="O254" s="213"/>
      <c r="P254" s="214"/>
      <c r="Q254" s="214"/>
      <c r="R254" s="214"/>
      <c r="S254" s="214"/>
      <c r="T254" s="214"/>
      <c r="U254" s="215">
        <f t="shared" si="69"/>
        <v>0</v>
      </c>
      <c r="V254" s="216" t="str">
        <f t="shared" si="70"/>
        <v/>
      </c>
      <c r="W254" s="217" t="str">
        <f t="shared" si="71"/>
        <v/>
      </c>
      <c r="X254" s="218" t="s">
        <v>20</v>
      </c>
      <c r="Y254" s="219" t="str">
        <f t="shared" si="72"/>
        <v>0 um/Dia</v>
      </c>
      <c r="Z254" s="220" t="str">
        <f t="shared" si="73"/>
        <v xml:space="preserve"> um / HH</v>
      </c>
      <c r="AA254" s="221" t="str">
        <f t="shared" si="74"/>
        <v/>
      </c>
      <c r="AB254" s="222" t="str">
        <f t="shared" si="75"/>
        <v>0 um /HH</v>
      </c>
      <c r="AC254" s="223">
        <f t="shared" si="76"/>
        <v>0</v>
      </c>
      <c r="AD254" s="224"/>
      <c r="AE254" s="225"/>
      <c r="AF254" s="226">
        <f t="shared" si="77"/>
        <v>0</v>
      </c>
      <c r="AG254" s="227">
        <f t="shared" si="78"/>
        <v>0</v>
      </c>
      <c r="AH254" s="228" t="s">
        <v>25</v>
      </c>
      <c r="AI254" s="229" t="str">
        <f t="shared" si="79"/>
        <v>Extremamente Complexa</v>
      </c>
      <c r="AJ254" s="230" t="str">
        <f t="shared" si="80"/>
        <v>Normal</v>
      </c>
      <c r="AK254" s="231">
        <f t="shared" si="81"/>
        <v>0</v>
      </c>
      <c r="AL254" s="232" t="str">
        <f t="shared" si="82"/>
        <v/>
      </c>
      <c r="AM254" s="233" t="str">
        <f t="shared" si="83"/>
        <v/>
      </c>
      <c r="AN254" s="233" t="str">
        <f t="shared" si="84"/>
        <v/>
      </c>
      <c r="AO254" s="234">
        <f t="shared" si="85"/>
        <v>0</v>
      </c>
      <c r="AP254" s="235">
        <f t="shared" si="86"/>
        <v>1</v>
      </c>
      <c r="AQ254" s="235">
        <f t="shared" si="86"/>
        <v>1</v>
      </c>
      <c r="AR254" s="236">
        <f t="shared" si="87"/>
        <v>1</v>
      </c>
      <c r="AS254" s="251">
        <f t="shared" si="88"/>
        <v>0</v>
      </c>
      <c r="AT254" s="238">
        <f t="shared" si="89"/>
        <v>0</v>
      </c>
      <c r="AU254" s="239">
        <f t="shared" si="90"/>
        <v>0</v>
      </c>
      <c r="AV254" s="239">
        <f t="shared" si="91"/>
        <v>0</v>
      </c>
      <c r="AW254" s="239">
        <f t="shared" si="92"/>
        <v>0.05</v>
      </c>
      <c r="AX254" s="240">
        <f t="shared" si="93"/>
        <v>0</v>
      </c>
      <c r="AY254" s="241" t="str">
        <f t="shared" si="94"/>
        <v/>
      </c>
      <c r="AZ254" s="242" t="str">
        <f>IFERROR(VLOOKUP(M254,'[1]Base Brasil Obras'!$C$2:$F$485,4,0),"")</f>
        <v/>
      </c>
      <c r="BA254" s="243">
        <f t="shared" si="95"/>
        <v>0</v>
      </c>
      <c r="BB254" s="244">
        <f t="shared" si="96"/>
        <v>0</v>
      </c>
      <c r="BC254" s="244">
        <f t="shared" si="97"/>
        <v>0.05</v>
      </c>
      <c r="BD254" s="245">
        <f t="shared" si="98"/>
        <v>0.95</v>
      </c>
      <c r="BE254" s="246">
        <f t="shared" si="99"/>
        <v>0</v>
      </c>
      <c r="BF254" s="247">
        <v>0</v>
      </c>
      <c r="BG254" s="248">
        <f t="shared" si="100"/>
        <v>1</v>
      </c>
      <c r="BH254" s="198"/>
      <c r="BI254" s="198"/>
      <c r="BJ254" s="199"/>
      <c r="BK254" s="200"/>
      <c r="BL254" s="200"/>
      <c r="BM254" s="200"/>
      <c r="BN254" s="200"/>
      <c r="BO254" s="10"/>
    </row>
    <row r="255" spans="1:67" ht="18" x14ac:dyDescent="0.25">
      <c r="A255" s="201">
        <v>147</v>
      </c>
      <c r="B255" s="286"/>
      <c r="C255" s="203">
        <f t="shared" si="68"/>
        <v>0</v>
      </c>
      <c r="D255" s="204"/>
      <c r="E255" s="204"/>
      <c r="F255" s="207"/>
      <c r="G255" s="206"/>
      <c r="H255" s="207"/>
      <c r="I255" s="208" t="s">
        <v>125</v>
      </c>
      <c r="J255" s="208" t="s">
        <v>126</v>
      </c>
      <c r="K255" s="287"/>
      <c r="L255" s="288"/>
      <c r="M255" s="289"/>
      <c r="N255" s="257"/>
      <c r="O255" s="213"/>
      <c r="P255" s="214"/>
      <c r="Q255" s="214"/>
      <c r="R255" s="214"/>
      <c r="S255" s="214"/>
      <c r="T255" s="214"/>
      <c r="U255" s="215">
        <f t="shared" si="69"/>
        <v>0</v>
      </c>
      <c r="V255" s="216" t="str">
        <f t="shared" si="70"/>
        <v/>
      </c>
      <c r="W255" s="217" t="str">
        <f t="shared" si="71"/>
        <v/>
      </c>
      <c r="X255" s="218" t="s">
        <v>20</v>
      </c>
      <c r="Y255" s="219" t="str">
        <f t="shared" si="72"/>
        <v>0 um/Dia</v>
      </c>
      <c r="Z255" s="220" t="str">
        <f t="shared" si="73"/>
        <v xml:space="preserve"> um / HH</v>
      </c>
      <c r="AA255" s="221" t="str">
        <f t="shared" si="74"/>
        <v/>
      </c>
      <c r="AB255" s="222" t="str">
        <f t="shared" si="75"/>
        <v>0 um /HH</v>
      </c>
      <c r="AC255" s="223">
        <f t="shared" si="76"/>
        <v>0</v>
      </c>
      <c r="AD255" s="224"/>
      <c r="AE255" s="225"/>
      <c r="AF255" s="226">
        <f t="shared" si="77"/>
        <v>0</v>
      </c>
      <c r="AG255" s="227">
        <f t="shared" si="78"/>
        <v>0</v>
      </c>
      <c r="AH255" s="228" t="s">
        <v>25</v>
      </c>
      <c r="AI255" s="229" t="str">
        <f t="shared" si="79"/>
        <v>Extremamente Complexa</v>
      </c>
      <c r="AJ255" s="230" t="str">
        <f t="shared" si="80"/>
        <v>Normal</v>
      </c>
      <c r="AK255" s="231">
        <f t="shared" si="81"/>
        <v>0</v>
      </c>
      <c r="AL255" s="232" t="str">
        <f t="shared" si="82"/>
        <v/>
      </c>
      <c r="AM255" s="233" t="str">
        <f t="shared" si="83"/>
        <v/>
      </c>
      <c r="AN255" s="233" t="str">
        <f t="shared" si="84"/>
        <v/>
      </c>
      <c r="AO255" s="234">
        <f t="shared" si="85"/>
        <v>0</v>
      </c>
      <c r="AP255" s="235">
        <f t="shared" si="86"/>
        <v>1</v>
      </c>
      <c r="AQ255" s="235">
        <f t="shared" si="86"/>
        <v>1</v>
      </c>
      <c r="AR255" s="235">
        <f t="shared" si="87"/>
        <v>1</v>
      </c>
      <c r="AS255" s="252">
        <f t="shared" si="88"/>
        <v>0</v>
      </c>
      <c r="AT255" s="238">
        <f t="shared" si="89"/>
        <v>0</v>
      </c>
      <c r="AU255" s="239">
        <f t="shared" si="90"/>
        <v>0</v>
      </c>
      <c r="AV255" s="239">
        <f t="shared" si="91"/>
        <v>0</v>
      </c>
      <c r="AW255" s="239">
        <f t="shared" si="92"/>
        <v>0.05</v>
      </c>
      <c r="AX255" s="240">
        <f t="shared" si="93"/>
        <v>0</v>
      </c>
      <c r="AY255" s="241" t="str">
        <f t="shared" si="94"/>
        <v/>
      </c>
      <c r="AZ255" s="242" t="str">
        <f>IFERROR(VLOOKUP(M255,'[1]Base Brasil Obras'!$C$2:$F$485,4,0),"")</f>
        <v/>
      </c>
      <c r="BA255" s="243">
        <f t="shared" si="95"/>
        <v>0</v>
      </c>
      <c r="BB255" s="244">
        <f t="shared" si="96"/>
        <v>0</v>
      </c>
      <c r="BC255" s="244">
        <f t="shared" si="97"/>
        <v>0.05</v>
      </c>
      <c r="BD255" s="245">
        <f t="shared" si="98"/>
        <v>0.95</v>
      </c>
      <c r="BE255" s="246">
        <f t="shared" si="99"/>
        <v>0</v>
      </c>
      <c r="BF255" s="247">
        <v>0</v>
      </c>
      <c r="BG255" s="248">
        <f t="shared" si="100"/>
        <v>1</v>
      </c>
      <c r="BH255" s="198"/>
      <c r="BI255" s="198"/>
      <c r="BJ255" s="199"/>
      <c r="BK255" s="200"/>
      <c r="BL255" s="200"/>
      <c r="BM255" s="200"/>
      <c r="BN255" s="200"/>
      <c r="BO255" s="10"/>
    </row>
    <row r="256" spans="1:67" ht="18" x14ac:dyDescent="0.25">
      <c r="A256" s="201">
        <v>148</v>
      </c>
      <c r="B256" s="286"/>
      <c r="C256" s="203">
        <f t="shared" si="68"/>
        <v>0</v>
      </c>
      <c r="D256" s="204"/>
      <c r="E256" s="204"/>
      <c r="F256" s="207"/>
      <c r="G256" s="206"/>
      <c r="H256" s="207"/>
      <c r="I256" s="208" t="s">
        <v>125</v>
      </c>
      <c r="J256" s="208" t="s">
        <v>126</v>
      </c>
      <c r="K256" s="287"/>
      <c r="L256" s="288"/>
      <c r="M256" s="289"/>
      <c r="N256" s="257"/>
      <c r="O256" s="213"/>
      <c r="P256" s="214"/>
      <c r="Q256" s="214"/>
      <c r="R256" s="214"/>
      <c r="S256" s="214"/>
      <c r="T256" s="214"/>
      <c r="U256" s="215">
        <f t="shared" si="69"/>
        <v>0</v>
      </c>
      <c r="V256" s="216" t="str">
        <f t="shared" si="70"/>
        <v/>
      </c>
      <c r="W256" s="217" t="str">
        <f t="shared" si="71"/>
        <v/>
      </c>
      <c r="X256" s="218" t="s">
        <v>20</v>
      </c>
      <c r="Y256" s="219" t="str">
        <f t="shared" si="72"/>
        <v>0 um/Dia</v>
      </c>
      <c r="Z256" s="220" t="str">
        <f t="shared" si="73"/>
        <v xml:space="preserve"> um / HH</v>
      </c>
      <c r="AA256" s="221" t="str">
        <f t="shared" si="74"/>
        <v/>
      </c>
      <c r="AB256" s="222" t="str">
        <f t="shared" si="75"/>
        <v>0 um /HH</v>
      </c>
      <c r="AC256" s="223">
        <f t="shared" si="76"/>
        <v>0</v>
      </c>
      <c r="AD256" s="224"/>
      <c r="AE256" s="225"/>
      <c r="AF256" s="226">
        <f t="shared" si="77"/>
        <v>0</v>
      </c>
      <c r="AG256" s="227">
        <f t="shared" si="78"/>
        <v>0</v>
      </c>
      <c r="AH256" s="228" t="s">
        <v>25</v>
      </c>
      <c r="AI256" s="229" t="str">
        <f t="shared" si="79"/>
        <v>Extremamente Complexa</v>
      </c>
      <c r="AJ256" s="230" t="str">
        <f t="shared" si="80"/>
        <v>Normal</v>
      </c>
      <c r="AK256" s="231">
        <f t="shared" si="81"/>
        <v>0</v>
      </c>
      <c r="AL256" s="232" t="str">
        <f t="shared" si="82"/>
        <v/>
      </c>
      <c r="AM256" s="233" t="str">
        <f t="shared" si="83"/>
        <v/>
      </c>
      <c r="AN256" s="233" t="str">
        <f t="shared" si="84"/>
        <v/>
      </c>
      <c r="AO256" s="234">
        <f t="shared" si="85"/>
        <v>0</v>
      </c>
      <c r="AP256" s="235">
        <f t="shared" si="86"/>
        <v>1</v>
      </c>
      <c r="AQ256" s="235">
        <f t="shared" si="86"/>
        <v>1</v>
      </c>
      <c r="AR256" s="236">
        <f t="shared" si="87"/>
        <v>1</v>
      </c>
      <c r="AS256" s="251">
        <f t="shared" si="88"/>
        <v>0</v>
      </c>
      <c r="AT256" s="238">
        <f t="shared" si="89"/>
        <v>0</v>
      </c>
      <c r="AU256" s="239">
        <f t="shared" si="90"/>
        <v>0</v>
      </c>
      <c r="AV256" s="239">
        <f t="shared" si="91"/>
        <v>0</v>
      </c>
      <c r="AW256" s="239">
        <f t="shared" si="92"/>
        <v>0.05</v>
      </c>
      <c r="AX256" s="240">
        <f t="shared" si="93"/>
        <v>0</v>
      </c>
      <c r="AY256" s="241" t="str">
        <f t="shared" si="94"/>
        <v/>
      </c>
      <c r="AZ256" s="242" t="str">
        <f>IFERROR(VLOOKUP(M256,'[1]Base Brasil Obras'!$C$2:$F$485,4,0),"")</f>
        <v/>
      </c>
      <c r="BA256" s="243">
        <f t="shared" si="95"/>
        <v>0</v>
      </c>
      <c r="BB256" s="244">
        <f t="shared" si="96"/>
        <v>0</v>
      </c>
      <c r="BC256" s="244">
        <f t="shared" si="97"/>
        <v>0.05</v>
      </c>
      <c r="BD256" s="245">
        <f t="shared" si="98"/>
        <v>0.95</v>
      </c>
      <c r="BE256" s="246">
        <f t="shared" si="99"/>
        <v>0</v>
      </c>
      <c r="BF256" s="247">
        <v>0</v>
      </c>
      <c r="BG256" s="248">
        <f t="shared" si="100"/>
        <v>1</v>
      </c>
      <c r="BH256" s="198"/>
      <c r="BI256" s="198"/>
      <c r="BJ256" s="199"/>
      <c r="BK256" s="200"/>
      <c r="BL256" s="200"/>
      <c r="BM256" s="200"/>
      <c r="BN256" s="200"/>
      <c r="BO256" s="10"/>
    </row>
    <row r="257" spans="1:67" ht="18" x14ac:dyDescent="0.25">
      <c r="A257" s="201">
        <v>149</v>
      </c>
      <c r="B257" s="286"/>
      <c r="C257" s="203">
        <f t="shared" si="68"/>
        <v>0</v>
      </c>
      <c r="D257" s="204"/>
      <c r="E257" s="204"/>
      <c r="F257" s="207"/>
      <c r="G257" s="206"/>
      <c r="H257" s="207"/>
      <c r="I257" s="208" t="s">
        <v>125</v>
      </c>
      <c r="J257" s="208" t="s">
        <v>126</v>
      </c>
      <c r="K257" s="287"/>
      <c r="L257" s="288"/>
      <c r="M257" s="289"/>
      <c r="N257" s="257"/>
      <c r="O257" s="213"/>
      <c r="P257" s="214"/>
      <c r="Q257" s="214"/>
      <c r="R257" s="214"/>
      <c r="S257" s="214"/>
      <c r="T257" s="214"/>
      <c r="U257" s="215">
        <f t="shared" si="69"/>
        <v>0</v>
      </c>
      <c r="V257" s="216" t="str">
        <f t="shared" si="70"/>
        <v/>
      </c>
      <c r="W257" s="217" t="str">
        <f t="shared" si="71"/>
        <v/>
      </c>
      <c r="X257" s="218" t="s">
        <v>20</v>
      </c>
      <c r="Y257" s="219" t="str">
        <f t="shared" si="72"/>
        <v>0 um/Dia</v>
      </c>
      <c r="Z257" s="220" t="str">
        <f t="shared" si="73"/>
        <v xml:space="preserve"> um / HH</v>
      </c>
      <c r="AA257" s="221" t="str">
        <f t="shared" si="74"/>
        <v/>
      </c>
      <c r="AB257" s="222" t="str">
        <f t="shared" si="75"/>
        <v>0 um /HH</v>
      </c>
      <c r="AC257" s="223">
        <f t="shared" si="76"/>
        <v>0</v>
      </c>
      <c r="AD257" s="224"/>
      <c r="AE257" s="225"/>
      <c r="AF257" s="226">
        <f t="shared" si="77"/>
        <v>0</v>
      </c>
      <c r="AG257" s="227">
        <f t="shared" si="78"/>
        <v>0</v>
      </c>
      <c r="AH257" s="228" t="s">
        <v>25</v>
      </c>
      <c r="AI257" s="229" t="str">
        <f t="shared" si="79"/>
        <v>Extremamente Complexa</v>
      </c>
      <c r="AJ257" s="230" t="str">
        <f t="shared" si="80"/>
        <v>Normal</v>
      </c>
      <c r="AK257" s="231">
        <f t="shared" si="81"/>
        <v>0</v>
      </c>
      <c r="AL257" s="232" t="str">
        <f t="shared" si="82"/>
        <v/>
      </c>
      <c r="AM257" s="233" t="str">
        <f t="shared" si="83"/>
        <v/>
      </c>
      <c r="AN257" s="233" t="str">
        <f t="shared" si="84"/>
        <v/>
      </c>
      <c r="AO257" s="234">
        <f t="shared" si="85"/>
        <v>0</v>
      </c>
      <c r="AP257" s="235">
        <f t="shared" si="86"/>
        <v>1</v>
      </c>
      <c r="AQ257" s="235">
        <f t="shared" si="86"/>
        <v>1</v>
      </c>
      <c r="AR257" s="235">
        <f t="shared" si="87"/>
        <v>1</v>
      </c>
      <c r="AS257" s="252">
        <f t="shared" si="88"/>
        <v>0</v>
      </c>
      <c r="AT257" s="238">
        <f t="shared" si="89"/>
        <v>0</v>
      </c>
      <c r="AU257" s="239">
        <f t="shared" si="90"/>
        <v>0</v>
      </c>
      <c r="AV257" s="239">
        <f t="shared" si="91"/>
        <v>0</v>
      </c>
      <c r="AW257" s="239">
        <f t="shared" si="92"/>
        <v>0.05</v>
      </c>
      <c r="AX257" s="240">
        <f t="shared" si="93"/>
        <v>0</v>
      </c>
      <c r="AY257" s="241" t="str">
        <f t="shared" si="94"/>
        <v/>
      </c>
      <c r="AZ257" s="242" t="str">
        <f>IFERROR(VLOOKUP(M257,'[1]Base Brasil Obras'!$C$2:$F$485,4,0),"")</f>
        <v/>
      </c>
      <c r="BA257" s="243">
        <f t="shared" si="95"/>
        <v>0</v>
      </c>
      <c r="BB257" s="244">
        <f t="shared" si="96"/>
        <v>0</v>
      </c>
      <c r="BC257" s="244">
        <f t="shared" si="97"/>
        <v>0.05</v>
      </c>
      <c r="BD257" s="245">
        <f t="shared" si="98"/>
        <v>0.95</v>
      </c>
      <c r="BE257" s="246">
        <f t="shared" si="99"/>
        <v>0</v>
      </c>
      <c r="BF257" s="247">
        <v>0</v>
      </c>
      <c r="BG257" s="248">
        <f t="shared" si="100"/>
        <v>1</v>
      </c>
      <c r="BH257" s="198"/>
      <c r="BI257" s="198"/>
      <c r="BJ257" s="199"/>
      <c r="BK257" s="200"/>
      <c r="BL257" s="200"/>
      <c r="BM257" s="200"/>
      <c r="BN257" s="200"/>
      <c r="BO257" s="10"/>
    </row>
    <row r="258" spans="1:67" ht="18" x14ac:dyDescent="0.25">
      <c r="A258" s="201">
        <v>150</v>
      </c>
      <c r="B258" s="286"/>
      <c r="C258" s="203">
        <f t="shared" si="68"/>
        <v>0</v>
      </c>
      <c r="D258" s="204"/>
      <c r="E258" s="204"/>
      <c r="F258" s="207"/>
      <c r="G258" s="206"/>
      <c r="H258" s="207"/>
      <c r="I258" s="208" t="s">
        <v>125</v>
      </c>
      <c r="J258" s="208" t="s">
        <v>126</v>
      </c>
      <c r="K258" s="287"/>
      <c r="L258" s="288"/>
      <c r="M258" s="289"/>
      <c r="N258" s="257"/>
      <c r="O258" s="213"/>
      <c r="P258" s="214"/>
      <c r="Q258" s="214"/>
      <c r="R258" s="214"/>
      <c r="S258" s="214"/>
      <c r="T258" s="214"/>
      <c r="U258" s="215">
        <f t="shared" si="69"/>
        <v>0</v>
      </c>
      <c r="V258" s="216" t="str">
        <f t="shared" si="70"/>
        <v/>
      </c>
      <c r="W258" s="217" t="str">
        <f t="shared" si="71"/>
        <v/>
      </c>
      <c r="X258" s="218" t="s">
        <v>20</v>
      </c>
      <c r="Y258" s="219" t="str">
        <f t="shared" si="72"/>
        <v>0 um/Dia</v>
      </c>
      <c r="Z258" s="220" t="str">
        <f t="shared" si="73"/>
        <v xml:space="preserve"> um / HH</v>
      </c>
      <c r="AA258" s="221" t="str">
        <f t="shared" si="74"/>
        <v/>
      </c>
      <c r="AB258" s="222" t="str">
        <f t="shared" si="75"/>
        <v>0 um /HH</v>
      </c>
      <c r="AC258" s="223">
        <f t="shared" si="76"/>
        <v>0</v>
      </c>
      <c r="AD258" s="224"/>
      <c r="AE258" s="225"/>
      <c r="AF258" s="226">
        <f t="shared" si="77"/>
        <v>0</v>
      </c>
      <c r="AG258" s="227">
        <f t="shared" si="78"/>
        <v>0</v>
      </c>
      <c r="AH258" s="228" t="s">
        <v>25</v>
      </c>
      <c r="AI258" s="229" t="str">
        <f t="shared" si="79"/>
        <v>Extremamente Complexa</v>
      </c>
      <c r="AJ258" s="230" t="str">
        <f t="shared" si="80"/>
        <v>Normal</v>
      </c>
      <c r="AK258" s="231">
        <f t="shared" si="81"/>
        <v>0</v>
      </c>
      <c r="AL258" s="232" t="str">
        <f t="shared" si="82"/>
        <v/>
      </c>
      <c r="AM258" s="233" t="str">
        <f t="shared" si="83"/>
        <v/>
      </c>
      <c r="AN258" s="233" t="str">
        <f t="shared" si="84"/>
        <v/>
      </c>
      <c r="AO258" s="234">
        <f t="shared" si="85"/>
        <v>0</v>
      </c>
      <c r="AP258" s="235">
        <f t="shared" si="86"/>
        <v>1</v>
      </c>
      <c r="AQ258" s="235">
        <f t="shared" si="86"/>
        <v>1</v>
      </c>
      <c r="AR258" s="236">
        <f t="shared" si="87"/>
        <v>1</v>
      </c>
      <c r="AS258" s="251">
        <f t="shared" si="88"/>
        <v>0</v>
      </c>
      <c r="AT258" s="238">
        <f t="shared" si="89"/>
        <v>0</v>
      </c>
      <c r="AU258" s="239">
        <f t="shared" si="90"/>
        <v>0</v>
      </c>
      <c r="AV258" s="239">
        <f t="shared" si="91"/>
        <v>0</v>
      </c>
      <c r="AW258" s="239">
        <f t="shared" si="92"/>
        <v>0.05</v>
      </c>
      <c r="AX258" s="240">
        <f t="shared" si="93"/>
        <v>0</v>
      </c>
      <c r="AY258" s="241" t="str">
        <f t="shared" si="94"/>
        <v/>
      </c>
      <c r="AZ258" s="242" t="str">
        <f>IFERROR(VLOOKUP(M258,'[1]Base Brasil Obras'!$C$2:$F$485,4,0),"")</f>
        <v/>
      </c>
      <c r="BA258" s="243">
        <f t="shared" si="95"/>
        <v>0</v>
      </c>
      <c r="BB258" s="244">
        <f t="shared" si="96"/>
        <v>0</v>
      </c>
      <c r="BC258" s="244">
        <f t="shared" si="97"/>
        <v>0.05</v>
      </c>
      <c r="BD258" s="245">
        <f t="shared" si="98"/>
        <v>0.95</v>
      </c>
      <c r="BE258" s="246">
        <f t="shared" si="99"/>
        <v>0</v>
      </c>
      <c r="BF258" s="247">
        <v>0</v>
      </c>
      <c r="BG258" s="248">
        <f t="shared" si="100"/>
        <v>1</v>
      </c>
      <c r="BH258" s="198"/>
      <c r="BI258" s="198"/>
      <c r="BJ258" s="199"/>
      <c r="BK258" s="200"/>
      <c r="BL258" s="200"/>
      <c r="BM258" s="200"/>
      <c r="BN258" s="200"/>
      <c r="BO258" s="10"/>
    </row>
    <row r="259" spans="1:67" ht="18" x14ac:dyDescent="0.25">
      <c r="A259" s="201">
        <v>151</v>
      </c>
      <c r="B259" s="286"/>
      <c r="C259" s="203">
        <f t="shared" si="68"/>
        <v>0</v>
      </c>
      <c r="D259" s="204"/>
      <c r="E259" s="204"/>
      <c r="F259" s="207"/>
      <c r="G259" s="206"/>
      <c r="H259" s="207"/>
      <c r="I259" s="208" t="s">
        <v>125</v>
      </c>
      <c r="J259" s="208" t="s">
        <v>126</v>
      </c>
      <c r="K259" s="287"/>
      <c r="L259" s="288"/>
      <c r="M259" s="289"/>
      <c r="N259" s="257"/>
      <c r="O259" s="213"/>
      <c r="P259" s="214"/>
      <c r="Q259" s="214"/>
      <c r="R259" s="214"/>
      <c r="S259" s="214"/>
      <c r="T259" s="214"/>
      <c r="U259" s="215">
        <f t="shared" si="69"/>
        <v>0</v>
      </c>
      <c r="V259" s="216" t="str">
        <f t="shared" si="70"/>
        <v/>
      </c>
      <c r="W259" s="217" t="str">
        <f t="shared" si="71"/>
        <v/>
      </c>
      <c r="X259" s="218" t="s">
        <v>20</v>
      </c>
      <c r="Y259" s="219" t="str">
        <f t="shared" si="72"/>
        <v>0 um/Dia</v>
      </c>
      <c r="Z259" s="220" t="str">
        <f t="shared" si="73"/>
        <v xml:space="preserve"> um / HH</v>
      </c>
      <c r="AA259" s="221" t="str">
        <f t="shared" si="74"/>
        <v/>
      </c>
      <c r="AB259" s="222" t="str">
        <f t="shared" si="75"/>
        <v>0 um /HH</v>
      </c>
      <c r="AC259" s="223">
        <f t="shared" si="76"/>
        <v>0</v>
      </c>
      <c r="AD259" s="224"/>
      <c r="AE259" s="225"/>
      <c r="AF259" s="226">
        <f t="shared" si="77"/>
        <v>0</v>
      </c>
      <c r="AG259" s="227">
        <f t="shared" si="78"/>
        <v>0</v>
      </c>
      <c r="AH259" s="228" t="s">
        <v>25</v>
      </c>
      <c r="AI259" s="229" t="str">
        <f t="shared" si="79"/>
        <v>Extremamente Complexa</v>
      </c>
      <c r="AJ259" s="230" t="str">
        <f t="shared" si="80"/>
        <v>Normal</v>
      </c>
      <c r="AK259" s="231">
        <f t="shared" si="81"/>
        <v>0</v>
      </c>
      <c r="AL259" s="232" t="str">
        <f t="shared" si="82"/>
        <v/>
      </c>
      <c r="AM259" s="233" t="str">
        <f t="shared" si="83"/>
        <v/>
      </c>
      <c r="AN259" s="233" t="str">
        <f t="shared" si="84"/>
        <v/>
      </c>
      <c r="AO259" s="234">
        <f t="shared" si="85"/>
        <v>0</v>
      </c>
      <c r="AP259" s="235">
        <f t="shared" si="86"/>
        <v>1</v>
      </c>
      <c r="AQ259" s="235">
        <f t="shared" si="86"/>
        <v>1</v>
      </c>
      <c r="AR259" s="235">
        <f t="shared" si="87"/>
        <v>1</v>
      </c>
      <c r="AS259" s="252">
        <f t="shared" si="88"/>
        <v>0</v>
      </c>
      <c r="AT259" s="238">
        <f t="shared" si="89"/>
        <v>0</v>
      </c>
      <c r="AU259" s="239">
        <f t="shared" si="90"/>
        <v>0</v>
      </c>
      <c r="AV259" s="239">
        <f t="shared" si="91"/>
        <v>0</v>
      </c>
      <c r="AW259" s="239">
        <f t="shared" si="92"/>
        <v>0.05</v>
      </c>
      <c r="AX259" s="240">
        <f t="shared" si="93"/>
        <v>0</v>
      </c>
      <c r="AY259" s="241" t="str">
        <f t="shared" si="94"/>
        <v/>
      </c>
      <c r="AZ259" s="242" t="str">
        <f>IFERROR(VLOOKUP(M259,'[1]Base Brasil Obras'!$C$2:$F$485,4,0),"")</f>
        <v/>
      </c>
      <c r="BA259" s="243">
        <f t="shared" si="95"/>
        <v>0</v>
      </c>
      <c r="BB259" s="244">
        <f t="shared" si="96"/>
        <v>0</v>
      </c>
      <c r="BC259" s="244">
        <f t="shared" si="97"/>
        <v>0.05</v>
      </c>
      <c r="BD259" s="245">
        <f t="shared" si="98"/>
        <v>0.95</v>
      </c>
      <c r="BE259" s="246">
        <f t="shared" si="99"/>
        <v>0</v>
      </c>
      <c r="BF259" s="247">
        <v>0</v>
      </c>
      <c r="BG259" s="248">
        <f t="shared" si="100"/>
        <v>1</v>
      </c>
      <c r="BH259" s="198"/>
      <c r="BI259" s="198"/>
      <c r="BJ259" s="199"/>
      <c r="BK259" s="200"/>
      <c r="BL259" s="200"/>
      <c r="BM259" s="200"/>
      <c r="BN259" s="200"/>
      <c r="BO259" s="10"/>
    </row>
    <row r="260" spans="1:67" ht="18" x14ac:dyDescent="0.25">
      <c r="A260" s="201">
        <v>152</v>
      </c>
      <c r="B260" s="286"/>
      <c r="C260" s="203">
        <f t="shared" si="68"/>
        <v>0</v>
      </c>
      <c r="D260" s="204"/>
      <c r="E260" s="204"/>
      <c r="F260" s="207"/>
      <c r="G260" s="206"/>
      <c r="H260" s="207"/>
      <c r="I260" s="208" t="s">
        <v>125</v>
      </c>
      <c r="J260" s="208" t="s">
        <v>126</v>
      </c>
      <c r="K260" s="287"/>
      <c r="L260" s="288"/>
      <c r="M260" s="289"/>
      <c r="N260" s="257"/>
      <c r="O260" s="213"/>
      <c r="P260" s="214"/>
      <c r="Q260" s="214"/>
      <c r="R260" s="214"/>
      <c r="S260" s="214"/>
      <c r="T260" s="214"/>
      <c r="U260" s="215">
        <f t="shared" si="69"/>
        <v>0</v>
      </c>
      <c r="V260" s="216" t="str">
        <f t="shared" si="70"/>
        <v/>
      </c>
      <c r="W260" s="217" t="str">
        <f t="shared" si="71"/>
        <v/>
      </c>
      <c r="X260" s="218" t="s">
        <v>20</v>
      </c>
      <c r="Y260" s="219" t="str">
        <f t="shared" si="72"/>
        <v>0 um/Dia</v>
      </c>
      <c r="Z260" s="220" t="str">
        <f t="shared" si="73"/>
        <v xml:space="preserve"> um / HH</v>
      </c>
      <c r="AA260" s="221" t="str">
        <f t="shared" si="74"/>
        <v/>
      </c>
      <c r="AB260" s="222" t="str">
        <f t="shared" si="75"/>
        <v>0 um /HH</v>
      </c>
      <c r="AC260" s="223">
        <f t="shared" si="76"/>
        <v>0</v>
      </c>
      <c r="AD260" s="224"/>
      <c r="AE260" s="225"/>
      <c r="AF260" s="226">
        <f t="shared" si="77"/>
        <v>0</v>
      </c>
      <c r="AG260" s="227">
        <f t="shared" si="78"/>
        <v>0</v>
      </c>
      <c r="AH260" s="228" t="s">
        <v>25</v>
      </c>
      <c r="AI260" s="229" t="str">
        <f t="shared" si="79"/>
        <v>Extremamente Complexa</v>
      </c>
      <c r="AJ260" s="230" t="str">
        <f t="shared" si="80"/>
        <v>Normal</v>
      </c>
      <c r="AK260" s="231">
        <f t="shared" si="81"/>
        <v>0</v>
      </c>
      <c r="AL260" s="232" t="str">
        <f t="shared" si="82"/>
        <v/>
      </c>
      <c r="AM260" s="233" t="str">
        <f t="shared" si="83"/>
        <v/>
      </c>
      <c r="AN260" s="233" t="str">
        <f t="shared" si="84"/>
        <v/>
      </c>
      <c r="AO260" s="234">
        <f t="shared" si="85"/>
        <v>0</v>
      </c>
      <c r="AP260" s="235">
        <f t="shared" si="86"/>
        <v>1</v>
      </c>
      <c r="AQ260" s="235">
        <f t="shared" si="86"/>
        <v>1</v>
      </c>
      <c r="AR260" s="236">
        <f t="shared" si="87"/>
        <v>1</v>
      </c>
      <c r="AS260" s="251">
        <f t="shared" si="88"/>
        <v>0</v>
      </c>
      <c r="AT260" s="238">
        <f t="shared" si="89"/>
        <v>0</v>
      </c>
      <c r="AU260" s="239">
        <f t="shared" si="90"/>
        <v>0</v>
      </c>
      <c r="AV260" s="239">
        <f t="shared" si="91"/>
        <v>0</v>
      </c>
      <c r="AW260" s="239">
        <f t="shared" si="92"/>
        <v>0.05</v>
      </c>
      <c r="AX260" s="240">
        <f t="shared" si="93"/>
        <v>0</v>
      </c>
      <c r="AY260" s="241" t="str">
        <f t="shared" si="94"/>
        <v/>
      </c>
      <c r="AZ260" s="242" t="str">
        <f>IFERROR(VLOOKUP(M260,'[1]Base Brasil Obras'!$C$2:$F$485,4,0),"")</f>
        <v/>
      </c>
      <c r="BA260" s="243">
        <f t="shared" si="95"/>
        <v>0</v>
      </c>
      <c r="BB260" s="244">
        <f t="shared" si="96"/>
        <v>0</v>
      </c>
      <c r="BC260" s="244">
        <f t="shared" si="97"/>
        <v>0.05</v>
      </c>
      <c r="BD260" s="245">
        <f t="shared" si="98"/>
        <v>0.95</v>
      </c>
      <c r="BE260" s="246">
        <f t="shared" si="99"/>
        <v>0</v>
      </c>
      <c r="BF260" s="247">
        <v>0</v>
      </c>
      <c r="BG260" s="248">
        <f t="shared" si="100"/>
        <v>1</v>
      </c>
      <c r="BH260" s="198"/>
      <c r="BI260" s="198"/>
      <c r="BJ260" s="199"/>
      <c r="BK260" s="200"/>
      <c r="BL260" s="200"/>
      <c r="BM260" s="200"/>
      <c r="BN260" s="200"/>
      <c r="BO260" s="10"/>
    </row>
    <row r="261" spans="1:67" ht="18" x14ac:dyDescent="0.25">
      <c r="A261" s="201">
        <v>153</v>
      </c>
      <c r="B261" s="286"/>
      <c r="C261" s="203">
        <f t="shared" si="68"/>
        <v>0</v>
      </c>
      <c r="D261" s="204"/>
      <c r="E261" s="204"/>
      <c r="F261" s="207"/>
      <c r="G261" s="206"/>
      <c r="H261" s="207"/>
      <c r="I261" s="208" t="s">
        <v>125</v>
      </c>
      <c r="J261" s="208" t="s">
        <v>126</v>
      </c>
      <c r="K261" s="287"/>
      <c r="L261" s="288"/>
      <c r="M261" s="289"/>
      <c r="N261" s="257"/>
      <c r="O261" s="213"/>
      <c r="P261" s="214"/>
      <c r="Q261" s="214"/>
      <c r="R261" s="214"/>
      <c r="S261" s="214"/>
      <c r="T261" s="214"/>
      <c r="U261" s="215">
        <f t="shared" si="69"/>
        <v>0</v>
      </c>
      <c r="V261" s="216" t="str">
        <f t="shared" si="70"/>
        <v/>
      </c>
      <c r="W261" s="217" t="str">
        <f t="shared" si="71"/>
        <v/>
      </c>
      <c r="X261" s="218" t="s">
        <v>20</v>
      </c>
      <c r="Y261" s="219" t="str">
        <f t="shared" si="72"/>
        <v>0 um/Dia</v>
      </c>
      <c r="Z261" s="220" t="str">
        <f t="shared" si="73"/>
        <v xml:space="preserve"> um / HH</v>
      </c>
      <c r="AA261" s="221" t="str">
        <f t="shared" si="74"/>
        <v/>
      </c>
      <c r="AB261" s="222" t="str">
        <f t="shared" si="75"/>
        <v>0 um /HH</v>
      </c>
      <c r="AC261" s="223">
        <f t="shared" si="76"/>
        <v>0</v>
      </c>
      <c r="AD261" s="224"/>
      <c r="AE261" s="225"/>
      <c r="AF261" s="226">
        <f t="shared" si="77"/>
        <v>0</v>
      </c>
      <c r="AG261" s="227">
        <f t="shared" si="78"/>
        <v>0</v>
      </c>
      <c r="AH261" s="228" t="s">
        <v>25</v>
      </c>
      <c r="AI261" s="229" t="str">
        <f t="shared" si="79"/>
        <v>Extremamente Complexa</v>
      </c>
      <c r="AJ261" s="230" t="str">
        <f t="shared" si="80"/>
        <v>Normal</v>
      </c>
      <c r="AK261" s="231">
        <f t="shared" si="81"/>
        <v>0</v>
      </c>
      <c r="AL261" s="232" t="str">
        <f t="shared" si="82"/>
        <v/>
      </c>
      <c r="AM261" s="233" t="str">
        <f t="shared" si="83"/>
        <v/>
      </c>
      <c r="AN261" s="233" t="str">
        <f t="shared" si="84"/>
        <v/>
      </c>
      <c r="AO261" s="234">
        <f t="shared" si="85"/>
        <v>0</v>
      </c>
      <c r="AP261" s="235">
        <f t="shared" si="86"/>
        <v>1</v>
      </c>
      <c r="AQ261" s="235">
        <f t="shared" si="86"/>
        <v>1</v>
      </c>
      <c r="AR261" s="235">
        <f t="shared" si="87"/>
        <v>1</v>
      </c>
      <c r="AS261" s="252">
        <f t="shared" si="88"/>
        <v>0</v>
      </c>
      <c r="AT261" s="238">
        <f t="shared" si="89"/>
        <v>0</v>
      </c>
      <c r="AU261" s="239">
        <f t="shared" si="90"/>
        <v>0</v>
      </c>
      <c r="AV261" s="239">
        <f t="shared" si="91"/>
        <v>0</v>
      </c>
      <c r="AW261" s="239">
        <f t="shared" si="92"/>
        <v>0.05</v>
      </c>
      <c r="AX261" s="240">
        <f t="shared" si="93"/>
        <v>0</v>
      </c>
      <c r="AY261" s="241" t="str">
        <f t="shared" si="94"/>
        <v/>
      </c>
      <c r="AZ261" s="242" t="str">
        <f>IFERROR(VLOOKUP(M261,'[1]Base Brasil Obras'!$C$2:$F$485,4,0),"")</f>
        <v/>
      </c>
      <c r="BA261" s="243">
        <f t="shared" si="95"/>
        <v>0</v>
      </c>
      <c r="BB261" s="244">
        <f t="shared" si="96"/>
        <v>0</v>
      </c>
      <c r="BC261" s="244">
        <f t="shared" si="97"/>
        <v>0.05</v>
      </c>
      <c r="BD261" s="245">
        <f t="shared" si="98"/>
        <v>0.95</v>
      </c>
      <c r="BE261" s="246">
        <f t="shared" si="99"/>
        <v>0</v>
      </c>
      <c r="BF261" s="247">
        <v>0</v>
      </c>
      <c r="BG261" s="248">
        <f t="shared" si="100"/>
        <v>1</v>
      </c>
      <c r="BH261" s="198"/>
      <c r="BI261" s="198"/>
      <c r="BJ261" s="199"/>
      <c r="BK261" s="200"/>
      <c r="BL261" s="200"/>
      <c r="BM261" s="200"/>
      <c r="BN261" s="200"/>
      <c r="BO261" s="10"/>
    </row>
    <row r="262" spans="1:67" ht="18" x14ac:dyDescent="0.25">
      <c r="A262" s="201">
        <v>154</v>
      </c>
      <c r="B262" s="286"/>
      <c r="C262" s="203">
        <f t="shared" si="68"/>
        <v>0</v>
      </c>
      <c r="D262" s="204"/>
      <c r="E262" s="204"/>
      <c r="F262" s="207"/>
      <c r="G262" s="206"/>
      <c r="H262" s="207"/>
      <c r="I262" s="208" t="s">
        <v>125</v>
      </c>
      <c r="J262" s="208" t="s">
        <v>126</v>
      </c>
      <c r="K262" s="287"/>
      <c r="L262" s="288"/>
      <c r="M262" s="289"/>
      <c r="N262" s="257"/>
      <c r="O262" s="213"/>
      <c r="P262" s="214"/>
      <c r="Q262" s="214"/>
      <c r="R262" s="214"/>
      <c r="S262" s="214"/>
      <c r="T262" s="214"/>
      <c r="U262" s="215">
        <f t="shared" si="69"/>
        <v>0</v>
      </c>
      <c r="V262" s="216" t="str">
        <f t="shared" si="70"/>
        <v/>
      </c>
      <c r="W262" s="217" t="str">
        <f t="shared" si="71"/>
        <v/>
      </c>
      <c r="X262" s="218" t="s">
        <v>20</v>
      </c>
      <c r="Y262" s="219" t="str">
        <f t="shared" si="72"/>
        <v>0 um/Dia</v>
      </c>
      <c r="Z262" s="220" t="str">
        <f t="shared" si="73"/>
        <v xml:space="preserve"> um / HH</v>
      </c>
      <c r="AA262" s="221" t="str">
        <f t="shared" si="74"/>
        <v/>
      </c>
      <c r="AB262" s="222" t="str">
        <f t="shared" si="75"/>
        <v>0 um /HH</v>
      </c>
      <c r="AC262" s="223">
        <f t="shared" si="76"/>
        <v>0</v>
      </c>
      <c r="AD262" s="224"/>
      <c r="AE262" s="225"/>
      <c r="AF262" s="226">
        <f t="shared" si="77"/>
        <v>0</v>
      </c>
      <c r="AG262" s="227">
        <f t="shared" si="78"/>
        <v>0</v>
      </c>
      <c r="AH262" s="228" t="s">
        <v>25</v>
      </c>
      <c r="AI262" s="229" t="str">
        <f t="shared" si="79"/>
        <v>Extremamente Complexa</v>
      </c>
      <c r="AJ262" s="230" t="str">
        <f t="shared" si="80"/>
        <v>Normal</v>
      </c>
      <c r="AK262" s="231">
        <f t="shared" si="81"/>
        <v>0</v>
      </c>
      <c r="AL262" s="232" t="str">
        <f t="shared" si="82"/>
        <v/>
      </c>
      <c r="AM262" s="233" t="str">
        <f t="shared" si="83"/>
        <v/>
      </c>
      <c r="AN262" s="233" t="str">
        <f t="shared" si="84"/>
        <v/>
      </c>
      <c r="AO262" s="234">
        <f t="shared" si="85"/>
        <v>0</v>
      </c>
      <c r="AP262" s="235">
        <f t="shared" si="86"/>
        <v>1</v>
      </c>
      <c r="AQ262" s="235">
        <f t="shared" si="86"/>
        <v>1</v>
      </c>
      <c r="AR262" s="236">
        <f t="shared" si="87"/>
        <v>1</v>
      </c>
      <c r="AS262" s="251">
        <f t="shared" si="88"/>
        <v>0</v>
      </c>
      <c r="AT262" s="238">
        <f t="shared" si="89"/>
        <v>0</v>
      </c>
      <c r="AU262" s="239">
        <f t="shared" si="90"/>
        <v>0</v>
      </c>
      <c r="AV262" s="239">
        <f t="shared" si="91"/>
        <v>0</v>
      </c>
      <c r="AW262" s="239">
        <f t="shared" si="92"/>
        <v>0.05</v>
      </c>
      <c r="AX262" s="240">
        <f t="shared" si="93"/>
        <v>0</v>
      </c>
      <c r="AY262" s="241" t="str">
        <f t="shared" si="94"/>
        <v/>
      </c>
      <c r="AZ262" s="242" t="str">
        <f>IFERROR(VLOOKUP(M262,'[1]Base Brasil Obras'!$C$2:$F$485,4,0),"")</f>
        <v/>
      </c>
      <c r="BA262" s="243">
        <f t="shared" si="95"/>
        <v>0</v>
      </c>
      <c r="BB262" s="244">
        <f t="shared" si="96"/>
        <v>0</v>
      </c>
      <c r="BC262" s="244">
        <f t="shared" si="97"/>
        <v>0.05</v>
      </c>
      <c r="BD262" s="245">
        <f t="shared" si="98"/>
        <v>0.95</v>
      </c>
      <c r="BE262" s="246">
        <f t="shared" si="99"/>
        <v>0</v>
      </c>
      <c r="BF262" s="247">
        <v>0</v>
      </c>
      <c r="BG262" s="248">
        <f t="shared" si="100"/>
        <v>1</v>
      </c>
      <c r="BH262" s="198"/>
      <c r="BI262" s="198"/>
      <c r="BJ262" s="199"/>
      <c r="BK262" s="200"/>
      <c r="BL262" s="200"/>
      <c r="BM262" s="200"/>
      <c r="BN262" s="200"/>
      <c r="BO262" s="10"/>
    </row>
    <row r="263" spans="1:67" ht="18" x14ac:dyDescent="0.25">
      <c r="A263" s="201">
        <v>155</v>
      </c>
      <c r="B263" s="286"/>
      <c r="C263" s="203">
        <f t="shared" si="68"/>
        <v>0</v>
      </c>
      <c r="D263" s="204"/>
      <c r="E263" s="204"/>
      <c r="F263" s="207"/>
      <c r="G263" s="206"/>
      <c r="H263" s="207"/>
      <c r="I263" s="208" t="s">
        <v>125</v>
      </c>
      <c r="J263" s="208" t="s">
        <v>126</v>
      </c>
      <c r="K263" s="287"/>
      <c r="L263" s="288"/>
      <c r="M263" s="289"/>
      <c r="N263" s="257"/>
      <c r="O263" s="213"/>
      <c r="P263" s="214"/>
      <c r="Q263" s="214"/>
      <c r="R263" s="214"/>
      <c r="S263" s="214"/>
      <c r="T263" s="214"/>
      <c r="U263" s="215">
        <f t="shared" si="69"/>
        <v>0</v>
      </c>
      <c r="V263" s="216" t="str">
        <f t="shared" si="70"/>
        <v/>
      </c>
      <c r="W263" s="217" t="str">
        <f t="shared" si="71"/>
        <v/>
      </c>
      <c r="X263" s="218" t="s">
        <v>20</v>
      </c>
      <c r="Y263" s="219" t="str">
        <f t="shared" si="72"/>
        <v>0 um/Dia</v>
      </c>
      <c r="Z263" s="220" t="str">
        <f t="shared" si="73"/>
        <v xml:space="preserve"> um / HH</v>
      </c>
      <c r="AA263" s="221" t="str">
        <f t="shared" si="74"/>
        <v/>
      </c>
      <c r="AB263" s="222" t="str">
        <f t="shared" si="75"/>
        <v>0 um /HH</v>
      </c>
      <c r="AC263" s="223">
        <f t="shared" si="76"/>
        <v>0</v>
      </c>
      <c r="AD263" s="224"/>
      <c r="AE263" s="225"/>
      <c r="AF263" s="226">
        <f t="shared" si="77"/>
        <v>0</v>
      </c>
      <c r="AG263" s="227">
        <f t="shared" si="78"/>
        <v>0</v>
      </c>
      <c r="AH263" s="228" t="s">
        <v>25</v>
      </c>
      <c r="AI263" s="229" t="str">
        <f t="shared" si="79"/>
        <v>Extremamente Complexa</v>
      </c>
      <c r="AJ263" s="230" t="str">
        <f t="shared" si="80"/>
        <v>Normal</v>
      </c>
      <c r="AK263" s="231">
        <f t="shared" si="81"/>
        <v>0</v>
      </c>
      <c r="AL263" s="232" t="str">
        <f t="shared" si="82"/>
        <v/>
      </c>
      <c r="AM263" s="233" t="str">
        <f t="shared" si="83"/>
        <v/>
      </c>
      <c r="AN263" s="233" t="str">
        <f t="shared" si="84"/>
        <v/>
      </c>
      <c r="AO263" s="234">
        <f t="shared" si="85"/>
        <v>0</v>
      </c>
      <c r="AP263" s="235">
        <f t="shared" si="86"/>
        <v>1</v>
      </c>
      <c r="AQ263" s="235">
        <f t="shared" si="86"/>
        <v>1</v>
      </c>
      <c r="AR263" s="235">
        <f t="shared" si="87"/>
        <v>1</v>
      </c>
      <c r="AS263" s="252">
        <f t="shared" si="88"/>
        <v>0</v>
      </c>
      <c r="AT263" s="238">
        <f t="shared" si="89"/>
        <v>0</v>
      </c>
      <c r="AU263" s="239">
        <f t="shared" si="90"/>
        <v>0</v>
      </c>
      <c r="AV263" s="239">
        <f t="shared" si="91"/>
        <v>0</v>
      </c>
      <c r="AW263" s="239">
        <f t="shared" si="92"/>
        <v>0.05</v>
      </c>
      <c r="AX263" s="240">
        <f t="shared" si="93"/>
        <v>0</v>
      </c>
      <c r="AY263" s="241" t="str">
        <f t="shared" si="94"/>
        <v/>
      </c>
      <c r="AZ263" s="242" t="str">
        <f>IFERROR(VLOOKUP(M263,'[1]Base Brasil Obras'!$C$2:$F$485,4,0),"")</f>
        <v/>
      </c>
      <c r="BA263" s="243">
        <f t="shared" si="95"/>
        <v>0</v>
      </c>
      <c r="BB263" s="244">
        <f t="shared" si="96"/>
        <v>0</v>
      </c>
      <c r="BC263" s="244">
        <f t="shared" si="97"/>
        <v>0.05</v>
      </c>
      <c r="BD263" s="245">
        <f t="shared" si="98"/>
        <v>0.95</v>
      </c>
      <c r="BE263" s="246">
        <f t="shared" si="99"/>
        <v>0</v>
      </c>
      <c r="BF263" s="247">
        <v>0</v>
      </c>
      <c r="BG263" s="248">
        <f t="shared" si="100"/>
        <v>1</v>
      </c>
      <c r="BH263" s="198"/>
      <c r="BI263" s="198"/>
      <c r="BJ263" s="199"/>
      <c r="BK263" s="200"/>
      <c r="BL263" s="200"/>
      <c r="BM263" s="200"/>
      <c r="BN263" s="200"/>
      <c r="BO263" s="10"/>
    </row>
    <row r="264" spans="1:67" ht="18" x14ac:dyDescent="0.25">
      <c r="A264" s="201">
        <v>156</v>
      </c>
      <c r="B264" s="286"/>
      <c r="C264" s="203">
        <f t="shared" si="68"/>
        <v>0</v>
      </c>
      <c r="D264" s="204"/>
      <c r="E264" s="204"/>
      <c r="F264" s="207"/>
      <c r="G264" s="206"/>
      <c r="H264" s="207"/>
      <c r="I264" s="208" t="s">
        <v>125</v>
      </c>
      <c r="J264" s="208" t="s">
        <v>126</v>
      </c>
      <c r="K264" s="287"/>
      <c r="L264" s="288"/>
      <c r="M264" s="289"/>
      <c r="N264" s="257"/>
      <c r="O264" s="213"/>
      <c r="P264" s="214"/>
      <c r="Q264" s="214"/>
      <c r="R264" s="214"/>
      <c r="S264" s="214"/>
      <c r="T264" s="214"/>
      <c r="U264" s="215">
        <f t="shared" si="69"/>
        <v>0</v>
      </c>
      <c r="V264" s="216" t="str">
        <f t="shared" si="70"/>
        <v/>
      </c>
      <c r="W264" s="217" t="str">
        <f t="shared" si="71"/>
        <v/>
      </c>
      <c r="X264" s="218" t="s">
        <v>20</v>
      </c>
      <c r="Y264" s="219" t="str">
        <f t="shared" si="72"/>
        <v>0 um/Dia</v>
      </c>
      <c r="Z264" s="220" t="str">
        <f t="shared" si="73"/>
        <v xml:space="preserve"> um / HH</v>
      </c>
      <c r="AA264" s="221" t="str">
        <f t="shared" si="74"/>
        <v/>
      </c>
      <c r="AB264" s="222" t="str">
        <f t="shared" si="75"/>
        <v>0 um /HH</v>
      </c>
      <c r="AC264" s="223">
        <f t="shared" si="76"/>
        <v>0</v>
      </c>
      <c r="AD264" s="224"/>
      <c r="AE264" s="225"/>
      <c r="AF264" s="226">
        <f t="shared" si="77"/>
        <v>0</v>
      </c>
      <c r="AG264" s="227">
        <f t="shared" si="78"/>
        <v>0</v>
      </c>
      <c r="AH264" s="228" t="s">
        <v>25</v>
      </c>
      <c r="AI264" s="229" t="str">
        <f t="shared" si="79"/>
        <v>Extremamente Complexa</v>
      </c>
      <c r="AJ264" s="230" t="str">
        <f t="shared" si="80"/>
        <v>Normal</v>
      </c>
      <c r="AK264" s="231">
        <f t="shared" si="81"/>
        <v>0</v>
      </c>
      <c r="AL264" s="232" t="str">
        <f t="shared" si="82"/>
        <v/>
      </c>
      <c r="AM264" s="233" t="str">
        <f t="shared" si="83"/>
        <v/>
      </c>
      <c r="AN264" s="233" t="str">
        <f t="shared" si="84"/>
        <v/>
      </c>
      <c r="AO264" s="234">
        <f t="shared" si="85"/>
        <v>0</v>
      </c>
      <c r="AP264" s="235">
        <f t="shared" si="86"/>
        <v>1</v>
      </c>
      <c r="AQ264" s="235">
        <f t="shared" si="86"/>
        <v>1</v>
      </c>
      <c r="AR264" s="236">
        <f t="shared" si="87"/>
        <v>1</v>
      </c>
      <c r="AS264" s="251">
        <f t="shared" si="88"/>
        <v>0</v>
      </c>
      <c r="AT264" s="238">
        <f t="shared" si="89"/>
        <v>0</v>
      </c>
      <c r="AU264" s="239">
        <f t="shared" si="90"/>
        <v>0</v>
      </c>
      <c r="AV264" s="239">
        <f t="shared" si="91"/>
        <v>0</v>
      </c>
      <c r="AW264" s="239">
        <f t="shared" si="92"/>
        <v>0.05</v>
      </c>
      <c r="AX264" s="240">
        <f t="shared" si="93"/>
        <v>0</v>
      </c>
      <c r="AY264" s="241" t="str">
        <f t="shared" si="94"/>
        <v/>
      </c>
      <c r="AZ264" s="242" t="str">
        <f>IFERROR(VLOOKUP(M264,'[1]Base Brasil Obras'!$C$2:$F$485,4,0),"")</f>
        <v/>
      </c>
      <c r="BA264" s="243">
        <f t="shared" si="95"/>
        <v>0</v>
      </c>
      <c r="BB264" s="244">
        <f t="shared" si="96"/>
        <v>0</v>
      </c>
      <c r="BC264" s="244">
        <f t="shared" si="97"/>
        <v>0.05</v>
      </c>
      <c r="BD264" s="245">
        <f t="shared" si="98"/>
        <v>0.95</v>
      </c>
      <c r="BE264" s="246">
        <f t="shared" si="99"/>
        <v>0</v>
      </c>
      <c r="BF264" s="247">
        <v>0</v>
      </c>
      <c r="BG264" s="248">
        <f t="shared" si="100"/>
        <v>1</v>
      </c>
      <c r="BH264" s="198"/>
      <c r="BI264" s="198"/>
      <c r="BJ264" s="199"/>
      <c r="BK264" s="200"/>
      <c r="BL264" s="200"/>
      <c r="BM264" s="200"/>
      <c r="BN264" s="200"/>
      <c r="BO264" s="10"/>
    </row>
    <row r="265" spans="1:67" ht="18" x14ac:dyDescent="0.25">
      <c r="A265" s="201">
        <v>157</v>
      </c>
      <c r="B265" s="286"/>
      <c r="C265" s="203">
        <f t="shared" si="68"/>
        <v>0</v>
      </c>
      <c r="D265" s="204"/>
      <c r="E265" s="204"/>
      <c r="F265" s="207"/>
      <c r="G265" s="206"/>
      <c r="H265" s="207"/>
      <c r="I265" s="208" t="s">
        <v>125</v>
      </c>
      <c r="J265" s="208" t="s">
        <v>126</v>
      </c>
      <c r="K265" s="287"/>
      <c r="L265" s="288"/>
      <c r="M265" s="289"/>
      <c r="N265" s="257"/>
      <c r="O265" s="213"/>
      <c r="P265" s="214"/>
      <c r="Q265" s="214"/>
      <c r="R265" s="214"/>
      <c r="S265" s="214"/>
      <c r="T265" s="214"/>
      <c r="U265" s="215">
        <f t="shared" si="69"/>
        <v>0</v>
      </c>
      <c r="V265" s="216" t="str">
        <f t="shared" si="70"/>
        <v/>
      </c>
      <c r="W265" s="217" t="str">
        <f t="shared" si="71"/>
        <v/>
      </c>
      <c r="X265" s="218" t="s">
        <v>20</v>
      </c>
      <c r="Y265" s="219" t="str">
        <f t="shared" si="72"/>
        <v>0 um/Dia</v>
      </c>
      <c r="Z265" s="220" t="str">
        <f t="shared" si="73"/>
        <v xml:space="preserve"> um / HH</v>
      </c>
      <c r="AA265" s="221" t="str">
        <f t="shared" si="74"/>
        <v/>
      </c>
      <c r="AB265" s="222" t="str">
        <f t="shared" si="75"/>
        <v>0 um /HH</v>
      </c>
      <c r="AC265" s="223">
        <f t="shared" si="76"/>
        <v>0</v>
      </c>
      <c r="AD265" s="224"/>
      <c r="AE265" s="225"/>
      <c r="AF265" s="226">
        <f t="shared" si="77"/>
        <v>0</v>
      </c>
      <c r="AG265" s="227">
        <f t="shared" si="78"/>
        <v>0</v>
      </c>
      <c r="AH265" s="228" t="s">
        <v>25</v>
      </c>
      <c r="AI265" s="229" t="str">
        <f t="shared" si="79"/>
        <v>Extremamente Complexa</v>
      </c>
      <c r="AJ265" s="230" t="str">
        <f t="shared" si="80"/>
        <v>Normal</v>
      </c>
      <c r="AK265" s="231">
        <f t="shared" si="81"/>
        <v>0</v>
      </c>
      <c r="AL265" s="232" t="str">
        <f t="shared" si="82"/>
        <v/>
      </c>
      <c r="AM265" s="233" t="str">
        <f t="shared" si="83"/>
        <v/>
      </c>
      <c r="AN265" s="233" t="str">
        <f t="shared" si="84"/>
        <v/>
      </c>
      <c r="AO265" s="234">
        <f t="shared" si="85"/>
        <v>0</v>
      </c>
      <c r="AP265" s="235">
        <f t="shared" si="86"/>
        <v>1</v>
      </c>
      <c r="AQ265" s="235">
        <f t="shared" si="86"/>
        <v>1</v>
      </c>
      <c r="AR265" s="235">
        <f t="shared" si="87"/>
        <v>1</v>
      </c>
      <c r="AS265" s="252">
        <f t="shared" si="88"/>
        <v>0</v>
      </c>
      <c r="AT265" s="238">
        <f t="shared" si="89"/>
        <v>0</v>
      </c>
      <c r="AU265" s="239">
        <f t="shared" si="90"/>
        <v>0</v>
      </c>
      <c r="AV265" s="239">
        <f t="shared" si="91"/>
        <v>0</v>
      </c>
      <c r="AW265" s="239">
        <f t="shared" si="92"/>
        <v>0.05</v>
      </c>
      <c r="AX265" s="240">
        <f t="shared" si="93"/>
        <v>0</v>
      </c>
      <c r="AY265" s="241" t="str">
        <f t="shared" si="94"/>
        <v/>
      </c>
      <c r="AZ265" s="242" t="str">
        <f>IFERROR(VLOOKUP(M265,'[1]Base Brasil Obras'!$C$2:$F$485,4,0),"")</f>
        <v/>
      </c>
      <c r="BA265" s="243">
        <f t="shared" si="95"/>
        <v>0</v>
      </c>
      <c r="BB265" s="244">
        <f t="shared" si="96"/>
        <v>0</v>
      </c>
      <c r="BC265" s="244">
        <f t="shared" si="97"/>
        <v>0.05</v>
      </c>
      <c r="BD265" s="245">
        <f t="shared" si="98"/>
        <v>0.95</v>
      </c>
      <c r="BE265" s="246">
        <f t="shared" si="99"/>
        <v>0</v>
      </c>
      <c r="BF265" s="247">
        <v>0</v>
      </c>
      <c r="BG265" s="248">
        <f t="shared" si="100"/>
        <v>1</v>
      </c>
      <c r="BH265" s="198"/>
      <c r="BI265" s="198"/>
      <c r="BJ265" s="199"/>
      <c r="BK265" s="200"/>
      <c r="BL265" s="200"/>
      <c r="BM265" s="200"/>
      <c r="BN265" s="200"/>
      <c r="BO265" s="10"/>
    </row>
    <row r="266" spans="1:67" ht="18" x14ac:dyDescent="0.25">
      <c r="A266" s="201">
        <v>158</v>
      </c>
      <c r="B266" s="286"/>
      <c r="C266" s="203">
        <f t="shared" si="68"/>
        <v>0</v>
      </c>
      <c r="D266" s="204"/>
      <c r="E266" s="204"/>
      <c r="F266" s="207"/>
      <c r="G266" s="206"/>
      <c r="H266" s="207"/>
      <c r="I266" s="208" t="s">
        <v>125</v>
      </c>
      <c r="J266" s="208" t="s">
        <v>126</v>
      </c>
      <c r="K266" s="287"/>
      <c r="L266" s="288"/>
      <c r="M266" s="289"/>
      <c r="N266" s="257"/>
      <c r="O266" s="213"/>
      <c r="P266" s="214"/>
      <c r="Q266" s="214"/>
      <c r="R266" s="214"/>
      <c r="S266" s="214"/>
      <c r="T266" s="214"/>
      <c r="U266" s="215">
        <f t="shared" si="69"/>
        <v>0</v>
      </c>
      <c r="V266" s="216" t="str">
        <f t="shared" si="70"/>
        <v/>
      </c>
      <c r="W266" s="217" t="str">
        <f t="shared" si="71"/>
        <v/>
      </c>
      <c r="X266" s="218" t="s">
        <v>20</v>
      </c>
      <c r="Y266" s="219" t="str">
        <f t="shared" si="72"/>
        <v>0 um/Dia</v>
      </c>
      <c r="Z266" s="220" t="str">
        <f t="shared" si="73"/>
        <v xml:space="preserve"> um / HH</v>
      </c>
      <c r="AA266" s="221" t="str">
        <f t="shared" si="74"/>
        <v/>
      </c>
      <c r="AB266" s="222" t="str">
        <f t="shared" si="75"/>
        <v>0 um /HH</v>
      </c>
      <c r="AC266" s="223">
        <f t="shared" si="76"/>
        <v>0</v>
      </c>
      <c r="AD266" s="224"/>
      <c r="AE266" s="225"/>
      <c r="AF266" s="226">
        <f t="shared" si="77"/>
        <v>0</v>
      </c>
      <c r="AG266" s="227">
        <f t="shared" si="78"/>
        <v>0</v>
      </c>
      <c r="AH266" s="228" t="s">
        <v>25</v>
      </c>
      <c r="AI266" s="229" t="str">
        <f t="shared" si="79"/>
        <v>Extremamente Complexa</v>
      </c>
      <c r="AJ266" s="230" t="str">
        <f t="shared" si="80"/>
        <v>Normal</v>
      </c>
      <c r="AK266" s="231">
        <f t="shared" si="81"/>
        <v>0</v>
      </c>
      <c r="AL266" s="232" t="str">
        <f t="shared" si="82"/>
        <v/>
      </c>
      <c r="AM266" s="233" t="str">
        <f t="shared" si="83"/>
        <v/>
      </c>
      <c r="AN266" s="233" t="str">
        <f t="shared" si="84"/>
        <v/>
      </c>
      <c r="AO266" s="234">
        <f t="shared" si="85"/>
        <v>0</v>
      </c>
      <c r="AP266" s="235">
        <f t="shared" si="86"/>
        <v>1</v>
      </c>
      <c r="AQ266" s="235">
        <f t="shared" si="86"/>
        <v>1</v>
      </c>
      <c r="AR266" s="236">
        <f t="shared" si="87"/>
        <v>1</v>
      </c>
      <c r="AS266" s="251">
        <f t="shared" si="88"/>
        <v>0</v>
      </c>
      <c r="AT266" s="238">
        <f t="shared" si="89"/>
        <v>0</v>
      </c>
      <c r="AU266" s="239">
        <f t="shared" si="90"/>
        <v>0</v>
      </c>
      <c r="AV266" s="239">
        <f t="shared" si="91"/>
        <v>0</v>
      </c>
      <c r="AW266" s="239">
        <f t="shared" si="92"/>
        <v>0.05</v>
      </c>
      <c r="AX266" s="240">
        <f t="shared" si="93"/>
        <v>0</v>
      </c>
      <c r="AY266" s="241" t="str">
        <f t="shared" si="94"/>
        <v/>
      </c>
      <c r="AZ266" s="242" t="str">
        <f>IFERROR(VLOOKUP(M266,'[1]Base Brasil Obras'!$C$2:$F$485,4,0),"")</f>
        <v/>
      </c>
      <c r="BA266" s="243">
        <f t="shared" si="95"/>
        <v>0</v>
      </c>
      <c r="BB266" s="244">
        <f t="shared" si="96"/>
        <v>0</v>
      </c>
      <c r="BC266" s="244">
        <f t="shared" si="97"/>
        <v>0.05</v>
      </c>
      <c r="BD266" s="245">
        <f t="shared" si="98"/>
        <v>0.95</v>
      </c>
      <c r="BE266" s="246">
        <f t="shared" si="99"/>
        <v>0</v>
      </c>
      <c r="BF266" s="247">
        <v>0</v>
      </c>
      <c r="BG266" s="248">
        <f t="shared" si="100"/>
        <v>1</v>
      </c>
      <c r="BH266" s="198"/>
      <c r="BI266" s="198"/>
      <c r="BJ266" s="199"/>
      <c r="BK266" s="200"/>
      <c r="BL266" s="200"/>
      <c r="BM266" s="200"/>
      <c r="BN266" s="200"/>
      <c r="BO266" s="10"/>
    </row>
    <row r="267" spans="1:67" ht="18" x14ac:dyDescent="0.25">
      <c r="A267" s="201">
        <v>159</v>
      </c>
      <c r="B267" s="286"/>
      <c r="C267" s="203">
        <f t="shared" si="68"/>
        <v>0</v>
      </c>
      <c r="D267" s="204"/>
      <c r="E267" s="204"/>
      <c r="F267" s="207"/>
      <c r="G267" s="206"/>
      <c r="H267" s="207"/>
      <c r="I267" s="208" t="s">
        <v>125</v>
      </c>
      <c r="J267" s="208" t="s">
        <v>126</v>
      </c>
      <c r="K267" s="287"/>
      <c r="L267" s="288"/>
      <c r="M267" s="289"/>
      <c r="N267" s="257"/>
      <c r="O267" s="213"/>
      <c r="P267" s="214"/>
      <c r="Q267" s="214"/>
      <c r="R267" s="214"/>
      <c r="S267" s="214"/>
      <c r="T267" s="214"/>
      <c r="U267" s="215">
        <f t="shared" si="69"/>
        <v>0</v>
      </c>
      <c r="V267" s="216" t="str">
        <f t="shared" si="70"/>
        <v/>
      </c>
      <c r="W267" s="217" t="str">
        <f t="shared" si="71"/>
        <v/>
      </c>
      <c r="X267" s="218" t="s">
        <v>20</v>
      </c>
      <c r="Y267" s="219" t="str">
        <f t="shared" si="72"/>
        <v>0 um/Dia</v>
      </c>
      <c r="Z267" s="220" t="str">
        <f t="shared" si="73"/>
        <v xml:space="preserve"> um / HH</v>
      </c>
      <c r="AA267" s="221" t="str">
        <f t="shared" si="74"/>
        <v/>
      </c>
      <c r="AB267" s="222" t="str">
        <f t="shared" si="75"/>
        <v>0 um /HH</v>
      </c>
      <c r="AC267" s="223">
        <f t="shared" si="76"/>
        <v>0</v>
      </c>
      <c r="AD267" s="224"/>
      <c r="AE267" s="225"/>
      <c r="AF267" s="226">
        <f t="shared" si="77"/>
        <v>0</v>
      </c>
      <c r="AG267" s="227">
        <f t="shared" si="78"/>
        <v>0</v>
      </c>
      <c r="AH267" s="228" t="s">
        <v>25</v>
      </c>
      <c r="AI267" s="229" t="str">
        <f t="shared" si="79"/>
        <v>Extremamente Complexa</v>
      </c>
      <c r="AJ267" s="230" t="str">
        <f t="shared" si="80"/>
        <v>Normal</v>
      </c>
      <c r="AK267" s="231">
        <f t="shared" si="81"/>
        <v>0</v>
      </c>
      <c r="AL267" s="232" t="str">
        <f t="shared" si="82"/>
        <v/>
      </c>
      <c r="AM267" s="233" t="str">
        <f t="shared" si="83"/>
        <v/>
      </c>
      <c r="AN267" s="233" t="str">
        <f t="shared" si="84"/>
        <v/>
      </c>
      <c r="AO267" s="234">
        <f t="shared" si="85"/>
        <v>0</v>
      </c>
      <c r="AP267" s="235">
        <f t="shared" si="86"/>
        <v>1</v>
      </c>
      <c r="AQ267" s="235">
        <f t="shared" si="86"/>
        <v>1</v>
      </c>
      <c r="AR267" s="235">
        <f t="shared" si="87"/>
        <v>1</v>
      </c>
      <c r="AS267" s="252">
        <f t="shared" si="88"/>
        <v>0</v>
      </c>
      <c r="AT267" s="238">
        <f t="shared" si="89"/>
        <v>0</v>
      </c>
      <c r="AU267" s="239">
        <f t="shared" si="90"/>
        <v>0</v>
      </c>
      <c r="AV267" s="239">
        <f t="shared" si="91"/>
        <v>0</v>
      </c>
      <c r="AW267" s="239">
        <f t="shared" si="92"/>
        <v>0.05</v>
      </c>
      <c r="AX267" s="240">
        <f t="shared" si="93"/>
        <v>0</v>
      </c>
      <c r="AY267" s="241" t="str">
        <f t="shared" si="94"/>
        <v/>
      </c>
      <c r="AZ267" s="242" t="str">
        <f>IFERROR(VLOOKUP(M267,'[1]Base Brasil Obras'!$C$2:$F$485,4,0),"")</f>
        <v/>
      </c>
      <c r="BA267" s="243">
        <f t="shared" si="95"/>
        <v>0</v>
      </c>
      <c r="BB267" s="244">
        <f t="shared" si="96"/>
        <v>0</v>
      </c>
      <c r="BC267" s="244">
        <f t="shared" si="97"/>
        <v>0.05</v>
      </c>
      <c r="BD267" s="245">
        <f t="shared" si="98"/>
        <v>0.95</v>
      </c>
      <c r="BE267" s="246">
        <f t="shared" si="99"/>
        <v>0</v>
      </c>
      <c r="BF267" s="247">
        <v>0</v>
      </c>
      <c r="BG267" s="248">
        <f t="shared" si="100"/>
        <v>1</v>
      </c>
      <c r="BH267" s="198"/>
      <c r="BI267" s="198"/>
      <c r="BJ267" s="199"/>
      <c r="BK267" s="200"/>
      <c r="BL267" s="200"/>
      <c r="BM267" s="200"/>
      <c r="BN267" s="200"/>
      <c r="BO267" s="10"/>
    </row>
    <row r="268" spans="1:67" ht="18" x14ac:dyDescent="0.25">
      <c r="A268" s="201">
        <v>160</v>
      </c>
      <c r="B268" s="286"/>
      <c r="C268" s="203">
        <f t="shared" si="68"/>
        <v>0</v>
      </c>
      <c r="D268" s="204"/>
      <c r="E268" s="204"/>
      <c r="F268" s="207"/>
      <c r="G268" s="206"/>
      <c r="H268" s="207"/>
      <c r="I268" s="208" t="s">
        <v>125</v>
      </c>
      <c r="J268" s="208" t="s">
        <v>126</v>
      </c>
      <c r="K268" s="287"/>
      <c r="L268" s="288"/>
      <c r="M268" s="289"/>
      <c r="N268" s="257"/>
      <c r="O268" s="213"/>
      <c r="P268" s="214"/>
      <c r="Q268" s="214"/>
      <c r="R268" s="214"/>
      <c r="S268" s="214"/>
      <c r="T268" s="214"/>
      <c r="U268" s="215">
        <f t="shared" si="69"/>
        <v>0</v>
      </c>
      <c r="V268" s="216" t="str">
        <f t="shared" si="70"/>
        <v/>
      </c>
      <c r="W268" s="217" t="str">
        <f t="shared" si="71"/>
        <v/>
      </c>
      <c r="X268" s="218" t="s">
        <v>20</v>
      </c>
      <c r="Y268" s="219" t="str">
        <f t="shared" si="72"/>
        <v>0 um/Dia</v>
      </c>
      <c r="Z268" s="220" t="str">
        <f t="shared" si="73"/>
        <v xml:space="preserve"> um / HH</v>
      </c>
      <c r="AA268" s="221" t="str">
        <f t="shared" si="74"/>
        <v/>
      </c>
      <c r="AB268" s="222" t="str">
        <f t="shared" si="75"/>
        <v>0 um /HH</v>
      </c>
      <c r="AC268" s="223">
        <f t="shared" si="76"/>
        <v>0</v>
      </c>
      <c r="AD268" s="224"/>
      <c r="AE268" s="225"/>
      <c r="AF268" s="226">
        <f t="shared" si="77"/>
        <v>0</v>
      </c>
      <c r="AG268" s="227">
        <f t="shared" si="78"/>
        <v>0</v>
      </c>
      <c r="AH268" s="228" t="s">
        <v>25</v>
      </c>
      <c r="AI268" s="229" t="str">
        <f t="shared" si="79"/>
        <v>Extremamente Complexa</v>
      </c>
      <c r="AJ268" s="230" t="str">
        <f t="shared" si="80"/>
        <v>Normal</v>
      </c>
      <c r="AK268" s="231">
        <f t="shared" si="81"/>
        <v>0</v>
      </c>
      <c r="AL268" s="232" t="str">
        <f t="shared" si="82"/>
        <v/>
      </c>
      <c r="AM268" s="233" t="str">
        <f t="shared" si="83"/>
        <v/>
      </c>
      <c r="AN268" s="233" t="str">
        <f t="shared" si="84"/>
        <v/>
      </c>
      <c r="AO268" s="234">
        <f t="shared" si="85"/>
        <v>0</v>
      </c>
      <c r="AP268" s="235">
        <f t="shared" si="86"/>
        <v>1</v>
      </c>
      <c r="AQ268" s="235">
        <f t="shared" si="86"/>
        <v>1</v>
      </c>
      <c r="AR268" s="236">
        <f t="shared" si="87"/>
        <v>1</v>
      </c>
      <c r="AS268" s="251">
        <f t="shared" si="88"/>
        <v>0</v>
      </c>
      <c r="AT268" s="238">
        <f t="shared" si="89"/>
        <v>0</v>
      </c>
      <c r="AU268" s="239">
        <f t="shared" si="90"/>
        <v>0</v>
      </c>
      <c r="AV268" s="239">
        <f t="shared" si="91"/>
        <v>0</v>
      </c>
      <c r="AW268" s="239">
        <f t="shared" si="92"/>
        <v>0.05</v>
      </c>
      <c r="AX268" s="240">
        <f t="shared" si="93"/>
        <v>0</v>
      </c>
      <c r="AY268" s="241" t="str">
        <f t="shared" si="94"/>
        <v/>
      </c>
      <c r="AZ268" s="242" t="str">
        <f>IFERROR(VLOOKUP(M268,'[1]Base Brasil Obras'!$C$2:$F$485,4,0),"")</f>
        <v/>
      </c>
      <c r="BA268" s="243">
        <f t="shared" si="95"/>
        <v>0</v>
      </c>
      <c r="BB268" s="244">
        <f t="shared" si="96"/>
        <v>0</v>
      </c>
      <c r="BC268" s="244">
        <f t="shared" si="97"/>
        <v>0.05</v>
      </c>
      <c r="BD268" s="245">
        <f t="shared" si="98"/>
        <v>0.95</v>
      </c>
      <c r="BE268" s="246">
        <f t="shared" si="99"/>
        <v>0</v>
      </c>
      <c r="BF268" s="247">
        <v>0</v>
      </c>
      <c r="BG268" s="248">
        <f t="shared" si="100"/>
        <v>1</v>
      </c>
      <c r="BH268" s="198"/>
      <c r="BI268" s="198"/>
      <c r="BJ268" s="199"/>
      <c r="BK268" s="200"/>
      <c r="BL268" s="200"/>
      <c r="BM268" s="200"/>
      <c r="BN268" s="200"/>
      <c r="BO268" s="10"/>
    </row>
    <row r="269" spans="1:67" ht="18" x14ac:dyDescent="0.25">
      <c r="A269" s="201">
        <v>161</v>
      </c>
      <c r="B269" s="286"/>
      <c r="C269" s="203">
        <f t="shared" si="68"/>
        <v>0</v>
      </c>
      <c r="D269" s="204"/>
      <c r="E269" s="204"/>
      <c r="F269" s="207"/>
      <c r="G269" s="206"/>
      <c r="H269" s="207"/>
      <c r="I269" s="208" t="s">
        <v>125</v>
      </c>
      <c r="J269" s="208" t="s">
        <v>126</v>
      </c>
      <c r="K269" s="287"/>
      <c r="L269" s="288"/>
      <c r="M269" s="289"/>
      <c r="N269" s="257"/>
      <c r="O269" s="213"/>
      <c r="P269" s="214"/>
      <c r="Q269" s="214"/>
      <c r="R269" s="214"/>
      <c r="S269" s="214"/>
      <c r="T269" s="214"/>
      <c r="U269" s="215">
        <f t="shared" si="69"/>
        <v>0</v>
      </c>
      <c r="V269" s="216" t="str">
        <f t="shared" si="70"/>
        <v/>
      </c>
      <c r="W269" s="217" t="str">
        <f t="shared" si="71"/>
        <v/>
      </c>
      <c r="X269" s="218" t="s">
        <v>20</v>
      </c>
      <c r="Y269" s="219" t="str">
        <f t="shared" si="72"/>
        <v>0 um/Dia</v>
      </c>
      <c r="Z269" s="220" t="str">
        <f t="shared" si="73"/>
        <v xml:space="preserve"> um / HH</v>
      </c>
      <c r="AA269" s="221" t="str">
        <f t="shared" si="74"/>
        <v/>
      </c>
      <c r="AB269" s="222" t="str">
        <f t="shared" si="75"/>
        <v>0 um /HH</v>
      </c>
      <c r="AC269" s="223">
        <f t="shared" si="76"/>
        <v>0</v>
      </c>
      <c r="AD269" s="224"/>
      <c r="AE269" s="225"/>
      <c r="AF269" s="226">
        <f t="shared" si="77"/>
        <v>0</v>
      </c>
      <c r="AG269" s="227">
        <f t="shared" si="78"/>
        <v>0</v>
      </c>
      <c r="AH269" s="228" t="s">
        <v>25</v>
      </c>
      <c r="AI269" s="229" t="str">
        <f t="shared" si="79"/>
        <v>Extremamente Complexa</v>
      </c>
      <c r="AJ269" s="230" t="str">
        <f t="shared" si="80"/>
        <v>Normal</v>
      </c>
      <c r="AK269" s="231">
        <f t="shared" si="81"/>
        <v>0</v>
      </c>
      <c r="AL269" s="232" t="str">
        <f t="shared" si="82"/>
        <v/>
      </c>
      <c r="AM269" s="233" t="str">
        <f t="shared" si="83"/>
        <v/>
      </c>
      <c r="AN269" s="233" t="str">
        <f t="shared" si="84"/>
        <v/>
      </c>
      <c r="AO269" s="234">
        <f t="shared" si="85"/>
        <v>0</v>
      </c>
      <c r="AP269" s="235">
        <f t="shared" ref="AP269:AQ286" si="101">IFERROR(VLOOKUP(I269,$J$1070:$K$1089,2,1),0)</f>
        <v>1</v>
      </c>
      <c r="AQ269" s="235">
        <f t="shared" si="101"/>
        <v>1</v>
      </c>
      <c r="AR269" s="235">
        <f t="shared" si="87"/>
        <v>1</v>
      </c>
      <c r="AS269" s="252">
        <f t="shared" si="88"/>
        <v>0</v>
      </c>
      <c r="AT269" s="238">
        <f t="shared" si="89"/>
        <v>0</v>
      </c>
      <c r="AU269" s="239">
        <f t="shared" si="90"/>
        <v>0</v>
      </c>
      <c r="AV269" s="239">
        <f t="shared" si="91"/>
        <v>0</v>
      </c>
      <c r="AW269" s="239">
        <f t="shared" si="92"/>
        <v>0.05</v>
      </c>
      <c r="AX269" s="240">
        <f t="shared" si="93"/>
        <v>0</v>
      </c>
      <c r="AY269" s="241" t="str">
        <f t="shared" si="94"/>
        <v/>
      </c>
      <c r="AZ269" s="242" t="str">
        <f>IFERROR(VLOOKUP(M269,'[1]Base Brasil Obras'!$C$2:$F$485,4,0),"")</f>
        <v/>
      </c>
      <c r="BA269" s="243">
        <f t="shared" si="95"/>
        <v>0</v>
      </c>
      <c r="BB269" s="244">
        <f t="shared" si="96"/>
        <v>0</v>
      </c>
      <c r="BC269" s="244">
        <f t="shared" si="97"/>
        <v>0.05</v>
      </c>
      <c r="BD269" s="245">
        <f t="shared" si="98"/>
        <v>0.95</v>
      </c>
      <c r="BE269" s="246">
        <f t="shared" si="99"/>
        <v>0</v>
      </c>
      <c r="BF269" s="247">
        <v>0</v>
      </c>
      <c r="BG269" s="248">
        <f t="shared" si="100"/>
        <v>1</v>
      </c>
      <c r="BH269" s="198"/>
      <c r="BI269" s="198"/>
      <c r="BJ269" s="199"/>
      <c r="BK269" s="200"/>
      <c r="BL269" s="200"/>
      <c r="BM269" s="200"/>
      <c r="BN269" s="200"/>
      <c r="BO269" s="10"/>
    </row>
    <row r="270" spans="1:67" ht="18" x14ac:dyDescent="0.25">
      <c r="A270" s="201">
        <v>162</v>
      </c>
      <c r="B270" s="286"/>
      <c r="C270" s="203">
        <f t="shared" si="68"/>
        <v>0</v>
      </c>
      <c r="D270" s="204"/>
      <c r="E270" s="204"/>
      <c r="F270" s="207"/>
      <c r="G270" s="206"/>
      <c r="H270" s="207"/>
      <c r="I270" s="208" t="s">
        <v>125</v>
      </c>
      <c r="J270" s="208" t="s">
        <v>126</v>
      </c>
      <c r="K270" s="287"/>
      <c r="L270" s="288"/>
      <c r="M270" s="289"/>
      <c r="N270" s="257"/>
      <c r="O270" s="213"/>
      <c r="P270" s="214"/>
      <c r="Q270" s="214"/>
      <c r="R270" s="214"/>
      <c r="S270" s="214"/>
      <c r="T270" s="214"/>
      <c r="U270" s="215">
        <f t="shared" si="69"/>
        <v>0</v>
      </c>
      <c r="V270" s="216" t="str">
        <f t="shared" si="70"/>
        <v/>
      </c>
      <c r="W270" s="217" t="str">
        <f t="shared" si="71"/>
        <v/>
      </c>
      <c r="X270" s="218" t="s">
        <v>20</v>
      </c>
      <c r="Y270" s="219" t="str">
        <f t="shared" si="72"/>
        <v>0 um/Dia</v>
      </c>
      <c r="Z270" s="220" t="str">
        <f t="shared" si="73"/>
        <v xml:space="preserve"> um / HH</v>
      </c>
      <c r="AA270" s="221" t="str">
        <f t="shared" si="74"/>
        <v/>
      </c>
      <c r="AB270" s="222" t="str">
        <f t="shared" si="75"/>
        <v>0 um /HH</v>
      </c>
      <c r="AC270" s="223">
        <f t="shared" si="76"/>
        <v>0</v>
      </c>
      <c r="AD270" s="224"/>
      <c r="AE270" s="225"/>
      <c r="AF270" s="226">
        <f t="shared" si="77"/>
        <v>0</v>
      </c>
      <c r="AG270" s="227">
        <f t="shared" si="78"/>
        <v>0</v>
      </c>
      <c r="AH270" s="228" t="s">
        <v>25</v>
      </c>
      <c r="AI270" s="229" t="str">
        <f t="shared" si="79"/>
        <v>Extremamente Complexa</v>
      </c>
      <c r="AJ270" s="230" t="str">
        <f t="shared" si="80"/>
        <v>Normal</v>
      </c>
      <c r="AK270" s="231">
        <f t="shared" si="81"/>
        <v>0</v>
      </c>
      <c r="AL270" s="232" t="str">
        <f t="shared" si="82"/>
        <v/>
      </c>
      <c r="AM270" s="233" t="str">
        <f t="shared" si="83"/>
        <v/>
      </c>
      <c r="AN270" s="233" t="str">
        <f t="shared" si="84"/>
        <v/>
      </c>
      <c r="AO270" s="234">
        <f t="shared" si="85"/>
        <v>0</v>
      </c>
      <c r="AP270" s="235">
        <f t="shared" si="101"/>
        <v>1</v>
      </c>
      <c r="AQ270" s="235">
        <f t="shared" si="101"/>
        <v>1</v>
      </c>
      <c r="AR270" s="236">
        <f t="shared" si="87"/>
        <v>1</v>
      </c>
      <c r="AS270" s="251">
        <f t="shared" si="88"/>
        <v>0</v>
      </c>
      <c r="AT270" s="238">
        <f t="shared" si="89"/>
        <v>0</v>
      </c>
      <c r="AU270" s="239">
        <f t="shared" si="90"/>
        <v>0</v>
      </c>
      <c r="AV270" s="239">
        <f t="shared" si="91"/>
        <v>0</v>
      </c>
      <c r="AW270" s="239">
        <f t="shared" si="92"/>
        <v>0.05</v>
      </c>
      <c r="AX270" s="240">
        <f t="shared" si="93"/>
        <v>0</v>
      </c>
      <c r="AY270" s="241" t="str">
        <f t="shared" si="94"/>
        <v/>
      </c>
      <c r="AZ270" s="242" t="str">
        <f>IFERROR(VLOOKUP(M270,'[1]Base Brasil Obras'!$C$2:$F$485,4,0),"")</f>
        <v/>
      </c>
      <c r="BA270" s="243">
        <f t="shared" si="95"/>
        <v>0</v>
      </c>
      <c r="BB270" s="244">
        <f t="shared" si="96"/>
        <v>0</v>
      </c>
      <c r="BC270" s="244">
        <f t="shared" si="97"/>
        <v>0.05</v>
      </c>
      <c r="BD270" s="245">
        <f t="shared" si="98"/>
        <v>0.95</v>
      </c>
      <c r="BE270" s="246">
        <f t="shared" si="99"/>
        <v>0</v>
      </c>
      <c r="BF270" s="247">
        <v>0</v>
      </c>
      <c r="BG270" s="248">
        <f t="shared" si="100"/>
        <v>1</v>
      </c>
      <c r="BH270" s="198"/>
      <c r="BI270" s="198"/>
      <c r="BJ270" s="199"/>
      <c r="BK270" s="200"/>
      <c r="BL270" s="200"/>
      <c r="BM270" s="200"/>
      <c r="BN270" s="200"/>
      <c r="BO270" s="10"/>
    </row>
    <row r="271" spans="1:67" ht="18" x14ac:dyDescent="0.25">
      <c r="A271" s="201">
        <v>163</v>
      </c>
      <c r="B271" s="286"/>
      <c r="C271" s="203">
        <f t="shared" si="68"/>
        <v>0</v>
      </c>
      <c r="D271" s="204"/>
      <c r="E271" s="204"/>
      <c r="F271" s="207"/>
      <c r="G271" s="206"/>
      <c r="H271" s="207"/>
      <c r="I271" s="208" t="s">
        <v>125</v>
      </c>
      <c r="J271" s="208" t="s">
        <v>126</v>
      </c>
      <c r="K271" s="287"/>
      <c r="L271" s="288"/>
      <c r="M271" s="289"/>
      <c r="N271" s="257"/>
      <c r="O271" s="213"/>
      <c r="P271" s="214"/>
      <c r="Q271" s="214"/>
      <c r="R271" s="214"/>
      <c r="S271" s="214"/>
      <c r="T271" s="214"/>
      <c r="U271" s="215">
        <f t="shared" si="69"/>
        <v>0</v>
      </c>
      <c r="V271" s="216" t="str">
        <f t="shared" si="70"/>
        <v/>
      </c>
      <c r="W271" s="217" t="str">
        <f t="shared" si="71"/>
        <v/>
      </c>
      <c r="X271" s="218" t="s">
        <v>20</v>
      </c>
      <c r="Y271" s="219" t="str">
        <f t="shared" si="72"/>
        <v>0 um/Dia</v>
      </c>
      <c r="Z271" s="220" t="str">
        <f t="shared" si="73"/>
        <v xml:space="preserve"> um / HH</v>
      </c>
      <c r="AA271" s="221" t="str">
        <f t="shared" si="74"/>
        <v/>
      </c>
      <c r="AB271" s="222" t="str">
        <f t="shared" si="75"/>
        <v>0 um /HH</v>
      </c>
      <c r="AC271" s="223">
        <f t="shared" si="76"/>
        <v>0</v>
      </c>
      <c r="AD271" s="224"/>
      <c r="AE271" s="225"/>
      <c r="AF271" s="226">
        <f t="shared" si="77"/>
        <v>0</v>
      </c>
      <c r="AG271" s="227">
        <f t="shared" si="78"/>
        <v>0</v>
      </c>
      <c r="AH271" s="228" t="s">
        <v>25</v>
      </c>
      <c r="AI271" s="229" t="str">
        <f t="shared" si="79"/>
        <v>Extremamente Complexa</v>
      </c>
      <c r="AJ271" s="230" t="str">
        <f t="shared" si="80"/>
        <v>Normal</v>
      </c>
      <c r="AK271" s="231">
        <f t="shared" si="81"/>
        <v>0</v>
      </c>
      <c r="AL271" s="232" t="str">
        <f t="shared" si="82"/>
        <v/>
      </c>
      <c r="AM271" s="233" t="str">
        <f t="shared" si="83"/>
        <v/>
      </c>
      <c r="AN271" s="233" t="str">
        <f t="shared" si="84"/>
        <v/>
      </c>
      <c r="AO271" s="234">
        <f t="shared" si="85"/>
        <v>0</v>
      </c>
      <c r="AP271" s="235">
        <f t="shared" si="101"/>
        <v>1</v>
      </c>
      <c r="AQ271" s="235">
        <f t="shared" si="101"/>
        <v>1</v>
      </c>
      <c r="AR271" s="235">
        <f t="shared" si="87"/>
        <v>1</v>
      </c>
      <c r="AS271" s="252">
        <f t="shared" si="88"/>
        <v>0</v>
      </c>
      <c r="AT271" s="238">
        <f t="shared" si="89"/>
        <v>0</v>
      </c>
      <c r="AU271" s="239">
        <f t="shared" si="90"/>
        <v>0</v>
      </c>
      <c r="AV271" s="239">
        <f t="shared" si="91"/>
        <v>0</v>
      </c>
      <c r="AW271" s="239">
        <f t="shared" si="92"/>
        <v>0.05</v>
      </c>
      <c r="AX271" s="240">
        <f t="shared" si="93"/>
        <v>0</v>
      </c>
      <c r="AY271" s="241" t="str">
        <f t="shared" si="94"/>
        <v/>
      </c>
      <c r="AZ271" s="242" t="str">
        <f>IFERROR(VLOOKUP(M271,'[1]Base Brasil Obras'!$C$2:$F$485,4,0),"")</f>
        <v/>
      </c>
      <c r="BA271" s="243">
        <f t="shared" si="95"/>
        <v>0</v>
      </c>
      <c r="BB271" s="244">
        <f t="shared" si="96"/>
        <v>0</v>
      </c>
      <c r="BC271" s="244">
        <f t="shared" si="97"/>
        <v>0.05</v>
      </c>
      <c r="BD271" s="245">
        <f t="shared" si="98"/>
        <v>0.95</v>
      </c>
      <c r="BE271" s="246">
        <f t="shared" si="99"/>
        <v>0</v>
      </c>
      <c r="BF271" s="247">
        <v>0</v>
      </c>
      <c r="BG271" s="248">
        <f t="shared" si="100"/>
        <v>1</v>
      </c>
      <c r="BH271" s="198"/>
      <c r="BI271" s="198"/>
      <c r="BJ271" s="199"/>
      <c r="BK271" s="200"/>
      <c r="BL271" s="200"/>
      <c r="BM271" s="200"/>
      <c r="BN271" s="200"/>
      <c r="BO271" s="10"/>
    </row>
    <row r="272" spans="1:67" ht="18" x14ac:dyDescent="0.25">
      <c r="A272" s="201">
        <v>164</v>
      </c>
      <c r="B272" s="286"/>
      <c r="C272" s="203">
        <f t="shared" si="68"/>
        <v>0</v>
      </c>
      <c r="D272" s="204"/>
      <c r="E272" s="204"/>
      <c r="F272" s="207"/>
      <c r="G272" s="206"/>
      <c r="H272" s="207"/>
      <c r="I272" s="208" t="s">
        <v>125</v>
      </c>
      <c r="J272" s="208" t="s">
        <v>126</v>
      </c>
      <c r="K272" s="287"/>
      <c r="L272" s="288"/>
      <c r="M272" s="289"/>
      <c r="N272" s="257"/>
      <c r="O272" s="213"/>
      <c r="P272" s="214"/>
      <c r="Q272" s="214"/>
      <c r="R272" s="214"/>
      <c r="S272" s="214"/>
      <c r="T272" s="214"/>
      <c r="U272" s="215">
        <f t="shared" si="69"/>
        <v>0</v>
      </c>
      <c r="V272" s="216" t="str">
        <f t="shared" si="70"/>
        <v/>
      </c>
      <c r="W272" s="217" t="str">
        <f t="shared" si="71"/>
        <v/>
      </c>
      <c r="X272" s="218" t="s">
        <v>20</v>
      </c>
      <c r="Y272" s="219" t="str">
        <f t="shared" si="72"/>
        <v>0 um/Dia</v>
      </c>
      <c r="Z272" s="220" t="str">
        <f t="shared" si="73"/>
        <v xml:space="preserve"> um / HH</v>
      </c>
      <c r="AA272" s="221" t="str">
        <f t="shared" si="74"/>
        <v/>
      </c>
      <c r="AB272" s="222" t="str">
        <f t="shared" si="75"/>
        <v>0 um /HH</v>
      </c>
      <c r="AC272" s="223">
        <f t="shared" si="76"/>
        <v>0</v>
      </c>
      <c r="AD272" s="224"/>
      <c r="AE272" s="225"/>
      <c r="AF272" s="226">
        <f t="shared" si="77"/>
        <v>0</v>
      </c>
      <c r="AG272" s="227">
        <f t="shared" si="78"/>
        <v>0</v>
      </c>
      <c r="AH272" s="228" t="s">
        <v>25</v>
      </c>
      <c r="AI272" s="229" t="str">
        <f t="shared" si="79"/>
        <v>Extremamente Complexa</v>
      </c>
      <c r="AJ272" s="230" t="str">
        <f t="shared" si="80"/>
        <v>Normal</v>
      </c>
      <c r="AK272" s="231">
        <f t="shared" si="81"/>
        <v>0</v>
      </c>
      <c r="AL272" s="232" t="str">
        <f t="shared" si="82"/>
        <v/>
      </c>
      <c r="AM272" s="233" t="str">
        <f t="shared" si="83"/>
        <v/>
      </c>
      <c r="AN272" s="233" t="str">
        <f t="shared" si="84"/>
        <v/>
      </c>
      <c r="AO272" s="234">
        <f t="shared" si="85"/>
        <v>0</v>
      </c>
      <c r="AP272" s="235">
        <f t="shared" si="101"/>
        <v>1</v>
      </c>
      <c r="AQ272" s="235">
        <f t="shared" si="101"/>
        <v>1</v>
      </c>
      <c r="AR272" s="236">
        <f t="shared" si="87"/>
        <v>1</v>
      </c>
      <c r="AS272" s="251">
        <f t="shared" si="88"/>
        <v>0</v>
      </c>
      <c r="AT272" s="238">
        <f t="shared" si="89"/>
        <v>0</v>
      </c>
      <c r="AU272" s="239">
        <f t="shared" si="90"/>
        <v>0</v>
      </c>
      <c r="AV272" s="239">
        <f t="shared" si="91"/>
        <v>0</v>
      </c>
      <c r="AW272" s="239">
        <f t="shared" si="92"/>
        <v>0.05</v>
      </c>
      <c r="AX272" s="240">
        <f t="shared" si="93"/>
        <v>0</v>
      </c>
      <c r="AY272" s="241" t="str">
        <f t="shared" si="94"/>
        <v/>
      </c>
      <c r="AZ272" s="242" t="str">
        <f>IFERROR(VLOOKUP(M272,'[1]Base Brasil Obras'!$C$2:$F$485,4,0),"")</f>
        <v/>
      </c>
      <c r="BA272" s="243">
        <f t="shared" si="95"/>
        <v>0</v>
      </c>
      <c r="BB272" s="244">
        <f t="shared" si="96"/>
        <v>0</v>
      </c>
      <c r="BC272" s="244">
        <f t="shared" si="97"/>
        <v>0.05</v>
      </c>
      <c r="BD272" s="245">
        <f t="shared" si="98"/>
        <v>0.95</v>
      </c>
      <c r="BE272" s="246">
        <f t="shared" si="99"/>
        <v>0</v>
      </c>
      <c r="BF272" s="247">
        <v>0</v>
      </c>
      <c r="BG272" s="248">
        <f t="shared" si="100"/>
        <v>1</v>
      </c>
      <c r="BH272" s="198"/>
      <c r="BI272" s="198"/>
      <c r="BJ272" s="199"/>
      <c r="BK272" s="200"/>
      <c r="BL272" s="200"/>
      <c r="BM272" s="200"/>
      <c r="BN272" s="200"/>
      <c r="BO272" s="10"/>
    </row>
    <row r="273" spans="1:67" ht="18" x14ac:dyDescent="0.25">
      <c r="A273" s="201">
        <v>165</v>
      </c>
      <c r="B273" s="286"/>
      <c r="C273" s="203">
        <f t="shared" si="68"/>
        <v>0</v>
      </c>
      <c r="D273" s="204"/>
      <c r="E273" s="204"/>
      <c r="F273" s="207"/>
      <c r="G273" s="206"/>
      <c r="H273" s="207"/>
      <c r="I273" s="208" t="s">
        <v>125</v>
      </c>
      <c r="J273" s="208" t="s">
        <v>126</v>
      </c>
      <c r="K273" s="287"/>
      <c r="L273" s="288"/>
      <c r="M273" s="289"/>
      <c r="N273" s="257"/>
      <c r="O273" s="213"/>
      <c r="P273" s="214"/>
      <c r="Q273" s="214"/>
      <c r="R273" s="214"/>
      <c r="S273" s="214"/>
      <c r="T273" s="214"/>
      <c r="U273" s="215">
        <f t="shared" si="69"/>
        <v>0</v>
      </c>
      <c r="V273" s="216" t="str">
        <f t="shared" si="70"/>
        <v/>
      </c>
      <c r="W273" s="217" t="str">
        <f t="shared" si="71"/>
        <v/>
      </c>
      <c r="X273" s="218" t="s">
        <v>20</v>
      </c>
      <c r="Y273" s="219" t="str">
        <f t="shared" si="72"/>
        <v>0 um/Dia</v>
      </c>
      <c r="Z273" s="220" t="str">
        <f t="shared" si="73"/>
        <v xml:space="preserve"> um / HH</v>
      </c>
      <c r="AA273" s="221" t="str">
        <f t="shared" si="74"/>
        <v/>
      </c>
      <c r="AB273" s="222" t="str">
        <f t="shared" si="75"/>
        <v>0 um /HH</v>
      </c>
      <c r="AC273" s="223">
        <f t="shared" si="76"/>
        <v>0</v>
      </c>
      <c r="AD273" s="224"/>
      <c r="AE273" s="225"/>
      <c r="AF273" s="226">
        <f t="shared" si="77"/>
        <v>0</v>
      </c>
      <c r="AG273" s="227">
        <f t="shared" si="78"/>
        <v>0</v>
      </c>
      <c r="AH273" s="228" t="s">
        <v>25</v>
      </c>
      <c r="AI273" s="229" t="str">
        <f t="shared" si="79"/>
        <v>Extremamente Complexa</v>
      </c>
      <c r="AJ273" s="230" t="str">
        <f t="shared" si="80"/>
        <v>Normal</v>
      </c>
      <c r="AK273" s="231">
        <f t="shared" si="81"/>
        <v>0</v>
      </c>
      <c r="AL273" s="232" t="str">
        <f t="shared" si="82"/>
        <v/>
      </c>
      <c r="AM273" s="233" t="str">
        <f t="shared" si="83"/>
        <v/>
      </c>
      <c r="AN273" s="233" t="str">
        <f t="shared" si="84"/>
        <v/>
      </c>
      <c r="AO273" s="234">
        <f t="shared" si="85"/>
        <v>0</v>
      </c>
      <c r="AP273" s="235">
        <f t="shared" si="101"/>
        <v>1</v>
      </c>
      <c r="AQ273" s="235">
        <f t="shared" si="101"/>
        <v>1</v>
      </c>
      <c r="AR273" s="235">
        <f t="shared" si="87"/>
        <v>1</v>
      </c>
      <c r="AS273" s="252">
        <f t="shared" si="88"/>
        <v>0</v>
      </c>
      <c r="AT273" s="238">
        <f t="shared" si="89"/>
        <v>0</v>
      </c>
      <c r="AU273" s="239">
        <f t="shared" si="90"/>
        <v>0</v>
      </c>
      <c r="AV273" s="239">
        <f t="shared" si="91"/>
        <v>0</v>
      </c>
      <c r="AW273" s="239">
        <f t="shared" si="92"/>
        <v>0.05</v>
      </c>
      <c r="AX273" s="240">
        <f t="shared" si="93"/>
        <v>0</v>
      </c>
      <c r="AY273" s="241" t="str">
        <f t="shared" si="94"/>
        <v/>
      </c>
      <c r="AZ273" s="242" t="str">
        <f>IFERROR(VLOOKUP(M273,'[1]Base Brasil Obras'!$C$2:$F$485,4,0),"")</f>
        <v/>
      </c>
      <c r="BA273" s="243">
        <f t="shared" si="95"/>
        <v>0</v>
      </c>
      <c r="BB273" s="244">
        <f t="shared" si="96"/>
        <v>0</v>
      </c>
      <c r="BC273" s="244">
        <f t="shared" si="97"/>
        <v>0.05</v>
      </c>
      <c r="BD273" s="245">
        <f t="shared" si="98"/>
        <v>0.95</v>
      </c>
      <c r="BE273" s="246">
        <f t="shared" si="99"/>
        <v>0</v>
      </c>
      <c r="BF273" s="247">
        <v>0</v>
      </c>
      <c r="BG273" s="248">
        <f t="shared" si="100"/>
        <v>1</v>
      </c>
      <c r="BH273" s="198"/>
      <c r="BI273" s="198"/>
      <c r="BJ273" s="199"/>
      <c r="BK273" s="200"/>
      <c r="BL273" s="200"/>
      <c r="BM273" s="200"/>
      <c r="BN273" s="200"/>
      <c r="BO273" s="10"/>
    </row>
    <row r="274" spans="1:67" ht="18" x14ac:dyDescent="0.25">
      <c r="A274" s="201">
        <v>166</v>
      </c>
      <c r="B274" s="286"/>
      <c r="C274" s="203">
        <f t="shared" si="68"/>
        <v>0</v>
      </c>
      <c r="D274" s="204"/>
      <c r="E274" s="204"/>
      <c r="F274" s="207"/>
      <c r="G274" s="206"/>
      <c r="H274" s="207"/>
      <c r="I274" s="208" t="s">
        <v>125</v>
      </c>
      <c r="J274" s="208" t="s">
        <v>126</v>
      </c>
      <c r="K274" s="287"/>
      <c r="L274" s="288"/>
      <c r="M274" s="289"/>
      <c r="N274" s="257"/>
      <c r="O274" s="213"/>
      <c r="P274" s="214"/>
      <c r="Q274" s="214"/>
      <c r="R274" s="214"/>
      <c r="S274" s="214"/>
      <c r="T274" s="214"/>
      <c r="U274" s="215">
        <f t="shared" si="69"/>
        <v>0</v>
      </c>
      <c r="V274" s="216" t="str">
        <f t="shared" si="70"/>
        <v/>
      </c>
      <c r="W274" s="217" t="str">
        <f t="shared" si="71"/>
        <v/>
      </c>
      <c r="X274" s="218" t="s">
        <v>20</v>
      </c>
      <c r="Y274" s="219" t="str">
        <f t="shared" si="72"/>
        <v>0 um/Dia</v>
      </c>
      <c r="Z274" s="220" t="str">
        <f t="shared" si="73"/>
        <v xml:space="preserve"> um / HH</v>
      </c>
      <c r="AA274" s="221" t="str">
        <f t="shared" si="74"/>
        <v/>
      </c>
      <c r="AB274" s="222" t="str">
        <f t="shared" si="75"/>
        <v>0 um /HH</v>
      </c>
      <c r="AC274" s="223">
        <f t="shared" si="76"/>
        <v>0</v>
      </c>
      <c r="AD274" s="224"/>
      <c r="AE274" s="225"/>
      <c r="AF274" s="226">
        <f t="shared" si="77"/>
        <v>0</v>
      </c>
      <c r="AG274" s="227">
        <f t="shared" si="78"/>
        <v>0</v>
      </c>
      <c r="AH274" s="228" t="s">
        <v>25</v>
      </c>
      <c r="AI274" s="229" t="str">
        <f t="shared" si="79"/>
        <v>Extremamente Complexa</v>
      </c>
      <c r="AJ274" s="230" t="str">
        <f t="shared" si="80"/>
        <v>Normal</v>
      </c>
      <c r="AK274" s="231">
        <f t="shared" si="81"/>
        <v>0</v>
      </c>
      <c r="AL274" s="232" t="str">
        <f t="shared" si="82"/>
        <v/>
      </c>
      <c r="AM274" s="233" t="str">
        <f t="shared" si="83"/>
        <v/>
      </c>
      <c r="AN274" s="233" t="str">
        <f t="shared" si="84"/>
        <v/>
      </c>
      <c r="AO274" s="234">
        <f t="shared" si="85"/>
        <v>0</v>
      </c>
      <c r="AP274" s="235">
        <f t="shared" si="101"/>
        <v>1</v>
      </c>
      <c r="AQ274" s="235">
        <f t="shared" si="101"/>
        <v>1</v>
      </c>
      <c r="AR274" s="236">
        <f t="shared" si="87"/>
        <v>1</v>
      </c>
      <c r="AS274" s="251">
        <f t="shared" si="88"/>
        <v>0</v>
      </c>
      <c r="AT274" s="238">
        <f t="shared" si="89"/>
        <v>0</v>
      </c>
      <c r="AU274" s="239">
        <f t="shared" si="90"/>
        <v>0</v>
      </c>
      <c r="AV274" s="239">
        <f t="shared" si="91"/>
        <v>0</v>
      </c>
      <c r="AW274" s="239">
        <f t="shared" si="92"/>
        <v>0.05</v>
      </c>
      <c r="AX274" s="240">
        <f t="shared" si="93"/>
        <v>0</v>
      </c>
      <c r="AY274" s="241" t="str">
        <f t="shared" si="94"/>
        <v/>
      </c>
      <c r="AZ274" s="242" t="str">
        <f>IFERROR(VLOOKUP(M274,'[1]Base Brasil Obras'!$C$2:$F$485,4,0),"")</f>
        <v/>
      </c>
      <c r="BA274" s="243">
        <f t="shared" si="95"/>
        <v>0</v>
      </c>
      <c r="BB274" s="244">
        <f t="shared" si="96"/>
        <v>0</v>
      </c>
      <c r="BC274" s="244">
        <f t="shared" si="97"/>
        <v>0.05</v>
      </c>
      <c r="BD274" s="245">
        <f t="shared" si="98"/>
        <v>0.95</v>
      </c>
      <c r="BE274" s="246">
        <f t="shared" si="99"/>
        <v>0</v>
      </c>
      <c r="BF274" s="247">
        <v>0</v>
      </c>
      <c r="BG274" s="248">
        <f t="shared" si="100"/>
        <v>1</v>
      </c>
      <c r="BH274" s="198"/>
      <c r="BI274" s="198"/>
      <c r="BJ274" s="199"/>
      <c r="BK274" s="200"/>
      <c r="BL274" s="200"/>
      <c r="BM274" s="200"/>
      <c r="BN274" s="200"/>
      <c r="BO274" s="10"/>
    </row>
    <row r="275" spans="1:67" ht="18" x14ac:dyDescent="0.25">
      <c r="A275" s="201">
        <v>167</v>
      </c>
      <c r="B275" s="286"/>
      <c r="C275" s="203">
        <f t="shared" si="68"/>
        <v>0</v>
      </c>
      <c r="D275" s="204"/>
      <c r="E275" s="204"/>
      <c r="F275" s="207"/>
      <c r="G275" s="206"/>
      <c r="H275" s="207"/>
      <c r="I275" s="208" t="s">
        <v>125</v>
      </c>
      <c r="J275" s="208" t="s">
        <v>126</v>
      </c>
      <c r="K275" s="287"/>
      <c r="L275" s="288"/>
      <c r="M275" s="289"/>
      <c r="N275" s="257"/>
      <c r="O275" s="213"/>
      <c r="P275" s="214"/>
      <c r="Q275" s="214"/>
      <c r="R275" s="214"/>
      <c r="S275" s="214"/>
      <c r="T275" s="214"/>
      <c r="U275" s="215">
        <f t="shared" si="69"/>
        <v>0</v>
      </c>
      <c r="V275" s="216" t="str">
        <f t="shared" si="70"/>
        <v/>
      </c>
      <c r="W275" s="217" t="str">
        <f t="shared" si="71"/>
        <v/>
      </c>
      <c r="X275" s="218" t="s">
        <v>20</v>
      </c>
      <c r="Y275" s="219" t="str">
        <f t="shared" si="72"/>
        <v>0 um/Dia</v>
      </c>
      <c r="Z275" s="220" t="str">
        <f t="shared" si="73"/>
        <v xml:space="preserve"> um / HH</v>
      </c>
      <c r="AA275" s="221" t="str">
        <f t="shared" si="74"/>
        <v/>
      </c>
      <c r="AB275" s="222" t="str">
        <f t="shared" si="75"/>
        <v>0 um /HH</v>
      </c>
      <c r="AC275" s="223">
        <f t="shared" si="76"/>
        <v>0</v>
      </c>
      <c r="AD275" s="224"/>
      <c r="AE275" s="225"/>
      <c r="AF275" s="226">
        <f t="shared" si="77"/>
        <v>0</v>
      </c>
      <c r="AG275" s="227">
        <f t="shared" si="78"/>
        <v>0</v>
      </c>
      <c r="AH275" s="228" t="s">
        <v>25</v>
      </c>
      <c r="AI275" s="229" t="str">
        <f t="shared" si="79"/>
        <v>Extremamente Complexa</v>
      </c>
      <c r="AJ275" s="230" t="str">
        <f t="shared" si="80"/>
        <v>Normal</v>
      </c>
      <c r="AK275" s="231">
        <f t="shared" si="81"/>
        <v>0</v>
      </c>
      <c r="AL275" s="232" t="str">
        <f t="shared" si="82"/>
        <v/>
      </c>
      <c r="AM275" s="233" t="str">
        <f t="shared" si="83"/>
        <v/>
      </c>
      <c r="AN275" s="233" t="str">
        <f t="shared" si="84"/>
        <v/>
      </c>
      <c r="AO275" s="234">
        <f t="shared" si="85"/>
        <v>0</v>
      </c>
      <c r="AP275" s="235">
        <f t="shared" si="101"/>
        <v>1</v>
      </c>
      <c r="AQ275" s="235">
        <f t="shared" si="101"/>
        <v>1</v>
      </c>
      <c r="AR275" s="235">
        <f t="shared" si="87"/>
        <v>1</v>
      </c>
      <c r="AS275" s="252">
        <f t="shared" si="88"/>
        <v>0</v>
      </c>
      <c r="AT275" s="238">
        <f t="shared" si="89"/>
        <v>0</v>
      </c>
      <c r="AU275" s="239">
        <f t="shared" si="90"/>
        <v>0</v>
      </c>
      <c r="AV275" s="239">
        <f t="shared" si="91"/>
        <v>0</v>
      </c>
      <c r="AW275" s="239">
        <f t="shared" si="92"/>
        <v>0.05</v>
      </c>
      <c r="AX275" s="240">
        <f t="shared" si="93"/>
        <v>0</v>
      </c>
      <c r="AY275" s="241" t="str">
        <f t="shared" si="94"/>
        <v/>
      </c>
      <c r="AZ275" s="242" t="str">
        <f>IFERROR(VLOOKUP(M275,'[1]Base Brasil Obras'!$C$2:$F$485,4,0),"")</f>
        <v/>
      </c>
      <c r="BA275" s="243">
        <f t="shared" si="95"/>
        <v>0</v>
      </c>
      <c r="BB275" s="244">
        <f t="shared" si="96"/>
        <v>0</v>
      </c>
      <c r="BC275" s="244">
        <f t="shared" si="97"/>
        <v>0.05</v>
      </c>
      <c r="BD275" s="245">
        <f t="shared" si="98"/>
        <v>0.95</v>
      </c>
      <c r="BE275" s="246">
        <f t="shared" si="99"/>
        <v>0</v>
      </c>
      <c r="BF275" s="247">
        <v>0</v>
      </c>
      <c r="BG275" s="248">
        <f t="shared" si="100"/>
        <v>1</v>
      </c>
      <c r="BH275" s="198"/>
      <c r="BI275" s="198"/>
      <c r="BJ275" s="199"/>
      <c r="BK275" s="200"/>
      <c r="BL275" s="200"/>
      <c r="BM275" s="200"/>
      <c r="BN275" s="200"/>
      <c r="BO275" s="10"/>
    </row>
    <row r="276" spans="1:67" ht="18" x14ac:dyDescent="0.25">
      <c r="A276" s="201">
        <v>168</v>
      </c>
      <c r="B276" s="286"/>
      <c r="C276" s="203">
        <f t="shared" si="68"/>
        <v>0</v>
      </c>
      <c r="D276" s="204"/>
      <c r="E276" s="204"/>
      <c r="F276" s="207"/>
      <c r="G276" s="206"/>
      <c r="H276" s="207"/>
      <c r="I276" s="208" t="s">
        <v>125</v>
      </c>
      <c r="J276" s="208" t="s">
        <v>126</v>
      </c>
      <c r="K276" s="287"/>
      <c r="L276" s="288"/>
      <c r="M276" s="289"/>
      <c r="N276" s="257"/>
      <c r="O276" s="213"/>
      <c r="P276" s="214"/>
      <c r="Q276" s="214"/>
      <c r="R276" s="214"/>
      <c r="S276" s="214"/>
      <c r="T276" s="214"/>
      <c r="U276" s="215">
        <f t="shared" si="69"/>
        <v>0</v>
      </c>
      <c r="V276" s="216" t="str">
        <f t="shared" si="70"/>
        <v/>
      </c>
      <c r="W276" s="217" t="str">
        <f t="shared" si="71"/>
        <v/>
      </c>
      <c r="X276" s="218" t="s">
        <v>20</v>
      </c>
      <c r="Y276" s="219" t="str">
        <f t="shared" si="72"/>
        <v>0 um/Dia</v>
      </c>
      <c r="Z276" s="220" t="str">
        <f t="shared" si="73"/>
        <v xml:space="preserve"> um / HH</v>
      </c>
      <c r="AA276" s="221" t="str">
        <f t="shared" si="74"/>
        <v/>
      </c>
      <c r="AB276" s="222" t="str">
        <f t="shared" si="75"/>
        <v>0 um /HH</v>
      </c>
      <c r="AC276" s="223">
        <f t="shared" si="76"/>
        <v>0</v>
      </c>
      <c r="AD276" s="224"/>
      <c r="AE276" s="225"/>
      <c r="AF276" s="226">
        <f t="shared" si="77"/>
        <v>0</v>
      </c>
      <c r="AG276" s="227">
        <f t="shared" si="78"/>
        <v>0</v>
      </c>
      <c r="AH276" s="228" t="s">
        <v>25</v>
      </c>
      <c r="AI276" s="229" t="str">
        <f t="shared" si="79"/>
        <v>Extremamente Complexa</v>
      </c>
      <c r="AJ276" s="230" t="str">
        <f t="shared" si="80"/>
        <v>Normal</v>
      </c>
      <c r="AK276" s="231">
        <f t="shared" si="81"/>
        <v>0</v>
      </c>
      <c r="AL276" s="232" t="str">
        <f t="shared" si="82"/>
        <v/>
      </c>
      <c r="AM276" s="233" t="str">
        <f t="shared" si="83"/>
        <v/>
      </c>
      <c r="AN276" s="233" t="str">
        <f t="shared" si="84"/>
        <v/>
      </c>
      <c r="AO276" s="234">
        <f t="shared" si="85"/>
        <v>0</v>
      </c>
      <c r="AP276" s="235">
        <f t="shared" si="101"/>
        <v>1</v>
      </c>
      <c r="AQ276" s="235">
        <f t="shared" si="101"/>
        <v>1</v>
      </c>
      <c r="AR276" s="236">
        <f t="shared" si="87"/>
        <v>1</v>
      </c>
      <c r="AS276" s="251">
        <f t="shared" si="88"/>
        <v>0</v>
      </c>
      <c r="AT276" s="238">
        <f t="shared" si="89"/>
        <v>0</v>
      </c>
      <c r="AU276" s="239">
        <f t="shared" si="90"/>
        <v>0</v>
      </c>
      <c r="AV276" s="239">
        <f t="shared" si="91"/>
        <v>0</v>
      </c>
      <c r="AW276" s="239">
        <f t="shared" si="92"/>
        <v>0.05</v>
      </c>
      <c r="AX276" s="240">
        <f t="shared" si="93"/>
        <v>0</v>
      </c>
      <c r="AY276" s="241" t="str">
        <f t="shared" si="94"/>
        <v/>
      </c>
      <c r="AZ276" s="242" t="str">
        <f>IFERROR(VLOOKUP(M276,'[1]Base Brasil Obras'!$C$2:$F$485,4,0),"")</f>
        <v/>
      </c>
      <c r="BA276" s="243">
        <f t="shared" si="95"/>
        <v>0</v>
      </c>
      <c r="BB276" s="244">
        <f t="shared" si="96"/>
        <v>0</v>
      </c>
      <c r="BC276" s="244">
        <f t="shared" si="97"/>
        <v>0.05</v>
      </c>
      <c r="BD276" s="245">
        <f t="shared" si="98"/>
        <v>0.95</v>
      </c>
      <c r="BE276" s="246">
        <f t="shared" si="99"/>
        <v>0</v>
      </c>
      <c r="BF276" s="247">
        <v>0</v>
      </c>
      <c r="BG276" s="248">
        <f t="shared" si="100"/>
        <v>1</v>
      </c>
      <c r="BH276" s="198"/>
      <c r="BI276" s="198"/>
      <c r="BJ276" s="199"/>
      <c r="BK276" s="200"/>
      <c r="BL276" s="200"/>
      <c r="BM276" s="200"/>
      <c r="BN276" s="200"/>
      <c r="BO276" s="10"/>
    </row>
    <row r="277" spans="1:67" ht="18" x14ac:dyDescent="0.25">
      <c r="A277" s="201">
        <v>169</v>
      </c>
      <c r="B277" s="286"/>
      <c r="C277" s="203">
        <f t="shared" si="68"/>
        <v>0</v>
      </c>
      <c r="D277" s="204"/>
      <c r="E277" s="204"/>
      <c r="F277" s="207"/>
      <c r="G277" s="206"/>
      <c r="H277" s="207"/>
      <c r="I277" s="208" t="s">
        <v>125</v>
      </c>
      <c r="J277" s="208" t="s">
        <v>126</v>
      </c>
      <c r="K277" s="287"/>
      <c r="L277" s="288"/>
      <c r="M277" s="289"/>
      <c r="N277" s="257"/>
      <c r="O277" s="213"/>
      <c r="P277" s="214"/>
      <c r="Q277" s="214"/>
      <c r="R277" s="214"/>
      <c r="S277" s="214"/>
      <c r="T277" s="214"/>
      <c r="U277" s="215">
        <f t="shared" si="69"/>
        <v>0</v>
      </c>
      <c r="V277" s="216" t="str">
        <f t="shared" si="70"/>
        <v/>
      </c>
      <c r="W277" s="217" t="str">
        <f t="shared" si="71"/>
        <v/>
      </c>
      <c r="X277" s="218" t="s">
        <v>20</v>
      </c>
      <c r="Y277" s="219" t="str">
        <f t="shared" si="72"/>
        <v>0 um/Dia</v>
      </c>
      <c r="Z277" s="220" t="str">
        <f t="shared" si="73"/>
        <v xml:space="preserve"> um / HH</v>
      </c>
      <c r="AA277" s="221" t="str">
        <f t="shared" si="74"/>
        <v/>
      </c>
      <c r="AB277" s="222" t="str">
        <f t="shared" si="75"/>
        <v>0 um /HH</v>
      </c>
      <c r="AC277" s="223">
        <f t="shared" si="76"/>
        <v>0</v>
      </c>
      <c r="AD277" s="224"/>
      <c r="AE277" s="225"/>
      <c r="AF277" s="226">
        <f t="shared" si="77"/>
        <v>0</v>
      </c>
      <c r="AG277" s="227">
        <f t="shared" si="78"/>
        <v>0</v>
      </c>
      <c r="AH277" s="228" t="s">
        <v>25</v>
      </c>
      <c r="AI277" s="229" t="str">
        <f t="shared" si="79"/>
        <v>Extremamente Complexa</v>
      </c>
      <c r="AJ277" s="230" t="str">
        <f t="shared" si="80"/>
        <v>Normal</v>
      </c>
      <c r="AK277" s="231">
        <f t="shared" si="81"/>
        <v>0</v>
      </c>
      <c r="AL277" s="232" t="str">
        <f t="shared" si="82"/>
        <v/>
      </c>
      <c r="AM277" s="233" t="str">
        <f t="shared" si="83"/>
        <v/>
      </c>
      <c r="AN277" s="233" t="str">
        <f t="shared" si="84"/>
        <v/>
      </c>
      <c r="AO277" s="234">
        <f t="shared" si="85"/>
        <v>0</v>
      </c>
      <c r="AP277" s="235">
        <f t="shared" si="101"/>
        <v>1</v>
      </c>
      <c r="AQ277" s="235">
        <f t="shared" si="101"/>
        <v>1</v>
      </c>
      <c r="AR277" s="235">
        <f t="shared" si="87"/>
        <v>1</v>
      </c>
      <c r="AS277" s="252">
        <f t="shared" si="88"/>
        <v>0</v>
      </c>
      <c r="AT277" s="238">
        <f t="shared" si="89"/>
        <v>0</v>
      </c>
      <c r="AU277" s="239">
        <f t="shared" si="90"/>
        <v>0</v>
      </c>
      <c r="AV277" s="239">
        <f t="shared" si="91"/>
        <v>0</v>
      </c>
      <c r="AW277" s="239">
        <f t="shared" si="92"/>
        <v>0.05</v>
      </c>
      <c r="AX277" s="240">
        <f t="shared" si="93"/>
        <v>0</v>
      </c>
      <c r="AY277" s="241" t="str">
        <f t="shared" si="94"/>
        <v/>
      </c>
      <c r="AZ277" s="242" t="str">
        <f>IFERROR(VLOOKUP(M277,'[1]Base Brasil Obras'!$C$2:$F$485,4,0),"")</f>
        <v/>
      </c>
      <c r="BA277" s="243">
        <f t="shared" si="95"/>
        <v>0</v>
      </c>
      <c r="BB277" s="244">
        <f t="shared" si="96"/>
        <v>0</v>
      </c>
      <c r="BC277" s="244">
        <f t="shared" si="97"/>
        <v>0.05</v>
      </c>
      <c r="BD277" s="245">
        <f t="shared" si="98"/>
        <v>0.95</v>
      </c>
      <c r="BE277" s="246">
        <f t="shared" si="99"/>
        <v>0</v>
      </c>
      <c r="BF277" s="247">
        <v>0</v>
      </c>
      <c r="BG277" s="248">
        <f t="shared" si="100"/>
        <v>1</v>
      </c>
      <c r="BH277" s="198"/>
      <c r="BI277" s="198"/>
      <c r="BJ277" s="199"/>
      <c r="BK277" s="200"/>
      <c r="BL277" s="200"/>
      <c r="BM277" s="200"/>
      <c r="BN277" s="200"/>
      <c r="BO277" s="10"/>
    </row>
    <row r="278" spans="1:67" ht="18" x14ac:dyDescent="0.25">
      <c r="A278" s="201">
        <v>170</v>
      </c>
      <c r="B278" s="286"/>
      <c r="C278" s="203">
        <f t="shared" si="68"/>
        <v>0</v>
      </c>
      <c r="D278" s="204"/>
      <c r="E278" s="204"/>
      <c r="F278" s="207"/>
      <c r="G278" s="206"/>
      <c r="H278" s="207"/>
      <c r="I278" s="208" t="s">
        <v>125</v>
      </c>
      <c r="J278" s="208" t="s">
        <v>126</v>
      </c>
      <c r="K278" s="287"/>
      <c r="L278" s="288"/>
      <c r="M278" s="289"/>
      <c r="N278" s="257"/>
      <c r="O278" s="213"/>
      <c r="P278" s="214"/>
      <c r="Q278" s="214"/>
      <c r="R278" s="214"/>
      <c r="S278" s="214"/>
      <c r="T278" s="214"/>
      <c r="U278" s="215">
        <f t="shared" si="69"/>
        <v>0</v>
      </c>
      <c r="V278" s="216" t="str">
        <f t="shared" si="70"/>
        <v/>
      </c>
      <c r="W278" s="217" t="str">
        <f t="shared" si="71"/>
        <v/>
      </c>
      <c r="X278" s="218" t="s">
        <v>20</v>
      </c>
      <c r="Y278" s="219" t="str">
        <f t="shared" si="72"/>
        <v>0 um/Dia</v>
      </c>
      <c r="Z278" s="220" t="str">
        <f t="shared" si="73"/>
        <v xml:space="preserve"> um / HH</v>
      </c>
      <c r="AA278" s="221" t="str">
        <f t="shared" si="74"/>
        <v/>
      </c>
      <c r="AB278" s="222" t="str">
        <f t="shared" si="75"/>
        <v>0 um /HH</v>
      </c>
      <c r="AC278" s="223">
        <f t="shared" si="76"/>
        <v>0</v>
      </c>
      <c r="AD278" s="224"/>
      <c r="AE278" s="225"/>
      <c r="AF278" s="226">
        <f t="shared" si="77"/>
        <v>0</v>
      </c>
      <c r="AG278" s="227">
        <f t="shared" si="78"/>
        <v>0</v>
      </c>
      <c r="AH278" s="228" t="s">
        <v>25</v>
      </c>
      <c r="AI278" s="229" t="str">
        <f t="shared" si="79"/>
        <v>Extremamente Complexa</v>
      </c>
      <c r="AJ278" s="230" t="str">
        <f t="shared" si="80"/>
        <v>Normal</v>
      </c>
      <c r="AK278" s="231">
        <f t="shared" si="81"/>
        <v>0</v>
      </c>
      <c r="AL278" s="232" t="str">
        <f t="shared" si="82"/>
        <v/>
      </c>
      <c r="AM278" s="233" t="str">
        <f t="shared" si="83"/>
        <v/>
      </c>
      <c r="AN278" s="233" t="str">
        <f t="shared" si="84"/>
        <v/>
      </c>
      <c r="AO278" s="234">
        <f t="shared" si="85"/>
        <v>0</v>
      </c>
      <c r="AP278" s="235">
        <f t="shared" si="101"/>
        <v>1</v>
      </c>
      <c r="AQ278" s="235">
        <f t="shared" si="101"/>
        <v>1</v>
      </c>
      <c r="AR278" s="236">
        <f t="shared" si="87"/>
        <v>1</v>
      </c>
      <c r="AS278" s="251">
        <f t="shared" si="88"/>
        <v>0</v>
      </c>
      <c r="AT278" s="238">
        <f t="shared" si="89"/>
        <v>0</v>
      </c>
      <c r="AU278" s="239">
        <f t="shared" si="90"/>
        <v>0</v>
      </c>
      <c r="AV278" s="239">
        <f t="shared" si="91"/>
        <v>0</v>
      </c>
      <c r="AW278" s="239">
        <f t="shared" si="92"/>
        <v>0.05</v>
      </c>
      <c r="AX278" s="240">
        <f t="shared" si="93"/>
        <v>0</v>
      </c>
      <c r="AY278" s="241" t="str">
        <f t="shared" si="94"/>
        <v/>
      </c>
      <c r="AZ278" s="242" t="str">
        <f>IFERROR(VLOOKUP(M278,'[1]Base Brasil Obras'!$C$2:$F$485,4,0),"")</f>
        <v/>
      </c>
      <c r="BA278" s="243">
        <f t="shared" si="95"/>
        <v>0</v>
      </c>
      <c r="BB278" s="244">
        <f t="shared" si="96"/>
        <v>0</v>
      </c>
      <c r="BC278" s="244">
        <f t="shared" si="97"/>
        <v>0.05</v>
      </c>
      <c r="BD278" s="245">
        <f t="shared" si="98"/>
        <v>0.95</v>
      </c>
      <c r="BE278" s="246">
        <f t="shared" si="99"/>
        <v>0</v>
      </c>
      <c r="BF278" s="247">
        <v>0</v>
      </c>
      <c r="BG278" s="248">
        <f t="shared" si="100"/>
        <v>1</v>
      </c>
      <c r="BH278" s="198"/>
      <c r="BI278" s="198"/>
      <c r="BJ278" s="199"/>
      <c r="BK278" s="200"/>
      <c r="BL278" s="200"/>
      <c r="BM278" s="200"/>
      <c r="BN278" s="200"/>
      <c r="BO278" s="10"/>
    </row>
    <row r="279" spans="1:67" ht="18" x14ac:dyDescent="0.25">
      <c r="A279" s="201">
        <v>171</v>
      </c>
      <c r="B279" s="286"/>
      <c r="C279" s="203">
        <f t="shared" si="68"/>
        <v>0</v>
      </c>
      <c r="D279" s="204"/>
      <c r="E279" s="204"/>
      <c r="F279" s="207"/>
      <c r="G279" s="206"/>
      <c r="H279" s="207"/>
      <c r="I279" s="208" t="s">
        <v>125</v>
      </c>
      <c r="J279" s="208" t="s">
        <v>126</v>
      </c>
      <c r="K279" s="287"/>
      <c r="L279" s="288"/>
      <c r="M279" s="289"/>
      <c r="N279" s="257"/>
      <c r="O279" s="213"/>
      <c r="P279" s="214"/>
      <c r="Q279" s="214"/>
      <c r="R279" s="214"/>
      <c r="S279" s="214"/>
      <c r="T279" s="214"/>
      <c r="U279" s="215">
        <f t="shared" si="69"/>
        <v>0</v>
      </c>
      <c r="V279" s="216" t="str">
        <f t="shared" si="70"/>
        <v/>
      </c>
      <c r="W279" s="217" t="str">
        <f t="shared" si="71"/>
        <v/>
      </c>
      <c r="X279" s="218" t="s">
        <v>20</v>
      </c>
      <c r="Y279" s="219" t="str">
        <f t="shared" si="72"/>
        <v>0 um/Dia</v>
      </c>
      <c r="Z279" s="220" t="str">
        <f t="shared" si="73"/>
        <v xml:space="preserve"> um / HH</v>
      </c>
      <c r="AA279" s="221" t="str">
        <f t="shared" si="74"/>
        <v/>
      </c>
      <c r="AB279" s="222" t="str">
        <f t="shared" si="75"/>
        <v>0 um /HH</v>
      </c>
      <c r="AC279" s="223">
        <f t="shared" si="76"/>
        <v>0</v>
      </c>
      <c r="AD279" s="224"/>
      <c r="AE279" s="225"/>
      <c r="AF279" s="226">
        <f t="shared" si="77"/>
        <v>0</v>
      </c>
      <c r="AG279" s="227">
        <f t="shared" si="78"/>
        <v>0</v>
      </c>
      <c r="AH279" s="228" t="s">
        <v>25</v>
      </c>
      <c r="AI279" s="229" t="str">
        <f t="shared" si="79"/>
        <v>Extremamente Complexa</v>
      </c>
      <c r="AJ279" s="230" t="str">
        <f t="shared" si="80"/>
        <v>Normal</v>
      </c>
      <c r="AK279" s="231">
        <f t="shared" si="81"/>
        <v>0</v>
      </c>
      <c r="AL279" s="232" t="str">
        <f t="shared" si="82"/>
        <v/>
      </c>
      <c r="AM279" s="233" t="str">
        <f t="shared" si="83"/>
        <v/>
      </c>
      <c r="AN279" s="233" t="str">
        <f t="shared" si="84"/>
        <v/>
      </c>
      <c r="AO279" s="234">
        <f t="shared" si="85"/>
        <v>0</v>
      </c>
      <c r="AP279" s="235">
        <f t="shared" si="101"/>
        <v>1</v>
      </c>
      <c r="AQ279" s="235">
        <f t="shared" si="101"/>
        <v>1</v>
      </c>
      <c r="AR279" s="235">
        <f t="shared" si="87"/>
        <v>1</v>
      </c>
      <c r="AS279" s="252">
        <f t="shared" si="88"/>
        <v>0</v>
      </c>
      <c r="AT279" s="238">
        <f t="shared" si="89"/>
        <v>0</v>
      </c>
      <c r="AU279" s="239">
        <f t="shared" si="90"/>
        <v>0</v>
      </c>
      <c r="AV279" s="239">
        <f t="shared" si="91"/>
        <v>0</v>
      </c>
      <c r="AW279" s="239">
        <f t="shared" si="92"/>
        <v>0.05</v>
      </c>
      <c r="AX279" s="240">
        <f t="shared" si="93"/>
        <v>0</v>
      </c>
      <c r="AY279" s="241" t="str">
        <f t="shared" si="94"/>
        <v/>
      </c>
      <c r="AZ279" s="242" t="str">
        <f>IFERROR(VLOOKUP(M279,'[1]Base Brasil Obras'!$C$2:$F$485,4,0),"")</f>
        <v/>
      </c>
      <c r="BA279" s="243">
        <f t="shared" si="95"/>
        <v>0</v>
      </c>
      <c r="BB279" s="244">
        <f t="shared" si="96"/>
        <v>0</v>
      </c>
      <c r="BC279" s="244">
        <f t="shared" si="97"/>
        <v>0.05</v>
      </c>
      <c r="BD279" s="245">
        <f t="shared" si="98"/>
        <v>0.95</v>
      </c>
      <c r="BE279" s="246">
        <f t="shared" si="99"/>
        <v>0</v>
      </c>
      <c r="BF279" s="247">
        <v>0</v>
      </c>
      <c r="BG279" s="248">
        <f t="shared" si="100"/>
        <v>1</v>
      </c>
      <c r="BH279" s="198"/>
      <c r="BI279" s="198"/>
      <c r="BJ279" s="199"/>
      <c r="BK279" s="200"/>
      <c r="BL279" s="200"/>
      <c r="BM279" s="200"/>
      <c r="BN279" s="200"/>
      <c r="BO279" s="10"/>
    </row>
    <row r="280" spans="1:67" ht="18" x14ac:dyDescent="0.25">
      <c r="A280" s="201">
        <v>172</v>
      </c>
      <c r="B280" s="286"/>
      <c r="C280" s="203">
        <f t="shared" si="68"/>
        <v>0</v>
      </c>
      <c r="D280" s="204"/>
      <c r="E280" s="204"/>
      <c r="F280" s="207"/>
      <c r="G280" s="206"/>
      <c r="H280" s="207"/>
      <c r="I280" s="208" t="s">
        <v>125</v>
      </c>
      <c r="J280" s="208" t="s">
        <v>126</v>
      </c>
      <c r="K280" s="287"/>
      <c r="L280" s="288"/>
      <c r="M280" s="289"/>
      <c r="N280" s="257"/>
      <c r="O280" s="213"/>
      <c r="P280" s="214"/>
      <c r="Q280" s="214"/>
      <c r="R280" s="214"/>
      <c r="S280" s="214"/>
      <c r="T280" s="214"/>
      <c r="U280" s="215">
        <f t="shared" si="69"/>
        <v>0</v>
      </c>
      <c r="V280" s="216" t="str">
        <f t="shared" si="70"/>
        <v/>
      </c>
      <c r="W280" s="217" t="str">
        <f t="shared" si="71"/>
        <v/>
      </c>
      <c r="X280" s="218" t="s">
        <v>20</v>
      </c>
      <c r="Y280" s="219" t="str">
        <f t="shared" si="72"/>
        <v>0 um/Dia</v>
      </c>
      <c r="Z280" s="220" t="str">
        <f t="shared" si="73"/>
        <v xml:space="preserve"> um / HH</v>
      </c>
      <c r="AA280" s="221" t="str">
        <f t="shared" si="74"/>
        <v/>
      </c>
      <c r="AB280" s="222" t="str">
        <f t="shared" si="75"/>
        <v>0 um /HH</v>
      </c>
      <c r="AC280" s="223">
        <f t="shared" si="76"/>
        <v>0</v>
      </c>
      <c r="AD280" s="224"/>
      <c r="AE280" s="225"/>
      <c r="AF280" s="226">
        <f t="shared" si="77"/>
        <v>0</v>
      </c>
      <c r="AG280" s="227">
        <f t="shared" si="78"/>
        <v>0</v>
      </c>
      <c r="AH280" s="228" t="s">
        <v>25</v>
      </c>
      <c r="AI280" s="229" t="str">
        <f t="shared" si="79"/>
        <v>Extremamente Complexa</v>
      </c>
      <c r="AJ280" s="230" t="str">
        <f t="shared" si="80"/>
        <v>Normal</v>
      </c>
      <c r="AK280" s="231">
        <f t="shared" si="81"/>
        <v>0</v>
      </c>
      <c r="AL280" s="232" t="str">
        <f t="shared" si="82"/>
        <v/>
      </c>
      <c r="AM280" s="233" t="str">
        <f t="shared" si="83"/>
        <v/>
      </c>
      <c r="AN280" s="233" t="str">
        <f t="shared" si="84"/>
        <v/>
      </c>
      <c r="AO280" s="234">
        <f t="shared" si="85"/>
        <v>0</v>
      </c>
      <c r="AP280" s="235">
        <f t="shared" si="101"/>
        <v>1</v>
      </c>
      <c r="AQ280" s="235">
        <f t="shared" si="101"/>
        <v>1</v>
      </c>
      <c r="AR280" s="236">
        <f t="shared" si="87"/>
        <v>1</v>
      </c>
      <c r="AS280" s="251">
        <f t="shared" si="88"/>
        <v>0</v>
      </c>
      <c r="AT280" s="238">
        <f t="shared" si="89"/>
        <v>0</v>
      </c>
      <c r="AU280" s="239">
        <f t="shared" si="90"/>
        <v>0</v>
      </c>
      <c r="AV280" s="239">
        <f t="shared" si="91"/>
        <v>0</v>
      </c>
      <c r="AW280" s="239">
        <f t="shared" si="92"/>
        <v>0.05</v>
      </c>
      <c r="AX280" s="240">
        <f t="shared" si="93"/>
        <v>0</v>
      </c>
      <c r="AY280" s="241" t="str">
        <f t="shared" si="94"/>
        <v/>
      </c>
      <c r="AZ280" s="242" t="str">
        <f>IFERROR(VLOOKUP(M280,'[1]Base Brasil Obras'!$C$2:$F$485,4,0),"")</f>
        <v/>
      </c>
      <c r="BA280" s="243">
        <f t="shared" si="95"/>
        <v>0</v>
      </c>
      <c r="BB280" s="244">
        <f t="shared" si="96"/>
        <v>0</v>
      </c>
      <c r="BC280" s="244">
        <f t="shared" si="97"/>
        <v>0.05</v>
      </c>
      <c r="BD280" s="245">
        <f t="shared" si="98"/>
        <v>0.95</v>
      </c>
      <c r="BE280" s="246">
        <f t="shared" si="99"/>
        <v>0</v>
      </c>
      <c r="BF280" s="247">
        <v>0</v>
      </c>
      <c r="BG280" s="248">
        <f t="shared" si="100"/>
        <v>1</v>
      </c>
      <c r="BH280" s="198"/>
      <c r="BI280" s="198"/>
      <c r="BJ280" s="199"/>
      <c r="BK280" s="200"/>
      <c r="BL280" s="200"/>
      <c r="BM280" s="200"/>
      <c r="BN280" s="200"/>
      <c r="BO280" s="10"/>
    </row>
    <row r="281" spans="1:67" ht="18" x14ac:dyDescent="0.25">
      <c r="A281" s="201">
        <v>173</v>
      </c>
      <c r="B281" s="286"/>
      <c r="C281" s="203">
        <f t="shared" si="68"/>
        <v>0</v>
      </c>
      <c r="D281" s="204"/>
      <c r="E281" s="204"/>
      <c r="F281" s="207"/>
      <c r="G281" s="206"/>
      <c r="H281" s="207"/>
      <c r="I281" s="208" t="s">
        <v>125</v>
      </c>
      <c r="J281" s="208" t="s">
        <v>126</v>
      </c>
      <c r="K281" s="287"/>
      <c r="L281" s="288"/>
      <c r="M281" s="289"/>
      <c r="N281" s="257"/>
      <c r="O281" s="213"/>
      <c r="P281" s="214"/>
      <c r="Q281" s="214"/>
      <c r="R281" s="214"/>
      <c r="S281" s="214"/>
      <c r="T281" s="214"/>
      <c r="U281" s="215">
        <f t="shared" si="69"/>
        <v>0</v>
      </c>
      <c r="V281" s="216" t="str">
        <f t="shared" si="70"/>
        <v/>
      </c>
      <c r="W281" s="217" t="str">
        <f t="shared" si="71"/>
        <v/>
      </c>
      <c r="X281" s="218" t="s">
        <v>20</v>
      </c>
      <c r="Y281" s="219" t="str">
        <f t="shared" si="72"/>
        <v>0 um/Dia</v>
      </c>
      <c r="Z281" s="220" t="str">
        <f t="shared" si="73"/>
        <v xml:space="preserve"> um / HH</v>
      </c>
      <c r="AA281" s="221" t="str">
        <f t="shared" si="74"/>
        <v/>
      </c>
      <c r="AB281" s="222" t="str">
        <f t="shared" si="75"/>
        <v>0 um /HH</v>
      </c>
      <c r="AC281" s="223">
        <f t="shared" si="76"/>
        <v>0</v>
      </c>
      <c r="AD281" s="224"/>
      <c r="AE281" s="225"/>
      <c r="AF281" s="226">
        <f t="shared" si="77"/>
        <v>0</v>
      </c>
      <c r="AG281" s="227">
        <f t="shared" si="78"/>
        <v>0</v>
      </c>
      <c r="AH281" s="228" t="s">
        <v>25</v>
      </c>
      <c r="AI281" s="229" t="str">
        <f t="shared" si="79"/>
        <v>Extremamente Complexa</v>
      </c>
      <c r="AJ281" s="230" t="str">
        <f t="shared" si="80"/>
        <v>Normal</v>
      </c>
      <c r="AK281" s="231">
        <f t="shared" si="81"/>
        <v>0</v>
      </c>
      <c r="AL281" s="232" t="str">
        <f t="shared" si="82"/>
        <v/>
      </c>
      <c r="AM281" s="233" t="str">
        <f t="shared" si="83"/>
        <v/>
      </c>
      <c r="AN281" s="233" t="str">
        <f t="shared" si="84"/>
        <v/>
      </c>
      <c r="AO281" s="234">
        <f t="shared" si="85"/>
        <v>0</v>
      </c>
      <c r="AP281" s="235">
        <f t="shared" si="101"/>
        <v>1</v>
      </c>
      <c r="AQ281" s="235">
        <f t="shared" si="101"/>
        <v>1</v>
      </c>
      <c r="AR281" s="235">
        <f t="shared" si="87"/>
        <v>1</v>
      </c>
      <c r="AS281" s="252">
        <f t="shared" si="88"/>
        <v>0</v>
      </c>
      <c r="AT281" s="238">
        <f t="shared" si="89"/>
        <v>0</v>
      </c>
      <c r="AU281" s="239">
        <f t="shared" si="90"/>
        <v>0</v>
      </c>
      <c r="AV281" s="239">
        <f t="shared" si="91"/>
        <v>0</v>
      </c>
      <c r="AW281" s="239">
        <f t="shared" si="92"/>
        <v>0.05</v>
      </c>
      <c r="AX281" s="240">
        <f t="shared" si="93"/>
        <v>0</v>
      </c>
      <c r="AY281" s="241" t="str">
        <f t="shared" si="94"/>
        <v/>
      </c>
      <c r="AZ281" s="242" t="str">
        <f>IFERROR(VLOOKUP(M281,'[1]Base Brasil Obras'!$C$2:$F$485,4,0),"")</f>
        <v/>
      </c>
      <c r="BA281" s="243">
        <f t="shared" si="95"/>
        <v>0</v>
      </c>
      <c r="BB281" s="244">
        <f t="shared" si="96"/>
        <v>0</v>
      </c>
      <c r="BC281" s="244">
        <f t="shared" si="97"/>
        <v>0.05</v>
      </c>
      <c r="BD281" s="245">
        <f t="shared" si="98"/>
        <v>0.95</v>
      </c>
      <c r="BE281" s="246">
        <f t="shared" si="99"/>
        <v>0</v>
      </c>
      <c r="BF281" s="247">
        <v>0</v>
      </c>
      <c r="BG281" s="248">
        <f t="shared" si="100"/>
        <v>1</v>
      </c>
      <c r="BH281" s="198"/>
      <c r="BI281" s="198"/>
      <c r="BJ281" s="199"/>
      <c r="BK281" s="200"/>
      <c r="BL281" s="200"/>
      <c r="BM281" s="200"/>
      <c r="BN281" s="200"/>
      <c r="BO281" s="10"/>
    </row>
    <row r="282" spans="1:67" ht="18" x14ac:dyDescent="0.25">
      <c r="A282" s="201">
        <v>174</v>
      </c>
      <c r="B282" s="286"/>
      <c r="C282" s="203">
        <f t="shared" si="68"/>
        <v>0</v>
      </c>
      <c r="D282" s="204"/>
      <c r="E282" s="204"/>
      <c r="F282" s="207"/>
      <c r="G282" s="206"/>
      <c r="H282" s="207"/>
      <c r="I282" s="208" t="s">
        <v>125</v>
      </c>
      <c r="J282" s="208" t="s">
        <v>126</v>
      </c>
      <c r="K282" s="287"/>
      <c r="L282" s="288"/>
      <c r="M282" s="289"/>
      <c r="N282" s="257"/>
      <c r="O282" s="213"/>
      <c r="P282" s="214"/>
      <c r="Q282" s="214"/>
      <c r="R282" s="214"/>
      <c r="S282" s="214"/>
      <c r="T282" s="214"/>
      <c r="U282" s="215">
        <f t="shared" si="69"/>
        <v>0</v>
      </c>
      <c r="V282" s="216" t="str">
        <f t="shared" si="70"/>
        <v/>
      </c>
      <c r="W282" s="217" t="str">
        <f t="shared" si="71"/>
        <v/>
      </c>
      <c r="X282" s="218" t="s">
        <v>20</v>
      </c>
      <c r="Y282" s="219" t="str">
        <f t="shared" si="72"/>
        <v>0 um/Dia</v>
      </c>
      <c r="Z282" s="220" t="str">
        <f t="shared" si="73"/>
        <v xml:space="preserve"> um / HH</v>
      </c>
      <c r="AA282" s="221" t="str">
        <f t="shared" si="74"/>
        <v/>
      </c>
      <c r="AB282" s="222" t="str">
        <f t="shared" si="75"/>
        <v>0 um /HH</v>
      </c>
      <c r="AC282" s="223">
        <f t="shared" si="76"/>
        <v>0</v>
      </c>
      <c r="AD282" s="224"/>
      <c r="AE282" s="225"/>
      <c r="AF282" s="226">
        <f t="shared" si="77"/>
        <v>0</v>
      </c>
      <c r="AG282" s="227">
        <f t="shared" si="78"/>
        <v>0</v>
      </c>
      <c r="AH282" s="228" t="s">
        <v>25</v>
      </c>
      <c r="AI282" s="229" t="str">
        <f t="shared" si="79"/>
        <v>Extremamente Complexa</v>
      </c>
      <c r="AJ282" s="230" t="str">
        <f t="shared" si="80"/>
        <v>Normal</v>
      </c>
      <c r="AK282" s="231">
        <f t="shared" si="81"/>
        <v>0</v>
      </c>
      <c r="AL282" s="232" t="str">
        <f t="shared" si="82"/>
        <v/>
      </c>
      <c r="AM282" s="233" t="str">
        <f t="shared" si="83"/>
        <v/>
      </c>
      <c r="AN282" s="233" t="str">
        <f t="shared" si="84"/>
        <v/>
      </c>
      <c r="AO282" s="234">
        <f t="shared" si="85"/>
        <v>0</v>
      </c>
      <c r="AP282" s="235">
        <f t="shared" si="101"/>
        <v>1</v>
      </c>
      <c r="AQ282" s="235">
        <f t="shared" si="101"/>
        <v>1</v>
      </c>
      <c r="AR282" s="236">
        <f t="shared" si="87"/>
        <v>1</v>
      </c>
      <c r="AS282" s="251">
        <f t="shared" si="88"/>
        <v>0</v>
      </c>
      <c r="AT282" s="238">
        <f t="shared" si="89"/>
        <v>0</v>
      </c>
      <c r="AU282" s="239">
        <f t="shared" si="90"/>
        <v>0</v>
      </c>
      <c r="AV282" s="239">
        <f t="shared" si="91"/>
        <v>0</v>
      </c>
      <c r="AW282" s="239">
        <f t="shared" si="92"/>
        <v>0.05</v>
      </c>
      <c r="AX282" s="240">
        <f t="shared" si="93"/>
        <v>0</v>
      </c>
      <c r="AY282" s="241" t="str">
        <f t="shared" si="94"/>
        <v/>
      </c>
      <c r="AZ282" s="242" t="str">
        <f>IFERROR(VLOOKUP(M282,'[1]Base Brasil Obras'!$C$2:$F$485,4,0),"")</f>
        <v/>
      </c>
      <c r="BA282" s="243">
        <f t="shared" si="95"/>
        <v>0</v>
      </c>
      <c r="BB282" s="244">
        <f t="shared" si="96"/>
        <v>0</v>
      </c>
      <c r="BC282" s="244">
        <f t="shared" si="97"/>
        <v>0.05</v>
      </c>
      <c r="BD282" s="245">
        <f t="shared" si="98"/>
        <v>0.95</v>
      </c>
      <c r="BE282" s="246">
        <f t="shared" si="99"/>
        <v>0</v>
      </c>
      <c r="BF282" s="247">
        <v>0</v>
      </c>
      <c r="BG282" s="248">
        <f t="shared" si="100"/>
        <v>1</v>
      </c>
      <c r="BH282" s="198"/>
      <c r="BI282" s="198"/>
      <c r="BJ282" s="199"/>
      <c r="BK282" s="200"/>
      <c r="BL282" s="200"/>
      <c r="BM282" s="200"/>
      <c r="BN282" s="200"/>
      <c r="BO282" s="10"/>
    </row>
    <row r="283" spans="1:67" ht="18" x14ac:dyDescent="0.25">
      <c r="A283" s="201">
        <v>175</v>
      </c>
      <c r="B283" s="286"/>
      <c r="C283" s="203">
        <f t="shared" si="68"/>
        <v>0</v>
      </c>
      <c r="D283" s="204"/>
      <c r="E283" s="204"/>
      <c r="F283" s="207"/>
      <c r="G283" s="206"/>
      <c r="H283" s="207"/>
      <c r="I283" s="208" t="s">
        <v>125</v>
      </c>
      <c r="J283" s="208" t="s">
        <v>126</v>
      </c>
      <c r="K283" s="287"/>
      <c r="L283" s="288"/>
      <c r="M283" s="289"/>
      <c r="N283" s="257"/>
      <c r="O283" s="213"/>
      <c r="P283" s="214"/>
      <c r="Q283" s="214"/>
      <c r="R283" s="214"/>
      <c r="S283" s="214"/>
      <c r="T283" s="214"/>
      <c r="U283" s="215">
        <f t="shared" si="69"/>
        <v>0</v>
      </c>
      <c r="V283" s="216" t="str">
        <f t="shared" si="70"/>
        <v/>
      </c>
      <c r="W283" s="217" t="str">
        <f t="shared" si="71"/>
        <v/>
      </c>
      <c r="X283" s="218" t="s">
        <v>20</v>
      </c>
      <c r="Y283" s="219" t="str">
        <f t="shared" si="72"/>
        <v>0 um/Dia</v>
      </c>
      <c r="Z283" s="220" t="str">
        <f t="shared" si="73"/>
        <v xml:space="preserve"> um / HH</v>
      </c>
      <c r="AA283" s="221" t="str">
        <f t="shared" si="74"/>
        <v/>
      </c>
      <c r="AB283" s="222" t="str">
        <f t="shared" si="75"/>
        <v>0 um /HH</v>
      </c>
      <c r="AC283" s="223">
        <f t="shared" si="76"/>
        <v>0</v>
      </c>
      <c r="AD283" s="224"/>
      <c r="AE283" s="225"/>
      <c r="AF283" s="226">
        <f t="shared" si="77"/>
        <v>0</v>
      </c>
      <c r="AG283" s="227">
        <f t="shared" si="78"/>
        <v>0</v>
      </c>
      <c r="AH283" s="228" t="s">
        <v>25</v>
      </c>
      <c r="AI283" s="229" t="str">
        <f t="shared" si="79"/>
        <v>Extremamente Complexa</v>
      </c>
      <c r="AJ283" s="230" t="str">
        <f t="shared" si="80"/>
        <v>Normal</v>
      </c>
      <c r="AK283" s="231">
        <f t="shared" si="81"/>
        <v>0</v>
      </c>
      <c r="AL283" s="232" t="str">
        <f t="shared" si="82"/>
        <v/>
      </c>
      <c r="AM283" s="233" t="str">
        <f t="shared" si="83"/>
        <v/>
      </c>
      <c r="AN283" s="233" t="str">
        <f t="shared" si="84"/>
        <v/>
      </c>
      <c r="AO283" s="234">
        <f t="shared" si="85"/>
        <v>0</v>
      </c>
      <c r="AP283" s="235">
        <f t="shared" si="101"/>
        <v>1</v>
      </c>
      <c r="AQ283" s="235">
        <f t="shared" si="101"/>
        <v>1</v>
      </c>
      <c r="AR283" s="235">
        <f t="shared" si="87"/>
        <v>1</v>
      </c>
      <c r="AS283" s="252">
        <f t="shared" si="88"/>
        <v>0</v>
      </c>
      <c r="AT283" s="238">
        <f t="shared" si="89"/>
        <v>0</v>
      </c>
      <c r="AU283" s="239">
        <f t="shared" si="90"/>
        <v>0</v>
      </c>
      <c r="AV283" s="239">
        <f t="shared" si="91"/>
        <v>0</v>
      </c>
      <c r="AW283" s="239">
        <f t="shared" si="92"/>
        <v>0.05</v>
      </c>
      <c r="AX283" s="240">
        <f t="shared" si="93"/>
        <v>0</v>
      </c>
      <c r="AY283" s="241" t="str">
        <f t="shared" si="94"/>
        <v/>
      </c>
      <c r="AZ283" s="242" t="str">
        <f>IFERROR(VLOOKUP(M283,'[1]Base Brasil Obras'!$C$2:$F$485,4,0),"")</f>
        <v/>
      </c>
      <c r="BA283" s="243">
        <f t="shared" si="95"/>
        <v>0</v>
      </c>
      <c r="BB283" s="244">
        <f t="shared" si="96"/>
        <v>0</v>
      </c>
      <c r="BC283" s="244">
        <f t="shared" si="97"/>
        <v>0.05</v>
      </c>
      <c r="BD283" s="245">
        <f t="shared" si="98"/>
        <v>0.95</v>
      </c>
      <c r="BE283" s="246">
        <f t="shared" si="99"/>
        <v>0</v>
      </c>
      <c r="BF283" s="247">
        <v>0</v>
      </c>
      <c r="BG283" s="248">
        <f t="shared" si="100"/>
        <v>1</v>
      </c>
      <c r="BH283" s="198"/>
      <c r="BI283" s="198"/>
      <c r="BJ283" s="199"/>
      <c r="BK283" s="200"/>
      <c r="BL283" s="200"/>
      <c r="BM283" s="200"/>
      <c r="BN283" s="200"/>
      <c r="BO283" s="10"/>
    </row>
    <row r="284" spans="1:67" ht="18" x14ac:dyDescent="0.25">
      <c r="A284" s="201">
        <v>176</v>
      </c>
      <c r="B284" s="286"/>
      <c r="C284" s="203">
        <f t="shared" si="68"/>
        <v>0</v>
      </c>
      <c r="D284" s="204"/>
      <c r="E284" s="204"/>
      <c r="F284" s="207"/>
      <c r="G284" s="206"/>
      <c r="H284" s="207"/>
      <c r="I284" s="208" t="s">
        <v>125</v>
      </c>
      <c r="J284" s="208" t="s">
        <v>126</v>
      </c>
      <c r="K284" s="287"/>
      <c r="L284" s="288"/>
      <c r="M284" s="289"/>
      <c r="N284" s="257"/>
      <c r="O284" s="213"/>
      <c r="P284" s="214"/>
      <c r="Q284" s="214"/>
      <c r="R284" s="214"/>
      <c r="S284" s="214"/>
      <c r="T284" s="214"/>
      <c r="U284" s="215">
        <f t="shared" si="69"/>
        <v>0</v>
      </c>
      <c r="V284" s="216" t="str">
        <f t="shared" si="70"/>
        <v/>
      </c>
      <c r="W284" s="217" t="str">
        <f t="shared" si="71"/>
        <v/>
      </c>
      <c r="X284" s="218" t="s">
        <v>20</v>
      </c>
      <c r="Y284" s="219" t="str">
        <f t="shared" si="72"/>
        <v>0 um/Dia</v>
      </c>
      <c r="Z284" s="220" t="str">
        <f t="shared" si="73"/>
        <v xml:space="preserve"> um / HH</v>
      </c>
      <c r="AA284" s="221" t="str">
        <f t="shared" si="74"/>
        <v/>
      </c>
      <c r="AB284" s="222" t="str">
        <f t="shared" si="75"/>
        <v>0 um /HH</v>
      </c>
      <c r="AC284" s="223">
        <f t="shared" si="76"/>
        <v>0</v>
      </c>
      <c r="AD284" s="224"/>
      <c r="AE284" s="225"/>
      <c r="AF284" s="226">
        <f t="shared" si="77"/>
        <v>0</v>
      </c>
      <c r="AG284" s="227">
        <f t="shared" si="78"/>
        <v>0</v>
      </c>
      <c r="AH284" s="228" t="s">
        <v>25</v>
      </c>
      <c r="AI284" s="229" t="str">
        <f t="shared" si="79"/>
        <v>Extremamente Complexa</v>
      </c>
      <c r="AJ284" s="230" t="str">
        <f t="shared" si="80"/>
        <v>Normal</v>
      </c>
      <c r="AK284" s="231">
        <f t="shared" si="81"/>
        <v>0</v>
      </c>
      <c r="AL284" s="232" t="str">
        <f t="shared" si="82"/>
        <v/>
      </c>
      <c r="AM284" s="233" t="str">
        <f t="shared" si="83"/>
        <v/>
      </c>
      <c r="AN284" s="233" t="str">
        <f t="shared" si="84"/>
        <v/>
      </c>
      <c r="AO284" s="234">
        <f t="shared" si="85"/>
        <v>0</v>
      </c>
      <c r="AP284" s="235">
        <f t="shared" si="101"/>
        <v>1</v>
      </c>
      <c r="AQ284" s="235">
        <f t="shared" si="101"/>
        <v>1</v>
      </c>
      <c r="AR284" s="236">
        <f t="shared" si="87"/>
        <v>1</v>
      </c>
      <c r="AS284" s="251">
        <f t="shared" si="88"/>
        <v>0</v>
      </c>
      <c r="AT284" s="238">
        <f t="shared" si="89"/>
        <v>0</v>
      </c>
      <c r="AU284" s="239">
        <f t="shared" si="90"/>
        <v>0</v>
      </c>
      <c r="AV284" s="239">
        <f t="shared" si="91"/>
        <v>0</v>
      </c>
      <c r="AW284" s="239">
        <f t="shared" si="92"/>
        <v>0.05</v>
      </c>
      <c r="AX284" s="240">
        <f t="shared" si="93"/>
        <v>0</v>
      </c>
      <c r="AY284" s="241" t="str">
        <f t="shared" si="94"/>
        <v/>
      </c>
      <c r="AZ284" s="242" t="str">
        <f>IFERROR(VLOOKUP(M284,'[1]Base Brasil Obras'!$C$2:$F$485,4,0),"")</f>
        <v/>
      </c>
      <c r="BA284" s="243">
        <f t="shared" si="95"/>
        <v>0</v>
      </c>
      <c r="BB284" s="244">
        <f t="shared" si="96"/>
        <v>0</v>
      </c>
      <c r="BC284" s="244">
        <f t="shared" si="97"/>
        <v>0.05</v>
      </c>
      <c r="BD284" s="245">
        <f t="shared" si="98"/>
        <v>0.95</v>
      </c>
      <c r="BE284" s="246">
        <f t="shared" si="99"/>
        <v>0</v>
      </c>
      <c r="BF284" s="247">
        <v>0</v>
      </c>
      <c r="BG284" s="248">
        <f t="shared" si="100"/>
        <v>1</v>
      </c>
      <c r="BH284" s="198"/>
      <c r="BI284" s="198"/>
      <c r="BJ284" s="199"/>
      <c r="BK284" s="200"/>
      <c r="BL284" s="200"/>
      <c r="BM284" s="200"/>
      <c r="BN284" s="200"/>
      <c r="BO284" s="10"/>
    </row>
    <row r="285" spans="1:67" ht="18" x14ac:dyDescent="0.25">
      <c r="A285" s="201">
        <v>177</v>
      </c>
      <c r="B285" s="286"/>
      <c r="C285" s="203">
        <f t="shared" si="68"/>
        <v>0</v>
      </c>
      <c r="D285" s="204"/>
      <c r="E285" s="204"/>
      <c r="F285" s="207"/>
      <c r="G285" s="206"/>
      <c r="H285" s="207"/>
      <c r="I285" s="208" t="s">
        <v>125</v>
      </c>
      <c r="J285" s="208" t="s">
        <v>126</v>
      </c>
      <c r="K285" s="287"/>
      <c r="L285" s="288"/>
      <c r="M285" s="289"/>
      <c r="N285" s="257"/>
      <c r="O285" s="213"/>
      <c r="P285" s="214"/>
      <c r="Q285" s="214"/>
      <c r="R285" s="214"/>
      <c r="S285" s="214"/>
      <c r="T285" s="214"/>
      <c r="U285" s="215">
        <f t="shared" si="69"/>
        <v>0</v>
      </c>
      <c r="V285" s="216" t="str">
        <f t="shared" si="70"/>
        <v/>
      </c>
      <c r="W285" s="217" t="str">
        <f t="shared" si="71"/>
        <v/>
      </c>
      <c r="X285" s="218" t="s">
        <v>20</v>
      </c>
      <c r="Y285" s="219" t="str">
        <f t="shared" si="72"/>
        <v>0 um/Dia</v>
      </c>
      <c r="Z285" s="220" t="str">
        <f t="shared" si="73"/>
        <v xml:space="preserve"> um / HH</v>
      </c>
      <c r="AA285" s="221" t="str">
        <f t="shared" si="74"/>
        <v/>
      </c>
      <c r="AB285" s="222" t="str">
        <f t="shared" si="75"/>
        <v>0 um /HH</v>
      </c>
      <c r="AC285" s="223">
        <f t="shared" si="76"/>
        <v>0</v>
      </c>
      <c r="AD285" s="224"/>
      <c r="AE285" s="225"/>
      <c r="AF285" s="226">
        <f t="shared" si="77"/>
        <v>0</v>
      </c>
      <c r="AG285" s="227">
        <f t="shared" si="78"/>
        <v>0</v>
      </c>
      <c r="AH285" s="228" t="s">
        <v>25</v>
      </c>
      <c r="AI285" s="229" t="str">
        <f t="shared" si="79"/>
        <v>Extremamente Complexa</v>
      </c>
      <c r="AJ285" s="230" t="str">
        <f t="shared" si="80"/>
        <v>Normal</v>
      </c>
      <c r="AK285" s="231">
        <f t="shared" si="81"/>
        <v>0</v>
      </c>
      <c r="AL285" s="232" t="str">
        <f t="shared" si="82"/>
        <v/>
      </c>
      <c r="AM285" s="233" t="str">
        <f t="shared" si="83"/>
        <v/>
      </c>
      <c r="AN285" s="233" t="str">
        <f t="shared" si="84"/>
        <v/>
      </c>
      <c r="AO285" s="234">
        <f t="shared" si="85"/>
        <v>0</v>
      </c>
      <c r="AP285" s="235">
        <f t="shared" si="101"/>
        <v>1</v>
      </c>
      <c r="AQ285" s="235">
        <f t="shared" si="101"/>
        <v>1</v>
      </c>
      <c r="AR285" s="235">
        <f t="shared" si="87"/>
        <v>1</v>
      </c>
      <c r="AS285" s="252">
        <f t="shared" si="88"/>
        <v>0</v>
      </c>
      <c r="AT285" s="238">
        <f t="shared" si="89"/>
        <v>0</v>
      </c>
      <c r="AU285" s="239">
        <f t="shared" si="90"/>
        <v>0</v>
      </c>
      <c r="AV285" s="239">
        <f t="shared" si="91"/>
        <v>0</v>
      </c>
      <c r="AW285" s="239">
        <f t="shared" si="92"/>
        <v>0.05</v>
      </c>
      <c r="AX285" s="240">
        <f t="shared" si="93"/>
        <v>0</v>
      </c>
      <c r="AY285" s="241" t="str">
        <f t="shared" si="94"/>
        <v/>
      </c>
      <c r="AZ285" s="242" t="str">
        <f>IFERROR(VLOOKUP(M285,'[1]Base Brasil Obras'!$C$2:$F$485,4,0),"")</f>
        <v/>
      </c>
      <c r="BA285" s="243">
        <f t="shared" si="95"/>
        <v>0</v>
      </c>
      <c r="BB285" s="244">
        <f t="shared" si="96"/>
        <v>0</v>
      </c>
      <c r="BC285" s="244">
        <f t="shared" si="97"/>
        <v>0.05</v>
      </c>
      <c r="BD285" s="245">
        <f t="shared" si="98"/>
        <v>0.95</v>
      </c>
      <c r="BE285" s="246">
        <f t="shared" si="99"/>
        <v>0</v>
      </c>
      <c r="BF285" s="247">
        <v>0</v>
      </c>
      <c r="BG285" s="248">
        <f t="shared" si="100"/>
        <v>1</v>
      </c>
      <c r="BH285" s="198"/>
      <c r="BI285" s="198"/>
      <c r="BJ285" s="199"/>
      <c r="BK285" s="200"/>
      <c r="BL285" s="200"/>
      <c r="BM285" s="200"/>
      <c r="BN285" s="200"/>
      <c r="BO285" s="10"/>
    </row>
    <row r="286" spans="1:67" ht="18" x14ac:dyDescent="0.25">
      <c r="A286" s="201">
        <v>178</v>
      </c>
      <c r="B286" s="286"/>
      <c r="C286" s="203">
        <f t="shared" si="68"/>
        <v>0</v>
      </c>
      <c r="D286" s="204"/>
      <c r="E286" s="204"/>
      <c r="F286" s="207"/>
      <c r="G286" s="206"/>
      <c r="H286" s="207"/>
      <c r="I286" s="208" t="s">
        <v>125</v>
      </c>
      <c r="J286" s="208" t="s">
        <v>126</v>
      </c>
      <c r="K286" s="287"/>
      <c r="L286" s="288"/>
      <c r="M286" s="289"/>
      <c r="N286" s="257"/>
      <c r="O286" s="213"/>
      <c r="P286" s="214"/>
      <c r="Q286" s="214"/>
      <c r="R286" s="214"/>
      <c r="S286" s="214"/>
      <c r="T286" s="214"/>
      <c r="U286" s="215">
        <f t="shared" si="69"/>
        <v>0</v>
      </c>
      <c r="V286" s="216" t="str">
        <f t="shared" si="70"/>
        <v/>
      </c>
      <c r="W286" s="217" t="str">
        <f t="shared" si="71"/>
        <v/>
      </c>
      <c r="X286" s="218" t="s">
        <v>20</v>
      </c>
      <c r="Y286" s="219" t="str">
        <f t="shared" si="72"/>
        <v>0 um/Dia</v>
      </c>
      <c r="Z286" s="220" t="str">
        <f t="shared" si="73"/>
        <v xml:space="preserve"> um / HH</v>
      </c>
      <c r="AA286" s="221" t="str">
        <f t="shared" si="74"/>
        <v/>
      </c>
      <c r="AB286" s="222" t="str">
        <f t="shared" si="75"/>
        <v>0 um /HH</v>
      </c>
      <c r="AC286" s="223">
        <f t="shared" si="76"/>
        <v>0</v>
      </c>
      <c r="AD286" s="224"/>
      <c r="AE286" s="225"/>
      <c r="AF286" s="226">
        <f t="shared" si="77"/>
        <v>0</v>
      </c>
      <c r="AG286" s="227">
        <f t="shared" si="78"/>
        <v>0</v>
      </c>
      <c r="AH286" s="228" t="s">
        <v>25</v>
      </c>
      <c r="AI286" s="229" t="str">
        <f t="shared" si="79"/>
        <v>Extremamente Complexa</v>
      </c>
      <c r="AJ286" s="230" t="str">
        <f t="shared" si="80"/>
        <v>Normal</v>
      </c>
      <c r="AK286" s="231">
        <f t="shared" si="81"/>
        <v>0</v>
      </c>
      <c r="AL286" s="232" t="str">
        <f t="shared" si="82"/>
        <v/>
      </c>
      <c r="AM286" s="233" t="str">
        <f t="shared" si="83"/>
        <v/>
      </c>
      <c r="AN286" s="233" t="str">
        <f t="shared" si="84"/>
        <v/>
      </c>
      <c r="AO286" s="234">
        <f t="shared" si="85"/>
        <v>0</v>
      </c>
      <c r="AP286" s="235">
        <f t="shared" si="101"/>
        <v>1</v>
      </c>
      <c r="AQ286" s="235">
        <f t="shared" si="101"/>
        <v>1</v>
      </c>
      <c r="AR286" s="236">
        <f t="shared" si="87"/>
        <v>1</v>
      </c>
      <c r="AS286" s="251">
        <f t="shared" si="88"/>
        <v>0</v>
      </c>
      <c r="AT286" s="238">
        <f t="shared" si="89"/>
        <v>0</v>
      </c>
      <c r="AU286" s="239">
        <f t="shared" si="90"/>
        <v>0</v>
      </c>
      <c r="AV286" s="239">
        <f t="shared" si="91"/>
        <v>0</v>
      </c>
      <c r="AW286" s="239">
        <f t="shared" si="92"/>
        <v>0.05</v>
      </c>
      <c r="AX286" s="240">
        <f t="shared" si="93"/>
        <v>0</v>
      </c>
      <c r="AY286" s="241" t="str">
        <f t="shared" si="94"/>
        <v/>
      </c>
      <c r="AZ286" s="242" t="str">
        <f>IFERROR(VLOOKUP(M286,'[1]Base Brasil Obras'!$C$2:$F$485,4,0),"")</f>
        <v/>
      </c>
      <c r="BA286" s="243">
        <f t="shared" si="95"/>
        <v>0</v>
      </c>
      <c r="BB286" s="244">
        <f t="shared" si="96"/>
        <v>0</v>
      </c>
      <c r="BC286" s="244">
        <f t="shared" si="97"/>
        <v>0.05</v>
      </c>
      <c r="BD286" s="245">
        <f t="shared" si="98"/>
        <v>0.95</v>
      </c>
      <c r="BE286" s="246">
        <f t="shared" si="99"/>
        <v>0</v>
      </c>
      <c r="BF286" s="247">
        <v>0</v>
      </c>
      <c r="BG286" s="248">
        <f t="shared" si="100"/>
        <v>1</v>
      </c>
      <c r="BH286" s="198"/>
      <c r="BI286" s="198"/>
      <c r="BJ286" s="199"/>
      <c r="BK286" s="200"/>
      <c r="BL286" s="200"/>
      <c r="BM286" s="200"/>
      <c r="BN286" s="200"/>
      <c r="BO286" s="10"/>
    </row>
    <row r="287" spans="1:67" ht="18" x14ac:dyDescent="0.25">
      <c r="A287" s="201">
        <v>179</v>
      </c>
      <c r="B287" s="286"/>
      <c r="C287" s="203">
        <f t="shared" si="68"/>
        <v>0</v>
      </c>
      <c r="D287" s="204"/>
      <c r="E287" s="204"/>
      <c r="F287" s="207"/>
      <c r="G287" s="206"/>
      <c r="H287" s="207"/>
      <c r="I287" s="208" t="s">
        <v>125</v>
      </c>
      <c r="J287" s="208" t="s">
        <v>126</v>
      </c>
      <c r="K287" s="287"/>
      <c r="L287" s="288"/>
      <c r="M287" s="289"/>
      <c r="N287" s="257"/>
      <c r="O287" s="213"/>
      <c r="P287" s="214"/>
      <c r="Q287" s="214"/>
      <c r="R287" s="214"/>
      <c r="S287" s="214"/>
      <c r="T287" s="214"/>
      <c r="U287" s="215">
        <f t="shared" si="69"/>
        <v>0</v>
      </c>
      <c r="V287" s="216" t="str">
        <f t="shared" si="70"/>
        <v/>
      </c>
      <c r="W287" s="217" t="str">
        <f t="shared" si="71"/>
        <v/>
      </c>
      <c r="X287" s="218" t="s">
        <v>20</v>
      </c>
      <c r="Y287" s="219" t="str">
        <f t="shared" si="72"/>
        <v>0 um/Dia</v>
      </c>
      <c r="Z287" s="220" t="str">
        <f t="shared" si="73"/>
        <v xml:space="preserve"> um / HH</v>
      </c>
      <c r="AA287" s="221" t="str">
        <f t="shared" si="74"/>
        <v/>
      </c>
      <c r="AB287" s="222" t="str">
        <f t="shared" si="75"/>
        <v>0 um /HH</v>
      </c>
      <c r="AC287" s="223">
        <f t="shared" si="76"/>
        <v>0</v>
      </c>
      <c r="AD287" s="224"/>
      <c r="AE287" s="225"/>
      <c r="AF287" s="226">
        <f t="shared" si="77"/>
        <v>0</v>
      </c>
      <c r="AG287" s="227">
        <f t="shared" si="78"/>
        <v>0</v>
      </c>
      <c r="AH287" s="228" t="s">
        <v>25</v>
      </c>
      <c r="AI287" s="229" t="str">
        <f t="shared" si="79"/>
        <v>Extremamente Complexa</v>
      </c>
      <c r="AJ287" s="230" t="str">
        <f t="shared" si="80"/>
        <v>Normal</v>
      </c>
      <c r="AK287" s="231">
        <f t="shared" si="81"/>
        <v>0</v>
      </c>
      <c r="AL287" s="232" t="str">
        <f t="shared" si="82"/>
        <v/>
      </c>
      <c r="AM287" s="233" t="str">
        <f t="shared" si="83"/>
        <v/>
      </c>
      <c r="AN287" s="233" t="str">
        <f t="shared" si="84"/>
        <v/>
      </c>
      <c r="AO287" s="234">
        <f t="shared" si="85"/>
        <v>0</v>
      </c>
      <c r="AP287" s="235">
        <f t="shared" ref="AP287:AQ317" si="102">IFERROR(VLOOKUP(I287,$J$1070:$K$1089,2,1),0)</f>
        <v>1</v>
      </c>
      <c r="AQ287" s="235">
        <f t="shared" si="102"/>
        <v>1</v>
      </c>
      <c r="AR287" s="236">
        <f t="shared" si="87"/>
        <v>1</v>
      </c>
      <c r="AS287" s="251">
        <f t="shared" si="88"/>
        <v>0</v>
      </c>
      <c r="AT287" s="238">
        <f t="shared" si="89"/>
        <v>0</v>
      </c>
      <c r="AU287" s="239">
        <f t="shared" si="90"/>
        <v>0</v>
      </c>
      <c r="AV287" s="239">
        <f t="shared" si="91"/>
        <v>0</v>
      </c>
      <c r="AW287" s="239">
        <f t="shared" si="92"/>
        <v>0.05</v>
      </c>
      <c r="AX287" s="240">
        <f t="shared" si="93"/>
        <v>0</v>
      </c>
      <c r="AY287" s="241" t="str">
        <f t="shared" si="94"/>
        <v/>
      </c>
      <c r="AZ287" s="242" t="str">
        <f>IFERROR(VLOOKUP(M287,'[1]Base Brasil Obras'!$C$2:$F$485,4,0),"")</f>
        <v/>
      </c>
      <c r="BA287" s="243">
        <f t="shared" si="95"/>
        <v>0</v>
      </c>
      <c r="BB287" s="244">
        <f t="shared" si="96"/>
        <v>0</v>
      </c>
      <c r="BC287" s="244">
        <f t="shared" si="97"/>
        <v>0.05</v>
      </c>
      <c r="BD287" s="245">
        <f t="shared" si="98"/>
        <v>0.95</v>
      </c>
      <c r="BE287" s="246">
        <f t="shared" si="99"/>
        <v>0</v>
      </c>
      <c r="BF287" s="247">
        <v>0</v>
      </c>
      <c r="BG287" s="248">
        <f t="shared" si="100"/>
        <v>1</v>
      </c>
      <c r="BH287" s="198"/>
      <c r="BI287" s="198"/>
      <c r="BJ287" s="199"/>
      <c r="BK287" s="200"/>
      <c r="BL287" s="200"/>
      <c r="BM287" s="200"/>
      <c r="BN287" s="200"/>
      <c r="BO287" s="10"/>
    </row>
    <row r="288" spans="1:67" ht="18" x14ac:dyDescent="0.25">
      <c r="A288" s="201">
        <v>180</v>
      </c>
      <c r="B288" s="286"/>
      <c r="C288" s="203">
        <f t="shared" si="68"/>
        <v>0</v>
      </c>
      <c r="D288" s="204"/>
      <c r="E288" s="204"/>
      <c r="F288" s="207"/>
      <c r="G288" s="206"/>
      <c r="H288" s="207"/>
      <c r="I288" s="208" t="s">
        <v>125</v>
      </c>
      <c r="J288" s="208" t="s">
        <v>126</v>
      </c>
      <c r="K288" s="287"/>
      <c r="L288" s="288"/>
      <c r="M288" s="289"/>
      <c r="N288" s="257"/>
      <c r="O288" s="213"/>
      <c r="P288" s="214"/>
      <c r="Q288" s="214"/>
      <c r="R288" s="214"/>
      <c r="S288" s="214"/>
      <c r="T288" s="214"/>
      <c r="U288" s="215">
        <f t="shared" si="69"/>
        <v>0</v>
      </c>
      <c r="V288" s="216" t="str">
        <f t="shared" si="70"/>
        <v/>
      </c>
      <c r="W288" s="217" t="str">
        <f t="shared" si="71"/>
        <v/>
      </c>
      <c r="X288" s="218" t="s">
        <v>20</v>
      </c>
      <c r="Y288" s="219" t="str">
        <f t="shared" si="72"/>
        <v>0 um/Dia</v>
      </c>
      <c r="Z288" s="220" t="str">
        <f t="shared" si="73"/>
        <v xml:space="preserve"> um / HH</v>
      </c>
      <c r="AA288" s="221" t="str">
        <f t="shared" si="74"/>
        <v/>
      </c>
      <c r="AB288" s="222" t="str">
        <f t="shared" si="75"/>
        <v>0 um /HH</v>
      </c>
      <c r="AC288" s="223">
        <f t="shared" si="76"/>
        <v>0</v>
      </c>
      <c r="AD288" s="224"/>
      <c r="AE288" s="225"/>
      <c r="AF288" s="226">
        <f t="shared" si="77"/>
        <v>0</v>
      </c>
      <c r="AG288" s="227">
        <f t="shared" si="78"/>
        <v>0</v>
      </c>
      <c r="AH288" s="228" t="s">
        <v>25</v>
      </c>
      <c r="AI288" s="229" t="str">
        <f t="shared" si="79"/>
        <v>Extremamente Complexa</v>
      </c>
      <c r="AJ288" s="230" t="str">
        <f t="shared" si="80"/>
        <v>Normal</v>
      </c>
      <c r="AK288" s="231">
        <f t="shared" si="81"/>
        <v>0</v>
      </c>
      <c r="AL288" s="232" t="str">
        <f t="shared" si="82"/>
        <v/>
      </c>
      <c r="AM288" s="233" t="str">
        <f t="shared" si="83"/>
        <v/>
      </c>
      <c r="AN288" s="233" t="str">
        <f t="shared" si="84"/>
        <v/>
      </c>
      <c r="AO288" s="234">
        <f t="shared" si="85"/>
        <v>0</v>
      </c>
      <c r="AP288" s="235">
        <f t="shared" si="102"/>
        <v>1</v>
      </c>
      <c r="AQ288" s="235">
        <f t="shared" si="102"/>
        <v>1</v>
      </c>
      <c r="AR288" s="235">
        <f t="shared" si="87"/>
        <v>1</v>
      </c>
      <c r="AS288" s="252">
        <f t="shared" si="88"/>
        <v>0</v>
      </c>
      <c r="AT288" s="238">
        <f t="shared" si="89"/>
        <v>0</v>
      </c>
      <c r="AU288" s="239">
        <f t="shared" si="90"/>
        <v>0</v>
      </c>
      <c r="AV288" s="239">
        <f t="shared" si="91"/>
        <v>0</v>
      </c>
      <c r="AW288" s="239">
        <f t="shared" si="92"/>
        <v>0.05</v>
      </c>
      <c r="AX288" s="240">
        <f t="shared" si="93"/>
        <v>0</v>
      </c>
      <c r="AY288" s="241" t="str">
        <f t="shared" si="94"/>
        <v/>
      </c>
      <c r="AZ288" s="242" t="str">
        <f>IFERROR(VLOOKUP(M288,'[1]Base Brasil Obras'!$C$2:$F$485,4,0),"")</f>
        <v/>
      </c>
      <c r="BA288" s="243">
        <f t="shared" si="95"/>
        <v>0</v>
      </c>
      <c r="BB288" s="244">
        <f t="shared" si="96"/>
        <v>0</v>
      </c>
      <c r="BC288" s="244">
        <f t="shared" si="97"/>
        <v>0.05</v>
      </c>
      <c r="BD288" s="245">
        <f t="shared" si="98"/>
        <v>0.95</v>
      </c>
      <c r="BE288" s="246">
        <f t="shared" si="99"/>
        <v>0</v>
      </c>
      <c r="BF288" s="247">
        <v>0</v>
      </c>
      <c r="BG288" s="248">
        <f t="shared" si="100"/>
        <v>1</v>
      </c>
      <c r="BH288" s="198"/>
      <c r="BI288" s="198"/>
      <c r="BJ288" s="199"/>
      <c r="BK288" s="200"/>
      <c r="BL288" s="200"/>
      <c r="BM288" s="200"/>
      <c r="BN288" s="200"/>
      <c r="BO288" s="10"/>
    </row>
    <row r="289" spans="1:67" ht="18" x14ac:dyDescent="0.25">
      <c r="A289" s="201">
        <v>181</v>
      </c>
      <c r="B289" s="286"/>
      <c r="C289" s="203">
        <f t="shared" si="68"/>
        <v>0</v>
      </c>
      <c r="D289" s="204"/>
      <c r="E289" s="204"/>
      <c r="F289" s="207"/>
      <c r="G289" s="206"/>
      <c r="H289" s="207"/>
      <c r="I289" s="208" t="s">
        <v>125</v>
      </c>
      <c r="J289" s="208" t="s">
        <v>126</v>
      </c>
      <c r="K289" s="287"/>
      <c r="L289" s="288"/>
      <c r="M289" s="289"/>
      <c r="N289" s="257"/>
      <c r="O289" s="213"/>
      <c r="P289" s="214"/>
      <c r="Q289" s="214"/>
      <c r="R289" s="214"/>
      <c r="S289" s="214"/>
      <c r="T289" s="214"/>
      <c r="U289" s="215">
        <f t="shared" si="69"/>
        <v>0</v>
      </c>
      <c r="V289" s="216" t="str">
        <f t="shared" si="70"/>
        <v/>
      </c>
      <c r="W289" s="217" t="str">
        <f t="shared" si="71"/>
        <v/>
      </c>
      <c r="X289" s="218" t="s">
        <v>20</v>
      </c>
      <c r="Y289" s="219" t="str">
        <f t="shared" si="72"/>
        <v>0 um/Dia</v>
      </c>
      <c r="Z289" s="220" t="str">
        <f t="shared" si="73"/>
        <v xml:space="preserve"> um / HH</v>
      </c>
      <c r="AA289" s="221" t="str">
        <f t="shared" si="74"/>
        <v/>
      </c>
      <c r="AB289" s="222" t="str">
        <f t="shared" si="75"/>
        <v>0 um /HH</v>
      </c>
      <c r="AC289" s="223">
        <f t="shared" si="76"/>
        <v>0</v>
      </c>
      <c r="AD289" s="224"/>
      <c r="AE289" s="225"/>
      <c r="AF289" s="226">
        <f t="shared" si="77"/>
        <v>0</v>
      </c>
      <c r="AG289" s="227">
        <f t="shared" si="78"/>
        <v>0</v>
      </c>
      <c r="AH289" s="228" t="s">
        <v>25</v>
      </c>
      <c r="AI289" s="229" t="str">
        <f t="shared" si="79"/>
        <v>Extremamente Complexa</v>
      </c>
      <c r="AJ289" s="230" t="str">
        <f t="shared" si="80"/>
        <v>Normal</v>
      </c>
      <c r="AK289" s="231">
        <f t="shared" si="81"/>
        <v>0</v>
      </c>
      <c r="AL289" s="232" t="str">
        <f t="shared" si="82"/>
        <v/>
      </c>
      <c r="AM289" s="233" t="str">
        <f t="shared" si="83"/>
        <v/>
      </c>
      <c r="AN289" s="233" t="str">
        <f t="shared" si="84"/>
        <v/>
      </c>
      <c r="AO289" s="234">
        <f t="shared" si="85"/>
        <v>0</v>
      </c>
      <c r="AP289" s="235">
        <f t="shared" si="102"/>
        <v>1</v>
      </c>
      <c r="AQ289" s="235">
        <f t="shared" si="102"/>
        <v>1</v>
      </c>
      <c r="AR289" s="236">
        <f t="shared" si="87"/>
        <v>1</v>
      </c>
      <c r="AS289" s="251">
        <f t="shared" si="88"/>
        <v>0</v>
      </c>
      <c r="AT289" s="238">
        <f t="shared" si="89"/>
        <v>0</v>
      </c>
      <c r="AU289" s="239">
        <f t="shared" si="90"/>
        <v>0</v>
      </c>
      <c r="AV289" s="239">
        <f t="shared" si="91"/>
        <v>0</v>
      </c>
      <c r="AW289" s="239">
        <f t="shared" si="92"/>
        <v>0.05</v>
      </c>
      <c r="AX289" s="240">
        <f t="shared" si="93"/>
        <v>0</v>
      </c>
      <c r="AY289" s="241" t="str">
        <f t="shared" si="94"/>
        <v/>
      </c>
      <c r="AZ289" s="242" t="str">
        <f>IFERROR(VLOOKUP(M289,'[1]Base Brasil Obras'!$C$2:$F$485,4,0),"")</f>
        <v/>
      </c>
      <c r="BA289" s="243">
        <f t="shared" si="95"/>
        <v>0</v>
      </c>
      <c r="BB289" s="244">
        <f t="shared" si="96"/>
        <v>0</v>
      </c>
      <c r="BC289" s="244">
        <f t="shared" si="97"/>
        <v>0.05</v>
      </c>
      <c r="BD289" s="245">
        <f t="shared" si="98"/>
        <v>0.95</v>
      </c>
      <c r="BE289" s="246">
        <f t="shared" si="99"/>
        <v>0</v>
      </c>
      <c r="BF289" s="247">
        <v>0</v>
      </c>
      <c r="BG289" s="248">
        <f t="shared" si="100"/>
        <v>1</v>
      </c>
      <c r="BH289" s="198"/>
      <c r="BI289" s="198"/>
      <c r="BJ289" s="199"/>
      <c r="BK289" s="200"/>
      <c r="BL289" s="200"/>
      <c r="BM289" s="200"/>
      <c r="BN289" s="200"/>
      <c r="BO289" s="10"/>
    </row>
    <row r="290" spans="1:67" ht="18" x14ac:dyDescent="0.25">
      <c r="A290" s="201">
        <v>182</v>
      </c>
      <c r="B290" s="286"/>
      <c r="C290" s="203">
        <f t="shared" si="68"/>
        <v>0</v>
      </c>
      <c r="D290" s="204"/>
      <c r="E290" s="204"/>
      <c r="F290" s="207"/>
      <c r="G290" s="206"/>
      <c r="H290" s="207"/>
      <c r="I290" s="208" t="s">
        <v>125</v>
      </c>
      <c r="J290" s="208" t="s">
        <v>126</v>
      </c>
      <c r="K290" s="287"/>
      <c r="L290" s="288"/>
      <c r="M290" s="289"/>
      <c r="N290" s="257"/>
      <c r="O290" s="213"/>
      <c r="P290" s="214"/>
      <c r="Q290" s="214"/>
      <c r="R290" s="214"/>
      <c r="S290" s="214"/>
      <c r="T290" s="214"/>
      <c r="U290" s="215">
        <f t="shared" si="69"/>
        <v>0</v>
      </c>
      <c r="V290" s="216" t="str">
        <f t="shared" si="70"/>
        <v/>
      </c>
      <c r="W290" s="217" t="str">
        <f t="shared" si="71"/>
        <v/>
      </c>
      <c r="X290" s="218" t="s">
        <v>20</v>
      </c>
      <c r="Y290" s="219" t="str">
        <f t="shared" si="72"/>
        <v>0 um/Dia</v>
      </c>
      <c r="Z290" s="220" t="str">
        <f t="shared" si="73"/>
        <v xml:space="preserve"> um / HH</v>
      </c>
      <c r="AA290" s="221" t="str">
        <f t="shared" si="74"/>
        <v/>
      </c>
      <c r="AB290" s="222" t="str">
        <f t="shared" si="75"/>
        <v>0 um /HH</v>
      </c>
      <c r="AC290" s="223">
        <f t="shared" si="76"/>
        <v>0</v>
      </c>
      <c r="AD290" s="224"/>
      <c r="AE290" s="225"/>
      <c r="AF290" s="226">
        <f t="shared" si="77"/>
        <v>0</v>
      </c>
      <c r="AG290" s="227">
        <f t="shared" si="78"/>
        <v>0</v>
      </c>
      <c r="AH290" s="228" t="s">
        <v>25</v>
      </c>
      <c r="AI290" s="229" t="str">
        <f t="shared" si="79"/>
        <v>Extremamente Complexa</v>
      </c>
      <c r="AJ290" s="230" t="str">
        <f t="shared" si="80"/>
        <v>Normal</v>
      </c>
      <c r="AK290" s="231">
        <f t="shared" si="81"/>
        <v>0</v>
      </c>
      <c r="AL290" s="232" t="str">
        <f t="shared" si="82"/>
        <v/>
      </c>
      <c r="AM290" s="233" t="str">
        <f t="shared" si="83"/>
        <v/>
      </c>
      <c r="AN290" s="233" t="str">
        <f t="shared" si="84"/>
        <v/>
      </c>
      <c r="AO290" s="234">
        <f t="shared" si="85"/>
        <v>0</v>
      </c>
      <c r="AP290" s="235">
        <f t="shared" si="102"/>
        <v>1</v>
      </c>
      <c r="AQ290" s="235">
        <f t="shared" si="102"/>
        <v>1</v>
      </c>
      <c r="AR290" s="235">
        <f t="shared" si="87"/>
        <v>1</v>
      </c>
      <c r="AS290" s="252">
        <f t="shared" si="88"/>
        <v>0</v>
      </c>
      <c r="AT290" s="238">
        <f t="shared" si="89"/>
        <v>0</v>
      </c>
      <c r="AU290" s="239">
        <f t="shared" si="90"/>
        <v>0</v>
      </c>
      <c r="AV290" s="239">
        <f t="shared" si="91"/>
        <v>0</v>
      </c>
      <c r="AW290" s="239">
        <f t="shared" si="92"/>
        <v>0.05</v>
      </c>
      <c r="AX290" s="240">
        <f t="shared" si="93"/>
        <v>0</v>
      </c>
      <c r="AY290" s="241" t="str">
        <f t="shared" si="94"/>
        <v/>
      </c>
      <c r="AZ290" s="242" t="str">
        <f>IFERROR(VLOOKUP(M290,'[1]Base Brasil Obras'!$C$2:$F$485,4,0),"")</f>
        <v/>
      </c>
      <c r="BA290" s="243">
        <f t="shared" si="95"/>
        <v>0</v>
      </c>
      <c r="BB290" s="244">
        <f t="shared" si="96"/>
        <v>0</v>
      </c>
      <c r="BC290" s="244">
        <f t="shared" si="97"/>
        <v>0.05</v>
      </c>
      <c r="BD290" s="245">
        <f t="shared" si="98"/>
        <v>0.95</v>
      </c>
      <c r="BE290" s="246">
        <f t="shared" si="99"/>
        <v>0</v>
      </c>
      <c r="BF290" s="247">
        <v>0</v>
      </c>
      <c r="BG290" s="248">
        <f t="shared" si="100"/>
        <v>1</v>
      </c>
      <c r="BH290" s="198"/>
      <c r="BI290" s="198"/>
      <c r="BJ290" s="199"/>
      <c r="BK290" s="200"/>
      <c r="BL290" s="200"/>
      <c r="BM290" s="200"/>
      <c r="BN290" s="200"/>
      <c r="BO290" s="10"/>
    </row>
    <row r="291" spans="1:67" ht="18" x14ac:dyDescent="0.25">
      <c r="A291" s="201">
        <v>183</v>
      </c>
      <c r="B291" s="286"/>
      <c r="C291" s="203">
        <f t="shared" si="68"/>
        <v>0</v>
      </c>
      <c r="D291" s="204"/>
      <c r="E291" s="204"/>
      <c r="F291" s="207"/>
      <c r="G291" s="206"/>
      <c r="H291" s="207"/>
      <c r="I291" s="208" t="s">
        <v>125</v>
      </c>
      <c r="J291" s="208" t="s">
        <v>126</v>
      </c>
      <c r="K291" s="287"/>
      <c r="L291" s="288"/>
      <c r="M291" s="289"/>
      <c r="N291" s="257"/>
      <c r="O291" s="213"/>
      <c r="P291" s="214"/>
      <c r="Q291" s="214"/>
      <c r="R291" s="214"/>
      <c r="S291" s="214"/>
      <c r="T291" s="214"/>
      <c r="U291" s="215">
        <f t="shared" si="69"/>
        <v>0</v>
      </c>
      <c r="V291" s="216" t="str">
        <f t="shared" si="70"/>
        <v/>
      </c>
      <c r="W291" s="217" t="str">
        <f t="shared" si="71"/>
        <v/>
      </c>
      <c r="X291" s="218" t="s">
        <v>20</v>
      </c>
      <c r="Y291" s="219" t="str">
        <f t="shared" si="72"/>
        <v>0 um/Dia</v>
      </c>
      <c r="Z291" s="220" t="str">
        <f t="shared" si="73"/>
        <v xml:space="preserve"> um / HH</v>
      </c>
      <c r="AA291" s="221" t="str">
        <f t="shared" si="74"/>
        <v/>
      </c>
      <c r="AB291" s="222" t="str">
        <f t="shared" si="75"/>
        <v>0 um /HH</v>
      </c>
      <c r="AC291" s="223">
        <f t="shared" si="76"/>
        <v>0</v>
      </c>
      <c r="AD291" s="224"/>
      <c r="AE291" s="225"/>
      <c r="AF291" s="226">
        <f t="shared" si="77"/>
        <v>0</v>
      </c>
      <c r="AG291" s="227">
        <f t="shared" si="78"/>
        <v>0</v>
      </c>
      <c r="AH291" s="228" t="s">
        <v>25</v>
      </c>
      <c r="AI291" s="229" t="str">
        <f t="shared" si="79"/>
        <v>Extremamente Complexa</v>
      </c>
      <c r="AJ291" s="230" t="str">
        <f t="shared" si="80"/>
        <v>Normal</v>
      </c>
      <c r="AK291" s="231">
        <f t="shared" si="81"/>
        <v>0</v>
      </c>
      <c r="AL291" s="232" t="str">
        <f t="shared" si="82"/>
        <v/>
      </c>
      <c r="AM291" s="233" t="str">
        <f t="shared" si="83"/>
        <v/>
      </c>
      <c r="AN291" s="233" t="str">
        <f t="shared" si="84"/>
        <v/>
      </c>
      <c r="AO291" s="234">
        <f t="shared" si="85"/>
        <v>0</v>
      </c>
      <c r="AP291" s="235">
        <f t="shared" si="102"/>
        <v>1</v>
      </c>
      <c r="AQ291" s="235">
        <f t="shared" si="102"/>
        <v>1</v>
      </c>
      <c r="AR291" s="236">
        <f t="shared" si="87"/>
        <v>1</v>
      </c>
      <c r="AS291" s="251">
        <f t="shared" si="88"/>
        <v>0</v>
      </c>
      <c r="AT291" s="238">
        <f t="shared" si="89"/>
        <v>0</v>
      </c>
      <c r="AU291" s="239">
        <f t="shared" si="90"/>
        <v>0</v>
      </c>
      <c r="AV291" s="239">
        <f t="shared" si="91"/>
        <v>0</v>
      </c>
      <c r="AW291" s="239">
        <f t="shared" si="92"/>
        <v>0.05</v>
      </c>
      <c r="AX291" s="240">
        <f t="shared" si="93"/>
        <v>0</v>
      </c>
      <c r="AY291" s="241" t="str">
        <f t="shared" si="94"/>
        <v/>
      </c>
      <c r="AZ291" s="242" t="str">
        <f>IFERROR(VLOOKUP(M291,'[1]Base Brasil Obras'!$C$2:$F$485,4,0),"")</f>
        <v/>
      </c>
      <c r="BA291" s="243">
        <f t="shared" si="95"/>
        <v>0</v>
      </c>
      <c r="BB291" s="244">
        <f t="shared" si="96"/>
        <v>0</v>
      </c>
      <c r="BC291" s="244">
        <f t="shared" si="97"/>
        <v>0.05</v>
      </c>
      <c r="BD291" s="245">
        <f t="shared" si="98"/>
        <v>0.95</v>
      </c>
      <c r="BE291" s="246">
        <f t="shared" si="99"/>
        <v>0</v>
      </c>
      <c r="BF291" s="247">
        <v>0</v>
      </c>
      <c r="BG291" s="248">
        <f t="shared" si="100"/>
        <v>1</v>
      </c>
      <c r="BH291" s="198"/>
      <c r="BI291" s="198"/>
      <c r="BJ291" s="199"/>
      <c r="BK291" s="200"/>
      <c r="BL291" s="200"/>
      <c r="BM291" s="200"/>
      <c r="BN291" s="200"/>
      <c r="BO291" s="10"/>
    </row>
    <row r="292" spans="1:67" ht="18" x14ac:dyDescent="0.25">
      <c r="A292" s="201">
        <v>184</v>
      </c>
      <c r="B292" s="286"/>
      <c r="C292" s="203">
        <f t="shared" si="68"/>
        <v>0</v>
      </c>
      <c r="D292" s="204"/>
      <c r="E292" s="204"/>
      <c r="F292" s="207"/>
      <c r="G292" s="206"/>
      <c r="H292" s="207"/>
      <c r="I292" s="208" t="s">
        <v>125</v>
      </c>
      <c r="J292" s="208" t="s">
        <v>126</v>
      </c>
      <c r="K292" s="287"/>
      <c r="L292" s="288"/>
      <c r="M292" s="289"/>
      <c r="N292" s="257"/>
      <c r="O292" s="213"/>
      <c r="P292" s="214"/>
      <c r="Q292" s="214"/>
      <c r="R292" s="214"/>
      <c r="S292" s="214"/>
      <c r="T292" s="214"/>
      <c r="U292" s="215">
        <f t="shared" si="69"/>
        <v>0</v>
      </c>
      <c r="V292" s="216" t="str">
        <f t="shared" si="70"/>
        <v/>
      </c>
      <c r="W292" s="217" t="str">
        <f t="shared" si="71"/>
        <v/>
      </c>
      <c r="X292" s="218" t="s">
        <v>20</v>
      </c>
      <c r="Y292" s="219" t="str">
        <f t="shared" si="72"/>
        <v>0 um/Dia</v>
      </c>
      <c r="Z292" s="220" t="str">
        <f t="shared" si="73"/>
        <v xml:space="preserve"> um / HH</v>
      </c>
      <c r="AA292" s="221" t="str">
        <f t="shared" si="74"/>
        <v/>
      </c>
      <c r="AB292" s="222" t="str">
        <f t="shared" si="75"/>
        <v>0 um /HH</v>
      </c>
      <c r="AC292" s="223">
        <f t="shared" si="76"/>
        <v>0</v>
      </c>
      <c r="AD292" s="224"/>
      <c r="AE292" s="225"/>
      <c r="AF292" s="226">
        <f t="shared" si="77"/>
        <v>0</v>
      </c>
      <c r="AG292" s="227">
        <f t="shared" si="78"/>
        <v>0</v>
      </c>
      <c r="AH292" s="228" t="s">
        <v>25</v>
      </c>
      <c r="AI292" s="229" t="str">
        <f t="shared" si="79"/>
        <v>Extremamente Complexa</v>
      </c>
      <c r="AJ292" s="230" t="str">
        <f t="shared" si="80"/>
        <v>Normal</v>
      </c>
      <c r="AK292" s="231">
        <f t="shared" si="81"/>
        <v>0</v>
      </c>
      <c r="AL292" s="232" t="str">
        <f t="shared" si="82"/>
        <v/>
      </c>
      <c r="AM292" s="233" t="str">
        <f t="shared" si="83"/>
        <v/>
      </c>
      <c r="AN292" s="233" t="str">
        <f t="shared" si="84"/>
        <v/>
      </c>
      <c r="AO292" s="234">
        <f t="shared" si="85"/>
        <v>0</v>
      </c>
      <c r="AP292" s="235">
        <f t="shared" si="102"/>
        <v>1</v>
      </c>
      <c r="AQ292" s="235">
        <f t="shared" si="102"/>
        <v>1</v>
      </c>
      <c r="AR292" s="235">
        <f t="shared" si="87"/>
        <v>1</v>
      </c>
      <c r="AS292" s="252">
        <f t="shared" si="88"/>
        <v>0</v>
      </c>
      <c r="AT292" s="238">
        <f t="shared" si="89"/>
        <v>0</v>
      </c>
      <c r="AU292" s="239">
        <f t="shared" si="90"/>
        <v>0</v>
      </c>
      <c r="AV292" s="239">
        <f t="shared" si="91"/>
        <v>0</v>
      </c>
      <c r="AW292" s="239">
        <f t="shared" si="92"/>
        <v>0.05</v>
      </c>
      <c r="AX292" s="240">
        <f t="shared" si="93"/>
        <v>0</v>
      </c>
      <c r="AY292" s="241" t="str">
        <f t="shared" si="94"/>
        <v/>
      </c>
      <c r="AZ292" s="242" t="str">
        <f>IFERROR(VLOOKUP(M292,'[1]Base Brasil Obras'!$C$2:$F$485,4,0),"")</f>
        <v/>
      </c>
      <c r="BA292" s="243">
        <f t="shared" si="95"/>
        <v>0</v>
      </c>
      <c r="BB292" s="244">
        <f t="shared" si="96"/>
        <v>0</v>
      </c>
      <c r="BC292" s="244">
        <f t="shared" si="97"/>
        <v>0.05</v>
      </c>
      <c r="BD292" s="245">
        <f t="shared" si="98"/>
        <v>0.95</v>
      </c>
      <c r="BE292" s="246">
        <f t="shared" si="99"/>
        <v>0</v>
      </c>
      <c r="BF292" s="247">
        <v>0</v>
      </c>
      <c r="BG292" s="248">
        <f t="shared" si="100"/>
        <v>1</v>
      </c>
      <c r="BH292" s="198"/>
      <c r="BI292" s="198"/>
      <c r="BJ292" s="199"/>
      <c r="BK292" s="200"/>
      <c r="BL292" s="200"/>
      <c r="BM292" s="200"/>
      <c r="BN292" s="200"/>
      <c r="BO292" s="10"/>
    </row>
    <row r="293" spans="1:67" ht="18" x14ac:dyDescent="0.25">
      <c r="A293" s="201">
        <v>185</v>
      </c>
      <c r="B293" s="286"/>
      <c r="C293" s="203">
        <f t="shared" si="68"/>
        <v>0</v>
      </c>
      <c r="D293" s="204"/>
      <c r="E293" s="204"/>
      <c r="F293" s="207"/>
      <c r="G293" s="206"/>
      <c r="H293" s="207"/>
      <c r="I293" s="208" t="s">
        <v>125</v>
      </c>
      <c r="J293" s="208" t="s">
        <v>126</v>
      </c>
      <c r="K293" s="287"/>
      <c r="L293" s="288"/>
      <c r="M293" s="289"/>
      <c r="N293" s="257"/>
      <c r="O293" s="213"/>
      <c r="P293" s="214"/>
      <c r="Q293" s="214"/>
      <c r="R293" s="214"/>
      <c r="S293" s="214"/>
      <c r="T293" s="214"/>
      <c r="U293" s="215">
        <f t="shared" si="69"/>
        <v>0</v>
      </c>
      <c r="V293" s="216" t="str">
        <f t="shared" si="70"/>
        <v/>
      </c>
      <c r="W293" s="217" t="str">
        <f t="shared" si="71"/>
        <v/>
      </c>
      <c r="X293" s="218" t="s">
        <v>20</v>
      </c>
      <c r="Y293" s="219" t="str">
        <f t="shared" si="72"/>
        <v>0 um/Dia</v>
      </c>
      <c r="Z293" s="220" t="str">
        <f t="shared" si="73"/>
        <v xml:space="preserve"> um / HH</v>
      </c>
      <c r="AA293" s="221" t="str">
        <f t="shared" si="74"/>
        <v/>
      </c>
      <c r="AB293" s="222" t="str">
        <f t="shared" si="75"/>
        <v>0 um /HH</v>
      </c>
      <c r="AC293" s="223">
        <f t="shared" si="76"/>
        <v>0</v>
      </c>
      <c r="AD293" s="224"/>
      <c r="AE293" s="225"/>
      <c r="AF293" s="226">
        <f t="shared" si="77"/>
        <v>0</v>
      </c>
      <c r="AG293" s="227">
        <f t="shared" si="78"/>
        <v>0</v>
      </c>
      <c r="AH293" s="228" t="s">
        <v>25</v>
      </c>
      <c r="AI293" s="229" t="str">
        <f t="shared" si="79"/>
        <v>Extremamente Complexa</v>
      </c>
      <c r="AJ293" s="230" t="str">
        <f t="shared" si="80"/>
        <v>Normal</v>
      </c>
      <c r="AK293" s="231">
        <f t="shared" si="81"/>
        <v>0</v>
      </c>
      <c r="AL293" s="232" t="str">
        <f t="shared" si="82"/>
        <v/>
      </c>
      <c r="AM293" s="233" t="str">
        <f t="shared" si="83"/>
        <v/>
      </c>
      <c r="AN293" s="233" t="str">
        <f t="shared" si="84"/>
        <v/>
      </c>
      <c r="AO293" s="234">
        <f t="shared" si="85"/>
        <v>0</v>
      </c>
      <c r="AP293" s="235">
        <f t="shared" si="102"/>
        <v>1</v>
      </c>
      <c r="AQ293" s="235">
        <f t="shared" si="102"/>
        <v>1</v>
      </c>
      <c r="AR293" s="236">
        <f t="shared" si="87"/>
        <v>1</v>
      </c>
      <c r="AS293" s="251">
        <f t="shared" si="88"/>
        <v>0</v>
      </c>
      <c r="AT293" s="238">
        <f t="shared" si="89"/>
        <v>0</v>
      </c>
      <c r="AU293" s="239">
        <f t="shared" si="90"/>
        <v>0</v>
      </c>
      <c r="AV293" s="239">
        <f t="shared" si="91"/>
        <v>0</v>
      </c>
      <c r="AW293" s="239">
        <f t="shared" si="92"/>
        <v>0.05</v>
      </c>
      <c r="AX293" s="240">
        <f t="shared" si="93"/>
        <v>0</v>
      </c>
      <c r="AY293" s="241" t="str">
        <f t="shared" si="94"/>
        <v/>
      </c>
      <c r="AZ293" s="242" t="str">
        <f>IFERROR(VLOOKUP(M293,'[1]Base Brasil Obras'!$C$2:$F$485,4,0),"")</f>
        <v/>
      </c>
      <c r="BA293" s="243">
        <f t="shared" si="95"/>
        <v>0</v>
      </c>
      <c r="BB293" s="244">
        <f t="shared" si="96"/>
        <v>0</v>
      </c>
      <c r="BC293" s="244">
        <f t="shared" si="97"/>
        <v>0.05</v>
      </c>
      <c r="BD293" s="245">
        <f t="shared" si="98"/>
        <v>0.95</v>
      </c>
      <c r="BE293" s="246">
        <f t="shared" si="99"/>
        <v>0</v>
      </c>
      <c r="BF293" s="247">
        <v>0</v>
      </c>
      <c r="BG293" s="248">
        <f t="shared" si="100"/>
        <v>1</v>
      </c>
      <c r="BH293" s="198"/>
      <c r="BI293" s="198"/>
      <c r="BJ293" s="199"/>
      <c r="BK293" s="200"/>
      <c r="BL293" s="200"/>
      <c r="BM293" s="200"/>
      <c r="BN293" s="200"/>
      <c r="BO293" s="10"/>
    </row>
    <row r="294" spans="1:67" ht="18" x14ac:dyDescent="0.25">
      <c r="A294" s="201">
        <v>186</v>
      </c>
      <c r="B294" s="286"/>
      <c r="C294" s="203">
        <f t="shared" si="68"/>
        <v>0</v>
      </c>
      <c r="D294" s="204"/>
      <c r="E294" s="204"/>
      <c r="F294" s="207"/>
      <c r="G294" s="206"/>
      <c r="H294" s="207"/>
      <c r="I294" s="208" t="s">
        <v>125</v>
      </c>
      <c r="J294" s="208" t="s">
        <v>126</v>
      </c>
      <c r="K294" s="287"/>
      <c r="L294" s="288"/>
      <c r="M294" s="289"/>
      <c r="N294" s="257"/>
      <c r="O294" s="213"/>
      <c r="P294" s="214"/>
      <c r="Q294" s="214"/>
      <c r="R294" s="214"/>
      <c r="S294" s="214"/>
      <c r="T294" s="214"/>
      <c r="U294" s="215">
        <f t="shared" si="69"/>
        <v>0</v>
      </c>
      <c r="V294" s="216" t="str">
        <f t="shared" si="70"/>
        <v/>
      </c>
      <c r="W294" s="217" t="str">
        <f t="shared" si="71"/>
        <v/>
      </c>
      <c r="X294" s="218" t="s">
        <v>20</v>
      </c>
      <c r="Y294" s="219" t="str">
        <f t="shared" si="72"/>
        <v>0 um/Dia</v>
      </c>
      <c r="Z294" s="220" t="str">
        <f t="shared" si="73"/>
        <v xml:space="preserve"> um / HH</v>
      </c>
      <c r="AA294" s="221" t="str">
        <f t="shared" si="74"/>
        <v/>
      </c>
      <c r="AB294" s="222" t="str">
        <f t="shared" si="75"/>
        <v>0 um /HH</v>
      </c>
      <c r="AC294" s="223">
        <f t="shared" si="76"/>
        <v>0</v>
      </c>
      <c r="AD294" s="224"/>
      <c r="AE294" s="225"/>
      <c r="AF294" s="226">
        <f t="shared" si="77"/>
        <v>0</v>
      </c>
      <c r="AG294" s="227">
        <f t="shared" si="78"/>
        <v>0</v>
      </c>
      <c r="AH294" s="228" t="s">
        <v>25</v>
      </c>
      <c r="AI294" s="229" t="str">
        <f t="shared" si="79"/>
        <v>Extremamente Complexa</v>
      </c>
      <c r="AJ294" s="230" t="str">
        <f t="shared" si="80"/>
        <v>Normal</v>
      </c>
      <c r="AK294" s="231">
        <f t="shared" si="81"/>
        <v>0</v>
      </c>
      <c r="AL294" s="232" t="str">
        <f t="shared" si="82"/>
        <v/>
      </c>
      <c r="AM294" s="233" t="str">
        <f t="shared" si="83"/>
        <v/>
      </c>
      <c r="AN294" s="233" t="str">
        <f t="shared" si="84"/>
        <v/>
      </c>
      <c r="AO294" s="234">
        <f t="shared" si="85"/>
        <v>0</v>
      </c>
      <c r="AP294" s="235">
        <f t="shared" si="102"/>
        <v>1</v>
      </c>
      <c r="AQ294" s="235">
        <f t="shared" si="102"/>
        <v>1</v>
      </c>
      <c r="AR294" s="235">
        <f t="shared" si="87"/>
        <v>1</v>
      </c>
      <c r="AS294" s="252">
        <f t="shared" si="88"/>
        <v>0</v>
      </c>
      <c r="AT294" s="238">
        <f t="shared" si="89"/>
        <v>0</v>
      </c>
      <c r="AU294" s="239">
        <f t="shared" si="90"/>
        <v>0</v>
      </c>
      <c r="AV294" s="239">
        <f t="shared" si="91"/>
        <v>0</v>
      </c>
      <c r="AW294" s="239">
        <f t="shared" si="92"/>
        <v>0.05</v>
      </c>
      <c r="AX294" s="240">
        <f t="shared" si="93"/>
        <v>0</v>
      </c>
      <c r="AY294" s="241" t="str">
        <f t="shared" si="94"/>
        <v/>
      </c>
      <c r="AZ294" s="242" t="str">
        <f>IFERROR(VLOOKUP(M294,'[1]Base Brasil Obras'!$C$2:$F$485,4,0),"")</f>
        <v/>
      </c>
      <c r="BA294" s="243">
        <f t="shared" si="95"/>
        <v>0</v>
      </c>
      <c r="BB294" s="244">
        <f t="shared" si="96"/>
        <v>0</v>
      </c>
      <c r="BC294" s="244">
        <f t="shared" si="97"/>
        <v>0.05</v>
      </c>
      <c r="BD294" s="245">
        <f t="shared" si="98"/>
        <v>0.95</v>
      </c>
      <c r="BE294" s="246">
        <f t="shared" si="99"/>
        <v>0</v>
      </c>
      <c r="BF294" s="247">
        <v>0</v>
      </c>
      <c r="BG294" s="248">
        <f t="shared" si="100"/>
        <v>1</v>
      </c>
      <c r="BH294" s="198"/>
      <c r="BI294" s="198"/>
      <c r="BJ294" s="199"/>
      <c r="BK294" s="200"/>
      <c r="BL294" s="200"/>
      <c r="BM294" s="200"/>
      <c r="BN294" s="200"/>
      <c r="BO294" s="10"/>
    </row>
    <row r="295" spans="1:67" ht="18" x14ac:dyDescent="0.25">
      <c r="A295" s="201">
        <v>187</v>
      </c>
      <c r="B295" s="286"/>
      <c r="C295" s="203">
        <f t="shared" si="68"/>
        <v>0</v>
      </c>
      <c r="D295" s="204"/>
      <c r="E295" s="204"/>
      <c r="F295" s="207"/>
      <c r="G295" s="206"/>
      <c r="H295" s="207"/>
      <c r="I295" s="208" t="s">
        <v>125</v>
      </c>
      <c r="J295" s="208" t="s">
        <v>126</v>
      </c>
      <c r="K295" s="287"/>
      <c r="L295" s="288"/>
      <c r="M295" s="289"/>
      <c r="N295" s="257"/>
      <c r="O295" s="213"/>
      <c r="P295" s="214"/>
      <c r="Q295" s="214"/>
      <c r="R295" s="214"/>
      <c r="S295" s="214"/>
      <c r="T295" s="214"/>
      <c r="U295" s="215">
        <f t="shared" si="69"/>
        <v>0</v>
      </c>
      <c r="V295" s="216" t="str">
        <f t="shared" si="70"/>
        <v/>
      </c>
      <c r="W295" s="217" t="str">
        <f t="shared" si="71"/>
        <v/>
      </c>
      <c r="X295" s="218" t="s">
        <v>20</v>
      </c>
      <c r="Y295" s="219" t="str">
        <f t="shared" si="72"/>
        <v>0 um/Dia</v>
      </c>
      <c r="Z295" s="220" t="str">
        <f t="shared" si="73"/>
        <v xml:space="preserve"> um / HH</v>
      </c>
      <c r="AA295" s="221" t="str">
        <f t="shared" si="74"/>
        <v/>
      </c>
      <c r="AB295" s="222" t="str">
        <f t="shared" si="75"/>
        <v>0 um /HH</v>
      </c>
      <c r="AC295" s="223">
        <f t="shared" si="76"/>
        <v>0</v>
      </c>
      <c r="AD295" s="224"/>
      <c r="AE295" s="225"/>
      <c r="AF295" s="226">
        <f t="shared" si="77"/>
        <v>0</v>
      </c>
      <c r="AG295" s="227">
        <f t="shared" si="78"/>
        <v>0</v>
      </c>
      <c r="AH295" s="228" t="s">
        <v>25</v>
      </c>
      <c r="AI295" s="229" t="str">
        <f t="shared" si="79"/>
        <v>Extremamente Complexa</v>
      </c>
      <c r="AJ295" s="230" t="str">
        <f t="shared" si="80"/>
        <v>Normal</v>
      </c>
      <c r="AK295" s="231">
        <f t="shared" si="81"/>
        <v>0</v>
      </c>
      <c r="AL295" s="232" t="str">
        <f t="shared" si="82"/>
        <v/>
      </c>
      <c r="AM295" s="233" t="str">
        <f t="shared" si="83"/>
        <v/>
      </c>
      <c r="AN295" s="233" t="str">
        <f t="shared" si="84"/>
        <v/>
      </c>
      <c r="AO295" s="234">
        <f t="shared" si="85"/>
        <v>0</v>
      </c>
      <c r="AP295" s="235">
        <f t="shared" si="102"/>
        <v>1</v>
      </c>
      <c r="AQ295" s="235">
        <f t="shared" si="102"/>
        <v>1</v>
      </c>
      <c r="AR295" s="236">
        <f t="shared" si="87"/>
        <v>1</v>
      </c>
      <c r="AS295" s="251">
        <f t="shared" si="88"/>
        <v>0</v>
      </c>
      <c r="AT295" s="238">
        <f t="shared" si="89"/>
        <v>0</v>
      </c>
      <c r="AU295" s="239">
        <f t="shared" si="90"/>
        <v>0</v>
      </c>
      <c r="AV295" s="239">
        <f t="shared" si="91"/>
        <v>0</v>
      </c>
      <c r="AW295" s="239">
        <f t="shared" si="92"/>
        <v>0.05</v>
      </c>
      <c r="AX295" s="240">
        <f t="shared" si="93"/>
        <v>0</v>
      </c>
      <c r="AY295" s="241" t="str">
        <f t="shared" si="94"/>
        <v/>
      </c>
      <c r="AZ295" s="242" t="str">
        <f>IFERROR(VLOOKUP(M295,'[1]Base Brasil Obras'!$C$2:$F$485,4,0),"")</f>
        <v/>
      </c>
      <c r="BA295" s="243">
        <f t="shared" si="95"/>
        <v>0</v>
      </c>
      <c r="BB295" s="244">
        <f t="shared" si="96"/>
        <v>0</v>
      </c>
      <c r="BC295" s="244">
        <f t="shared" si="97"/>
        <v>0.05</v>
      </c>
      <c r="BD295" s="245">
        <f t="shared" si="98"/>
        <v>0.95</v>
      </c>
      <c r="BE295" s="246">
        <f t="shared" si="99"/>
        <v>0</v>
      </c>
      <c r="BF295" s="247">
        <v>0</v>
      </c>
      <c r="BG295" s="248">
        <f t="shared" si="100"/>
        <v>1</v>
      </c>
      <c r="BH295" s="198"/>
      <c r="BI295" s="198"/>
      <c r="BJ295" s="199"/>
      <c r="BK295" s="200"/>
      <c r="BL295" s="200"/>
      <c r="BM295" s="200"/>
      <c r="BN295" s="200"/>
      <c r="BO295" s="10"/>
    </row>
    <row r="296" spans="1:67" ht="18" customHeight="1" x14ac:dyDescent="0.25">
      <c r="A296" s="201">
        <v>188</v>
      </c>
      <c r="B296" s="286"/>
      <c r="C296" s="203">
        <f t="shared" si="68"/>
        <v>0</v>
      </c>
      <c r="D296" s="204"/>
      <c r="E296" s="204"/>
      <c r="F296" s="207"/>
      <c r="G296" s="206"/>
      <c r="H296" s="207"/>
      <c r="I296" s="208" t="s">
        <v>125</v>
      </c>
      <c r="J296" s="208" t="s">
        <v>126</v>
      </c>
      <c r="K296" s="287"/>
      <c r="L296" s="288"/>
      <c r="M296" s="289"/>
      <c r="N296" s="257"/>
      <c r="O296" s="213"/>
      <c r="P296" s="214"/>
      <c r="Q296" s="214"/>
      <c r="R296" s="214"/>
      <c r="S296" s="214"/>
      <c r="T296" s="214"/>
      <c r="U296" s="215">
        <f t="shared" si="69"/>
        <v>0</v>
      </c>
      <c r="V296" s="216" t="str">
        <f t="shared" si="70"/>
        <v/>
      </c>
      <c r="W296" s="217" t="str">
        <f t="shared" si="71"/>
        <v/>
      </c>
      <c r="X296" s="218" t="s">
        <v>20</v>
      </c>
      <c r="Y296" s="219" t="str">
        <f t="shared" si="72"/>
        <v>0 um/Dia</v>
      </c>
      <c r="Z296" s="220" t="str">
        <f t="shared" si="73"/>
        <v xml:space="preserve"> um / HH</v>
      </c>
      <c r="AA296" s="221" t="str">
        <f t="shared" si="74"/>
        <v/>
      </c>
      <c r="AB296" s="222" t="str">
        <f t="shared" si="75"/>
        <v>0 um /HH</v>
      </c>
      <c r="AC296" s="223">
        <f t="shared" si="76"/>
        <v>0</v>
      </c>
      <c r="AD296" s="224"/>
      <c r="AE296" s="225"/>
      <c r="AF296" s="226">
        <f t="shared" si="77"/>
        <v>0</v>
      </c>
      <c r="AG296" s="227">
        <f t="shared" si="78"/>
        <v>0</v>
      </c>
      <c r="AH296" s="228" t="s">
        <v>25</v>
      </c>
      <c r="AI296" s="229" t="str">
        <f t="shared" si="79"/>
        <v>Extremamente Complexa</v>
      </c>
      <c r="AJ296" s="230" t="str">
        <f t="shared" si="80"/>
        <v>Normal</v>
      </c>
      <c r="AK296" s="231">
        <f t="shared" si="81"/>
        <v>0</v>
      </c>
      <c r="AL296" s="232" t="str">
        <f t="shared" si="82"/>
        <v/>
      </c>
      <c r="AM296" s="233" t="str">
        <f t="shared" si="83"/>
        <v/>
      </c>
      <c r="AN296" s="233" t="str">
        <f t="shared" si="84"/>
        <v/>
      </c>
      <c r="AO296" s="234">
        <f t="shared" si="85"/>
        <v>0</v>
      </c>
      <c r="AP296" s="235">
        <f t="shared" si="102"/>
        <v>1</v>
      </c>
      <c r="AQ296" s="235">
        <f t="shared" si="102"/>
        <v>1</v>
      </c>
      <c r="AR296" s="235">
        <f t="shared" si="87"/>
        <v>1</v>
      </c>
      <c r="AS296" s="252">
        <f t="shared" si="88"/>
        <v>0</v>
      </c>
      <c r="AT296" s="238">
        <f t="shared" si="89"/>
        <v>0</v>
      </c>
      <c r="AU296" s="239">
        <f t="shared" si="90"/>
        <v>0</v>
      </c>
      <c r="AV296" s="239">
        <f t="shared" si="91"/>
        <v>0</v>
      </c>
      <c r="AW296" s="239">
        <f t="shared" si="92"/>
        <v>0.05</v>
      </c>
      <c r="AX296" s="240">
        <f t="shared" si="93"/>
        <v>0</v>
      </c>
      <c r="AY296" s="241" t="str">
        <f t="shared" si="94"/>
        <v/>
      </c>
      <c r="AZ296" s="242" t="str">
        <f>IFERROR(VLOOKUP(M296,'[1]Base Brasil Obras'!$C$2:$F$485,4,0),"")</f>
        <v/>
      </c>
      <c r="BA296" s="243">
        <f t="shared" si="95"/>
        <v>0</v>
      </c>
      <c r="BB296" s="244">
        <f t="shared" si="96"/>
        <v>0</v>
      </c>
      <c r="BC296" s="244">
        <f t="shared" si="97"/>
        <v>0.05</v>
      </c>
      <c r="BD296" s="245">
        <f t="shared" si="98"/>
        <v>0.95</v>
      </c>
      <c r="BE296" s="246">
        <f t="shared" si="99"/>
        <v>0</v>
      </c>
      <c r="BF296" s="247">
        <v>0</v>
      </c>
      <c r="BG296" s="248">
        <f t="shared" si="100"/>
        <v>1</v>
      </c>
      <c r="BH296" s="198"/>
      <c r="BI296" s="198"/>
      <c r="BJ296" s="199"/>
      <c r="BK296" s="200"/>
      <c r="BL296" s="200"/>
      <c r="BM296" s="200"/>
      <c r="BN296" s="200"/>
      <c r="BO296" s="10"/>
    </row>
    <row r="297" spans="1:67" ht="18" customHeight="1" x14ac:dyDescent="0.25">
      <c r="A297" s="201">
        <v>189</v>
      </c>
      <c r="B297" s="286"/>
      <c r="C297" s="203">
        <f t="shared" si="68"/>
        <v>0</v>
      </c>
      <c r="D297" s="204"/>
      <c r="E297" s="204"/>
      <c r="F297" s="207"/>
      <c r="G297" s="206"/>
      <c r="H297" s="207"/>
      <c r="I297" s="208" t="s">
        <v>125</v>
      </c>
      <c r="J297" s="208" t="s">
        <v>126</v>
      </c>
      <c r="K297" s="287"/>
      <c r="L297" s="288"/>
      <c r="M297" s="289"/>
      <c r="N297" s="257"/>
      <c r="O297" s="213"/>
      <c r="P297" s="214"/>
      <c r="Q297" s="214"/>
      <c r="R297" s="214"/>
      <c r="S297" s="214"/>
      <c r="T297" s="214"/>
      <c r="U297" s="215">
        <f t="shared" si="69"/>
        <v>0</v>
      </c>
      <c r="V297" s="216" t="str">
        <f t="shared" si="70"/>
        <v/>
      </c>
      <c r="W297" s="217" t="str">
        <f t="shared" si="71"/>
        <v/>
      </c>
      <c r="X297" s="218" t="s">
        <v>20</v>
      </c>
      <c r="Y297" s="219" t="str">
        <f t="shared" si="72"/>
        <v>0 um/Dia</v>
      </c>
      <c r="Z297" s="220" t="str">
        <f t="shared" si="73"/>
        <v xml:space="preserve"> um / HH</v>
      </c>
      <c r="AA297" s="221" t="str">
        <f t="shared" si="74"/>
        <v/>
      </c>
      <c r="AB297" s="222" t="str">
        <f t="shared" si="75"/>
        <v>0 um /HH</v>
      </c>
      <c r="AC297" s="223">
        <f t="shared" si="76"/>
        <v>0</v>
      </c>
      <c r="AD297" s="224"/>
      <c r="AE297" s="225"/>
      <c r="AF297" s="226">
        <f t="shared" si="77"/>
        <v>0</v>
      </c>
      <c r="AG297" s="227">
        <f t="shared" si="78"/>
        <v>0</v>
      </c>
      <c r="AH297" s="228" t="s">
        <v>25</v>
      </c>
      <c r="AI297" s="229" t="str">
        <f t="shared" si="79"/>
        <v>Extremamente Complexa</v>
      </c>
      <c r="AJ297" s="230" t="str">
        <f t="shared" si="80"/>
        <v>Normal</v>
      </c>
      <c r="AK297" s="231">
        <f t="shared" si="81"/>
        <v>0</v>
      </c>
      <c r="AL297" s="232" t="str">
        <f t="shared" si="82"/>
        <v/>
      </c>
      <c r="AM297" s="233" t="str">
        <f t="shared" si="83"/>
        <v/>
      </c>
      <c r="AN297" s="233" t="str">
        <f t="shared" si="84"/>
        <v/>
      </c>
      <c r="AO297" s="234">
        <f t="shared" si="85"/>
        <v>0</v>
      </c>
      <c r="AP297" s="235">
        <f t="shared" si="102"/>
        <v>1</v>
      </c>
      <c r="AQ297" s="235">
        <f t="shared" si="102"/>
        <v>1</v>
      </c>
      <c r="AR297" s="236">
        <f t="shared" si="87"/>
        <v>1</v>
      </c>
      <c r="AS297" s="251">
        <f t="shared" si="88"/>
        <v>0</v>
      </c>
      <c r="AT297" s="238">
        <f t="shared" si="89"/>
        <v>0</v>
      </c>
      <c r="AU297" s="239">
        <f t="shared" si="90"/>
        <v>0</v>
      </c>
      <c r="AV297" s="239">
        <f t="shared" si="91"/>
        <v>0</v>
      </c>
      <c r="AW297" s="239">
        <f t="shared" si="92"/>
        <v>0.05</v>
      </c>
      <c r="AX297" s="240">
        <f t="shared" si="93"/>
        <v>0</v>
      </c>
      <c r="AY297" s="241" t="str">
        <f t="shared" si="94"/>
        <v/>
      </c>
      <c r="AZ297" s="242" t="str">
        <f>IFERROR(VLOOKUP(M297,'[1]Base Brasil Obras'!$C$2:$F$485,4,0),"")</f>
        <v/>
      </c>
      <c r="BA297" s="243">
        <f t="shared" si="95"/>
        <v>0</v>
      </c>
      <c r="BB297" s="244">
        <f t="shared" si="96"/>
        <v>0</v>
      </c>
      <c r="BC297" s="244">
        <f t="shared" si="97"/>
        <v>0.05</v>
      </c>
      <c r="BD297" s="245">
        <f t="shared" si="98"/>
        <v>0.95</v>
      </c>
      <c r="BE297" s="246">
        <f t="shared" si="99"/>
        <v>0</v>
      </c>
      <c r="BF297" s="247">
        <v>0</v>
      </c>
      <c r="BG297" s="248">
        <f t="shared" si="100"/>
        <v>1</v>
      </c>
      <c r="BH297" s="198"/>
      <c r="BI297" s="198"/>
      <c r="BJ297" s="199"/>
      <c r="BK297" s="200"/>
      <c r="BL297" s="200"/>
      <c r="BM297" s="200"/>
      <c r="BN297" s="200"/>
      <c r="BO297" s="10"/>
    </row>
    <row r="298" spans="1:67" ht="18" customHeight="1" x14ac:dyDescent="0.25">
      <c r="A298" s="201">
        <v>190</v>
      </c>
      <c r="B298" s="286"/>
      <c r="C298" s="203">
        <f t="shared" si="68"/>
        <v>0</v>
      </c>
      <c r="D298" s="204"/>
      <c r="E298" s="204"/>
      <c r="F298" s="207"/>
      <c r="G298" s="206"/>
      <c r="H298" s="207"/>
      <c r="I298" s="208" t="s">
        <v>125</v>
      </c>
      <c r="J298" s="208" t="s">
        <v>126</v>
      </c>
      <c r="K298" s="287"/>
      <c r="L298" s="288"/>
      <c r="M298" s="289"/>
      <c r="N298" s="257"/>
      <c r="O298" s="213"/>
      <c r="P298" s="214"/>
      <c r="Q298" s="214"/>
      <c r="R298" s="214"/>
      <c r="S298" s="214"/>
      <c r="T298" s="214"/>
      <c r="U298" s="215">
        <f t="shared" si="69"/>
        <v>0</v>
      </c>
      <c r="V298" s="216" t="str">
        <f t="shared" si="70"/>
        <v/>
      </c>
      <c r="W298" s="217" t="str">
        <f t="shared" si="71"/>
        <v/>
      </c>
      <c r="X298" s="218" t="s">
        <v>20</v>
      </c>
      <c r="Y298" s="219" t="str">
        <f t="shared" si="72"/>
        <v>0 um/Dia</v>
      </c>
      <c r="Z298" s="220" t="str">
        <f t="shared" si="73"/>
        <v xml:space="preserve"> um / HH</v>
      </c>
      <c r="AA298" s="221" t="str">
        <f t="shared" si="74"/>
        <v/>
      </c>
      <c r="AB298" s="222" t="str">
        <f t="shared" si="75"/>
        <v>0 um /HH</v>
      </c>
      <c r="AC298" s="223">
        <f t="shared" si="76"/>
        <v>0</v>
      </c>
      <c r="AD298" s="224"/>
      <c r="AE298" s="225"/>
      <c r="AF298" s="226">
        <f t="shared" si="77"/>
        <v>0</v>
      </c>
      <c r="AG298" s="227">
        <f t="shared" si="78"/>
        <v>0</v>
      </c>
      <c r="AH298" s="228" t="s">
        <v>25</v>
      </c>
      <c r="AI298" s="229" t="str">
        <f t="shared" si="79"/>
        <v>Extremamente Complexa</v>
      </c>
      <c r="AJ298" s="230" t="str">
        <f t="shared" si="80"/>
        <v>Normal</v>
      </c>
      <c r="AK298" s="231">
        <f t="shared" si="81"/>
        <v>0</v>
      </c>
      <c r="AL298" s="232" t="str">
        <f t="shared" si="82"/>
        <v/>
      </c>
      <c r="AM298" s="233" t="str">
        <f t="shared" si="83"/>
        <v/>
      </c>
      <c r="AN298" s="233" t="str">
        <f t="shared" si="84"/>
        <v/>
      </c>
      <c r="AO298" s="234">
        <f t="shared" si="85"/>
        <v>0</v>
      </c>
      <c r="AP298" s="235">
        <f t="shared" si="102"/>
        <v>1</v>
      </c>
      <c r="AQ298" s="235">
        <f t="shared" si="102"/>
        <v>1</v>
      </c>
      <c r="AR298" s="235">
        <f t="shared" si="87"/>
        <v>1</v>
      </c>
      <c r="AS298" s="252">
        <f t="shared" si="88"/>
        <v>0</v>
      </c>
      <c r="AT298" s="238">
        <f t="shared" si="89"/>
        <v>0</v>
      </c>
      <c r="AU298" s="239">
        <f t="shared" si="90"/>
        <v>0</v>
      </c>
      <c r="AV298" s="239">
        <f t="shared" si="91"/>
        <v>0</v>
      </c>
      <c r="AW298" s="239">
        <f t="shared" si="92"/>
        <v>0.05</v>
      </c>
      <c r="AX298" s="240">
        <f t="shared" si="93"/>
        <v>0</v>
      </c>
      <c r="AY298" s="241" t="str">
        <f t="shared" si="94"/>
        <v/>
      </c>
      <c r="AZ298" s="242" t="str">
        <f>IFERROR(VLOOKUP(M298,'[1]Base Brasil Obras'!$C$2:$F$485,4,0),"")</f>
        <v/>
      </c>
      <c r="BA298" s="243">
        <f t="shared" si="95"/>
        <v>0</v>
      </c>
      <c r="BB298" s="244">
        <f t="shared" si="96"/>
        <v>0</v>
      </c>
      <c r="BC298" s="244">
        <f t="shared" si="97"/>
        <v>0.05</v>
      </c>
      <c r="BD298" s="245">
        <f t="shared" si="98"/>
        <v>0.95</v>
      </c>
      <c r="BE298" s="246">
        <f t="shared" si="99"/>
        <v>0</v>
      </c>
      <c r="BF298" s="247">
        <v>0</v>
      </c>
      <c r="BG298" s="248">
        <f t="shared" si="100"/>
        <v>1</v>
      </c>
      <c r="BH298" s="198"/>
      <c r="BI298" s="198"/>
      <c r="BJ298" s="199"/>
      <c r="BK298" s="200"/>
      <c r="BL298" s="200"/>
      <c r="BM298" s="200"/>
      <c r="BN298" s="200"/>
      <c r="BO298" s="10"/>
    </row>
    <row r="299" spans="1:67" ht="18" x14ac:dyDescent="0.25">
      <c r="A299" s="201">
        <v>191</v>
      </c>
      <c r="B299" s="286"/>
      <c r="C299" s="203">
        <f t="shared" si="68"/>
        <v>0</v>
      </c>
      <c r="D299" s="204"/>
      <c r="E299" s="204"/>
      <c r="F299" s="207"/>
      <c r="G299" s="206"/>
      <c r="H299" s="207"/>
      <c r="I299" s="208" t="s">
        <v>125</v>
      </c>
      <c r="J299" s="208" t="s">
        <v>126</v>
      </c>
      <c r="K299" s="287"/>
      <c r="L299" s="288"/>
      <c r="M299" s="289"/>
      <c r="N299" s="257"/>
      <c r="O299" s="213"/>
      <c r="P299" s="214"/>
      <c r="Q299" s="214"/>
      <c r="R299" s="214"/>
      <c r="S299" s="214"/>
      <c r="T299" s="214"/>
      <c r="U299" s="215">
        <f t="shared" si="69"/>
        <v>0</v>
      </c>
      <c r="V299" s="216" t="str">
        <f t="shared" si="70"/>
        <v/>
      </c>
      <c r="W299" s="217" t="str">
        <f t="shared" si="71"/>
        <v/>
      </c>
      <c r="X299" s="218" t="s">
        <v>20</v>
      </c>
      <c r="Y299" s="219" t="str">
        <f t="shared" si="72"/>
        <v>0 um/Dia</v>
      </c>
      <c r="Z299" s="220" t="str">
        <f t="shared" si="73"/>
        <v xml:space="preserve"> um / HH</v>
      </c>
      <c r="AA299" s="221" t="str">
        <f t="shared" si="74"/>
        <v/>
      </c>
      <c r="AB299" s="222" t="str">
        <f t="shared" si="75"/>
        <v>0 um /HH</v>
      </c>
      <c r="AC299" s="223">
        <f t="shared" si="76"/>
        <v>0</v>
      </c>
      <c r="AD299" s="224"/>
      <c r="AE299" s="225"/>
      <c r="AF299" s="226">
        <f t="shared" si="77"/>
        <v>0</v>
      </c>
      <c r="AG299" s="227">
        <f t="shared" si="78"/>
        <v>0</v>
      </c>
      <c r="AH299" s="228" t="s">
        <v>25</v>
      </c>
      <c r="AI299" s="229" t="str">
        <f t="shared" si="79"/>
        <v>Extremamente Complexa</v>
      </c>
      <c r="AJ299" s="230" t="str">
        <f t="shared" si="80"/>
        <v>Normal</v>
      </c>
      <c r="AK299" s="231">
        <f t="shared" si="81"/>
        <v>0</v>
      </c>
      <c r="AL299" s="232" t="str">
        <f t="shared" si="82"/>
        <v/>
      </c>
      <c r="AM299" s="233" t="str">
        <f t="shared" si="83"/>
        <v/>
      </c>
      <c r="AN299" s="233" t="str">
        <f t="shared" si="84"/>
        <v/>
      </c>
      <c r="AO299" s="234">
        <f t="shared" si="85"/>
        <v>0</v>
      </c>
      <c r="AP299" s="235">
        <f t="shared" si="102"/>
        <v>1</v>
      </c>
      <c r="AQ299" s="235">
        <f t="shared" si="102"/>
        <v>1</v>
      </c>
      <c r="AR299" s="236">
        <f t="shared" si="87"/>
        <v>1</v>
      </c>
      <c r="AS299" s="251">
        <f t="shared" si="88"/>
        <v>0</v>
      </c>
      <c r="AT299" s="238">
        <f t="shared" si="89"/>
        <v>0</v>
      </c>
      <c r="AU299" s="239">
        <f t="shared" si="90"/>
        <v>0</v>
      </c>
      <c r="AV299" s="239">
        <f t="shared" si="91"/>
        <v>0</v>
      </c>
      <c r="AW299" s="239">
        <f t="shared" si="92"/>
        <v>0.05</v>
      </c>
      <c r="AX299" s="240">
        <f t="shared" si="93"/>
        <v>0</v>
      </c>
      <c r="AY299" s="241" t="str">
        <f t="shared" si="94"/>
        <v/>
      </c>
      <c r="AZ299" s="242" t="str">
        <f>IFERROR(VLOOKUP(M299,'[1]Base Brasil Obras'!$C$2:$F$485,4,0),"")</f>
        <v/>
      </c>
      <c r="BA299" s="243">
        <f t="shared" si="95"/>
        <v>0</v>
      </c>
      <c r="BB299" s="244">
        <f t="shared" si="96"/>
        <v>0</v>
      </c>
      <c r="BC299" s="244">
        <f t="shared" si="97"/>
        <v>0.05</v>
      </c>
      <c r="BD299" s="245">
        <f t="shared" si="98"/>
        <v>0.95</v>
      </c>
      <c r="BE299" s="246">
        <f t="shared" si="99"/>
        <v>0</v>
      </c>
      <c r="BF299" s="247">
        <v>0</v>
      </c>
      <c r="BG299" s="248">
        <f t="shared" si="100"/>
        <v>1</v>
      </c>
      <c r="BH299" s="198"/>
      <c r="BI299" s="198"/>
      <c r="BJ299" s="199"/>
      <c r="BK299" s="200"/>
      <c r="BL299" s="200"/>
      <c r="BM299" s="200"/>
      <c r="BN299" s="200"/>
      <c r="BO299" s="10"/>
    </row>
    <row r="300" spans="1:67" ht="18" x14ac:dyDescent="0.25">
      <c r="A300" s="201">
        <v>192</v>
      </c>
      <c r="B300" s="286"/>
      <c r="C300" s="203">
        <f t="shared" si="68"/>
        <v>0</v>
      </c>
      <c r="D300" s="204"/>
      <c r="E300" s="204"/>
      <c r="F300" s="207"/>
      <c r="G300" s="206"/>
      <c r="H300" s="207"/>
      <c r="I300" s="208" t="s">
        <v>125</v>
      </c>
      <c r="J300" s="208" t="s">
        <v>126</v>
      </c>
      <c r="K300" s="287"/>
      <c r="L300" s="288"/>
      <c r="M300" s="289"/>
      <c r="N300" s="257"/>
      <c r="O300" s="213"/>
      <c r="P300" s="214"/>
      <c r="Q300" s="214"/>
      <c r="R300" s="214"/>
      <c r="S300" s="214"/>
      <c r="T300" s="214"/>
      <c r="U300" s="215">
        <f t="shared" si="69"/>
        <v>0</v>
      </c>
      <c r="V300" s="216" t="str">
        <f t="shared" si="70"/>
        <v/>
      </c>
      <c r="W300" s="217" t="str">
        <f t="shared" si="71"/>
        <v/>
      </c>
      <c r="X300" s="218" t="s">
        <v>20</v>
      </c>
      <c r="Y300" s="219" t="str">
        <f t="shared" si="72"/>
        <v>0 um/Dia</v>
      </c>
      <c r="Z300" s="220" t="str">
        <f t="shared" si="73"/>
        <v xml:space="preserve"> um / HH</v>
      </c>
      <c r="AA300" s="221" t="str">
        <f t="shared" si="74"/>
        <v/>
      </c>
      <c r="AB300" s="222" t="str">
        <f t="shared" si="75"/>
        <v>0 um /HH</v>
      </c>
      <c r="AC300" s="223">
        <f t="shared" si="76"/>
        <v>0</v>
      </c>
      <c r="AD300" s="224"/>
      <c r="AE300" s="225"/>
      <c r="AF300" s="226">
        <f t="shared" si="77"/>
        <v>0</v>
      </c>
      <c r="AG300" s="227">
        <f t="shared" si="78"/>
        <v>0</v>
      </c>
      <c r="AH300" s="228" t="s">
        <v>25</v>
      </c>
      <c r="AI300" s="229" t="str">
        <f t="shared" si="79"/>
        <v>Extremamente Complexa</v>
      </c>
      <c r="AJ300" s="230" t="str">
        <f t="shared" si="80"/>
        <v>Normal</v>
      </c>
      <c r="AK300" s="231">
        <f t="shared" si="81"/>
        <v>0</v>
      </c>
      <c r="AL300" s="232" t="str">
        <f t="shared" si="82"/>
        <v/>
      </c>
      <c r="AM300" s="233" t="str">
        <f t="shared" si="83"/>
        <v/>
      </c>
      <c r="AN300" s="233" t="str">
        <f t="shared" si="84"/>
        <v/>
      </c>
      <c r="AO300" s="234">
        <f t="shared" si="85"/>
        <v>0</v>
      </c>
      <c r="AP300" s="235">
        <f t="shared" si="102"/>
        <v>1</v>
      </c>
      <c r="AQ300" s="235">
        <f t="shared" si="102"/>
        <v>1</v>
      </c>
      <c r="AR300" s="235">
        <f t="shared" si="87"/>
        <v>1</v>
      </c>
      <c r="AS300" s="252">
        <f t="shared" si="88"/>
        <v>0</v>
      </c>
      <c r="AT300" s="238">
        <f t="shared" si="89"/>
        <v>0</v>
      </c>
      <c r="AU300" s="239">
        <f t="shared" si="90"/>
        <v>0</v>
      </c>
      <c r="AV300" s="239">
        <f t="shared" si="91"/>
        <v>0</v>
      </c>
      <c r="AW300" s="239">
        <f t="shared" si="92"/>
        <v>0.05</v>
      </c>
      <c r="AX300" s="240">
        <f t="shared" si="93"/>
        <v>0</v>
      </c>
      <c r="AY300" s="241" t="str">
        <f t="shared" si="94"/>
        <v/>
      </c>
      <c r="AZ300" s="242" t="str">
        <f>IFERROR(VLOOKUP(M300,'[1]Base Brasil Obras'!$C$2:$F$485,4,0),"")</f>
        <v/>
      </c>
      <c r="BA300" s="243">
        <f t="shared" si="95"/>
        <v>0</v>
      </c>
      <c r="BB300" s="244">
        <f t="shared" si="96"/>
        <v>0</v>
      </c>
      <c r="BC300" s="244">
        <f t="shared" si="97"/>
        <v>0.05</v>
      </c>
      <c r="BD300" s="245">
        <f t="shared" si="98"/>
        <v>0.95</v>
      </c>
      <c r="BE300" s="246">
        <f t="shared" si="99"/>
        <v>0</v>
      </c>
      <c r="BF300" s="247">
        <v>0</v>
      </c>
      <c r="BG300" s="248">
        <f t="shared" si="100"/>
        <v>1</v>
      </c>
      <c r="BH300" s="198"/>
      <c r="BI300" s="198"/>
      <c r="BJ300" s="199"/>
      <c r="BK300" s="200"/>
      <c r="BL300" s="200"/>
      <c r="BM300" s="200"/>
      <c r="BN300" s="200"/>
      <c r="BO300" s="10"/>
    </row>
    <row r="301" spans="1:67" ht="18" x14ac:dyDescent="0.25">
      <c r="A301" s="201">
        <v>193</v>
      </c>
      <c r="B301" s="286"/>
      <c r="C301" s="203">
        <f t="shared" ref="C301:C364" si="103">IFERROR(AVERAGEIF(P301:T301,"&gt;0,1"),0)</f>
        <v>0</v>
      </c>
      <c r="D301" s="204"/>
      <c r="E301" s="204"/>
      <c r="F301" s="207"/>
      <c r="G301" s="206"/>
      <c r="H301" s="207"/>
      <c r="I301" s="208" t="s">
        <v>125</v>
      </c>
      <c r="J301" s="208" t="s">
        <v>126</v>
      </c>
      <c r="K301" s="287"/>
      <c r="L301" s="288"/>
      <c r="M301" s="289"/>
      <c r="N301" s="257"/>
      <c r="O301" s="213"/>
      <c r="P301" s="214"/>
      <c r="Q301" s="214"/>
      <c r="R301" s="214"/>
      <c r="S301" s="214"/>
      <c r="T301" s="214"/>
      <c r="U301" s="215">
        <f t="shared" ref="U301:U364" si="104">B301*(1-$U$107)</f>
        <v>0</v>
      </c>
      <c r="V301" s="216" t="str">
        <f t="shared" ref="V301:V364" si="105">IF(IFERROR((1-BA301/AX301),"")=0%,"",IFERROR((1-BA301/AX301),""))</f>
        <v/>
      </c>
      <c r="W301" s="217" t="str">
        <f t="shared" ref="W301:W364" si="106">IFERROR(AVERAGEIF(P301:U301,"&gt;0,1"),"")</f>
        <v/>
      </c>
      <c r="X301" s="218" t="s">
        <v>20</v>
      </c>
      <c r="Y301" s="219" t="str">
        <f t="shared" ref="Y301:Y364" si="107">_xlfn.CONCAT(AX301," ",X301,"/","Dia")</f>
        <v>0 um/Dia</v>
      </c>
      <c r="Z301" s="220" t="str">
        <f t="shared" ref="Z301:Z364" si="108">_xlfn.CONCAT(AA301," ",X301," ","/ HH")</f>
        <v xml:space="preserve"> um / HH</v>
      </c>
      <c r="AA301" s="221" t="str">
        <f t="shared" ref="AA301:AA364" si="109">IFERROR(IF(B301=0,"",ROUND(AZ301,2)),0)</f>
        <v/>
      </c>
      <c r="AB301" s="222" t="str">
        <f t="shared" ref="AB301:AB364" si="110">_xlfn.CONCAT(ROUND(AS301,1)," ",X301," /","HH")</f>
        <v>0 um /HH</v>
      </c>
      <c r="AC301" s="223">
        <f t="shared" ref="AC301:AC364" si="111">AD301+AE301</f>
        <v>0</v>
      </c>
      <c r="AD301" s="224"/>
      <c r="AE301" s="225"/>
      <c r="AF301" s="226">
        <f t="shared" ref="AF301:AF364" si="112">IFERROR(O301/AT301,0)/BG301</f>
        <v>0</v>
      </c>
      <c r="AG301" s="227">
        <f t="shared" ref="AG301:AG364" si="113">AF301*AC301*$Z$101*$Y$104</f>
        <v>0</v>
      </c>
      <c r="AH301" s="228" t="s">
        <v>25</v>
      </c>
      <c r="AI301" s="229" t="str">
        <f t="shared" si="79"/>
        <v>Extremamente Complexa</v>
      </c>
      <c r="AJ301" s="230" t="str">
        <f t="shared" si="80"/>
        <v>Normal</v>
      </c>
      <c r="AK301" s="231">
        <f t="shared" ref="AK301:AK364" si="114">(AG301*(1+0)/$Y$102)*$Y$104</f>
        <v>0</v>
      </c>
      <c r="AL301" s="232" t="str">
        <f t="shared" ref="AL301:AL364" si="115">IFERROR(AD301/AC301,"")</f>
        <v/>
      </c>
      <c r="AM301" s="233" t="str">
        <f t="shared" ref="AM301:AM364" si="116">IFERROR(AK301*AL301,"")</f>
        <v/>
      </c>
      <c r="AN301" s="233" t="str">
        <f t="shared" ref="AN301:AN364" si="117">IFERROR(AK301-AM301,"")</f>
        <v/>
      </c>
      <c r="AO301" s="234">
        <f t="shared" ref="AO301:AO364" si="118">IFERROR(AK301/$AK$107,"")</f>
        <v>0</v>
      </c>
      <c r="AP301" s="235">
        <f t="shared" si="102"/>
        <v>1</v>
      </c>
      <c r="AQ301" s="235">
        <f t="shared" si="102"/>
        <v>1</v>
      </c>
      <c r="AR301" s="236">
        <f t="shared" ref="AR301:AR364" si="119">IF(O301=0,1,IF(I301=0,AQ301,IF(J301=0,AP301,SMALL(AP301:AQ301,1))))</f>
        <v>1</v>
      </c>
      <c r="AS301" s="251">
        <f t="shared" ref="AS301:AS364" si="120">IFERROR(O301/AG301,0)</f>
        <v>0</v>
      </c>
      <c r="AT301" s="238">
        <f t="shared" ref="AT301:AT364" si="121">IF(X301=$X$5,1,AX301)</f>
        <v>0</v>
      </c>
      <c r="AU301" s="239">
        <f t="shared" ref="AU301:AU364" si="122">VLOOKUP(AH301,$AI$66:$AJ$69,2,0)</f>
        <v>0</v>
      </c>
      <c r="AV301" s="239">
        <f t="shared" ref="AV301:AV364" si="123">VLOOKUP(AJ301,$AJ$73:$AK$76,2,1)</f>
        <v>0</v>
      </c>
      <c r="AW301" s="239">
        <f t="shared" ref="AW301:AW364" si="124">VLOOKUP(AI301,$AI$83:$AJ$86,2,0)</f>
        <v>0.05</v>
      </c>
      <c r="AX301" s="240">
        <f t="shared" ref="AX301:AX364" si="125" xml:space="preserve">   ROUND((IFERROR(AVERAGEIF(P301:U301,"&gt;0,1"),0)*BD301),0)</f>
        <v>0</v>
      </c>
      <c r="AY301" s="241" t="str">
        <f t="shared" ref="AY301:AY364" si="126">IFERROR(ROUND(AS301,1)-AA301,"")</f>
        <v/>
      </c>
      <c r="AZ301" s="242" t="str">
        <f>IFERROR(VLOOKUP(M301,'[1]Base Brasil Obras'!$C$2:$F$485,4,0),"")</f>
        <v/>
      </c>
      <c r="BA301" s="243">
        <f t="shared" ref="BA301:BA364" si="127">B301*(1-$U$107)</f>
        <v>0</v>
      </c>
      <c r="BB301" s="244">
        <f t="shared" ref="BB301:BB364" si="128">1-AR301</f>
        <v>0</v>
      </c>
      <c r="BC301" s="244">
        <f t="shared" ref="BC301:BC364" si="129">AU301+AV301+AW301</f>
        <v>0.05</v>
      </c>
      <c r="BD301" s="245">
        <f t="shared" ref="BD301:BD364" si="130">1-(BB301+BC301)</f>
        <v>0.95</v>
      </c>
      <c r="BE301" s="246">
        <f t="shared" ref="BE301:BE364" si="131">IFERROR(B301/(AC301*$Z$101),0)</f>
        <v>0</v>
      </c>
      <c r="BF301" s="247">
        <v>0</v>
      </c>
      <c r="BG301" s="248">
        <f t="shared" ref="BG301:BG364" si="132">IFERROR(AC301/BF301,1)</f>
        <v>1</v>
      </c>
      <c r="BH301" s="198"/>
      <c r="BI301" s="198"/>
      <c r="BJ301" s="199"/>
      <c r="BK301" s="200"/>
      <c r="BL301" s="200"/>
      <c r="BM301" s="200"/>
      <c r="BN301" s="200"/>
      <c r="BO301" s="10"/>
    </row>
    <row r="302" spans="1:67" ht="18" x14ac:dyDescent="0.25">
      <c r="A302" s="201">
        <v>194</v>
      </c>
      <c r="B302" s="286"/>
      <c r="C302" s="203">
        <f t="shared" si="103"/>
        <v>0</v>
      </c>
      <c r="D302" s="204"/>
      <c r="E302" s="204"/>
      <c r="F302" s="207"/>
      <c r="G302" s="206"/>
      <c r="H302" s="207"/>
      <c r="I302" s="208" t="s">
        <v>125</v>
      </c>
      <c r="J302" s="208" t="s">
        <v>126</v>
      </c>
      <c r="K302" s="287"/>
      <c r="L302" s="288"/>
      <c r="M302" s="289"/>
      <c r="N302" s="257"/>
      <c r="O302" s="213"/>
      <c r="P302" s="214"/>
      <c r="Q302" s="214"/>
      <c r="R302" s="214"/>
      <c r="S302" s="214"/>
      <c r="T302" s="214"/>
      <c r="U302" s="215">
        <f t="shared" si="104"/>
        <v>0</v>
      </c>
      <c r="V302" s="216" t="str">
        <f t="shared" si="105"/>
        <v/>
      </c>
      <c r="W302" s="217" t="str">
        <f t="shared" si="106"/>
        <v/>
      </c>
      <c r="X302" s="218" t="s">
        <v>20</v>
      </c>
      <c r="Y302" s="219" t="str">
        <f t="shared" si="107"/>
        <v>0 um/Dia</v>
      </c>
      <c r="Z302" s="220" t="str">
        <f t="shared" si="108"/>
        <v xml:space="preserve"> um / HH</v>
      </c>
      <c r="AA302" s="221" t="str">
        <f t="shared" si="109"/>
        <v/>
      </c>
      <c r="AB302" s="222" t="str">
        <f t="shared" si="110"/>
        <v>0 um /HH</v>
      </c>
      <c r="AC302" s="223">
        <f t="shared" si="111"/>
        <v>0</v>
      </c>
      <c r="AD302" s="224"/>
      <c r="AE302" s="225"/>
      <c r="AF302" s="226">
        <f t="shared" si="112"/>
        <v>0</v>
      </c>
      <c r="AG302" s="227">
        <f t="shared" si="113"/>
        <v>0</v>
      </c>
      <c r="AH302" s="228" t="s">
        <v>25</v>
      </c>
      <c r="AI302" s="229" t="str">
        <f t="shared" si="79"/>
        <v>Extremamente Complexa</v>
      </c>
      <c r="AJ302" s="230" t="str">
        <f t="shared" si="80"/>
        <v>Normal</v>
      </c>
      <c r="AK302" s="231">
        <f t="shared" si="114"/>
        <v>0</v>
      </c>
      <c r="AL302" s="232" t="str">
        <f t="shared" si="115"/>
        <v/>
      </c>
      <c r="AM302" s="233" t="str">
        <f t="shared" si="116"/>
        <v/>
      </c>
      <c r="AN302" s="233" t="str">
        <f t="shared" si="117"/>
        <v/>
      </c>
      <c r="AO302" s="234">
        <f t="shared" si="118"/>
        <v>0</v>
      </c>
      <c r="AP302" s="235">
        <f t="shared" si="102"/>
        <v>1</v>
      </c>
      <c r="AQ302" s="235">
        <f t="shared" si="102"/>
        <v>1</v>
      </c>
      <c r="AR302" s="235">
        <f t="shared" si="119"/>
        <v>1</v>
      </c>
      <c r="AS302" s="252">
        <f t="shared" si="120"/>
        <v>0</v>
      </c>
      <c r="AT302" s="238">
        <f t="shared" si="121"/>
        <v>0</v>
      </c>
      <c r="AU302" s="239">
        <f t="shared" si="122"/>
        <v>0</v>
      </c>
      <c r="AV302" s="239">
        <f t="shared" si="123"/>
        <v>0</v>
      </c>
      <c r="AW302" s="239">
        <f t="shared" si="124"/>
        <v>0.05</v>
      </c>
      <c r="AX302" s="240">
        <f t="shared" si="125"/>
        <v>0</v>
      </c>
      <c r="AY302" s="241" t="str">
        <f t="shared" si="126"/>
        <v/>
      </c>
      <c r="AZ302" s="242" t="str">
        <f>IFERROR(VLOOKUP(M302,'[1]Base Brasil Obras'!$C$2:$F$485,4,0),"")</f>
        <v/>
      </c>
      <c r="BA302" s="243">
        <f t="shared" si="127"/>
        <v>0</v>
      </c>
      <c r="BB302" s="244">
        <f t="shared" si="128"/>
        <v>0</v>
      </c>
      <c r="BC302" s="244">
        <f t="shared" si="129"/>
        <v>0.05</v>
      </c>
      <c r="BD302" s="245">
        <f t="shared" si="130"/>
        <v>0.95</v>
      </c>
      <c r="BE302" s="246">
        <f t="shared" si="131"/>
        <v>0</v>
      </c>
      <c r="BF302" s="247">
        <v>0</v>
      </c>
      <c r="BG302" s="248">
        <f t="shared" si="132"/>
        <v>1</v>
      </c>
      <c r="BH302" s="198"/>
      <c r="BI302" s="198"/>
      <c r="BJ302" s="199"/>
      <c r="BK302" s="200"/>
      <c r="BL302" s="200"/>
      <c r="BM302" s="200"/>
      <c r="BN302" s="200"/>
      <c r="BO302" s="10"/>
    </row>
    <row r="303" spans="1:67" ht="18" x14ac:dyDescent="0.25">
      <c r="A303" s="201">
        <v>195</v>
      </c>
      <c r="B303" s="286"/>
      <c r="C303" s="203">
        <f t="shared" si="103"/>
        <v>0</v>
      </c>
      <c r="D303" s="204"/>
      <c r="E303" s="204"/>
      <c r="F303" s="207"/>
      <c r="G303" s="206"/>
      <c r="H303" s="207"/>
      <c r="I303" s="208" t="s">
        <v>125</v>
      </c>
      <c r="J303" s="208" t="s">
        <v>126</v>
      </c>
      <c r="K303" s="287"/>
      <c r="L303" s="288"/>
      <c r="M303" s="289"/>
      <c r="N303" s="257"/>
      <c r="O303" s="213"/>
      <c r="P303" s="214"/>
      <c r="Q303" s="214"/>
      <c r="R303" s="214"/>
      <c r="S303" s="214"/>
      <c r="T303" s="214"/>
      <c r="U303" s="215">
        <f t="shared" si="104"/>
        <v>0</v>
      </c>
      <c r="V303" s="216" t="str">
        <f t="shared" si="105"/>
        <v/>
      </c>
      <c r="W303" s="217" t="str">
        <f t="shared" si="106"/>
        <v/>
      </c>
      <c r="X303" s="218" t="s">
        <v>20</v>
      </c>
      <c r="Y303" s="219" t="str">
        <f t="shared" si="107"/>
        <v>0 um/Dia</v>
      </c>
      <c r="Z303" s="220" t="str">
        <f t="shared" si="108"/>
        <v xml:space="preserve"> um / HH</v>
      </c>
      <c r="AA303" s="221" t="str">
        <f t="shared" si="109"/>
        <v/>
      </c>
      <c r="AB303" s="222" t="str">
        <f t="shared" si="110"/>
        <v>0 um /HH</v>
      </c>
      <c r="AC303" s="223">
        <f t="shared" si="111"/>
        <v>0</v>
      </c>
      <c r="AD303" s="224"/>
      <c r="AE303" s="225"/>
      <c r="AF303" s="226">
        <f t="shared" si="112"/>
        <v>0</v>
      </c>
      <c r="AG303" s="227">
        <f t="shared" si="113"/>
        <v>0</v>
      </c>
      <c r="AH303" s="228" t="s">
        <v>25</v>
      </c>
      <c r="AI303" s="229" t="str">
        <f t="shared" si="79"/>
        <v>Extremamente Complexa</v>
      </c>
      <c r="AJ303" s="230" t="str">
        <f t="shared" si="80"/>
        <v>Normal</v>
      </c>
      <c r="AK303" s="231">
        <f t="shared" si="114"/>
        <v>0</v>
      </c>
      <c r="AL303" s="232" t="str">
        <f t="shared" si="115"/>
        <v/>
      </c>
      <c r="AM303" s="233" t="str">
        <f t="shared" si="116"/>
        <v/>
      </c>
      <c r="AN303" s="233" t="str">
        <f t="shared" si="117"/>
        <v/>
      </c>
      <c r="AO303" s="234">
        <f t="shared" si="118"/>
        <v>0</v>
      </c>
      <c r="AP303" s="235">
        <f t="shared" si="102"/>
        <v>1</v>
      </c>
      <c r="AQ303" s="235">
        <f t="shared" si="102"/>
        <v>1</v>
      </c>
      <c r="AR303" s="236">
        <f t="shared" si="119"/>
        <v>1</v>
      </c>
      <c r="AS303" s="251">
        <f t="shared" si="120"/>
        <v>0</v>
      </c>
      <c r="AT303" s="238">
        <f t="shared" si="121"/>
        <v>0</v>
      </c>
      <c r="AU303" s="239">
        <f t="shared" si="122"/>
        <v>0</v>
      </c>
      <c r="AV303" s="239">
        <f t="shared" si="123"/>
        <v>0</v>
      </c>
      <c r="AW303" s="239">
        <f t="shared" si="124"/>
        <v>0.05</v>
      </c>
      <c r="AX303" s="240">
        <f t="shared" si="125"/>
        <v>0</v>
      </c>
      <c r="AY303" s="241" t="str">
        <f t="shared" si="126"/>
        <v/>
      </c>
      <c r="AZ303" s="242" t="str">
        <f>IFERROR(VLOOKUP(M303,'[1]Base Brasil Obras'!$C$2:$F$485,4,0),"")</f>
        <v/>
      </c>
      <c r="BA303" s="243">
        <f t="shared" si="127"/>
        <v>0</v>
      </c>
      <c r="BB303" s="244">
        <f t="shared" si="128"/>
        <v>0</v>
      </c>
      <c r="BC303" s="244">
        <f t="shared" si="129"/>
        <v>0.05</v>
      </c>
      <c r="BD303" s="245">
        <f t="shared" si="130"/>
        <v>0.95</v>
      </c>
      <c r="BE303" s="246">
        <f t="shared" si="131"/>
        <v>0</v>
      </c>
      <c r="BF303" s="247">
        <v>0</v>
      </c>
      <c r="BG303" s="248">
        <f t="shared" si="132"/>
        <v>1</v>
      </c>
      <c r="BH303" s="198"/>
      <c r="BI303" s="198"/>
      <c r="BJ303" s="199"/>
      <c r="BK303" s="200"/>
      <c r="BL303" s="200"/>
      <c r="BM303" s="200"/>
      <c r="BN303" s="200"/>
      <c r="BO303" s="10"/>
    </row>
    <row r="304" spans="1:67" ht="18" x14ac:dyDescent="0.25">
      <c r="A304" s="201">
        <v>196</v>
      </c>
      <c r="B304" s="286"/>
      <c r="C304" s="203">
        <f t="shared" si="103"/>
        <v>0</v>
      </c>
      <c r="D304" s="204"/>
      <c r="E304" s="204"/>
      <c r="F304" s="207"/>
      <c r="G304" s="206"/>
      <c r="H304" s="207"/>
      <c r="I304" s="208" t="s">
        <v>125</v>
      </c>
      <c r="J304" s="208" t="s">
        <v>126</v>
      </c>
      <c r="K304" s="287"/>
      <c r="L304" s="288"/>
      <c r="M304" s="289"/>
      <c r="N304" s="257"/>
      <c r="O304" s="213"/>
      <c r="P304" s="214"/>
      <c r="Q304" s="214"/>
      <c r="R304" s="214"/>
      <c r="S304" s="214"/>
      <c r="T304" s="214"/>
      <c r="U304" s="215">
        <f t="shared" si="104"/>
        <v>0</v>
      </c>
      <c r="V304" s="216" t="str">
        <f t="shared" si="105"/>
        <v/>
      </c>
      <c r="W304" s="217" t="str">
        <f t="shared" si="106"/>
        <v/>
      </c>
      <c r="X304" s="218" t="s">
        <v>20</v>
      </c>
      <c r="Y304" s="219" t="str">
        <f t="shared" si="107"/>
        <v>0 um/Dia</v>
      </c>
      <c r="Z304" s="220" t="str">
        <f t="shared" si="108"/>
        <v xml:space="preserve"> um / HH</v>
      </c>
      <c r="AA304" s="221" t="str">
        <f t="shared" si="109"/>
        <v/>
      </c>
      <c r="AB304" s="222" t="str">
        <f t="shared" si="110"/>
        <v>0 um /HH</v>
      </c>
      <c r="AC304" s="223">
        <f t="shared" si="111"/>
        <v>0</v>
      </c>
      <c r="AD304" s="224"/>
      <c r="AE304" s="225"/>
      <c r="AF304" s="226">
        <f t="shared" si="112"/>
        <v>0</v>
      </c>
      <c r="AG304" s="227">
        <f t="shared" si="113"/>
        <v>0</v>
      </c>
      <c r="AH304" s="228" t="s">
        <v>25</v>
      </c>
      <c r="AI304" s="229" t="str">
        <f t="shared" si="79"/>
        <v>Extremamente Complexa</v>
      </c>
      <c r="AJ304" s="230" t="str">
        <f t="shared" si="80"/>
        <v>Normal</v>
      </c>
      <c r="AK304" s="231">
        <f t="shared" si="114"/>
        <v>0</v>
      </c>
      <c r="AL304" s="232" t="str">
        <f t="shared" si="115"/>
        <v/>
      </c>
      <c r="AM304" s="233" t="str">
        <f t="shared" si="116"/>
        <v/>
      </c>
      <c r="AN304" s="233" t="str">
        <f t="shared" si="117"/>
        <v/>
      </c>
      <c r="AO304" s="234">
        <f t="shared" si="118"/>
        <v>0</v>
      </c>
      <c r="AP304" s="235">
        <f t="shared" si="102"/>
        <v>1</v>
      </c>
      <c r="AQ304" s="235">
        <f t="shared" si="102"/>
        <v>1</v>
      </c>
      <c r="AR304" s="235">
        <f t="shared" si="119"/>
        <v>1</v>
      </c>
      <c r="AS304" s="252">
        <f t="shared" si="120"/>
        <v>0</v>
      </c>
      <c r="AT304" s="238">
        <f t="shared" si="121"/>
        <v>0</v>
      </c>
      <c r="AU304" s="239">
        <f t="shared" si="122"/>
        <v>0</v>
      </c>
      <c r="AV304" s="239">
        <f t="shared" si="123"/>
        <v>0</v>
      </c>
      <c r="AW304" s="239">
        <f t="shared" si="124"/>
        <v>0.05</v>
      </c>
      <c r="AX304" s="240">
        <f t="shared" si="125"/>
        <v>0</v>
      </c>
      <c r="AY304" s="241" t="str">
        <f t="shared" si="126"/>
        <v/>
      </c>
      <c r="AZ304" s="242" t="str">
        <f>IFERROR(VLOOKUP(M304,'[1]Base Brasil Obras'!$C$2:$F$485,4,0),"")</f>
        <v/>
      </c>
      <c r="BA304" s="243">
        <f t="shared" si="127"/>
        <v>0</v>
      </c>
      <c r="BB304" s="244">
        <f t="shared" si="128"/>
        <v>0</v>
      </c>
      <c r="BC304" s="244">
        <f t="shared" si="129"/>
        <v>0.05</v>
      </c>
      <c r="BD304" s="245">
        <f t="shared" si="130"/>
        <v>0.95</v>
      </c>
      <c r="BE304" s="246">
        <f t="shared" si="131"/>
        <v>0</v>
      </c>
      <c r="BF304" s="247">
        <v>0</v>
      </c>
      <c r="BG304" s="248">
        <f t="shared" si="132"/>
        <v>1</v>
      </c>
      <c r="BH304" s="198"/>
      <c r="BI304" s="198"/>
      <c r="BJ304" s="199"/>
      <c r="BK304" s="200"/>
      <c r="BL304" s="200"/>
      <c r="BM304" s="200"/>
      <c r="BN304" s="200"/>
      <c r="BO304" s="10"/>
    </row>
    <row r="305" spans="1:67" ht="18" x14ac:dyDescent="0.25">
      <c r="A305" s="201">
        <v>197</v>
      </c>
      <c r="B305" s="286"/>
      <c r="C305" s="203">
        <f t="shared" si="103"/>
        <v>0</v>
      </c>
      <c r="D305" s="204"/>
      <c r="E305" s="204"/>
      <c r="F305" s="207"/>
      <c r="G305" s="206"/>
      <c r="H305" s="207"/>
      <c r="I305" s="208" t="s">
        <v>125</v>
      </c>
      <c r="J305" s="208" t="s">
        <v>126</v>
      </c>
      <c r="K305" s="287"/>
      <c r="L305" s="288"/>
      <c r="M305" s="289"/>
      <c r="N305" s="257"/>
      <c r="O305" s="213"/>
      <c r="P305" s="214"/>
      <c r="Q305" s="214"/>
      <c r="R305" s="214"/>
      <c r="S305" s="214"/>
      <c r="T305" s="214"/>
      <c r="U305" s="215">
        <f t="shared" si="104"/>
        <v>0</v>
      </c>
      <c r="V305" s="216" t="str">
        <f t="shared" si="105"/>
        <v/>
      </c>
      <c r="W305" s="217" t="str">
        <f t="shared" si="106"/>
        <v/>
      </c>
      <c r="X305" s="218" t="s">
        <v>20</v>
      </c>
      <c r="Y305" s="219" t="str">
        <f t="shared" si="107"/>
        <v>0 um/Dia</v>
      </c>
      <c r="Z305" s="220" t="str">
        <f t="shared" si="108"/>
        <v xml:space="preserve"> um / HH</v>
      </c>
      <c r="AA305" s="221" t="str">
        <f t="shared" si="109"/>
        <v/>
      </c>
      <c r="AB305" s="222" t="str">
        <f t="shared" si="110"/>
        <v>0 um /HH</v>
      </c>
      <c r="AC305" s="223">
        <f t="shared" si="111"/>
        <v>0</v>
      </c>
      <c r="AD305" s="224"/>
      <c r="AE305" s="225"/>
      <c r="AF305" s="226">
        <f t="shared" si="112"/>
        <v>0</v>
      </c>
      <c r="AG305" s="227">
        <f t="shared" si="113"/>
        <v>0</v>
      </c>
      <c r="AH305" s="228" t="s">
        <v>25</v>
      </c>
      <c r="AI305" s="229" t="str">
        <f t="shared" si="79"/>
        <v>Extremamente Complexa</v>
      </c>
      <c r="AJ305" s="230" t="str">
        <f t="shared" si="80"/>
        <v>Normal</v>
      </c>
      <c r="AK305" s="231">
        <f t="shared" si="114"/>
        <v>0</v>
      </c>
      <c r="AL305" s="232" t="str">
        <f t="shared" si="115"/>
        <v/>
      </c>
      <c r="AM305" s="233" t="str">
        <f t="shared" si="116"/>
        <v/>
      </c>
      <c r="AN305" s="233" t="str">
        <f t="shared" si="117"/>
        <v/>
      </c>
      <c r="AO305" s="234">
        <f t="shared" si="118"/>
        <v>0</v>
      </c>
      <c r="AP305" s="235">
        <f t="shared" si="102"/>
        <v>1</v>
      </c>
      <c r="AQ305" s="235">
        <f t="shared" si="102"/>
        <v>1</v>
      </c>
      <c r="AR305" s="236">
        <f t="shared" si="119"/>
        <v>1</v>
      </c>
      <c r="AS305" s="251">
        <f t="shared" si="120"/>
        <v>0</v>
      </c>
      <c r="AT305" s="238">
        <f t="shared" si="121"/>
        <v>0</v>
      </c>
      <c r="AU305" s="239">
        <f t="shared" si="122"/>
        <v>0</v>
      </c>
      <c r="AV305" s="239">
        <f t="shared" si="123"/>
        <v>0</v>
      </c>
      <c r="AW305" s="239">
        <f t="shared" si="124"/>
        <v>0.05</v>
      </c>
      <c r="AX305" s="240">
        <f t="shared" si="125"/>
        <v>0</v>
      </c>
      <c r="AY305" s="241" t="str">
        <f t="shared" si="126"/>
        <v/>
      </c>
      <c r="AZ305" s="242" t="str">
        <f>IFERROR(VLOOKUP(M305,'[1]Base Brasil Obras'!$C$2:$F$485,4,0),"")</f>
        <v/>
      </c>
      <c r="BA305" s="243">
        <f t="shared" si="127"/>
        <v>0</v>
      </c>
      <c r="BB305" s="244">
        <f t="shared" si="128"/>
        <v>0</v>
      </c>
      <c r="BC305" s="244">
        <f t="shared" si="129"/>
        <v>0.05</v>
      </c>
      <c r="BD305" s="245">
        <f t="shared" si="130"/>
        <v>0.95</v>
      </c>
      <c r="BE305" s="246">
        <f t="shared" si="131"/>
        <v>0</v>
      </c>
      <c r="BF305" s="247">
        <v>0</v>
      </c>
      <c r="BG305" s="248">
        <f t="shared" si="132"/>
        <v>1</v>
      </c>
      <c r="BH305" s="198"/>
      <c r="BI305" s="198"/>
      <c r="BJ305" s="199"/>
      <c r="BK305" s="200"/>
      <c r="BL305" s="200"/>
      <c r="BM305" s="200"/>
      <c r="BN305" s="200"/>
      <c r="BO305" s="10"/>
    </row>
    <row r="306" spans="1:67" ht="18" x14ac:dyDescent="0.25">
      <c r="A306" s="201">
        <v>198</v>
      </c>
      <c r="B306" s="286"/>
      <c r="C306" s="203">
        <f t="shared" si="103"/>
        <v>0</v>
      </c>
      <c r="D306" s="204"/>
      <c r="E306" s="204"/>
      <c r="F306" s="207"/>
      <c r="G306" s="206"/>
      <c r="H306" s="207"/>
      <c r="I306" s="208" t="s">
        <v>125</v>
      </c>
      <c r="J306" s="208" t="s">
        <v>126</v>
      </c>
      <c r="K306" s="287"/>
      <c r="L306" s="288"/>
      <c r="M306" s="289"/>
      <c r="N306" s="257"/>
      <c r="O306" s="213"/>
      <c r="P306" s="214"/>
      <c r="Q306" s="214"/>
      <c r="R306" s="214"/>
      <c r="S306" s="214"/>
      <c r="T306" s="214"/>
      <c r="U306" s="215">
        <f t="shared" si="104"/>
        <v>0</v>
      </c>
      <c r="V306" s="216" t="str">
        <f t="shared" si="105"/>
        <v/>
      </c>
      <c r="W306" s="217" t="str">
        <f t="shared" si="106"/>
        <v/>
      </c>
      <c r="X306" s="218" t="s">
        <v>20</v>
      </c>
      <c r="Y306" s="219" t="str">
        <f t="shared" si="107"/>
        <v>0 um/Dia</v>
      </c>
      <c r="Z306" s="220" t="str">
        <f t="shared" si="108"/>
        <v xml:space="preserve"> um / HH</v>
      </c>
      <c r="AA306" s="221" t="str">
        <f t="shared" si="109"/>
        <v/>
      </c>
      <c r="AB306" s="222" t="str">
        <f t="shared" si="110"/>
        <v>0 um /HH</v>
      </c>
      <c r="AC306" s="223">
        <f t="shared" si="111"/>
        <v>0</v>
      </c>
      <c r="AD306" s="224"/>
      <c r="AE306" s="225"/>
      <c r="AF306" s="226">
        <f t="shared" si="112"/>
        <v>0</v>
      </c>
      <c r="AG306" s="227">
        <f t="shared" si="113"/>
        <v>0</v>
      </c>
      <c r="AH306" s="228" t="s">
        <v>25</v>
      </c>
      <c r="AI306" s="229" t="str">
        <f t="shared" si="79"/>
        <v>Extremamente Complexa</v>
      </c>
      <c r="AJ306" s="230" t="str">
        <f t="shared" si="80"/>
        <v>Normal</v>
      </c>
      <c r="AK306" s="231">
        <f t="shared" si="114"/>
        <v>0</v>
      </c>
      <c r="AL306" s="232" t="str">
        <f t="shared" si="115"/>
        <v/>
      </c>
      <c r="AM306" s="233" t="str">
        <f t="shared" si="116"/>
        <v/>
      </c>
      <c r="AN306" s="233" t="str">
        <f t="shared" si="117"/>
        <v/>
      </c>
      <c r="AO306" s="234">
        <f t="shared" si="118"/>
        <v>0</v>
      </c>
      <c r="AP306" s="235">
        <f t="shared" si="102"/>
        <v>1</v>
      </c>
      <c r="AQ306" s="235">
        <f t="shared" si="102"/>
        <v>1</v>
      </c>
      <c r="AR306" s="235">
        <f t="shared" si="119"/>
        <v>1</v>
      </c>
      <c r="AS306" s="252">
        <f t="shared" si="120"/>
        <v>0</v>
      </c>
      <c r="AT306" s="238">
        <f t="shared" si="121"/>
        <v>0</v>
      </c>
      <c r="AU306" s="239">
        <f t="shared" si="122"/>
        <v>0</v>
      </c>
      <c r="AV306" s="239">
        <f t="shared" si="123"/>
        <v>0</v>
      </c>
      <c r="AW306" s="239">
        <f t="shared" si="124"/>
        <v>0.05</v>
      </c>
      <c r="AX306" s="240">
        <f t="shared" si="125"/>
        <v>0</v>
      </c>
      <c r="AY306" s="241" t="str">
        <f t="shared" si="126"/>
        <v/>
      </c>
      <c r="AZ306" s="242" t="str">
        <f>IFERROR(VLOOKUP(M306,'[1]Base Brasil Obras'!$C$2:$F$485,4,0),"")</f>
        <v/>
      </c>
      <c r="BA306" s="243">
        <f t="shared" si="127"/>
        <v>0</v>
      </c>
      <c r="BB306" s="244">
        <f t="shared" si="128"/>
        <v>0</v>
      </c>
      <c r="BC306" s="244">
        <f t="shared" si="129"/>
        <v>0.05</v>
      </c>
      <c r="BD306" s="245">
        <f t="shared" si="130"/>
        <v>0.95</v>
      </c>
      <c r="BE306" s="246">
        <f t="shared" si="131"/>
        <v>0</v>
      </c>
      <c r="BF306" s="247">
        <v>0</v>
      </c>
      <c r="BG306" s="248">
        <f t="shared" si="132"/>
        <v>1</v>
      </c>
      <c r="BH306" s="198"/>
      <c r="BI306" s="198"/>
      <c r="BJ306" s="199"/>
      <c r="BK306" s="200"/>
      <c r="BL306" s="200"/>
      <c r="BM306" s="200"/>
      <c r="BN306" s="200"/>
      <c r="BO306" s="10"/>
    </row>
    <row r="307" spans="1:67" ht="18" x14ac:dyDescent="0.25">
      <c r="A307" s="201">
        <v>199</v>
      </c>
      <c r="B307" s="286"/>
      <c r="C307" s="203">
        <f t="shared" si="103"/>
        <v>0</v>
      </c>
      <c r="D307" s="204"/>
      <c r="E307" s="204"/>
      <c r="F307" s="207"/>
      <c r="G307" s="206"/>
      <c r="H307" s="207"/>
      <c r="I307" s="208" t="s">
        <v>125</v>
      </c>
      <c r="J307" s="208" t="s">
        <v>126</v>
      </c>
      <c r="K307" s="287"/>
      <c r="L307" s="288"/>
      <c r="M307" s="289"/>
      <c r="N307" s="257"/>
      <c r="O307" s="213"/>
      <c r="P307" s="214"/>
      <c r="Q307" s="214"/>
      <c r="R307" s="214"/>
      <c r="S307" s="214"/>
      <c r="T307" s="214"/>
      <c r="U307" s="215">
        <f t="shared" si="104"/>
        <v>0</v>
      </c>
      <c r="V307" s="216" t="str">
        <f t="shared" si="105"/>
        <v/>
      </c>
      <c r="W307" s="217" t="str">
        <f t="shared" si="106"/>
        <v/>
      </c>
      <c r="X307" s="218" t="s">
        <v>20</v>
      </c>
      <c r="Y307" s="219" t="str">
        <f t="shared" si="107"/>
        <v>0 um/Dia</v>
      </c>
      <c r="Z307" s="220" t="str">
        <f t="shared" si="108"/>
        <v xml:space="preserve"> um / HH</v>
      </c>
      <c r="AA307" s="221" t="str">
        <f t="shared" si="109"/>
        <v/>
      </c>
      <c r="AB307" s="222" t="str">
        <f t="shared" si="110"/>
        <v>0 um /HH</v>
      </c>
      <c r="AC307" s="223">
        <f t="shared" si="111"/>
        <v>0</v>
      </c>
      <c r="AD307" s="224"/>
      <c r="AE307" s="225"/>
      <c r="AF307" s="226">
        <f t="shared" si="112"/>
        <v>0</v>
      </c>
      <c r="AG307" s="227">
        <f t="shared" si="113"/>
        <v>0</v>
      </c>
      <c r="AH307" s="228" t="s">
        <v>25</v>
      </c>
      <c r="AI307" s="229" t="str">
        <f t="shared" si="79"/>
        <v>Extremamente Complexa</v>
      </c>
      <c r="AJ307" s="230" t="str">
        <f t="shared" si="80"/>
        <v>Normal</v>
      </c>
      <c r="AK307" s="231">
        <f t="shared" si="114"/>
        <v>0</v>
      </c>
      <c r="AL307" s="232" t="str">
        <f t="shared" si="115"/>
        <v/>
      </c>
      <c r="AM307" s="233" t="str">
        <f t="shared" si="116"/>
        <v/>
      </c>
      <c r="AN307" s="233" t="str">
        <f t="shared" si="117"/>
        <v/>
      </c>
      <c r="AO307" s="234">
        <f t="shared" si="118"/>
        <v>0</v>
      </c>
      <c r="AP307" s="235">
        <f t="shared" si="102"/>
        <v>1</v>
      </c>
      <c r="AQ307" s="235">
        <f t="shared" si="102"/>
        <v>1</v>
      </c>
      <c r="AR307" s="236">
        <f t="shared" si="119"/>
        <v>1</v>
      </c>
      <c r="AS307" s="251">
        <f t="shared" si="120"/>
        <v>0</v>
      </c>
      <c r="AT307" s="238">
        <f t="shared" si="121"/>
        <v>0</v>
      </c>
      <c r="AU307" s="239">
        <f t="shared" si="122"/>
        <v>0</v>
      </c>
      <c r="AV307" s="239">
        <f t="shared" si="123"/>
        <v>0</v>
      </c>
      <c r="AW307" s="239">
        <f t="shared" si="124"/>
        <v>0.05</v>
      </c>
      <c r="AX307" s="240">
        <f t="shared" si="125"/>
        <v>0</v>
      </c>
      <c r="AY307" s="241" t="str">
        <f t="shared" si="126"/>
        <v/>
      </c>
      <c r="AZ307" s="242" t="str">
        <f>IFERROR(VLOOKUP(M307,'[1]Base Brasil Obras'!$C$2:$F$485,4,0),"")</f>
        <v/>
      </c>
      <c r="BA307" s="243">
        <f t="shared" si="127"/>
        <v>0</v>
      </c>
      <c r="BB307" s="244">
        <f t="shared" si="128"/>
        <v>0</v>
      </c>
      <c r="BC307" s="244">
        <f t="shared" si="129"/>
        <v>0.05</v>
      </c>
      <c r="BD307" s="245">
        <f t="shared" si="130"/>
        <v>0.95</v>
      </c>
      <c r="BE307" s="246">
        <f t="shared" si="131"/>
        <v>0</v>
      </c>
      <c r="BF307" s="247">
        <v>0</v>
      </c>
      <c r="BG307" s="248">
        <f t="shared" si="132"/>
        <v>1</v>
      </c>
      <c r="BH307" s="198"/>
      <c r="BI307" s="198"/>
      <c r="BJ307" s="199"/>
      <c r="BK307" s="200"/>
      <c r="BL307" s="200"/>
      <c r="BM307" s="200"/>
      <c r="BN307" s="200"/>
      <c r="BO307" s="10"/>
    </row>
    <row r="308" spans="1:67" ht="18" x14ac:dyDescent="0.25">
      <c r="A308" s="201">
        <v>200</v>
      </c>
      <c r="B308" s="286"/>
      <c r="C308" s="203">
        <f t="shared" si="103"/>
        <v>0</v>
      </c>
      <c r="D308" s="204"/>
      <c r="E308" s="204"/>
      <c r="F308" s="207"/>
      <c r="G308" s="206"/>
      <c r="H308" s="207"/>
      <c r="I308" s="208" t="s">
        <v>125</v>
      </c>
      <c r="J308" s="208" t="s">
        <v>126</v>
      </c>
      <c r="K308" s="287"/>
      <c r="L308" s="288"/>
      <c r="M308" s="289"/>
      <c r="N308" s="257"/>
      <c r="O308" s="213"/>
      <c r="P308" s="214"/>
      <c r="Q308" s="214"/>
      <c r="R308" s="214"/>
      <c r="S308" s="214"/>
      <c r="T308" s="214"/>
      <c r="U308" s="215">
        <f t="shared" si="104"/>
        <v>0</v>
      </c>
      <c r="V308" s="216" t="str">
        <f t="shared" si="105"/>
        <v/>
      </c>
      <c r="W308" s="217" t="str">
        <f t="shared" si="106"/>
        <v/>
      </c>
      <c r="X308" s="218" t="s">
        <v>20</v>
      </c>
      <c r="Y308" s="219" t="str">
        <f t="shared" si="107"/>
        <v>0 um/Dia</v>
      </c>
      <c r="Z308" s="220" t="str">
        <f t="shared" si="108"/>
        <v xml:space="preserve"> um / HH</v>
      </c>
      <c r="AA308" s="221" t="str">
        <f t="shared" si="109"/>
        <v/>
      </c>
      <c r="AB308" s="222" t="str">
        <f t="shared" si="110"/>
        <v>0 um /HH</v>
      </c>
      <c r="AC308" s="223">
        <f t="shared" si="111"/>
        <v>0</v>
      </c>
      <c r="AD308" s="224"/>
      <c r="AE308" s="225"/>
      <c r="AF308" s="226">
        <f t="shared" si="112"/>
        <v>0</v>
      </c>
      <c r="AG308" s="227">
        <f t="shared" si="113"/>
        <v>0</v>
      </c>
      <c r="AH308" s="228" t="s">
        <v>25</v>
      </c>
      <c r="AI308" s="229" t="str">
        <f t="shared" si="79"/>
        <v>Extremamente Complexa</v>
      </c>
      <c r="AJ308" s="230" t="str">
        <f t="shared" si="80"/>
        <v>Normal</v>
      </c>
      <c r="AK308" s="231">
        <f t="shared" si="114"/>
        <v>0</v>
      </c>
      <c r="AL308" s="232" t="str">
        <f t="shared" si="115"/>
        <v/>
      </c>
      <c r="AM308" s="233" t="str">
        <f t="shared" si="116"/>
        <v/>
      </c>
      <c r="AN308" s="233" t="str">
        <f t="shared" si="117"/>
        <v/>
      </c>
      <c r="AO308" s="234">
        <f t="shared" si="118"/>
        <v>0</v>
      </c>
      <c r="AP308" s="235">
        <f t="shared" si="102"/>
        <v>1</v>
      </c>
      <c r="AQ308" s="235">
        <f t="shared" si="102"/>
        <v>1</v>
      </c>
      <c r="AR308" s="235">
        <f t="shared" si="119"/>
        <v>1</v>
      </c>
      <c r="AS308" s="252">
        <f t="shared" si="120"/>
        <v>0</v>
      </c>
      <c r="AT308" s="238">
        <f t="shared" si="121"/>
        <v>0</v>
      </c>
      <c r="AU308" s="239">
        <f t="shared" si="122"/>
        <v>0</v>
      </c>
      <c r="AV308" s="239">
        <f t="shared" si="123"/>
        <v>0</v>
      </c>
      <c r="AW308" s="239">
        <f t="shared" si="124"/>
        <v>0.05</v>
      </c>
      <c r="AX308" s="240">
        <f t="shared" si="125"/>
        <v>0</v>
      </c>
      <c r="AY308" s="241" t="str">
        <f t="shared" si="126"/>
        <v/>
      </c>
      <c r="AZ308" s="242" t="str">
        <f>IFERROR(VLOOKUP(M308,'[1]Base Brasil Obras'!$C$2:$F$485,4,0),"")</f>
        <v/>
      </c>
      <c r="BA308" s="243">
        <f t="shared" si="127"/>
        <v>0</v>
      </c>
      <c r="BB308" s="244">
        <f t="shared" si="128"/>
        <v>0</v>
      </c>
      <c r="BC308" s="244">
        <f t="shared" si="129"/>
        <v>0.05</v>
      </c>
      <c r="BD308" s="245">
        <f t="shared" si="130"/>
        <v>0.95</v>
      </c>
      <c r="BE308" s="246">
        <f t="shared" si="131"/>
        <v>0</v>
      </c>
      <c r="BF308" s="247">
        <v>0</v>
      </c>
      <c r="BG308" s="248">
        <f t="shared" si="132"/>
        <v>1</v>
      </c>
      <c r="BH308" s="198"/>
      <c r="BI308" s="198"/>
      <c r="BJ308" s="199"/>
      <c r="BK308" s="200"/>
      <c r="BL308" s="200"/>
      <c r="BM308" s="200"/>
      <c r="BN308" s="200"/>
      <c r="BO308" s="10"/>
    </row>
    <row r="309" spans="1:67" ht="18" x14ac:dyDescent="0.25">
      <c r="A309" s="201">
        <v>201</v>
      </c>
      <c r="B309" s="286"/>
      <c r="C309" s="203">
        <f t="shared" si="103"/>
        <v>0</v>
      </c>
      <c r="D309" s="204"/>
      <c r="E309" s="204"/>
      <c r="F309" s="207"/>
      <c r="G309" s="206"/>
      <c r="H309" s="207"/>
      <c r="I309" s="208" t="s">
        <v>125</v>
      </c>
      <c r="J309" s="208" t="s">
        <v>126</v>
      </c>
      <c r="K309" s="287"/>
      <c r="L309" s="288"/>
      <c r="M309" s="289"/>
      <c r="N309" s="257"/>
      <c r="O309" s="213"/>
      <c r="P309" s="214"/>
      <c r="Q309" s="214"/>
      <c r="R309" s="214"/>
      <c r="S309" s="214"/>
      <c r="T309" s="214"/>
      <c r="U309" s="215">
        <f t="shared" si="104"/>
        <v>0</v>
      </c>
      <c r="V309" s="216" t="str">
        <f t="shared" si="105"/>
        <v/>
      </c>
      <c r="W309" s="217" t="str">
        <f t="shared" si="106"/>
        <v/>
      </c>
      <c r="X309" s="218" t="s">
        <v>20</v>
      </c>
      <c r="Y309" s="219" t="str">
        <f t="shared" si="107"/>
        <v>0 um/Dia</v>
      </c>
      <c r="Z309" s="220" t="str">
        <f t="shared" si="108"/>
        <v xml:space="preserve"> um / HH</v>
      </c>
      <c r="AA309" s="221" t="str">
        <f t="shared" si="109"/>
        <v/>
      </c>
      <c r="AB309" s="222" t="str">
        <f t="shared" si="110"/>
        <v>0 um /HH</v>
      </c>
      <c r="AC309" s="223">
        <f t="shared" si="111"/>
        <v>0</v>
      </c>
      <c r="AD309" s="224"/>
      <c r="AE309" s="225"/>
      <c r="AF309" s="226">
        <f t="shared" si="112"/>
        <v>0</v>
      </c>
      <c r="AG309" s="227">
        <f t="shared" si="113"/>
        <v>0</v>
      </c>
      <c r="AH309" s="228" t="s">
        <v>25</v>
      </c>
      <c r="AI309" s="229" t="str">
        <f t="shared" si="79"/>
        <v>Extremamente Complexa</v>
      </c>
      <c r="AJ309" s="230" t="str">
        <f t="shared" si="80"/>
        <v>Normal</v>
      </c>
      <c r="AK309" s="231">
        <f t="shared" si="114"/>
        <v>0</v>
      </c>
      <c r="AL309" s="232" t="str">
        <f t="shared" si="115"/>
        <v/>
      </c>
      <c r="AM309" s="233" t="str">
        <f t="shared" si="116"/>
        <v/>
      </c>
      <c r="AN309" s="233" t="str">
        <f t="shared" si="117"/>
        <v/>
      </c>
      <c r="AO309" s="234">
        <f t="shared" si="118"/>
        <v>0</v>
      </c>
      <c r="AP309" s="235">
        <f t="shared" si="102"/>
        <v>1</v>
      </c>
      <c r="AQ309" s="235">
        <f t="shared" si="102"/>
        <v>1</v>
      </c>
      <c r="AR309" s="236">
        <f t="shared" si="119"/>
        <v>1</v>
      </c>
      <c r="AS309" s="251">
        <f t="shared" si="120"/>
        <v>0</v>
      </c>
      <c r="AT309" s="238">
        <f t="shared" si="121"/>
        <v>0</v>
      </c>
      <c r="AU309" s="239">
        <f t="shared" si="122"/>
        <v>0</v>
      </c>
      <c r="AV309" s="239">
        <f t="shared" si="123"/>
        <v>0</v>
      </c>
      <c r="AW309" s="239">
        <f t="shared" si="124"/>
        <v>0.05</v>
      </c>
      <c r="AX309" s="240">
        <f t="shared" si="125"/>
        <v>0</v>
      </c>
      <c r="AY309" s="241" t="str">
        <f t="shared" si="126"/>
        <v/>
      </c>
      <c r="AZ309" s="242" t="str">
        <f>IFERROR(VLOOKUP(M309,'[1]Base Brasil Obras'!$C$2:$F$485,4,0),"")</f>
        <v/>
      </c>
      <c r="BA309" s="243">
        <f t="shared" si="127"/>
        <v>0</v>
      </c>
      <c r="BB309" s="244">
        <f t="shared" si="128"/>
        <v>0</v>
      </c>
      <c r="BC309" s="244">
        <f t="shared" si="129"/>
        <v>0.05</v>
      </c>
      <c r="BD309" s="245">
        <f t="shared" si="130"/>
        <v>0.95</v>
      </c>
      <c r="BE309" s="246">
        <f t="shared" si="131"/>
        <v>0</v>
      </c>
      <c r="BF309" s="247">
        <v>0</v>
      </c>
      <c r="BG309" s="248">
        <f t="shared" si="132"/>
        <v>1</v>
      </c>
      <c r="BH309" s="198"/>
      <c r="BI309" s="198"/>
      <c r="BJ309" s="199"/>
      <c r="BK309" s="200"/>
      <c r="BL309" s="200"/>
      <c r="BM309" s="200"/>
      <c r="BN309" s="200"/>
      <c r="BO309" s="10"/>
    </row>
    <row r="310" spans="1:67" ht="18" x14ac:dyDescent="0.25">
      <c r="A310" s="201">
        <v>202</v>
      </c>
      <c r="B310" s="286"/>
      <c r="C310" s="203">
        <f t="shared" si="103"/>
        <v>0</v>
      </c>
      <c r="D310" s="204"/>
      <c r="E310" s="204"/>
      <c r="F310" s="207"/>
      <c r="G310" s="206"/>
      <c r="H310" s="207"/>
      <c r="I310" s="208" t="s">
        <v>125</v>
      </c>
      <c r="J310" s="208" t="s">
        <v>126</v>
      </c>
      <c r="K310" s="287"/>
      <c r="L310" s="288"/>
      <c r="M310" s="289"/>
      <c r="N310" s="257"/>
      <c r="O310" s="213"/>
      <c r="P310" s="214"/>
      <c r="Q310" s="214"/>
      <c r="R310" s="214"/>
      <c r="S310" s="214"/>
      <c r="T310" s="214"/>
      <c r="U310" s="215">
        <f t="shared" si="104"/>
        <v>0</v>
      </c>
      <c r="V310" s="216" t="str">
        <f t="shared" si="105"/>
        <v/>
      </c>
      <c r="W310" s="217" t="str">
        <f t="shared" si="106"/>
        <v/>
      </c>
      <c r="X310" s="218" t="s">
        <v>20</v>
      </c>
      <c r="Y310" s="219" t="str">
        <f t="shared" si="107"/>
        <v>0 um/Dia</v>
      </c>
      <c r="Z310" s="220" t="str">
        <f t="shared" si="108"/>
        <v xml:space="preserve"> um / HH</v>
      </c>
      <c r="AA310" s="221" t="str">
        <f t="shared" si="109"/>
        <v/>
      </c>
      <c r="AB310" s="222" t="str">
        <f t="shared" si="110"/>
        <v>0 um /HH</v>
      </c>
      <c r="AC310" s="223">
        <f t="shared" si="111"/>
        <v>0</v>
      </c>
      <c r="AD310" s="224"/>
      <c r="AE310" s="225"/>
      <c r="AF310" s="226">
        <f t="shared" si="112"/>
        <v>0</v>
      </c>
      <c r="AG310" s="227">
        <f t="shared" si="113"/>
        <v>0</v>
      </c>
      <c r="AH310" s="228" t="s">
        <v>25</v>
      </c>
      <c r="AI310" s="229" t="str">
        <f t="shared" si="79"/>
        <v>Extremamente Complexa</v>
      </c>
      <c r="AJ310" s="230" t="str">
        <f t="shared" si="80"/>
        <v>Normal</v>
      </c>
      <c r="AK310" s="231">
        <f t="shared" si="114"/>
        <v>0</v>
      </c>
      <c r="AL310" s="232" t="str">
        <f t="shared" si="115"/>
        <v/>
      </c>
      <c r="AM310" s="233" t="str">
        <f t="shared" si="116"/>
        <v/>
      </c>
      <c r="AN310" s="233" t="str">
        <f t="shared" si="117"/>
        <v/>
      </c>
      <c r="AO310" s="234">
        <f t="shared" si="118"/>
        <v>0</v>
      </c>
      <c r="AP310" s="235">
        <f t="shared" si="102"/>
        <v>1</v>
      </c>
      <c r="AQ310" s="235">
        <f t="shared" si="102"/>
        <v>1</v>
      </c>
      <c r="AR310" s="235">
        <f t="shared" si="119"/>
        <v>1</v>
      </c>
      <c r="AS310" s="252">
        <f t="shared" si="120"/>
        <v>0</v>
      </c>
      <c r="AT310" s="238">
        <f t="shared" si="121"/>
        <v>0</v>
      </c>
      <c r="AU310" s="239">
        <f t="shared" si="122"/>
        <v>0</v>
      </c>
      <c r="AV310" s="239">
        <f t="shared" si="123"/>
        <v>0</v>
      </c>
      <c r="AW310" s="239">
        <f t="shared" si="124"/>
        <v>0.05</v>
      </c>
      <c r="AX310" s="240">
        <f t="shared" si="125"/>
        <v>0</v>
      </c>
      <c r="AY310" s="241" t="str">
        <f t="shared" si="126"/>
        <v/>
      </c>
      <c r="AZ310" s="242" t="str">
        <f>IFERROR(VLOOKUP(M310,'[1]Base Brasil Obras'!$C$2:$F$485,4,0),"")</f>
        <v/>
      </c>
      <c r="BA310" s="243">
        <f t="shared" si="127"/>
        <v>0</v>
      </c>
      <c r="BB310" s="244">
        <f t="shared" si="128"/>
        <v>0</v>
      </c>
      <c r="BC310" s="244">
        <f t="shared" si="129"/>
        <v>0.05</v>
      </c>
      <c r="BD310" s="245">
        <f t="shared" si="130"/>
        <v>0.95</v>
      </c>
      <c r="BE310" s="246">
        <f t="shared" si="131"/>
        <v>0</v>
      </c>
      <c r="BF310" s="247">
        <v>0</v>
      </c>
      <c r="BG310" s="248">
        <f t="shared" si="132"/>
        <v>1</v>
      </c>
      <c r="BH310" s="198"/>
      <c r="BI310" s="198"/>
      <c r="BJ310" s="199"/>
      <c r="BK310" s="200"/>
      <c r="BL310" s="200"/>
      <c r="BM310" s="200"/>
      <c r="BN310" s="200"/>
      <c r="BO310" s="10"/>
    </row>
    <row r="311" spans="1:67" ht="18" x14ac:dyDescent="0.25">
      <c r="A311" s="201">
        <v>203</v>
      </c>
      <c r="B311" s="286"/>
      <c r="C311" s="203">
        <f t="shared" si="103"/>
        <v>0</v>
      </c>
      <c r="D311" s="204"/>
      <c r="E311" s="204"/>
      <c r="F311" s="207"/>
      <c r="G311" s="206"/>
      <c r="H311" s="207"/>
      <c r="I311" s="208" t="s">
        <v>125</v>
      </c>
      <c r="J311" s="208" t="s">
        <v>126</v>
      </c>
      <c r="K311" s="287"/>
      <c r="L311" s="288"/>
      <c r="M311" s="289"/>
      <c r="N311" s="257"/>
      <c r="O311" s="213"/>
      <c r="P311" s="214"/>
      <c r="Q311" s="214"/>
      <c r="R311" s="214"/>
      <c r="S311" s="214"/>
      <c r="T311" s="214"/>
      <c r="U311" s="215">
        <f t="shared" si="104"/>
        <v>0</v>
      </c>
      <c r="V311" s="216" t="str">
        <f t="shared" si="105"/>
        <v/>
      </c>
      <c r="W311" s="217" t="str">
        <f t="shared" si="106"/>
        <v/>
      </c>
      <c r="X311" s="218" t="s">
        <v>20</v>
      </c>
      <c r="Y311" s="219" t="str">
        <f t="shared" si="107"/>
        <v>0 um/Dia</v>
      </c>
      <c r="Z311" s="220" t="str">
        <f t="shared" si="108"/>
        <v xml:space="preserve"> um / HH</v>
      </c>
      <c r="AA311" s="221" t="str">
        <f t="shared" si="109"/>
        <v/>
      </c>
      <c r="AB311" s="222" t="str">
        <f t="shared" si="110"/>
        <v>0 um /HH</v>
      </c>
      <c r="AC311" s="223">
        <f t="shared" si="111"/>
        <v>0</v>
      </c>
      <c r="AD311" s="224"/>
      <c r="AE311" s="225"/>
      <c r="AF311" s="226">
        <f t="shared" si="112"/>
        <v>0</v>
      </c>
      <c r="AG311" s="227">
        <f t="shared" si="113"/>
        <v>0</v>
      </c>
      <c r="AH311" s="228" t="s">
        <v>25</v>
      </c>
      <c r="AI311" s="229" t="str">
        <f t="shared" si="79"/>
        <v>Extremamente Complexa</v>
      </c>
      <c r="AJ311" s="230" t="str">
        <f t="shared" si="80"/>
        <v>Normal</v>
      </c>
      <c r="AK311" s="231">
        <f t="shared" si="114"/>
        <v>0</v>
      </c>
      <c r="AL311" s="232" t="str">
        <f t="shared" si="115"/>
        <v/>
      </c>
      <c r="AM311" s="233" t="str">
        <f t="shared" si="116"/>
        <v/>
      </c>
      <c r="AN311" s="233" t="str">
        <f t="shared" si="117"/>
        <v/>
      </c>
      <c r="AO311" s="234">
        <f t="shared" si="118"/>
        <v>0</v>
      </c>
      <c r="AP311" s="235">
        <f t="shared" si="102"/>
        <v>1</v>
      </c>
      <c r="AQ311" s="235">
        <f t="shared" si="102"/>
        <v>1</v>
      </c>
      <c r="AR311" s="236">
        <f t="shared" si="119"/>
        <v>1</v>
      </c>
      <c r="AS311" s="251">
        <f t="shared" si="120"/>
        <v>0</v>
      </c>
      <c r="AT311" s="238">
        <f t="shared" si="121"/>
        <v>0</v>
      </c>
      <c r="AU311" s="239">
        <f t="shared" si="122"/>
        <v>0</v>
      </c>
      <c r="AV311" s="239">
        <f t="shared" si="123"/>
        <v>0</v>
      </c>
      <c r="AW311" s="239">
        <f t="shared" si="124"/>
        <v>0.05</v>
      </c>
      <c r="AX311" s="240">
        <f t="shared" si="125"/>
        <v>0</v>
      </c>
      <c r="AY311" s="241" t="str">
        <f t="shared" si="126"/>
        <v/>
      </c>
      <c r="AZ311" s="242" t="str">
        <f>IFERROR(VLOOKUP(M311,'[1]Base Brasil Obras'!$C$2:$F$485,4,0),"")</f>
        <v/>
      </c>
      <c r="BA311" s="243">
        <f t="shared" si="127"/>
        <v>0</v>
      </c>
      <c r="BB311" s="244">
        <f t="shared" si="128"/>
        <v>0</v>
      </c>
      <c r="BC311" s="244">
        <f t="shared" si="129"/>
        <v>0.05</v>
      </c>
      <c r="BD311" s="245">
        <f t="shared" si="130"/>
        <v>0.95</v>
      </c>
      <c r="BE311" s="246">
        <f t="shared" si="131"/>
        <v>0</v>
      </c>
      <c r="BF311" s="247">
        <v>0</v>
      </c>
      <c r="BG311" s="248">
        <f t="shared" si="132"/>
        <v>1</v>
      </c>
      <c r="BH311" s="198"/>
      <c r="BI311" s="198"/>
      <c r="BJ311" s="199"/>
      <c r="BK311" s="200"/>
      <c r="BL311" s="200"/>
      <c r="BM311" s="200"/>
      <c r="BN311" s="200"/>
      <c r="BO311" s="10"/>
    </row>
    <row r="312" spans="1:67" ht="18" x14ac:dyDescent="0.25">
      <c r="A312" s="201">
        <v>204</v>
      </c>
      <c r="B312" s="286"/>
      <c r="C312" s="203">
        <f t="shared" si="103"/>
        <v>0</v>
      </c>
      <c r="D312" s="204"/>
      <c r="E312" s="204"/>
      <c r="F312" s="207"/>
      <c r="G312" s="206"/>
      <c r="H312" s="207"/>
      <c r="I312" s="208" t="s">
        <v>125</v>
      </c>
      <c r="J312" s="208" t="s">
        <v>126</v>
      </c>
      <c r="K312" s="287"/>
      <c r="L312" s="288"/>
      <c r="M312" s="289"/>
      <c r="N312" s="257"/>
      <c r="O312" s="213"/>
      <c r="P312" s="214"/>
      <c r="Q312" s="214"/>
      <c r="R312" s="214"/>
      <c r="S312" s="214"/>
      <c r="T312" s="214"/>
      <c r="U312" s="215">
        <f t="shared" si="104"/>
        <v>0</v>
      </c>
      <c r="V312" s="216" t="str">
        <f t="shared" si="105"/>
        <v/>
      </c>
      <c r="W312" s="217" t="str">
        <f t="shared" si="106"/>
        <v/>
      </c>
      <c r="X312" s="218" t="s">
        <v>20</v>
      </c>
      <c r="Y312" s="219" t="str">
        <f t="shared" si="107"/>
        <v>0 um/Dia</v>
      </c>
      <c r="Z312" s="220" t="str">
        <f t="shared" si="108"/>
        <v xml:space="preserve"> um / HH</v>
      </c>
      <c r="AA312" s="221" t="str">
        <f t="shared" si="109"/>
        <v/>
      </c>
      <c r="AB312" s="222" t="str">
        <f t="shared" si="110"/>
        <v>0 um /HH</v>
      </c>
      <c r="AC312" s="223">
        <f t="shared" si="111"/>
        <v>0</v>
      </c>
      <c r="AD312" s="224"/>
      <c r="AE312" s="225"/>
      <c r="AF312" s="226">
        <f t="shared" si="112"/>
        <v>0</v>
      </c>
      <c r="AG312" s="227">
        <f t="shared" si="113"/>
        <v>0</v>
      </c>
      <c r="AH312" s="228" t="s">
        <v>25</v>
      </c>
      <c r="AI312" s="229" t="str">
        <f t="shared" si="79"/>
        <v>Extremamente Complexa</v>
      </c>
      <c r="AJ312" s="230" t="str">
        <f t="shared" si="80"/>
        <v>Normal</v>
      </c>
      <c r="AK312" s="231">
        <f t="shared" si="114"/>
        <v>0</v>
      </c>
      <c r="AL312" s="232" t="str">
        <f t="shared" si="115"/>
        <v/>
      </c>
      <c r="AM312" s="233" t="str">
        <f t="shared" si="116"/>
        <v/>
      </c>
      <c r="AN312" s="233" t="str">
        <f t="shared" si="117"/>
        <v/>
      </c>
      <c r="AO312" s="234">
        <f t="shared" si="118"/>
        <v>0</v>
      </c>
      <c r="AP312" s="235">
        <f t="shared" si="102"/>
        <v>1</v>
      </c>
      <c r="AQ312" s="235">
        <f t="shared" si="102"/>
        <v>1</v>
      </c>
      <c r="AR312" s="235">
        <f t="shared" si="119"/>
        <v>1</v>
      </c>
      <c r="AS312" s="252">
        <f t="shared" si="120"/>
        <v>0</v>
      </c>
      <c r="AT312" s="238">
        <f t="shared" si="121"/>
        <v>0</v>
      </c>
      <c r="AU312" s="239">
        <f t="shared" si="122"/>
        <v>0</v>
      </c>
      <c r="AV312" s="239">
        <f t="shared" si="123"/>
        <v>0</v>
      </c>
      <c r="AW312" s="239">
        <f t="shared" si="124"/>
        <v>0.05</v>
      </c>
      <c r="AX312" s="240">
        <f t="shared" si="125"/>
        <v>0</v>
      </c>
      <c r="AY312" s="241" t="str">
        <f t="shared" si="126"/>
        <v/>
      </c>
      <c r="AZ312" s="242" t="str">
        <f>IFERROR(VLOOKUP(M312,'[1]Base Brasil Obras'!$C$2:$F$485,4,0),"")</f>
        <v/>
      </c>
      <c r="BA312" s="243">
        <f t="shared" si="127"/>
        <v>0</v>
      </c>
      <c r="BB312" s="244">
        <f t="shared" si="128"/>
        <v>0</v>
      </c>
      <c r="BC312" s="244">
        <f t="shared" si="129"/>
        <v>0.05</v>
      </c>
      <c r="BD312" s="245">
        <f t="shared" si="130"/>
        <v>0.95</v>
      </c>
      <c r="BE312" s="246">
        <f t="shared" si="131"/>
        <v>0</v>
      </c>
      <c r="BF312" s="247">
        <v>0</v>
      </c>
      <c r="BG312" s="248">
        <f t="shared" si="132"/>
        <v>1</v>
      </c>
      <c r="BH312" s="198"/>
      <c r="BI312" s="198"/>
      <c r="BJ312" s="199"/>
      <c r="BK312" s="200"/>
      <c r="BL312" s="200"/>
      <c r="BM312" s="200"/>
      <c r="BN312" s="200"/>
      <c r="BO312" s="10"/>
    </row>
    <row r="313" spans="1:67" ht="18" x14ac:dyDescent="0.25">
      <c r="A313" s="201">
        <v>205</v>
      </c>
      <c r="B313" s="286"/>
      <c r="C313" s="203">
        <f t="shared" si="103"/>
        <v>0</v>
      </c>
      <c r="D313" s="204"/>
      <c r="E313" s="204"/>
      <c r="F313" s="207"/>
      <c r="G313" s="206"/>
      <c r="H313" s="207"/>
      <c r="I313" s="208" t="s">
        <v>125</v>
      </c>
      <c r="J313" s="208" t="s">
        <v>126</v>
      </c>
      <c r="K313" s="287"/>
      <c r="L313" s="288"/>
      <c r="M313" s="289"/>
      <c r="N313" s="257"/>
      <c r="O313" s="213"/>
      <c r="P313" s="214"/>
      <c r="Q313" s="214"/>
      <c r="R313" s="214"/>
      <c r="S313" s="214"/>
      <c r="T313" s="214"/>
      <c r="U313" s="215">
        <f t="shared" si="104"/>
        <v>0</v>
      </c>
      <c r="V313" s="216" t="str">
        <f t="shared" si="105"/>
        <v/>
      </c>
      <c r="W313" s="217" t="str">
        <f t="shared" si="106"/>
        <v/>
      </c>
      <c r="X313" s="218" t="s">
        <v>20</v>
      </c>
      <c r="Y313" s="219" t="str">
        <f t="shared" si="107"/>
        <v>0 um/Dia</v>
      </c>
      <c r="Z313" s="220" t="str">
        <f t="shared" si="108"/>
        <v xml:space="preserve"> um / HH</v>
      </c>
      <c r="AA313" s="221" t="str">
        <f t="shared" si="109"/>
        <v/>
      </c>
      <c r="AB313" s="222" t="str">
        <f t="shared" si="110"/>
        <v>0 um /HH</v>
      </c>
      <c r="AC313" s="223">
        <f t="shared" si="111"/>
        <v>0</v>
      </c>
      <c r="AD313" s="224"/>
      <c r="AE313" s="225"/>
      <c r="AF313" s="226">
        <f t="shared" si="112"/>
        <v>0</v>
      </c>
      <c r="AG313" s="227">
        <f t="shared" si="113"/>
        <v>0</v>
      </c>
      <c r="AH313" s="228" t="s">
        <v>25</v>
      </c>
      <c r="AI313" s="229" t="str">
        <f t="shared" si="79"/>
        <v>Extremamente Complexa</v>
      </c>
      <c r="AJ313" s="230" t="str">
        <f t="shared" si="80"/>
        <v>Normal</v>
      </c>
      <c r="AK313" s="231">
        <f t="shared" si="114"/>
        <v>0</v>
      </c>
      <c r="AL313" s="232" t="str">
        <f t="shared" si="115"/>
        <v/>
      </c>
      <c r="AM313" s="233" t="str">
        <f t="shared" si="116"/>
        <v/>
      </c>
      <c r="AN313" s="233" t="str">
        <f t="shared" si="117"/>
        <v/>
      </c>
      <c r="AO313" s="234">
        <f t="shared" si="118"/>
        <v>0</v>
      </c>
      <c r="AP313" s="235">
        <f t="shared" si="102"/>
        <v>1</v>
      </c>
      <c r="AQ313" s="235">
        <f t="shared" si="102"/>
        <v>1</v>
      </c>
      <c r="AR313" s="236">
        <f t="shared" si="119"/>
        <v>1</v>
      </c>
      <c r="AS313" s="251">
        <f t="shared" si="120"/>
        <v>0</v>
      </c>
      <c r="AT313" s="238">
        <f t="shared" si="121"/>
        <v>0</v>
      </c>
      <c r="AU313" s="239">
        <f t="shared" si="122"/>
        <v>0</v>
      </c>
      <c r="AV313" s="239">
        <f t="shared" si="123"/>
        <v>0</v>
      </c>
      <c r="AW313" s="239">
        <f t="shared" si="124"/>
        <v>0.05</v>
      </c>
      <c r="AX313" s="240">
        <f t="shared" si="125"/>
        <v>0</v>
      </c>
      <c r="AY313" s="241" t="str">
        <f t="shared" si="126"/>
        <v/>
      </c>
      <c r="AZ313" s="242" t="str">
        <f>IFERROR(VLOOKUP(M313,'[1]Base Brasil Obras'!$C$2:$F$485,4,0),"")</f>
        <v/>
      </c>
      <c r="BA313" s="243">
        <f t="shared" si="127"/>
        <v>0</v>
      </c>
      <c r="BB313" s="244">
        <f t="shared" si="128"/>
        <v>0</v>
      </c>
      <c r="BC313" s="244">
        <f t="shared" si="129"/>
        <v>0.05</v>
      </c>
      <c r="BD313" s="245">
        <f t="shared" si="130"/>
        <v>0.95</v>
      </c>
      <c r="BE313" s="246">
        <f t="shared" si="131"/>
        <v>0</v>
      </c>
      <c r="BF313" s="247">
        <v>0</v>
      </c>
      <c r="BG313" s="248">
        <f t="shared" si="132"/>
        <v>1</v>
      </c>
      <c r="BH313" s="198"/>
      <c r="BI313" s="198"/>
      <c r="BJ313" s="199"/>
      <c r="BK313" s="200"/>
      <c r="BL313" s="200"/>
      <c r="BM313" s="200"/>
      <c r="BN313" s="200"/>
      <c r="BO313" s="10"/>
    </row>
    <row r="314" spans="1:67" ht="18" x14ac:dyDescent="0.25">
      <c r="A314" s="201">
        <v>206</v>
      </c>
      <c r="B314" s="286"/>
      <c r="C314" s="203">
        <f t="shared" si="103"/>
        <v>0</v>
      </c>
      <c r="D314" s="204"/>
      <c r="E314" s="204"/>
      <c r="F314" s="207"/>
      <c r="G314" s="206"/>
      <c r="H314" s="207"/>
      <c r="I314" s="208" t="s">
        <v>125</v>
      </c>
      <c r="J314" s="208" t="s">
        <v>126</v>
      </c>
      <c r="K314" s="287"/>
      <c r="L314" s="288"/>
      <c r="M314" s="289"/>
      <c r="N314" s="257"/>
      <c r="O314" s="213"/>
      <c r="P314" s="214"/>
      <c r="Q314" s="214"/>
      <c r="R314" s="214"/>
      <c r="S314" s="214"/>
      <c r="T314" s="214"/>
      <c r="U314" s="215">
        <f t="shared" si="104"/>
        <v>0</v>
      </c>
      <c r="V314" s="216" t="str">
        <f t="shared" si="105"/>
        <v/>
      </c>
      <c r="W314" s="217" t="str">
        <f t="shared" si="106"/>
        <v/>
      </c>
      <c r="X314" s="218" t="s">
        <v>20</v>
      </c>
      <c r="Y314" s="219" t="str">
        <f t="shared" si="107"/>
        <v>0 um/Dia</v>
      </c>
      <c r="Z314" s="220" t="str">
        <f t="shared" si="108"/>
        <v xml:space="preserve"> um / HH</v>
      </c>
      <c r="AA314" s="221" t="str">
        <f t="shared" si="109"/>
        <v/>
      </c>
      <c r="AB314" s="222" t="str">
        <f t="shared" si="110"/>
        <v>0 um /HH</v>
      </c>
      <c r="AC314" s="223">
        <f t="shared" si="111"/>
        <v>0</v>
      </c>
      <c r="AD314" s="224"/>
      <c r="AE314" s="225"/>
      <c r="AF314" s="226">
        <f t="shared" si="112"/>
        <v>0</v>
      </c>
      <c r="AG314" s="227">
        <f t="shared" si="113"/>
        <v>0</v>
      </c>
      <c r="AH314" s="228" t="s">
        <v>25</v>
      </c>
      <c r="AI314" s="229" t="str">
        <f t="shared" si="79"/>
        <v>Extremamente Complexa</v>
      </c>
      <c r="AJ314" s="230" t="str">
        <f t="shared" si="80"/>
        <v>Normal</v>
      </c>
      <c r="AK314" s="231">
        <f t="shared" si="114"/>
        <v>0</v>
      </c>
      <c r="AL314" s="232" t="str">
        <f t="shared" si="115"/>
        <v/>
      </c>
      <c r="AM314" s="233" t="str">
        <f t="shared" si="116"/>
        <v/>
      </c>
      <c r="AN314" s="233" t="str">
        <f t="shared" si="117"/>
        <v/>
      </c>
      <c r="AO314" s="234">
        <f t="shared" si="118"/>
        <v>0</v>
      </c>
      <c r="AP314" s="235">
        <f t="shared" si="102"/>
        <v>1</v>
      </c>
      <c r="AQ314" s="235">
        <f t="shared" si="102"/>
        <v>1</v>
      </c>
      <c r="AR314" s="235">
        <f t="shared" si="119"/>
        <v>1</v>
      </c>
      <c r="AS314" s="252">
        <f t="shared" si="120"/>
        <v>0</v>
      </c>
      <c r="AT314" s="238">
        <f t="shared" si="121"/>
        <v>0</v>
      </c>
      <c r="AU314" s="239">
        <f t="shared" si="122"/>
        <v>0</v>
      </c>
      <c r="AV314" s="239">
        <f t="shared" si="123"/>
        <v>0</v>
      </c>
      <c r="AW314" s="239">
        <f t="shared" si="124"/>
        <v>0.05</v>
      </c>
      <c r="AX314" s="240">
        <f t="shared" si="125"/>
        <v>0</v>
      </c>
      <c r="AY314" s="241" t="str">
        <f t="shared" si="126"/>
        <v/>
      </c>
      <c r="AZ314" s="242" t="str">
        <f>IFERROR(VLOOKUP(M314,'[1]Base Brasil Obras'!$C$2:$F$485,4,0),"")</f>
        <v/>
      </c>
      <c r="BA314" s="243">
        <f t="shared" si="127"/>
        <v>0</v>
      </c>
      <c r="BB314" s="244">
        <f t="shared" si="128"/>
        <v>0</v>
      </c>
      <c r="BC314" s="244">
        <f t="shared" si="129"/>
        <v>0.05</v>
      </c>
      <c r="BD314" s="245">
        <f t="shared" si="130"/>
        <v>0.95</v>
      </c>
      <c r="BE314" s="246">
        <f t="shared" si="131"/>
        <v>0</v>
      </c>
      <c r="BF314" s="247">
        <v>0</v>
      </c>
      <c r="BG314" s="248">
        <f t="shared" si="132"/>
        <v>1</v>
      </c>
      <c r="BH314" s="198"/>
      <c r="BI314" s="198"/>
      <c r="BJ314" s="199"/>
      <c r="BK314" s="200"/>
      <c r="BL314" s="200"/>
      <c r="BM314" s="200"/>
      <c r="BN314" s="200"/>
      <c r="BO314" s="10"/>
    </row>
    <row r="315" spans="1:67" ht="18" x14ac:dyDescent="0.25">
      <c r="A315" s="201">
        <v>207</v>
      </c>
      <c r="B315" s="286"/>
      <c r="C315" s="203">
        <f t="shared" si="103"/>
        <v>0</v>
      </c>
      <c r="D315" s="204"/>
      <c r="E315" s="204"/>
      <c r="F315" s="207"/>
      <c r="G315" s="206"/>
      <c r="H315" s="207"/>
      <c r="I315" s="208" t="s">
        <v>125</v>
      </c>
      <c r="J315" s="208" t="s">
        <v>126</v>
      </c>
      <c r="K315" s="287"/>
      <c r="L315" s="288"/>
      <c r="M315" s="289"/>
      <c r="N315" s="257"/>
      <c r="O315" s="213"/>
      <c r="P315" s="214"/>
      <c r="Q315" s="214"/>
      <c r="R315" s="214"/>
      <c r="S315" s="214"/>
      <c r="T315" s="214"/>
      <c r="U315" s="215">
        <f t="shared" si="104"/>
        <v>0</v>
      </c>
      <c r="V315" s="216" t="str">
        <f t="shared" si="105"/>
        <v/>
      </c>
      <c r="W315" s="217" t="str">
        <f t="shared" si="106"/>
        <v/>
      </c>
      <c r="X315" s="218" t="s">
        <v>20</v>
      </c>
      <c r="Y315" s="219" t="str">
        <f t="shared" si="107"/>
        <v>0 um/Dia</v>
      </c>
      <c r="Z315" s="220" t="str">
        <f t="shared" si="108"/>
        <v xml:space="preserve"> um / HH</v>
      </c>
      <c r="AA315" s="221" t="str">
        <f t="shared" si="109"/>
        <v/>
      </c>
      <c r="AB315" s="222" t="str">
        <f t="shared" si="110"/>
        <v>0 um /HH</v>
      </c>
      <c r="AC315" s="223">
        <f t="shared" si="111"/>
        <v>0</v>
      </c>
      <c r="AD315" s="224"/>
      <c r="AE315" s="225"/>
      <c r="AF315" s="226">
        <f t="shared" si="112"/>
        <v>0</v>
      </c>
      <c r="AG315" s="227">
        <f t="shared" si="113"/>
        <v>0</v>
      </c>
      <c r="AH315" s="228" t="s">
        <v>25</v>
      </c>
      <c r="AI315" s="229" t="str">
        <f t="shared" si="79"/>
        <v>Extremamente Complexa</v>
      </c>
      <c r="AJ315" s="230" t="str">
        <f t="shared" si="80"/>
        <v>Normal</v>
      </c>
      <c r="AK315" s="231">
        <f t="shared" si="114"/>
        <v>0</v>
      </c>
      <c r="AL315" s="232" t="str">
        <f t="shared" si="115"/>
        <v/>
      </c>
      <c r="AM315" s="233" t="str">
        <f t="shared" si="116"/>
        <v/>
      </c>
      <c r="AN315" s="233" t="str">
        <f t="shared" si="117"/>
        <v/>
      </c>
      <c r="AO315" s="234">
        <f t="shared" si="118"/>
        <v>0</v>
      </c>
      <c r="AP315" s="235">
        <f t="shared" si="102"/>
        <v>1</v>
      </c>
      <c r="AQ315" s="235">
        <f t="shared" si="102"/>
        <v>1</v>
      </c>
      <c r="AR315" s="236">
        <f t="shared" si="119"/>
        <v>1</v>
      </c>
      <c r="AS315" s="251">
        <f t="shared" si="120"/>
        <v>0</v>
      </c>
      <c r="AT315" s="238">
        <f t="shared" si="121"/>
        <v>0</v>
      </c>
      <c r="AU315" s="239">
        <f t="shared" si="122"/>
        <v>0</v>
      </c>
      <c r="AV315" s="239">
        <f t="shared" si="123"/>
        <v>0</v>
      </c>
      <c r="AW315" s="239">
        <f t="shared" si="124"/>
        <v>0.05</v>
      </c>
      <c r="AX315" s="240">
        <f t="shared" si="125"/>
        <v>0</v>
      </c>
      <c r="AY315" s="241" t="str">
        <f t="shared" si="126"/>
        <v/>
      </c>
      <c r="AZ315" s="242" t="str">
        <f>IFERROR(VLOOKUP(M315,'[1]Base Brasil Obras'!$C$2:$F$485,4,0),"")</f>
        <v/>
      </c>
      <c r="BA315" s="243">
        <f t="shared" si="127"/>
        <v>0</v>
      </c>
      <c r="BB315" s="244">
        <f t="shared" si="128"/>
        <v>0</v>
      </c>
      <c r="BC315" s="244">
        <f t="shared" si="129"/>
        <v>0.05</v>
      </c>
      <c r="BD315" s="245">
        <f t="shared" si="130"/>
        <v>0.95</v>
      </c>
      <c r="BE315" s="246">
        <f t="shared" si="131"/>
        <v>0</v>
      </c>
      <c r="BF315" s="247">
        <v>0</v>
      </c>
      <c r="BG315" s="248">
        <f t="shared" si="132"/>
        <v>1</v>
      </c>
      <c r="BH315" s="198"/>
      <c r="BI315" s="198"/>
      <c r="BJ315" s="199"/>
      <c r="BK315" s="200"/>
      <c r="BL315" s="200"/>
      <c r="BM315" s="200"/>
      <c r="BN315" s="200"/>
      <c r="BO315" s="10"/>
    </row>
    <row r="316" spans="1:67" ht="18" x14ac:dyDescent="0.25">
      <c r="A316" s="201">
        <v>208</v>
      </c>
      <c r="B316" s="286"/>
      <c r="C316" s="203">
        <f t="shared" si="103"/>
        <v>0</v>
      </c>
      <c r="D316" s="204"/>
      <c r="E316" s="204"/>
      <c r="F316" s="207"/>
      <c r="G316" s="206"/>
      <c r="H316" s="207"/>
      <c r="I316" s="208" t="s">
        <v>125</v>
      </c>
      <c r="J316" s="208" t="s">
        <v>126</v>
      </c>
      <c r="K316" s="287"/>
      <c r="L316" s="288"/>
      <c r="M316" s="289"/>
      <c r="N316" s="257"/>
      <c r="O316" s="213"/>
      <c r="P316" s="214"/>
      <c r="Q316" s="214"/>
      <c r="R316" s="214"/>
      <c r="S316" s="214"/>
      <c r="T316" s="214"/>
      <c r="U316" s="215">
        <f t="shared" si="104"/>
        <v>0</v>
      </c>
      <c r="V316" s="216" t="str">
        <f t="shared" si="105"/>
        <v/>
      </c>
      <c r="W316" s="217" t="str">
        <f t="shared" si="106"/>
        <v/>
      </c>
      <c r="X316" s="218" t="s">
        <v>20</v>
      </c>
      <c r="Y316" s="219" t="str">
        <f t="shared" si="107"/>
        <v>0 um/Dia</v>
      </c>
      <c r="Z316" s="220" t="str">
        <f t="shared" si="108"/>
        <v xml:space="preserve"> um / HH</v>
      </c>
      <c r="AA316" s="221" t="str">
        <f t="shared" si="109"/>
        <v/>
      </c>
      <c r="AB316" s="222" t="str">
        <f t="shared" si="110"/>
        <v>0 um /HH</v>
      </c>
      <c r="AC316" s="223">
        <f t="shared" si="111"/>
        <v>0</v>
      </c>
      <c r="AD316" s="224"/>
      <c r="AE316" s="225"/>
      <c r="AF316" s="226">
        <f t="shared" si="112"/>
        <v>0</v>
      </c>
      <c r="AG316" s="227">
        <f t="shared" si="113"/>
        <v>0</v>
      </c>
      <c r="AH316" s="228" t="s">
        <v>25</v>
      </c>
      <c r="AI316" s="229" t="str">
        <f t="shared" si="79"/>
        <v>Extremamente Complexa</v>
      </c>
      <c r="AJ316" s="230" t="str">
        <f t="shared" si="80"/>
        <v>Normal</v>
      </c>
      <c r="AK316" s="231">
        <f t="shared" si="114"/>
        <v>0</v>
      </c>
      <c r="AL316" s="232" t="str">
        <f t="shared" si="115"/>
        <v/>
      </c>
      <c r="AM316" s="233" t="str">
        <f t="shared" si="116"/>
        <v/>
      </c>
      <c r="AN316" s="233" t="str">
        <f t="shared" si="117"/>
        <v/>
      </c>
      <c r="AO316" s="234">
        <f t="shared" si="118"/>
        <v>0</v>
      </c>
      <c r="AP316" s="235">
        <f t="shared" si="102"/>
        <v>1</v>
      </c>
      <c r="AQ316" s="235">
        <f t="shared" si="102"/>
        <v>1</v>
      </c>
      <c r="AR316" s="235">
        <f t="shared" si="119"/>
        <v>1</v>
      </c>
      <c r="AS316" s="252">
        <f t="shared" si="120"/>
        <v>0</v>
      </c>
      <c r="AT316" s="238">
        <f t="shared" si="121"/>
        <v>0</v>
      </c>
      <c r="AU316" s="239">
        <f t="shared" si="122"/>
        <v>0</v>
      </c>
      <c r="AV316" s="239">
        <f t="shared" si="123"/>
        <v>0</v>
      </c>
      <c r="AW316" s="239">
        <f t="shared" si="124"/>
        <v>0.05</v>
      </c>
      <c r="AX316" s="240">
        <f t="shared" si="125"/>
        <v>0</v>
      </c>
      <c r="AY316" s="241" t="str">
        <f t="shared" si="126"/>
        <v/>
      </c>
      <c r="AZ316" s="242" t="str">
        <f>IFERROR(VLOOKUP(M316,'[1]Base Brasil Obras'!$C$2:$F$485,4,0),"")</f>
        <v/>
      </c>
      <c r="BA316" s="243">
        <f t="shared" si="127"/>
        <v>0</v>
      </c>
      <c r="BB316" s="244">
        <f t="shared" si="128"/>
        <v>0</v>
      </c>
      <c r="BC316" s="244">
        <f t="shared" si="129"/>
        <v>0.05</v>
      </c>
      <c r="BD316" s="245">
        <f t="shared" si="130"/>
        <v>0.95</v>
      </c>
      <c r="BE316" s="246">
        <f t="shared" si="131"/>
        <v>0</v>
      </c>
      <c r="BF316" s="247">
        <v>0</v>
      </c>
      <c r="BG316" s="248">
        <f t="shared" si="132"/>
        <v>1</v>
      </c>
      <c r="BH316" s="198"/>
      <c r="BI316" s="198"/>
      <c r="BJ316" s="199"/>
      <c r="BK316" s="200"/>
      <c r="BL316" s="200"/>
      <c r="BM316" s="200"/>
      <c r="BN316" s="200"/>
      <c r="BO316" s="10"/>
    </row>
    <row r="317" spans="1:67" ht="18" customHeight="1" x14ac:dyDescent="0.25">
      <c r="A317" s="201">
        <v>209</v>
      </c>
      <c r="B317" s="286"/>
      <c r="C317" s="203">
        <f t="shared" si="103"/>
        <v>0</v>
      </c>
      <c r="D317" s="204"/>
      <c r="E317" s="204"/>
      <c r="F317" s="207"/>
      <c r="G317" s="206"/>
      <c r="H317" s="207"/>
      <c r="I317" s="208" t="s">
        <v>125</v>
      </c>
      <c r="J317" s="208" t="s">
        <v>126</v>
      </c>
      <c r="K317" s="287"/>
      <c r="L317" s="288"/>
      <c r="M317" s="289"/>
      <c r="N317" s="257"/>
      <c r="O317" s="213"/>
      <c r="P317" s="214"/>
      <c r="Q317" s="214"/>
      <c r="R317" s="214"/>
      <c r="S317" s="214"/>
      <c r="T317" s="214"/>
      <c r="U317" s="215">
        <f t="shared" si="104"/>
        <v>0</v>
      </c>
      <c r="V317" s="216" t="str">
        <f t="shared" si="105"/>
        <v/>
      </c>
      <c r="W317" s="217" t="str">
        <f t="shared" si="106"/>
        <v/>
      </c>
      <c r="X317" s="218" t="s">
        <v>20</v>
      </c>
      <c r="Y317" s="219" t="str">
        <f t="shared" si="107"/>
        <v>0 um/Dia</v>
      </c>
      <c r="Z317" s="220" t="str">
        <f t="shared" si="108"/>
        <v xml:space="preserve"> um / HH</v>
      </c>
      <c r="AA317" s="221" t="str">
        <f t="shared" si="109"/>
        <v/>
      </c>
      <c r="AB317" s="222" t="str">
        <f t="shared" si="110"/>
        <v>0 um /HH</v>
      </c>
      <c r="AC317" s="223">
        <f t="shared" si="111"/>
        <v>0</v>
      </c>
      <c r="AD317" s="224"/>
      <c r="AE317" s="225"/>
      <c r="AF317" s="226">
        <f t="shared" si="112"/>
        <v>0</v>
      </c>
      <c r="AG317" s="227">
        <f t="shared" si="113"/>
        <v>0</v>
      </c>
      <c r="AH317" s="228" t="s">
        <v>25</v>
      </c>
      <c r="AI317" s="229" t="str">
        <f t="shared" si="79"/>
        <v>Extremamente Complexa</v>
      </c>
      <c r="AJ317" s="230" t="str">
        <f t="shared" si="80"/>
        <v>Normal</v>
      </c>
      <c r="AK317" s="231">
        <f t="shared" si="114"/>
        <v>0</v>
      </c>
      <c r="AL317" s="232" t="str">
        <f t="shared" si="115"/>
        <v/>
      </c>
      <c r="AM317" s="233" t="str">
        <f t="shared" si="116"/>
        <v/>
      </c>
      <c r="AN317" s="233" t="str">
        <f t="shared" si="117"/>
        <v/>
      </c>
      <c r="AO317" s="234">
        <f t="shared" si="118"/>
        <v>0</v>
      </c>
      <c r="AP317" s="235">
        <f t="shared" si="102"/>
        <v>1</v>
      </c>
      <c r="AQ317" s="235">
        <f t="shared" si="102"/>
        <v>1</v>
      </c>
      <c r="AR317" s="236">
        <f t="shared" si="119"/>
        <v>1</v>
      </c>
      <c r="AS317" s="251">
        <f t="shared" si="120"/>
        <v>0</v>
      </c>
      <c r="AT317" s="238">
        <f t="shared" si="121"/>
        <v>0</v>
      </c>
      <c r="AU317" s="239">
        <f t="shared" si="122"/>
        <v>0</v>
      </c>
      <c r="AV317" s="239">
        <f t="shared" si="123"/>
        <v>0</v>
      </c>
      <c r="AW317" s="239">
        <f t="shared" si="124"/>
        <v>0.05</v>
      </c>
      <c r="AX317" s="240">
        <f t="shared" si="125"/>
        <v>0</v>
      </c>
      <c r="AY317" s="241" t="str">
        <f t="shared" si="126"/>
        <v/>
      </c>
      <c r="AZ317" s="242" t="str">
        <f>IFERROR(VLOOKUP(M317,'[1]Base Brasil Obras'!$C$2:$F$485,4,0),"")</f>
        <v/>
      </c>
      <c r="BA317" s="243">
        <f t="shared" si="127"/>
        <v>0</v>
      </c>
      <c r="BB317" s="244">
        <f t="shared" si="128"/>
        <v>0</v>
      </c>
      <c r="BC317" s="244">
        <f t="shared" si="129"/>
        <v>0.05</v>
      </c>
      <c r="BD317" s="245">
        <f t="shared" si="130"/>
        <v>0.95</v>
      </c>
      <c r="BE317" s="246">
        <f t="shared" si="131"/>
        <v>0</v>
      </c>
      <c r="BF317" s="247">
        <v>0</v>
      </c>
      <c r="BG317" s="248">
        <f t="shared" si="132"/>
        <v>1</v>
      </c>
      <c r="BH317" s="198"/>
      <c r="BI317" s="198"/>
      <c r="BJ317" s="199"/>
      <c r="BK317" s="200"/>
      <c r="BL317" s="200"/>
      <c r="BM317" s="200"/>
      <c r="BN317" s="200"/>
      <c r="BO317" s="10"/>
    </row>
    <row r="318" spans="1:67" ht="18" x14ac:dyDescent="0.25">
      <c r="A318" s="201">
        <v>210</v>
      </c>
      <c r="B318" s="286"/>
      <c r="C318" s="203">
        <f t="shared" si="103"/>
        <v>0</v>
      </c>
      <c r="D318" s="204"/>
      <c r="E318" s="204"/>
      <c r="F318" s="207"/>
      <c r="G318" s="206"/>
      <c r="H318" s="207"/>
      <c r="I318" s="208" t="s">
        <v>125</v>
      </c>
      <c r="J318" s="208" t="s">
        <v>126</v>
      </c>
      <c r="K318" s="287"/>
      <c r="L318" s="288"/>
      <c r="M318" s="289"/>
      <c r="N318" s="257"/>
      <c r="O318" s="213"/>
      <c r="P318" s="214"/>
      <c r="Q318" s="214"/>
      <c r="R318" s="214"/>
      <c r="S318" s="214"/>
      <c r="T318" s="214"/>
      <c r="U318" s="215">
        <f t="shared" si="104"/>
        <v>0</v>
      </c>
      <c r="V318" s="216" t="str">
        <f t="shared" si="105"/>
        <v/>
      </c>
      <c r="W318" s="217" t="str">
        <f t="shared" si="106"/>
        <v/>
      </c>
      <c r="X318" s="218" t="s">
        <v>20</v>
      </c>
      <c r="Y318" s="219" t="str">
        <f t="shared" si="107"/>
        <v>0 um/Dia</v>
      </c>
      <c r="Z318" s="220" t="str">
        <f t="shared" si="108"/>
        <v xml:space="preserve"> um / HH</v>
      </c>
      <c r="AA318" s="221" t="str">
        <f t="shared" si="109"/>
        <v/>
      </c>
      <c r="AB318" s="222" t="str">
        <f t="shared" si="110"/>
        <v>0 um /HH</v>
      </c>
      <c r="AC318" s="223">
        <f t="shared" si="111"/>
        <v>0</v>
      </c>
      <c r="AD318" s="224"/>
      <c r="AE318" s="225"/>
      <c r="AF318" s="226">
        <f t="shared" si="112"/>
        <v>0</v>
      </c>
      <c r="AG318" s="227">
        <f t="shared" si="113"/>
        <v>0</v>
      </c>
      <c r="AH318" s="228" t="s">
        <v>25</v>
      </c>
      <c r="AI318" s="229" t="str">
        <f t="shared" si="79"/>
        <v>Extremamente Complexa</v>
      </c>
      <c r="AJ318" s="230" t="str">
        <f t="shared" si="80"/>
        <v>Normal</v>
      </c>
      <c r="AK318" s="231">
        <f t="shared" si="114"/>
        <v>0</v>
      </c>
      <c r="AL318" s="232" t="str">
        <f t="shared" si="115"/>
        <v/>
      </c>
      <c r="AM318" s="233" t="str">
        <f t="shared" si="116"/>
        <v/>
      </c>
      <c r="AN318" s="233" t="str">
        <f t="shared" si="117"/>
        <v/>
      </c>
      <c r="AO318" s="234">
        <f t="shared" si="118"/>
        <v>0</v>
      </c>
      <c r="AP318" s="235">
        <f t="shared" ref="AP318:AQ348" si="133">IFERROR(VLOOKUP(I318,$J$1070:$K$1089,2,1),0)</f>
        <v>1</v>
      </c>
      <c r="AQ318" s="235">
        <f t="shared" si="133"/>
        <v>1</v>
      </c>
      <c r="AR318" s="236">
        <f t="shared" si="119"/>
        <v>1</v>
      </c>
      <c r="AS318" s="251">
        <f t="shared" si="120"/>
        <v>0</v>
      </c>
      <c r="AT318" s="238">
        <f t="shared" si="121"/>
        <v>0</v>
      </c>
      <c r="AU318" s="239">
        <f t="shared" si="122"/>
        <v>0</v>
      </c>
      <c r="AV318" s="239">
        <f t="shared" si="123"/>
        <v>0</v>
      </c>
      <c r="AW318" s="239">
        <f t="shared" si="124"/>
        <v>0.05</v>
      </c>
      <c r="AX318" s="240">
        <f t="shared" si="125"/>
        <v>0</v>
      </c>
      <c r="AY318" s="241" t="str">
        <f t="shared" si="126"/>
        <v/>
      </c>
      <c r="AZ318" s="242" t="str">
        <f>IFERROR(VLOOKUP(M318,'[1]Base Brasil Obras'!$C$2:$F$485,4,0),"")</f>
        <v/>
      </c>
      <c r="BA318" s="243">
        <f t="shared" si="127"/>
        <v>0</v>
      </c>
      <c r="BB318" s="244">
        <f t="shared" si="128"/>
        <v>0</v>
      </c>
      <c r="BC318" s="244">
        <f t="shared" si="129"/>
        <v>0.05</v>
      </c>
      <c r="BD318" s="245">
        <f t="shared" si="130"/>
        <v>0.95</v>
      </c>
      <c r="BE318" s="246">
        <f t="shared" si="131"/>
        <v>0</v>
      </c>
      <c r="BF318" s="247">
        <v>0</v>
      </c>
      <c r="BG318" s="248">
        <f t="shared" si="132"/>
        <v>1</v>
      </c>
      <c r="BH318" s="198"/>
      <c r="BI318" s="198"/>
      <c r="BJ318" s="199"/>
      <c r="BK318" s="200"/>
      <c r="BL318" s="200"/>
      <c r="BM318" s="200"/>
      <c r="BN318" s="200"/>
      <c r="BO318" s="10"/>
    </row>
    <row r="319" spans="1:67" ht="18" x14ac:dyDescent="0.25">
      <c r="A319" s="201">
        <v>211</v>
      </c>
      <c r="B319" s="286"/>
      <c r="C319" s="203">
        <f t="shared" si="103"/>
        <v>0</v>
      </c>
      <c r="D319" s="204"/>
      <c r="E319" s="204"/>
      <c r="F319" s="207"/>
      <c r="G319" s="206"/>
      <c r="H319" s="207"/>
      <c r="I319" s="208" t="s">
        <v>125</v>
      </c>
      <c r="J319" s="208" t="s">
        <v>126</v>
      </c>
      <c r="K319" s="287"/>
      <c r="L319" s="288"/>
      <c r="M319" s="289"/>
      <c r="N319" s="257"/>
      <c r="O319" s="213"/>
      <c r="P319" s="214"/>
      <c r="Q319" s="214"/>
      <c r="R319" s="214"/>
      <c r="S319" s="214"/>
      <c r="T319" s="214"/>
      <c r="U319" s="215">
        <f t="shared" si="104"/>
        <v>0</v>
      </c>
      <c r="V319" s="216" t="str">
        <f t="shared" si="105"/>
        <v/>
      </c>
      <c r="W319" s="217" t="str">
        <f t="shared" si="106"/>
        <v/>
      </c>
      <c r="X319" s="218" t="s">
        <v>20</v>
      </c>
      <c r="Y319" s="219" t="str">
        <f t="shared" si="107"/>
        <v>0 um/Dia</v>
      </c>
      <c r="Z319" s="220" t="str">
        <f t="shared" si="108"/>
        <v xml:space="preserve"> um / HH</v>
      </c>
      <c r="AA319" s="221" t="str">
        <f t="shared" si="109"/>
        <v/>
      </c>
      <c r="AB319" s="222" t="str">
        <f t="shared" si="110"/>
        <v>0 um /HH</v>
      </c>
      <c r="AC319" s="223">
        <f t="shared" si="111"/>
        <v>0</v>
      </c>
      <c r="AD319" s="224"/>
      <c r="AE319" s="225"/>
      <c r="AF319" s="226">
        <f t="shared" si="112"/>
        <v>0</v>
      </c>
      <c r="AG319" s="227">
        <f t="shared" si="113"/>
        <v>0</v>
      </c>
      <c r="AH319" s="228" t="s">
        <v>25</v>
      </c>
      <c r="AI319" s="229" t="str">
        <f t="shared" si="79"/>
        <v>Extremamente Complexa</v>
      </c>
      <c r="AJ319" s="230" t="str">
        <f t="shared" si="80"/>
        <v>Normal</v>
      </c>
      <c r="AK319" s="231">
        <f t="shared" si="114"/>
        <v>0</v>
      </c>
      <c r="AL319" s="232" t="str">
        <f t="shared" si="115"/>
        <v/>
      </c>
      <c r="AM319" s="233" t="str">
        <f t="shared" si="116"/>
        <v/>
      </c>
      <c r="AN319" s="233" t="str">
        <f t="shared" si="117"/>
        <v/>
      </c>
      <c r="AO319" s="234">
        <f t="shared" si="118"/>
        <v>0</v>
      </c>
      <c r="AP319" s="235">
        <f t="shared" si="133"/>
        <v>1</v>
      </c>
      <c r="AQ319" s="235">
        <f t="shared" si="133"/>
        <v>1</v>
      </c>
      <c r="AR319" s="235">
        <f t="shared" si="119"/>
        <v>1</v>
      </c>
      <c r="AS319" s="252">
        <f t="shared" si="120"/>
        <v>0</v>
      </c>
      <c r="AT319" s="238">
        <f t="shared" si="121"/>
        <v>0</v>
      </c>
      <c r="AU319" s="239">
        <f t="shared" si="122"/>
        <v>0</v>
      </c>
      <c r="AV319" s="239">
        <f t="shared" si="123"/>
        <v>0</v>
      </c>
      <c r="AW319" s="239">
        <f t="shared" si="124"/>
        <v>0.05</v>
      </c>
      <c r="AX319" s="240">
        <f t="shared" si="125"/>
        <v>0</v>
      </c>
      <c r="AY319" s="241" t="str">
        <f t="shared" si="126"/>
        <v/>
      </c>
      <c r="AZ319" s="242" t="str">
        <f>IFERROR(VLOOKUP(M319,'[1]Base Brasil Obras'!$C$2:$F$485,4,0),"")</f>
        <v/>
      </c>
      <c r="BA319" s="243">
        <f t="shared" si="127"/>
        <v>0</v>
      </c>
      <c r="BB319" s="244">
        <f t="shared" si="128"/>
        <v>0</v>
      </c>
      <c r="BC319" s="244">
        <f t="shared" si="129"/>
        <v>0.05</v>
      </c>
      <c r="BD319" s="245">
        <f t="shared" si="130"/>
        <v>0.95</v>
      </c>
      <c r="BE319" s="246">
        <f t="shared" si="131"/>
        <v>0</v>
      </c>
      <c r="BF319" s="247">
        <v>0</v>
      </c>
      <c r="BG319" s="248">
        <f t="shared" si="132"/>
        <v>1</v>
      </c>
      <c r="BH319" s="198"/>
      <c r="BI319" s="198"/>
      <c r="BJ319" s="199"/>
      <c r="BK319" s="200"/>
      <c r="BL319" s="200"/>
      <c r="BM319" s="200"/>
      <c r="BN319" s="200"/>
      <c r="BO319" s="10"/>
    </row>
    <row r="320" spans="1:67" ht="18" x14ac:dyDescent="0.25">
      <c r="A320" s="201">
        <v>212</v>
      </c>
      <c r="B320" s="286"/>
      <c r="C320" s="203">
        <f t="shared" si="103"/>
        <v>0</v>
      </c>
      <c r="D320" s="204"/>
      <c r="E320" s="204"/>
      <c r="F320" s="207"/>
      <c r="G320" s="206"/>
      <c r="H320" s="207"/>
      <c r="I320" s="208" t="s">
        <v>125</v>
      </c>
      <c r="J320" s="208" t="s">
        <v>126</v>
      </c>
      <c r="K320" s="287"/>
      <c r="L320" s="288"/>
      <c r="M320" s="289"/>
      <c r="N320" s="257"/>
      <c r="O320" s="213"/>
      <c r="P320" s="214"/>
      <c r="Q320" s="214"/>
      <c r="R320" s="214"/>
      <c r="S320" s="214"/>
      <c r="T320" s="214"/>
      <c r="U320" s="215">
        <f t="shared" si="104"/>
        <v>0</v>
      </c>
      <c r="V320" s="216" t="str">
        <f t="shared" si="105"/>
        <v/>
      </c>
      <c r="W320" s="217" t="str">
        <f t="shared" si="106"/>
        <v/>
      </c>
      <c r="X320" s="218" t="s">
        <v>20</v>
      </c>
      <c r="Y320" s="219" t="str">
        <f t="shared" si="107"/>
        <v>0 um/Dia</v>
      </c>
      <c r="Z320" s="220" t="str">
        <f t="shared" si="108"/>
        <v xml:space="preserve"> um / HH</v>
      </c>
      <c r="AA320" s="221" t="str">
        <f t="shared" si="109"/>
        <v/>
      </c>
      <c r="AB320" s="222" t="str">
        <f t="shared" si="110"/>
        <v>0 um /HH</v>
      </c>
      <c r="AC320" s="223">
        <f t="shared" si="111"/>
        <v>0</v>
      </c>
      <c r="AD320" s="224"/>
      <c r="AE320" s="225"/>
      <c r="AF320" s="226">
        <f t="shared" si="112"/>
        <v>0</v>
      </c>
      <c r="AG320" s="227">
        <f t="shared" si="113"/>
        <v>0</v>
      </c>
      <c r="AH320" s="228" t="s">
        <v>25</v>
      </c>
      <c r="AI320" s="229" t="str">
        <f t="shared" si="79"/>
        <v>Extremamente Complexa</v>
      </c>
      <c r="AJ320" s="230" t="str">
        <f t="shared" si="80"/>
        <v>Normal</v>
      </c>
      <c r="AK320" s="231">
        <f t="shared" si="114"/>
        <v>0</v>
      </c>
      <c r="AL320" s="232" t="str">
        <f t="shared" si="115"/>
        <v/>
      </c>
      <c r="AM320" s="233" t="str">
        <f t="shared" si="116"/>
        <v/>
      </c>
      <c r="AN320" s="233" t="str">
        <f t="shared" si="117"/>
        <v/>
      </c>
      <c r="AO320" s="234">
        <f t="shared" si="118"/>
        <v>0</v>
      </c>
      <c r="AP320" s="235">
        <f t="shared" si="133"/>
        <v>1</v>
      </c>
      <c r="AQ320" s="235">
        <f t="shared" si="133"/>
        <v>1</v>
      </c>
      <c r="AR320" s="236">
        <f t="shared" si="119"/>
        <v>1</v>
      </c>
      <c r="AS320" s="251">
        <f t="shared" si="120"/>
        <v>0</v>
      </c>
      <c r="AT320" s="238">
        <f t="shared" si="121"/>
        <v>0</v>
      </c>
      <c r="AU320" s="239">
        <f t="shared" si="122"/>
        <v>0</v>
      </c>
      <c r="AV320" s="239">
        <f t="shared" si="123"/>
        <v>0</v>
      </c>
      <c r="AW320" s="239">
        <f t="shared" si="124"/>
        <v>0.05</v>
      </c>
      <c r="AX320" s="240">
        <f t="shared" si="125"/>
        <v>0</v>
      </c>
      <c r="AY320" s="241" t="str">
        <f t="shared" si="126"/>
        <v/>
      </c>
      <c r="AZ320" s="242" t="str">
        <f>IFERROR(VLOOKUP(M320,'[1]Base Brasil Obras'!$C$2:$F$485,4,0),"")</f>
        <v/>
      </c>
      <c r="BA320" s="243">
        <f t="shared" si="127"/>
        <v>0</v>
      </c>
      <c r="BB320" s="244">
        <f t="shared" si="128"/>
        <v>0</v>
      </c>
      <c r="BC320" s="244">
        <f t="shared" si="129"/>
        <v>0.05</v>
      </c>
      <c r="BD320" s="245">
        <f t="shared" si="130"/>
        <v>0.95</v>
      </c>
      <c r="BE320" s="246">
        <f t="shared" si="131"/>
        <v>0</v>
      </c>
      <c r="BF320" s="247">
        <v>0</v>
      </c>
      <c r="BG320" s="248">
        <f t="shared" si="132"/>
        <v>1</v>
      </c>
      <c r="BH320" s="198"/>
      <c r="BI320" s="198"/>
      <c r="BJ320" s="199"/>
      <c r="BK320" s="200"/>
      <c r="BL320" s="200"/>
      <c r="BM320" s="200"/>
      <c r="BN320" s="200"/>
      <c r="BO320" s="10"/>
    </row>
    <row r="321" spans="1:67" ht="18" x14ac:dyDescent="0.25">
      <c r="A321" s="201">
        <v>213</v>
      </c>
      <c r="B321" s="286"/>
      <c r="C321" s="203">
        <f t="shared" si="103"/>
        <v>0</v>
      </c>
      <c r="D321" s="204"/>
      <c r="E321" s="204"/>
      <c r="F321" s="207"/>
      <c r="G321" s="206"/>
      <c r="H321" s="207"/>
      <c r="I321" s="208" t="s">
        <v>125</v>
      </c>
      <c r="J321" s="208" t="s">
        <v>126</v>
      </c>
      <c r="K321" s="287"/>
      <c r="L321" s="288"/>
      <c r="M321" s="289"/>
      <c r="N321" s="257"/>
      <c r="O321" s="213"/>
      <c r="P321" s="214"/>
      <c r="Q321" s="214"/>
      <c r="R321" s="214"/>
      <c r="S321" s="214"/>
      <c r="T321" s="214"/>
      <c r="U321" s="215">
        <f t="shared" si="104"/>
        <v>0</v>
      </c>
      <c r="V321" s="216" t="str">
        <f t="shared" si="105"/>
        <v/>
      </c>
      <c r="W321" s="217" t="str">
        <f t="shared" si="106"/>
        <v/>
      </c>
      <c r="X321" s="218" t="s">
        <v>20</v>
      </c>
      <c r="Y321" s="219" t="str">
        <f t="shared" si="107"/>
        <v>0 um/Dia</v>
      </c>
      <c r="Z321" s="220" t="str">
        <f t="shared" si="108"/>
        <v xml:space="preserve"> um / HH</v>
      </c>
      <c r="AA321" s="221" t="str">
        <f t="shared" si="109"/>
        <v/>
      </c>
      <c r="AB321" s="222" t="str">
        <f t="shared" si="110"/>
        <v>0 um /HH</v>
      </c>
      <c r="AC321" s="223">
        <f t="shared" si="111"/>
        <v>0</v>
      </c>
      <c r="AD321" s="224"/>
      <c r="AE321" s="225"/>
      <c r="AF321" s="226">
        <f t="shared" si="112"/>
        <v>0</v>
      </c>
      <c r="AG321" s="227">
        <f t="shared" si="113"/>
        <v>0</v>
      </c>
      <c r="AH321" s="228" t="s">
        <v>25</v>
      </c>
      <c r="AI321" s="229" t="str">
        <f t="shared" si="79"/>
        <v>Extremamente Complexa</v>
      </c>
      <c r="AJ321" s="230" t="str">
        <f t="shared" si="80"/>
        <v>Normal</v>
      </c>
      <c r="AK321" s="231">
        <f t="shared" si="114"/>
        <v>0</v>
      </c>
      <c r="AL321" s="232" t="str">
        <f t="shared" si="115"/>
        <v/>
      </c>
      <c r="AM321" s="233" t="str">
        <f t="shared" si="116"/>
        <v/>
      </c>
      <c r="AN321" s="233" t="str">
        <f t="shared" si="117"/>
        <v/>
      </c>
      <c r="AO321" s="234">
        <f t="shared" si="118"/>
        <v>0</v>
      </c>
      <c r="AP321" s="235">
        <f t="shared" si="133"/>
        <v>1</v>
      </c>
      <c r="AQ321" s="235">
        <f t="shared" si="133"/>
        <v>1</v>
      </c>
      <c r="AR321" s="235">
        <f t="shared" si="119"/>
        <v>1</v>
      </c>
      <c r="AS321" s="252">
        <f t="shared" si="120"/>
        <v>0</v>
      </c>
      <c r="AT321" s="238">
        <f t="shared" si="121"/>
        <v>0</v>
      </c>
      <c r="AU321" s="239">
        <f t="shared" si="122"/>
        <v>0</v>
      </c>
      <c r="AV321" s="239">
        <f t="shared" si="123"/>
        <v>0</v>
      </c>
      <c r="AW321" s="239">
        <f t="shared" si="124"/>
        <v>0.05</v>
      </c>
      <c r="AX321" s="240">
        <f t="shared" si="125"/>
        <v>0</v>
      </c>
      <c r="AY321" s="241" t="str">
        <f t="shared" si="126"/>
        <v/>
      </c>
      <c r="AZ321" s="242" t="str">
        <f>IFERROR(VLOOKUP(M321,'[1]Base Brasil Obras'!$C$2:$F$485,4,0),"")</f>
        <v/>
      </c>
      <c r="BA321" s="243">
        <f t="shared" si="127"/>
        <v>0</v>
      </c>
      <c r="BB321" s="244">
        <f t="shared" si="128"/>
        <v>0</v>
      </c>
      <c r="BC321" s="244">
        <f t="shared" si="129"/>
        <v>0.05</v>
      </c>
      <c r="BD321" s="245">
        <f t="shared" si="130"/>
        <v>0.95</v>
      </c>
      <c r="BE321" s="246">
        <f t="shared" si="131"/>
        <v>0</v>
      </c>
      <c r="BF321" s="247">
        <v>0</v>
      </c>
      <c r="BG321" s="248">
        <f t="shared" si="132"/>
        <v>1</v>
      </c>
      <c r="BH321" s="198"/>
      <c r="BI321" s="198"/>
      <c r="BJ321" s="199"/>
      <c r="BK321" s="200"/>
      <c r="BL321" s="200"/>
      <c r="BM321" s="200"/>
      <c r="BN321" s="200"/>
      <c r="BO321" s="10"/>
    </row>
    <row r="322" spans="1:67" ht="18" x14ac:dyDescent="0.25">
      <c r="A322" s="201">
        <v>214</v>
      </c>
      <c r="B322" s="286"/>
      <c r="C322" s="203">
        <f t="shared" si="103"/>
        <v>0</v>
      </c>
      <c r="D322" s="204"/>
      <c r="E322" s="204"/>
      <c r="F322" s="207"/>
      <c r="G322" s="206"/>
      <c r="H322" s="207"/>
      <c r="I322" s="208" t="s">
        <v>125</v>
      </c>
      <c r="J322" s="208" t="s">
        <v>126</v>
      </c>
      <c r="K322" s="287"/>
      <c r="L322" s="288"/>
      <c r="M322" s="289"/>
      <c r="N322" s="257"/>
      <c r="O322" s="213"/>
      <c r="P322" s="214"/>
      <c r="Q322" s="214"/>
      <c r="R322" s="214"/>
      <c r="S322" s="214"/>
      <c r="T322" s="214"/>
      <c r="U322" s="215">
        <f t="shared" si="104"/>
        <v>0</v>
      </c>
      <c r="V322" s="216" t="str">
        <f t="shared" si="105"/>
        <v/>
      </c>
      <c r="W322" s="217" t="str">
        <f t="shared" si="106"/>
        <v/>
      </c>
      <c r="X322" s="218" t="s">
        <v>20</v>
      </c>
      <c r="Y322" s="219" t="str">
        <f t="shared" si="107"/>
        <v>0 um/Dia</v>
      </c>
      <c r="Z322" s="220" t="str">
        <f t="shared" si="108"/>
        <v xml:space="preserve"> um / HH</v>
      </c>
      <c r="AA322" s="221" t="str">
        <f t="shared" si="109"/>
        <v/>
      </c>
      <c r="AB322" s="222" t="str">
        <f t="shared" si="110"/>
        <v>0 um /HH</v>
      </c>
      <c r="AC322" s="223">
        <f t="shared" si="111"/>
        <v>0</v>
      </c>
      <c r="AD322" s="224"/>
      <c r="AE322" s="225"/>
      <c r="AF322" s="226">
        <f t="shared" si="112"/>
        <v>0</v>
      </c>
      <c r="AG322" s="227">
        <f t="shared" si="113"/>
        <v>0</v>
      </c>
      <c r="AH322" s="228" t="s">
        <v>25</v>
      </c>
      <c r="AI322" s="229" t="str">
        <f t="shared" si="79"/>
        <v>Extremamente Complexa</v>
      </c>
      <c r="AJ322" s="230" t="str">
        <f t="shared" si="80"/>
        <v>Normal</v>
      </c>
      <c r="AK322" s="231">
        <f t="shared" si="114"/>
        <v>0</v>
      </c>
      <c r="AL322" s="232" t="str">
        <f t="shared" si="115"/>
        <v/>
      </c>
      <c r="AM322" s="233" t="str">
        <f t="shared" si="116"/>
        <v/>
      </c>
      <c r="AN322" s="233" t="str">
        <f t="shared" si="117"/>
        <v/>
      </c>
      <c r="AO322" s="234">
        <f t="shared" si="118"/>
        <v>0</v>
      </c>
      <c r="AP322" s="235">
        <f t="shared" si="133"/>
        <v>1</v>
      </c>
      <c r="AQ322" s="235">
        <f t="shared" si="133"/>
        <v>1</v>
      </c>
      <c r="AR322" s="236">
        <f t="shared" si="119"/>
        <v>1</v>
      </c>
      <c r="AS322" s="251">
        <f t="shared" si="120"/>
        <v>0</v>
      </c>
      <c r="AT322" s="238">
        <f t="shared" si="121"/>
        <v>0</v>
      </c>
      <c r="AU322" s="239">
        <f t="shared" si="122"/>
        <v>0</v>
      </c>
      <c r="AV322" s="239">
        <f t="shared" si="123"/>
        <v>0</v>
      </c>
      <c r="AW322" s="239">
        <f t="shared" si="124"/>
        <v>0.05</v>
      </c>
      <c r="AX322" s="240">
        <f t="shared" si="125"/>
        <v>0</v>
      </c>
      <c r="AY322" s="241" t="str">
        <f t="shared" si="126"/>
        <v/>
      </c>
      <c r="AZ322" s="242" t="str">
        <f>IFERROR(VLOOKUP(M322,'[1]Base Brasil Obras'!$C$2:$F$485,4,0),"")</f>
        <v/>
      </c>
      <c r="BA322" s="243">
        <f t="shared" si="127"/>
        <v>0</v>
      </c>
      <c r="BB322" s="244">
        <f t="shared" si="128"/>
        <v>0</v>
      </c>
      <c r="BC322" s="244">
        <f t="shared" si="129"/>
        <v>0.05</v>
      </c>
      <c r="BD322" s="245">
        <f t="shared" si="130"/>
        <v>0.95</v>
      </c>
      <c r="BE322" s="246">
        <f t="shared" si="131"/>
        <v>0</v>
      </c>
      <c r="BF322" s="247">
        <v>0</v>
      </c>
      <c r="BG322" s="248">
        <f t="shared" si="132"/>
        <v>1</v>
      </c>
      <c r="BH322" s="198"/>
      <c r="BI322" s="198"/>
      <c r="BJ322" s="199"/>
      <c r="BK322" s="200"/>
      <c r="BL322" s="200"/>
      <c r="BM322" s="200"/>
      <c r="BN322" s="200"/>
      <c r="BO322" s="10"/>
    </row>
    <row r="323" spans="1:67" ht="18" x14ac:dyDescent="0.25">
      <c r="A323" s="201">
        <v>215</v>
      </c>
      <c r="B323" s="286"/>
      <c r="C323" s="203">
        <f t="shared" si="103"/>
        <v>0</v>
      </c>
      <c r="D323" s="204"/>
      <c r="E323" s="204"/>
      <c r="F323" s="207"/>
      <c r="G323" s="206"/>
      <c r="H323" s="207"/>
      <c r="I323" s="208" t="s">
        <v>125</v>
      </c>
      <c r="J323" s="208" t="s">
        <v>126</v>
      </c>
      <c r="K323" s="287"/>
      <c r="L323" s="288"/>
      <c r="M323" s="289"/>
      <c r="N323" s="257"/>
      <c r="O323" s="213"/>
      <c r="P323" s="214"/>
      <c r="Q323" s="214"/>
      <c r="R323" s="214"/>
      <c r="S323" s="214"/>
      <c r="T323" s="214"/>
      <c r="U323" s="215">
        <f t="shared" si="104"/>
        <v>0</v>
      </c>
      <c r="V323" s="216" t="str">
        <f t="shared" si="105"/>
        <v/>
      </c>
      <c r="W323" s="217" t="str">
        <f t="shared" si="106"/>
        <v/>
      </c>
      <c r="X323" s="218" t="s">
        <v>20</v>
      </c>
      <c r="Y323" s="219" t="str">
        <f t="shared" si="107"/>
        <v>0 um/Dia</v>
      </c>
      <c r="Z323" s="220" t="str">
        <f t="shared" si="108"/>
        <v xml:space="preserve"> um / HH</v>
      </c>
      <c r="AA323" s="221" t="str">
        <f t="shared" si="109"/>
        <v/>
      </c>
      <c r="AB323" s="222" t="str">
        <f t="shared" si="110"/>
        <v>0 um /HH</v>
      </c>
      <c r="AC323" s="223">
        <f t="shared" si="111"/>
        <v>0</v>
      </c>
      <c r="AD323" s="224"/>
      <c r="AE323" s="225"/>
      <c r="AF323" s="226">
        <f t="shared" si="112"/>
        <v>0</v>
      </c>
      <c r="AG323" s="227">
        <f t="shared" si="113"/>
        <v>0</v>
      </c>
      <c r="AH323" s="228" t="s">
        <v>25</v>
      </c>
      <c r="AI323" s="229" t="str">
        <f t="shared" si="79"/>
        <v>Extremamente Complexa</v>
      </c>
      <c r="AJ323" s="230" t="str">
        <f t="shared" si="80"/>
        <v>Normal</v>
      </c>
      <c r="AK323" s="231">
        <f t="shared" si="114"/>
        <v>0</v>
      </c>
      <c r="AL323" s="232" t="str">
        <f t="shared" si="115"/>
        <v/>
      </c>
      <c r="AM323" s="233" t="str">
        <f t="shared" si="116"/>
        <v/>
      </c>
      <c r="AN323" s="233" t="str">
        <f t="shared" si="117"/>
        <v/>
      </c>
      <c r="AO323" s="234">
        <f t="shared" si="118"/>
        <v>0</v>
      </c>
      <c r="AP323" s="235">
        <f t="shared" si="133"/>
        <v>1</v>
      </c>
      <c r="AQ323" s="235">
        <f t="shared" si="133"/>
        <v>1</v>
      </c>
      <c r="AR323" s="235">
        <f t="shared" si="119"/>
        <v>1</v>
      </c>
      <c r="AS323" s="252">
        <f t="shared" si="120"/>
        <v>0</v>
      </c>
      <c r="AT323" s="238">
        <f t="shared" si="121"/>
        <v>0</v>
      </c>
      <c r="AU323" s="239">
        <f t="shared" si="122"/>
        <v>0</v>
      </c>
      <c r="AV323" s="239">
        <f t="shared" si="123"/>
        <v>0</v>
      </c>
      <c r="AW323" s="239">
        <f t="shared" si="124"/>
        <v>0.05</v>
      </c>
      <c r="AX323" s="240">
        <f t="shared" si="125"/>
        <v>0</v>
      </c>
      <c r="AY323" s="241" t="str">
        <f t="shared" si="126"/>
        <v/>
      </c>
      <c r="AZ323" s="242" t="str">
        <f>IFERROR(VLOOKUP(M323,'[1]Base Brasil Obras'!$C$2:$F$485,4,0),"")</f>
        <v/>
      </c>
      <c r="BA323" s="243">
        <f t="shared" si="127"/>
        <v>0</v>
      </c>
      <c r="BB323" s="244">
        <f t="shared" si="128"/>
        <v>0</v>
      </c>
      <c r="BC323" s="244">
        <f t="shared" si="129"/>
        <v>0.05</v>
      </c>
      <c r="BD323" s="245">
        <f t="shared" si="130"/>
        <v>0.95</v>
      </c>
      <c r="BE323" s="246">
        <f t="shared" si="131"/>
        <v>0</v>
      </c>
      <c r="BF323" s="247">
        <v>0</v>
      </c>
      <c r="BG323" s="248">
        <f t="shared" si="132"/>
        <v>1</v>
      </c>
      <c r="BH323" s="198"/>
      <c r="BI323" s="198"/>
      <c r="BJ323" s="199"/>
      <c r="BK323" s="200"/>
      <c r="BL323" s="200"/>
      <c r="BM323" s="200"/>
      <c r="BN323" s="200"/>
      <c r="BO323" s="10"/>
    </row>
    <row r="324" spans="1:67" ht="18" x14ac:dyDescent="0.25">
      <c r="A324" s="201">
        <v>216</v>
      </c>
      <c r="B324" s="286"/>
      <c r="C324" s="203">
        <f t="shared" si="103"/>
        <v>0</v>
      </c>
      <c r="D324" s="204"/>
      <c r="E324" s="204"/>
      <c r="F324" s="207"/>
      <c r="G324" s="206"/>
      <c r="H324" s="207"/>
      <c r="I324" s="208" t="s">
        <v>125</v>
      </c>
      <c r="J324" s="208" t="s">
        <v>126</v>
      </c>
      <c r="K324" s="287"/>
      <c r="L324" s="288"/>
      <c r="M324" s="289"/>
      <c r="N324" s="257"/>
      <c r="O324" s="213"/>
      <c r="P324" s="214"/>
      <c r="Q324" s="214"/>
      <c r="R324" s="214"/>
      <c r="S324" s="214"/>
      <c r="T324" s="214"/>
      <c r="U324" s="215">
        <f t="shared" si="104"/>
        <v>0</v>
      </c>
      <c r="V324" s="216" t="str">
        <f t="shared" si="105"/>
        <v/>
      </c>
      <c r="W324" s="217" t="str">
        <f t="shared" si="106"/>
        <v/>
      </c>
      <c r="X324" s="218" t="s">
        <v>20</v>
      </c>
      <c r="Y324" s="219" t="str">
        <f t="shared" si="107"/>
        <v>0 um/Dia</v>
      </c>
      <c r="Z324" s="220" t="str">
        <f t="shared" si="108"/>
        <v xml:space="preserve"> um / HH</v>
      </c>
      <c r="AA324" s="221" t="str">
        <f t="shared" si="109"/>
        <v/>
      </c>
      <c r="AB324" s="222" t="str">
        <f t="shared" si="110"/>
        <v>0 um /HH</v>
      </c>
      <c r="AC324" s="223">
        <f t="shared" si="111"/>
        <v>0</v>
      </c>
      <c r="AD324" s="224"/>
      <c r="AE324" s="225"/>
      <c r="AF324" s="226">
        <f t="shared" si="112"/>
        <v>0</v>
      </c>
      <c r="AG324" s="227">
        <f t="shared" si="113"/>
        <v>0</v>
      </c>
      <c r="AH324" s="228" t="s">
        <v>25</v>
      </c>
      <c r="AI324" s="229" t="str">
        <f t="shared" si="79"/>
        <v>Extremamente Complexa</v>
      </c>
      <c r="AJ324" s="230" t="str">
        <f t="shared" si="80"/>
        <v>Normal</v>
      </c>
      <c r="AK324" s="231">
        <f t="shared" si="114"/>
        <v>0</v>
      </c>
      <c r="AL324" s="232" t="str">
        <f t="shared" si="115"/>
        <v/>
      </c>
      <c r="AM324" s="233" t="str">
        <f t="shared" si="116"/>
        <v/>
      </c>
      <c r="AN324" s="233" t="str">
        <f t="shared" si="117"/>
        <v/>
      </c>
      <c r="AO324" s="234">
        <f t="shared" si="118"/>
        <v>0</v>
      </c>
      <c r="AP324" s="235">
        <f t="shared" si="133"/>
        <v>1</v>
      </c>
      <c r="AQ324" s="235">
        <f t="shared" si="133"/>
        <v>1</v>
      </c>
      <c r="AR324" s="236">
        <f t="shared" si="119"/>
        <v>1</v>
      </c>
      <c r="AS324" s="251">
        <f t="shared" si="120"/>
        <v>0</v>
      </c>
      <c r="AT324" s="238">
        <f t="shared" si="121"/>
        <v>0</v>
      </c>
      <c r="AU324" s="239">
        <f t="shared" si="122"/>
        <v>0</v>
      </c>
      <c r="AV324" s="239">
        <f t="shared" si="123"/>
        <v>0</v>
      </c>
      <c r="AW324" s="239">
        <f t="shared" si="124"/>
        <v>0.05</v>
      </c>
      <c r="AX324" s="240">
        <f t="shared" si="125"/>
        <v>0</v>
      </c>
      <c r="AY324" s="241" t="str">
        <f t="shared" si="126"/>
        <v/>
      </c>
      <c r="AZ324" s="242" t="str">
        <f>IFERROR(VLOOKUP(M324,'[1]Base Brasil Obras'!$C$2:$F$485,4,0),"")</f>
        <v/>
      </c>
      <c r="BA324" s="243">
        <f t="shared" si="127"/>
        <v>0</v>
      </c>
      <c r="BB324" s="244">
        <f t="shared" si="128"/>
        <v>0</v>
      </c>
      <c r="BC324" s="244">
        <f t="shared" si="129"/>
        <v>0.05</v>
      </c>
      <c r="BD324" s="245">
        <f t="shared" si="130"/>
        <v>0.95</v>
      </c>
      <c r="BE324" s="246">
        <f t="shared" si="131"/>
        <v>0</v>
      </c>
      <c r="BF324" s="247">
        <v>0</v>
      </c>
      <c r="BG324" s="248">
        <f t="shared" si="132"/>
        <v>1</v>
      </c>
      <c r="BH324" s="198"/>
      <c r="BI324" s="198"/>
      <c r="BJ324" s="199"/>
      <c r="BK324" s="200"/>
      <c r="BL324" s="200"/>
      <c r="BM324" s="200"/>
      <c r="BN324" s="200"/>
      <c r="BO324" s="10"/>
    </row>
    <row r="325" spans="1:67" ht="18" x14ac:dyDescent="0.25">
      <c r="A325" s="201">
        <v>217</v>
      </c>
      <c r="B325" s="286"/>
      <c r="C325" s="203">
        <f t="shared" si="103"/>
        <v>0</v>
      </c>
      <c r="D325" s="204"/>
      <c r="E325" s="204"/>
      <c r="F325" s="207"/>
      <c r="G325" s="206"/>
      <c r="H325" s="207"/>
      <c r="I325" s="208" t="s">
        <v>125</v>
      </c>
      <c r="J325" s="208" t="s">
        <v>126</v>
      </c>
      <c r="K325" s="287"/>
      <c r="L325" s="288"/>
      <c r="M325" s="289"/>
      <c r="N325" s="257"/>
      <c r="O325" s="213"/>
      <c r="P325" s="214"/>
      <c r="Q325" s="214"/>
      <c r="R325" s="214"/>
      <c r="S325" s="214"/>
      <c r="T325" s="214"/>
      <c r="U325" s="215">
        <f t="shared" si="104"/>
        <v>0</v>
      </c>
      <c r="V325" s="216" t="str">
        <f t="shared" si="105"/>
        <v/>
      </c>
      <c r="W325" s="217" t="str">
        <f t="shared" si="106"/>
        <v/>
      </c>
      <c r="X325" s="218" t="s">
        <v>20</v>
      </c>
      <c r="Y325" s="219" t="str">
        <f t="shared" si="107"/>
        <v>0 um/Dia</v>
      </c>
      <c r="Z325" s="220" t="str">
        <f t="shared" si="108"/>
        <v xml:space="preserve"> um / HH</v>
      </c>
      <c r="AA325" s="221" t="str">
        <f t="shared" si="109"/>
        <v/>
      </c>
      <c r="AB325" s="222" t="str">
        <f t="shared" si="110"/>
        <v>0 um /HH</v>
      </c>
      <c r="AC325" s="223">
        <f t="shared" si="111"/>
        <v>0</v>
      </c>
      <c r="AD325" s="224"/>
      <c r="AE325" s="225"/>
      <c r="AF325" s="226">
        <f t="shared" si="112"/>
        <v>0</v>
      </c>
      <c r="AG325" s="227">
        <f t="shared" si="113"/>
        <v>0</v>
      </c>
      <c r="AH325" s="228" t="s">
        <v>25</v>
      </c>
      <c r="AI325" s="229" t="str">
        <f t="shared" si="79"/>
        <v>Extremamente Complexa</v>
      </c>
      <c r="AJ325" s="230" t="str">
        <f t="shared" si="80"/>
        <v>Normal</v>
      </c>
      <c r="AK325" s="231">
        <f t="shared" si="114"/>
        <v>0</v>
      </c>
      <c r="AL325" s="232" t="str">
        <f t="shared" si="115"/>
        <v/>
      </c>
      <c r="AM325" s="233" t="str">
        <f t="shared" si="116"/>
        <v/>
      </c>
      <c r="AN325" s="233" t="str">
        <f t="shared" si="117"/>
        <v/>
      </c>
      <c r="AO325" s="234">
        <f t="shared" si="118"/>
        <v>0</v>
      </c>
      <c r="AP325" s="235">
        <f t="shared" si="133"/>
        <v>1</v>
      </c>
      <c r="AQ325" s="235">
        <f t="shared" si="133"/>
        <v>1</v>
      </c>
      <c r="AR325" s="235">
        <f t="shared" si="119"/>
        <v>1</v>
      </c>
      <c r="AS325" s="252">
        <f t="shared" si="120"/>
        <v>0</v>
      </c>
      <c r="AT325" s="238">
        <f t="shared" si="121"/>
        <v>0</v>
      </c>
      <c r="AU325" s="239">
        <f t="shared" si="122"/>
        <v>0</v>
      </c>
      <c r="AV325" s="239">
        <f t="shared" si="123"/>
        <v>0</v>
      </c>
      <c r="AW325" s="239">
        <f t="shared" si="124"/>
        <v>0.05</v>
      </c>
      <c r="AX325" s="240">
        <f t="shared" si="125"/>
        <v>0</v>
      </c>
      <c r="AY325" s="241" t="str">
        <f t="shared" si="126"/>
        <v/>
      </c>
      <c r="AZ325" s="242" t="str">
        <f>IFERROR(VLOOKUP(M325,'[1]Base Brasil Obras'!$C$2:$F$485,4,0),"")</f>
        <v/>
      </c>
      <c r="BA325" s="243">
        <f t="shared" si="127"/>
        <v>0</v>
      </c>
      <c r="BB325" s="244">
        <f t="shared" si="128"/>
        <v>0</v>
      </c>
      <c r="BC325" s="244">
        <f t="shared" si="129"/>
        <v>0.05</v>
      </c>
      <c r="BD325" s="245">
        <f t="shared" si="130"/>
        <v>0.95</v>
      </c>
      <c r="BE325" s="246">
        <f t="shared" si="131"/>
        <v>0</v>
      </c>
      <c r="BF325" s="247">
        <v>0</v>
      </c>
      <c r="BG325" s="248">
        <f t="shared" si="132"/>
        <v>1</v>
      </c>
      <c r="BH325" s="198"/>
      <c r="BI325" s="198"/>
      <c r="BJ325" s="199"/>
      <c r="BK325" s="200"/>
      <c r="BL325" s="200"/>
      <c r="BM325" s="200"/>
      <c r="BN325" s="200"/>
      <c r="BO325" s="10"/>
    </row>
    <row r="326" spans="1:67" ht="18" x14ac:dyDescent="0.25">
      <c r="A326" s="201">
        <v>218</v>
      </c>
      <c r="B326" s="286"/>
      <c r="C326" s="203">
        <f t="shared" si="103"/>
        <v>0</v>
      </c>
      <c r="D326" s="204"/>
      <c r="E326" s="204"/>
      <c r="F326" s="207"/>
      <c r="G326" s="206"/>
      <c r="H326" s="207"/>
      <c r="I326" s="208" t="s">
        <v>125</v>
      </c>
      <c r="J326" s="208" t="s">
        <v>126</v>
      </c>
      <c r="K326" s="287"/>
      <c r="L326" s="288"/>
      <c r="M326" s="289"/>
      <c r="N326" s="257"/>
      <c r="O326" s="213"/>
      <c r="P326" s="214"/>
      <c r="Q326" s="214"/>
      <c r="R326" s="214"/>
      <c r="S326" s="214"/>
      <c r="T326" s="214"/>
      <c r="U326" s="215">
        <f t="shared" si="104"/>
        <v>0</v>
      </c>
      <c r="V326" s="216" t="str">
        <f t="shared" si="105"/>
        <v/>
      </c>
      <c r="W326" s="217" t="str">
        <f t="shared" si="106"/>
        <v/>
      </c>
      <c r="X326" s="218" t="s">
        <v>20</v>
      </c>
      <c r="Y326" s="219" t="str">
        <f t="shared" si="107"/>
        <v>0 um/Dia</v>
      </c>
      <c r="Z326" s="220" t="str">
        <f t="shared" si="108"/>
        <v xml:space="preserve"> um / HH</v>
      </c>
      <c r="AA326" s="221" t="str">
        <f t="shared" si="109"/>
        <v/>
      </c>
      <c r="AB326" s="222" t="str">
        <f t="shared" si="110"/>
        <v>0 um /HH</v>
      </c>
      <c r="AC326" s="223">
        <f t="shared" si="111"/>
        <v>0</v>
      </c>
      <c r="AD326" s="224"/>
      <c r="AE326" s="225"/>
      <c r="AF326" s="226">
        <f t="shared" si="112"/>
        <v>0</v>
      </c>
      <c r="AG326" s="227">
        <f t="shared" si="113"/>
        <v>0</v>
      </c>
      <c r="AH326" s="228" t="s">
        <v>25</v>
      </c>
      <c r="AI326" s="229" t="str">
        <f t="shared" si="79"/>
        <v>Extremamente Complexa</v>
      </c>
      <c r="AJ326" s="230" t="str">
        <f t="shared" si="80"/>
        <v>Normal</v>
      </c>
      <c r="AK326" s="231">
        <f t="shared" si="114"/>
        <v>0</v>
      </c>
      <c r="AL326" s="232" t="str">
        <f t="shared" si="115"/>
        <v/>
      </c>
      <c r="AM326" s="233" t="str">
        <f t="shared" si="116"/>
        <v/>
      </c>
      <c r="AN326" s="233" t="str">
        <f t="shared" si="117"/>
        <v/>
      </c>
      <c r="AO326" s="234">
        <f t="shared" si="118"/>
        <v>0</v>
      </c>
      <c r="AP326" s="235">
        <f t="shared" si="133"/>
        <v>1</v>
      </c>
      <c r="AQ326" s="235">
        <f t="shared" si="133"/>
        <v>1</v>
      </c>
      <c r="AR326" s="236">
        <f t="shared" si="119"/>
        <v>1</v>
      </c>
      <c r="AS326" s="251">
        <f t="shared" si="120"/>
        <v>0</v>
      </c>
      <c r="AT326" s="238">
        <f t="shared" si="121"/>
        <v>0</v>
      </c>
      <c r="AU326" s="239">
        <f t="shared" si="122"/>
        <v>0</v>
      </c>
      <c r="AV326" s="239">
        <f t="shared" si="123"/>
        <v>0</v>
      </c>
      <c r="AW326" s="239">
        <f t="shared" si="124"/>
        <v>0.05</v>
      </c>
      <c r="AX326" s="240">
        <f t="shared" si="125"/>
        <v>0</v>
      </c>
      <c r="AY326" s="241" t="str">
        <f t="shared" si="126"/>
        <v/>
      </c>
      <c r="AZ326" s="242" t="str">
        <f>IFERROR(VLOOKUP(M326,'[1]Base Brasil Obras'!$C$2:$F$485,4,0),"")</f>
        <v/>
      </c>
      <c r="BA326" s="243">
        <f t="shared" si="127"/>
        <v>0</v>
      </c>
      <c r="BB326" s="244">
        <f t="shared" si="128"/>
        <v>0</v>
      </c>
      <c r="BC326" s="244">
        <f t="shared" si="129"/>
        <v>0.05</v>
      </c>
      <c r="BD326" s="245">
        <f t="shared" si="130"/>
        <v>0.95</v>
      </c>
      <c r="BE326" s="246">
        <f t="shared" si="131"/>
        <v>0</v>
      </c>
      <c r="BF326" s="247">
        <v>0</v>
      </c>
      <c r="BG326" s="248">
        <f t="shared" si="132"/>
        <v>1</v>
      </c>
      <c r="BH326" s="198"/>
      <c r="BI326" s="198"/>
      <c r="BJ326" s="199"/>
      <c r="BK326" s="200"/>
      <c r="BL326" s="200"/>
      <c r="BM326" s="200"/>
      <c r="BN326" s="200"/>
      <c r="BO326" s="10"/>
    </row>
    <row r="327" spans="1:67" ht="18" customHeight="1" x14ac:dyDescent="0.25">
      <c r="A327" s="201">
        <v>219</v>
      </c>
      <c r="B327" s="286"/>
      <c r="C327" s="203">
        <f t="shared" si="103"/>
        <v>0</v>
      </c>
      <c r="D327" s="204"/>
      <c r="E327" s="204"/>
      <c r="F327" s="207"/>
      <c r="G327" s="206"/>
      <c r="H327" s="207"/>
      <c r="I327" s="208" t="s">
        <v>125</v>
      </c>
      <c r="J327" s="208" t="s">
        <v>126</v>
      </c>
      <c r="K327" s="287"/>
      <c r="L327" s="288"/>
      <c r="M327" s="289"/>
      <c r="N327" s="257"/>
      <c r="O327" s="213"/>
      <c r="P327" s="214"/>
      <c r="Q327" s="214"/>
      <c r="R327" s="214"/>
      <c r="S327" s="214"/>
      <c r="T327" s="214"/>
      <c r="U327" s="215">
        <f t="shared" si="104"/>
        <v>0</v>
      </c>
      <c r="V327" s="216" t="str">
        <f t="shared" si="105"/>
        <v/>
      </c>
      <c r="W327" s="217" t="str">
        <f t="shared" si="106"/>
        <v/>
      </c>
      <c r="X327" s="218" t="s">
        <v>20</v>
      </c>
      <c r="Y327" s="219" t="str">
        <f t="shared" si="107"/>
        <v>0 um/Dia</v>
      </c>
      <c r="Z327" s="220" t="str">
        <f t="shared" si="108"/>
        <v xml:space="preserve"> um / HH</v>
      </c>
      <c r="AA327" s="221" t="str">
        <f t="shared" si="109"/>
        <v/>
      </c>
      <c r="AB327" s="222" t="str">
        <f t="shared" si="110"/>
        <v>0 um /HH</v>
      </c>
      <c r="AC327" s="223">
        <f t="shared" si="111"/>
        <v>0</v>
      </c>
      <c r="AD327" s="224"/>
      <c r="AE327" s="225"/>
      <c r="AF327" s="226">
        <f t="shared" si="112"/>
        <v>0</v>
      </c>
      <c r="AG327" s="227">
        <f t="shared" si="113"/>
        <v>0</v>
      </c>
      <c r="AH327" s="228" t="s">
        <v>25</v>
      </c>
      <c r="AI327" s="229" t="str">
        <f t="shared" si="79"/>
        <v>Extremamente Complexa</v>
      </c>
      <c r="AJ327" s="230" t="str">
        <f t="shared" si="80"/>
        <v>Normal</v>
      </c>
      <c r="AK327" s="231">
        <f t="shared" si="114"/>
        <v>0</v>
      </c>
      <c r="AL327" s="232" t="str">
        <f t="shared" si="115"/>
        <v/>
      </c>
      <c r="AM327" s="233" t="str">
        <f t="shared" si="116"/>
        <v/>
      </c>
      <c r="AN327" s="233" t="str">
        <f t="shared" si="117"/>
        <v/>
      </c>
      <c r="AO327" s="234">
        <f t="shared" si="118"/>
        <v>0</v>
      </c>
      <c r="AP327" s="235">
        <f t="shared" si="133"/>
        <v>1</v>
      </c>
      <c r="AQ327" s="235">
        <f t="shared" si="133"/>
        <v>1</v>
      </c>
      <c r="AR327" s="235">
        <f t="shared" si="119"/>
        <v>1</v>
      </c>
      <c r="AS327" s="252">
        <f t="shared" si="120"/>
        <v>0</v>
      </c>
      <c r="AT327" s="238">
        <f t="shared" si="121"/>
        <v>0</v>
      </c>
      <c r="AU327" s="239">
        <f t="shared" si="122"/>
        <v>0</v>
      </c>
      <c r="AV327" s="239">
        <f t="shared" si="123"/>
        <v>0</v>
      </c>
      <c r="AW327" s="239">
        <f t="shared" si="124"/>
        <v>0.05</v>
      </c>
      <c r="AX327" s="240">
        <f t="shared" si="125"/>
        <v>0</v>
      </c>
      <c r="AY327" s="241" t="str">
        <f t="shared" si="126"/>
        <v/>
      </c>
      <c r="AZ327" s="242" t="str">
        <f>IFERROR(VLOOKUP(M327,'[1]Base Brasil Obras'!$C$2:$F$485,4,0),"")</f>
        <v/>
      </c>
      <c r="BA327" s="243">
        <f t="shared" si="127"/>
        <v>0</v>
      </c>
      <c r="BB327" s="244">
        <f t="shared" si="128"/>
        <v>0</v>
      </c>
      <c r="BC327" s="244">
        <f t="shared" si="129"/>
        <v>0.05</v>
      </c>
      <c r="BD327" s="245">
        <f t="shared" si="130"/>
        <v>0.95</v>
      </c>
      <c r="BE327" s="246">
        <f t="shared" si="131"/>
        <v>0</v>
      </c>
      <c r="BF327" s="247">
        <v>0</v>
      </c>
      <c r="BG327" s="248">
        <f t="shared" si="132"/>
        <v>1</v>
      </c>
      <c r="BH327" s="198"/>
      <c r="BI327" s="198"/>
      <c r="BJ327" s="199"/>
      <c r="BK327" s="200"/>
      <c r="BL327" s="200"/>
      <c r="BM327" s="200"/>
      <c r="BN327" s="200"/>
      <c r="BO327" s="10"/>
    </row>
    <row r="328" spans="1:67" ht="18" customHeight="1" x14ac:dyDescent="0.25">
      <c r="A328" s="201">
        <v>220</v>
      </c>
      <c r="B328" s="286"/>
      <c r="C328" s="203">
        <f t="shared" si="103"/>
        <v>0</v>
      </c>
      <c r="D328" s="204"/>
      <c r="E328" s="204"/>
      <c r="F328" s="207"/>
      <c r="G328" s="206"/>
      <c r="H328" s="207"/>
      <c r="I328" s="208" t="s">
        <v>125</v>
      </c>
      <c r="J328" s="208" t="s">
        <v>126</v>
      </c>
      <c r="K328" s="287"/>
      <c r="L328" s="288"/>
      <c r="M328" s="289"/>
      <c r="N328" s="257"/>
      <c r="O328" s="213"/>
      <c r="P328" s="214"/>
      <c r="Q328" s="214"/>
      <c r="R328" s="214"/>
      <c r="S328" s="214"/>
      <c r="T328" s="214"/>
      <c r="U328" s="215">
        <f t="shared" si="104"/>
        <v>0</v>
      </c>
      <c r="V328" s="216" t="str">
        <f t="shared" si="105"/>
        <v/>
      </c>
      <c r="W328" s="217" t="str">
        <f t="shared" si="106"/>
        <v/>
      </c>
      <c r="X328" s="218" t="s">
        <v>20</v>
      </c>
      <c r="Y328" s="219" t="str">
        <f t="shared" si="107"/>
        <v>0 um/Dia</v>
      </c>
      <c r="Z328" s="220" t="str">
        <f t="shared" si="108"/>
        <v xml:space="preserve"> um / HH</v>
      </c>
      <c r="AA328" s="221" t="str">
        <f t="shared" si="109"/>
        <v/>
      </c>
      <c r="AB328" s="222" t="str">
        <f t="shared" si="110"/>
        <v>0 um /HH</v>
      </c>
      <c r="AC328" s="223">
        <f t="shared" si="111"/>
        <v>0</v>
      </c>
      <c r="AD328" s="224"/>
      <c r="AE328" s="225"/>
      <c r="AF328" s="226">
        <f t="shared" si="112"/>
        <v>0</v>
      </c>
      <c r="AG328" s="227">
        <f t="shared" si="113"/>
        <v>0</v>
      </c>
      <c r="AH328" s="228" t="s">
        <v>25</v>
      </c>
      <c r="AI328" s="229" t="str">
        <f t="shared" si="79"/>
        <v>Extremamente Complexa</v>
      </c>
      <c r="AJ328" s="230" t="str">
        <f t="shared" si="80"/>
        <v>Normal</v>
      </c>
      <c r="AK328" s="231">
        <f t="shared" si="114"/>
        <v>0</v>
      </c>
      <c r="AL328" s="232" t="str">
        <f t="shared" si="115"/>
        <v/>
      </c>
      <c r="AM328" s="233" t="str">
        <f t="shared" si="116"/>
        <v/>
      </c>
      <c r="AN328" s="233" t="str">
        <f t="shared" si="117"/>
        <v/>
      </c>
      <c r="AO328" s="234">
        <f t="shared" si="118"/>
        <v>0</v>
      </c>
      <c r="AP328" s="235">
        <f t="shared" si="133"/>
        <v>1</v>
      </c>
      <c r="AQ328" s="235">
        <f t="shared" si="133"/>
        <v>1</v>
      </c>
      <c r="AR328" s="236">
        <f t="shared" si="119"/>
        <v>1</v>
      </c>
      <c r="AS328" s="251">
        <f t="shared" si="120"/>
        <v>0</v>
      </c>
      <c r="AT328" s="238">
        <f t="shared" si="121"/>
        <v>0</v>
      </c>
      <c r="AU328" s="239">
        <f t="shared" si="122"/>
        <v>0</v>
      </c>
      <c r="AV328" s="239">
        <f t="shared" si="123"/>
        <v>0</v>
      </c>
      <c r="AW328" s="239">
        <f t="shared" si="124"/>
        <v>0.05</v>
      </c>
      <c r="AX328" s="240">
        <f t="shared" si="125"/>
        <v>0</v>
      </c>
      <c r="AY328" s="241" t="str">
        <f t="shared" si="126"/>
        <v/>
      </c>
      <c r="AZ328" s="242" t="str">
        <f>IFERROR(VLOOKUP(M328,'[1]Base Brasil Obras'!$C$2:$F$485,4,0),"")</f>
        <v/>
      </c>
      <c r="BA328" s="243">
        <f t="shared" si="127"/>
        <v>0</v>
      </c>
      <c r="BB328" s="244">
        <f t="shared" si="128"/>
        <v>0</v>
      </c>
      <c r="BC328" s="244">
        <f t="shared" si="129"/>
        <v>0.05</v>
      </c>
      <c r="BD328" s="245">
        <f t="shared" si="130"/>
        <v>0.95</v>
      </c>
      <c r="BE328" s="246">
        <f t="shared" si="131"/>
        <v>0</v>
      </c>
      <c r="BF328" s="247">
        <v>0</v>
      </c>
      <c r="BG328" s="248">
        <f t="shared" si="132"/>
        <v>1</v>
      </c>
      <c r="BH328" s="198"/>
      <c r="BI328" s="198"/>
      <c r="BJ328" s="199"/>
      <c r="BK328" s="200"/>
      <c r="BL328" s="200"/>
      <c r="BM328" s="200"/>
      <c r="BN328" s="200"/>
      <c r="BO328" s="10"/>
    </row>
    <row r="329" spans="1:67" ht="18" customHeight="1" x14ac:dyDescent="0.25">
      <c r="A329" s="201">
        <v>221</v>
      </c>
      <c r="B329" s="286"/>
      <c r="C329" s="203">
        <f t="shared" si="103"/>
        <v>0</v>
      </c>
      <c r="D329" s="204"/>
      <c r="E329" s="204"/>
      <c r="F329" s="207"/>
      <c r="G329" s="206"/>
      <c r="H329" s="207"/>
      <c r="I329" s="208" t="s">
        <v>125</v>
      </c>
      <c r="J329" s="208" t="s">
        <v>126</v>
      </c>
      <c r="K329" s="287"/>
      <c r="L329" s="288"/>
      <c r="M329" s="289"/>
      <c r="N329" s="257"/>
      <c r="O329" s="213"/>
      <c r="P329" s="214"/>
      <c r="Q329" s="214"/>
      <c r="R329" s="214"/>
      <c r="S329" s="214"/>
      <c r="T329" s="214"/>
      <c r="U329" s="215">
        <f t="shared" si="104"/>
        <v>0</v>
      </c>
      <c r="V329" s="216" t="str">
        <f t="shared" si="105"/>
        <v/>
      </c>
      <c r="W329" s="217" t="str">
        <f t="shared" si="106"/>
        <v/>
      </c>
      <c r="X329" s="218" t="s">
        <v>20</v>
      </c>
      <c r="Y329" s="219" t="str">
        <f t="shared" si="107"/>
        <v>0 um/Dia</v>
      </c>
      <c r="Z329" s="220" t="str">
        <f t="shared" si="108"/>
        <v xml:space="preserve"> um / HH</v>
      </c>
      <c r="AA329" s="221" t="str">
        <f t="shared" si="109"/>
        <v/>
      </c>
      <c r="AB329" s="222" t="str">
        <f t="shared" si="110"/>
        <v>0 um /HH</v>
      </c>
      <c r="AC329" s="223">
        <f t="shared" si="111"/>
        <v>0</v>
      </c>
      <c r="AD329" s="224"/>
      <c r="AE329" s="225"/>
      <c r="AF329" s="226">
        <f t="shared" si="112"/>
        <v>0</v>
      </c>
      <c r="AG329" s="227">
        <f t="shared" si="113"/>
        <v>0</v>
      </c>
      <c r="AH329" s="228" t="s">
        <v>25</v>
      </c>
      <c r="AI329" s="229" t="str">
        <f t="shared" si="79"/>
        <v>Extremamente Complexa</v>
      </c>
      <c r="AJ329" s="230" t="str">
        <f t="shared" si="80"/>
        <v>Normal</v>
      </c>
      <c r="AK329" s="231">
        <f t="shared" si="114"/>
        <v>0</v>
      </c>
      <c r="AL329" s="232" t="str">
        <f t="shared" si="115"/>
        <v/>
      </c>
      <c r="AM329" s="233" t="str">
        <f t="shared" si="116"/>
        <v/>
      </c>
      <c r="AN329" s="233" t="str">
        <f t="shared" si="117"/>
        <v/>
      </c>
      <c r="AO329" s="234">
        <f t="shared" si="118"/>
        <v>0</v>
      </c>
      <c r="AP329" s="235">
        <f t="shared" si="133"/>
        <v>1</v>
      </c>
      <c r="AQ329" s="235">
        <f t="shared" si="133"/>
        <v>1</v>
      </c>
      <c r="AR329" s="235">
        <f t="shared" si="119"/>
        <v>1</v>
      </c>
      <c r="AS329" s="252">
        <f t="shared" si="120"/>
        <v>0</v>
      </c>
      <c r="AT329" s="238">
        <f t="shared" si="121"/>
        <v>0</v>
      </c>
      <c r="AU329" s="239">
        <f t="shared" si="122"/>
        <v>0</v>
      </c>
      <c r="AV329" s="239">
        <f t="shared" si="123"/>
        <v>0</v>
      </c>
      <c r="AW329" s="239">
        <f t="shared" si="124"/>
        <v>0.05</v>
      </c>
      <c r="AX329" s="240">
        <f t="shared" si="125"/>
        <v>0</v>
      </c>
      <c r="AY329" s="241" t="str">
        <f t="shared" si="126"/>
        <v/>
      </c>
      <c r="AZ329" s="242" t="str">
        <f>IFERROR(VLOOKUP(M329,'[1]Base Brasil Obras'!$C$2:$F$485,4,0),"")</f>
        <v/>
      </c>
      <c r="BA329" s="243">
        <f t="shared" si="127"/>
        <v>0</v>
      </c>
      <c r="BB329" s="244">
        <f t="shared" si="128"/>
        <v>0</v>
      </c>
      <c r="BC329" s="244">
        <f t="shared" si="129"/>
        <v>0.05</v>
      </c>
      <c r="BD329" s="245">
        <f t="shared" si="130"/>
        <v>0.95</v>
      </c>
      <c r="BE329" s="246">
        <f t="shared" si="131"/>
        <v>0</v>
      </c>
      <c r="BF329" s="247">
        <v>0</v>
      </c>
      <c r="BG329" s="248">
        <f t="shared" si="132"/>
        <v>1</v>
      </c>
      <c r="BH329" s="198"/>
      <c r="BI329" s="198"/>
      <c r="BJ329" s="199"/>
      <c r="BK329" s="200"/>
      <c r="BL329" s="200"/>
      <c r="BM329" s="200"/>
      <c r="BN329" s="200"/>
      <c r="BO329" s="10"/>
    </row>
    <row r="330" spans="1:67" ht="18" x14ac:dyDescent="0.25">
      <c r="A330" s="201">
        <v>222</v>
      </c>
      <c r="B330" s="286"/>
      <c r="C330" s="203">
        <f t="shared" si="103"/>
        <v>0</v>
      </c>
      <c r="D330" s="204"/>
      <c r="E330" s="204"/>
      <c r="F330" s="207"/>
      <c r="G330" s="206"/>
      <c r="H330" s="207"/>
      <c r="I330" s="208" t="s">
        <v>125</v>
      </c>
      <c r="J330" s="208" t="s">
        <v>126</v>
      </c>
      <c r="K330" s="287"/>
      <c r="L330" s="288"/>
      <c r="M330" s="289"/>
      <c r="N330" s="257"/>
      <c r="O330" s="213"/>
      <c r="P330" s="214"/>
      <c r="Q330" s="214"/>
      <c r="R330" s="214"/>
      <c r="S330" s="214"/>
      <c r="T330" s="214"/>
      <c r="U330" s="215">
        <f t="shared" si="104"/>
        <v>0</v>
      </c>
      <c r="V330" s="216" t="str">
        <f t="shared" si="105"/>
        <v/>
      </c>
      <c r="W330" s="217" t="str">
        <f t="shared" si="106"/>
        <v/>
      </c>
      <c r="X330" s="218" t="s">
        <v>20</v>
      </c>
      <c r="Y330" s="219" t="str">
        <f t="shared" si="107"/>
        <v>0 um/Dia</v>
      </c>
      <c r="Z330" s="220" t="str">
        <f t="shared" si="108"/>
        <v xml:space="preserve"> um / HH</v>
      </c>
      <c r="AA330" s="221" t="str">
        <f t="shared" si="109"/>
        <v/>
      </c>
      <c r="AB330" s="222" t="str">
        <f t="shared" si="110"/>
        <v>0 um /HH</v>
      </c>
      <c r="AC330" s="223">
        <f t="shared" si="111"/>
        <v>0</v>
      </c>
      <c r="AD330" s="224"/>
      <c r="AE330" s="225"/>
      <c r="AF330" s="226">
        <f t="shared" si="112"/>
        <v>0</v>
      </c>
      <c r="AG330" s="227">
        <f t="shared" si="113"/>
        <v>0</v>
      </c>
      <c r="AH330" s="228" t="s">
        <v>25</v>
      </c>
      <c r="AI330" s="229" t="str">
        <f t="shared" si="79"/>
        <v>Extremamente Complexa</v>
      </c>
      <c r="AJ330" s="230" t="str">
        <f t="shared" si="80"/>
        <v>Normal</v>
      </c>
      <c r="AK330" s="231">
        <f t="shared" si="114"/>
        <v>0</v>
      </c>
      <c r="AL330" s="232" t="str">
        <f t="shared" si="115"/>
        <v/>
      </c>
      <c r="AM330" s="233" t="str">
        <f t="shared" si="116"/>
        <v/>
      </c>
      <c r="AN330" s="233" t="str">
        <f t="shared" si="117"/>
        <v/>
      </c>
      <c r="AO330" s="234">
        <f t="shared" si="118"/>
        <v>0</v>
      </c>
      <c r="AP330" s="235">
        <f t="shared" si="133"/>
        <v>1</v>
      </c>
      <c r="AQ330" s="235">
        <f t="shared" si="133"/>
        <v>1</v>
      </c>
      <c r="AR330" s="236">
        <f t="shared" si="119"/>
        <v>1</v>
      </c>
      <c r="AS330" s="251">
        <f t="shared" si="120"/>
        <v>0</v>
      </c>
      <c r="AT330" s="238">
        <f t="shared" si="121"/>
        <v>0</v>
      </c>
      <c r="AU330" s="239">
        <f t="shared" si="122"/>
        <v>0</v>
      </c>
      <c r="AV330" s="239">
        <f t="shared" si="123"/>
        <v>0</v>
      </c>
      <c r="AW330" s="239">
        <f t="shared" si="124"/>
        <v>0.05</v>
      </c>
      <c r="AX330" s="240">
        <f t="shared" si="125"/>
        <v>0</v>
      </c>
      <c r="AY330" s="241" t="str">
        <f t="shared" si="126"/>
        <v/>
      </c>
      <c r="AZ330" s="242" t="str">
        <f>IFERROR(VLOOKUP(M330,'[1]Base Brasil Obras'!$C$2:$F$485,4,0),"")</f>
        <v/>
      </c>
      <c r="BA330" s="243">
        <f t="shared" si="127"/>
        <v>0</v>
      </c>
      <c r="BB330" s="244">
        <f t="shared" si="128"/>
        <v>0</v>
      </c>
      <c r="BC330" s="244">
        <f t="shared" si="129"/>
        <v>0.05</v>
      </c>
      <c r="BD330" s="245">
        <f t="shared" si="130"/>
        <v>0.95</v>
      </c>
      <c r="BE330" s="246">
        <f t="shared" si="131"/>
        <v>0</v>
      </c>
      <c r="BF330" s="247">
        <v>0</v>
      </c>
      <c r="BG330" s="248">
        <f t="shared" si="132"/>
        <v>1</v>
      </c>
      <c r="BH330" s="198"/>
      <c r="BI330" s="198"/>
      <c r="BJ330" s="199"/>
      <c r="BK330" s="200"/>
      <c r="BL330" s="200"/>
      <c r="BM330" s="200"/>
      <c r="BN330" s="200"/>
      <c r="BO330" s="10"/>
    </row>
    <row r="331" spans="1:67" ht="18" x14ac:dyDescent="0.25">
      <c r="A331" s="201">
        <v>223</v>
      </c>
      <c r="B331" s="286"/>
      <c r="C331" s="203">
        <f t="shared" si="103"/>
        <v>0</v>
      </c>
      <c r="D331" s="204"/>
      <c r="E331" s="204"/>
      <c r="F331" s="207"/>
      <c r="G331" s="206"/>
      <c r="H331" s="207"/>
      <c r="I331" s="208" t="s">
        <v>125</v>
      </c>
      <c r="J331" s="208" t="s">
        <v>126</v>
      </c>
      <c r="K331" s="287"/>
      <c r="L331" s="288"/>
      <c r="M331" s="289"/>
      <c r="N331" s="257"/>
      <c r="O331" s="213"/>
      <c r="P331" s="214"/>
      <c r="Q331" s="214"/>
      <c r="R331" s="214"/>
      <c r="S331" s="214"/>
      <c r="T331" s="214"/>
      <c r="U331" s="215">
        <f t="shared" si="104"/>
        <v>0</v>
      </c>
      <c r="V331" s="216" t="str">
        <f t="shared" si="105"/>
        <v/>
      </c>
      <c r="W331" s="217" t="str">
        <f t="shared" si="106"/>
        <v/>
      </c>
      <c r="X331" s="218" t="s">
        <v>20</v>
      </c>
      <c r="Y331" s="219" t="str">
        <f t="shared" si="107"/>
        <v>0 um/Dia</v>
      </c>
      <c r="Z331" s="220" t="str">
        <f t="shared" si="108"/>
        <v xml:space="preserve"> um / HH</v>
      </c>
      <c r="AA331" s="221" t="str">
        <f t="shared" si="109"/>
        <v/>
      </c>
      <c r="AB331" s="222" t="str">
        <f t="shared" si="110"/>
        <v>0 um /HH</v>
      </c>
      <c r="AC331" s="223">
        <f t="shared" si="111"/>
        <v>0</v>
      </c>
      <c r="AD331" s="224"/>
      <c r="AE331" s="225"/>
      <c r="AF331" s="226">
        <f t="shared" si="112"/>
        <v>0</v>
      </c>
      <c r="AG331" s="227">
        <f t="shared" si="113"/>
        <v>0</v>
      </c>
      <c r="AH331" s="228" t="s">
        <v>25</v>
      </c>
      <c r="AI331" s="229" t="str">
        <f t="shared" si="79"/>
        <v>Extremamente Complexa</v>
      </c>
      <c r="AJ331" s="230" t="str">
        <f t="shared" si="80"/>
        <v>Normal</v>
      </c>
      <c r="AK331" s="231">
        <f t="shared" si="114"/>
        <v>0</v>
      </c>
      <c r="AL331" s="232" t="str">
        <f t="shared" si="115"/>
        <v/>
      </c>
      <c r="AM331" s="233" t="str">
        <f t="shared" si="116"/>
        <v/>
      </c>
      <c r="AN331" s="233" t="str">
        <f t="shared" si="117"/>
        <v/>
      </c>
      <c r="AO331" s="234">
        <f t="shared" si="118"/>
        <v>0</v>
      </c>
      <c r="AP331" s="235">
        <f t="shared" si="133"/>
        <v>1</v>
      </c>
      <c r="AQ331" s="235">
        <f t="shared" si="133"/>
        <v>1</v>
      </c>
      <c r="AR331" s="235">
        <f t="shared" si="119"/>
        <v>1</v>
      </c>
      <c r="AS331" s="252">
        <f t="shared" si="120"/>
        <v>0</v>
      </c>
      <c r="AT331" s="238">
        <f t="shared" si="121"/>
        <v>0</v>
      </c>
      <c r="AU331" s="239">
        <f t="shared" si="122"/>
        <v>0</v>
      </c>
      <c r="AV331" s="239">
        <f t="shared" si="123"/>
        <v>0</v>
      </c>
      <c r="AW331" s="239">
        <f t="shared" si="124"/>
        <v>0.05</v>
      </c>
      <c r="AX331" s="240">
        <f t="shared" si="125"/>
        <v>0</v>
      </c>
      <c r="AY331" s="241" t="str">
        <f t="shared" si="126"/>
        <v/>
      </c>
      <c r="AZ331" s="242" t="str">
        <f>IFERROR(VLOOKUP(M331,'[1]Base Brasil Obras'!$C$2:$F$485,4,0),"")</f>
        <v/>
      </c>
      <c r="BA331" s="243">
        <f t="shared" si="127"/>
        <v>0</v>
      </c>
      <c r="BB331" s="244">
        <f t="shared" si="128"/>
        <v>0</v>
      </c>
      <c r="BC331" s="244">
        <f t="shared" si="129"/>
        <v>0.05</v>
      </c>
      <c r="BD331" s="245">
        <f t="shared" si="130"/>
        <v>0.95</v>
      </c>
      <c r="BE331" s="246">
        <f t="shared" si="131"/>
        <v>0</v>
      </c>
      <c r="BF331" s="247">
        <v>0</v>
      </c>
      <c r="BG331" s="248">
        <f t="shared" si="132"/>
        <v>1</v>
      </c>
      <c r="BH331" s="198"/>
      <c r="BI331" s="198"/>
      <c r="BJ331" s="199"/>
      <c r="BK331" s="200"/>
      <c r="BL331" s="200"/>
      <c r="BM331" s="200"/>
      <c r="BN331" s="200"/>
      <c r="BO331" s="10"/>
    </row>
    <row r="332" spans="1:67" ht="18" x14ac:dyDescent="0.25">
      <c r="A332" s="201">
        <v>224</v>
      </c>
      <c r="B332" s="286"/>
      <c r="C332" s="203">
        <f t="shared" si="103"/>
        <v>0</v>
      </c>
      <c r="D332" s="204"/>
      <c r="E332" s="204"/>
      <c r="F332" s="207"/>
      <c r="G332" s="206"/>
      <c r="H332" s="207"/>
      <c r="I332" s="208" t="s">
        <v>125</v>
      </c>
      <c r="J332" s="208" t="s">
        <v>126</v>
      </c>
      <c r="K332" s="287"/>
      <c r="L332" s="288"/>
      <c r="M332" s="289"/>
      <c r="N332" s="257"/>
      <c r="O332" s="213"/>
      <c r="P332" s="214"/>
      <c r="Q332" s="214"/>
      <c r="R332" s="214"/>
      <c r="S332" s="214"/>
      <c r="T332" s="214"/>
      <c r="U332" s="215">
        <f t="shared" si="104"/>
        <v>0</v>
      </c>
      <c r="V332" s="216" t="str">
        <f t="shared" si="105"/>
        <v/>
      </c>
      <c r="W332" s="217" t="str">
        <f t="shared" si="106"/>
        <v/>
      </c>
      <c r="X332" s="218" t="s">
        <v>20</v>
      </c>
      <c r="Y332" s="219" t="str">
        <f t="shared" si="107"/>
        <v>0 um/Dia</v>
      </c>
      <c r="Z332" s="220" t="str">
        <f t="shared" si="108"/>
        <v xml:space="preserve"> um / HH</v>
      </c>
      <c r="AA332" s="221" t="str">
        <f t="shared" si="109"/>
        <v/>
      </c>
      <c r="AB332" s="222" t="str">
        <f t="shared" si="110"/>
        <v>0 um /HH</v>
      </c>
      <c r="AC332" s="223">
        <f t="shared" si="111"/>
        <v>0</v>
      </c>
      <c r="AD332" s="224"/>
      <c r="AE332" s="225"/>
      <c r="AF332" s="226">
        <f t="shared" si="112"/>
        <v>0</v>
      </c>
      <c r="AG332" s="227">
        <f t="shared" si="113"/>
        <v>0</v>
      </c>
      <c r="AH332" s="228" t="s">
        <v>25</v>
      </c>
      <c r="AI332" s="229" t="str">
        <f t="shared" si="79"/>
        <v>Extremamente Complexa</v>
      </c>
      <c r="AJ332" s="230" t="str">
        <f t="shared" si="80"/>
        <v>Normal</v>
      </c>
      <c r="AK332" s="231">
        <f t="shared" si="114"/>
        <v>0</v>
      </c>
      <c r="AL332" s="232" t="str">
        <f t="shared" si="115"/>
        <v/>
      </c>
      <c r="AM332" s="233" t="str">
        <f t="shared" si="116"/>
        <v/>
      </c>
      <c r="AN332" s="233" t="str">
        <f t="shared" si="117"/>
        <v/>
      </c>
      <c r="AO332" s="234">
        <f t="shared" si="118"/>
        <v>0</v>
      </c>
      <c r="AP332" s="235">
        <f t="shared" si="133"/>
        <v>1</v>
      </c>
      <c r="AQ332" s="235">
        <f t="shared" si="133"/>
        <v>1</v>
      </c>
      <c r="AR332" s="236">
        <f t="shared" si="119"/>
        <v>1</v>
      </c>
      <c r="AS332" s="251">
        <f t="shared" si="120"/>
        <v>0</v>
      </c>
      <c r="AT332" s="238">
        <f t="shared" si="121"/>
        <v>0</v>
      </c>
      <c r="AU332" s="239">
        <f t="shared" si="122"/>
        <v>0</v>
      </c>
      <c r="AV332" s="239">
        <f t="shared" si="123"/>
        <v>0</v>
      </c>
      <c r="AW332" s="239">
        <f t="shared" si="124"/>
        <v>0.05</v>
      </c>
      <c r="AX332" s="240">
        <f t="shared" si="125"/>
        <v>0</v>
      </c>
      <c r="AY332" s="241" t="str">
        <f t="shared" si="126"/>
        <v/>
      </c>
      <c r="AZ332" s="242" t="str">
        <f>IFERROR(VLOOKUP(M332,'[1]Base Brasil Obras'!$C$2:$F$485,4,0),"")</f>
        <v/>
      </c>
      <c r="BA332" s="243">
        <f t="shared" si="127"/>
        <v>0</v>
      </c>
      <c r="BB332" s="244">
        <f t="shared" si="128"/>
        <v>0</v>
      </c>
      <c r="BC332" s="244">
        <f t="shared" si="129"/>
        <v>0.05</v>
      </c>
      <c r="BD332" s="245">
        <f t="shared" si="130"/>
        <v>0.95</v>
      </c>
      <c r="BE332" s="246">
        <f t="shared" si="131"/>
        <v>0</v>
      </c>
      <c r="BF332" s="247">
        <v>0</v>
      </c>
      <c r="BG332" s="248">
        <f t="shared" si="132"/>
        <v>1</v>
      </c>
      <c r="BH332" s="198"/>
      <c r="BI332" s="198"/>
      <c r="BJ332" s="199"/>
      <c r="BK332" s="200"/>
      <c r="BL332" s="200"/>
      <c r="BM332" s="200"/>
      <c r="BN332" s="200"/>
      <c r="BO332" s="10"/>
    </row>
    <row r="333" spans="1:67" ht="18" x14ac:dyDescent="0.25">
      <c r="A333" s="201">
        <v>225</v>
      </c>
      <c r="B333" s="286"/>
      <c r="C333" s="203">
        <f t="shared" si="103"/>
        <v>0</v>
      </c>
      <c r="D333" s="204"/>
      <c r="E333" s="204"/>
      <c r="F333" s="207"/>
      <c r="G333" s="206"/>
      <c r="H333" s="207"/>
      <c r="I333" s="208" t="s">
        <v>125</v>
      </c>
      <c r="J333" s="208" t="s">
        <v>126</v>
      </c>
      <c r="K333" s="287"/>
      <c r="L333" s="288"/>
      <c r="M333" s="289"/>
      <c r="N333" s="257"/>
      <c r="O333" s="213"/>
      <c r="P333" s="214"/>
      <c r="Q333" s="214"/>
      <c r="R333" s="214"/>
      <c r="S333" s="214"/>
      <c r="T333" s="214"/>
      <c r="U333" s="215">
        <f t="shared" si="104"/>
        <v>0</v>
      </c>
      <c r="V333" s="216" t="str">
        <f t="shared" si="105"/>
        <v/>
      </c>
      <c r="W333" s="217" t="str">
        <f t="shared" si="106"/>
        <v/>
      </c>
      <c r="X333" s="218" t="s">
        <v>20</v>
      </c>
      <c r="Y333" s="219" t="str">
        <f t="shared" si="107"/>
        <v>0 um/Dia</v>
      </c>
      <c r="Z333" s="220" t="str">
        <f t="shared" si="108"/>
        <v xml:space="preserve"> um / HH</v>
      </c>
      <c r="AA333" s="221" t="str">
        <f t="shared" si="109"/>
        <v/>
      </c>
      <c r="AB333" s="222" t="str">
        <f t="shared" si="110"/>
        <v>0 um /HH</v>
      </c>
      <c r="AC333" s="223">
        <f t="shared" si="111"/>
        <v>0</v>
      </c>
      <c r="AD333" s="224"/>
      <c r="AE333" s="225"/>
      <c r="AF333" s="226">
        <f t="shared" si="112"/>
        <v>0</v>
      </c>
      <c r="AG333" s="227">
        <f t="shared" si="113"/>
        <v>0</v>
      </c>
      <c r="AH333" s="228" t="s">
        <v>25</v>
      </c>
      <c r="AI333" s="229" t="str">
        <f t="shared" si="79"/>
        <v>Extremamente Complexa</v>
      </c>
      <c r="AJ333" s="230" t="str">
        <f t="shared" si="80"/>
        <v>Normal</v>
      </c>
      <c r="AK333" s="231">
        <f t="shared" si="114"/>
        <v>0</v>
      </c>
      <c r="AL333" s="232" t="str">
        <f t="shared" si="115"/>
        <v/>
      </c>
      <c r="AM333" s="233" t="str">
        <f t="shared" si="116"/>
        <v/>
      </c>
      <c r="AN333" s="233" t="str">
        <f t="shared" si="117"/>
        <v/>
      </c>
      <c r="AO333" s="234">
        <f t="shared" si="118"/>
        <v>0</v>
      </c>
      <c r="AP333" s="235">
        <f t="shared" si="133"/>
        <v>1</v>
      </c>
      <c r="AQ333" s="235">
        <f t="shared" si="133"/>
        <v>1</v>
      </c>
      <c r="AR333" s="235">
        <f t="shared" si="119"/>
        <v>1</v>
      </c>
      <c r="AS333" s="252">
        <f t="shared" si="120"/>
        <v>0</v>
      </c>
      <c r="AT333" s="238">
        <f t="shared" si="121"/>
        <v>0</v>
      </c>
      <c r="AU333" s="239">
        <f t="shared" si="122"/>
        <v>0</v>
      </c>
      <c r="AV333" s="239">
        <f t="shared" si="123"/>
        <v>0</v>
      </c>
      <c r="AW333" s="239">
        <f t="shared" si="124"/>
        <v>0.05</v>
      </c>
      <c r="AX333" s="240">
        <f t="shared" si="125"/>
        <v>0</v>
      </c>
      <c r="AY333" s="241" t="str">
        <f t="shared" si="126"/>
        <v/>
      </c>
      <c r="AZ333" s="242" t="str">
        <f>IFERROR(VLOOKUP(M333,'[1]Base Brasil Obras'!$C$2:$F$485,4,0),"")</f>
        <v/>
      </c>
      <c r="BA333" s="243">
        <f t="shared" si="127"/>
        <v>0</v>
      </c>
      <c r="BB333" s="244">
        <f t="shared" si="128"/>
        <v>0</v>
      </c>
      <c r="BC333" s="244">
        <f t="shared" si="129"/>
        <v>0.05</v>
      </c>
      <c r="BD333" s="245">
        <f t="shared" si="130"/>
        <v>0.95</v>
      </c>
      <c r="BE333" s="246">
        <f t="shared" si="131"/>
        <v>0</v>
      </c>
      <c r="BF333" s="247">
        <v>0</v>
      </c>
      <c r="BG333" s="248">
        <f t="shared" si="132"/>
        <v>1</v>
      </c>
      <c r="BH333" s="198"/>
      <c r="BI333" s="198"/>
      <c r="BJ333" s="199"/>
      <c r="BK333" s="200"/>
      <c r="BL333" s="200"/>
      <c r="BM333" s="200"/>
      <c r="BN333" s="200"/>
      <c r="BO333" s="10"/>
    </row>
    <row r="334" spans="1:67" ht="18" x14ac:dyDescent="0.25">
      <c r="A334" s="201">
        <v>226</v>
      </c>
      <c r="B334" s="286"/>
      <c r="C334" s="203">
        <f t="shared" si="103"/>
        <v>0</v>
      </c>
      <c r="D334" s="204"/>
      <c r="E334" s="204"/>
      <c r="F334" s="207"/>
      <c r="G334" s="206"/>
      <c r="H334" s="207"/>
      <c r="I334" s="208" t="s">
        <v>125</v>
      </c>
      <c r="J334" s="208" t="s">
        <v>126</v>
      </c>
      <c r="K334" s="287"/>
      <c r="L334" s="288"/>
      <c r="M334" s="289"/>
      <c r="N334" s="257"/>
      <c r="O334" s="213"/>
      <c r="P334" s="214"/>
      <c r="Q334" s="214"/>
      <c r="R334" s="214"/>
      <c r="S334" s="214"/>
      <c r="T334" s="214"/>
      <c r="U334" s="215">
        <f t="shared" si="104"/>
        <v>0</v>
      </c>
      <c r="V334" s="216" t="str">
        <f t="shared" si="105"/>
        <v/>
      </c>
      <c r="W334" s="217" t="str">
        <f t="shared" si="106"/>
        <v/>
      </c>
      <c r="X334" s="218" t="s">
        <v>20</v>
      </c>
      <c r="Y334" s="219" t="str">
        <f t="shared" si="107"/>
        <v>0 um/Dia</v>
      </c>
      <c r="Z334" s="220" t="str">
        <f t="shared" si="108"/>
        <v xml:space="preserve"> um / HH</v>
      </c>
      <c r="AA334" s="221" t="str">
        <f t="shared" si="109"/>
        <v/>
      </c>
      <c r="AB334" s="222" t="str">
        <f t="shared" si="110"/>
        <v>0 um /HH</v>
      </c>
      <c r="AC334" s="223">
        <f t="shared" si="111"/>
        <v>0</v>
      </c>
      <c r="AD334" s="224"/>
      <c r="AE334" s="225"/>
      <c r="AF334" s="226">
        <f t="shared" si="112"/>
        <v>0</v>
      </c>
      <c r="AG334" s="227">
        <f t="shared" si="113"/>
        <v>0</v>
      </c>
      <c r="AH334" s="228" t="s">
        <v>25</v>
      </c>
      <c r="AI334" s="229" t="str">
        <f t="shared" si="79"/>
        <v>Extremamente Complexa</v>
      </c>
      <c r="AJ334" s="230" t="str">
        <f t="shared" si="80"/>
        <v>Normal</v>
      </c>
      <c r="AK334" s="231">
        <f t="shared" si="114"/>
        <v>0</v>
      </c>
      <c r="AL334" s="232" t="str">
        <f t="shared" si="115"/>
        <v/>
      </c>
      <c r="AM334" s="233" t="str">
        <f t="shared" si="116"/>
        <v/>
      </c>
      <c r="AN334" s="233" t="str">
        <f t="shared" si="117"/>
        <v/>
      </c>
      <c r="AO334" s="234">
        <f t="shared" si="118"/>
        <v>0</v>
      </c>
      <c r="AP334" s="235">
        <f t="shared" si="133"/>
        <v>1</v>
      </c>
      <c r="AQ334" s="235">
        <f t="shared" si="133"/>
        <v>1</v>
      </c>
      <c r="AR334" s="236">
        <f t="shared" si="119"/>
        <v>1</v>
      </c>
      <c r="AS334" s="251">
        <f t="shared" si="120"/>
        <v>0</v>
      </c>
      <c r="AT334" s="238">
        <f t="shared" si="121"/>
        <v>0</v>
      </c>
      <c r="AU334" s="239">
        <f t="shared" si="122"/>
        <v>0</v>
      </c>
      <c r="AV334" s="239">
        <f t="shared" si="123"/>
        <v>0</v>
      </c>
      <c r="AW334" s="239">
        <f t="shared" si="124"/>
        <v>0.05</v>
      </c>
      <c r="AX334" s="240">
        <f t="shared" si="125"/>
        <v>0</v>
      </c>
      <c r="AY334" s="241" t="str">
        <f t="shared" si="126"/>
        <v/>
      </c>
      <c r="AZ334" s="242" t="str">
        <f>IFERROR(VLOOKUP(M334,'[1]Base Brasil Obras'!$C$2:$F$485,4,0),"")</f>
        <v/>
      </c>
      <c r="BA334" s="243">
        <f t="shared" si="127"/>
        <v>0</v>
      </c>
      <c r="BB334" s="244">
        <f t="shared" si="128"/>
        <v>0</v>
      </c>
      <c r="BC334" s="244">
        <f t="shared" si="129"/>
        <v>0.05</v>
      </c>
      <c r="BD334" s="245">
        <f t="shared" si="130"/>
        <v>0.95</v>
      </c>
      <c r="BE334" s="246">
        <f t="shared" si="131"/>
        <v>0</v>
      </c>
      <c r="BF334" s="247">
        <v>0</v>
      </c>
      <c r="BG334" s="248">
        <f t="shared" si="132"/>
        <v>1</v>
      </c>
      <c r="BH334" s="198"/>
      <c r="BI334" s="198"/>
      <c r="BJ334" s="199"/>
      <c r="BK334" s="200"/>
      <c r="BL334" s="200"/>
      <c r="BM334" s="200"/>
      <c r="BN334" s="200"/>
      <c r="BO334" s="10"/>
    </row>
    <row r="335" spans="1:67" ht="18" x14ac:dyDescent="0.25">
      <c r="A335" s="201">
        <v>227</v>
      </c>
      <c r="B335" s="286"/>
      <c r="C335" s="203">
        <f t="shared" si="103"/>
        <v>0</v>
      </c>
      <c r="D335" s="204"/>
      <c r="E335" s="204"/>
      <c r="F335" s="207"/>
      <c r="G335" s="206"/>
      <c r="H335" s="207"/>
      <c r="I335" s="208" t="s">
        <v>125</v>
      </c>
      <c r="J335" s="208" t="s">
        <v>126</v>
      </c>
      <c r="K335" s="287"/>
      <c r="L335" s="288"/>
      <c r="M335" s="289"/>
      <c r="N335" s="257"/>
      <c r="O335" s="213"/>
      <c r="P335" s="214"/>
      <c r="Q335" s="214"/>
      <c r="R335" s="214"/>
      <c r="S335" s="214"/>
      <c r="T335" s="214"/>
      <c r="U335" s="215">
        <f t="shared" si="104"/>
        <v>0</v>
      </c>
      <c r="V335" s="216" t="str">
        <f t="shared" si="105"/>
        <v/>
      </c>
      <c r="W335" s="217" t="str">
        <f t="shared" si="106"/>
        <v/>
      </c>
      <c r="X335" s="218" t="s">
        <v>20</v>
      </c>
      <c r="Y335" s="219" t="str">
        <f t="shared" si="107"/>
        <v>0 um/Dia</v>
      </c>
      <c r="Z335" s="220" t="str">
        <f t="shared" si="108"/>
        <v xml:space="preserve"> um / HH</v>
      </c>
      <c r="AA335" s="221" t="str">
        <f t="shared" si="109"/>
        <v/>
      </c>
      <c r="AB335" s="222" t="str">
        <f t="shared" si="110"/>
        <v>0 um /HH</v>
      </c>
      <c r="AC335" s="223">
        <f t="shared" si="111"/>
        <v>0</v>
      </c>
      <c r="AD335" s="224"/>
      <c r="AE335" s="225"/>
      <c r="AF335" s="226">
        <f t="shared" si="112"/>
        <v>0</v>
      </c>
      <c r="AG335" s="227">
        <f t="shared" si="113"/>
        <v>0</v>
      </c>
      <c r="AH335" s="228" t="s">
        <v>25</v>
      </c>
      <c r="AI335" s="229" t="str">
        <f t="shared" si="79"/>
        <v>Extremamente Complexa</v>
      </c>
      <c r="AJ335" s="230" t="str">
        <f t="shared" si="80"/>
        <v>Normal</v>
      </c>
      <c r="AK335" s="231">
        <f t="shared" si="114"/>
        <v>0</v>
      </c>
      <c r="AL335" s="232" t="str">
        <f t="shared" si="115"/>
        <v/>
      </c>
      <c r="AM335" s="233" t="str">
        <f t="shared" si="116"/>
        <v/>
      </c>
      <c r="AN335" s="233" t="str">
        <f t="shared" si="117"/>
        <v/>
      </c>
      <c r="AO335" s="234">
        <f t="shared" si="118"/>
        <v>0</v>
      </c>
      <c r="AP335" s="235">
        <f t="shared" si="133"/>
        <v>1</v>
      </c>
      <c r="AQ335" s="235">
        <f t="shared" si="133"/>
        <v>1</v>
      </c>
      <c r="AR335" s="235">
        <f t="shared" si="119"/>
        <v>1</v>
      </c>
      <c r="AS335" s="252">
        <f t="shared" si="120"/>
        <v>0</v>
      </c>
      <c r="AT335" s="238">
        <f t="shared" si="121"/>
        <v>0</v>
      </c>
      <c r="AU335" s="239">
        <f t="shared" si="122"/>
        <v>0</v>
      </c>
      <c r="AV335" s="239">
        <f t="shared" si="123"/>
        <v>0</v>
      </c>
      <c r="AW335" s="239">
        <f t="shared" si="124"/>
        <v>0.05</v>
      </c>
      <c r="AX335" s="240">
        <f t="shared" si="125"/>
        <v>0</v>
      </c>
      <c r="AY335" s="241" t="str">
        <f t="shared" si="126"/>
        <v/>
      </c>
      <c r="AZ335" s="242" t="str">
        <f>IFERROR(VLOOKUP(M335,'[1]Base Brasil Obras'!$C$2:$F$485,4,0),"")</f>
        <v/>
      </c>
      <c r="BA335" s="243">
        <f t="shared" si="127"/>
        <v>0</v>
      </c>
      <c r="BB335" s="244">
        <f t="shared" si="128"/>
        <v>0</v>
      </c>
      <c r="BC335" s="244">
        <f t="shared" si="129"/>
        <v>0.05</v>
      </c>
      <c r="BD335" s="245">
        <f t="shared" si="130"/>
        <v>0.95</v>
      </c>
      <c r="BE335" s="246">
        <f t="shared" si="131"/>
        <v>0</v>
      </c>
      <c r="BF335" s="247">
        <v>0</v>
      </c>
      <c r="BG335" s="248">
        <f t="shared" si="132"/>
        <v>1</v>
      </c>
      <c r="BH335" s="198"/>
      <c r="BI335" s="198"/>
      <c r="BJ335" s="199"/>
      <c r="BK335" s="200"/>
      <c r="BL335" s="200"/>
      <c r="BM335" s="200"/>
      <c r="BN335" s="200"/>
      <c r="BO335" s="10"/>
    </row>
    <row r="336" spans="1:67" ht="18" x14ac:dyDescent="0.25">
      <c r="A336" s="201">
        <v>228</v>
      </c>
      <c r="B336" s="286"/>
      <c r="C336" s="203">
        <f t="shared" si="103"/>
        <v>0</v>
      </c>
      <c r="D336" s="204"/>
      <c r="E336" s="204"/>
      <c r="F336" s="207"/>
      <c r="G336" s="206"/>
      <c r="H336" s="207"/>
      <c r="I336" s="208" t="s">
        <v>125</v>
      </c>
      <c r="J336" s="208" t="s">
        <v>126</v>
      </c>
      <c r="K336" s="287"/>
      <c r="L336" s="288"/>
      <c r="M336" s="289"/>
      <c r="N336" s="257"/>
      <c r="O336" s="213"/>
      <c r="P336" s="214"/>
      <c r="Q336" s="214"/>
      <c r="R336" s="214"/>
      <c r="S336" s="214"/>
      <c r="T336" s="214"/>
      <c r="U336" s="215">
        <f t="shared" si="104"/>
        <v>0</v>
      </c>
      <c r="V336" s="216" t="str">
        <f t="shared" si="105"/>
        <v/>
      </c>
      <c r="W336" s="217" t="str">
        <f t="shared" si="106"/>
        <v/>
      </c>
      <c r="X336" s="218" t="s">
        <v>20</v>
      </c>
      <c r="Y336" s="219" t="str">
        <f t="shared" si="107"/>
        <v>0 um/Dia</v>
      </c>
      <c r="Z336" s="220" t="str">
        <f t="shared" si="108"/>
        <v xml:space="preserve"> um / HH</v>
      </c>
      <c r="AA336" s="221" t="str">
        <f t="shared" si="109"/>
        <v/>
      </c>
      <c r="AB336" s="222" t="str">
        <f t="shared" si="110"/>
        <v>0 um /HH</v>
      </c>
      <c r="AC336" s="223">
        <f t="shared" si="111"/>
        <v>0</v>
      </c>
      <c r="AD336" s="224"/>
      <c r="AE336" s="225"/>
      <c r="AF336" s="226">
        <f t="shared" si="112"/>
        <v>0</v>
      </c>
      <c r="AG336" s="227">
        <f t="shared" si="113"/>
        <v>0</v>
      </c>
      <c r="AH336" s="228" t="s">
        <v>25</v>
      </c>
      <c r="AI336" s="229" t="str">
        <f t="shared" si="79"/>
        <v>Extremamente Complexa</v>
      </c>
      <c r="AJ336" s="230" t="str">
        <f t="shared" si="80"/>
        <v>Normal</v>
      </c>
      <c r="AK336" s="231">
        <f t="shared" si="114"/>
        <v>0</v>
      </c>
      <c r="AL336" s="232" t="str">
        <f t="shared" si="115"/>
        <v/>
      </c>
      <c r="AM336" s="233" t="str">
        <f t="shared" si="116"/>
        <v/>
      </c>
      <c r="AN336" s="233" t="str">
        <f t="shared" si="117"/>
        <v/>
      </c>
      <c r="AO336" s="234">
        <f t="shared" si="118"/>
        <v>0</v>
      </c>
      <c r="AP336" s="235">
        <f t="shared" si="133"/>
        <v>1</v>
      </c>
      <c r="AQ336" s="235">
        <f t="shared" si="133"/>
        <v>1</v>
      </c>
      <c r="AR336" s="236">
        <f t="shared" si="119"/>
        <v>1</v>
      </c>
      <c r="AS336" s="251">
        <f t="shared" si="120"/>
        <v>0</v>
      </c>
      <c r="AT336" s="238">
        <f t="shared" si="121"/>
        <v>0</v>
      </c>
      <c r="AU336" s="239">
        <f t="shared" si="122"/>
        <v>0</v>
      </c>
      <c r="AV336" s="239">
        <f t="shared" si="123"/>
        <v>0</v>
      </c>
      <c r="AW336" s="239">
        <f t="shared" si="124"/>
        <v>0.05</v>
      </c>
      <c r="AX336" s="240">
        <f t="shared" si="125"/>
        <v>0</v>
      </c>
      <c r="AY336" s="241" t="str">
        <f t="shared" si="126"/>
        <v/>
      </c>
      <c r="AZ336" s="242" t="str">
        <f>IFERROR(VLOOKUP(M336,'[1]Base Brasil Obras'!$C$2:$F$485,4,0),"")</f>
        <v/>
      </c>
      <c r="BA336" s="243">
        <f t="shared" si="127"/>
        <v>0</v>
      </c>
      <c r="BB336" s="244">
        <f t="shared" si="128"/>
        <v>0</v>
      </c>
      <c r="BC336" s="244">
        <f t="shared" si="129"/>
        <v>0.05</v>
      </c>
      <c r="BD336" s="245">
        <f t="shared" si="130"/>
        <v>0.95</v>
      </c>
      <c r="BE336" s="246">
        <f t="shared" si="131"/>
        <v>0</v>
      </c>
      <c r="BF336" s="247">
        <v>0</v>
      </c>
      <c r="BG336" s="248">
        <f t="shared" si="132"/>
        <v>1</v>
      </c>
      <c r="BH336" s="198"/>
      <c r="BI336" s="198"/>
      <c r="BJ336" s="199"/>
      <c r="BK336" s="200"/>
      <c r="BL336" s="200"/>
      <c r="BM336" s="200"/>
      <c r="BN336" s="200"/>
      <c r="BO336" s="10"/>
    </row>
    <row r="337" spans="1:67" ht="18" x14ac:dyDescent="0.25">
      <c r="A337" s="201">
        <v>229</v>
      </c>
      <c r="B337" s="286"/>
      <c r="C337" s="203">
        <f t="shared" si="103"/>
        <v>0</v>
      </c>
      <c r="D337" s="204"/>
      <c r="E337" s="204"/>
      <c r="F337" s="207"/>
      <c r="G337" s="206"/>
      <c r="H337" s="207"/>
      <c r="I337" s="208" t="s">
        <v>125</v>
      </c>
      <c r="J337" s="208" t="s">
        <v>126</v>
      </c>
      <c r="K337" s="287"/>
      <c r="L337" s="288"/>
      <c r="M337" s="289"/>
      <c r="N337" s="257"/>
      <c r="O337" s="213"/>
      <c r="P337" s="214"/>
      <c r="Q337" s="214"/>
      <c r="R337" s="214"/>
      <c r="S337" s="214"/>
      <c r="T337" s="214"/>
      <c r="U337" s="215">
        <f t="shared" si="104"/>
        <v>0</v>
      </c>
      <c r="V337" s="216" t="str">
        <f t="shared" si="105"/>
        <v/>
      </c>
      <c r="W337" s="217" t="str">
        <f t="shared" si="106"/>
        <v/>
      </c>
      <c r="X337" s="218" t="s">
        <v>20</v>
      </c>
      <c r="Y337" s="219" t="str">
        <f t="shared" si="107"/>
        <v>0 um/Dia</v>
      </c>
      <c r="Z337" s="220" t="str">
        <f t="shared" si="108"/>
        <v xml:space="preserve"> um / HH</v>
      </c>
      <c r="AA337" s="221" t="str">
        <f t="shared" si="109"/>
        <v/>
      </c>
      <c r="AB337" s="222" t="str">
        <f t="shared" si="110"/>
        <v>0 um /HH</v>
      </c>
      <c r="AC337" s="223">
        <f t="shared" si="111"/>
        <v>0</v>
      </c>
      <c r="AD337" s="224"/>
      <c r="AE337" s="225"/>
      <c r="AF337" s="226">
        <f t="shared" si="112"/>
        <v>0</v>
      </c>
      <c r="AG337" s="227">
        <f t="shared" si="113"/>
        <v>0</v>
      </c>
      <c r="AH337" s="228" t="s">
        <v>25</v>
      </c>
      <c r="AI337" s="229" t="str">
        <f t="shared" si="79"/>
        <v>Extremamente Complexa</v>
      </c>
      <c r="AJ337" s="230" t="str">
        <f t="shared" si="80"/>
        <v>Normal</v>
      </c>
      <c r="AK337" s="231">
        <f t="shared" si="114"/>
        <v>0</v>
      </c>
      <c r="AL337" s="232" t="str">
        <f t="shared" si="115"/>
        <v/>
      </c>
      <c r="AM337" s="233" t="str">
        <f t="shared" si="116"/>
        <v/>
      </c>
      <c r="AN337" s="233" t="str">
        <f t="shared" si="117"/>
        <v/>
      </c>
      <c r="AO337" s="234">
        <f t="shared" si="118"/>
        <v>0</v>
      </c>
      <c r="AP337" s="235">
        <f t="shared" si="133"/>
        <v>1</v>
      </c>
      <c r="AQ337" s="235">
        <f t="shared" si="133"/>
        <v>1</v>
      </c>
      <c r="AR337" s="235">
        <f t="shared" si="119"/>
        <v>1</v>
      </c>
      <c r="AS337" s="252">
        <f t="shared" si="120"/>
        <v>0</v>
      </c>
      <c r="AT337" s="238">
        <f t="shared" si="121"/>
        <v>0</v>
      </c>
      <c r="AU337" s="239">
        <f t="shared" si="122"/>
        <v>0</v>
      </c>
      <c r="AV337" s="239">
        <f t="shared" si="123"/>
        <v>0</v>
      </c>
      <c r="AW337" s="239">
        <f t="shared" si="124"/>
        <v>0.05</v>
      </c>
      <c r="AX337" s="240">
        <f t="shared" si="125"/>
        <v>0</v>
      </c>
      <c r="AY337" s="241" t="str">
        <f t="shared" si="126"/>
        <v/>
      </c>
      <c r="AZ337" s="242" t="str">
        <f>IFERROR(VLOOKUP(M337,'[1]Base Brasil Obras'!$C$2:$F$485,4,0),"")</f>
        <v/>
      </c>
      <c r="BA337" s="243">
        <f t="shared" si="127"/>
        <v>0</v>
      </c>
      <c r="BB337" s="244">
        <f t="shared" si="128"/>
        <v>0</v>
      </c>
      <c r="BC337" s="244">
        <f t="shared" si="129"/>
        <v>0.05</v>
      </c>
      <c r="BD337" s="245">
        <f t="shared" si="130"/>
        <v>0.95</v>
      </c>
      <c r="BE337" s="246">
        <f t="shared" si="131"/>
        <v>0</v>
      </c>
      <c r="BF337" s="247">
        <v>0</v>
      </c>
      <c r="BG337" s="248">
        <f t="shared" si="132"/>
        <v>1</v>
      </c>
      <c r="BH337" s="198"/>
      <c r="BI337" s="198"/>
      <c r="BJ337" s="199"/>
      <c r="BK337" s="200"/>
      <c r="BL337" s="200"/>
      <c r="BM337" s="200"/>
      <c r="BN337" s="200"/>
      <c r="BO337" s="10"/>
    </row>
    <row r="338" spans="1:67" ht="18" x14ac:dyDescent="0.25">
      <c r="A338" s="201">
        <v>230</v>
      </c>
      <c r="B338" s="286"/>
      <c r="C338" s="203">
        <f t="shared" si="103"/>
        <v>0</v>
      </c>
      <c r="D338" s="204"/>
      <c r="E338" s="204"/>
      <c r="F338" s="207"/>
      <c r="G338" s="206"/>
      <c r="H338" s="207"/>
      <c r="I338" s="208" t="s">
        <v>125</v>
      </c>
      <c r="J338" s="208" t="s">
        <v>126</v>
      </c>
      <c r="K338" s="287"/>
      <c r="L338" s="288"/>
      <c r="M338" s="289"/>
      <c r="N338" s="257"/>
      <c r="O338" s="213"/>
      <c r="P338" s="214"/>
      <c r="Q338" s="214"/>
      <c r="R338" s="214"/>
      <c r="S338" s="214"/>
      <c r="T338" s="214"/>
      <c r="U338" s="215">
        <f t="shared" si="104"/>
        <v>0</v>
      </c>
      <c r="V338" s="216" t="str">
        <f t="shared" si="105"/>
        <v/>
      </c>
      <c r="W338" s="217" t="str">
        <f t="shared" si="106"/>
        <v/>
      </c>
      <c r="X338" s="218" t="s">
        <v>20</v>
      </c>
      <c r="Y338" s="219" t="str">
        <f t="shared" si="107"/>
        <v>0 um/Dia</v>
      </c>
      <c r="Z338" s="220" t="str">
        <f t="shared" si="108"/>
        <v xml:space="preserve"> um / HH</v>
      </c>
      <c r="AA338" s="221" t="str">
        <f t="shared" si="109"/>
        <v/>
      </c>
      <c r="AB338" s="222" t="str">
        <f t="shared" si="110"/>
        <v>0 um /HH</v>
      </c>
      <c r="AC338" s="223">
        <f t="shared" si="111"/>
        <v>0</v>
      </c>
      <c r="AD338" s="224"/>
      <c r="AE338" s="225"/>
      <c r="AF338" s="226">
        <f t="shared" si="112"/>
        <v>0</v>
      </c>
      <c r="AG338" s="227">
        <f t="shared" si="113"/>
        <v>0</v>
      </c>
      <c r="AH338" s="228" t="s">
        <v>25</v>
      </c>
      <c r="AI338" s="229" t="str">
        <f t="shared" si="79"/>
        <v>Extremamente Complexa</v>
      </c>
      <c r="AJ338" s="230" t="str">
        <f t="shared" si="80"/>
        <v>Normal</v>
      </c>
      <c r="AK338" s="231">
        <f t="shared" si="114"/>
        <v>0</v>
      </c>
      <c r="AL338" s="232" t="str">
        <f t="shared" si="115"/>
        <v/>
      </c>
      <c r="AM338" s="233" t="str">
        <f t="shared" si="116"/>
        <v/>
      </c>
      <c r="AN338" s="233" t="str">
        <f t="shared" si="117"/>
        <v/>
      </c>
      <c r="AO338" s="234">
        <f t="shared" si="118"/>
        <v>0</v>
      </c>
      <c r="AP338" s="235">
        <f t="shared" si="133"/>
        <v>1</v>
      </c>
      <c r="AQ338" s="235">
        <f t="shared" si="133"/>
        <v>1</v>
      </c>
      <c r="AR338" s="236">
        <f t="shared" si="119"/>
        <v>1</v>
      </c>
      <c r="AS338" s="251">
        <f t="shared" si="120"/>
        <v>0</v>
      </c>
      <c r="AT338" s="238">
        <f t="shared" si="121"/>
        <v>0</v>
      </c>
      <c r="AU338" s="239">
        <f t="shared" si="122"/>
        <v>0</v>
      </c>
      <c r="AV338" s="239">
        <f t="shared" si="123"/>
        <v>0</v>
      </c>
      <c r="AW338" s="239">
        <f t="shared" si="124"/>
        <v>0.05</v>
      </c>
      <c r="AX338" s="240">
        <f t="shared" si="125"/>
        <v>0</v>
      </c>
      <c r="AY338" s="241" t="str">
        <f t="shared" si="126"/>
        <v/>
      </c>
      <c r="AZ338" s="242" t="str">
        <f>IFERROR(VLOOKUP(M338,'[1]Base Brasil Obras'!$C$2:$F$485,4,0),"")</f>
        <v/>
      </c>
      <c r="BA338" s="243">
        <f t="shared" si="127"/>
        <v>0</v>
      </c>
      <c r="BB338" s="244">
        <f t="shared" si="128"/>
        <v>0</v>
      </c>
      <c r="BC338" s="244">
        <f t="shared" si="129"/>
        <v>0.05</v>
      </c>
      <c r="BD338" s="245">
        <f t="shared" si="130"/>
        <v>0.95</v>
      </c>
      <c r="BE338" s="246">
        <f t="shared" si="131"/>
        <v>0</v>
      </c>
      <c r="BF338" s="247">
        <v>0</v>
      </c>
      <c r="BG338" s="248">
        <f t="shared" si="132"/>
        <v>1</v>
      </c>
      <c r="BH338" s="198"/>
      <c r="BI338" s="198"/>
      <c r="BJ338" s="199"/>
      <c r="BK338" s="200"/>
      <c r="BL338" s="200"/>
      <c r="BM338" s="200"/>
      <c r="BN338" s="200"/>
      <c r="BO338" s="10"/>
    </row>
    <row r="339" spans="1:67" ht="18" x14ac:dyDescent="0.25">
      <c r="A339" s="201">
        <v>231</v>
      </c>
      <c r="B339" s="286"/>
      <c r="C339" s="203">
        <f t="shared" si="103"/>
        <v>0</v>
      </c>
      <c r="D339" s="204"/>
      <c r="E339" s="204"/>
      <c r="F339" s="207"/>
      <c r="G339" s="206"/>
      <c r="H339" s="207"/>
      <c r="I339" s="208" t="s">
        <v>125</v>
      </c>
      <c r="J339" s="208" t="s">
        <v>126</v>
      </c>
      <c r="K339" s="287"/>
      <c r="L339" s="288"/>
      <c r="M339" s="289"/>
      <c r="N339" s="257"/>
      <c r="O339" s="213"/>
      <c r="P339" s="214"/>
      <c r="Q339" s="214"/>
      <c r="R339" s="214"/>
      <c r="S339" s="214"/>
      <c r="T339" s="214"/>
      <c r="U339" s="215">
        <f t="shared" si="104"/>
        <v>0</v>
      </c>
      <c r="V339" s="216" t="str">
        <f t="shared" si="105"/>
        <v/>
      </c>
      <c r="W339" s="217" t="str">
        <f t="shared" si="106"/>
        <v/>
      </c>
      <c r="X339" s="218" t="s">
        <v>20</v>
      </c>
      <c r="Y339" s="219" t="str">
        <f t="shared" si="107"/>
        <v>0 um/Dia</v>
      </c>
      <c r="Z339" s="220" t="str">
        <f t="shared" si="108"/>
        <v xml:space="preserve"> um / HH</v>
      </c>
      <c r="AA339" s="221" t="str">
        <f t="shared" si="109"/>
        <v/>
      </c>
      <c r="AB339" s="222" t="str">
        <f t="shared" si="110"/>
        <v>0 um /HH</v>
      </c>
      <c r="AC339" s="223">
        <f t="shared" si="111"/>
        <v>0</v>
      </c>
      <c r="AD339" s="224"/>
      <c r="AE339" s="225"/>
      <c r="AF339" s="226">
        <f t="shared" si="112"/>
        <v>0</v>
      </c>
      <c r="AG339" s="227">
        <f t="shared" si="113"/>
        <v>0</v>
      </c>
      <c r="AH339" s="228" t="s">
        <v>25</v>
      </c>
      <c r="AI339" s="229" t="str">
        <f t="shared" si="79"/>
        <v>Extremamente Complexa</v>
      </c>
      <c r="AJ339" s="230" t="str">
        <f t="shared" si="80"/>
        <v>Normal</v>
      </c>
      <c r="AK339" s="231">
        <f t="shared" si="114"/>
        <v>0</v>
      </c>
      <c r="AL339" s="232" t="str">
        <f t="shared" si="115"/>
        <v/>
      </c>
      <c r="AM339" s="233" t="str">
        <f t="shared" si="116"/>
        <v/>
      </c>
      <c r="AN339" s="233" t="str">
        <f t="shared" si="117"/>
        <v/>
      </c>
      <c r="AO339" s="234">
        <f t="shared" si="118"/>
        <v>0</v>
      </c>
      <c r="AP339" s="235">
        <f t="shared" si="133"/>
        <v>1</v>
      </c>
      <c r="AQ339" s="235">
        <f t="shared" si="133"/>
        <v>1</v>
      </c>
      <c r="AR339" s="235">
        <f t="shared" si="119"/>
        <v>1</v>
      </c>
      <c r="AS339" s="252">
        <f t="shared" si="120"/>
        <v>0</v>
      </c>
      <c r="AT339" s="238">
        <f t="shared" si="121"/>
        <v>0</v>
      </c>
      <c r="AU339" s="239">
        <f t="shared" si="122"/>
        <v>0</v>
      </c>
      <c r="AV339" s="239">
        <f t="shared" si="123"/>
        <v>0</v>
      </c>
      <c r="AW339" s="239">
        <f t="shared" si="124"/>
        <v>0.05</v>
      </c>
      <c r="AX339" s="240">
        <f t="shared" si="125"/>
        <v>0</v>
      </c>
      <c r="AY339" s="241" t="str">
        <f t="shared" si="126"/>
        <v/>
      </c>
      <c r="AZ339" s="242" t="str">
        <f>IFERROR(VLOOKUP(M339,'[1]Base Brasil Obras'!$C$2:$F$485,4,0),"")</f>
        <v/>
      </c>
      <c r="BA339" s="243">
        <f t="shared" si="127"/>
        <v>0</v>
      </c>
      <c r="BB339" s="244">
        <f t="shared" si="128"/>
        <v>0</v>
      </c>
      <c r="BC339" s="244">
        <f t="shared" si="129"/>
        <v>0.05</v>
      </c>
      <c r="BD339" s="245">
        <f t="shared" si="130"/>
        <v>0.95</v>
      </c>
      <c r="BE339" s="246">
        <f t="shared" si="131"/>
        <v>0</v>
      </c>
      <c r="BF339" s="247">
        <v>0</v>
      </c>
      <c r="BG339" s="248">
        <f t="shared" si="132"/>
        <v>1</v>
      </c>
      <c r="BH339" s="198"/>
      <c r="BI339" s="198"/>
      <c r="BJ339" s="199"/>
      <c r="BK339" s="200"/>
      <c r="BL339" s="200"/>
      <c r="BM339" s="200"/>
      <c r="BN339" s="200"/>
      <c r="BO339" s="10"/>
    </row>
    <row r="340" spans="1:67" ht="18" x14ac:dyDescent="0.25">
      <c r="A340" s="201">
        <v>232</v>
      </c>
      <c r="B340" s="286"/>
      <c r="C340" s="203">
        <f t="shared" si="103"/>
        <v>0</v>
      </c>
      <c r="D340" s="204"/>
      <c r="E340" s="204"/>
      <c r="F340" s="207"/>
      <c r="G340" s="206"/>
      <c r="H340" s="207"/>
      <c r="I340" s="208" t="s">
        <v>125</v>
      </c>
      <c r="J340" s="208" t="s">
        <v>126</v>
      </c>
      <c r="K340" s="287"/>
      <c r="L340" s="288"/>
      <c r="M340" s="289"/>
      <c r="N340" s="257"/>
      <c r="O340" s="213"/>
      <c r="P340" s="214"/>
      <c r="Q340" s="214"/>
      <c r="R340" s="214"/>
      <c r="S340" s="214"/>
      <c r="T340" s="214"/>
      <c r="U340" s="215">
        <f t="shared" si="104"/>
        <v>0</v>
      </c>
      <c r="V340" s="216" t="str">
        <f t="shared" si="105"/>
        <v/>
      </c>
      <c r="W340" s="217" t="str">
        <f t="shared" si="106"/>
        <v/>
      </c>
      <c r="X340" s="218" t="s">
        <v>20</v>
      </c>
      <c r="Y340" s="219" t="str">
        <f t="shared" si="107"/>
        <v>0 um/Dia</v>
      </c>
      <c r="Z340" s="220" t="str">
        <f t="shared" si="108"/>
        <v xml:space="preserve"> um / HH</v>
      </c>
      <c r="AA340" s="221" t="str">
        <f t="shared" si="109"/>
        <v/>
      </c>
      <c r="AB340" s="222" t="str">
        <f t="shared" si="110"/>
        <v>0 um /HH</v>
      </c>
      <c r="AC340" s="223">
        <f t="shared" si="111"/>
        <v>0</v>
      </c>
      <c r="AD340" s="224"/>
      <c r="AE340" s="225"/>
      <c r="AF340" s="226">
        <f t="shared" si="112"/>
        <v>0</v>
      </c>
      <c r="AG340" s="227">
        <f t="shared" si="113"/>
        <v>0</v>
      </c>
      <c r="AH340" s="228" t="s">
        <v>25</v>
      </c>
      <c r="AI340" s="229" t="str">
        <f t="shared" si="79"/>
        <v>Extremamente Complexa</v>
      </c>
      <c r="AJ340" s="230" t="str">
        <f t="shared" si="80"/>
        <v>Normal</v>
      </c>
      <c r="AK340" s="231">
        <f t="shared" si="114"/>
        <v>0</v>
      </c>
      <c r="AL340" s="232" t="str">
        <f t="shared" si="115"/>
        <v/>
      </c>
      <c r="AM340" s="233" t="str">
        <f t="shared" si="116"/>
        <v/>
      </c>
      <c r="AN340" s="233" t="str">
        <f t="shared" si="117"/>
        <v/>
      </c>
      <c r="AO340" s="234">
        <f t="shared" si="118"/>
        <v>0</v>
      </c>
      <c r="AP340" s="235">
        <f t="shared" si="133"/>
        <v>1</v>
      </c>
      <c r="AQ340" s="235">
        <f t="shared" si="133"/>
        <v>1</v>
      </c>
      <c r="AR340" s="236">
        <f t="shared" si="119"/>
        <v>1</v>
      </c>
      <c r="AS340" s="251">
        <f t="shared" si="120"/>
        <v>0</v>
      </c>
      <c r="AT340" s="238">
        <f t="shared" si="121"/>
        <v>0</v>
      </c>
      <c r="AU340" s="239">
        <f t="shared" si="122"/>
        <v>0</v>
      </c>
      <c r="AV340" s="239">
        <f t="shared" si="123"/>
        <v>0</v>
      </c>
      <c r="AW340" s="239">
        <f t="shared" si="124"/>
        <v>0.05</v>
      </c>
      <c r="AX340" s="240">
        <f t="shared" si="125"/>
        <v>0</v>
      </c>
      <c r="AY340" s="241" t="str">
        <f t="shared" si="126"/>
        <v/>
      </c>
      <c r="AZ340" s="242" t="str">
        <f>IFERROR(VLOOKUP(M340,'[1]Base Brasil Obras'!$C$2:$F$485,4,0),"")</f>
        <v/>
      </c>
      <c r="BA340" s="243">
        <f t="shared" si="127"/>
        <v>0</v>
      </c>
      <c r="BB340" s="244">
        <f t="shared" si="128"/>
        <v>0</v>
      </c>
      <c r="BC340" s="244">
        <f t="shared" si="129"/>
        <v>0.05</v>
      </c>
      <c r="BD340" s="245">
        <f t="shared" si="130"/>
        <v>0.95</v>
      </c>
      <c r="BE340" s="246">
        <f t="shared" si="131"/>
        <v>0</v>
      </c>
      <c r="BF340" s="247">
        <v>0</v>
      </c>
      <c r="BG340" s="248">
        <f t="shared" si="132"/>
        <v>1</v>
      </c>
      <c r="BH340" s="198"/>
      <c r="BI340" s="198"/>
      <c r="BJ340" s="199"/>
      <c r="BK340" s="200"/>
      <c r="BL340" s="200"/>
      <c r="BM340" s="200"/>
      <c r="BN340" s="200"/>
      <c r="BO340" s="10"/>
    </row>
    <row r="341" spans="1:67" ht="18" x14ac:dyDescent="0.25">
      <c r="A341" s="201">
        <v>233</v>
      </c>
      <c r="B341" s="286"/>
      <c r="C341" s="203">
        <f t="shared" si="103"/>
        <v>0</v>
      </c>
      <c r="D341" s="204"/>
      <c r="E341" s="204"/>
      <c r="F341" s="207"/>
      <c r="G341" s="206"/>
      <c r="H341" s="207"/>
      <c r="I341" s="208" t="s">
        <v>125</v>
      </c>
      <c r="J341" s="208" t="s">
        <v>126</v>
      </c>
      <c r="K341" s="287"/>
      <c r="L341" s="288"/>
      <c r="M341" s="289"/>
      <c r="N341" s="257"/>
      <c r="O341" s="213"/>
      <c r="P341" s="214"/>
      <c r="Q341" s="214"/>
      <c r="R341" s="214"/>
      <c r="S341" s="214"/>
      <c r="T341" s="214"/>
      <c r="U341" s="215">
        <f t="shared" si="104"/>
        <v>0</v>
      </c>
      <c r="V341" s="216" t="str">
        <f t="shared" si="105"/>
        <v/>
      </c>
      <c r="W341" s="217" t="str">
        <f t="shared" si="106"/>
        <v/>
      </c>
      <c r="X341" s="218" t="s">
        <v>20</v>
      </c>
      <c r="Y341" s="219" t="str">
        <f t="shared" si="107"/>
        <v>0 um/Dia</v>
      </c>
      <c r="Z341" s="220" t="str">
        <f t="shared" si="108"/>
        <v xml:space="preserve"> um / HH</v>
      </c>
      <c r="AA341" s="221" t="str">
        <f t="shared" si="109"/>
        <v/>
      </c>
      <c r="AB341" s="222" t="str">
        <f t="shared" si="110"/>
        <v>0 um /HH</v>
      </c>
      <c r="AC341" s="223">
        <f t="shared" si="111"/>
        <v>0</v>
      </c>
      <c r="AD341" s="224"/>
      <c r="AE341" s="225"/>
      <c r="AF341" s="226">
        <f t="shared" si="112"/>
        <v>0</v>
      </c>
      <c r="AG341" s="227">
        <f t="shared" si="113"/>
        <v>0</v>
      </c>
      <c r="AH341" s="228" t="s">
        <v>25</v>
      </c>
      <c r="AI341" s="229" t="str">
        <f t="shared" si="79"/>
        <v>Extremamente Complexa</v>
      </c>
      <c r="AJ341" s="230" t="str">
        <f t="shared" si="80"/>
        <v>Normal</v>
      </c>
      <c r="AK341" s="231">
        <f t="shared" si="114"/>
        <v>0</v>
      </c>
      <c r="AL341" s="232" t="str">
        <f t="shared" si="115"/>
        <v/>
      </c>
      <c r="AM341" s="233" t="str">
        <f t="shared" si="116"/>
        <v/>
      </c>
      <c r="AN341" s="233" t="str">
        <f t="shared" si="117"/>
        <v/>
      </c>
      <c r="AO341" s="234">
        <f t="shared" si="118"/>
        <v>0</v>
      </c>
      <c r="AP341" s="235">
        <f t="shared" si="133"/>
        <v>1</v>
      </c>
      <c r="AQ341" s="235">
        <f t="shared" si="133"/>
        <v>1</v>
      </c>
      <c r="AR341" s="235">
        <f t="shared" si="119"/>
        <v>1</v>
      </c>
      <c r="AS341" s="252">
        <f t="shared" si="120"/>
        <v>0</v>
      </c>
      <c r="AT341" s="238">
        <f t="shared" si="121"/>
        <v>0</v>
      </c>
      <c r="AU341" s="239">
        <f t="shared" si="122"/>
        <v>0</v>
      </c>
      <c r="AV341" s="239">
        <f t="shared" si="123"/>
        <v>0</v>
      </c>
      <c r="AW341" s="239">
        <f t="shared" si="124"/>
        <v>0.05</v>
      </c>
      <c r="AX341" s="240">
        <f t="shared" si="125"/>
        <v>0</v>
      </c>
      <c r="AY341" s="241" t="str">
        <f t="shared" si="126"/>
        <v/>
      </c>
      <c r="AZ341" s="242" t="str">
        <f>IFERROR(VLOOKUP(M341,'[1]Base Brasil Obras'!$C$2:$F$485,4,0),"")</f>
        <v/>
      </c>
      <c r="BA341" s="243">
        <f t="shared" si="127"/>
        <v>0</v>
      </c>
      <c r="BB341" s="244">
        <f t="shared" si="128"/>
        <v>0</v>
      </c>
      <c r="BC341" s="244">
        <f t="shared" si="129"/>
        <v>0.05</v>
      </c>
      <c r="BD341" s="245">
        <f t="shared" si="130"/>
        <v>0.95</v>
      </c>
      <c r="BE341" s="246">
        <f t="shared" si="131"/>
        <v>0</v>
      </c>
      <c r="BF341" s="247">
        <v>0</v>
      </c>
      <c r="BG341" s="248">
        <f t="shared" si="132"/>
        <v>1</v>
      </c>
      <c r="BH341" s="198"/>
      <c r="BI341" s="198"/>
      <c r="BJ341" s="199"/>
      <c r="BK341" s="200"/>
      <c r="BL341" s="200"/>
      <c r="BM341" s="200"/>
      <c r="BN341" s="200"/>
      <c r="BO341" s="10"/>
    </row>
    <row r="342" spans="1:67" ht="18" x14ac:dyDescent="0.25">
      <c r="A342" s="201">
        <v>234</v>
      </c>
      <c r="B342" s="286"/>
      <c r="C342" s="203">
        <f t="shared" si="103"/>
        <v>0</v>
      </c>
      <c r="D342" s="204"/>
      <c r="E342" s="204"/>
      <c r="F342" s="207"/>
      <c r="G342" s="206"/>
      <c r="H342" s="207"/>
      <c r="I342" s="208" t="s">
        <v>125</v>
      </c>
      <c r="J342" s="208" t="s">
        <v>126</v>
      </c>
      <c r="K342" s="287"/>
      <c r="L342" s="288"/>
      <c r="M342" s="289"/>
      <c r="N342" s="257"/>
      <c r="O342" s="213"/>
      <c r="P342" s="214"/>
      <c r="Q342" s="214"/>
      <c r="R342" s="214"/>
      <c r="S342" s="214"/>
      <c r="T342" s="214"/>
      <c r="U342" s="215">
        <f t="shared" si="104"/>
        <v>0</v>
      </c>
      <c r="V342" s="216" t="str">
        <f t="shared" si="105"/>
        <v/>
      </c>
      <c r="W342" s="217" t="str">
        <f t="shared" si="106"/>
        <v/>
      </c>
      <c r="X342" s="218" t="s">
        <v>20</v>
      </c>
      <c r="Y342" s="219" t="str">
        <f t="shared" si="107"/>
        <v>0 um/Dia</v>
      </c>
      <c r="Z342" s="220" t="str">
        <f t="shared" si="108"/>
        <v xml:space="preserve"> um / HH</v>
      </c>
      <c r="AA342" s="221" t="str">
        <f t="shared" si="109"/>
        <v/>
      </c>
      <c r="AB342" s="222" t="str">
        <f t="shared" si="110"/>
        <v>0 um /HH</v>
      </c>
      <c r="AC342" s="223">
        <f t="shared" si="111"/>
        <v>0</v>
      </c>
      <c r="AD342" s="224"/>
      <c r="AE342" s="225"/>
      <c r="AF342" s="226">
        <f t="shared" si="112"/>
        <v>0</v>
      </c>
      <c r="AG342" s="227">
        <f t="shared" si="113"/>
        <v>0</v>
      </c>
      <c r="AH342" s="228" t="s">
        <v>25</v>
      </c>
      <c r="AI342" s="229" t="str">
        <f t="shared" si="79"/>
        <v>Extremamente Complexa</v>
      </c>
      <c r="AJ342" s="230" t="str">
        <f t="shared" si="80"/>
        <v>Normal</v>
      </c>
      <c r="AK342" s="231">
        <f t="shared" si="114"/>
        <v>0</v>
      </c>
      <c r="AL342" s="232" t="str">
        <f t="shared" si="115"/>
        <v/>
      </c>
      <c r="AM342" s="233" t="str">
        <f t="shared" si="116"/>
        <v/>
      </c>
      <c r="AN342" s="233" t="str">
        <f t="shared" si="117"/>
        <v/>
      </c>
      <c r="AO342" s="234">
        <f t="shared" si="118"/>
        <v>0</v>
      </c>
      <c r="AP342" s="235">
        <f t="shared" si="133"/>
        <v>1</v>
      </c>
      <c r="AQ342" s="235">
        <f t="shared" si="133"/>
        <v>1</v>
      </c>
      <c r="AR342" s="236">
        <f t="shared" si="119"/>
        <v>1</v>
      </c>
      <c r="AS342" s="251">
        <f t="shared" si="120"/>
        <v>0</v>
      </c>
      <c r="AT342" s="238">
        <f t="shared" si="121"/>
        <v>0</v>
      </c>
      <c r="AU342" s="239">
        <f t="shared" si="122"/>
        <v>0</v>
      </c>
      <c r="AV342" s="239">
        <f t="shared" si="123"/>
        <v>0</v>
      </c>
      <c r="AW342" s="239">
        <f t="shared" si="124"/>
        <v>0.05</v>
      </c>
      <c r="AX342" s="240">
        <f t="shared" si="125"/>
        <v>0</v>
      </c>
      <c r="AY342" s="241" t="str">
        <f t="shared" si="126"/>
        <v/>
      </c>
      <c r="AZ342" s="242" t="str">
        <f>IFERROR(VLOOKUP(M342,'[1]Base Brasil Obras'!$C$2:$F$485,4,0),"")</f>
        <v/>
      </c>
      <c r="BA342" s="243">
        <f t="shared" si="127"/>
        <v>0</v>
      </c>
      <c r="BB342" s="244">
        <f t="shared" si="128"/>
        <v>0</v>
      </c>
      <c r="BC342" s="244">
        <f t="shared" si="129"/>
        <v>0.05</v>
      </c>
      <c r="BD342" s="245">
        <f t="shared" si="130"/>
        <v>0.95</v>
      </c>
      <c r="BE342" s="246">
        <f t="shared" si="131"/>
        <v>0</v>
      </c>
      <c r="BF342" s="247">
        <v>0</v>
      </c>
      <c r="BG342" s="248">
        <f t="shared" si="132"/>
        <v>1</v>
      </c>
      <c r="BH342" s="198"/>
      <c r="BI342" s="198"/>
      <c r="BJ342" s="199"/>
      <c r="BK342" s="200"/>
      <c r="BL342" s="200"/>
      <c r="BM342" s="200"/>
      <c r="BN342" s="200"/>
      <c r="BO342" s="10"/>
    </row>
    <row r="343" spans="1:67" ht="18" x14ac:dyDescent="0.25">
      <c r="A343" s="201">
        <v>235</v>
      </c>
      <c r="B343" s="286"/>
      <c r="C343" s="203">
        <f t="shared" si="103"/>
        <v>0</v>
      </c>
      <c r="D343" s="204"/>
      <c r="E343" s="204"/>
      <c r="F343" s="207"/>
      <c r="G343" s="206"/>
      <c r="H343" s="207"/>
      <c r="I343" s="208" t="s">
        <v>125</v>
      </c>
      <c r="J343" s="208" t="s">
        <v>126</v>
      </c>
      <c r="K343" s="287"/>
      <c r="L343" s="288"/>
      <c r="M343" s="289"/>
      <c r="N343" s="257"/>
      <c r="O343" s="213"/>
      <c r="P343" s="214"/>
      <c r="Q343" s="214"/>
      <c r="R343" s="214"/>
      <c r="S343" s="214"/>
      <c r="T343" s="214"/>
      <c r="U343" s="215">
        <f t="shared" si="104"/>
        <v>0</v>
      </c>
      <c r="V343" s="216" t="str">
        <f t="shared" si="105"/>
        <v/>
      </c>
      <c r="W343" s="217" t="str">
        <f t="shared" si="106"/>
        <v/>
      </c>
      <c r="X343" s="218" t="s">
        <v>20</v>
      </c>
      <c r="Y343" s="219" t="str">
        <f t="shared" si="107"/>
        <v>0 um/Dia</v>
      </c>
      <c r="Z343" s="220" t="str">
        <f t="shared" si="108"/>
        <v xml:space="preserve"> um / HH</v>
      </c>
      <c r="AA343" s="221" t="str">
        <f t="shared" si="109"/>
        <v/>
      </c>
      <c r="AB343" s="222" t="str">
        <f t="shared" si="110"/>
        <v>0 um /HH</v>
      </c>
      <c r="AC343" s="223">
        <f t="shared" si="111"/>
        <v>0</v>
      </c>
      <c r="AD343" s="224"/>
      <c r="AE343" s="225"/>
      <c r="AF343" s="226">
        <f t="shared" si="112"/>
        <v>0</v>
      </c>
      <c r="AG343" s="227">
        <f t="shared" si="113"/>
        <v>0</v>
      </c>
      <c r="AH343" s="228" t="s">
        <v>25</v>
      </c>
      <c r="AI343" s="229" t="str">
        <f t="shared" si="79"/>
        <v>Extremamente Complexa</v>
      </c>
      <c r="AJ343" s="230" t="str">
        <f t="shared" si="80"/>
        <v>Normal</v>
      </c>
      <c r="AK343" s="231">
        <f t="shared" si="114"/>
        <v>0</v>
      </c>
      <c r="AL343" s="232" t="str">
        <f t="shared" si="115"/>
        <v/>
      </c>
      <c r="AM343" s="233" t="str">
        <f t="shared" si="116"/>
        <v/>
      </c>
      <c r="AN343" s="233" t="str">
        <f t="shared" si="117"/>
        <v/>
      </c>
      <c r="AO343" s="234">
        <f t="shared" si="118"/>
        <v>0</v>
      </c>
      <c r="AP343" s="235">
        <f t="shared" si="133"/>
        <v>1</v>
      </c>
      <c r="AQ343" s="235">
        <f t="shared" si="133"/>
        <v>1</v>
      </c>
      <c r="AR343" s="235">
        <f t="shared" si="119"/>
        <v>1</v>
      </c>
      <c r="AS343" s="252">
        <f t="shared" si="120"/>
        <v>0</v>
      </c>
      <c r="AT343" s="238">
        <f t="shared" si="121"/>
        <v>0</v>
      </c>
      <c r="AU343" s="239">
        <f t="shared" si="122"/>
        <v>0</v>
      </c>
      <c r="AV343" s="239">
        <f t="shared" si="123"/>
        <v>0</v>
      </c>
      <c r="AW343" s="239">
        <f t="shared" si="124"/>
        <v>0.05</v>
      </c>
      <c r="AX343" s="240">
        <f t="shared" si="125"/>
        <v>0</v>
      </c>
      <c r="AY343" s="241" t="str">
        <f t="shared" si="126"/>
        <v/>
      </c>
      <c r="AZ343" s="242" t="str">
        <f>IFERROR(VLOOKUP(M343,'[1]Base Brasil Obras'!$C$2:$F$485,4,0),"")</f>
        <v/>
      </c>
      <c r="BA343" s="243">
        <f t="shared" si="127"/>
        <v>0</v>
      </c>
      <c r="BB343" s="244">
        <f t="shared" si="128"/>
        <v>0</v>
      </c>
      <c r="BC343" s="244">
        <f t="shared" si="129"/>
        <v>0.05</v>
      </c>
      <c r="BD343" s="245">
        <f t="shared" si="130"/>
        <v>0.95</v>
      </c>
      <c r="BE343" s="246">
        <f t="shared" si="131"/>
        <v>0</v>
      </c>
      <c r="BF343" s="247">
        <v>0</v>
      </c>
      <c r="BG343" s="248">
        <f t="shared" si="132"/>
        <v>1</v>
      </c>
      <c r="BH343" s="198"/>
      <c r="BI343" s="198"/>
      <c r="BJ343" s="199"/>
      <c r="BK343" s="200"/>
      <c r="BL343" s="200"/>
      <c r="BM343" s="200"/>
      <c r="BN343" s="200"/>
      <c r="BO343" s="10"/>
    </row>
    <row r="344" spans="1:67" ht="18" x14ac:dyDescent="0.25">
      <c r="A344" s="201">
        <v>236</v>
      </c>
      <c r="B344" s="286"/>
      <c r="C344" s="203">
        <f t="shared" si="103"/>
        <v>0</v>
      </c>
      <c r="D344" s="204"/>
      <c r="E344" s="204"/>
      <c r="F344" s="207"/>
      <c r="G344" s="206"/>
      <c r="H344" s="207"/>
      <c r="I344" s="208" t="s">
        <v>125</v>
      </c>
      <c r="J344" s="208" t="s">
        <v>126</v>
      </c>
      <c r="K344" s="287"/>
      <c r="L344" s="288"/>
      <c r="M344" s="289"/>
      <c r="N344" s="257"/>
      <c r="O344" s="213"/>
      <c r="P344" s="214"/>
      <c r="Q344" s="214"/>
      <c r="R344" s="214"/>
      <c r="S344" s="214"/>
      <c r="T344" s="214"/>
      <c r="U344" s="215">
        <f t="shared" si="104"/>
        <v>0</v>
      </c>
      <c r="V344" s="216" t="str">
        <f t="shared" si="105"/>
        <v/>
      </c>
      <c r="W344" s="217" t="str">
        <f t="shared" si="106"/>
        <v/>
      </c>
      <c r="X344" s="218" t="s">
        <v>20</v>
      </c>
      <c r="Y344" s="219" t="str">
        <f t="shared" si="107"/>
        <v>0 um/Dia</v>
      </c>
      <c r="Z344" s="220" t="str">
        <f t="shared" si="108"/>
        <v xml:space="preserve"> um / HH</v>
      </c>
      <c r="AA344" s="221" t="str">
        <f t="shared" si="109"/>
        <v/>
      </c>
      <c r="AB344" s="222" t="str">
        <f t="shared" si="110"/>
        <v>0 um /HH</v>
      </c>
      <c r="AC344" s="223">
        <f t="shared" si="111"/>
        <v>0</v>
      </c>
      <c r="AD344" s="224"/>
      <c r="AE344" s="225"/>
      <c r="AF344" s="226">
        <f t="shared" si="112"/>
        <v>0</v>
      </c>
      <c r="AG344" s="227">
        <f t="shared" si="113"/>
        <v>0</v>
      </c>
      <c r="AH344" s="228" t="s">
        <v>25</v>
      </c>
      <c r="AI344" s="229" t="str">
        <f t="shared" si="79"/>
        <v>Extremamente Complexa</v>
      </c>
      <c r="AJ344" s="230" t="str">
        <f t="shared" si="80"/>
        <v>Normal</v>
      </c>
      <c r="AK344" s="231">
        <f t="shared" si="114"/>
        <v>0</v>
      </c>
      <c r="AL344" s="232" t="str">
        <f t="shared" si="115"/>
        <v/>
      </c>
      <c r="AM344" s="233" t="str">
        <f t="shared" si="116"/>
        <v/>
      </c>
      <c r="AN344" s="233" t="str">
        <f t="shared" si="117"/>
        <v/>
      </c>
      <c r="AO344" s="234">
        <f t="shared" si="118"/>
        <v>0</v>
      </c>
      <c r="AP344" s="235">
        <f t="shared" si="133"/>
        <v>1</v>
      </c>
      <c r="AQ344" s="235">
        <f t="shared" si="133"/>
        <v>1</v>
      </c>
      <c r="AR344" s="236">
        <f t="shared" si="119"/>
        <v>1</v>
      </c>
      <c r="AS344" s="251">
        <f t="shared" si="120"/>
        <v>0</v>
      </c>
      <c r="AT344" s="238">
        <f t="shared" si="121"/>
        <v>0</v>
      </c>
      <c r="AU344" s="239">
        <f t="shared" si="122"/>
        <v>0</v>
      </c>
      <c r="AV344" s="239">
        <f t="shared" si="123"/>
        <v>0</v>
      </c>
      <c r="AW344" s="239">
        <f t="shared" si="124"/>
        <v>0.05</v>
      </c>
      <c r="AX344" s="240">
        <f t="shared" si="125"/>
        <v>0</v>
      </c>
      <c r="AY344" s="241" t="str">
        <f t="shared" si="126"/>
        <v/>
      </c>
      <c r="AZ344" s="242" t="str">
        <f>IFERROR(VLOOKUP(M344,'[1]Base Brasil Obras'!$C$2:$F$485,4,0),"")</f>
        <v/>
      </c>
      <c r="BA344" s="243">
        <f t="shared" si="127"/>
        <v>0</v>
      </c>
      <c r="BB344" s="244">
        <f t="shared" si="128"/>
        <v>0</v>
      </c>
      <c r="BC344" s="244">
        <f t="shared" si="129"/>
        <v>0.05</v>
      </c>
      <c r="BD344" s="245">
        <f t="shared" si="130"/>
        <v>0.95</v>
      </c>
      <c r="BE344" s="246">
        <f t="shared" si="131"/>
        <v>0</v>
      </c>
      <c r="BF344" s="247">
        <v>0</v>
      </c>
      <c r="BG344" s="248">
        <f t="shared" si="132"/>
        <v>1</v>
      </c>
      <c r="BH344" s="198"/>
      <c r="BI344" s="198"/>
      <c r="BJ344" s="199"/>
      <c r="BK344" s="200"/>
      <c r="BL344" s="200"/>
      <c r="BM344" s="200"/>
      <c r="BN344" s="200"/>
      <c r="BO344" s="10"/>
    </row>
    <row r="345" spans="1:67" ht="18" x14ac:dyDescent="0.25">
      <c r="A345" s="201">
        <v>237</v>
      </c>
      <c r="B345" s="286"/>
      <c r="C345" s="203">
        <f t="shared" si="103"/>
        <v>0</v>
      </c>
      <c r="D345" s="204"/>
      <c r="E345" s="204"/>
      <c r="F345" s="207"/>
      <c r="G345" s="206"/>
      <c r="H345" s="207"/>
      <c r="I345" s="208" t="s">
        <v>125</v>
      </c>
      <c r="J345" s="208" t="s">
        <v>126</v>
      </c>
      <c r="K345" s="287"/>
      <c r="L345" s="288"/>
      <c r="M345" s="289"/>
      <c r="N345" s="257"/>
      <c r="O345" s="213"/>
      <c r="P345" s="214"/>
      <c r="Q345" s="214"/>
      <c r="R345" s="214"/>
      <c r="S345" s="214"/>
      <c r="T345" s="214"/>
      <c r="U345" s="215">
        <f t="shared" si="104"/>
        <v>0</v>
      </c>
      <c r="V345" s="216" t="str">
        <f t="shared" si="105"/>
        <v/>
      </c>
      <c r="W345" s="217" t="str">
        <f t="shared" si="106"/>
        <v/>
      </c>
      <c r="X345" s="218" t="s">
        <v>20</v>
      </c>
      <c r="Y345" s="219" t="str">
        <f t="shared" si="107"/>
        <v>0 um/Dia</v>
      </c>
      <c r="Z345" s="220" t="str">
        <f t="shared" si="108"/>
        <v xml:space="preserve"> um / HH</v>
      </c>
      <c r="AA345" s="221" t="str">
        <f t="shared" si="109"/>
        <v/>
      </c>
      <c r="AB345" s="222" t="str">
        <f t="shared" si="110"/>
        <v>0 um /HH</v>
      </c>
      <c r="AC345" s="223">
        <f t="shared" si="111"/>
        <v>0</v>
      </c>
      <c r="AD345" s="224"/>
      <c r="AE345" s="225"/>
      <c r="AF345" s="226">
        <f t="shared" si="112"/>
        <v>0</v>
      </c>
      <c r="AG345" s="227">
        <f t="shared" si="113"/>
        <v>0</v>
      </c>
      <c r="AH345" s="228" t="s">
        <v>25</v>
      </c>
      <c r="AI345" s="229" t="str">
        <f t="shared" si="79"/>
        <v>Extremamente Complexa</v>
      </c>
      <c r="AJ345" s="230" t="str">
        <f t="shared" si="80"/>
        <v>Normal</v>
      </c>
      <c r="AK345" s="231">
        <f t="shared" si="114"/>
        <v>0</v>
      </c>
      <c r="AL345" s="232" t="str">
        <f t="shared" si="115"/>
        <v/>
      </c>
      <c r="AM345" s="233" t="str">
        <f t="shared" si="116"/>
        <v/>
      </c>
      <c r="AN345" s="233" t="str">
        <f t="shared" si="117"/>
        <v/>
      </c>
      <c r="AO345" s="234">
        <f t="shared" si="118"/>
        <v>0</v>
      </c>
      <c r="AP345" s="235">
        <f t="shared" si="133"/>
        <v>1</v>
      </c>
      <c r="AQ345" s="235">
        <f t="shared" si="133"/>
        <v>1</v>
      </c>
      <c r="AR345" s="235">
        <f t="shared" si="119"/>
        <v>1</v>
      </c>
      <c r="AS345" s="252">
        <f t="shared" si="120"/>
        <v>0</v>
      </c>
      <c r="AT345" s="238">
        <f t="shared" si="121"/>
        <v>0</v>
      </c>
      <c r="AU345" s="239">
        <f t="shared" si="122"/>
        <v>0</v>
      </c>
      <c r="AV345" s="239">
        <f t="shared" si="123"/>
        <v>0</v>
      </c>
      <c r="AW345" s="239">
        <f t="shared" si="124"/>
        <v>0.05</v>
      </c>
      <c r="AX345" s="240">
        <f t="shared" si="125"/>
        <v>0</v>
      </c>
      <c r="AY345" s="241" t="str">
        <f t="shared" si="126"/>
        <v/>
      </c>
      <c r="AZ345" s="242" t="str">
        <f>IFERROR(VLOOKUP(M345,'[1]Base Brasil Obras'!$C$2:$F$485,4,0),"")</f>
        <v/>
      </c>
      <c r="BA345" s="243">
        <f t="shared" si="127"/>
        <v>0</v>
      </c>
      <c r="BB345" s="244">
        <f t="shared" si="128"/>
        <v>0</v>
      </c>
      <c r="BC345" s="244">
        <f t="shared" si="129"/>
        <v>0.05</v>
      </c>
      <c r="BD345" s="245">
        <f t="shared" si="130"/>
        <v>0.95</v>
      </c>
      <c r="BE345" s="246">
        <f t="shared" si="131"/>
        <v>0</v>
      </c>
      <c r="BF345" s="247">
        <v>0</v>
      </c>
      <c r="BG345" s="248">
        <f t="shared" si="132"/>
        <v>1</v>
      </c>
      <c r="BH345" s="198"/>
      <c r="BI345" s="198"/>
      <c r="BJ345" s="199"/>
      <c r="BK345" s="200"/>
      <c r="BL345" s="200"/>
      <c r="BM345" s="200"/>
      <c r="BN345" s="200"/>
      <c r="BO345" s="10"/>
    </row>
    <row r="346" spans="1:67" ht="18" x14ac:dyDescent="0.25">
      <c r="A346" s="201">
        <v>238</v>
      </c>
      <c r="B346" s="286"/>
      <c r="C346" s="203">
        <f t="shared" si="103"/>
        <v>0</v>
      </c>
      <c r="D346" s="204"/>
      <c r="E346" s="204"/>
      <c r="F346" s="207"/>
      <c r="G346" s="206"/>
      <c r="H346" s="207"/>
      <c r="I346" s="208" t="s">
        <v>125</v>
      </c>
      <c r="J346" s="208" t="s">
        <v>126</v>
      </c>
      <c r="K346" s="287"/>
      <c r="L346" s="288"/>
      <c r="M346" s="289"/>
      <c r="N346" s="257"/>
      <c r="O346" s="213"/>
      <c r="P346" s="214"/>
      <c r="Q346" s="214"/>
      <c r="R346" s="214"/>
      <c r="S346" s="214"/>
      <c r="T346" s="214"/>
      <c r="U346" s="215">
        <f t="shared" si="104"/>
        <v>0</v>
      </c>
      <c r="V346" s="216" t="str">
        <f t="shared" si="105"/>
        <v/>
      </c>
      <c r="W346" s="217" t="str">
        <f t="shared" si="106"/>
        <v/>
      </c>
      <c r="X346" s="218" t="s">
        <v>20</v>
      </c>
      <c r="Y346" s="219" t="str">
        <f t="shared" si="107"/>
        <v>0 um/Dia</v>
      </c>
      <c r="Z346" s="220" t="str">
        <f t="shared" si="108"/>
        <v xml:space="preserve"> um / HH</v>
      </c>
      <c r="AA346" s="221" t="str">
        <f t="shared" si="109"/>
        <v/>
      </c>
      <c r="AB346" s="222" t="str">
        <f t="shared" si="110"/>
        <v>0 um /HH</v>
      </c>
      <c r="AC346" s="223">
        <f t="shared" si="111"/>
        <v>0</v>
      </c>
      <c r="AD346" s="224"/>
      <c r="AE346" s="225"/>
      <c r="AF346" s="226">
        <f t="shared" si="112"/>
        <v>0</v>
      </c>
      <c r="AG346" s="227">
        <f t="shared" si="113"/>
        <v>0</v>
      </c>
      <c r="AH346" s="228" t="s">
        <v>25</v>
      </c>
      <c r="AI346" s="229" t="str">
        <f t="shared" si="79"/>
        <v>Extremamente Complexa</v>
      </c>
      <c r="AJ346" s="230" t="str">
        <f t="shared" si="80"/>
        <v>Normal</v>
      </c>
      <c r="AK346" s="231">
        <f t="shared" si="114"/>
        <v>0</v>
      </c>
      <c r="AL346" s="232" t="str">
        <f t="shared" si="115"/>
        <v/>
      </c>
      <c r="AM346" s="233" t="str">
        <f t="shared" si="116"/>
        <v/>
      </c>
      <c r="AN346" s="233" t="str">
        <f t="shared" si="117"/>
        <v/>
      </c>
      <c r="AO346" s="234">
        <f t="shared" si="118"/>
        <v>0</v>
      </c>
      <c r="AP346" s="235">
        <f t="shared" si="133"/>
        <v>1</v>
      </c>
      <c r="AQ346" s="235">
        <f t="shared" si="133"/>
        <v>1</v>
      </c>
      <c r="AR346" s="236">
        <f t="shared" si="119"/>
        <v>1</v>
      </c>
      <c r="AS346" s="251">
        <f t="shared" si="120"/>
        <v>0</v>
      </c>
      <c r="AT346" s="238">
        <f t="shared" si="121"/>
        <v>0</v>
      </c>
      <c r="AU346" s="239">
        <f t="shared" si="122"/>
        <v>0</v>
      </c>
      <c r="AV346" s="239">
        <f t="shared" si="123"/>
        <v>0</v>
      </c>
      <c r="AW346" s="239">
        <f t="shared" si="124"/>
        <v>0.05</v>
      </c>
      <c r="AX346" s="240">
        <f t="shared" si="125"/>
        <v>0</v>
      </c>
      <c r="AY346" s="241" t="str">
        <f t="shared" si="126"/>
        <v/>
      </c>
      <c r="AZ346" s="242" t="str">
        <f>IFERROR(VLOOKUP(M346,'[1]Base Brasil Obras'!$C$2:$F$485,4,0),"")</f>
        <v/>
      </c>
      <c r="BA346" s="243">
        <f t="shared" si="127"/>
        <v>0</v>
      </c>
      <c r="BB346" s="244">
        <f t="shared" si="128"/>
        <v>0</v>
      </c>
      <c r="BC346" s="244">
        <f t="shared" si="129"/>
        <v>0.05</v>
      </c>
      <c r="BD346" s="245">
        <f t="shared" si="130"/>
        <v>0.95</v>
      </c>
      <c r="BE346" s="246">
        <f t="shared" si="131"/>
        <v>0</v>
      </c>
      <c r="BF346" s="247">
        <v>0</v>
      </c>
      <c r="BG346" s="248">
        <f t="shared" si="132"/>
        <v>1</v>
      </c>
      <c r="BH346" s="198"/>
      <c r="BI346" s="198"/>
      <c r="BJ346" s="199"/>
      <c r="BK346" s="200"/>
      <c r="BL346" s="200"/>
      <c r="BM346" s="200"/>
      <c r="BN346" s="200"/>
      <c r="BO346" s="10"/>
    </row>
    <row r="347" spans="1:67" ht="18" x14ac:dyDescent="0.25">
      <c r="A347" s="201">
        <v>239</v>
      </c>
      <c r="B347" s="286"/>
      <c r="C347" s="203">
        <f t="shared" si="103"/>
        <v>0</v>
      </c>
      <c r="D347" s="204"/>
      <c r="E347" s="204"/>
      <c r="F347" s="207"/>
      <c r="G347" s="206"/>
      <c r="H347" s="207"/>
      <c r="I347" s="208" t="s">
        <v>125</v>
      </c>
      <c r="J347" s="208" t="s">
        <v>126</v>
      </c>
      <c r="K347" s="287"/>
      <c r="L347" s="288"/>
      <c r="M347" s="289"/>
      <c r="N347" s="257"/>
      <c r="O347" s="213"/>
      <c r="P347" s="214"/>
      <c r="Q347" s="214"/>
      <c r="R347" s="214"/>
      <c r="S347" s="214"/>
      <c r="T347" s="214"/>
      <c r="U347" s="215">
        <f t="shared" si="104"/>
        <v>0</v>
      </c>
      <c r="V347" s="216" t="str">
        <f t="shared" si="105"/>
        <v/>
      </c>
      <c r="W347" s="217" t="str">
        <f t="shared" si="106"/>
        <v/>
      </c>
      <c r="X347" s="218" t="s">
        <v>20</v>
      </c>
      <c r="Y347" s="219" t="str">
        <f t="shared" si="107"/>
        <v>0 um/Dia</v>
      </c>
      <c r="Z347" s="220" t="str">
        <f t="shared" si="108"/>
        <v xml:space="preserve"> um / HH</v>
      </c>
      <c r="AA347" s="221" t="str">
        <f t="shared" si="109"/>
        <v/>
      </c>
      <c r="AB347" s="222" t="str">
        <f t="shared" si="110"/>
        <v>0 um /HH</v>
      </c>
      <c r="AC347" s="223">
        <f t="shared" si="111"/>
        <v>0</v>
      </c>
      <c r="AD347" s="224"/>
      <c r="AE347" s="225"/>
      <c r="AF347" s="226">
        <f t="shared" si="112"/>
        <v>0</v>
      </c>
      <c r="AG347" s="227">
        <f t="shared" si="113"/>
        <v>0</v>
      </c>
      <c r="AH347" s="228" t="s">
        <v>25</v>
      </c>
      <c r="AI347" s="229" t="str">
        <f t="shared" si="79"/>
        <v>Extremamente Complexa</v>
      </c>
      <c r="AJ347" s="230" t="str">
        <f t="shared" si="80"/>
        <v>Normal</v>
      </c>
      <c r="AK347" s="231">
        <f t="shared" si="114"/>
        <v>0</v>
      </c>
      <c r="AL347" s="232" t="str">
        <f t="shared" si="115"/>
        <v/>
      </c>
      <c r="AM347" s="233" t="str">
        <f t="shared" si="116"/>
        <v/>
      </c>
      <c r="AN347" s="233" t="str">
        <f t="shared" si="117"/>
        <v/>
      </c>
      <c r="AO347" s="234">
        <f t="shared" si="118"/>
        <v>0</v>
      </c>
      <c r="AP347" s="235">
        <f t="shared" si="133"/>
        <v>1</v>
      </c>
      <c r="AQ347" s="235">
        <f t="shared" si="133"/>
        <v>1</v>
      </c>
      <c r="AR347" s="235">
        <f t="shared" si="119"/>
        <v>1</v>
      </c>
      <c r="AS347" s="252">
        <f t="shared" si="120"/>
        <v>0</v>
      </c>
      <c r="AT347" s="238">
        <f t="shared" si="121"/>
        <v>0</v>
      </c>
      <c r="AU347" s="239">
        <f t="shared" si="122"/>
        <v>0</v>
      </c>
      <c r="AV347" s="239">
        <f t="shared" si="123"/>
        <v>0</v>
      </c>
      <c r="AW347" s="239">
        <f t="shared" si="124"/>
        <v>0.05</v>
      </c>
      <c r="AX347" s="240">
        <f t="shared" si="125"/>
        <v>0</v>
      </c>
      <c r="AY347" s="241" t="str">
        <f t="shared" si="126"/>
        <v/>
      </c>
      <c r="AZ347" s="242" t="str">
        <f>IFERROR(VLOOKUP(M347,'[1]Base Brasil Obras'!$C$2:$F$485,4,0),"")</f>
        <v/>
      </c>
      <c r="BA347" s="243">
        <f t="shared" si="127"/>
        <v>0</v>
      </c>
      <c r="BB347" s="244">
        <f t="shared" si="128"/>
        <v>0</v>
      </c>
      <c r="BC347" s="244">
        <f t="shared" si="129"/>
        <v>0.05</v>
      </c>
      <c r="BD347" s="245">
        <f t="shared" si="130"/>
        <v>0.95</v>
      </c>
      <c r="BE347" s="246">
        <f t="shared" si="131"/>
        <v>0</v>
      </c>
      <c r="BF347" s="247">
        <v>0</v>
      </c>
      <c r="BG347" s="248">
        <f t="shared" si="132"/>
        <v>1</v>
      </c>
      <c r="BH347" s="198"/>
      <c r="BI347" s="198"/>
      <c r="BJ347" s="199"/>
      <c r="BK347" s="200"/>
      <c r="BL347" s="200"/>
      <c r="BM347" s="200"/>
      <c r="BN347" s="200"/>
      <c r="BO347" s="10"/>
    </row>
    <row r="348" spans="1:67" ht="18" customHeight="1" x14ac:dyDescent="0.25">
      <c r="A348" s="201">
        <v>240</v>
      </c>
      <c r="B348" s="286"/>
      <c r="C348" s="203">
        <f t="shared" si="103"/>
        <v>0</v>
      </c>
      <c r="D348" s="204"/>
      <c r="E348" s="204"/>
      <c r="F348" s="207"/>
      <c r="G348" s="206"/>
      <c r="H348" s="207"/>
      <c r="I348" s="208" t="s">
        <v>125</v>
      </c>
      <c r="J348" s="208" t="s">
        <v>126</v>
      </c>
      <c r="K348" s="287"/>
      <c r="L348" s="288"/>
      <c r="M348" s="289"/>
      <c r="N348" s="257"/>
      <c r="O348" s="213"/>
      <c r="P348" s="214"/>
      <c r="Q348" s="214"/>
      <c r="R348" s="214"/>
      <c r="S348" s="214"/>
      <c r="T348" s="214"/>
      <c r="U348" s="215">
        <f t="shared" si="104"/>
        <v>0</v>
      </c>
      <c r="V348" s="216" t="str">
        <f t="shared" si="105"/>
        <v/>
      </c>
      <c r="W348" s="217" t="str">
        <f t="shared" si="106"/>
        <v/>
      </c>
      <c r="X348" s="218" t="s">
        <v>20</v>
      </c>
      <c r="Y348" s="219" t="str">
        <f t="shared" si="107"/>
        <v>0 um/Dia</v>
      </c>
      <c r="Z348" s="220" t="str">
        <f t="shared" si="108"/>
        <v xml:space="preserve"> um / HH</v>
      </c>
      <c r="AA348" s="221" t="str">
        <f t="shared" si="109"/>
        <v/>
      </c>
      <c r="AB348" s="222" t="str">
        <f t="shared" si="110"/>
        <v>0 um /HH</v>
      </c>
      <c r="AC348" s="223">
        <f t="shared" si="111"/>
        <v>0</v>
      </c>
      <c r="AD348" s="224"/>
      <c r="AE348" s="225"/>
      <c r="AF348" s="226">
        <f t="shared" si="112"/>
        <v>0</v>
      </c>
      <c r="AG348" s="227">
        <f t="shared" si="113"/>
        <v>0</v>
      </c>
      <c r="AH348" s="228" t="s">
        <v>25</v>
      </c>
      <c r="AI348" s="229" t="str">
        <f t="shared" si="79"/>
        <v>Extremamente Complexa</v>
      </c>
      <c r="AJ348" s="230" t="str">
        <f t="shared" si="80"/>
        <v>Normal</v>
      </c>
      <c r="AK348" s="231">
        <f t="shared" si="114"/>
        <v>0</v>
      </c>
      <c r="AL348" s="232" t="str">
        <f t="shared" si="115"/>
        <v/>
      </c>
      <c r="AM348" s="233" t="str">
        <f t="shared" si="116"/>
        <v/>
      </c>
      <c r="AN348" s="233" t="str">
        <f t="shared" si="117"/>
        <v/>
      </c>
      <c r="AO348" s="234">
        <f t="shared" si="118"/>
        <v>0</v>
      </c>
      <c r="AP348" s="235">
        <f t="shared" si="133"/>
        <v>1</v>
      </c>
      <c r="AQ348" s="235">
        <f t="shared" si="133"/>
        <v>1</v>
      </c>
      <c r="AR348" s="236">
        <f t="shared" si="119"/>
        <v>1</v>
      </c>
      <c r="AS348" s="251">
        <f t="shared" si="120"/>
        <v>0</v>
      </c>
      <c r="AT348" s="238">
        <f t="shared" si="121"/>
        <v>0</v>
      </c>
      <c r="AU348" s="239">
        <f t="shared" si="122"/>
        <v>0</v>
      </c>
      <c r="AV348" s="239">
        <f t="shared" si="123"/>
        <v>0</v>
      </c>
      <c r="AW348" s="239">
        <f t="shared" si="124"/>
        <v>0.05</v>
      </c>
      <c r="AX348" s="240">
        <f t="shared" si="125"/>
        <v>0</v>
      </c>
      <c r="AY348" s="241" t="str">
        <f t="shared" si="126"/>
        <v/>
      </c>
      <c r="AZ348" s="242" t="str">
        <f>IFERROR(VLOOKUP(M348,'[1]Base Brasil Obras'!$C$2:$F$485,4,0),"")</f>
        <v/>
      </c>
      <c r="BA348" s="243">
        <f t="shared" si="127"/>
        <v>0</v>
      </c>
      <c r="BB348" s="244">
        <f t="shared" si="128"/>
        <v>0</v>
      </c>
      <c r="BC348" s="244">
        <f t="shared" si="129"/>
        <v>0.05</v>
      </c>
      <c r="BD348" s="245">
        <f t="shared" si="130"/>
        <v>0.95</v>
      </c>
      <c r="BE348" s="246">
        <f t="shared" si="131"/>
        <v>0</v>
      </c>
      <c r="BF348" s="247">
        <v>0</v>
      </c>
      <c r="BG348" s="248">
        <f t="shared" si="132"/>
        <v>1</v>
      </c>
      <c r="BH348" s="198"/>
      <c r="BI348" s="198"/>
      <c r="BJ348" s="199"/>
      <c r="BK348" s="200"/>
      <c r="BL348" s="200"/>
      <c r="BM348" s="200"/>
      <c r="BN348" s="200"/>
      <c r="BO348" s="10"/>
    </row>
    <row r="349" spans="1:67" ht="18" x14ac:dyDescent="0.25">
      <c r="A349" s="201">
        <v>241</v>
      </c>
      <c r="B349" s="286"/>
      <c r="C349" s="203">
        <f t="shared" si="103"/>
        <v>0</v>
      </c>
      <c r="D349" s="204"/>
      <c r="E349" s="204"/>
      <c r="F349" s="207"/>
      <c r="G349" s="206"/>
      <c r="H349" s="207"/>
      <c r="I349" s="208" t="s">
        <v>125</v>
      </c>
      <c r="J349" s="208" t="s">
        <v>126</v>
      </c>
      <c r="K349" s="287"/>
      <c r="L349" s="288"/>
      <c r="M349" s="289"/>
      <c r="N349" s="257"/>
      <c r="O349" s="213"/>
      <c r="P349" s="214"/>
      <c r="Q349" s="214"/>
      <c r="R349" s="214"/>
      <c r="S349" s="214"/>
      <c r="T349" s="214"/>
      <c r="U349" s="215">
        <f t="shared" si="104"/>
        <v>0</v>
      </c>
      <c r="V349" s="216" t="str">
        <f t="shared" si="105"/>
        <v/>
      </c>
      <c r="W349" s="217" t="str">
        <f t="shared" si="106"/>
        <v/>
      </c>
      <c r="X349" s="218" t="s">
        <v>20</v>
      </c>
      <c r="Y349" s="219" t="str">
        <f t="shared" si="107"/>
        <v>0 um/Dia</v>
      </c>
      <c r="Z349" s="220" t="str">
        <f t="shared" si="108"/>
        <v xml:space="preserve"> um / HH</v>
      </c>
      <c r="AA349" s="221" t="str">
        <f t="shared" si="109"/>
        <v/>
      </c>
      <c r="AB349" s="222" t="str">
        <f t="shared" si="110"/>
        <v>0 um /HH</v>
      </c>
      <c r="AC349" s="223">
        <f t="shared" si="111"/>
        <v>0</v>
      </c>
      <c r="AD349" s="224"/>
      <c r="AE349" s="225"/>
      <c r="AF349" s="226">
        <f t="shared" si="112"/>
        <v>0</v>
      </c>
      <c r="AG349" s="227">
        <f t="shared" si="113"/>
        <v>0</v>
      </c>
      <c r="AH349" s="228" t="s">
        <v>25</v>
      </c>
      <c r="AI349" s="229" t="str">
        <f t="shared" si="79"/>
        <v>Extremamente Complexa</v>
      </c>
      <c r="AJ349" s="230" t="str">
        <f t="shared" si="80"/>
        <v>Normal</v>
      </c>
      <c r="AK349" s="231">
        <f t="shared" si="114"/>
        <v>0</v>
      </c>
      <c r="AL349" s="232" t="str">
        <f t="shared" si="115"/>
        <v/>
      </c>
      <c r="AM349" s="233" t="str">
        <f t="shared" si="116"/>
        <v/>
      </c>
      <c r="AN349" s="233" t="str">
        <f t="shared" si="117"/>
        <v/>
      </c>
      <c r="AO349" s="234">
        <f t="shared" si="118"/>
        <v>0</v>
      </c>
      <c r="AP349" s="235">
        <f t="shared" ref="AP349:AQ379" si="134">IFERROR(VLOOKUP(I349,$J$1070:$K$1089,2,1),0)</f>
        <v>1</v>
      </c>
      <c r="AQ349" s="235">
        <f t="shared" si="134"/>
        <v>1</v>
      </c>
      <c r="AR349" s="236">
        <f t="shared" si="119"/>
        <v>1</v>
      </c>
      <c r="AS349" s="251">
        <f t="shared" si="120"/>
        <v>0</v>
      </c>
      <c r="AT349" s="238">
        <f t="shared" si="121"/>
        <v>0</v>
      </c>
      <c r="AU349" s="239">
        <f t="shared" si="122"/>
        <v>0</v>
      </c>
      <c r="AV349" s="239">
        <f t="shared" si="123"/>
        <v>0</v>
      </c>
      <c r="AW349" s="239">
        <f t="shared" si="124"/>
        <v>0.05</v>
      </c>
      <c r="AX349" s="240">
        <f t="shared" si="125"/>
        <v>0</v>
      </c>
      <c r="AY349" s="241" t="str">
        <f t="shared" si="126"/>
        <v/>
      </c>
      <c r="AZ349" s="242" t="str">
        <f>IFERROR(VLOOKUP(M349,'[1]Base Brasil Obras'!$C$2:$F$485,4,0),"")</f>
        <v/>
      </c>
      <c r="BA349" s="243">
        <f t="shared" si="127"/>
        <v>0</v>
      </c>
      <c r="BB349" s="244">
        <f t="shared" si="128"/>
        <v>0</v>
      </c>
      <c r="BC349" s="244">
        <f t="shared" si="129"/>
        <v>0.05</v>
      </c>
      <c r="BD349" s="245">
        <f t="shared" si="130"/>
        <v>0.95</v>
      </c>
      <c r="BE349" s="246">
        <f t="shared" si="131"/>
        <v>0</v>
      </c>
      <c r="BF349" s="247">
        <v>0</v>
      </c>
      <c r="BG349" s="248">
        <f t="shared" si="132"/>
        <v>1</v>
      </c>
      <c r="BH349" s="198"/>
      <c r="BI349" s="198"/>
      <c r="BJ349" s="199"/>
      <c r="BK349" s="200"/>
      <c r="BL349" s="200"/>
      <c r="BM349" s="200"/>
      <c r="BN349" s="200"/>
      <c r="BO349" s="10"/>
    </row>
    <row r="350" spans="1:67" ht="18" x14ac:dyDescent="0.25">
      <c r="A350" s="201">
        <v>242</v>
      </c>
      <c r="B350" s="286"/>
      <c r="C350" s="203">
        <f t="shared" si="103"/>
        <v>0</v>
      </c>
      <c r="D350" s="204"/>
      <c r="E350" s="204"/>
      <c r="F350" s="207"/>
      <c r="G350" s="206"/>
      <c r="H350" s="207"/>
      <c r="I350" s="208" t="s">
        <v>125</v>
      </c>
      <c r="J350" s="208" t="s">
        <v>126</v>
      </c>
      <c r="K350" s="287"/>
      <c r="L350" s="288"/>
      <c r="M350" s="289"/>
      <c r="N350" s="257"/>
      <c r="O350" s="213"/>
      <c r="P350" s="214"/>
      <c r="Q350" s="214"/>
      <c r="R350" s="214"/>
      <c r="S350" s="214"/>
      <c r="T350" s="214"/>
      <c r="U350" s="215">
        <f t="shared" si="104"/>
        <v>0</v>
      </c>
      <c r="V350" s="216" t="str">
        <f t="shared" si="105"/>
        <v/>
      </c>
      <c r="W350" s="217" t="str">
        <f t="shared" si="106"/>
        <v/>
      </c>
      <c r="X350" s="218" t="s">
        <v>20</v>
      </c>
      <c r="Y350" s="219" t="str">
        <f t="shared" si="107"/>
        <v>0 um/Dia</v>
      </c>
      <c r="Z350" s="220" t="str">
        <f t="shared" si="108"/>
        <v xml:space="preserve"> um / HH</v>
      </c>
      <c r="AA350" s="221" t="str">
        <f t="shared" si="109"/>
        <v/>
      </c>
      <c r="AB350" s="222" t="str">
        <f t="shared" si="110"/>
        <v>0 um /HH</v>
      </c>
      <c r="AC350" s="223">
        <f t="shared" si="111"/>
        <v>0</v>
      </c>
      <c r="AD350" s="224"/>
      <c r="AE350" s="225"/>
      <c r="AF350" s="226">
        <f t="shared" si="112"/>
        <v>0</v>
      </c>
      <c r="AG350" s="227">
        <f t="shared" si="113"/>
        <v>0</v>
      </c>
      <c r="AH350" s="228" t="s">
        <v>25</v>
      </c>
      <c r="AI350" s="229" t="str">
        <f t="shared" si="79"/>
        <v>Extremamente Complexa</v>
      </c>
      <c r="AJ350" s="230" t="str">
        <f t="shared" si="80"/>
        <v>Normal</v>
      </c>
      <c r="AK350" s="231">
        <f t="shared" si="114"/>
        <v>0</v>
      </c>
      <c r="AL350" s="232" t="str">
        <f t="shared" si="115"/>
        <v/>
      </c>
      <c r="AM350" s="233" t="str">
        <f t="shared" si="116"/>
        <v/>
      </c>
      <c r="AN350" s="233" t="str">
        <f t="shared" si="117"/>
        <v/>
      </c>
      <c r="AO350" s="234">
        <f t="shared" si="118"/>
        <v>0</v>
      </c>
      <c r="AP350" s="235">
        <f t="shared" si="134"/>
        <v>1</v>
      </c>
      <c r="AQ350" s="235">
        <f t="shared" si="134"/>
        <v>1</v>
      </c>
      <c r="AR350" s="235">
        <f t="shared" si="119"/>
        <v>1</v>
      </c>
      <c r="AS350" s="252">
        <f t="shared" si="120"/>
        <v>0</v>
      </c>
      <c r="AT350" s="238">
        <f t="shared" si="121"/>
        <v>0</v>
      </c>
      <c r="AU350" s="239">
        <f t="shared" si="122"/>
        <v>0</v>
      </c>
      <c r="AV350" s="239">
        <f t="shared" si="123"/>
        <v>0</v>
      </c>
      <c r="AW350" s="239">
        <f t="shared" si="124"/>
        <v>0.05</v>
      </c>
      <c r="AX350" s="240">
        <f t="shared" si="125"/>
        <v>0</v>
      </c>
      <c r="AY350" s="241" t="str">
        <f t="shared" si="126"/>
        <v/>
      </c>
      <c r="AZ350" s="242" t="str">
        <f>IFERROR(VLOOKUP(M350,'[1]Base Brasil Obras'!$C$2:$F$485,4,0),"")</f>
        <v/>
      </c>
      <c r="BA350" s="243">
        <f t="shared" si="127"/>
        <v>0</v>
      </c>
      <c r="BB350" s="244">
        <f t="shared" si="128"/>
        <v>0</v>
      </c>
      <c r="BC350" s="244">
        <f t="shared" si="129"/>
        <v>0.05</v>
      </c>
      <c r="BD350" s="245">
        <f t="shared" si="130"/>
        <v>0.95</v>
      </c>
      <c r="BE350" s="246">
        <f t="shared" si="131"/>
        <v>0</v>
      </c>
      <c r="BF350" s="247">
        <v>0</v>
      </c>
      <c r="BG350" s="248">
        <f t="shared" si="132"/>
        <v>1</v>
      </c>
      <c r="BH350" s="198"/>
      <c r="BI350" s="198"/>
      <c r="BJ350" s="199"/>
      <c r="BK350" s="200"/>
      <c r="BL350" s="200"/>
      <c r="BM350" s="200"/>
      <c r="BN350" s="200"/>
      <c r="BO350" s="10"/>
    </row>
    <row r="351" spans="1:67" ht="18" x14ac:dyDescent="0.25">
      <c r="A351" s="201">
        <v>243</v>
      </c>
      <c r="B351" s="286"/>
      <c r="C351" s="203">
        <f t="shared" si="103"/>
        <v>0</v>
      </c>
      <c r="D351" s="204"/>
      <c r="E351" s="204"/>
      <c r="F351" s="207"/>
      <c r="G351" s="206"/>
      <c r="H351" s="207"/>
      <c r="I351" s="208" t="s">
        <v>125</v>
      </c>
      <c r="J351" s="208" t="s">
        <v>126</v>
      </c>
      <c r="K351" s="287"/>
      <c r="L351" s="288"/>
      <c r="M351" s="289"/>
      <c r="N351" s="257"/>
      <c r="O351" s="213"/>
      <c r="P351" s="214"/>
      <c r="Q351" s="214"/>
      <c r="R351" s="214"/>
      <c r="S351" s="214"/>
      <c r="T351" s="214"/>
      <c r="U351" s="215">
        <f t="shared" si="104"/>
        <v>0</v>
      </c>
      <c r="V351" s="216" t="str">
        <f t="shared" si="105"/>
        <v/>
      </c>
      <c r="W351" s="217" t="str">
        <f t="shared" si="106"/>
        <v/>
      </c>
      <c r="X351" s="218" t="s">
        <v>20</v>
      </c>
      <c r="Y351" s="219" t="str">
        <f t="shared" si="107"/>
        <v>0 um/Dia</v>
      </c>
      <c r="Z351" s="220" t="str">
        <f t="shared" si="108"/>
        <v xml:space="preserve"> um / HH</v>
      </c>
      <c r="AA351" s="221" t="str">
        <f t="shared" si="109"/>
        <v/>
      </c>
      <c r="AB351" s="222" t="str">
        <f t="shared" si="110"/>
        <v>0 um /HH</v>
      </c>
      <c r="AC351" s="223">
        <f t="shared" si="111"/>
        <v>0</v>
      </c>
      <c r="AD351" s="224"/>
      <c r="AE351" s="225"/>
      <c r="AF351" s="226">
        <f t="shared" si="112"/>
        <v>0</v>
      </c>
      <c r="AG351" s="227">
        <f t="shared" si="113"/>
        <v>0</v>
      </c>
      <c r="AH351" s="228" t="s">
        <v>25</v>
      </c>
      <c r="AI351" s="229" t="str">
        <f t="shared" si="79"/>
        <v>Extremamente Complexa</v>
      </c>
      <c r="AJ351" s="230" t="str">
        <f t="shared" si="80"/>
        <v>Normal</v>
      </c>
      <c r="AK351" s="231">
        <f t="shared" si="114"/>
        <v>0</v>
      </c>
      <c r="AL351" s="232" t="str">
        <f t="shared" si="115"/>
        <v/>
      </c>
      <c r="AM351" s="233" t="str">
        <f t="shared" si="116"/>
        <v/>
      </c>
      <c r="AN351" s="233" t="str">
        <f t="shared" si="117"/>
        <v/>
      </c>
      <c r="AO351" s="234">
        <f t="shared" si="118"/>
        <v>0</v>
      </c>
      <c r="AP351" s="235">
        <f t="shared" si="134"/>
        <v>1</v>
      </c>
      <c r="AQ351" s="235">
        <f t="shared" si="134"/>
        <v>1</v>
      </c>
      <c r="AR351" s="236">
        <f t="shared" si="119"/>
        <v>1</v>
      </c>
      <c r="AS351" s="251">
        <f t="shared" si="120"/>
        <v>0</v>
      </c>
      <c r="AT351" s="238">
        <f t="shared" si="121"/>
        <v>0</v>
      </c>
      <c r="AU351" s="239">
        <f t="shared" si="122"/>
        <v>0</v>
      </c>
      <c r="AV351" s="239">
        <f t="shared" si="123"/>
        <v>0</v>
      </c>
      <c r="AW351" s="239">
        <f t="shared" si="124"/>
        <v>0.05</v>
      </c>
      <c r="AX351" s="240">
        <f t="shared" si="125"/>
        <v>0</v>
      </c>
      <c r="AY351" s="241" t="str">
        <f t="shared" si="126"/>
        <v/>
      </c>
      <c r="AZ351" s="242" t="str">
        <f>IFERROR(VLOOKUP(M351,'[1]Base Brasil Obras'!$C$2:$F$485,4,0),"")</f>
        <v/>
      </c>
      <c r="BA351" s="243">
        <f t="shared" si="127"/>
        <v>0</v>
      </c>
      <c r="BB351" s="244">
        <f t="shared" si="128"/>
        <v>0</v>
      </c>
      <c r="BC351" s="244">
        <f t="shared" si="129"/>
        <v>0.05</v>
      </c>
      <c r="BD351" s="245">
        <f t="shared" si="130"/>
        <v>0.95</v>
      </c>
      <c r="BE351" s="246">
        <f t="shared" si="131"/>
        <v>0</v>
      </c>
      <c r="BF351" s="247">
        <v>0</v>
      </c>
      <c r="BG351" s="248">
        <f t="shared" si="132"/>
        <v>1</v>
      </c>
      <c r="BH351" s="198"/>
      <c r="BI351" s="198"/>
      <c r="BJ351" s="199"/>
      <c r="BK351" s="200"/>
      <c r="BL351" s="200"/>
      <c r="BM351" s="200"/>
      <c r="BN351" s="200"/>
      <c r="BO351" s="10"/>
    </row>
    <row r="352" spans="1:67" ht="18" x14ac:dyDescent="0.25">
      <c r="A352" s="201">
        <v>244</v>
      </c>
      <c r="B352" s="286"/>
      <c r="C352" s="203">
        <f t="shared" si="103"/>
        <v>0</v>
      </c>
      <c r="D352" s="204"/>
      <c r="E352" s="204"/>
      <c r="F352" s="207"/>
      <c r="G352" s="206"/>
      <c r="H352" s="207"/>
      <c r="I352" s="208" t="s">
        <v>125</v>
      </c>
      <c r="J352" s="208" t="s">
        <v>126</v>
      </c>
      <c r="K352" s="287"/>
      <c r="L352" s="288"/>
      <c r="M352" s="289"/>
      <c r="N352" s="257"/>
      <c r="O352" s="213"/>
      <c r="P352" s="214"/>
      <c r="Q352" s="214"/>
      <c r="R352" s="214"/>
      <c r="S352" s="214"/>
      <c r="T352" s="214"/>
      <c r="U352" s="215">
        <f t="shared" si="104"/>
        <v>0</v>
      </c>
      <c r="V352" s="216" t="str">
        <f t="shared" si="105"/>
        <v/>
      </c>
      <c r="W352" s="217" t="str">
        <f t="shared" si="106"/>
        <v/>
      </c>
      <c r="X352" s="218" t="s">
        <v>20</v>
      </c>
      <c r="Y352" s="219" t="str">
        <f t="shared" si="107"/>
        <v>0 um/Dia</v>
      </c>
      <c r="Z352" s="220" t="str">
        <f t="shared" si="108"/>
        <v xml:space="preserve"> um / HH</v>
      </c>
      <c r="AA352" s="221" t="str">
        <f t="shared" si="109"/>
        <v/>
      </c>
      <c r="AB352" s="222" t="str">
        <f t="shared" si="110"/>
        <v>0 um /HH</v>
      </c>
      <c r="AC352" s="223">
        <f t="shared" si="111"/>
        <v>0</v>
      </c>
      <c r="AD352" s="224"/>
      <c r="AE352" s="225"/>
      <c r="AF352" s="226">
        <f t="shared" si="112"/>
        <v>0</v>
      </c>
      <c r="AG352" s="227">
        <f t="shared" si="113"/>
        <v>0</v>
      </c>
      <c r="AH352" s="228" t="s">
        <v>25</v>
      </c>
      <c r="AI352" s="229" t="str">
        <f t="shared" si="79"/>
        <v>Extremamente Complexa</v>
      </c>
      <c r="AJ352" s="230" t="str">
        <f t="shared" si="80"/>
        <v>Normal</v>
      </c>
      <c r="AK352" s="231">
        <f t="shared" si="114"/>
        <v>0</v>
      </c>
      <c r="AL352" s="232" t="str">
        <f t="shared" si="115"/>
        <v/>
      </c>
      <c r="AM352" s="233" t="str">
        <f t="shared" si="116"/>
        <v/>
      </c>
      <c r="AN352" s="233" t="str">
        <f t="shared" si="117"/>
        <v/>
      </c>
      <c r="AO352" s="234">
        <f t="shared" si="118"/>
        <v>0</v>
      </c>
      <c r="AP352" s="235">
        <f t="shared" si="134"/>
        <v>1</v>
      </c>
      <c r="AQ352" s="235">
        <f t="shared" si="134"/>
        <v>1</v>
      </c>
      <c r="AR352" s="235">
        <f t="shared" si="119"/>
        <v>1</v>
      </c>
      <c r="AS352" s="252">
        <f t="shared" si="120"/>
        <v>0</v>
      </c>
      <c r="AT352" s="238">
        <f t="shared" si="121"/>
        <v>0</v>
      </c>
      <c r="AU352" s="239">
        <f t="shared" si="122"/>
        <v>0</v>
      </c>
      <c r="AV352" s="239">
        <f t="shared" si="123"/>
        <v>0</v>
      </c>
      <c r="AW352" s="239">
        <f t="shared" si="124"/>
        <v>0.05</v>
      </c>
      <c r="AX352" s="240">
        <f t="shared" si="125"/>
        <v>0</v>
      </c>
      <c r="AY352" s="241" t="str">
        <f t="shared" si="126"/>
        <v/>
      </c>
      <c r="AZ352" s="242" t="str">
        <f>IFERROR(VLOOKUP(M352,'[1]Base Brasil Obras'!$C$2:$F$485,4,0),"")</f>
        <v/>
      </c>
      <c r="BA352" s="243">
        <f t="shared" si="127"/>
        <v>0</v>
      </c>
      <c r="BB352" s="244">
        <f t="shared" si="128"/>
        <v>0</v>
      </c>
      <c r="BC352" s="244">
        <f t="shared" si="129"/>
        <v>0.05</v>
      </c>
      <c r="BD352" s="245">
        <f t="shared" si="130"/>
        <v>0.95</v>
      </c>
      <c r="BE352" s="246">
        <f t="shared" si="131"/>
        <v>0</v>
      </c>
      <c r="BF352" s="247">
        <v>0</v>
      </c>
      <c r="BG352" s="248">
        <f t="shared" si="132"/>
        <v>1</v>
      </c>
      <c r="BH352" s="198"/>
      <c r="BI352" s="198"/>
      <c r="BJ352" s="199"/>
      <c r="BK352" s="200"/>
      <c r="BL352" s="200"/>
      <c r="BM352" s="200"/>
      <c r="BN352" s="200"/>
      <c r="BO352" s="10"/>
    </row>
    <row r="353" spans="1:67" ht="18" x14ac:dyDescent="0.25">
      <c r="A353" s="201">
        <v>245</v>
      </c>
      <c r="B353" s="286"/>
      <c r="C353" s="203">
        <f t="shared" si="103"/>
        <v>0</v>
      </c>
      <c r="D353" s="204"/>
      <c r="E353" s="204"/>
      <c r="F353" s="207"/>
      <c r="G353" s="206"/>
      <c r="H353" s="207"/>
      <c r="I353" s="208" t="s">
        <v>125</v>
      </c>
      <c r="J353" s="208" t="s">
        <v>126</v>
      </c>
      <c r="K353" s="287"/>
      <c r="L353" s="288"/>
      <c r="M353" s="289"/>
      <c r="N353" s="257"/>
      <c r="O353" s="213"/>
      <c r="P353" s="214"/>
      <c r="Q353" s="214"/>
      <c r="R353" s="214"/>
      <c r="S353" s="214"/>
      <c r="T353" s="214"/>
      <c r="U353" s="215">
        <f t="shared" si="104"/>
        <v>0</v>
      </c>
      <c r="V353" s="216" t="str">
        <f t="shared" si="105"/>
        <v/>
      </c>
      <c r="W353" s="217" t="str">
        <f t="shared" si="106"/>
        <v/>
      </c>
      <c r="X353" s="218" t="s">
        <v>20</v>
      </c>
      <c r="Y353" s="219" t="str">
        <f t="shared" si="107"/>
        <v>0 um/Dia</v>
      </c>
      <c r="Z353" s="220" t="str">
        <f t="shared" si="108"/>
        <v xml:space="preserve"> um / HH</v>
      </c>
      <c r="AA353" s="221" t="str">
        <f t="shared" si="109"/>
        <v/>
      </c>
      <c r="AB353" s="222" t="str">
        <f t="shared" si="110"/>
        <v>0 um /HH</v>
      </c>
      <c r="AC353" s="223">
        <f t="shared" si="111"/>
        <v>0</v>
      </c>
      <c r="AD353" s="224"/>
      <c r="AE353" s="225"/>
      <c r="AF353" s="226">
        <f t="shared" si="112"/>
        <v>0</v>
      </c>
      <c r="AG353" s="227">
        <f t="shared" si="113"/>
        <v>0</v>
      </c>
      <c r="AH353" s="228" t="s">
        <v>25</v>
      </c>
      <c r="AI353" s="229" t="str">
        <f t="shared" si="79"/>
        <v>Extremamente Complexa</v>
      </c>
      <c r="AJ353" s="230" t="str">
        <f t="shared" si="80"/>
        <v>Normal</v>
      </c>
      <c r="AK353" s="231">
        <f t="shared" si="114"/>
        <v>0</v>
      </c>
      <c r="AL353" s="232" t="str">
        <f t="shared" si="115"/>
        <v/>
      </c>
      <c r="AM353" s="233" t="str">
        <f t="shared" si="116"/>
        <v/>
      </c>
      <c r="AN353" s="233" t="str">
        <f t="shared" si="117"/>
        <v/>
      </c>
      <c r="AO353" s="234">
        <f t="shared" si="118"/>
        <v>0</v>
      </c>
      <c r="AP353" s="235">
        <f t="shared" si="134"/>
        <v>1</v>
      </c>
      <c r="AQ353" s="235">
        <f t="shared" si="134"/>
        <v>1</v>
      </c>
      <c r="AR353" s="236">
        <f t="shared" si="119"/>
        <v>1</v>
      </c>
      <c r="AS353" s="251">
        <f t="shared" si="120"/>
        <v>0</v>
      </c>
      <c r="AT353" s="238">
        <f t="shared" si="121"/>
        <v>0</v>
      </c>
      <c r="AU353" s="239">
        <f t="shared" si="122"/>
        <v>0</v>
      </c>
      <c r="AV353" s="239">
        <f t="shared" si="123"/>
        <v>0</v>
      </c>
      <c r="AW353" s="239">
        <f t="shared" si="124"/>
        <v>0.05</v>
      </c>
      <c r="AX353" s="240">
        <f t="shared" si="125"/>
        <v>0</v>
      </c>
      <c r="AY353" s="241" t="str">
        <f t="shared" si="126"/>
        <v/>
      </c>
      <c r="AZ353" s="242" t="str">
        <f>IFERROR(VLOOKUP(M353,'[1]Base Brasil Obras'!$C$2:$F$485,4,0),"")</f>
        <v/>
      </c>
      <c r="BA353" s="243">
        <f t="shared" si="127"/>
        <v>0</v>
      </c>
      <c r="BB353" s="244">
        <f t="shared" si="128"/>
        <v>0</v>
      </c>
      <c r="BC353" s="244">
        <f t="shared" si="129"/>
        <v>0.05</v>
      </c>
      <c r="BD353" s="245">
        <f t="shared" si="130"/>
        <v>0.95</v>
      </c>
      <c r="BE353" s="246">
        <f t="shared" si="131"/>
        <v>0</v>
      </c>
      <c r="BF353" s="247">
        <v>0</v>
      </c>
      <c r="BG353" s="248">
        <f t="shared" si="132"/>
        <v>1</v>
      </c>
      <c r="BH353" s="198"/>
      <c r="BI353" s="198"/>
      <c r="BJ353" s="199"/>
      <c r="BK353" s="200"/>
      <c r="BL353" s="200"/>
      <c r="BM353" s="200"/>
      <c r="BN353" s="200"/>
      <c r="BO353" s="10"/>
    </row>
    <row r="354" spans="1:67" ht="18" x14ac:dyDescent="0.25">
      <c r="A354" s="201">
        <v>246</v>
      </c>
      <c r="B354" s="286"/>
      <c r="C354" s="203">
        <f t="shared" si="103"/>
        <v>0</v>
      </c>
      <c r="D354" s="204"/>
      <c r="E354" s="204"/>
      <c r="F354" s="207"/>
      <c r="G354" s="206"/>
      <c r="H354" s="207"/>
      <c r="I354" s="208" t="s">
        <v>125</v>
      </c>
      <c r="J354" s="208" t="s">
        <v>126</v>
      </c>
      <c r="K354" s="287"/>
      <c r="L354" s="288"/>
      <c r="M354" s="289"/>
      <c r="N354" s="257"/>
      <c r="O354" s="213"/>
      <c r="P354" s="214"/>
      <c r="Q354" s="214"/>
      <c r="R354" s="214"/>
      <c r="S354" s="214"/>
      <c r="T354" s="214"/>
      <c r="U354" s="215">
        <f t="shared" si="104"/>
        <v>0</v>
      </c>
      <c r="V354" s="216" t="str">
        <f t="shared" si="105"/>
        <v/>
      </c>
      <c r="W354" s="217" t="str">
        <f t="shared" si="106"/>
        <v/>
      </c>
      <c r="X354" s="218" t="s">
        <v>20</v>
      </c>
      <c r="Y354" s="219" t="str">
        <f t="shared" si="107"/>
        <v>0 um/Dia</v>
      </c>
      <c r="Z354" s="220" t="str">
        <f t="shared" si="108"/>
        <v xml:space="preserve"> um / HH</v>
      </c>
      <c r="AA354" s="221" t="str">
        <f t="shared" si="109"/>
        <v/>
      </c>
      <c r="AB354" s="222" t="str">
        <f t="shared" si="110"/>
        <v>0 um /HH</v>
      </c>
      <c r="AC354" s="223">
        <f t="shared" si="111"/>
        <v>0</v>
      </c>
      <c r="AD354" s="224"/>
      <c r="AE354" s="225"/>
      <c r="AF354" s="226">
        <f t="shared" si="112"/>
        <v>0</v>
      </c>
      <c r="AG354" s="227">
        <f t="shared" si="113"/>
        <v>0</v>
      </c>
      <c r="AH354" s="228" t="s">
        <v>25</v>
      </c>
      <c r="AI354" s="229" t="str">
        <f t="shared" si="79"/>
        <v>Extremamente Complexa</v>
      </c>
      <c r="AJ354" s="230" t="str">
        <f t="shared" si="80"/>
        <v>Normal</v>
      </c>
      <c r="AK354" s="231">
        <f t="shared" si="114"/>
        <v>0</v>
      </c>
      <c r="AL354" s="232" t="str">
        <f t="shared" si="115"/>
        <v/>
      </c>
      <c r="AM354" s="233" t="str">
        <f t="shared" si="116"/>
        <v/>
      </c>
      <c r="AN354" s="233" t="str">
        <f t="shared" si="117"/>
        <v/>
      </c>
      <c r="AO354" s="234">
        <f t="shared" si="118"/>
        <v>0</v>
      </c>
      <c r="AP354" s="235">
        <f t="shared" si="134"/>
        <v>1</v>
      </c>
      <c r="AQ354" s="235">
        <f t="shared" si="134"/>
        <v>1</v>
      </c>
      <c r="AR354" s="235">
        <f t="shared" si="119"/>
        <v>1</v>
      </c>
      <c r="AS354" s="252">
        <f t="shared" si="120"/>
        <v>0</v>
      </c>
      <c r="AT354" s="238">
        <f t="shared" si="121"/>
        <v>0</v>
      </c>
      <c r="AU354" s="239">
        <f t="shared" si="122"/>
        <v>0</v>
      </c>
      <c r="AV354" s="239">
        <f t="shared" si="123"/>
        <v>0</v>
      </c>
      <c r="AW354" s="239">
        <f t="shared" si="124"/>
        <v>0.05</v>
      </c>
      <c r="AX354" s="240">
        <f t="shared" si="125"/>
        <v>0</v>
      </c>
      <c r="AY354" s="241" t="str">
        <f t="shared" si="126"/>
        <v/>
      </c>
      <c r="AZ354" s="242" t="str">
        <f>IFERROR(VLOOKUP(M354,'[1]Base Brasil Obras'!$C$2:$F$485,4,0),"")</f>
        <v/>
      </c>
      <c r="BA354" s="243">
        <f t="shared" si="127"/>
        <v>0</v>
      </c>
      <c r="BB354" s="244">
        <f t="shared" si="128"/>
        <v>0</v>
      </c>
      <c r="BC354" s="244">
        <f t="shared" si="129"/>
        <v>0.05</v>
      </c>
      <c r="BD354" s="245">
        <f t="shared" si="130"/>
        <v>0.95</v>
      </c>
      <c r="BE354" s="246">
        <f t="shared" si="131"/>
        <v>0</v>
      </c>
      <c r="BF354" s="247">
        <v>0</v>
      </c>
      <c r="BG354" s="248">
        <f t="shared" si="132"/>
        <v>1</v>
      </c>
      <c r="BH354" s="198"/>
      <c r="BI354" s="198"/>
      <c r="BJ354" s="199"/>
      <c r="BK354" s="200"/>
      <c r="BL354" s="200"/>
      <c r="BM354" s="200"/>
      <c r="BN354" s="200"/>
      <c r="BO354" s="10"/>
    </row>
    <row r="355" spans="1:67" ht="18" x14ac:dyDescent="0.25">
      <c r="A355" s="201">
        <v>247</v>
      </c>
      <c r="B355" s="286"/>
      <c r="C355" s="203">
        <f t="shared" si="103"/>
        <v>0</v>
      </c>
      <c r="D355" s="204"/>
      <c r="E355" s="204"/>
      <c r="F355" s="207"/>
      <c r="G355" s="206"/>
      <c r="H355" s="207"/>
      <c r="I355" s="208" t="s">
        <v>125</v>
      </c>
      <c r="J355" s="208" t="s">
        <v>126</v>
      </c>
      <c r="K355" s="287"/>
      <c r="L355" s="288"/>
      <c r="M355" s="289"/>
      <c r="N355" s="257"/>
      <c r="O355" s="213"/>
      <c r="P355" s="214"/>
      <c r="Q355" s="214"/>
      <c r="R355" s="214"/>
      <c r="S355" s="214"/>
      <c r="T355" s="214"/>
      <c r="U355" s="215">
        <f t="shared" si="104"/>
        <v>0</v>
      </c>
      <c r="V355" s="216" t="str">
        <f t="shared" si="105"/>
        <v/>
      </c>
      <c r="W355" s="217" t="str">
        <f t="shared" si="106"/>
        <v/>
      </c>
      <c r="X355" s="218" t="s">
        <v>20</v>
      </c>
      <c r="Y355" s="219" t="str">
        <f t="shared" si="107"/>
        <v>0 um/Dia</v>
      </c>
      <c r="Z355" s="220" t="str">
        <f t="shared" si="108"/>
        <v xml:space="preserve"> um / HH</v>
      </c>
      <c r="AA355" s="221" t="str">
        <f t="shared" si="109"/>
        <v/>
      </c>
      <c r="AB355" s="222" t="str">
        <f t="shared" si="110"/>
        <v>0 um /HH</v>
      </c>
      <c r="AC355" s="223">
        <f t="shared" si="111"/>
        <v>0</v>
      </c>
      <c r="AD355" s="224"/>
      <c r="AE355" s="225"/>
      <c r="AF355" s="226">
        <f t="shared" si="112"/>
        <v>0</v>
      </c>
      <c r="AG355" s="227">
        <f t="shared" si="113"/>
        <v>0</v>
      </c>
      <c r="AH355" s="228" t="s">
        <v>25</v>
      </c>
      <c r="AI355" s="229" t="str">
        <f t="shared" si="79"/>
        <v>Extremamente Complexa</v>
      </c>
      <c r="AJ355" s="230" t="str">
        <f t="shared" si="80"/>
        <v>Normal</v>
      </c>
      <c r="AK355" s="231">
        <f t="shared" si="114"/>
        <v>0</v>
      </c>
      <c r="AL355" s="232" t="str">
        <f t="shared" si="115"/>
        <v/>
      </c>
      <c r="AM355" s="233" t="str">
        <f t="shared" si="116"/>
        <v/>
      </c>
      <c r="AN355" s="233" t="str">
        <f t="shared" si="117"/>
        <v/>
      </c>
      <c r="AO355" s="234">
        <f t="shared" si="118"/>
        <v>0</v>
      </c>
      <c r="AP355" s="235">
        <f t="shared" si="134"/>
        <v>1</v>
      </c>
      <c r="AQ355" s="235">
        <f t="shared" si="134"/>
        <v>1</v>
      </c>
      <c r="AR355" s="236">
        <f t="shared" si="119"/>
        <v>1</v>
      </c>
      <c r="AS355" s="251">
        <f t="shared" si="120"/>
        <v>0</v>
      </c>
      <c r="AT355" s="238">
        <f t="shared" si="121"/>
        <v>0</v>
      </c>
      <c r="AU355" s="239">
        <f t="shared" si="122"/>
        <v>0</v>
      </c>
      <c r="AV355" s="239">
        <f t="shared" si="123"/>
        <v>0</v>
      </c>
      <c r="AW355" s="239">
        <f t="shared" si="124"/>
        <v>0.05</v>
      </c>
      <c r="AX355" s="240">
        <f t="shared" si="125"/>
        <v>0</v>
      </c>
      <c r="AY355" s="241" t="str">
        <f t="shared" si="126"/>
        <v/>
      </c>
      <c r="AZ355" s="242" t="str">
        <f>IFERROR(VLOOKUP(M355,'[1]Base Brasil Obras'!$C$2:$F$485,4,0),"")</f>
        <v/>
      </c>
      <c r="BA355" s="243">
        <f t="shared" si="127"/>
        <v>0</v>
      </c>
      <c r="BB355" s="244">
        <f t="shared" si="128"/>
        <v>0</v>
      </c>
      <c r="BC355" s="244">
        <f t="shared" si="129"/>
        <v>0.05</v>
      </c>
      <c r="BD355" s="245">
        <f t="shared" si="130"/>
        <v>0.95</v>
      </c>
      <c r="BE355" s="246">
        <f t="shared" si="131"/>
        <v>0</v>
      </c>
      <c r="BF355" s="247">
        <v>0</v>
      </c>
      <c r="BG355" s="248">
        <f t="shared" si="132"/>
        <v>1</v>
      </c>
      <c r="BH355" s="198"/>
      <c r="BI355" s="198"/>
      <c r="BJ355" s="199"/>
      <c r="BK355" s="200"/>
      <c r="BL355" s="200"/>
      <c r="BM355" s="200"/>
      <c r="BN355" s="200"/>
      <c r="BO355" s="10"/>
    </row>
    <row r="356" spans="1:67" ht="18" x14ac:dyDescent="0.25">
      <c r="A356" s="201">
        <v>248</v>
      </c>
      <c r="B356" s="286"/>
      <c r="C356" s="203">
        <f t="shared" si="103"/>
        <v>0</v>
      </c>
      <c r="D356" s="204"/>
      <c r="E356" s="204"/>
      <c r="F356" s="207"/>
      <c r="G356" s="206"/>
      <c r="H356" s="207"/>
      <c r="I356" s="208" t="s">
        <v>125</v>
      </c>
      <c r="J356" s="208" t="s">
        <v>126</v>
      </c>
      <c r="K356" s="287"/>
      <c r="L356" s="288"/>
      <c r="M356" s="289"/>
      <c r="N356" s="257"/>
      <c r="O356" s="213"/>
      <c r="P356" s="214"/>
      <c r="Q356" s="214"/>
      <c r="R356" s="214"/>
      <c r="S356" s="214"/>
      <c r="T356" s="214"/>
      <c r="U356" s="215">
        <f t="shared" si="104"/>
        <v>0</v>
      </c>
      <c r="V356" s="216" t="str">
        <f t="shared" si="105"/>
        <v/>
      </c>
      <c r="W356" s="217" t="str">
        <f t="shared" si="106"/>
        <v/>
      </c>
      <c r="X356" s="218" t="s">
        <v>20</v>
      </c>
      <c r="Y356" s="219" t="str">
        <f t="shared" si="107"/>
        <v>0 um/Dia</v>
      </c>
      <c r="Z356" s="220" t="str">
        <f t="shared" si="108"/>
        <v xml:space="preserve"> um / HH</v>
      </c>
      <c r="AA356" s="221" t="str">
        <f t="shared" si="109"/>
        <v/>
      </c>
      <c r="AB356" s="222" t="str">
        <f t="shared" si="110"/>
        <v>0 um /HH</v>
      </c>
      <c r="AC356" s="223">
        <f t="shared" si="111"/>
        <v>0</v>
      </c>
      <c r="AD356" s="224"/>
      <c r="AE356" s="225"/>
      <c r="AF356" s="226">
        <f t="shared" si="112"/>
        <v>0</v>
      </c>
      <c r="AG356" s="227">
        <f t="shared" si="113"/>
        <v>0</v>
      </c>
      <c r="AH356" s="228" t="s">
        <v>25</v>
      </c>
      <c r="AI356" s="229" t="str">
        <f t="shared" si="79"/>
        <v>Extremamente Complexa</v>
      </c>
      <c r="AJ356" s="230" t="str">
        <f t="shared" si="80"/>
        <v>Normal</v>
      </c>
      <c r="AK356" s="231">
        <f t="shared" si="114"/>
        <v>0</v>
      </c>
      <c r="AL356" s="232" t="str">
        <f t="shared" si="115"/>
        <v/>
      </c>
      <c r="AM356" s="233" t="str">
        <f t="shared" si="116"/>
        <v/>
      </c>
      <c r="AN356" s="233" t="str">
        <f t="shared" si="117"/>
        <v/>
      </c>
      <c r="AO356" s="234">
        <f t="shared" si="118"/>
        <v>0</v>
      </c>
      <c r="AP356" s="235">
        <f t="shared" si="134"/>
        <v>1</v>
      </c>
      <c r="AQ356" s="235">
        <f t="shared" si="134"/>
        <v>1</v>
      </c>
      <c r="AR356" s="235">
        <f t="shared" si="119"/>
        <v>1</v>
      </c>
      <c r="AS356" s="252">
        <f t="shared" si="120"/>
        <v>0</v>
      </c>
      <c r="AT356" s="238">
        <f t="shared" si="121"/>
        <v>0</v>
      </c>
      <c r="AU356" s="239">
        <f t="shared" si="122"/>
        <v>0</v>
      </c>
      <c r="AV356" s="239">
        <f t="shared" si="123"/>
        <v>0</v>
      </c>
      <c r="AW356" s="239">
        <f t="shared" si="124"/>
        <v>0.05</v>
      </c>
      <c r="AX356" s="240">
        <f t="shared" si="125"/>
        <v>0</v>
      </c>
      <c r="AY356" s="241" t="str">
        <f t="shared" si="126"/>
        <v/>
      </c>
      <c r="AZ356" s="242" t="str">
        <f>IFERROR(VLOOKUP(M356,'[1]Base Brasil Obras'!$C$2:$F$485,4,0),"")</f>
        <v/>
      </c>
      <c r="BA356" s="243">
        <f t="shared" si="127"/>
        <v>0</v>
      </c>
      <c r="BB356" s="244">
        <f t="shared" si="128"/>
        <v>0</v>
      </c>
      <c r="BC356" s="244">
        <f t="shared" si="129"/>
        <v>0.05</v>
      </c>
      <c r="BD356" s="245">
        <f t="shared" si="130"/>
        <v>0.95</v>
      </c>
      <c r="BE356" s="246">
        <f t="shared" si="131"/>
        <v>0</v>
      </c>
      <c r="BF356" s="247">
        <v>0</v>
      </c>
      <c r="BG356" s="248">
        <f t="shared" si="132"/>
        <v>1</v>
      </c>
      <c r="BH356" s="198"/>
      <c r="BI356" s="198"/>
      <c r="BJ356" s="199"/>
      <c r="BK356" s="200"/>
      <c r="BL356" s="200"/>
      <c r="BM356" s="200"/>
      <c r="BN356" s="200"/>
      <c r="BO356" s="10"/>
    </row>
    <row r="357" spans="1:67" ht="18" x14ac:dyDescent="0.25">
      <c r="A357" s="201">
        <v>249</v>
      </c>
      <c r="B357" s="286"/>
      <c r="C357" s="203">
        <f t="shared" si="103"/>
        <v>0</v>
      </c>
      <c r="D357" s="204"/>
      <c r="E357" s="204"/>
      <c r="F357" s="207"/>
      <c r="G357" s="206"/>
      <c r="H357" s="207"/>
      <c r="I357" s="208" t="s">
        <v>125</v>
      </c>
      <c r="J357" s="208" t="s">
        <v>126</v>
      </c>
      <c r="K357" s="287"/>
      <c r="L357" s="288"/>
      <c r="M357" s="289"/>
      <c r="N357" s="257"/>
      <c r="O357" s="213"/>
      <c r="P357" s="214"/>
      <c r="Q357" s="214"/>
      <c r="R357" s="214"/>
      <c r="S357" s="214"/>
      <c r="T357" s="214"/>
      <c r="U357" s="215">
        <f t="shared" si="104"/>
        <v>0</v>
      </c>
      <c r="V357" s="216" t="str">
        <f t="shared" si="105"/>
        <v/>
      </c>
      <c r="W357" s="217" t="str">
        <f t="shared" si="106"/>
        <v/>
      </c>
      <c r="X357" s="218" t="s">
        <v>20</v>
      </c>
      <c r="Y357" s="219" t="str">
        <f t="shared" si="107"/>
        <v>0 um/Dia</v>
      </c>
      <c r="Z357" s="220" t="str">
        <f t="shared" si="108"/>
        <v xml:space="preserve"> um / HH</v>
      </c>
      <c r="AA357" s="221" t="str">
        <f t="shared" si="109"/>
        <v/>
      </c>
      <c r="AB357" s="222" t="str">
        <f t="shared" si="110"/>
        <v>0 um /HH</v>
      </c>
      <c r="AC357" s="223">
        <f t="shared" si="111"/>
        <v>0</v>
      </c>
      <c r="AD357" s="224"/>
      <c r="AE357" s="225"/>
      <c r="AF357" s="226">
        <f t="shared" si="112"/>
        <v>0</v>
      </c>
      <c r="AG357" s="227">
        <f t="shared" si="113"/>
        <v>0</v>
      </c>
      <c r="AH357" s="228" t="s">
        <v>25</v>
      </c>
      <c r="AI357" s="229" t="str">
        <f t="shared" si="79"/>
        <v>Extremamente Complexa</v>
      </c>
      <c r="AJ357" s="230" t="str">
        <f t="shared" si="80"/>
        <v>Normal</v>
      </c>
      <c r="AK357" s="231">
        <f t="shared" si="114"/>
        <v>0</v>
      </c>
      <c r="AL357" s="232" t="str">
        <f t="shared" si="115"/>
        <v/>
      </c>
      <c r="AM357" s="233" t="str">
        <f t="shared" si="116"/>
        <v/>
      </c>
      <c r="AN357" s="233" t="str">
        <f t="shared" si="117"/>
        <v/>
      </c>
      <c r="AO357" s="234">
        <f t="shared" si="118"/>
        <v>0</v>
      </c>
      <c r="AP357" s="235">
        <f t="shared" si="134"/>
        <v>1</v>
      </c>
      <c r="AQ357" s="235">
        <f t="shared" si="134"/>
        <v>1</v>
      </c>
      <c r="AR357" s="236">
        <f t="shared" si="119"/>
        <v>1</v>
      </c>
      <c r="AS357" s="251">
        <f t="shared" si="120"/>
        <v>0</v>
      </c>
      <c r="AT357" s="238">
        <f t="shared" si="121"/>
        <v>0</v>
      </c>
      <c r="AU357" s="239">
        <f t="shared" si="122"/>
        <v>0</v>
      </c>
      <c r="AV357" s="239">
        <f t="shared" si="123"/>
        <v>0</v>
      </c>
      <c r="AW357" s="239">
        <f t="shared" si="124"/>
        <v>0.05</v>
      </c>
      <c r="AX357" s="240">
        <f t="shared" si="125"/>
        <v>0</v>
      </c>
      <c r="AY357" s="241" t="str">
        <f t="shared" si="126"/>
        <v/>
      </c>
      <c r="AZ357" s="242" t="str">
        <f>IFERROR(VLOOKUP(M357,'[1]Base Brasil Obras'!$C$2:$F$485,4,0),"")</f>
        <v/>
      </c>
      <c r="BA357" s="243">
        <f t="shared" si="127"/>
        <v>0</v>
      </c>
      <c r="BB357" s="244">
        <f t="shared" si="128"/>
        <v>0</v>
      </c>
      <c r="BC357" s="244">
        <f t="shared" si="129"/>
        <v>0.05</v>
      </c>
      <c r="BD357" s="245">
        <f t="shared" si="130"/>
        <v>0.95</v>
      </c>
      <c r="BE357" s="246">
        <f t="shared" si="131"/>
        <v>0</v>
      </c>
      <c r="BF357" s="247">
        <v>0</v>
      </c>
      <c r="BG357" s="248">
        <f t="shared" si="132"/>
        <v>1</v>
      </c>
      <c r="BH357" s="198"/>
      <c r="BI357" s="198"/>
      <c r="BJ357" s="199"/>
      <c r="BK357" s="200"/>
      <c r="BL357" s="200"/>
      <c r="BM357" s="200"/>
      <c r="BN357" s="200"/>
      <c r="BO357" s="10"/>
    </row>
    <row r="358" spans="1:67" ht="18" customHeight="1" x14ac:dyDescent="0.25">
      <c r="A358" s="201">
        <v>250</v>
      </c>
      <c r="B358" s="286"/>
      <c r="C358" s="203">
        <f t="shared" si="103"/>
        <v>0</v>
      </c>
      <c r="D358" s="204"/>
      <c r="E358" s="204"/>
      <c r="F358" s="207"/>
      <c r="G358" s="206"/>
      <c r="H358" s="207"/>
      <c r="I358" s="208" t="s">
        <v>125</v>
      </c>
      <c r="J358" s="208" t="s">
        <v>126</v>
      </c>
      <c r="K358" s="287"/>
      <c r="L358" s="288"/>
      <c r="M358" s="289"/>
      <c r="N358" s="257"/>
      <c r="O358" s="213"/>
      <c r="P358" s="214"/>
      <c r="Q358" s="214"/>
      <c r="R358" s="214"/>
      <c r="S358" s="214"/>
      <c r="T358" s="214"/>
      <c r="U358" s="215">
        <f t="shared" si="104"/>
        <v>0</v>
      </c>
      <c r="V358" s="216" t="str">
        <f t="shared" si="105"/>
        <v/>
      </c>
      <c r="W358" s="217" t="str">
        <f t="shared" si="106"/>
        <v/>
      </c>
      <c r="X358" s="218" t="s">
        <v>20</v>
      </c>
      <c r="Y358" s="219" t="str">
        <f t="shared" si="107"/>
        <v>0 um/Dia</v>
      </c>
      <c r="Z358" s="220" t="str">
        <f t="shared" si="108"/>
        <v xml:space="preserve"> um / HH</v>
      </c>
      <c r="AA358" s="221" t="str">
        <f t="shared" si="109"/>
        <v/>
      </c>
      <c r="AB358" s="222" t="str">
        <f t="shared" si="110"/>
        <v>0 um /HH</v>
      </c>
      <c r="AC358" s="223">
        <f t="shared" si="111"/>
        <v>0</v>
      </c>
      <c r="AD358" s="224"/>
      <c r="AE358" s="225"/>
      <c r="AF358" s="226">
        <f t="shared" si="112"/>
        <v>0</v>
      </c>
      <c r="AG358" s="227">
        <f t="shared" si="113"/>
        <v>0</v>
      </c>
      <c r="AH358" s="228" t="s">
        <v>25</v>
      </c>
      <c r="AI358" s="229" t="str">
        <f t="shared" si="79"/>
        <v>Extremamente Complexa</v>
      </c>
      <c r="AJ358" s="230" t="str">
        <f t="shared" si="80"/>
        <v>Normal</v>
      </c>
      <c r="AK358" s="231">
        <f t="shared" si="114"/>
        <v>0</v>
      </c>
      <c r="AL358" s="232" t="str">
        <f t="shared" si="115"/>
        <v/>
      </c>
      <c r="AM358" s="233" t="str">
        <f t="shared" si="116"/>
        <v/>
      </c>
      <c r="AN358" s="233" t="str">
        <f t="shared" si="117"/>
        <v/>
      </c>
      <c r="AO358" s="234">
        <f t="shared" si="118"/>
        <v>0</v>
      </c>
      <c r="AP358" s="235">
        <f t="shared" si="134"/>
        <v>1</v>
      </c>
      <c r="AQ358" s="235">
        <f t="shared" si="134"/>
        <v>1</v>
      </c>
      <c r="AR358" s="235">
        <f t="shared" si="119"/>
        <v>1</v>
      </c>
      <c r="AS358" s="252">
        <f t="shared" si="120"/>
        <v>0</v>
      </c>
      <c r="AT358" s="238">
        <f t="shared" si="121"/>
        <v>0</v>
      </c>
      <c r="AU358" s="239">
        <f t="shared" si="122"/>
        <v>0</v>
      </c>
      <c r="AV358" s="239">
        <f t="shared" si="123"/>
        <v>0</v>
      </c>
      <c r="AW358" s="239">
        <f t="shared" si="124"/>
        <v>0.05</v>
      </c>
      <c r="AX358" s="240">
        <f t="shared" si="125"/>
        <v>0</v>
      </c>
      <c r="AY358" s="241" t="str">
        <f t="shared" si="126"/>
        <v/>
      </c>
      <c r="AZ358" s="242" t="str">
        <f>IFERROR(VLOOKUP(M358,'[1]Base Brasil Obras'!$C$2:$F$485,4,0),"")</f>
        <v/>
      </c>
      <c r="BA358" s="243">
        <f t="shared" si="127"/>
        <v>0</v>
      </c>
      <c r="BB358" s="244">
        <f t="shared" si="128"/>
        <v>0</v>
      </c>
      <c r="BC358" s="244">
        <f t="shared" si="129"/>
        <v>0.05</v>
      </c>
      <c r="BD358" s="245">
        <f t="shared" si="130"/>
        <v>0.95</v>
      </c>
      <c r="BE358" s="246">
        <f t="shared" si="131"/>
        <v>0</v>
      </c>
      <c r="BF358" s="247">
        <v>0</v>
      </c>
      <c r="BG358" s="248">
        <f t="shared" si="132"/>
        <v>1</v>
      </c>
      <c r="BH358" s="198"/>
      <c r="BI358" s="198"/>
      <c r="BJ358" s="199"/>
      <c r="BK358" s="200"/>
      <c r="BL358" s="200"/>
      <c r="BM358" s="200"/>
      <c r="BN358" s="200"/>
      <c r="BO358" s="10"/>
    </row>
    <row r="359" spans="1:67" ht="18" customHeight="1" x14ac:dyDescent="0.25">
      <c r="A359" s="201">
        <v>251</v>
      </c>
      <c r="B359" s="286"/>
      <c r="C359" s="203">
        <f t="shared" si="103"/>
        <v>0</v>
      </c>
      <c r="D359" s="204"/>
      <c r="E359" s="204"/>
      <c r="F359" s="207"/>
      <c r="G359" s="206"/>
      <c r="H359" s="207"/>
      <c r="I359" s="208" t="s">
        <v>125</v>
      </c>
      <c r="J359" s="208" t="s">
        <v>126</v>
      </c>
      <c r="K359" s="287"/>
      <c r="L359" s="288"/>
      <c r="M359" s="289"/>
      <c r="N359" s="257"/>
      <c r="O359" s="213"/>
      <c r="P359" s="214"/>
      <c r="Q359" s="214"/>
      <c r="R359" s="214"/>
      <c r="S359" s="214"/>
      <c r="T359" s="214"/>
      <c r="U359" s="215">
        <f t="shared" si="104"/>
        <v>0</v>
      </c>
      <c r="V359" s="216" t="str">
        <f t="shared" si="105"/>
        <v/>
      </c>
      <c r="W359" s="217" t="str">
        <f t="shared" si="106"/>
        <v/>
      </c>
      <c r="X359" s="218" t="s">
        <v>20</v>
      </c>
      <c r="Y359" s="219" t="str">
        <f t="shared" si="107"/>
        <v>0 um/Dia</v>
      </c>
      <c r="Z359" s="220" t="str">
        <f t="shared" si="108"/>
        <v xml:space="preserve"> um / HH</v>
      </c>
      <c r="AA359" s="221" t="str">
        <f t="shared" si="109"/>
        <v/>
      </c>
      <c r="AB359" s="222" t="str">
        <f t="shared" si="110"/>
        <v>0 um /HH</v>
      </c>
      <c r="AC359" s="223">
        <f t="shared" si="111"/>
        <v>0</v>
      </c>
      <c r="AD359" s="224"/>
      <c r="AE359" s="225"/>
      <c r="AF359" s="226">
        <f t="shared" si="112"/>
        <v>0</v>
      </c>
      <c r="AG359" s="227">
        <f t="shared" si="113"/>
        <v>0</v>
      </c>
      <c r="AH359" s="228" t="s">
        <v>25</v>
      </c>
      <c r="AI359" s="229" t="str">
        <f t="shared" si="79"/>
        <v>Extremamente Complexa</v>
      </c>
      <c r="AJ359" s="230" t="str">
        <f t="shared" si="80"/>
        <v>Normal</v>
      </c>
      <c r="AK359" s="231">
        <f t="shared" si="114"/>
        <v>0</v>
      </c>
      <c r="AL359" s="232" t="str">
        <f t="shared" si="115"/>
        <v/>
      </c>
      <c r="AM359" s="233" t="str">
        <f t="shared" si="116"/>
        <v/>
      </c>
      <c r="AN359" s="233" t="str">
        <f t="shared" si="117"/>
        <v/>
      </c>
      <c r="AO359" s="234">
        <f t="shared" si="118"/>
        <v>0</v>
      </c>
      <c r="AP359" s="235">
        <f t="shared" si="134"/>
        <v>1</v>
      </c>
      <c r="AQ359" s="235">
        <f t="shared" si="134"/>
        <v>1</v>
      </c>
      <c r="AR359" s="236">
        <f t="shared" si="119"/>
        <v>1</v>
      </c>
      <c r="AS359" s="251">
        <f t="shared" si="120"/>
        <v>0</v>
      </c>
      <c r="AT359" s="238">
        <f t="shared" si="121"/>
        <v>0</v>
      </c>
      <c r="AU359" s="239">
        <f t="shared" si="122"/>
        <v>0</v>
      </c>
      <c r="AV359" s="239">
        <f t="shared" si="123"/>
        <v>0</v>
      </c>
      <c r="AW359" s="239">
        <f t="shared" si="124"/>
        <v>0.05</v>
      </c>
      <c r="AX359" s="240">
        <f t="shared" si="125"/>
        <v>0</v>
      </c>
      <c r="AY359" s="241" t="str">
        <f t="shared" si="126"/>
        <v/>
      </c>
      <c r="AZ359" s="242" t="str">
        <f>IFERROR(VLOOKUP(M359,'[1]Base Brasil Obras'!$C$2:$F$485,4,0),"")</f>
        <v/>
      </c>
      <c r="BA359" s="243">
        <f t="shared" si="127"/>
        <v>0</v>
      </c>
      <c r="BB359" s="244">
        <f t="shared" si="128"/>
        <v>0</v>
      </c>
      <c r="BC359" s="244">
        <f t="shared" si="129"/>
        <v>0.05</v>
      </c>
      <c r="BD359" s="245">
        <f t="shared" si="130"/>
        <v>0.95</v>
      </c>
      <c r="BE359" s="246">
        <f t="shared" si="131"/>
        <v>0</v>
      </c>
      <c r="BF359" s="247">
        <v>0</v>
      </c>
      <c r="BG359" s="248">
        <f t="shared" si="132"/>
        <v>1</v>
      </c>
      <c r="BH359" s="198"/>
      <c r="BI359" s="198"/>
      <c r="BJ359" s="199"/>
      <c r="BK359" s="200"/>
      <c r="BL359" s="200"/>
      <c r="BM359" s="200"/>
      <c r="BN359" s="200"/>
      <c r="BO359" s="10"/>
    </row>
    <row r="360" spans="1:67" ht="18" customHeight="1" x14ac:dyDescent="0.25">
      <c r="A360" s="201">
        <v>252</v>
      </c>
      <c r="B360" s="286"/>
      <c r="C360" s="203">
        <f t="shared" si="103"/>
        <v>0</v>
      </c>
      <c r="D360" s="204"/>
      <c r="E360" s="204"/>
      <c r="F360" s="207"/>
      <c r="G360" s="206"/>
      <c r="H360" s="207"/>
      <c r="I360" s="208" t="s">
        <v>125</v>
      </c>
      <c r="J360" s="208" t="s">
        <v>126</v>
      </c>
      <c r="K360" s="287"/>
      <c r="L360" s="288"/>
      <c r="M360" s="289"/>
      <c r="N360" s="257"/>
      <c r="O360" s="213"/>
      <c r="P360" s="214"/>
      <c r="Q360" s="214"/>
      <c r="R360" s="214"/>
      <c r="S360" s="214"/>
      <c r="T360" s="214"/>
      <c r="U360" s="215">
        <f t="shared" si="104"/>
        <v>0</v>
      </c>
      <c r="V360" s="216" t="str">
        <f t="shared" si="105"/>
        <v/>
      </c>
      <c r="W360" s="217" t="str">
        <f t="shared" si="106"/>
        <v/>
      </c>
      <c r="X360" s="218" t="s">
        <v>20</v>
      </c>
      <c r="Y360" s="219" t="str">
        <f t="shared" si="107"/>
        <v>0 um/Dia</v>
      </c>
      <c r="Z360" s="220" t="str">
        <f t="shared" si="108"/>
        <v xml:space="preserve"> um / HH</v>
      </c>
      <c r="AA360" s="221" t="str">
        <f t="shared" si="109"/>
        <v/>
      </c>
      <c r="AB360" s="222" t="str">
        <f t="shared" si="110"/>
        <v>0 um /HH</v>
      </c>
      <c r="AC360" s="223">
        <f t="shared" si="111"/>
        <v>0</v>
      </c>
      <c r="AD360" s="224"/>
      <c r="AE360" s="225"/>
      <c r="AF360" s="226">
        <f t="shared" si="112"/>
        <v>0</v>
      </c>
      <c r="AG360" s="227">
        <f t="shared" si="113"/>
        <v>0</v>
      </c>
      <c r="AH360" s="228" t="s">
        <v>25</v>
      </c>
      <c r="AI360" s="229" t="str">
        <f t="shared" si="79"/>
        <v>Extremamente Complexa</v>
      </c>
      <c r="AJ360" s="230" t="str">
        <f t="shared" si="80"/>
        <v>Normal</v>
      </c>
      <c r="AK360" s="231">
        <f t="shared" si="114"/>
        <v>0</v>
      </c>
      <c r="AL360" s="232" t="str">
        <f t="shared" si="115"/>
        <v/>
      </c>
      <c r="AM360" s="233" t="str">
        <f t="shared" si="116"/>
        <v/>
      </c>
      <c r="AN360" s="233" t="str">
        <f t="shared" si="117"/>
        <v/>
      </c>
      <c r="AO360" s="234">
        <f t="shared" si="118"/>
        <v>0</v>
      </c>
      <c r="AP360" s="235">
        <f t="shared" si="134"/>
        <v>1</v>
      </c>
      <c r="AQ360" s="235">
        <f t="shared" si="134"/>
        <v>1</v>
      </c>
      <c r="AR360" s="235">
        <f t="shared" si="119"/>
        <v>1</v>
      </c>
      <c r="AS360" s="252">
        <f t="shared" si="120"/>
        <v>0</v>
      </c>
      <c r="AT360" s="238">
        <f t="shared" si="121"/>
        <v>0</v>
      </c>
      <c r="AU360" s="239">
        <f t="shared" si="122"/>
        <v>0</v>
      </c>
      <c r="AV360" s="239">
        <f t="shared" si="123"/>
        <v>0</v>
      </c>
      <c r="AW360" s="239">
        <f t="shared" si="124"/>
        <v>0.05</v>
      </c>
      <c r="AX360" s="240">
        <f t="shared" si="125"/>
        <v>0</v>
      </c>
      <c r="AY360" s="241" t="str">
        <f t="shared" si="126"/>
        <v/>
      </c>
      <c r="AZ360" s="242" t="str">
        <f>IFERROR(VLOOKUP(M360,'[1]Base Brasil Obras'!$C$2:$F$485,4,0),"")</f>
        <v/>
      </c>
      <c r="BA360" s="243">
        <f t="shared" si="127"/>
        <v>0</v>
      </c>
      <c r="BB360" s="244">
        <f t="shared" si="128"/>
        <v>0</v>
      </c>
      <c r="BC360" s="244">
        <f t="shared" si="129"/>
        <v>0.05</v>
      </c>
      <c r="BD360" s="245">
        <f t="shared" si="130"/>
        <v>0.95</v>
      </c>
      <c r="BE360" s="246">
        <f t="shared" si="131"/>
        <v>0</v>
      </c>
      <c r="BF360" s="247">
        <v>0</v>
      </c>
      <c r="BG360" s="248">
        <f t="shared" si="132"/>
        <v>1</v>
      </c>
      <c r="BH360" s="198"/>
      <c r="BI360" s="198"/>
      <c r="BJ360" s="199"/>
      <c r="BK360" s="200"/>
      <c r="BL360" s="200"/>
      <c r="BM360" s="200"/>
      <c r="BN360" s="200"/>
      <c r="BO360" s="10"/>
    </row>
    <row r="361" spans="1:67" ht="18" x14ac:dyDescent="0.25">
      <c r="A361" s="201">
        <v>253</v>
      </c>
      <c r="B361" s="286"/>
      <c r="C361" s="203">
        <f t="shared" si="103"/>
        <v>0</v>
      </c>
      <c r="D361" s="204"/>
      <c r="E361" s="204"/>
      <c r="F361" s="207"/>
      <c r="G361" s="206"/>
      <c r="H361" s="207"/>
      <c r="I361" s="208" t="s">
        <v>125</v>
      </c>
      <c r="J361" s="208" t="s">
        <v>126</v>
      </c>
      <c r="K361" s="287"/>
      <c r="L361" s="288"/>
      <c r="M361" s="289"/>
      <c r="N361" s="257"/>
      <c r="O361" s="213"/>
      <c r="P361" s="214"/>
      <c r="Q361" s="214"/>
      <c r="R361" s="214"/>
      <c r="S361" s="214"/>
      <c r="T361" s="214"/>
      <c r="U361" s="215">
        <f t="shared" si="104"/>
        <v>0</v>
      </c>
      <c r="V361" s="216" t="str">
        <f t="shared" si="105"/>
        <v/>
      </c>
      <c r="W361" s="217" t="str">
        <f t="shared" si="106"/>
        <v/>
      </c>
      <c r="X361" s="218" t="s">
        <v>20</v>
      </c>
      <c r="Y361" s="219" t="str">
        <f t="shared" si="107"/>
        <v>0 um/Dia</v>
      </c>
      <c r="Z361" s="220" t="str">
        <f t="shared" si="108"/>
        <v xml:space="preserve"> um / HH</v>
      </c>
      <c r="AA361" s="221" t="str">
        <f t="shared" si="109"/>
        <v/>
      </c>
      <c r="AB361" s="222" t="str">
        <f t="shared" si="110"/>
        <v>0 um /HH</v>
      </c>
      <c r="AC361" s="223">
        <f t="shared" si="111"/>
        <v>0</v>
      </c>
      <c r="AD361" s="224"/>
      <c r="AE361" s="225"/>
      <c r="AF361" s="226">
        <f t="shared" si="112"/>
        <v>0</v>
      </c>
      <c r="AG361" s="227">
        <f t="shared" si="113"/>
        <v>0</v>
      </c>
      <c r="AH361" s="228" t="s">
        <v>25</v>
      </c>
      <c r="AI361" s="229" t="str">
        <f t="shared" si="79"/>
        <v>Extremamente Complexa</v>
      </c>
      <c r="AJ361" s="230" t="str">
        <f t="shared" si="80"/>
        <v>Normal</v>
      </c>
      <c r="AK361" s="231">
        <f t="shared" si="114"/>
        <v>0</v>
      </c>
      <c r="AL361" s="232" t="str">
        <f t="shared" si="115"/>
        <v/>
      </c>
      <c r="AM361" s="233" t="str">
        <f t="shared" si="116"/>
        <v/>
      </c>
      <c r="AN361" s="233" t="str">
        <f t="shared" si="117"/>
        <v/>
      </c>
      <c r="AO361" s="234">
        <f t="shared" si="118"/>
        <v>0</v>
      </c>
      <c r="AP361" s="235">
        <f t="shared" si="134"/>
        <v>1</v>
      </c>
      <c r="AQ361" s="235">
        <f t="shared" si="134"/>
        <v>1</v>
      </c>
      <c r="AR361" s="236">
        <f t="shared" si="119"/>
        <v>1</v>
      </c>
      <c r="AS361" s="251">
        <f t="shared" si="120"/>
        <v>0</v>
      </c>
      <c r="AT361" s="238">
        <f t="shared" si="121"/>
        <v>0</v>
      </c>
      <c r="AU361" s="239">
        <f t="shared" si="122"/>
        <v>0</v>
      </c>
      <c r="AV361" s="239">
        <f t="shared" si="123"/>
        <v>0</v>
      </c>
      <c r="AW361" s="239">
        <f t="shared" si="124"/>
        <v>0.05</v>
      </c>
      <c r="AX361" s="240">
        <f t="shared" si="125"/>
        <v>0</v>
      </c>
      <c r="AY361" s="241" t="str">
        <f t="shared" si="126"/>
        <v/>
      </c>
      <c r="AZ361" s="242" t="str">
        <f>IFERROR(VLOOKUP(M361,'[1]Base Brasil Obras'!$C$2:$F$485,4,0),"")</f>
        <v/>
      </c>
      <c r="BA361" s="243">
        <f t="shared" si="127"/>
        <v>0</v>
      </c>
      <c r="BB361" s="244">
        <f t="shared" si="128"/>
        <v>0</v>
      </c>
      <c r="BC361" s="244">
        <f t="shared" si="129"/>
        <v>0.05</v>
      </c>
      <c r="BD361" s="245">
        <f t="shared" si="130"/>
        <v>0.95</v>
      </c>
      <c r="BE361" s="246">
        <f t="shared" si="131"/>
        <v>0</v>
      </c>
      <c r="BF361" s="247">
        <v>0</v>
      </c>
      <c r="BG361" s="248">
        <f t="shared" si="132"/>
        <v>1</v>
      </c>
      <c r="BH361" s="198"/>
      <c r="BI361" s="198"/>
      <c r="BJ361" s="199"/>
      <c r="BK361" s="200"/>
      <c r="BL361" s="200"/>
      <c r="BM361" s="200"/>
      <c r="BN361" s="200"/>
      <c r="BO361" s="10"/>
    </row>
    <row r="362" spans="1:67" ht="18" x14ac:dyDescent="0.25">
      <c r="A362" s="201">
        <v>254</v>
      </c>
      <c r="B362" s="286"/>
      <c r="C362" s="203">
        <f t="shared" si="103"/>
        <v>0</v>
      </c>
      <c r="D362" s="204"/>
      <c r="E362" s="204"/>
      <c r="F362" s="207"/>
      <c r="G362" s="206"/>
      <c r="H362" s="207"/>
      <c r="I362" s="208" t="s">
        <v>125</v>
      </c>
      <c r="J362" s="208" t="s">
        <v>126</v>
      </c>
      <c r="K362" s="287"/>
      <c r="L362" s="288"/>
      <c r="M362" s="289"/>
      <c r="N362" s="257"/>
      <c r="O362" s="213"/>
      <c r="P362" s="214"/>
      <c r="Q362" s="214"/>
      <c r="R362" s="214"/>
      <c r="S362" s="214"/>
      <c r="T362" s="214"/>
      <c r="U362" s="215">
        <f t="shared" si="104"/>
        <v>0</v>
      </c>
      <c r="V362" s="216" t="str">
        <f t="shared" si="105"/>
        <v/>
      </c>
      <c r="W362" s="217" t="str">
        <f t="shared" si="106"/>
        <v/>
      </c>
      <c r="X362" s="218" t="s">
        <v>20</v>
      </c>
      <c r="Y362" s="219" t="str">
        <f t="shared" si="107"/>
        <v>0 um/Dia</v>
      </c>
      <c r="Z362" s="220" t="str">
        <f t="shared" si="108"/>
        <v xml:space="preserve"> um / HH</v>
      </c>
      <c r="AA362" s="221" t="str">
        <f t="shared" si="109"/>
        <v/>
      </c>
      <c r="AB362" s="222" t="str">
        <f t="shared" si="110"/>
        <v>0 um /HH</v>
      </c>
      <c r="AC362" s="223">
        <f t="shared" si="111"/>
        <v>0</v>
      </c>
      <c r="AD362" s="224"/>
      <c r="AE362" s="225"/>
      <c r="AF362" s="226">
        <f t="shared" si="112"/>
        <v>0</v>
      </c>
      <c r="AG362" s="227">
        <f t="shared" si="113"/>
        <v>0</v>
      </c>
      <c r="AH362" s="228" t="s">
        <v>25</v>
      </c>
      <c r="AI362" s="229" t="str">
        <f t="shared" si="79"/>
        <v>Extremamente Complexa</v>
      </c>
      <c r="AJ362" s="230" t="str">
        <f t="shared" si="80"/>
        <v>Normal</v>
      </c>
      <c r="AK362" s="231">
        <f t="shared" si="114"/>
        <v>0</v>
      </c>
      <c r="AL362" s="232" t="str">
        <f t="shared" si="115"/>
        <v/>
      </c>
      <c r="AM362" s="233" t="str">
        <f t="shared" si="116"/>
        <v/>
      </c>
      <c r="AN362" s="233" t="str">
        <f t="shared" si="117"/>
        <v/>
      </c>
      <c r="AO362" s="234">
        <f t="shared" si="118"/>
        <v>0</v>
      </c>
      <c r="AP362" s="235">
        <f t="shared" si="134"/>
        <v>1</v>
      </c>
      <c r="AQ362" s="235">
        <f t="shared" si="134"/>
        <v>1</v>
      </c>
      <c r="AR362" s="235">
        <f t="shared" si="119"/>
        <v>1</v>
      </c>
      <c r="AS362" s="252">
        <f t="shared" si="120"/>
        <v>0</v>
      </c>
      <c r="AT362" s="238">
        <f t="shared" si="121"/>
        <v>0</v>
      </c>
      <c r="AU362" s="239">
        <f t="shared" si="122"/>
        <v>0</v>
      </c>
      <c r="AV362" s="239">
        <f t="shared" si="123"/>
        <v>0</v>
      </c>
      <c r="AW362" s="239">
        <f t="shared" si="124"/>
        <v>0.05</v>
      </c>
      <c r="AX362" s="240">
        <f t="shared" si="125"/>
        <v>0</v>
      </c>
      <c r="AY362" s="241" t="str">
        <f t="shared" si="126"/>
        <v/>
      </c>
      <c r="AZ362" s="242" t="str">
        <f>IFERROR(VLOOKUP(M362,'[1]Base Brasil Obras'!$C$2:$F$485,4,0),"")</f>
        <v/>
      </c>
      <c r="BA362" s="243">
        <f t="shared" si="127"/>
        <v>0</v>
      </c>
      <c r="BB362" s="244">
        <f t="shared" si="128"/>
        <v>0</v>
      </c>
      <c r="BC362" s="244">
        <f t="shared" si="129"/>
        <v>0.05</v>
      </c>
      <c r="BD362" s="245">
        <f t="shared" si="130"/>
        <v>0.95</v>
      </c>
      <c r="BE362" s="246">
        <f t="shared" si="131"/>
        <v>0</v>
      </c>
      <c r="BF362" s="247">
        <v>0</v>
      </c>
      <c r="BG362" s="248">
        <f t="shared" si="132"/>
        <v>1</v>
      </c>
      <c r="BH362" s="198"/>
      <c r="BI362" s="198"/>
      <c r="BJ362" s="199"/>
      <c r="BK362" s="200"/>
      <c r="BL362" s="200"/>
      <c r="BM362" s="200"/>
      <c r="BN362" s="200"/>
      <c r="BO362" s="10"/>
    </row>
    <row r="363" spans="1:67" ht="18" x14ac:dyDescent="0.25">
      <c r="A363" s="201">
        <v>255</v>
      </c>
      <c r="B363" s="286"/>
      <c r="C363" s="203">
        <f t="shared" si="103"/>
        <v>0</v>
      </c>
      <c r="D363" s="204"/>
      <c r="E363" s="204"/>
      <c r="F363" s="207"/>
      <c r="G363" s="206"/>
      <c r="H363" s="207"/>
      <c r="I363" s="208" t="s">
        <v>125</v>
      </c>
      <c r="J363" s="208" t="s">
        <v>126</v>
      </c>
      <c r="K363" s="287"/>
      <c r="L363" s="288"/>
      <c r="M363" s="289"/>
      <c r="N363" s="257"/>
      <c r="O363" s="213"/>
      <c r="P363" s="214"/>
      <c r="Q363" s="214"/>
      <c r="R363" s="214"/>
      <c r="S363" s="214"/>
      <c r="T363" s="214"/>
      <c r="U363" s="215">
        <f t="shared" si="104"/>
        <v>0</v>
      </c>
      <c r="V363" s="216" t="str">
        <f t="shared" si="105"/>
        <v/>
      </c>
      <c r="W363" s="217" t="str">
        <f t="shared" si="106"/>
        <v/>
      </c>
      <c r="X363" s="218" t="s">
        <v>20</v>
      </c>
      <c r="Y363" s="219" t="str">
        <f t="shared" si="107"/>
        <v>0 um/Dia</v>
      </c>
      <c r="Z363" s="220" t="str">
        <f t="shared" si="108"/>
        <v xml:space="preserve"> um / HH</v>
      </c>
      <c r="AA363" s="221" t="str">
        <f t="shared" si="109"/>
        <v/>
      </c>
      <c r="AB363" s="222" t="str">
        <f t="shared" si="110"/>
        <v>0 um /HH</v>
      </c>
      <c r="AC363" s="223">
        <f t="shared" si="111"/>
        <v>0</v>
      </c>
      <c r="AD363" s="224"/>
      <c r="AE363" s="225"/>
      <c r="AF363" s="226">
        <f t="shared" si="112"/>
        <v>0</v>
      </c>
      <c r="AG363" s="227">
        <f t="shared" si="113"/>
        <v>0</v>
      </c>
      <c r="AH363" s="228" t="s">
        <v>25</v>
      </c>
      <c r="AI363" s="229" t="str">
        <f t="shared" si="79"/>
        <v>Extremamente Complexa</v>
      </c>
      <c r="AJ363" s="230" t="str">
        <f t="shared" si="80"/>
        <v>Normal</v>
      </c>
      <c r="AK363" s="231">
        <f t="shared" si="114"/>
        <v>0</v>
      </c>
      <c r="AL363" s="232" t="str">
        <f t="shared" si="115"/>
        <v/>
      </c>
      <c r="AM363" s="233" t="str">
        <f t="shared" si="116"/>
        <v/>
      </c>
      <c r="AN363" s="233" t="str">
        <f t="shared" si="117"/>
        <v/>
      </c>
      <c r="AO363" s="234">
        <f t="shared" si="118"/>
        <v>0</v>
      </c>
      <c r="AP363" s="235">
        <f t="shared" si="134"/>
        <v>1</v>
      </c>
      <c r="AQ363" s="235">
        <f t="shared" si="134"/>
        <v>1</v>
      </c>
      <c r="AR363" s="236">
        <f t="shared" si="119"/>
        <v>1</v>
      </c>
      <c r="AS363" s="251">
        <f t="shared" si="120"/>
        <v>0</v>
      </c>
      <c r="AT363" s="238">
        <f t="shared" si="121"/>
        <v>0</v>
      </c>
      <c r="AU363" s="239">
        <f t="shared" si="122"/>
        <v>0</v>
      </c>
      <c r="AV363" s="239">
        <f t="shared" si="123"/>
        <v>0</v>
      </c>
      <c r="AW363" s="239">
        <f t="shared" si="124"/>
        <v>0.05</v>
      </c>
      <c r="AX363" s="240">
        <f t="shared" si="125"/>
        <v>0</v>
      </c>
      <c r="AY363" s="241" t="str">
        <f t="shared" si="126"/>
        <v/>
      </c>
      <c r="AZ363" s="242" t="str">
        <f>IFERROR(VLOOKUP(M363,'[1]Base Brasil Obras'!$C$2:$F$485,4,0),"")</f>
        <v/>
      </c>
      <c r="BA363" s="243">
        <f t="shared" si="127"/>
        <v>0</v>
      </c>
      <c r="BB363" s="244">
        <f t="shared" si="128"/>
        <v>0</v>
      </c>
      <c r="BC363" s="244">
        <f t="shared" si="129"/>
        <v>0.05</v>
      </c>
      <c r="BD363" s="245">
        <f t="shared" si="130"/>
        <v>0.95</v>
      </c>
      <c r="BE363" s="246">
        <f t="shared" si="131"/>
        <v>0</v>
      </c>
      <c r="BF363" s="247">
        <v>0</v>
      </c>
      <c r="BG363" s="248">
        <f t="shared" si="132"/>
        <v>1</v>
      </c>
      <c r="BH363" s="198"/>
      <c r="BI363" s="198"/>
      <c r="BJ363" s="199"/>
      <c r="BK363" s="200"/>
      <c r="BL363" s="200"/>
      <c r="BM363" s="200"/>
      <c r="BN363" s="200"/>
      <c r="BO363" s="10"/>
    </row>
    <row r="364" spans="1:67" ht="18" x14ac:dyDescent="0.25">
      <c r="A364" s="201">
        <v>256</v>
      </c>
      <c r="B364" s="286"/>
      <c r="C364" s="203">
        <f t="shared" si="103"/>
        <v>0</v>
      </c>
      <c r="D364" s="204"/>
      <c r="E364" s="204"/>
      <c r="F364" s="207"/>
      <c r="G364" s="206"/>
      <c r="H364" s="207"/>
      <c r="I364" s="208" t="s">
        <v>125</v>
      </c>
      <c r="J364" s="208" t="s">
        <v>126</v>
      </c>
      <c r="K364" s="287"/>
      <c r="L364" s="288"/>
      <c r="M364" s="289"/>
      <c r="N364" s="257"/>
      <c r="O364" s="213"/>
      <c r="P364" s="214"/>
      <c r="Q364" s="214"/>
      <c r="R364" s="214"/>
      <c r="S364" s="214"/>
      <c r="T364" s="214"/>
      <c r="U364" s="215">
        <f t="shared" si="104"/>
        <v>0</v>
      </c>
      <c r="V364" s="216" t="str">
        <f t="shared" si="105"/>
        <v/>
      </c>
      <c r="W364" s="217" t="str">
        <f t="shared" si="106"/>
        <v/>
      </c>
      <c r="X364" s="218" t="s">
        <v>20</v>
      </c>
      <c r="Y364" s="219" t="str">
        <f t="shared" si="107"/>
        <v>0 um/Dia</v>
      </c>
      <c r="Z364" s="220" t="str">
        <f t="shared" si="108"/>
        <v xml:space="preserve"> um / HH</v>
      </c>
      <c r="AA364" s="221" t="str">
        <f t="shared" si="109"/>
        <v/>
      </c>
      <c r="AB364" s="222" t="str">
        <f t="shared" si="110"/>
        <v>0 um /HH</v>
      </c>
      <c r="AC364" s="223">
        <f t="shared" si="111"/>
        <v>0</v>
      </c>
      <c r="AD364" s="224"/>
      <c r="AE364" s="225"/>
      <c r="AF364" s="226">
        <f t="shared" si="112"/>
        <v>0</v>
      </c>
      <c r="AG364" s="227">
        <f t="shared" si="113"/>
        <v>0</v>
      </c>
      <c r="AH364" s="228" t="s">
        <v>25</v>
      </c>
      <c r="AI364" s="229" t="str">
        <f t="shared" si="79"/>
        <v>Extremamente Complexa</v>
      </c>
      <c r="AJ364" s="230" t="str">
        <f t="shared" si="80"/>
        <v>Normal</v>
      </c>
      <c r="AK364" s="231">
        <f t="shared" si="114"/>
        <v>0</v>
      </c>
      <c r="AL364" s="232" t="str">
        <f t="shared" si="115"/>
        <v/>
      </c>
      <c r="AM364" s="233" t="str">
        <f t="shared" si="116"/>
        <v/>
      </c>
      <c r="AN364" s="233" t="str">
        <f t="shared" si="117"/>
        <v/>
      </c>
      <c r="AO364" s="234">
        <f t="shared" si="118"/>
        <v>0</v>
      </c>
      <c r="AP364" s="235">
        <f t="shared" si="134"/>
        <v>1</v>
      </c>
      <c r="AQ364" s="235">
        <f t="shared" si="134"/>
        <v>1</v>
      </c>
      <c r="AR364" s="235">
        <f t="shared" si="119"/>
        <v>1</v>
      </c>
      <c r="AS364" s="252">
        <f t="shared" si="120"/>
        <v>0</v>
      </c>
      <c r="AT364" s="238">
        <f t="shared" si="121"/>
        <v>0</v>
      </c>
      <c r="AU364" s="239">
        <f t="shared" si="122"/>
        <v>0</v>
      </c>
      <c r="AV364" s="239">
        <f t="shared" si="123"/>
        <v>0</v>
      </c>
      <c r="AW364" s="239">
        <f t="shared" si="124"/>
        <v>0.05</v>
      </c>
      <c r="AX364" s="240">
        <f t="shared" si="125"/>
        <v>0</v>
      </c>
      <c r="AY364" s="241" t="str">
        <f t="shared" si="126"/>
        <v/>
      </c>
      <c r="AZ364" s="242" t="str">
        <f>IFERROR(VLOOKUP(M364,'[1]Base Brasil Obras'!$C$2:$F$485,4,0),"")</f>
        <v/>
      </c>
      <c r="BA364" s="243">
        <f t="shared" si="127"/>
        <v>0</v>
      </c>
      <c r="BB364" s="244">
        <f t="shared" si="128"/>
        <v>0</v>
      </c>
      <c r="BC364" s="244">
        <f t="shared" si="129"/>
        <v>0.05</v>
      </c>
      <c r="BD364" s="245">
        <f t="shared" si="130"/>
        <v>0.95</v>
      </c>
      <c r="BE364" s="246">
        <f t="shared" si="131"/>
        <v>0</v>
      </c>
      <c r="BF364" s="247">
        <v>0</v>
      </c>
      <c r="BG364" s="248">
        <f t="shared" si="132"/>
        <v>1</v>
      </c>
      <c r="BH364" s="198"/>
      <c r="BI364" s="198"/>
      <c r="BJ364" s="199"/>
      <c r="BK364" s="200"/>
      <c r="BL364" s="200"/>
      <c r="BM364" s="200"/>
      <c r="BN364" s="200"/>
      <c r="BO364" s="10"/>
    </row>
    <row r="365" spans="1:67" ht="18" x14ac:dyDescent="0.25">
      <c r="A365" s="201">
        <v>257</v>
      </c>
      <c r="B365" s="286"/>
      <c r="C365" s="203">
        <f t="shared" ref="C365:C428" si="135">IFERROR(AVERAGEIF(P365:T365,"&gt;0,1"),0)</f>
        <v>0</v>
      </c>
      <c r="D365" s="204"/>
      <c r="E365" s="204"/>
      <c r="F365" s="207"/>
      <c r="G365" s="206"/>
      <c r="H365" s="207"/>
      <c r="I365" s="208" t="s">
        <v>125</v>
      </c>
      <c r="J365" s="208" t="s">
        <v>126</v>
      </c>
      <c r="K365" s="287"/>
      <c r="L365" s="288"/>
      <c r="M365" s="289"/>
      <c r="N365" s="257"/>
      <c r="O365" s="213"/>
      <c r="P365" s="214"/>
      <c r="Q365" s="214"/>
      <c r="R365" s="214"/>
      <c r="S365" s="214"/>
      <c r="T365" s="214"/>
      <c r="U365" s="215">
        <f t="shared" ref="U365:U428" si="136">B365*(1-$U$107)</f>
        <v>0</v>
      </c>
      <c r="V365" s="216" t="str">
        <f t="shared" ref="V365:V428" si="137">IF(IFERROR((1-BA365/AX365),"")=0%,"",IFERROR((1-BA365/AX365),""))</f>
        <v/>
      </c>
      <c r="W365" s="217" t="str">
        <f t="shared" ref="W365:W428" si="138">IFERROR(AVERAGEIF(P365:U365,"&gt;0,1"),"")</f>
        <v/>
      </c>
      <c r="X365" s="218" t="s">
        <v>20</v>
      </c>
      <c r="Y365" s="219" t="str">
        <f t="shared" ref="Y365:Y428" si="139">_xlfn.CONCAT(AX365," ",X365,"/","Dia")</f>
        <v>0 um/Dia</v>
      </c>
      <c r="Z365" s="220" t="str">
        <f t="shared" ref="Z365:Z428" si="140">_xlfn.CONCAT(AA365," ",X365," ","/ HH")</f>
        <v xml:space="preserve"> um / HH</v>
      </c>
      <c r="AA365" s="221" t="str">
        <f t="shared" ref="AA365:AA428" si="141">IFERROR(IF(B365=0,"",ROUND(AZ365,2)),0)</f>
        <v/>
      </c>
      <c r="AB365" s="222" t="str">
        <f t="shared" ref="AB365:AB428" si="142">_xlfn.CONCAT(ROUND(AS365,1)," ",X365," /","HH")</f>
        <v>0 um /HH</v>
      </c>
      <c r="AC365" s="223">
        <f t="shared" ref="AC365:AC428" si="143">AD365+AE365</f>
        <v>0</v>
      </c>
      <c r="AD365" s="224"/>
      <c r="AE365" s="225"/>
      <c r="AF365" s="226">
        <f t="shared" ref="AF365:AF428" si="144">IFERROR(O365/AT365,0)/BG365</f>
        <v>0</v>
      </c>
      <c r="AG365" s="227">
        <f t="shared" ref="AG365:AG428" si="145">AF365*AC365*$Z$101*$Y$104</f>
        <v>0</v>
      </c>
      <c r="AH365" s="228" t="s">
        <v>25</v>
      </c>
      <c r="AI365" s="229" t="str">
        <f t="shared" si="79"/>
        <v>Extremamente Complexa</v>
      </c>
      <c r="AJ365" s="230" t="str">
        <f t="shared" si="80"/>
        <v>Normal</v>
      </c>
      <c r="AK365" s="231">
        <f t="shared" ref="AK365:AK428" si="146">(AG365*(1+0)/$Y$102)*$Y$104</f>
        <v>0</v>
      </c>
      <c r="AL365" s="232" t="str">
        <f t="shared" ref="AL365:AL428" si="147">IFERROR(AD365/AC365,"")</f>
        <v/>
      </c>
      <c r="AM365" s="233" t="str">
        <f t="shared" ref="AM365:AM428" si="148">IFERROR(AK365*AL365,"")</f>
        <v/>
      </c>
      <c r="AN365" s="233" t="str">
        <f t="shared" ref="AN365:AN428" si="149">IFERROR(AK365-AM365,"")</f>
        <v/>
      </c>
      <c r="AO365" s="234">
        <f t="shared" ref="AO365:AO428" si="150">IFERROR(AK365/$AK$107,"")</f>
        <v>0</v>
      </c>
      <c r="AP365" s="235">
        <f t="shared" si="134"/>
        <v>1</v>
      </c>
      <c r="AQ365" s="235">
        <f t="shared" si="134"/>
        <v>1</v>
      </c>
      <c r="AR365" s="236">
        <f t="shared" ref="AR365:AR428" si="151">IF(O365=0,1,IF(I365=0,AQ365,IF(J365=0,AP365,SMALL(AP365:AQ365,1))))</f>
        <v>1</v>
      </c>
      <c r="AS365" s="251">
        <f t="shared" ref="AS365:AS428" si="152">IFERROR(O365/AG365,0)</f>
        <v>0</v>
      </c>
      <c r="AT365" s="238">
        <f t="shared" ref="AT365:AT428" si="153">IF(X365=$X$5,1,AX365)</f>
        <v>0</v>
      </c>
      <c r="AU365" s="239">
        <f t="shared" ref="AU365:AU428" si="154">VLOOKUP(AH365,$AI$66:$AJ$69,2,0)</f>
        <v>0</v>
      </c>
      <c r="AV365" s="239">
        <f t="shared" ref="AV365:AV428" si="155">VLOOKUP(AJ365,$AJ$73:$AK$76,2,1)</f>
        <v>0</v>
      </c>
      <c r="AW365" s="239">
        <f t="shared" ref="AW365:AW428" si="156">VLOOKUP(AI365,$AI$83:$AJ$86,2,0)</f>
        <v>0.05</v>
      </c>
      <c r="AX365" s="240">
        <f t="shared" ref="AX365:AX428" si="157" xml:space="preserve">   ROUND((IFERROR(AVERAGEIF(P365:U365,"&gt;0,1"),0)*BD365),0)</f>
        <v>0</v>
      </c>
      <c r="AY365" s="241" t="str">
        <f t="shared" ref="AY365:AY428" si="158">IFERROR(ROUND(AS365,1)-AA365,"")</f>
        <v/>
      </c>
      <c r="AZ365" s="242" t="str">
        <f>IFERROR(VLOOKUP(M365,'[1]Base Brasil Obras'!$C$2:$F$485,4,0),"")</f>
        <v/>
      </c>
      <c r="BA365" s="243">
        <f t="shared" ref="BA365:BA428" si="159">B365*(1-$U$107)</f>
        <v>0</v>
      </c>
      <c r="BB365" s="244">
        <f t="shared" ref="BB365:BB428" si="160">1-AR365</f>
        <v>0</v>
      </c>
      <c r="BC365" s="244">
        <f t="shared" ref="BC365:BC428" si="161">AU365+AV365+AW365</f>
        <v>0.05</v>
      </c>
      <c r="BD365" s="245">
        <f t="shared" ref="BD365:BD428" si="162">1-(BB365+BC365)</f>
        <v>0.95</v>
      </c>
      <c r="BE365" s="246">
        <f t="shared" ref="BE365:BE428" si="163">IFERROR(B365/(AC365*$Z$101),0)</f>
        <v>0</v>
      </c>
      <c r="BF365" s="247">
        <v>0</v>
      </c>
      <c r="BG365" s="248">
        <f t="shared" ref="BG365:BG428" si="164">IFERROR(AC365/BF365,1)</f>
        <v>1</v>
      </c>
      <c r="BH365" s="198"/>
      <c r="BI365" s="198"/>
      <c r="BJ365" s="199"/>
      <c r="BK365" s="200"/>
      <c r="BL365" s="200"/>
      <c r="BM365" s="200"/>
      <c r="BN365" s="200"/>
      <c r="BO365" s="10"/>
    </row>
    <row r="366" spans="1:67" ht="18" x14ac:dyDescent="0.25">
      <c r="A366" s="201">
        <v>258</v>
      </c>
      <c r="B366" s="286"/>
      <c r="C366" s="203">
        <f t="shared" si="135"/>
        <v>0</v>
      </c>
      <c r="D366" s="204"/>
      <c r="E366" s="204"/>
      <c r="F366" s="207"/>
      <c r="G366" s="206"/>
      <c r="H366" s="207"/>
      <c r="I366" s="208" t="s">
        <v>125</v>
      </c>
      <c r="J366" s="208" t="s">
        <v>126</v>
      </c>
      <c r="K366" s="287"/>
      <c r="L366" s="288"/>
      <c r="M366" s="289"/>
      <c r="N366" s="257"/>
      <c r="O366" s="213"/>
      <c r="P366" s="214"/>
      <c r="Q366" s="214"/>
      <c r="R366" s="214"/>
      <c r="S366" s="214"/>
      <c r="T366" s="214"/>
      <c r="U366" s="215">
        <f t="shared" si="136"/>
        <v>0</v>
      </c>
      <c r="V366" s="216" t="str">
        <f t="shared" si="137"/>
        <v/>
      </c>
      <c r="W366" s="217" t="str">
        <f t="shared" si="138"/>
        <v/>
      </c>
      <c r="X366" s="218" t="s">
        <v>20</v>
      </c>
      <c r="Y366" s="219" t="str">
        <f t="shared" si="139"/>
        <v>0 um/Dia</v>
      </c>
      <c r="Z366" s="220" t="str">
        <f t="shared" si="140"/>
        <v xml:space="preserve"> um / HH</v>
      </c>
      <c r="AA366" s="221" t="str">
        <f t="shared" si="141"/>
        <v/>
      </c>
      <c r="AB366" s="222" t="str">
        <f t="shared" si="142"/>
        <v>0 um /HH</v>
      </c>
      <c r="AC366" s="223">
        <f t="shared" si="143"/>
        <v>0</v>
      </c>
      <c r="AD366" s="224"/>
      <c r="AE366" s="225"/>
      <c r="AF366" s="226">
        <f t="shared" si="144"/>
        <v>0</v>
      </c>
      <c r="AG366" s="227">
        <f t="shared" si="145"/>
        <v>0</v>
      </c>
      <c r="AH366" s="228" t="s">
        <v>25</v>
      </c>
      <c r="AI366" s="229" t="str">
        <f t="shared" si="79"/>
        <v>Extremamente Complexa</v>
      </c>
      <c r="AJ366" s="230" t="str">
        <f t="shared" si="80"/>
        <v>Normal</v>
      </c>
      <c r="AK366" s="231">
        <f t="shared" si="146"/>
        <v>0</v>
      </c>
      <c r="AL366" s="232" t="str">
        <f t="shared" si="147"/>
        <v/>
      </c>
      <c r="AM366" s="233" t="str">
        <f t="shared" si="148"/>
        <v/>
      </c>
      <c r="AN366" s="233" t="str">
        <f t="shared" si="149"/>
        <v/>
      </c>
      <c r="AO366" s="234">
        <f t="shared" si="150"/>
        <v>0</v>
      </c>
      <c r="AP366" s="235">
        <f t="shared" si="134"/>
        <v>1</v>
      </c>
      <c r="AQ366" s="235">
        <f t="shared" si="134"/>
        <v>1</v>
      </c>
      <c r="AR366" s="235">
        <f t="shared" si="151"/>
        <v>1</v>
      </c>
      <c r="AS366" s="252">
        <f t="shared" si="152"/>
        <v>0</v>
      </c>
      <c r="AT366" s="238">
        <f t="shared" si="153"/>
        <v>0</v>
      </c>
      <c r="AU366" s="239">
        <f t="shared" si="154"/>
        <v>0</v>
      </c>
      <c r="AV366" s="239">
        <f t="shared" si="155"/>
        <v>0</v>
      </c>
      <c r="AW366" s="239">
        <f t="shared" si="156"/>
        <v>0.05</v>
      </c>
      <c r="AX366" s="240">
        <f t="shared" si="157"/>
        <v>0</v>
      </c>
      <c r="AY366" s="241" t="str">
        <f t="shared" si="158"/>
        <v/>
      </c>
      <c r="AZ366" s="242" t="str">
        <f>IFERROR(VLOOKUP(M366,'[1]Base Brasil Obras'!$C$2:$F$485,4,0),"")</f>
        <v/>
      </c>
      <c r="BA366" s="243">
        <f t="shared" si="159"/>
        <v>0</v>
      </c>
      <c r="BB366" s="244">
        <f t="shared" si="160"/>
        <v>0</v>
      </c>
      <c r="BC366" s="244">
        <f t="shared" si="161"/>
        <v>0.05</v>
      </c>
      <c r="BD366" s="245">
        <f t="shared" si="162"/>
        <v>0.95</v>
      </c>
      <c r="BE366" s="246">
        <f t="shared" si="163"/>
        <v>0</v>
      </c>
      <c r="BF366" s="247">
        <v>0</v>
      </c>
      <c r="BG366" s="248">
        <f t="shared" si="164"/>
        <v>1</v>
      </c>
      <c r="BH366" s="198"/>
      <c r="BI366" s="198"/>
      <c r="BJ366" s="199"/>
      <c r="BK366" s="200"/>
      <c r="BL366" s="200"/>
      <c r="BM366" s="200"/>
      <c r="BN366" s="200"/>
      <c r="BO366" s="10"/>
    </row>
    <row r="367" spans="1:67" ht="18" x14ac:dyDescent="0.25">
      <c r="A367" s="201">
        <v>259</v>
      </c>
      <c r="B367" s="286"/>
      <c r="C367" s="203">
        <f t="shared" si="135"/>
        <v>0</v>
      </c>
      <c r="D367" s="204"/>
      <c r="E367" s="204"/>
      <c r="F367" s="207"/>
      <c r="G367" s="206"/>
      <c r="H367" s="207"/>
      <c r="I367" s="208" t="s">
        <v>125</v>
      </c>
      <c r="J367" s="208" t="s">
        <v>126</v>
      </c>
      <c r="K367" s="287"/>
      <c r="L367" s="288"/>
      <c r="M367" s="289"/>
      <c r="N367" s="257"/>
      <c r="O367" s="213"/>
      <c r="P367" s="214"/>
      <c r="Q367" s="214"/>
      <c r="R367" s="214"/>
      <c r="S367" s="214"/>
      <c r="T367" s="214"/>
      <c r="U367" s="215">
        <f t="shared" si="136"/>
        <v>0</v>
      </c>
      <c r="V367" s="216" t="str">
        <f t="shared" si="137"/>
        <v/>
      </c>
      <c r="W367" s="217" t="str">
        <f t="shared" si="138"/>
        <v/>
      </c>
      <c r="X367" s="218" t="s">
        <v>20</v>
      </c>
      <c r="Y367" s="219" t="str">
        <f t="shared" si="139"/>
        <v>0 um/Dia</v>
      </c>
      <c r="Z367" s="220" t="str">
        <f t="shared" si="140"/>
        <v xml:space="preserve"> um / HH</v>
      </c>
      <c r="AA367" s="221" t="str">
        <f t="shared" si="141"/>
        <v/>
      </c>
      <c r="AB367" s="222" t="str">
        <f t="shared" si="142"/>
        <v>0 um /HH</v>
      </c>
      <c r="AC367" s="223">
        <f t="shared" si="143"/>
        <v>0</v>
      </c>
      <c r="AD367" s="224"/>
      <c r="AE367" s="225"/>
      <c r="AF367" s="226">
        <f t="shared" si="144"/>
        <v>0</v>
      </c>
      <c r="AG367" s="227">
        <f t="shared" si="145"/>
        <v>0</v>
      </c>
      <c r="AH367" s="228" t="s">
        <v>25</v>
      </c>
      <c r="AI367" s="229" t="str">
        <f t="shared" si="79"/>
        <v>Extremamente Complexa</v>
      </c>
      <c r="AJ367" s="230" t="str">
        <f t="shared" si="80"/>
        <v>Normal</v>
      </c>
      <c r="AK367" s="231">
        <f t="shared" si="146"/>
        <v>0</v>
      </c>
      <c r="AL367" s="232" t="str">
        <f t="shared" si="147"/>
        <v/>
      </c>
      <c r="AM367" s="233" t="str">
        <f t="shared" si="148"/>
        <v/>
      </c>
      <c r="AN367" s="233" t="str">
        <f t="shared" si="149"/>
        <v/>
      </c>
      <c r="AO367" s="234">
        <f t="shared" si="150"/>
        <v>0</v>
      </c>
      <c r="AP367" s="235">
        <f t="shared" si="134"/>
        <v>1</v>
      </c>
      <c r="AQ367" s="235">
        <f t="shared" si="134"/>
        <v>1</v>
      </c>
      <c r="AR367" s="236">
        <f t="shared" si="151"/>
        <v>1</v>
      </c>
      <c r="AS367" s="251">
        <f t="shared" si="152"/>
        <v>0</v>
      </c>
      <c r="AT367" s="238">
        <f t="shared" si="153"/>
        <v>0</v>
      </c>
      <c r="AU367" s="239">
        <f t="shared" si="154"/>
        <v>0</v>
      </c>
      <c r="AV367" s="239">
        <f t="shared" si="155"/>
        <v>0</v>
      </c>
      <c r="AW367" s="239">
        <f t="shared" si="156"/>
        <v>0.05</v>
      </c>
      <c r="AX367" s="240">
        <f t="shared" si="157"/>
        <v>0</v>
      </c>
      <c r="AY367" s="241" t="str">
        <f t="shared" si="158"/>
        <v/>
      </c>
      <c r="AZ367" s="242" t="str">
        <f>IFERROR(VLOOKUP(M367,'[1]Base Brasil Obras'!$C$2:$F$485,4,0),"")</f>
        <v/>
      </c>
      <c r="BA367" s="243">
        <f t="shared" si="159"/>
        <v>0</v>
      </c>
      <c r="BB367" s="244">
        <f t="shared" si="160"/>
        <v>0</v>
      </c>
      <c r="BC367" s="244">
        <f t="shared" si="161"/>
        <v>0.05</v>
      </c>
      <c r="BD367" s="245">
        <f t="shared" si="162"/>
        <v>0.95</v>
      </c>
      <c r="BE367" s="246">
        <f t="shared" si="163"/>
        <v>0</v>
      </c>
      <c r="BF367" s="247">
        <v>0</v>
      </c>
      <c r="BG367" s="248">
        <f t="shared" si="164"/>
        <v>1</v>
      </c>
      <c r="BH367" s="198"/>
      <c r="BI367" s="198"/>
      <c r="BJ367" s="199"/>
      <c r="BK367" s="200"/>
      <c r="BL367" s="200"/>
      <c r="BM367" s="200"/>
      <c r="BN367" s="200"/>
      <c r="BO367" s="10"/>
    </row>
    <row r="368" spans="1:67" ht="18" x14ac:dyDescent="0.25">
      <c r="A368" s="201">
        <v>260</v>
      </c>
      <c r="B368" s="286"/>
      <c r="C368" s="203">
        <f t="shared" si="135"/>
        <v>0</v>
      </c>
      <c r="D368" s="204"/>
      <c r="E368" s="204"/>
      <c r="F368" s="207"/>
      <c r="G368" s="206"/>
      <c r="H368" s="207"/>
      <c r="I368" s="208" t="s">
        <v>125</v>
      </c>
      <c r="J368" s="208" t="s">
        <v>126</v>
      </c>
      <c r="K368" s="287"/>
      <c r="L368" s="288"/>
      <c r="M368" s="289"/>
      <c r="N368" s="257"/>
      <c r="O368" s="213"/>
      <c r="P368" s="214"/>
      <c r="Q368" s="214"/>
      <c r="R368" s="214"/>
      <c r="S368" s="214"/>
      <c r="T368" s="214"/>
      <c r="U368" s="215">
        <f t="shared" si="136"/>
        <v>0</v>
      </c>
      <c r="V368" s="216" t="str">
        <f t="shared" si="137"/>
        <v/>
      </c>
      <c r="W368" s="217" t="str">
        <f t="shared" si="138"/>
        <v/>
      </c>
      <c r="X368" s="218" t="s">
        <v>20</v>
      </c>
      <c r="Y368" s="219" t="str">
        <f t="shared" si="139"/>
        <v>0 um/Dia</v>
      </c>
      <c r="Z368" s="220" t="str">
        <f t="shared" si="140"/>
        <v xml:space="preserve"> um / HH</v>
      </c>
      <c r="AA368" s="221" t="str">
        <f t="shared" si="141"/>
        <v/>
      </c>
      <c r="AB368" s="222" t="str">
        <f t="shared" si="142"/>
        <v>0 um /HH</v>
      </c>
      <c r="AC368" s="223">
        <f t="shared" si="143"/>
        <v>0</v>
      </c>
      <c r="AD368" s="224"/>
      <c r="AE368" s="225"/>
      <c r="AF368" s="226">
        <f t="shared" si="144"/>
        <v>0</v>
      </c>
      <c r="AG368" s="227">
        <f t="shared" si="145"/>
        <v>0</v>
      </c>
      <c r="AH368" s="228" t="s">
        <v>25</v>
      </c>
      <c r="AI368" s="229" t="str">
        <f t="shared" si="79"/>
        <v>Extremamente Complexa</v>
      </c>
      <c r="AJ368" s="230" t="str">
        <f t="shared" si="80"/>
        <v>Normal</v>
      </c>
      <c r="AK368" s="231">
        <f t="shared" si="146"/>
        <v>0</v>
      </c>
      <c r="AL368" s="232" t="str">
        <f t="shared" si="147"/>
        <v/>
      </c>
      <c r="AM368" s="233" t="str">
        <f t="shared" si="148"/>
        <v/>
      </c>
      <c r="AN368" s="233" t="str">
        <f t="shared" si="149"/>
        <v/>
      </c>
      <c r="AO368" s="234">
        <f t="shared" si="150"/>
        <v>0</v>
      </c>
      <c r="AP368" s="235">
        <f t="shared" si="134"/>
        <v>1</v>
      </c>
      <c r="AQ368" s="235">
        <f t="shared" si="134"/>
        <v>1</v>
      </c>
      <c r="AR368" s="235">
        <f t="shared" si="151"/>
        <v>1</v>
      </c>
      <c r="AS368" s="252">
        <f t="shared" si="152"/>
        <v>0</v>
      </c>
      <c r="AT368" s="238">
        <f t="shared" si="153"/>
        <v>0</v>
      </c>
      <c r="AU368" s="239">
        <f t="shared" si="154"/>
        <v>0</v>
      </c>
      <c r="AV368" s="239">
        <f t="shared" si="155"/>
        <v>0</v>
      </c>
      <c r="AW368" s="239">
        <f t="shared" si="156"/>
        <v>0.05</v>
      </c>
      <c r="AX368" s="240">
        <f t="shared" si="157"/>
        <v>0</v>
      </c>
      <c r="AY368" s="241" t="str">
        <f t="shared" si="158"/>
        <v/>
      </c>
      <c r="AZ368" s="242" t="str">
        <f>IFERROR(VLOOKUP(M368,'[1]Base Brasil Obras'!$C$2:$F$485,4,0),"")</f>
        <v/>
      </c>
      <c r="BA368" s="243">
        <f t="shared" si="159"/>
        <v>0</v>
      </c>
      <c r="BB368" s="244">
        <f t="shared" si="160"/>
        <v>0</v>
      </c>
      <c r="BC368" s="244">
        <f t="shared" si="161"/>
        <v>0.05</v>
      </c>
      <c r="BD368" s="245">
        <f t="shared" si="162"/>
        <v>0.95</v>
      </c>
      <c r="BE368" s="246">
        <f t="shared" si="163"/>
        <v>0</v>
      </c>
      <c r="BF368" s="247">
        <v>0</v>
      </c>
      <c r="BG368" s="248">
        <f t="shared" si="164"/>
        <v>1</v>
      </c>
      <c r="BH368" s="198"/>
      <c r="BI368" s="198"/>
      <c r="BJ368" s="199"/>
      <c r="BK368" s="200"/>
      <c r="BL368" s="200"/>
      <c r="BM368" s="200"/>
      <c r="BN368" s="200"/>
      <c r="BO368" s="10"/>
    </row>
    <row r="369" spans="1:67" ht="18" x14ac:dyDescent="0.25">
      <c r="A369" s="201">
        <v>261</v>
      </c>
      <c r="B369" s="286"/>
      <c r="C369" s="203">
        <f t="shared" si="135"/>
        <v>0</v>
      </c>
      <c r="D369" s="204"/>
      <c r="E369" s="204"/>
      <c r="F369" s="207"/>
      <c r="G369" s="206"/>
      <c r="H369" s="207"/>
      <c r="I369" s="208" t="s">
        <v>125</v>
      </c>
      <c r="J369" s="208" t="s">
        <v>126</v>
      </c>
      <c r="K369" s="287"/>
      <c r="L369" s="288"/>
      <c r="M369" s="289"/>
      <c r="N369" s="257"/>
      <c r="O369" s="213"/>
      <c r="P369" s="214"/>
      <c r="Q369" s="214"/>
      <c r="R369" s="214"/>
      <c r="S369" s="214"/>
      <c r="T369" s="214"/>
      <c r="U369" s="215">
        <f t="shared" si="136"/>
        <v>0</v>
      </c>
      <c r="V369" s="216" t="str">
        <f t="shared" si="137"/>
        <v/>
      </c>
      <c r="W369" s="217" t="str">
        <f t="shared" si="138"/>
        <v/>
      </c>
      <c r="X369" s="218" t="s">
        <v>20</v>
      </c>
      <c r="Y369" s="219" t="str">
        <f t="shared" si="139"/>
        <v>0 um/Dia</v>
      </c>
      <c r="Z369" s="220" t="str">
        <f t="shared" si="140"/>
        <v xml:space="preserve"> um / HH</v>
      </c>
      <c r="AA369" s="221" t="str">
        <f t="shared" si="141"/>
        <v/>
      </c>
      <c r="AB369" s="222" t="str">
        <f t="shared" si="142"/>
        <v>0 um /HH</v>
      </c>
      <c r="AC369" s="223">
        <f t="shared" si="143"/>
        <v>0</v>
      </c>
      <c r="AD369" s="224"/>
      <c r="AE369" s="225"/>
      <c r="AF369" s="226">
        <f t="shared" si="144"/>
        <v>0</v>
      </c>
      <c r="AG369" s="227">
        <f t="shared" si="145"/>
        <v>0</v>
      </c>
      <c r="AH369" s="228" t="s">
        <v>25</v>
      </c>
      <c r="AI369" s="229" t="str">
        <f t="shared" si="79"/>
        <v>Extremamente Complexa</v>
      </c>
      <c r="AJ369" s="230" t="str">
        <f t="shared" si="80"/>
        <v>Normal</v>
      </c>
      <c r="AK369" s="231">
        <f t="shared" si="146"/>
        <v>0</v>
      </c>
      <c r="AL369" s="232" t="str">
        <f t="shared" si="147"/>
        <v/>
      </c>
      <c r="AM369" s="233" t="str">
        <f t="shared" si="148"/>
        <v/>
      </c>
      <c r="AN369" s="233" t="str">
        <f t="shared" si="149"/>
        <v/>
      </c>
      <c r="AO369" s="234">
        <f t="shared" si="150"/>
        <v>0</v>
      </c>
      <c r="AP369" s="235">
        <f t="shared" si="134"/>
        <v>1</v>
      </c>
      <c r="AQ369" s="235">
        <f t="shared" si="134"/>
        <v>1</v>
      </c>
      <c r="AR369" s="236">
        <f t="shared" si="151"/>
        <v>1</v>
      </c>
      <c r="AS369" s="251">
        <f t="shared" si="152"/>
        <v>0</v>
      </c>
      <c r="AT369" s="238">
        <f t="shared" si="153"/>
        <v>0</v>
      </c>
      <c r="AU369" s="239">
        <f t="shared" si="154"/>
        <v>0</v>
      </c>
      <c r="AV369" s="239">
        <f t="shared" si="155"/>
        <v>0</v>
      </c>
      <c r="AW369" s="239">
        <f t="shared" si="156"/>
        <v>0.05</v>
      </c>
      <c r="AX369" s="240">
        <f t="shared" si="157"/>
        <v>0</v>
      </c>
      <c r="AY369" s="241" t="str">
        <f t="shared" si="158"/>
        <v/>
      </c>
      <c r="AZ369" s="242" t="str">
        <f>IFERROR(VLOOKUP(M369,'[1]Base Brasil Obras'!$C$2:$F$485,4,0),"")</f>
        <v/>
      </c>
      <c r="BA369" s="243">
        <f t="shared" si="159"/>
        <v>0</v>
      </c>
      <c r="BB369" s="244">
        <f t="shared" si="160"/>
        <v>0</v>
      </c>
      <c r="BC369" s="244">
        <f t="shared" si="161"/>
        <v>0.05</v>
      </c>
      <c r="BD369" s="245">
        <f t="shared" si="162"/>
        <v>0.95</v>
      </c>
      <c r="BE369" s="246">
        <f t="shared" si="163"/>
        <v>0</v>
      </c>
      <c r="BF369" s="247">
        <v>0</v>
      </c>
      <c r="BG369" s="248">
        <f t="shared" si="164"/>
        <v>1</v>
      </c>
      <c r="BH369" s="198"/>
      <c r="BI369" s="198"/>
      <c r="BJ369" s="199"/>
      <c r="BK369" s="200"/>
      <c r="BL369" s="200"/>
      <c r="BM369" s="200"/>
      <c r="BN369" s="200"/>
      <c r="BO369" s="10"/>
    </row>
    <row r="370" spans="1:67" ht="18" x14ac:dyDescent="0.25">
      <c r="A370" s="201">
        <v>262</v>
      </c>
      <c r="B370" s="286"/>
      <c r="C370" s="203">
        <f t="shared" si="135"/>
        <v>0</v>
      </c>
      <c r="D370" s="204"/>
      <c r="E370" s="204"/>
      <c r="F370" s="207"/>
      <c r="G370" s="206"/>
      <c r="H370" s="207"/>
      <c r="I370" s="208" t="s">
        <v>125</v>
      </c>
      <c r="J370" s="208" t="s">
        <v>126</v>
      </c>
      <c r="K370" s="287"/>
      <c r="L370" s="288"/>
      <c r="M370" s="289"/>
      <c r="N370" s="257"/>
      <c r="O370" s="213"/>
      <c r="P370" s="214"/>
      <c r="Q370" s="214"/>
      <c r="R370" s="214"/>
      <c r="S370" s="214"/>
      <c r="T370" s="214"/>
      <c r="U370" s="215">
        <f t="shared" si="136"/>
        <v>0</v>
      </c>
      <c r="V370" s="216" t="str">
        <f t="shared" si="137"/>
        <v/>
      </c>
      <c r="W370" s="217" t="str">
        <f t="shared" si="138"/>
        <v/>
      </c>
      <c r="X370" s="218" t="s">
        <v>20</v>
      </c>
      <c r="Y370" s="219" t="str">
        <f t="shared" si="139"/>
        <v>0 um/Dia</v>
      </c>
      <c r="Z370" s="220" t="str">
        <f t="shared" si="140"/>
        <v xml:space="preserve"> um / HH</v>
      </c>
      <c r="AA370" s="221" t="str">
        <f t="shared" si="141"/>
        <v/>
      </c>
      <c r="AB370" s="222" t="str">
        <f t="shared" si="142"/>
        <v>0 um /HH</v>
      </c>
      <c r="AC370" s="223">
        <f t="shared" si="143"/>
        <v>0</v>
      </c>
      <c r="AD370" s="224"/>
      <c r="AE370" s="225"/>
      <c r="AF370" s="226">
        <f t="shared" si="144"/>
        <v>0</v>
      </c>
      <c r="AG370" s="227">
        <f t="shared" si="145"/>
        <v>0</v>
      </c>
      <c r="AH370" s="228" t="s">
        <v>25</v>
      </c>
      <c r="AI370" s="229" t="str">
        <f t="shared" si="79"/>
        <v>Extremamente Complexa</v>
      </c>
      <c r="AJ370" s="230" t="str">
        <f t="shared" si="80"/>
        <v>Normal</v>
      </c>
      <c r="AK370" s="231">
        <f t="shared" si="146"/>
        <v>0</v>
      </c>
      <c r="AL370" s="232" t="str">
        <f t="shared" si="147"/>
        <v/>
      </c>
      <c r="AM370" s="233" t="str">
        <f t="shared" si="148"/>
        <v/>
      </c>
      <c r="AN370" s="233" t="str">
        <f t="shared" si="149"/>
        <v/>
      </c>
      <c r="AO370" s="234">
        <f t="shared" si="150"/>
        <v>0</v>
      </c>
      <c r="AP370" s="235">
        <f t="shared" si="134"/>
        <v>1</v>
      </c>
      <c r="AQ370" s="235">
        <f t="shared" si="134"/>
        <v>1</v>
      </c>
      <c r="AR370" s="235">
        <f t="shared" si="151"/>
        <v>1</v>
      </c>
      <c r="AS370" s="252">
        <f t="shared" si="152"/>
        <v>0</v>
      </c>
      <c r="AT370" s="238">
        <f t="shared" si="153"/>
        <v>0</v>
      </c>
      <c r="AU370" s="239">
        <f t="shared" si="154"/>
        <v>0</v>
      </c>
      <c r="AV370" s="239">
        <f t="shared" si="155"/>
        <v>0</v>
      </c>
      <c r="AW370" s="239">
        <f t="shared" si="156"/>
        <v>0.05</v>
      </c>
      <c r="AX370" s="240">
        <f t="shared" si="157"/>
        <v>0</v>
      </c>
      <c r="AY370" s="241" t="str">
        <f t="shared" si="158"/>
        <v/>
      </c>
      <c r="AZ370" s="242" t="str">
        <f>IFERROR(VLOOKUP(M370,'[1]Base Brasil Obras'!$C$2:$F$485,4,0),"")</f>
        <v/>
      </c>
      <c r="BA370" s="243">
        <f t="shared" si="159"/>
        <v>0</v>
      </c>
      <c r="BB370" s="244">
        <f t="shared" si="160"/>
        <v>0</v>
      </c>
      <c r="BC370" s="244">
        <f t="shared" si="161"/>
        <v>0.05</v>
      </c>
      <c r="BD370" s="245">
        <f t="shared" si="162"/>
        <v>0.95</v>
      </c>
      <c r="BE370" s="246">
        <f t="shared" si="163"/>
        <v>0</v>
      </c>
      <c r="BF370" s="247">
        <v>0</v>
      </c>
      <c r="BG370" s="248">
        <f t="shared" si="164"/>
        <v>1</v>
      </c>
      <c r="BH370" s="198"/>
      <c r="BI370" s="198"/>
      <c r="BJ370" s="199"/>
      <c r="BK370" s="200"/>
      <c r="BL370" s="200"/>
      <c r="BM370" s="200"/>
      <c r="BN370" s="200"/>
      <c r="BO370" s="10"/>
    </row>
    <row r="371" spans="1:67" ht="18" x14ac:dyDescent="0.25">
      <c r="A371" s="201">
        <v>263</v>
      </c>
      <c r="B371" s="286"/>
      <c r="C371" s="203">
        <f t="shared" si="135"/>
        <v>0</v>
      </c>
      <c r="D371" s="204"/>
      <c r="E371" s="204"/>
      <c r="F371" s="207"/>
      <c r="G371" s="206"/>
      <c r="H371" s="207"/>
      <c r="I371" s="208" t="s">
        <v>125</v>
      </c>
      <c r="J371" s="208" t="s">
        <v>126</v>
      </c>
      <c r="K371" s="287"/>
      <c r="L371" s="288"/>
      <c r="M371" s="289"/>
      <c r="N371" s="257"/>
      <c r="O371" s="213"/>
      <c r="P371" s="214"/>
      <c r="Q371" s="214"/>
      <c r="R371" s="214"/>
      <c r="S371" s="214"/>
      <c r="T371" s="214"/>
      <c r="U371" s="215">
        <f t="shared" si="136"/>
        <v>0</v>
      </c>
      <c r="V371" s="216" t="str">
        <f t="shared" si="137"/>
        <v/>
      </c>
      <c r="W371" s="217" t="str">
        <f t="shared" si="138"/>
        <v/>
      </c>
      <c r="X371" s="218" t="s">
        <v>20</v>
      </c>
      <c r="Y371" s="219" t="str">
        <f t="shared" si="139"/>
        <v>0 um/Dia</v>
      </c>
      <c r="Z371" s="220" t="str">
        <f t="shared" si="140"/>
        <v xml:space="preserve"> um / HH</v>
      </c>
      <c r="AA371" s="221" t="str">
        <f t="shared" si="141"/>
        <v/>
      </c>
      <c r="AB371" s="222" t="str">
        <f t="shared" si="142"/>
        <v>0 um /HH</v>
      </c>
      <c r="AC371" s="223">
        <f t="shared" si="143"/>
        <v>0</v>
      </c>
      <c r="AD371" s="224"/>
      <c r="AE371" s="225"/>
      <c r="AF371" s="226">
        <f t="shared" si="144"/>
        <v>0</v>
      </c>
      <c r="AG371" s="227">
        <f t="shared" si="145"/>
        <v>0</v>
      </c>
      <c r="AH371" s="228" t="s">
        <v>25</v>
      </c>
      <c r="AI371" s="229" t="str">
        <f t="shared" si="79"/>
        <v>Extremamente Complexa</v>
      </c>
      <c r="AJ371" s="230" t="str">
        <f t="shared" si="80"/>
        <v>Normal</v>
      </c>
      <c r="AK371" s="231">
        <f t="shared" si="146"/>
        <v>0</v>
      </c>
      <c r="AL371" s="232" t="str">
        <f t="shared" si="147"/>
        <v/>
      </c>
      <c r="AM371" s="233" t="str">
        <f t="shared" si="148"/>
        <v/>
      </c>
      <c r="AN371" s="233" t="str">
        <f t="shared" si="149"/>
        <v/>
      </c>
      <c r="AO371" s="234">
        <f t="shared" si="150"/>
        <v>0</v>
      </c>
      <c r="AP371" s="235">
        <f t="shared" si="134"/>
        <v>1</v>
      </c>
      <c r="AQ371" s="235">
        <f t="shared" si="134"/>
        <v>1</v>
      </c>
      <c r="AR371" s="236">
        <f t="shared" si="151"/>
        <v>1</v>
      </c>
      <c r="AS371" s="251">
        <f t="shared" si="152"/>
        <v>0</v>
      </c>
      <c r="AT371" s="238">
        <f t="shared" si="153"/>
        <v>0</v>
      </c>
      <c r="AU371" s="239">
        <f t="shared" si="154"/>
        <v>0</v>
      </c>
      <c r="AV371" s="239">
        <f t="shared" si="155"/>
        <v>0</v>
      </c>
      <c r="AW371" s="239">
        <f t="shared" si="156"/>
        <v>0.05</v>
      </c>
      <c r="AX371" s="240">
        <f t="shared" si="157"/>
        <v>0</v>
      </c>
      <c r="AY371" s="241" t="str">
        <f t="shared" si="158"/>
        <v/>
      </c>
      <c r="AZ371" s="242" t="str">
        <f>IFERROR(VLOOKUP(M371,'[1]Base Brasil Obras'!$C$2:$F$485,4,0),"")</f>
        <v/>
      </c>
      <c r="BA371" s="243">
        <f t="shared" si="159"/>
        <v>0</v>
      </c>
      <c r="BB371" s="244">
        <f t="shared" si="160"/>
        <v>0</v>
      </c>
      <c r="BC371" s="244">
        <f t="shared" si="161"/>
        <v>0.05</v>
      </c>
      <c r="BD371" s="245">
        <f t="shared" si="162"/>
        <v>0.95</v>
      </c>
      <c r="BE371" s="246">
        <f t="shared" si="163"/>
        <v>0</v>
      </c>
      <c r="BF371" s="247">
        <v>0</v>
      </c>
      <c r="BG371" s="248">
        <f t="shared" si="164"/>
        <v>1</v>
      </c>
      <c r="BH371" s="198"/>
      <c r="BI371" s="198"/>
      <c r="BJ371" s="199"/>
      <c r="BK371" s="200"/>
      <c r="BL371" s="200"/>
      <c r="BM371" s="200"/>
      <c r="BN371" s="200"/>
      <c r="BO371" s="10"/>
    </row>
    <row r="372" spans="1:67" ht="18" x14ac:dyDescent="0.25">
      <c r="A372" s="201">
        <v>264</v>
      </c>
      <c r="B372" s="286"/>
      <c r="C372" s="203">
        <f t="shared" si="135"/>
        <v>0</v>
      </c>
      <c r="D372" s="204"/>
      <c r="E372" s="204"/>
      <c r="F372" s="207"/>
      <c r="G372" s="206"/>
      <c r="H372" s="207"/>
      <c r="I372" s="208" t="s">
        <v>125</v>
      </c>
      <c r="J372" s="208" t="s">
        <v>126</v>
      </c>
      <c r="K372" s="287"/>
      <c r="L372" s="288"/>
      <c r="M372" s="289"/>
      <c r="N372" s="257"/>
      <c r="O372" s="213"/>
      <c r="P372" s="214"/>
      <c r="Q372" s="214"/>
      <c r="R372" s="214"/>
      <c r="S372" s="214"/>
      <c r="T372" s="214"/>
      <c r="U372" s="215">
        <f t="shared" si="136"/>
        <v>0</v>
      </c>
      <c r="V372" s="216" t="str">
        <f t="shared" si="137"/>
        <v/>
      </c>
      <c r="W372" s="217" t="str">
        <f t="shared" si="138"/>
        <v/>
      </c>
      <c r="X372" s="218" t="s">
        <v>20</v>
      </c>
      <c r="Y372" s="219" t="str">
        <f t="shared" si="139"/>
        <v>0 um/Dia</v>
      </c>
      <c r="Z372" s="220" t="str">
        <f t="shared" si="140"/>
        <v xml:space="preserve"> um / HH</v>
      </c>
      <c r="AA372" s="221" t="str">
        <f t="shared" si="141"/>
        <v/>
      </c>
      <c r="AB372" s="222" t="str">
        <f t="shared" si="142"/>
        <v>0 um /HH</v>
      </c>
      <c r="AC372" s="223">
        <f t="shared" si="143"/>
        <v>0</v>
      </c>
      <c r="AD372" s="224"/>
      <c r="AE372" s="225"/>
      <c r="AF372" s="226">
        <f t="shared" si="144"/>
        <v>0</v>
      </c>
      <c r="AG372" s="227">
        <f t="shared" si="145"/>
        <v>0</v>
      </c>
      <c r="AH372" s="228" t="s">
        <v>25</v>
      </c>
      <c r="AI372" s="229" t="str">
        <f t="shared" si="79"/>
        <v>Extremamente Complexa</v>
      </c>
      <c r="AJ372" s="230" t="str">
        <f t="shared" si="80"/>
        <v>Normal</v>
      </c>
      <c r="AK372" s="231">
        <f t="shared" si="146"/>
        <v>0</v>
      </c>
      <c r="AL372" s="232" t="str">
        <f t="shared" si="147"/>
        <v/>
      </c>
      <c r="AM372" s="233" t="str">
        <f t="shared" si="148"/>
        <v/>
      </c>
      <c r="AN372" s="233" t="str">
        <f t="shared" si="149"/>
        <v/>
      </c>
      <c r="AO372" s="234">
        <f t="shared" si="150"/>
        <v>0</v>
      </c>
      <c r="AP372" s="235">
        <f t="shared" si="134"/>
        <v>1</v>
      </c>
      <c r="AQ372" s="235">
        <f t="shared" si="134"/>
        <v>1</v>
      </c>
      <c r="AR372" s="235">
        <f t="shared" si="151"/>
        <v>1</v>
      </c>
      <c r="AS372" s="252">
        <f t="shared" si="152"/>
        <v>0</v>
      </c>
      <c r="AT372" s="238">
        <f t="shared" si="153"/>
        <v>0</v>
      </c>
      <c r="AU372" s="239">
        <f t="shared" si="154"/>
        <v>0</v>
      </c>
      <c r="AV372" s="239">
        <f t="shared" si="155"/>
        <v>0</v>
      </c>
      <c r="AW372" s="239">
        <f t="shared" si="156"/>
        <v>0.05</v>
      </c>
      <c r="AX372" s="240">
        <f t="shared" si="157"/>
        <v>0</v>
      </c>
      <c r="AY372" s="241" t="str">
        <f t="shared" si="158"/>
        <v/>
      </c>
      <c r="AZ372" s="242" t="str">
        <f>IFERROR(VLOOKUP(M372,'[1]Base Brasil Obras'!$C$2:$F$485,4,0),"")</f>
        <v/>
      </c>
      <c r="BA372" s="243">
        <f t="shared" si="159"/>
        <v>0</v>
      </c>
      <c r="BB372" s="244">
        <f t="shared" si="160"/>
        <v>0</v>
      </c>
      <c r="BC372" s="244">
        <f t="shared" si="161"/>
        <v>0.05</v>
      </c>
      <c r="BD372" s="245">
        <f t="shared" si="162"/>
        <v>0.95</v>
      </c>
      <c r="BE372" s="246">
        <f t="shared" si="163"/>
        <v>0</v>
      </c>
      <c r="BF372" s="247">
        <v>0</v>
      </c>
      <c r="BG372" s="248">
        <f t="shared" si="164"/>
        <v>1</v>
      </c>
      <c r="BH372" s="198"/>
      <c r="BI372" s="198"/>
      <c r="BJ372" s="199"/>
      <c r="BK372" s="200"/>
      <c r="BL372" s="200"/>
      <c r="BM372" s="200"/>
      <c r="BN372" s="200"/>
      <c r="BO372" s="10"/>
    </row>
    <row r="373" spans="1:67" ht="18" x14ac:dyDescent="0.25">
      <c r="A373" s="201">
        <v>265</v>
      </c>
      <c r="B373" s="286"/>
      <c r="C373" s="203">
        <f t="shared" si="135"/>
        <v>0</v>
      </c>
      <c r="D373" s="204"/>
      <c r="E373" s="204"/>
      <c r="F373" s="207"/>
      <c r="G373" s="206"/>
      <c r="H373" s="207"/>
      <c r="I373" s="208" t="s">
        <v>125</v>
      </c>
      <c r="J373" s="208" t="s">
        <v>126</v>
      </c>
      <c r="K373" s="287"/>
      <c r="L373" s="288"/>
      <c r="M373" s="289"/>
      <c r="N373" s="257"/>
      <c r="O373" s="213"/>
      <c r="P373" s="214"/>
      <c r="Q373" s="214"/>
      <c r="R373" s="214"/>
      <c r="S373" s="214"/>
      <c r="T373" s="214"/>
      <c r="U373" s="215">
        <f t="shared" si="136"/>
        <v>0</v>
      </c>
      <c r="V373" s="216" t="str">
        <f t="shared" si="137"/>
        <v/>
      </c>
      <c r="W373" s="217" t="str">
        <f t="shared" si="138"/>
        <v/>
      </c>
      <c r="X373" s="218" t="s">
        <v>20</v>
      </c>
      <c r="Y373" s="219" t="str">
        <f t="shared" si="139"/>
        <v>0 um/Dia</v>
      </c>
      <c r="Z373" s="220" t="str">
        <f t="shared" si="140"/>
        <v xml:space="preserve"> um / HH</v>
      </c>
      <c r="AA373" s="221" t="str">
        <f t="shared" si="141"/>
        <v/>
      </c>
      <c r="AB373" s="222" t="str">
        <f t="shared" si="142"/>
        <v>0 um /HH</v>
      </c>
      <c r="AC373" s="223">
        <f t="shared" si="143"/>
        <v>0</v>
      </c>
      <c r="AD373" s="224"/>
      <c r="AE373" s="225"/>
      <c r="AF373" s="226">
        <f t="shared" si="144"/>
        <v>0</v>
      </c>
      <c r="AG373" s="227">
        <f t="shared" si="145"/>
        <v>0</v>
      </c>
      <c r="AH373" s="228" t="s">
        <v>25</v>
      </c>
      <c r="AI373" s="229" t="str">
        <f t="shared" si="79"/>
        <v>Extremamente Complexa</v>
      </c>
      <c r="AJ373" s="230" t="str">
        <f t="shared" si="80"/>
        <v>Normal</v>
      </c>
      <c r="AK373" s="231">
        <f t="shared" si="146"/>
        <v>0</v>
      </c>
      <c r="AL373" s="232" t="str">
        <f t="shared" si="147"/>
        <v/>
      </c>
      <c r="AM373" s="233" t="str">
        <f t="shared" si="148"/>
        <v/>
      </c>
      <c r="AN373" s="233" t="str">
        <f t="shared" si="149"/>
        <v/>
      </c>
      <c r="AO373" s="234">
        <f t="shared" si="150"/>
        <v>0</v>
      </c>
      <c r="AP373" s="235">
        <f t="shared" si="134"/>
        <v>1</v>
      </c>
      <c r="AQ373" s="235">
        <f t="shared" si="134"/>
        <v>1</v>
      </c>
      <c r="AR373" s="236">
        <f t="shared" si="151"/>
        <v>1</v>
      </c>
      <c r="AS373" s="251">
        <f t="shared" si="152"/>
        <v>0</v>
      </c>
      <c r="AT373" s="238">
        <f t="shared" si="153"/>
        <v>0</v>
      </c>
      <c r="AU373" s="239">
        <f t="shared" si="154"/>
        <v>0</v>
      </c>
      <c r="AV373" s="239">
        <f t="shared" si="155"/>
        <v>0</v>
      </c>
      <c r="AW373" s="239">
        <f t="shared" si="156"/>
        <v>0.05</v>
      </c>
      <c r="AX373" s="240">
        <f t="shared" si="157"/>
        <v>0</v>
      </c>
      <c r="AY373" s="241" t="str">
        <f t="shared" si="158"/>
        <v/>
      </c>
      <c r="AZ373" s="242" t="str">
        <f>IFERROR(VLOOKUP(M373,'[1]Base Brasil Obras'!$C$2:$F$485,4,0),"")</f>
        <v/>
      </c>
      <c r="BA373" s="243">
        <f t="shared" si="159"/>
        <v>0</v>
      </c>
      <c r="BB373" s="244">
        <f t="shared" si="160"/>
        <v>0</v>
      </c>
      <c r="BC373" s="244">
        <f t="shared" si="161"/>
        <v>0.05</v>
      </c>
      <c r="BD373" s="245">
        <f t="shared" si="162"/>
        <v>0.95</v>
      </c>
      <c r="BE373" s="246">
        <f t="shared" si="163"/>
        <v>0</v>
      </c>
      <c r="BF373" s="247">
        <v>0</v>
      </c>
      <c r="BG373" s="248">
        <f t="shared" si="164"/>
        <v>1</v>
      </c>
      <c r="BH373" s="198"/>
      <c r="BI373" s="198"/>
      <c r="BJ373" s="199"/>
      <c r="BK373" s="200"/>
      <c r="BL373" s="200"/>
      <c r="BM373" s="200"/>
      <c r="BN373" s="200"/>
      <c r="BO373" s="10"/>
    </row>
    <row r="374" spans="1:67" ht="18" x14ac:dyDescent="0.25">
      <c r="A374" s="201">
        <v>266</v>
      </c>
      <c r="B374" s="286"/>
      <c r="C374" s="203">
        <f t="shared" si="135"/>
        <v>0</v>
      </c>
      <c r="D374" s="204"/>
      <c r="E374" s="204"/>
      <c r="F374" s="207"/>
      <c r="G374" s="206"/>
      <c r="H374" s="207"/>
      <c r="I374" s="208" t="s">
        <v>125</v>
      </c>
      <c r="J374" s="208" t="s">
        <v>126</v>
      </c>
      <c r="K374" s="287"/>
      <c r="L374" s="288"/>
      <c r="M374" s="289"/>
      <c r="N374" s="257"/>
      <c r="O374" s="213"/>
      <c r="P374" s="214"/>
      <c r="Q374" s="214"/>
      <c r="R374" s="214"/>
      <c r="S374" s="214"/>
      <c r="T374" s="214"/>
      <c r="U374" s="215">
        <f t="shared" si="136"/>
        <v>0</v>
      </c>
      <c r="V374" s="216" t="str">
        <f t="shared" si="137"/>
        <v/>
      </c>
      <c r="W374" s="217" t="str">
        <f t="shared" si="138"/>
        <v/>
      </c>
      <c r="X374" s="218" t="s">
        <v>20</v>
      </c>
      <c r="Y374" s="219" t="str">
        <f t="shared" si="139"/>
        <v>0 um/Dia</v>
      </c>
      <c r="Z374" s="220" t="str">
        <f t="shared" si="140"/>
        <v xml:space="preserve"> um / HH</v>
      </c>
      <c r="AA374" s="221" t="str">
        <f t="shared" si="141"/>
        <v/>
      </c>
      <c r="AB374" s="222" t="str">
        <f t="shared" si="142"/>
        <v>0 um /HH</v>
      </c>
      <c r="AC374" s="223">
        <f t="shared" si="143"/>
        <v>0</v>
      </c>
      <c r="AD374" s="224"/>
      <c r="AE374" s="225"/>
      <c r="AF374" s="226">
        <f t="shared" si="144"/>
        <v>0</v>
      </c>
      <c r="AG374" s="227">
        <f t="shared" si="145"/>
        <v>0</v>
      </c>
      <c r="AH374" s="228" t="s">
        <v>25</v>
      </c>
      <c r="AI374" s="229" t="str">
        <f t="shared" si="79"/>
        <v>Extremamente Complexa</v>
      </c>
      <c r="AJ374" s="230" t="str">
        <f t="shared" si="80"/>
        <v>Normal</v>
      </c>
      <c r="AK374" s="231">
        <f t="shared" si="146"/>
        <v>0</v>
      </c>
      <c r="AL374" s="232" t="str">
        <f t="shared" si="147"/>
        <v/>
      </c>
      <c r="AM374" s="233" t="str">
        <f t="shared" si="148"/>
        <v/>
      </c>
      <c r="AN374" s="233" t="str">
        <f t="shared" si="149"/>
        <v/>
      </c>
      <c r="AO374" s="234">
        <f t="shared" si="150"/>
        <v>0</v>
      </c>
      <c r="AP374" s="235">
        <f t="shared" si="134"/>
        <v>1</v>
      </c>
      <c r="AQ374" s="235">
        <f t="shared" si="134"/>
        <v>1</v>
      </c>
      <c r="AR374" s="235">
        <f t="shared" si="151"/>
        <v>1</v>
      </c>
      <c r="AS374" s="252">
        <f t="shared" si="152"/>
        <v>0</v>
      </c>
      <c r="AT374" s="238">
        <f t="shared" si="153"/>
        <v>0</v>
      </c>
      <c r="AU374" s="239">
        <f t="shared" si="154"/>
        <v>0</v>
      </c>
      <c r="AV374" s="239">
        <f t="shared" si="155"/>
        <v>0</v>
      </c>
      <c r="AW374" s="239">
        <f t="shared" si="156"/>
        <v>0.05</v>
      </c>
      <c r="AX374" s="240">
        <f t="shared" si="157"/>
        <v>0</v>
      </c>
      <c r="AY374" s="241" t="str">
        <f t="shared" si="158"/>
        <v/>
      </c>
      <c r="AZ374" s="242" t="str">
        <f>IFERROR(VLOOKUP(M374,'[1]Base Brasil Obras'!$C$2:$F$485,4,0),"")</f>
        <v/>
      </c>
      <c r="BA374" s="243">
        <f t="shared" si="159"/>
        <v>0</v>
      </c>
      <c r="BB374" s="244">
        <f t="shared" si="160"/>
        <v>0</v>
      </c>
      <c r="BC374" s="244">
        <f t="shared" si="161"/>
        <v>0.05</v>
      </c>
      <c r="BD374" s="245">
        <f t="shared" si="162"/>
        <v>0.95</v>
      </c>
      <c r="BE374" s="246">
        <f t="shared" si="163"/>
        <v>0</v>
      </c>
      <c r="BF374" s="247">
        <v>0</v>
      </c>
      <c r="BG374" s="248">
        <f t="shared" si="164"/>
        <v>1</v>
      </c>
      <c r="BH374" s="198"/>
      <c r="BI374" s="198"/>
      <c r="BJ374" s="199"/>
      <c r="BK374" s="200"/>
      <c r="BL374" s="200"/>
      <c r="BM374" s="200"/>
      <c r="BN374" s="200"/>
      <c r="BO374" s="10"/>
    </row>
    <row r="375" spans="1:67" ht="18" x14ac:dyDescent="0.25">
      <c r="A375" s="201">
        <v>267</v>
      </c>
      <c r="B375" s="286"/>
      <c r="C375" s="203">
        <f t="shared" si="135"/>
        <v>0</v>
      </c>
      <c r="D375" s="204"/>
      <c r="E375" s="204"/>
      <c r="F375" s="207"/>
      <c r="G375" s="206"/>
      <c r="H375" s="207"/>
      <c r="I375" s="208" t="s">
        <v>125</v>
      </c>
      <c r="J375" s="208" t="s">
        <v>126</v>
      </c>
      <c r="K375" s="287"/>
      <c r="L375" s="288"/>
      <c r="M375" s="289"/>
      <c r="N375" s="257"/>
      <c r="O375" s="213"/>
      <c r="P375" s="214"/>
      <c r="Q375" s="214"/>
      <c r="R375" s="214"/>
      <c r="S375" s="214"/>
      <c r="T375" s="214"/>
      <c r="U375" s="215">
        <f t="shared" si="136"/>
        <v>0</v>
      </c>
      <c r="V375" s="216" t="str">
        <f t="shared" si="137"/>
        <v/>
      </c>
      <c r="W375" s="217" t="str">
        <f t="shared" si="138"/>
        <v/>
      </c>
      <c r="X375" s="218" t="s">
        <v>20</v>
      </c>
      <c r="Y375" s="219" t="str">
        <f t="shared" si="139"/>
        <v>0 um/Dia</v>
      </c>
      <c r="Z375" s="220" t="str">
        <f t="shared" si="140"/>
        <v xml:space="preserve"> um / HH</v>
      </c>
      <c r="AA375" s="221" t="str">
        <f t="shared" si="141"/>
        <v/>
      </c>
      <c r="AB375" s="222" t="str">
        <f t="shared" si="142"/>
        <v>0 um /HH</v>
      </c>
      <c r="AC375" s="223">
        <f t="shared" si="143"/>
        <v>0</v>
      </c>
      <c r="AD375" s="224"/>
      <c r="AE375" s="225"/>
      <c r="AF375" s="226">
        <f t="shared" si="144"/>
        <v>0</v>
      </c>
      <c r="AG375" s="227">
        <f t="shared" si="145"/>
        <v>0</v>
      </c>
      <c r="AH375" s="228" t="s">
        <v>25</v>
      </c>
      <c r="AI375" s="229" t="str">
        <f t="shared" si="79"/>
        <v>Extremamente Complexa</v>
      </c>
      <c r="AJ375" s="230" t="str">
        <f t="shared" si="80"/>
        <v>Normal</v>
      </c>
      <c r="AK375" s="231">
        <f t="shared" si="146"/>
        <v>0</v>
      </c>
      <c r="AL375" s="232" t="str">
        <f t="shared" si="147"/>
        <v/>
      </c>
      <c r="AM375" s="233" t="str">
        <f t="shared" si="148"/>
        <v/>
      </c>
      <c r="AN375" s="233" t="str">
        <f t="shared" si="149"/>
        <v/>
      </c>
      <c r="AO375" s="234">
        <f t="shared" si="150"/>
        <v>0</v>
      </c>
      <c r="AP375" s="235">
        <f t="shared" si="134"/>
        <v>1</v>
      </c>
      <c r="AQ375" s="235">
        <f t="shared" si="134"/>
        <v>1</v>
      </c>
      <c r="AR375" s="236">
        <f t="shared" si="151"/>
        <v>1</v>
      </c>
      <c r="AS375" s="251">
        <f t="shared" si="152"/>
        <v>0</v>
      </c>
      <c r="AT375" s="238">
        <f t="shared" si="153"/>
        <v>0</v>
      </c>
      <c r="AU375" s="239">
        <f t="shared" si="154"/>
        <v>0</v>
      </c>
      <c r="AV375" s="239">
        <f t="shared" si="155"/>
        <v>0</v>
      </c>
      <c r="AW375" s="239">
        <f t="shared" si="156"/>
        <v>0.05</v>
      </c>
      <c r="AX375" s="240">
        <f t="shared" si="157"/>
        <v>0</v>
      </c>
      <c r="AY375" s="241" t="str">
        <f t="shared" si="158"/>
        <v/>
      </c>
      <c r="AZ375" s="242" t="str">
        <f>IFERROR(VLOOKUP(M375,'[1]Base Brasil Obras'!$C$2:$F$485,4,0),"")</f>
        <v/>
      </c>
      <c r="BA375" s="243">
        <f t="shared" si="159"/>
        <v>0</v>
      </c>
      <c r="BB375" s="244">
        <f t="shared" si="160"/>
        <v>0</v>
      </c>
      <c r="BC375" s="244">
        <f t="shared" si="161"/>
        <v>0.05</v>
      </c>
      <c r="BD375" s="245">
        <f t="shared" si="162"/>
        <v>0.95</v>
      </c>
      <c r="BE375" s="246">
        <f t="shared" si="163"/>
        <v>0</v>
      </c>
      <c r="BF375" s="247">
        <v>0</v>
      </c>
      <c r="BG375" s="248">
        <f t="shared" si="164"/>
        <v>1</v>
      </c>
      <c r="BH375" s="198"/>
      <c r="BI375" s="198"/>
      <c r="BJ375" s="199"/>
      <c r="BK375" s="200"/>
      <c r="BL375" s="200"/>
      <c r="BM375" s="200"/>
      <c r="BN375" s="200"/>
      <c r="BO375" s="10"/>
    </row>
    <row r="376" spans="1:67" ht="18" x14ac:dyDescent="0.25">
      <c r="A376" s="201">
        <v>268</v>
      </c>
      <c r="B376" s="286"/>
      <c r="C376" s="203">
        <f t="shared" si="135"/>
        <v>0</v>
      </c>
      <c r="D376" s="204"/>
      <c r="E376" s="204"/>
      <c r="F376" s="207"/>
      <c r="G376" s="206"/>
      <c r="H376" s="207"/>
      <c r="I376" s="208" t="s">
        <v>125</v>
      </c>
      <c r="J376" s="208" t="s">
        <v>126</v>
      </c>
      <c r="K376" s="287"/>
      <c r="L376" s="288"/>
      <c r="M376" s="289"/>
      <c r="N376" s="257"/>
      <c r="O376" s="213"/>
      <c r="P376" s="214"/>
      <c r="Q376" s="214"/>
      <c r="R376" s="214"/>
      <c r="S376" s="214"/>
      <c r="T376" s="214"/>
      <c r="U376" s="215">
        <f t="shared" si="136"/>
        <v>0</v>
      </c>
      <c r="V376" s="216" t="str">
        <f t="shared" si="137"/>
        <v/>
      </c>
      <c r="W376" s="217" t="str">
        <f t="shared" si="138"/>
        <v/>
      </c>
      <c r="X376" s="218" t="s">
        <v>20</v>
      </c>
      <c r="Y376" s="219" t="str">
        <f t="shared" si="139"/>
        <v>0 um/Dia</v>
      </c>
      <c r="Z376" s="220" t="str">
        <f t="shared" si="140"/>
        <v xml:space="preserve"> um / HH</v>
      </c>
      <c r="AA376" s="221" t="str">
        <f t="shared" si="141"/>
        <v/>
      </c>
      <c r="AB376" s="222" t="str">
        <f t="shared" si="142"/>
        <v>0 um /HH</v>
      </c>
      <c r="AC376" s="223">
        <f t="shared" si="143"/>
        <v>0</v>
      </c>
      <c r="AD376" s="224"/>
      <c r="AE376" s="225"/>
      <c r="AF376" s="226">
        <f t="shared" si="144"/>
        <v>0</v>
      </c>
      <c r="AG376" s="227">
        <f t="shared" si="145"/>
        <v>0</v>
      </c>
      <c r="AH376" s="228" t="s">
        <v>25</v>
      </c>
      <c r="AI376" s="229" t="str">
        <f t="shared" si="79"/>
        <v>Extremamente Complexa</v>
      </c>
      <c r="AJ376" s="230" t="str">
        <f t="shared" si="80"/>
        <v>Normal</v>
      </c>
      <c r="AK376" s="231">
        <f t="shared" si="146"/>
        <v>0</v>
      </c>
      <c r="AL376" s="232" t="str">
        <f t="shared" si="147"/>
        <v/>
      </c>
      <c r="AM376" s="233" t="str">
        <f t="shared" si="148"/>
        <v/>
      </c>
      <c r="AN376" s="233" t="str">
        <f t="shared" si="149"/>
        <v/>
      </c>
      <c r="AO376" s="234">
        <f t="shared" si="150"/>
        <v>0</v>
      </c>
      <c r="AP376" s="235">
        <f t="shared" si="134"/>
        <v>1</v>
      </c>
      <c r="AQ376" s="235">
        <f t="shared" si="134"/>
        <v>1</v>
      </c>
      <c r="AR376" s="235">
        <f t="shared" si="151"/>
        <v>1</v>
      </c>
      <c r="AS376" s="252">
        <f t="shared" si="152"/>
        <v>0</v>
      </c>
      <c r="AT376" s="238">
        <f t="shared" si="153"/>
        <v>0</v>
      </c>
      <c r="AU376" s="239">
        <f t="shared" si="154"/>
        <v>0</v>
      </c>
      <c r="AV376" s="239">
        <f t="shared" si="155"/>
        <v>0</v>
      </c>
      <c r="AW376" s="239">
        <f t="shared" si="156"/>
        <v>0.05</v>
      </c>
      <c r="AX376" s="240">
        <f t="shared" si="157"/>
        <v>0</v>
      </c>
      <c r="AY376" s="241" t="str">
        <f t="shared" si="158"/>
        <v/>
      </c>
      <c r="AZ376" s="242" t="str">
        <f>IFERROR(VLOOKUP(M376,'[1]Base Brasil Obras'!$C$2:$F$485,4,0),"")</f>
        <v/>
      </c>
      <c r="BA376" s="243">
        <f t="shared" si="159"/>
        <v>0</v>
      </c>
      <c r="BB376" s="244">
        <f t="shared" si="160"/>
        <v>0</v>
      </c>
      <c r="BC376" s="244">
        <f t="shared" si="161"/>
        <v>0.05</v>
      </c>
      <c r="BD376" s="245">
        <f t="shared" si="162"/>
        <v>0.95</v>
      </c>
      <c r="BE376" s="246">
        <f t="shared" si="163"/>
        <v>0</v>
      </c>
      <c r="BF376" s="247">
        <v>0</v>
      </c>
      <c r="BG376" s="248">
        <f t="shared" si="164"/>
        <v>1</v>
      </c>
      <c r="BH376" s="198"/>
      <c r="BI376" s="198"/>
      <c r="BJ376" s="199"/>
      <c r="BK376" s="200"/>
      <c r="BL376" s="200"/>
      <c r="BM376" s="200"/>
      <c r="BN376" s="200"/>
      <c r="BO376" s="10"/>
    </row>
    <row r="377" spans="1:67" ht="18" x14ac:dyDescent="0.25">
      <c r="A377" s="201">
        <v>269</v>
      </c>
      <c r="B377" s="286"/>
      <c r="C377" s="203">
        <f t="shared" si="135"/>
        <v>0</v>
      </c>
      <c r="D377" s="204"/>
      <c r="E377" s="204"/>
      <c r="F377" s="207"/>
      <c r="G377" s="206"/>
      <c r="H377" s="207"/>
      <c r="I377" s="208" t="s">
        <v>125</v>
      </c>
      <c r="J377" s="208" t="s">
        <v>126</v>
      </c>
      <c r="K377" s="287"/>
      <c r="L377" s="288"/>
      <c r="M377" s="289"/>
      <c r="N377" s="257"/>
      <c r="O377" s="213"/>
      <c r="P377" s="214"/>
      <c r="Q377" s="214"/>
      <c r="R377" s="214"/>
      <c r="S377" s="214"/>
      <c r="T377" s="214"/>
      <c r="U377" s="215">
        <f t="shared" si="136"/>
        <v>0</v>
      </c>
      <c r="V377" s="216" t="str">
        <f t="shared" si="137"/>
        <v/>
      </c>
      <c r="W377" s="217" t="str">
        <f t="shared" si="138"/>
        <v/>
      </c>
      <c r="X377" s="218" t="s">
        <v>20</v>
      </c>
      <c r="Y377" s="219" t="str">
        <f t="shared" si="139"/>
        <v>0 um/Dia</v>
      </c>
      <c r="Z377" s="220" t="str">
        <f t="shared" si="140"/>
        <v xml:space="preserve"> um / HH</v>
      </c>
      <c r="AA377" s="221" t="str">
        <f t="shared" si="141"/>
        <v/>
      </c>
      <c r="AB377" s="222" t="str">
        <f t="shared" si="142"/>
        <v>0 um /HH</v>
      </c>
      <c r="AC377" s="223">
        <f t="shared" si="143"/>
        <v>0</v>
      </c>
      <c r="AD377" s="224"/>
      <c r="AE377" s="225"/>
      <c r="AF377" s="226">
        <f t="shared" si="144"/>
        <v>0</v>
      </c>
      <c r="AG377" s="227">
        <f t="shared" si="145"/>
        <v>0</v>
      </c>
      <c r="AH377" s="228" t="s">
        <v>25</v>
      </c>
      <c r="AI377" s="229" t="str">
        <f t="shared" si="79"/>
        <v>Extremamente Complexa</v>
      </c>
      <c r="AJ377" s="230" t="str">
        <f t="shared" si="80"/>
        <v>Normal</v>
      </c>
      <c r="AK377" s="231">
        <f t="shared" si="146"/>
        <v>0</v>
      </c>
      <c r="AL377" s="232" t="str">
        <f t="shared" si="147"/>
        <v/>
      </c>
      <c r="AM377" s="233" t="str">
        <f t="shared" si="148"/>
        <v/>
      </c>
      <c r="AN377" s="233" t="str">
        <f t="shared" si="149"/>
        <v/>
      </c>
      <c r="AO377" s="234">
        <f t="shared" si="150"/>
        <v>0</v>
      </c>
      <c r="AP377" s="235">
        <f t="shared" si="134"/>
        <v>1</v>
      </c>
      <c r="AQ377" s="235">
        <f t="shared" si="134"/>
        <v>1</v>
      </c>
      <c r="AR377" s="236">
        <f t="shared" si="151"/>
        <v>1</v>
      </c>
      <c r="AS377" s="251">
        <f t="shared" si="152"/>
        <v>0</v>
      </c>
      <c r="AT377" s="238">
        <f t="shared" si="153"/>
        <v>0</v>
      </c>
      <c r="AU377" s="239">
        <f t="shared" si="154"/>
        <v>0</v>
      </c>
      <c r="AV377" s="239">
        <f t="shared" si="155"/>
        <v>0</v>
      </c>
      <c r="AW377" s="239">
        <f t="shared" si="156"/>
        <v>0.05</v>
      </c>
      <c r="AX377" s="240">
        <f t="shared" si="157"/>
        <v>0</v>
      </c>
      <c r="AY377" s="241" t="str">
        <f t="shared" si="158"/>
        <v/>
      </c>
      <c r="AZ377" s="242" t="str">
        <f>IFERROR(VLOOKUP(M377,'[1]Base Brasil Obras'!$C$2:$F$485,4,0),"")</f>
        <v/>
      </c>
      <c r="BA377" s="243">
        <f t="shared" si="159"/>
        <v>0</v>
      </c>
      <c r="BB377" s="244">
        <f t="shared" si="160"/>
        <v>0</v>
      </c>
      <c r="BC377" s="244">
        <f t="shared" si="161"/>
        <v>0.05</v>
      </c>
      <c r="BD377" s="245">
        <f t="shared" si="162"/>
        <v>0.95</v>
      </c>
      <c r="BE377" s="246">
        <f t="shared" si="163"/>
        <v>0</v>
      </c>
      <c r="BF377" s="247">
        <v>0</v>
      </c>
      <c r="BG377" s="248">
        <f t="shared" si="164"/>
        <v>1</v>
      </c>
      <c r="BH377" s="198"/>
      <c r="BI377" s="198"/>
      <c r="BJ377" s="199"/>
      <c r="BK377" s="200"/>
      <c r="BL377" s="200"/>
      <c r="BM377" s="200"/>
      <c r="BN377" s="200"/>
      <c r="BO377" s="10"/>
    </row>
    <row r="378" spans="1:67" ht="18" x14ac:dyDescent="0.25">
      <c r="A378" s="201">
        <v>270</v>
      </c>
      <c r="B378" s="286"/>
      <c r="C378" s="203">
        <f t="shared" si="135"/>
        <v>0</v>
      </c>
      <c r="D378" s="204"/>
      <c r="E378" s="204"/>
      <c r="F378" s="207"/>
      <c r="G378" s="206"/>
      <c r="H378" s="207"/>
      <c r="I378" s="208" t="s">
        <v>125</v>
      </c>
      <c r="J378" s="208" t="s">
        <v>126</v>
      </c>
      <c r="K378" s="287"/>
      <c r="L378" s="288"/>
      <c r="M378" s="289"/>
      <c r="N378" s="257"/>
      <c r="O378" s="213"/>
      <c r="P378" s="214"/>
      <c r="Q378" s="214"/>
      <c r="R378" s="214"/>
      <c r="S378" s="214"/>
      <c r="T378" s="214"/>
      <c r="U378" s="215">
        <f t="shared" si="136"/>
        <v>0</v>
      </c>
      <c r="V378" s="216" t="str">
        <f t="shared" si="137"/>
        <v/>
      </c>
      <c r="W378" s="217" t="str">
        <f t="shared" si="138"/>
        <v/>
      </c>
      <c r="X378" s="218" t="s">
        <v>20</v>
      </c>
      <c r="Y378" s="219" t="str">
        <f t="shared" si="139"/>
        <v>0 um/Dia</v>
      </c>
      <c r="Z378" s="220" t="str">
        <f t="shared" si="140"/>
        <v xml:space="preserve"> um / HH</v>
      </c>
      <c r="AA378" s="221" t="str">
        <f t="shared" si="141"/>
        <v/>
      </c>
      <c r="AB378" s="222" t="str">
        <f t="shared" si="142"/>
        <v>0 um /HH</v>
      </c>
      <c r="AC378" s="223">
        <f t="shared" si="143"/>
        <v>0</v>
      </c>
      <c r="AD378" s="224"/>
      <c r="AE378" s="225"/>
      <c r="AF378" s="226">
        <f t="shared" si="144"/>
        <v>0</v>
      </c>
      <c r="AG378" s="227">
        <f t="shared" si="145"/>
        <v>0</v>
      </c>
      <c r="AH378" s="228" t="s">
        <v>25</v>
      </c>
      <c r="AI378" s="229" t="str">
        <f t="shared" si="79"/>
        <v>Extremamente Complexa</v>
      </c>
      <c r="AJ378" s="230" t="str">
        <f t="shared" si="80"/>
        <v>Normal</v>
      </c>
      <c r="AK378" s="231">
        <f t="shared" si="146"/>
        <v>0</v>
      </c>
      <c r="AL378" s="232" t="str">
        <f t="shared" si="147"/>
        <v/>
      </c>
      <c r="AM378" s="233" t="str">
        <f t="shared" si="148"/>
        <v/>
      </c>
      <c r="AN378" s="233" t="str">
        <f t="shared" si="149"/>
        <v/>
      </c>
      <c r="AO378" s="234">
        <f t="shared" si="150"/>
        <v>0</v>
      </c>
      <c r="AP378" s="235">
        <f t="shared" si="134"/>
        <v>1</v>
      </c>
      <c r="AQ378" s="235">
        <f t="shared" si="134"/>
        <v>1</v>
      </c>
      <c r="AR378" s="235">
        <f t="shared" si="151"/>
        <v>1</v>
      </c>
      <c r="AS378" s="252">
        <f t="shared" si="152"/>
        <v>0</v>
      </c>
      <c r="AT378" s="238">
        <f t="shared" si="153"/>
        <v>0</v>
      </c>
      <c r="AU378" s="239">
        <f t="shared" si="154"/>
        <v>0</v>
      </c>
      <c r="AV378" s="239">
        <f t="shared" si="155"/>
        <v>0</v>
      </c>
      <c r="AW378" s="239">
        <f t="shared" si="156"/>
        <v>0.05</v>
      </c>
      <c r="AX378" s="240">
        <f t="shared" si="157"/>
        <v>0</v>
      </c>
      <c r="AY378" s="241" t="str">
        <f t="shared" si="158"/>
        <v/>
      </c>
      <c r="AZ378" s="242" t="str">
        <f>IFERROR(VLOOKUP(M378,'[1]Base Brasil Obras'!$C$2:$F$485,4,0),"")</f>
        <v/>
      </c>
      <c r="BA378" s="243">
        <f t="shared" si="159"/>
        <v>0</v>
      </c>
      <c r="BB378" s="244">
        <f t="shared" si="160"/>
        <v>0</v>
      </c>
      <c r="BC378" s="244">
        <f t="shared" si="161"/>
        <v>0.05</v>
      </c>
      <c r="BD378" s="245">
        <f t="shared" si="162"/>
        <v>0.95</v>
      </c>
      <c r="BE378" s="246">
        <f t="shared" si="163"/>
        <v>0</v>
      </c>
      <c r="BF378" s="247">
        <v>0</v>
      </c>
      <c r="BG378" s="248">
        <f t="shared" si="164"/>
        <v>1</v>
      </c>
      <c r="BH378" s="198"/>
      <c r="BI378" s="198"/>
      <c r="BJ378" s="199"/>
      <c r="BK378" s="200"/>
      <c r="BL378" s="200"/>
      <c r="BM378" s="200"/>
      <c r="BN378" s="200"/>
      <c r="BO378" s="10"/>
    </row>
    <row r="379" spans="1:67" ht="18" customHeight="1" x14ac:dyDescent="0.25">
      <c r="A379" s="201">
        <v>271</v>
      </c>
      <c r="B379" s="286"/>
      <c r="C379" s="203">
        <f t="shared" si="135"/>
        <v>0</v>
      </c>
      <c r="D379" s="204"/>
      <c r="E379" s="204"/>
      <c r="F379" s="207"/>
      <c r="G379" s="206"/>
      <c r="H379" s="207"/>
      <c r="I379" s="208" t="s">
        <v>125</v>
      </c>
      <c r="J379" s="208" t="s">
        <v>126</v>
      </c>
      <c r="K379" s="287"/>
      <c r="L379" s="288"/>
      <c r="M379" s="289"/>
      <c r="N379" s="257"/>
      <c r="O379" s="213"/>
      <c r="P379" s="214"/>
      <c r="Q379" s="214"/>
      <c r="R379" s="214"/>
      <c r="S379" s="214"/>
      <c r="T379" s="214"/>
      <c r="U379" s="215">
        <f t="shared" si="136"/>
        <v>0</v>
      </c>
      <c r="V379" s="216" t="str">
        <f t="shared" si="137"/>
        <v/>
      </c>
      <c r="W379" s="217" t="str">
        <f t="shared" si="138"/>
        <v/>
      </c>
      <c r="X379" s="218" t="s">
        <v>20</v>
      </c>
      <c r="Y379" s="219" t="str">
        <f t="shared" si="139"/>
        <v>0 um/Dia</v>
      </c>
      <c r="Z379" s="220" t="str">
        <f t="shared" si="140"/>
        <v xml:space="preserve"> um / HH</v>
      </c>
      <c r="AA379" s="221" t="str">
        <f t="shared" si="141"/>
        <v/>
      </c>
      <c r="AB379" s="222" t="str">
        <f t="shared" si="142"/>
        <v>0 um /HH</v>
      </c>
      <c r="AC379" s="223">
        <f t="shared" si="143"/>
        <v>0</v>
      </c>
      <c r="AD379" s="224"/>
      <c r="AE379" s="225"/>
      <c r="AF379" s="226">
        <f t="shared" si="144"/>
        <v>0</v>
      </c>
      <c r="AG379" s="227">
        <f t="shared" si="145"/>
        <v>0</v>
      </c>
      <c r="AH379" s="228" t="s">
        <v>25</v>
      </c>
      <c r="AI379" s="229" t="str">
        <f t="shared" si="79"/>
        <v>Extremamente Complexa</v>
      </c>
      <c r="AJ379" s="230" t="str">
        <f t="shared" si="80"/>
        <v>Normal</v>
      </c>
      <c r="AK379" s="231">
        <f t="shared" si="146"/>
        <v>0</v>
      </c>
      <c r="AL379" s="232" t="str">
        <f t="shared" si="147"/>
        <v/>
      </c>
      <c r="AM379" s="233" t="str">
        <f t="shared" si="148"/>
        <v/>
      </c>
      <c r="AN379" s="233" t="str">
        <f t="shared" si="149"/>
        <v/>
      </c>
      <c r="AO379" s="234">
        <f t="shared" si="150"/>
        <v>0</v>
      </c>
      <c r="AP379" s="235">
        <f t="shared" si="134"/>
        <v>1</v>
      </c>
      <c r="AQ379" s="235">
        <f t="shared" si="134"/>
        <v>1</v>
      </c>
      <c r="AR379" s="236">
        <f t="shared" si="151"/>
        <v>1</v>
      </c>
      <c r="AS379" s="251">
        <f t="shared" si="152"/>
        <v>0</v>
      </c>
      <c r="AT379" s="238">
        <f t="shared" si="153"/>
        <v>0</v>
      </c>
      <c r="AU379" s="239">
        <f t="shared" si="154"/>
        <v>0</v>
      </c>
      <c r="AV379" s="239">
        <f t="shared" si="155"/>
        <v>0</v>
      </c>
      <c r="AW379" s="239">
        <f t="shared" si="156"/>
        <v>0.05</v>
      </c>
      <c r="AX379" s="240">
        <f t="shared" si="157"/>
        <v>0</v>
      </c>
      <c r="AY379" s="241" t="str">
        <f t="shared" si="158"/>
        <v/>
      </c>
      <c r="AZ379" s="242" t="str">
        <f>IFERROR(VLOOKUP(M379,'[1]Base Brasil Obras'!$C$2:$F$485,4,0),"")</f>
        <v/>
      </c>
      <c r="BA379" s="243">
        <f t="shared" si="159"/>
        <v>0</v>
      </c>
      <c r="BB379" s="244">
        <f t="shared" si="160"/>
        <v>0</v>
      </c>
      <c r="BC379" s="244">
        <f t="shared" si="161"/>
        <v>0.05</v>
      </c>
      <c r="BD379" s="245">
        <f t="shared" si="162"/>
        <v>0.95</v>
      </c>
      <c r="BE379" s="246">
        <f t="shared" si="163"/>
        <v>0</v>
      </c>
      <c r="BF379" s="247">
        <v>0</v>
      </c>
      <c r="BG379" s="248">
        <f t="shared" si="164"/>
        <v>1</v>
      </c>
      <c r="BH379" s="198"/>
      <c r="BI379" s="198"/>
      <c r="BJ379" s="199"/>
      <c r="BK379" s="200"/>
      <c r="BL379" s="200"/>
      <c r="BM379" s="200"/>
      <c r="BN379" s="200"/>
      <c r="BO379" s="10"/>
    </row>
    <row r="380" spans="1:67" ht="18" x14ac:dyDescent="0.25">
      <c r="A380" s="201">
        <v>272</v>
      </c>
      <c r="B380" s="286"/>
      <c r="C380" s="203">
        <f t="shared" si="135"/>
        <v>0</v>
      </c>
      <c r="D380" s="204"/>
      <c r="E380" s="204"/>
      <c r="F380" s="207"/>
      <c r="G380" s="206"/>
      <c r="H380" s="207"/>
      <c r="I380" s="208" t="s">
        <v>125</v>
      </c>
      <c r="J380" s="208" t="s">
        <v>126</v>
      </c>
      <c r="K380" s="287"/>
      <c r="L380" s="288"/>
      <c r="M380" s="289"/>
      <c r="N380" s="257"/>
      <c r="O380" s="213"/>
      <c r="P380" s="214"/>
      <c r="Q380" s="214"/>
      <c r="R380" s="214"/>
      <c r="S380" s="214"/>
      <c r="T380" s="214"/>
      <c r="U380" s="215">
        <f t="shared" si="136"/>
        <v>0</v>
      </c>
      <c r="V380" s="216" t="str">
        <f t="shared" si="137"/>
        <v/>
      </c>
      <c r="W380" s="217" t="str">
        <f t="shared" si="138"/>
        <v/>
      </c>
      <c r="X380" s="218" t="s">
        <v>20</v>
      </c>
      <c r="Y380" s="219" t="str">
        <f t="shared" si="139"/>
        <v>0 um/Dia</v>
      </c>
      <c r="Z380" s="220" t="str">
        <f t="shared" si="140"/>
        <v xml:space="preserve"> um / HH</v>
      </c>
      <c r="AA380" s="221" t="str">
        <f t="shared" si="141"/>
        <v/>
      </c>
      <c r="AB380" s="222" t="str">
        <f t="shared" si="142"/>
        <v>0 um /HH</v>
      </c>
      <c r="AC380" s="223">
        <f t="shared" si="143"/>
        <v>0</v>
      </c>
      <c r="AD380" s="224"/>
      <c r="AE380" s="225"/>
      <c r="AF380" s="226">
        <f t="shared" si="144"/>
        <v>0</v>
      </c>
      <c r="AG380" s="227">
        <f t="shared" si="145"/>
        <v>0</v>
      </c>
      <c r="AH380" s="228" t="s">
        <v>25</v>
      </c>
      <c r="AI380" s="229" t="str">
        <f t="shared" si="79"/>
        <v>Extremamente Complexa</v>
      </c>
      <c r="AJ380" s="230" t="str">
        <f t="shared" si="80"/>
        <v>Normal</v>
      </c>
      <c r="AK380" s="231">
        <f t="shared" si="146"/>
        <v>0</v>
      </c>
      <c r="AL380" s="232" t="str">
        <f t="shared" si="147"/>
        <v/>
      </c>
      <c r="AM380" s="233" t="str">
        <f t="shared" si="148"/>
        <v/>
      </c>
      <c r="AN380" s="233" t="str">
        <f t="shared" si="149"/>
        <v/>
      </c>
      <c r="AO380" s="234">
        <f t="shared" si="150"/>
        <v>0</v>
      </c>
      <c r="AP380" s="235">
        <f t="shared" ref="AP380:AQ412" si="165">IFERROR(VLOOKUP(I380,$J$1070:$K$1089,2,1),0)</f>
        <v>1</v>
      </c>
      <c r="AQ380" s="235">
        <f t="shared" si="165"/>
        <v>1</v>
      </c>
      <c r="AR380" s="235">
        <f t="shared" si="151"/>
        <v>1</v>
      </c>
      <c r="AS380" s="252">
        <f t="shared" si="152"/>
        <v>0</v>
      </c>
      <c r="AT380" s="238">
        <f t="shared" si="153"/>
        <v>0</v>
      </c>
      <c r="AU380" s="239">
        <f t="shared" si="154"/>
        <v>0</v>
      </c>
      <c r="AV380" s="239">
        <f t="shared" si="155"/>
        <v>0</v>
      </c>
      <c r="AW380" s="239">
        <f t="shared" si="156"/>
        <v>0.05</v>
      </c>
      <c r="AX380" s="240">
        <f t="shared" si="157"/>
        <v>0</v>
      </c>
      <c r="AY380" s="241" t="str">
        <f t="shared" si="158"/>
        <v/>
      </c>
      <c r="AZ380" s="242" t="str">
        <f>IFERROR(VLOOKUP(M380,'[1]Base Brasil Obras'!$C$2:$F$485,4,0),"")</f>
        <v/>
      </c>
      <c r="BA380" s="243">
        <f t="shared" si="159"/>
        <v>0</v>
      </c>
      <c r="BB380" s="244">
        <f t="shared" si="160"/>
        <v>0</v>
      </c>
      <c r="BC380" s="244">
        <f t="shared" si="161"/>
        <v>0.05</v>
      </c>
      <c r="BD380" s="245">
        <f t="shared" si="162"/>
        <v>0.95</v>
      </c>
      <c r="BE380" s="246">
        <f t="shared" si="163"/>
        <v>0</v>
      </c>
      <c r="BF380" s="247">
        <v>0</v>
      </c>
      <c r="BG380" s="248">
        <f t="shared" si="164"/>
        <v>1</v>
      </c>
      <c r="BH380" s="198"/>
      <c r="BI380" s="198"/>
      <c r="BJ380" s="199"/>
      <c r="BK380" s="200"/>
      <c r="BL380" s="200"/>
      <c r="BM380" s="200"/>
      <c r="BN380" s="200"/>
      <c r="BO380" s="10"/>
    </row>
    <row r="381" spans="1:67" ht="18" x14ac:dyDescent="0.25">
      <c r="A381" s="201">
        <v>273</v>
      </c>
      <c r="B381" s="286"/>
      <c r="C381" s="203">
        <f t="shared" si="135"/>
        <v>0</v>
      </c>
      <c r="D381" s="204"/>
      <c r="E381" s="204"/>
      <c r="F381" s="207"/>
      <c r="G381" s="206"/>
      <c r="H381" s="207"/>
      <c r="I381" s="208" t="s">
        <v>125</v>
      </c>
      <c r="J381" s="208" t="s">
        <v>126</v>
      </c>
      <c r="K381" s="287"/>
      <c r="L381" s="288"/>
      <c r="M381" s="289"/>
      <c r="N381" s="257"/>
      <c r="O381" s="213"/>
      <c r="P381" s="214"/>
      <c r="Q381" s="214"/>
      <c r="R381" s="214"/>
      <c r="S381" s="214"/>
      <c r="T381" s="214"/>
      <c r="U381" s="215">
        <f t="shared" si="136"/>
        <v>0</v>
      </c>
      <c r="V381" s="216" t="str">
        <f t="shared" si="137"/>
        <v/>
      </c>
      <c r="W381" s="217" t="str">
        <f t="shared" si="138"/>
        <v/>
      </c>
      <c r="X381" s="218" t="s">
        <v>20</v>
      </c>
      <c r="Y381" s="219" t="str">
        <f t="shared" si="139"/>
        <v>0 um/Dia</v>
      </c>
      <c r="Z381" s="220" t="str">
        <f t="shared" si="140"/>
        <v xml:space="preserve"> um / HH</v>
      </c>
      <c r="AA381" s="221" t="str">
        <f t="shared" si="141"/>
        <v/>
      </c>
      <c r="AB381" s="222" t="str">
        <f t="shared" si="142"/>
        <v>0 um /HH</v>
      </c>
      <c r="AC381" s="223">
        <f t="shared" si="143"/>
        <v>0</v>
      </c>
      <c r="AD381" s="224"/>
      <c r="AE381" s="225"/>
      <c r="AF381" s="226">
        <f t="shared" si="144"/>
        <v>0</v>
      </c>
      <c r="AG381" s="227">
        <f t="shared" si="145"/>
        <v>0</v>
      </c>
      <c r="AH381" s="228" t="s">
        <v>25</v>
      </c>
      <c r="AI381" s="229" t="str">
        <f t="shared" si="79"/>
        <v>Extremamente Complexa</v>
      </c>
      <c r="AJ381" s="230" t="str">
        <f t="shared" si="80"/>
        <v>Normal</v>
      </c>
      <c r="AK381" s="231">
        <f t="shared" si="146"/>
        <v>0</v>
      </c>
      <c r="AL381" s="232" t="str">
        <f t="shared" si="147"/>
        <v/>
      </c>
      <c r="AM381" s="233" t="str">
        <f t="shared" si="148"/>
        <v/>
      </c>
      <c r="AN381" s="233" t="str">
        <f t="shared" si="149"/>
        <v/>
      </c>
      <c r="AO381" s="234">
        <f t="shared" si="150"/>
        <v>0</v>
      </c>
      <c r="AP381" s="235">
        <f t="shared" si="165"/>
        <v>1</v>
      </c>
      <c r="AQ381" s="235">
        <f t="shared" si="165"/>
        <v>1</v>
      </c>
      <c r="AR381" s="236">
        <f t="shared" si="151"/>
        <v>1</v>
      </c>
      <c r="AS381" s="251">
        <f t="shared" si="152"/>
        <v>0</v>
      </c>
      <c r="AT381" s="238">
        <f t="shared" si="153"/>
        <v>0</v>
      </c>
      <c r="AU381" s="239">
        <f t="shared" si="154"/>
        <v>0</v>
      </c>
      <c r="AV381" s="239">
        <f t="shared" si="155"/>
        <v>0</v>
      </c>
      <c r="AW381" s="239">
        <f t="shared" si="156"/>
        <v>0.05</v>
      </c>
      <c r="AX381" s="240">
        <f t="shared" si="157"/>
        <v>0</v>
      </c>
      <c r="AY381" s="241" t="str">
        <f t="shared" si="158"/>
        <v/>
      </c>
      <c r="AZ381" s="242" t="str">
        <f>IFERROR(VLOOKUP(M381,'[1]Base Brasil Obras'!$C$2:$F$485,4,0),"")</f>
        <v/>
      </c>
      <c r="BA381" s="243">
        <f t="shared" si="159"/>
        <v>0</v>
      </c>
      <c r="BB381" s="244">
        <f t="shared" si="160"/>
        <v>0</v>
      </c>
      <c r="BC381" s="244">
        <f t="shared" si="161"/>
        <v>0.05</v>
      </c>
      <c r="BD381" s="245">
        <f t="shared" si="162"/>
        <v>0.95</v>
      </c>
      <c r="BE381" s="246">
        <f t="shared" si="163"/>
        <v>0</v>
      </c>
      <c r="BF381" s="247">
        <v>0</v>
      </c>
      <c r="BG381" s="248">
        <f t="shared" si="164"/>
        <v>1</v>
      </c>
      <c r="BH381" s="198"/>
      <c r="BI381" s="198"/>
      <c r="BJ381" s="199"/>
      <c r="BK381" s="200"/>
      <c r="BL381" s="200"/>
      <c r="BM381" s="200"/>
      <c r="BN381" s="200"/>
      <c r="BO381" s="10"/>
    </row>
    <row r="382" spans="1:67" ht="18" x14ac:dyDescent="0.25">
      <c r="A382" s="201">
        <v>274</v>
      </c>
      <c r="B382" s="286"/>
      <c r="C382" s="203">
        <f t="shared" si="135"/>
        <v>0</v>
      </c>
      <c r="D382" s="204"/>
      <c r="E382" s="204"/>
      <c r="F382" s="207"/>
      <c r="G382" s="206"/>
      <c r="H382" s="207"/>
      <c r="I382" s="208" t="s">
        <v>125</v>
      </c>
      <c r="J382" s="208" t="s">
        <v>126</v>
      </c>
      <c r="K382" s="287"/>
      <c r="L382" s="288"/>
      <c r="M382" s="289"/>
      <c r="N382" s="257"/>
      <c r="O382" s="213"/>
      <c r="P382" s="214"/>
      <c r="Q382" s="214"/>
      <c r="R382" s="214"/>
      <c r="S382" s="214"/>
      <c r="T382" s="214"/>
      <c r="U382" s="215">
        <f t="shared" si="136"/>
        <v>0</v>
      </c>
      <c r="V382" s="216" t="str">
        <f t="shared" si="137"/>
        <v/>
      </c>
      <c r="W382" s="217" t="str">
        <f t="shared" si="138"/>
        <v/>
      </c>
      <c r="X382" s="218" t="s">
        <v>20</v>
      </c>
      <c r="Y382" s="219" t="str">
        <f t="shared" si="139"/>
        <v>0 um/Dia</v>
      </c>
      <c r="Z382" s="220" t="str">
        <f t="shared" si="140"/>
        <v xml:space="preserve"> um / HH</v>
      </c>
      <c r="AA382" s="221" t="str">
        <f t="shared" si="141"/>
        <v/>
      </c>
      <c r="AB382" s="222" t="str">
        <f t="shared" si="142"/>
        <v>0 um /HH</v>
      </c>
      <c r="AC382" s="223">
        <f t="shared" si="143"/>
        <v>0</v>
      </c>
      <c r="AD382" s="224"/>
      <c r="AE382" s="225"/>
      <c r="AF382" s="226">
        <f t="shared" si="144"/>
        <v>0</v>
      </c>
      <c r="AG382" s="227">
        <f t="shared" si="145"/>
        <v>0</v>
      </c>
      <c r="AH382" s="228" t="s">
        <v>25</v>
      </c>
      <c r="AI382" s="229" t="str">
        <f t="shared" si="79"/>
        <v>Extremamente Complexa</v>
      </c>
      <c r="AJ382" s="230" t="str">
        <f t="shared" si="80"/>
        <v>Normal</v>
      </c>
      <c r="AK382" s="231">
        <f t="shared" si="146"/>
        <v>0</v>
      </c>
      <c r="AL382" s="232" t="str">
        <f t="shared" si="147"/>
        <v/>
      </c>
      <c r="AM382" s="233" t="str">
        <f t="shared" si="148"/>
        <v/>
      </c>
      <c r="AN382" s="233" t="str">
        <f t="shared" si="149"/>
        <v/>
      </c>
      <c r="AO382" s="234">
        <f t="shared" si="150"/>
        <v>0</v>
      </c>
      <c r="AP382" s="235">
        <f t="shared" si="165"/>
        <v>1</v>
      </c>
      <c r="AQ382" s="235">
        <f t="shared" si="165"/>
        <v>1</v>
      </c>
      <c r="AR382" s="235">
        <f t="shared" si="151"/>
        <v>1</v>
      </c>
      <c r="AS382" s="252">
        <f t="shared" si="152"/>
        <v>0</v>
      </c>
      <c r="AT382" s="238">
        <f t="shared" si="153"/>
        <v>0</v>
      </c>
      <c r="AU382" s="239">
        <f t="shared" si="154"/>
        <v>0</v>
      </c>
      <c r="AV382" s="239">
        <f t="shared" si="155"/>
        <v>0</v>
      </c>
      <c r="AW382" s="239">
        <f t="shared" si="156"/>
        <v>0.05</v>
      </c>
      <c r="AX382" s="240">
        <f t="shared" si="157"/>
        <v>0</v>
      </c>
      <c r="AY382" s="241" t="str">
        <f t="shared" si="158"/>
        <v/>
      </c>
      <c r="AZ382" s="242" t="str">
        <f>IFERROR(VLOOKUP(M382,'[1]Base Brasil Obras'!$C$2:$F$485,4,0),"")</f>
        <v/>
      </c>
      <c r="BA382" s="243">
        <f t="shared" si="159"/>
        <v>0</v>
      </c>
      <c r="BB382" s="244">
        <f t="shared" si="160"/>
        <v>0</v>
      </c>
      <c r="BC382" s="244">
        <f t="shared" si="161"/>
        <v>0.05</v>
      </c>
      <c r="BD382" s="245">
        <f t="shared" si="162"/>
        <v>0.95</v>
      </c>
      <c r="BE382" s="246">
        <f t="shared" si="163"/>
        <v>0</v>
      </c>
      <c r="BF382" s="247">
        <v>0</v>
      </c>
      <c r="BG382" s="248">
        <f t="shared" si="164"/>
        <v>1</v>
      </c>
      <c r="BH382" s="198"/>
      <c r="BI382" s="198"/>
      <c r="BJ382" s="199"/>
      <c r="BK382" s="200"/>
      <c r="BL382" s="200"/>
      <c r="BM382" s="200"/>
      <c r="BN382" s="200"/>
      <c r="BO382" s="10"/>
    </row>
    <row r="383" spans="1:67" ht="18" x14ac:dyDescent="0.25">
      <c r="A383" s="201">
        <v>275</v>
      </c>
      <c r="B383" s="286"/>
      <c r="C383" s="203">
        <f t="shared" si="135"/>
        <v>0</v>
      </c>
      <c r="D383" s="204"/>
      <c r="E383" s="204"/>
      <c r="F383" s="207"/>
      <c r="G383" s="206"/>
      <c r="H383" s="207"/>
      <c r="I383" s="208" t="s">
        <v>125</v>
      </c>
      <c r="J383" s="208" t="s">
        <v>126</v>
      </c>
      <c r="K383" s="287"/>
      <c r="L383" s="288"/>
      <c r="M383" s="289"/>
      <c r="N383" s="257"/>
      <c r="O383" s="213"/>
      <c r="P383" s="214"/>
      <c r="Q383" s="214"/>
      <c r="R383" s="214"/>
      <c r="S383" s="214"/>
      <c r="T383" s="214"/>
      <c r="U383" s="215">
        <f t="shared" si="136"/>
        <v>0</v>
      </c>
      <c r="V383" s="216" t="str">
        <f t="shared" si="137"/>
        <v/>
      </c>
      <c r="W383" s="217" t="str">
        <f t="shared" si="138"/>
        <v/>
      </c>
      <c r="X383" s="218" t="s">
        <v>20</v>
      </c>
      <c r="Y383" s="219" t="str">
        <f t="shared" si="139"/>
        <v>0 um/Dia</v>
      </c>
      <c r="Z383" s="220" t="str">
        <f t="shared" si="140"/>
        <v xml:space="preserve"> um / HH</v>
      </c>
      <c r="AA383" s="221" t="str">
        <f t="shared" si="141"/>
        <v/>
      </c>
      <c r="AB383" s="222" t="str">
        <f t="shared" si="142"/>
        <v>0 um /HH</v>
      </c>
      <c r="AC383" s="223">
        <f t="shared" si="143"/>
        <v>0</v>
      </c>
      <c r="AD383" s="224"/>
      <c r="AE383" s="225"/>
      <c r="AF383" s="226">
        <f t="shared" si="144"/>
        <v>0</v>
      </c>
      <c r="AG383" s="227">
        <f t="shared" si="145"/>
        <v>0</v>
      </c>
      <c r="AH383" s="228" t="s">
        <v>25</v>
      </c>
      <c r="AI383" s="229" t="str">
        <f t="shared" si="79"/>
        <v>Extremamente Complexa</v>
      </c>
      <c r="AJ383" s="230" t="str">
        <f t="shared" si="80"/>
        <v>Normal</v>
      </c>
      <c r="AK383" s="231">
        <f t="shared" si="146"/>
        <v>0</v>
      </c>
      <c r="AL383" s="232" t="str">
        <f t="shared" si="147"/>
        <v/>
      </c>
      <c r="AM383" s="233" t="str">
        <f t="shared" si="148"/>
        <v/>
      </c>
      <c r="AN383" s="233" t="str">
        <f t="shared" si="149"/>
        <v/>
      </c>
      <c r="AO383" s="234">
        <f t="shared" si="150"/>
        <v>0</v>
      </c>
      <c r="AP383" s="235">
        <f t="shared" si="165"/>
        <v>1</v>
      </c>
      <c r="AQ383" s="235">
        <f t="shared" si="165"/>
        <v>1</v>
      </c>
      <c r="AR383" s="236">
        <f t="shared" si="151"/>
        <v>1</v>
      </c>
      <c r="AS383" s="251">
        <f t="shared" si="152"/>
        <v>0</v>
      </c>
      <c r="AT383" s="238">
        <f t="shared" si="153"/>
        <v>0</v>
      </c>
      <c r="AU383" s="239">
        <f t="shared" si="154"/>
        <v>0</v>
      </c>
      <c r="AV383" s="239">
        <f t="shared" si="155"/>
        <v>0</v>
      </c>
      <c r="AW383" s="239">
        <f t="shared" si="156"/>
        <v>0.05</v>
      </c>
      <c r="AX383" s="240">
        <f t="shared" si="157"/>
        <v>0</v>
      </c>
      <c r="AY383" s="241" t="str">
        <f t="shared" si="158"/>
        <v/>
      </c>
      <c r="AZ383" s="242" t="str">
        <f>IFERROR(VLOOKUP(M383,'[1]Base Brasil Obras'!$C$2:$F$485,4,0),"")</f>
        <v/>
      </c>
      <c r="BA383" s="243">
        <f t="shared" si="159"/>
        <v>0</v>
      </c>
      <c r="BB383" s="244">
        <f t="shared" si="160"/>
        <v>0</v>
      </c>
      <c r="BC383" s="244">
        <f t="shared" si="161"/>
        <v>0.05</v>
      </c>
      <c r="BD383" s="245">
        <f t="shared" si="162"/>
        <v>0.95</v>
      </c>
      <c r="BE383" s="246">
        <f t="shared" si="163"/>
        <v>0</v>
      </c>
      <c r="BF383" s="247">
        <v>0</v>
      </c>
      <c r="BG383" s="248">
        <f t="shared" si="164"/>
        <v>1</v>
      </c>
      <c r="BH383" s="198"/>
      <c r="BI383" s="198"/>
      <c r="BJ383" s="199"/>
      <c r="BK383" s="200"/>
      <c r="BL383" s="200"/>
      <c r="BM383" s="200"/>
      <c r="BN383" s="200"/>
      <c r="BO383" s="10"/>
    </row>
    <row r="384" spans="1:67" ht="18" x14ac:dyDescent="0.25">
      <c r="A384" s="201">
        <v>276</v>
      </c>
      <c r="B384" s="286"/>
      <c r="C384" s="203">
        <f t="shared" si="135"/>
        <v>0</v>
      </c>
      <c r="D384" s="204"/>
      <c r="E384" s="204"/>
      <c r="F384" s="207"/>
      <c r="G384" s="206"/>
      <c r="H384" s="207"/>
      <c r="I384" s="208" t="s">
        <v>125</v>
      </c>
      <c r="J384" s="208" t="s">
        <v>126</v>
      </c>
      <c r="K384" s="287"/>
      <c r="L384" s="288"/>
      <c r="M384" s="289"/>
      <c r="N384" s="257"/>
      <c r="O384" s="213"/>
      <c r="P384" s="214"/>
      <c r="Q384" s="214"/>
      <c r="R384" s="214"/>
      <c r="S384" s="214"/>
      <c r="T384" s="214"/>
      <c r="U384" s="215">
        <f t="shared" si="136"/>
        <v>0</v>
      </c>
      <c r="V384" s="216" t="str">
        <f t="shared" si="137"/>
        <v/>
      </c>
      <c r="W384" s="217" t="str">
        <f t="shared" si="138"/>
        <v/>
      </c>
      <c r="X384" s="218" t="s">
        <v>20</v>
      </c>
      <c r="Y384" s="219" t="str">
        <f t="shared" si="139"/>
        <v>0 um/Dia</v>
      </c>
      <c r="Z384" s="220" t="str">
        <f t="shared" si="140"/>
        <v xml:space="preserve"> um / HH</v>
      </c>
      <c r="AA384" s="221" t="str">
        <f t="shared" si="141"/>
        <v/>
      </c>
      <c r="AB384" s="222" t="str">
        <f t="shared" si="142"/>
        <v>0 um /HH</v>
      </c>
      <c r="AC384" s="223">
        <f t="shared" si="143"/>
        <v>0</v>
      </c>
      <c r="AD384" s="224"/>
      <c r="AE384" s="225"/>
      <c r="AF384" s="226">
        <f t="shared" si="144"/>
        <v>0</v>
      </c>
      <c r="AG384" s="227">
        <f t="shared" si="145"/>
        <v>0</v>
      </c>
      <c r="AH384" s="228" t="s">
        <v>25</v>
      </c>
      <c r="AI384" s="229" t="str">
        <f t="shared" si="79"/>
        <v>Extremamente Complexa</v>
      </c>
      <c r="AJ384" s="230" t="str">
        <f t="shared" si="80"/>
        <v>Normal</v>
      </c>
      <c r="AK384" s="231">
        <f t="shared" si="146"/>
        <v>0</v>
      </c>
      <c r="AL384" s="232" t="str">
        <f t="shared" si="147"/>
        <v/>
      </c>
      <c r="AM384" s="233" t="str">
        <f t="shared" si="148"/>
        <v/>
      </c>
      <c r="AN384" s="233" t="str">
        <f t="shared" si="149"/>
        <v/>
      </c>
      <c r="AO384" s="234">
        <f t="shared" si="150"/>
        <v>0</v>
      </c>
      <c r="AP384" s="235">
        <f t="shared" si="165"/>
        <v>1</v>
      </c>
      <c r="AQ384" s="235">
        <f t="shared" si="165"/>
        <v>1</v>
      </c>
      <c r="AR384" s="235">
        <f t="shared" si="151"/>
        <v>1</v>
      </c>
      <c r="AS384" s="252">
        <f t="shared" si="152"/>
        <v>0</v>
      </c>
      <c r="AT384" s="238">
        <f t="shared" si="153"/>
        <v>0</v>
      </c>
      <c r="AU384" s="239">
        <f t="shared" si="154"/>
        <v>0</v>
      </c>
      <c r="AV384" s="239">
        <f t="shared" si="155"/>
        <v>0</v>
      </c>
      <c r="AW384" s="239">
        <f t="shared" si="156"/>
        <v>0.05</v>
      </c>
      <c r="AX384" s="240">
        <f t="shared" si="157"/>
        <v>0</v>
      </c>
      <c r="AY384" s="241" t="str">
        <f t="shared" si="158"/>
        <v/>
      </c>
      <c r="AZ384" s="242" t="str">
        <f>IFERROR(VLOOKUP(M384,'[1]Base Brasil Obras'!$C$2:$F$485,4,0),"")</f>
        <v/>
      </c>
      <c r="BA384" s="243">
        <f t="shared" si="159"/>
        <v>0</v>
      </c>
      <c r="BB384" s="244">
        <f t="shared" si="160"/>
        <v>0</v>
      </c>
      <c r="BC384" s="244">
        <f t="shared" si="161"/>
        <v>0.05</v>
      </c>
      <c r="BD384" s="245">
        <f t="shared" si="162"/>
        <v>0.95</v>
      </c>
      <c r="BE384" s="246">
        <f t="shared" si="163"/>
        <v>0</v>
      </c>
      <c r="BF384" s="247">
        <v>0</v>
      </c>
      <c r="BG384" s="248">
        <f t="shared" si="164"/>
        <v>1</v>
      </c>
      <c r="BH384" s="198"/>
      <c r="BI384" s="198"/>
      <c r="BJ384" s="199"/>
      <c r="BK384" s="200"/>
      <c r="BL384" s="200"/>
      <c r="BM384" s="200"/>
      <c r="BN384" s="200"/>
      <c r="BO384" s="10"/>
    </row>
    <row r="385" spans="1:67" ht="18" x14ac:dyDescent="0.25">
      <c r="A385" s="201">
        <v>277</v>
      </c>
      <c r="B385" s="286"/>
      <c r="C385" s="203">
        <f t="shared" si="135"/>
        <v>0</v>
      </c>
      <c r="D385" s="204"/>
      <c r="E385" s="204"/>
      <c r="F385" s="207"/>
      <c r="G385" s="206"/>
      <c r="H385" s="207"/>
      <c r="I385" s="208" t="s">
        <v>125</v>
      </c>
      <c r="J385" s="208" t="s">
        <v>126</v>
      </c>
      <c r="K385" s="287"/>
      <c r="L385" s="288"/>
      <c r="M385" s="289"/>
      <c r="N385" s="257"/>
      <c r="O385" s="213"/>
      <c r="P385" s="214"/>
      <c r="Q385" s="214"/>
      <c r="R385" s="214"/>
      <c r="S385" s="214"/>
      <c r="T385" s="214"/>
      <c r="U385" s="215">
        <f t="shared" si="136"/>
        <v>0</v>
      </c>
      <c r="V385" s="216" t="str">
        <f t="shared" si="137"/>
        <v/>
      </c>
      <c r="W385" s="217" t="str">
        <f t="shared" si="138"/>
        <v/>
      </c>
      <c r="X385" s="218" t="s">
        <v>20</v>
      </c>
      <c r="Y385" s="219" t="str">
        <f t="shared" si="139"/>
        <v>0 um/Dia</v>
      </c>
      <c r="Z385" s="220" t="str">
        <f t="shared" si="140"/>
        <v xml:space="preserve"> um / HH</v>
      </c>
      <c r="AA385" s="221" t="str">
        <f t="shared" si="141"/>
        <v/>
      </c>
      <c r="AB385" s="222" t="str">
        <f t="shared" si="142"/>
        <v>0 um /HH</v>
      </c>
      <c r="AC385" s="223">
        <f t="shared" si="143"/>
        <v>0</v>
      </c>
      <c r="AD385" s="224"/>
      <c r="AE385" s="225"/>
      <c r="AF385" s="226">
        <f t="shared" si="144"/>
        <v>0</v>
      </c>
      <c r="AG385" s="227">
        <f t="shared" si="145"/>
        <v>0</v>
      </c>
      <c r="AH385" s="228" t="s">
        <v>25</v>
      </c>
      <c r="AI385" s="229" t="str">
        <f t="shared" si="79"/>
        <v>Extremamente Complexa</v>
      </c>
      <c r="AJ385" s="230" t="str">
        <f t="shared" si="80"/>
        <v>Normal</v>
      </c>
      <c r="AK385" s="231">
        <f t="shared" si="146"/>
        <v>0</v>
      </c>
      <c r="AL385" s="232" t="str">
        <f t="shared" si="147"/>
        <v/>
      </c>
      <c r="AM385" s="233" t="str">
        <f t="shared" si="148"/>
        <v/>
      </c>
      <c r="AN385" s="233" t="str">
        <f t="shared" si="149"/>
        <v/>
      </c>
      <c r="AO385" s="234">
        <f t="shared" si="150"/>
        <v>0</v>
      </c>
      <c r="AP385" s="235">
        <f t="shared" si="165"/>
        <v>1</v>
      </c>
      <c r="AQ385" s="235">
        <f t="shared" si="165"/>
        <v>1</v>
      </c>
      <c r="AR385" s="236">
        <f t="shared" si="151"/>
        <v>1</v>
      </c>
      <c r="AS385" s="251">
        <f t="shared" si="152"/>
        <v>0</v>
      </c>
      <c r="AT385" s="238">
        <f t="shared" si="153"/>
        <v>0</v>
      </c>
      <c r="AU385" s="239">
        <f t="shared" si="154"/>
        <v>0</v>
      </c>
      <c r="AV385" s="239">
        <f t="shared" si="155"/>
        <v>0</v>
      </c>
      <c r="AW385" s="239">
        <f t="shared" si="156"/>
        <v>0.05</v>
      </c>
      <c r="AX385" s="240">
        <f t="shared" si="157"/>
        <v>0</v>
      </c>
      <c r="AY385" s="241" t="str">
        <f t="shared" si="158"/>
        <v/>
      </c>
      <c r="AZ385" s="242" t="str">
        <f>IFERROR(VLOOKUP(M385,'[1]Base Brasil Obras'!$C$2:$F$485,4,0),"")</f>
        <v/>
      </c>
      <c r="BA385" s="243">
        <f t="shared" si="159"/>
        <v>0</v>
      </c>
      <c r="BB385" s="244">
        <f t="shared" si="160"/>
        <v>0</v>
      </c>
      <c r="BC385" s="244">
        <f t="shared" si="161"/>
        <v>0.05</v>
      </c>
      <c r="BD385" s="245">
        <f t="shared" si="162"/>
        <v>0.95</v>
      </c>
      <c r="BE385" s="246">
        <f t="shared" si="163"/>
        <v>0</v>
      </c>
      <c r="BF385" s="247">
        <v>0</v>
      </c>
      <c r="BG385" s="248">
        <f t="shared" si="164"/>
        <v>1</v>
      </c>
      <c r="BH385" s="198"/>
      <c r="BI385" s="198"/>
      <c r="BJ385" s="199"/>
      <c r="BK385" s="200"/>
      <c r="BL385" s="200"/>
      <c r="BM385" s="200"/>
      <c r="BN385" s="200"/>
      <c r="BO385" s="10"/>
    </row>
    <row r="386" spans="1:67" ht="18" x14ac:dyDescent="0.25">
      <c r="A386" s="201">
        <v>278</v>
      </c>
      <c r="B386" s="286"/>
      <c r="C386" s="203">
        <f t="shared" si="135"/>
        <v>0</v>
      </c>
      <c r="D386" s="204"/>
      <c r="E386" s="204"/>
      <c r="F386" s="207"/>
      <c r="G386" s="206"/>
      <c r="H386" s="207"/>
      <c r="I386" s="208" t="s">
        <v>125</v>
      </c>
      <c r="J386" s="208" t="s">
        <v>126</v>
      </c>
      <c r="K386" s="287"/>
      <c r="L386" s="288"/>
      <c r="M386" s="289"/>
      <c r="N386" s="257"/>
      <c r="O386" s="213"/>
      <c r="P386" s="214"/>
      <c r="Q386" s="214"/>
      <c r="R386" s="214"/>
      <c r="S386" s="214"/>
      <c r="T386" s="214"/>
      <c r="U386" s="215">
        <f t="shared" si="136"/>
        <v>0</v>
      </c>
      <c r="V386" s="216" t="str">
        <f t="shared" si="137"/>
        <v/>
      </c>
      <c r="W386" s="217" t="str">
        <f t="shared" si="138"/>
        <v/>
      </c>
      <c r="X386" s="218" t="s">
        <v>20</v>
      </c>
      <c r="Y386" s="219" t="str">
        <f t="shared" si="139"/>
        <v>0 um/Dia</v>
      </c>
      <c r="Z386" s="220" t="str">
        <f t="shared" si="140"/>
        <v xml:space="preserve"> um / HH</v>
      </c>
      <c r="AA386" s="221" t="str">
        <f t="shared" si="141"/>
        <v/>
      </c>
      <c r="AB386" s="222" t="str">
        <f t="shared" si="142"/>
        <v>0 um /HH</v>
      </c>
      <c r="AC386" s="223">
        <f t="shared" si="143"/>
        <v>0</v>
      </c>
      <c r="AD386" s="224"/>
      <c r="AE386" s="225"/>
      <c r="AF386" s="226">
        <f t="shared" si="144"/>
        <v>0</v>
      </c>
      <c r="AG386" s="227">
        <f t="shared" si="145"/>
        <v>0</v>
      </c>
      <c r="AH386" s="228" t="s">
        <v>25</v>
      </c>
      <c r="AI386" s="229" t="str">
        <f t="shared" si="79"/>
        <v>Extremamente Complexa</v>
      </c>
      <c r="AJ386" s="230" t="str">
        <f t="shared" si="80"/>
        <v>Normal</v>
      </c>
      <c r="AK386" s="231">
        <f t="shared" si="146"/>
        <v>0</v>
      </c>
      <c r="AL386" s="232" t="str">
        <f t="shared" si="147"/>
        <v/>
      </c>
      <c r="AM386" s="233" t="str">
        <f t="shared" si="148"/>
        <v/>
      </c>
      <c r="AN386" s="233" t="str">
        <f t="shared" si="149"/>
        <v/>
      </c>
      <c r="AO386" s="234">
        <f t="shared" si="150"/>
        <v>0</v>
      </c>
      <c r="AP386" s="235">
        <f t="shared" si="165"/>
        <v>1</v>
      </c>
      <c r="AQ386" s="235">
        <f t="shared" si="165"/>
        <v>1</v>
      </c>
      <c r="AR386" s="235">
        <f t="shared" si="151"/>
        <v>1</v>
      </c>
      <c r="AS386" s="252">
        <f t="shared" si="152"/>
        <v>0</v>
      </c>
      <c r="AT386" s="238">
        <f t="shared" si="153"/>
        <v>0</v>
      </c>
      <c r="AU386" s="239">
        <f t="shared" si="154"/>
        <v>0</v>
      </c>
      <c r="AV386" s="239">
        <f t="shared" si="155"/>
        <v>0</v>
      </c>
      <c r="AW386" s="239">
        <f t="shared" si="156"/>
        <v>0.05</v>
      </c>
      <c r="AX386" s="240">
        <f t="shared" si="157"/>
        <v>0</v>
      </c>
      <c r="AY386" s="241" t="str">
        <f t="shared" si="158"/>
        <v/>
      </c>
      <c r="AZ386" s="242" t="str">
        <f>IFERROR(VLOOKUP(M386,'[1]Base Brasil Obras'!$C$2:$F$485,4,0),"")</f>
        <v/>
      </c>
      <c r="BA386" s="243">
        <f t="shared" si="159"/>
        <v>0</v>
      </c>
      <c r="BB386" s="244">
        <f t="shared" si="160"/>
        <v>0</v>
      </c>
      <c r="BC386" s="244">
        <f t="shared" si="161"/>
        <v>0.05</v>
      </c>
      <c r="BD386" s="245">
        <f t="shared" si="162"/>
        <v>0.95</v>
      </c>
      <c r="BE386" s="246">
        <f t="shared" si="163"/>
        <v>0</v>
      </c>
      <c r="BF386" s="247">
        <v>0</v>
      </c>
      <c r="BG386" s="248">
        <f t="shared" si="164"/>
        <v>1</v>
      </c>
      <c r="BH386" s="198"/>
      <c r="BI386" s="198"/>
      <c r="BJ386" s="199"/>
      <c r="BK386" s="200"/>
      <c r="BL386" s="200"/>
      <c r="BM386" s="200"/>
      <c r="BN386" s="200"/>
      <c r="BO386" s="10"/>
    </row>
    <row r="387" spans="1:67" ht="18" x14ac:dyDescent="0.25">
      <c r="A387" s="201">
        <v>279</v>
      </c>
      <c r="B387" s="286"/>
      <c r="C387" s="203">
        <f t="shared" si="135"/>
        <v>0</v>
      </c>
      <c r="D387" s="204"/>
      <c r="E387" s="204"/>
      <c r="F387" s="207"/>
      <c r="G387" s="206"/>
      <c r="H387" s="207"/>
      <c r="I387" s="208" t="s">
        <v>125</v>
      </c>
      <c r="J387" s="208" t="s">
        <v>126</v>
      </c>
      <c r="K387" s="287"/>
      <c r="L387" s="288"/>
      <c r="M387" s="289"/>
      <c r="N387" s="257"/>
      <c r="O387" s="213"/>
      <c r="P387" s="214"/>
      <c r="Q387" s="214"/>
      <c r="R387" s="214"/>
      <c r="S387" s="214"/>
      <c r="T387" s="214"/>
      <c r="U387" s="215">
        <f t="shared" si="136"/>
        <v>0</v>
      </c>
      <c r="V387" s="216" t="str">
        <f t="shared" si="137"/>
        <v/>
      </c>
      <c r="W387" s="217" t="str">
        <f t="shared" si="138"/>
        <v/>
      </c>
      <c r="X387" s="218" t="s">
        <v>20</v>
      </c>
      <c r="Y387" s="219" t="str">
        <f t="shared" si="139"/>
        <v>0 um/Dia</v>
      </c>
      <c r="Z387" s="220" t="str">
        <f t="shared" si="140"/>
        <v xml:space="preserve"> um / HH</v>
      </c>
      <c r="AA387" s="221" t="str">
        <f t="shared" si="141"/>
        <v/>
      </c>
      <c r="AB387" s="222" t="str">
        <f t="shared" si="142"/>
        <v>0 um /HH</v>
      </c>
      <c r="AC387" s="223">
        <f t="shared" si="143"/>
        <v>0</v>
      </c>
      <c r="AD387" s="224"/>
      <c r="AE387" s="225"/>
      <c r="AF387" s="226">
        <f t="shared" si="144"/>
        <v>0</v>
      </c>
      <c r="AG387" s="227">
        <f t="shared" si="145"/>
        <v>0</v>
      </c>
      <c r="AH387" s="228" t="s">
        <v>25</v>
      </c>
      <c r="AI387" s="229" t="str">
        <f t="shared" si="79"/>
        <v>Extremamente Complexa</v>
      </c>
      <c r="AJ387" s="230" t="str">
        <f t="shared" si="80"/>
        <v>Normal</v>
      </c>
      <c r="AK387" s="231">
        <f t="shared" si="146"/>
        <v>0</v>
      </c>
      <c r="AL387" s="232" t="str">
        <f t="shared" si="147"/>
        <v/>
      </c>
      <c r="AM387" s="233" t="str">
        <f t="shared" si="148"/>
        <v/>
      </c>
      <c r="AN387" s="233" t="str">
        <f t="shared" si="149"/>
        <v/>
      </c>
      <c r="AO387" s="234">
        <f t="shared" si="150"/>
        <v>0</v>
      </c>
      <c r="AP387" s="235">
        <f t="shared" si="165"/>
        <v>1</v>
      </c>
      <c r="AQ387" s="235">
        <f t="shared" si="165"/>
        <v>1</v>
      </c>
      <c r="AR387" s="236">
        <f t="shared" si="151"/>
        <v>1</v>
      </c>
      <c r="AS387" s="251">
        <f t="shared" si="152"/>
        <v>0</v>
      </c>
      <c r="AT387" s="238">
        <f t="shared" si="153"/>
        <v>0</v>
      </c>
      <c r="AU387" s="239">
        <f t="shared" si="154"/>
        <v>0</v>
      </c>
      <c r="AV387" s="239">
        <f t="shared" si="155"/>
        <v>0</v>
      </c>
      <c r="AW387" s="239">
        <f t="shared" si="156"/>
        <v>0.05</v>
      </c>
      <c r="AX387" s="240">
        <f t="shared" si="157"/>
        <v>0</v>
      </c>
      <c r="AY387" s="241" t="str">
        <f t="shared" si="158"/>
        <v/>
      </c>
      <c r="AZ387" s="242" t="str">
        <f>IFERROR(VLOOKUP(M387,'[1]Base Brasil Obras'!$C$2:$F$485,4,0),"")</f>
        <v/>
      </c>
      <c r="BA387" s="243">
        <f t="shared" si="159"/>
        <v>0</v>
      </c>
      <c r="BB387" s="244">
        <f t="shared" si="160"/>
        <v>0</v>
      </c>
      <c r="BC387" s="244">
        <f t="shared" si="161"/>
        <v>0.05</v>
      </c>
      <c r="BD387" s="245">
        <f t="shared" si="162"/>
        <v>0.95</v>
      </c>
      <c r="BE387" s="246">
        <f t="shared" si="163"/>
        <v>0</v>
      </c>
      <c r="BF387" s="247">
        <v>0</v>
      </c>
      <c r="BG387" s="248">
        <f t="shared" si="164"/>
        <v>1</v>
      </c>
      <c r="BH387" s="198"/>
      <c r="BI387" s="198"/>
      <c r="BJ387" s="199"/>
      <c r="BK387" s="200"/>
      <c r="BL387" s="200"/>
      <c r="BM387" s="200"/>
      <c r="BN387" s="200"/>
      <c r="BO387" s="10"/>
    </row>
    <row r="388" spans="1:67" ht="18" x14ac:dyDescent="0.25">
      <c r="A388" s="201">
        <v>280</v>
      </c>
      <c r="B388" s="286"/>
      <c r="C388" s="203">
        <f t="shared" si="135"/>
        <v>0</v>
      </c>
      <c r="D388" s="204"/>
      <c r="E388" s="204"/>
      <c r="F388" s="207"/>
      <c r="G388" s="206"/>
      <c r="H388" s="207"/>
      <c r="I388" s="208" t="s">
        <v>125</v>
      </c>
      <c r="J388" s="208" t="s">
        <v>126</v>
      </c>
      <c r="K388" s="287"/>
      <c r="L388" s="288"/>
      <c r="M388" s="289"/>
      <c r="N388" s="257"/>
      <c r="O388" s="213"/>
      <c r="P388" s="214"/>
      <c r="Q388" s="214"/>
      <c r="R388" s="214"/>
      <c r="S388" s="214"/>
      <c r="T388" s="214"/>
      <c r="U388" s="215">
        <f t="shared" si="136"/>
        <v>0</v>
      </c>
      <c r="V388" s="216" t="str">
        <f t="shared" si="137"/>
        <v/>
      </c>
      <c r="W388" s="217" t="str">
        <f t="shared" si="138"/>
        <v/>
      </c>
      <c r="X388" s="218" t="s">
        <v>20</v>
      </c>
      <c r="Y388" s="219" t="str">
        <f t="shared" si="139"/>
        <v>0 um/Dia</v>
      </c>
      <c r="Z388" s="220" t="str">
        <f t="shared" si="140"/>
        <v xml:space="preserve"> um / HH</v>
      </c>
      <c r="AA388" s="221" t="str">
        <f t="shared" si="141"/>
        <v/>
      </c>
      <c r="AB388" s="222" t="str">
        <f t="shared" si="142"/>
        <v>0 um /HH</v>
      </c>
      <c r="AC388" s="223">
        <f t="shared" si="143"/>
        <v>0</v>
      </c>
      <c r="AD388" s="224"/>
      <c r="AE388" s="225"/>
      <c r="AF388" s="226">
        <f t="shared" si="144"/>
        <v>0</v>
      </c>
      <c r="AG388" s="227">
        <f t="shared" si="145"/>
        <v>0</v>
      </c>
      <c r="AH388" s="228" t="s">
        <v>25</v>
      </c>
      <c r="AI388" s="229" t="str">
        <f t="shared" si="79"/>
        <v>Extremamente Complexa</v>
      </c>
      <c r="AJ388" s="230" t="str">
        <f t="shared" si="80"/>
        <v>Normal</v>
      </c>
      <c r="AK388" s="231">
        <f t="shared" si="146"/>
        <v>0</v>
      </c>
      <c r="AL388" s="232" t="str">
        <f t="shared" si="147"/>
        <v/>
      </c>
      <c r="AM388" s="233" t="str">
        <f t="shared" si="148"/>
        <v/>
      </c>
      <c r="AN388" s="233" t="str">
        <f t="shared" si="149"/>
        <v/>
      </c>
      <c r="AO388" s="234">
        <f t="shared" si="150"/>
        <v>0</v>
      </c>
      <c r="AP388" s="235">
        <f t="shared" si="165"/>
        <v>1</v>
      </c>
      <c r="AQ388" s="235">
        <f t="shared" si="165"/>
        <v>1</v>
      </c>
      <c r="AR388" s="235">
        <f t="shared" si="151"/>
        <v>1</v>
      </c>
      <c r="AS388" s="252">
        <f t="shared" si="152"/>
        <v>0</v>
      </c>
      <c r="AT388" s="238">
        <f t="shared" si="153"/>
        <v>0</v>
      </c>
      <c r="AU388" s="239">
        <f t="shared" si="154"/>
        <v>0</v>
      </c>
      <c r="AV388" s="239">
        <f t="shared" si="155"/>
        <v>0</v>
      </c>
      <c r="AW388" s="239">
        <f t="shared" si="156"/>
        <v>0.05</v>
      </c>
      <c r="AX388" s="240">
        <f t="shared" si="157"/>
        <v>0</v>
      </c>
      <c r="AY388" s="241" t="str">
        <f t="shared" si="158"/>
        <v/>
      </c>
      <c r="AZ388" s="242" t="str">
        <f>IFERROR(VLOOKUP(M388,'[1]Base Brasil Obras'!$C$2:$F$485,4,0),"")</f>
        <v/>
      </c>
      <c r="BA388" s="243">
        <f t="shared" si="159"/>
        <v>0</v>
      </c>
      <c r="BB388" s="244">
        <f t="shared" si="160"/>
        <v>0</v>
      </c>
      <c r="BC388" s="244">
        <f t="shared" si="161"/>
        <v>0.05</v>
      </c>
      <c r="BD388" s="245">
        <f t="shared" si="162"/>
        <v>0.95</v>
      </c>
      <c r="BE388" s="246">
        <f t="shared" si="163"/>
        <v>0</v>
      </c>
      <c r="BF388" s="247">
        <v>0</v>
      </c>
      <c r="BG388" s="248">
        <f t="shared" si="164"/>
        <v>1</v>
      </c>
      <c r="BH388" s="198"/>
      <c r="BI388" s="198"/>
      <c r="BJ388" s="199"/>
      <c r="BK388" s="200"/>
      <c r="BL388" s="200"/>
      <c r="BM388" s="200"/>
      <c r="BN388" s="200"/>
      <c r="BO388" s="10"/>
    </row>
    <row r="389" spans="1:67" ht="18" x14ac:dyDescent="0.25">
      <c r="A389" s="201">
        <v>281</v>
      </c>
      <c r="B389" s="286"/>
      <c r="C389" s="203">
        <f t="shared" si="135"/>
        <v>0</v>
      </c>
      <c r="D389" s="204"/>
      <c r="E389" s="204"/>
      <c r="F389" s="207"/>
      <c r="G389" s="206"/>
      <c r="H389" s="207"/>
      <c r="I389" s="208" t="s">
        <v>125</v>
      </c>
      <c r="J389" s="208" t="s">
        <v>126</v>
      </c>
      <c r="K389" s="287"/>
      <c r="L389" s="288"/>
      <c r="M389" s="289"/>
      <c r="N389" s="257"/>
      <c r="O389" s="213"/>
      <c r="P389" s="214"/>
      <c r="Q389" s="214"/>
      <c r="R389" s="214"/>
      <c r="S389" s="214"/>
      <c r="T389" s="214"/>
      <c r="U389" s="215">
        <f t="shared" si="136"/>
        <v>0</v>
      </c>
      <c r="V389" s="216" t="str">
        <f t="shared" si="137"/>
        <v/>
      </c>
      <c r="W389" s="217" t="str">
        <f t="shared" si="138"/>
        <v/>
      </c>
      <c r="X389" s="218" t="s">
        <v>20</v>
      </c>
      <c r="Y389" s="219" t="str">
        <f t="shared" si="139"/>
        <v>0 um/Dia</v>
      </c>
      <c r="Z389" s="220" t="str">
        <f t="shared" si="140"/>
        <v xml:space="preserve"> um / HH</v>
      </c>
      <c r="AA389" s="221" t="str">
        <f t="shared" si="141"/>
        <v/>
      </c>
      <c r="AB389" s="222" t="str">
        <f t="shared" si="142"/>
        <v>0 um /HH</v>
      </c>
      <c r="AC389" s="223">
        <f t="shared" si="143"/>
        <v>0</v>
      </c>
      <c r="AD389" s="224"/>
      <c r="AE389" s="225"/>
      <c r="AF389" s="226">
        <f t="shared" si="144"/>
        <v>0</v>
      </c>
      <c r="AG389" s="227">
        <f t="shared" si="145"/>
        <v>0</v>
      </c>
      <c r="AH389" s="228" t="s">
        <v>25</v>
      </c>
      <c r="AI389" s="229" t="str">
        <f t="shared" si="79"/>
        <v>Extremamente Complexa</v>
      </c>
      <c r="AJ389" s="230" t="str">
        <f t="shared" si="80"/>
        <v>Normal</v>
      </c>
      <c r="AK389" s="231">
        <f t="shared" si="146"/>
        <v>0</v>
      </c>
      <c r="AL389" s="232" t="str">
        <f t="shared" si="147"/>
        <v/>
      </c>
      <c r="AM389" s="233" t="str">
        <f t="shared" si="148"/>
        <v/>
      </c>
      <c r="AN389" s="233" t="str">
        <f t="shared" si="149"/>
        <v/>
      </c>
      <c r="AO389" s="234">
        <f t="shared" si="150"/>
        <v>0</v>
      </c>
      <c r="AP389" s="235">
        <f t="shared" si="165"/>
        <v>1</v>
      </c>
      <c r="AQ389" s="235">
        <f t="shared" si="165"/>
        <v>1</v>
      </c>
      <c r="AR389" s="236">
        <f t="shared" si="151"/>
        <v>1</v>
      </c>
      <c r="AS389" s="251">
        <f t="shared" si="152"/>
        <v>0</v>
      </c>
      <c r="AT389" s="238">
        <f t="shared" si="153"/>
        <v>0</v>
      </c>
      <c r="AU389" s="239">
        <f t="shared" si="154"/>
        <v>0</v>
      </c>
      <c r="AV389" s="239">
        <f t="shared" si="155"/>
        <v>0</v>
      </c>
      <c r="AW389" s="239">
        <f t="shared" si="156"/>
        <v>0.05</v>
      </c>
      <c r="AX389" s="240">
        <f t="shared" si="157"/>
        <v>0</v>
      </c>
      <c r="AY389" s="241" t="str">
        <f t="shared" si="158"/>
        <v/>
      </c>
      <c r="AZ389" s="242" t="str">
        <f>IFERROR(VLOOKUP(M389,'[1]Base Brasil Obras'!$C$2:$F$485,4,0),"")</f>
        <v/>
      </c>
      <c r="BA389" s="243">
        <f t="shared" si="159"/>
        <v>0</v>
      </c>
      <c r="BB389" s="244">
        <f t="shared" si="160"/>
        <v>0</v>
      </c>
      <c r="BC389" s="244">
        <f t="shared" si="161"/>
        <v>0.05</v>
      </c>
      <c r="BD389" s="245">
        <f t="shared" si="162"/>
        <v>0.95</v>
      </c>
      <c r="BE389" s="246">
        <f t="shared" si="163"/>
        <v>0</v>
      </c>
      <c r="BF389" s="247">
        <v>0</v>
      </c>
      <c r="BG389" s="248">
        <f t="shared" si="164"/>
        <v>1</v>
      </c>
      <c r="BH389" s="198"/>
      <c r="BI389" s="198"/>
      <c r="BJ389" s="199"/>
      <c r="BK389" s="200"/>
      <c r="BL389" s="200"/>
      <c r="BM389" s="200"/>
      <c r="BN389" s="200"/>
      <c r="BO389" s="10"/>
    </row>
    <row r="390" spans="1:67" ht="18" customHeight="1" x14ac:dyDescent="0.25">
      <c r="A390" s="201">
        <v>282</v>
      </c>
      <c r="B390" s="286"/>
      <c r="C390" s="203">
        <f t="shared" si="135"/>
        <v>0</v>
      </c>
      <c r="D390" s="204"/>
      <c r="E390" s="204"/>
      <c r="F390" s="207"/>
      <c r="G390" s="206"/>
      <c r="H390" s="207"/>
      <c r="I390" s="208" t="s">
        <v>125</v>
      </c>
      <c r="J390" s="208" t="s">
        <v>126</v>
      </c>
      <c r="K390" s="287"/>
      <c r="L390" s="288"/>
      <c r="M390" s="289"/>
      <c r="N390" s="257"/>
      <c r="O390" s="213"/>
      <c r="P390" s="214"/>
      <c r="Q390" s="214"/>
      <c r="R390" s="214"/>
      <c r="S390" s="214"/>
      <c r="T390" s="214"/>
      <c r="U390" s="215">
        <f t="shared" si="136"/>
        <v>0</v>
      </c>
      <c r="V390" s="216" t="str">
        <f t="shared" si="137"/>
        <v/>
      </c>
      <c r="W390" s="217" t="str">
        <f t="shared" si="138"/>
        <v/>
      </c>
      <c r="X390" s="218" t="s">
        <v>20</v>
      </c>
      <c r="Y390" s="219" t="str">
        <f t="shared" si="139"/>
        <v>0 um/Dia</v>
      </c>
      <c r="Z390" s="220" t="str">
        <f t="shared" si="140"/>
        <v xml:space="preserve"> um / HH</v>
      </c>
      <c r="AA390" s="221" t="str">
        <f t="shared" si="141"/>
        <v/>
      </c>
      <c r="AB390" s="222" t="str">
        <f t="shared" si="142"/>
        <v>0 um /HH</v>
      </c>
      <c r="AC390" s="223">
        <f t="shared" si="143"/>
        <v>0</v>
      </c>
      <c r="AD390" s="224"/>
      <c r="AE390" s="225"/>
      <c r="AF390" s="226">
        <f t="shared" si="144"/>
        <v>0</v>
      </c>
      <c r="AG390" s="227">
        <f t="shared" si="145"/>
        <v>0</v>
      </c>
      <c r="AH390" s="228" t="s">
        <v>25</v>
      </c>
      <c r="AI390" s="229" t="str">
        <f t="shared" si="79"/>
        <v>Extremamente Complexa</v>
      </c>
      <c r="AJ390" s="230" t="str">
        <f t="shared" si="80"/>
        <v>Normal</v>
      </c>
      <c r="AK390" s="231">
        <f t="shared" si="146"/>
        <v>0</v>
      </c>
      <c r="AL390" s="232" t="str">
        <f t="shared" si="147"/>
        <v/>
      </c>
      <c r="AM390" s="233" t="str">
        <f t="shared" si="148"/>
        <v/>
      </c>
      <c r="AN390" s="233" t="str">
        <f t="shared" si="149"/>
        <v/>
      </c>
      <c r="AO390" s="234">
        <f t="shared" si="150"/>
        <v>0</v>
      </c>
      <c r="AP390" s="235">
        <f t="shared" si="165"/>
        <v>1</v>
      </c>
      <c r="AQ390" s="235">
        <f t="shared" si="165"/>
        <v>1</v>
      </c>
      <c r="AR390" s="235">
        <f t="shared" si="151"/>
        <v>1</v>
      </c>
      <c r="AS390" s="252">
        <f t="shared" si="152"/>
        <v>0</v>
      </c>
      <c r="AT390" s="238">
        <f t="shared" si="153"/>
        <v>0</v>
      </c>
      <c r="AU390" s="239">
        <f t="shared" si="154"/>
        <v>0</v>
      </c>
      <c r="AV390" s="239">
        <f t="shared" si="155"/>
        <v>0</v>
      </c>
      <c r="AW390" s="239">
        <f t="shared" si="156"/>
        <v>0.05</v>
      </c>
      <c r="AX390" s="240">
        <f t="shared" si="157"/>
        <v>0</v>
      </c>
      <c r="AY390" s="241" t="str">
        <f t="shared" si="158"/>
        <v/>
      </c>
      <c r="AZ390" s="242" t="str">
        <f>IFERROR(VLOOKUP(M390,'[1]Base Brasil Obras'!$C$2:$F$485,4,0),"")</f>
        <v/>
      </c>
      <c r="BA390" s="243">
        <f t="shared" si="159"/>
        <v>0</v>
      </c>
      <c r="BB390" s="244">
        <f t="shared" si="160"/>
        <v>0</v>
      </c>
      <c r="BC390" s="244">
        <f t="shared" si="161"/>
        <v>0.05</v>
      </c>
      <c r="BD390" s="245">
        <f t="shared" si="162"/>
        <v>0.95</v>
      </c>
      <c r="BE390" s="246">
        <f t="shared" si="163"/>
        <v>0</v>
      </c>
      <c r="BF390" s="247">
        <v>0</v>
      </c>
      <c r="BG390" s="248">
        <f t="shared" si="164"/>
        <v>1</v>
      </c>
      <c r="BH390" s="198"/>
      <c r="BI390" s="198"/>
      <c r="BJ390" s="199"/>
      <c r="BK390" s="200"/>
      <c r="BL390" s="200"/>
      <c r="BM390" s="200"/>
      <c r="BN390" s="200"/>
      <c r="BO390" s="10"/>
    </row>
    <row r="391" spans="1:67" ht="18" customHeight="1" x14ac:dyDescent="0.25">
      <c r="A391" s="201">
        <v>283</v>
      </c>
      <c r="B391" s="286"/>
      <c r="C391" s="203">
        <f t="shared" si="135"/>
        <v>0</v>
      </c>
      <c r="D391" s="204"/>
      <c r="E391" s="204"/>
      <c r="F391" s="207"/>
      <c r="G391" s="206"/>
      <c r="H391" s="207"/>
      <c r="I391" s="208" t="s">
        <v>125</v>
      </c>
      <c r="J391" s="208" t="s">
        <v>126</v>
      </c>
      <c r="K391" s="287"/>
      <c r="L391" s="288"/>
      <c r="M391" s="289"/>
      <c r="N391" s="257"/>
      <c r="O391" s="213"/>
      <c r="P391" s="214"/>
      <c r="Q391" s="214"/>
      <c r="R391" s="214"/>
      <c r="S391" s="214"/>
      <c r="T391" s="214"/>
      <c r="U391" s="215">
        <f t="shared" si="136"/>
        <v>0</v>
      </c>
      <c r="V391" s="216" t="str">
        <f t="shared" si="137"/>
        <v/>
      </c>
      <c r="W391" s="217" t="str">
        <f t="shared" si="138"/>
        <v/>
      </c>
      <c r="X391" s="218" t="s">
        <v>20</v>
      </c>
      <c r="Y391" s="219" t="str">
        <f t="shared" si="139"/>
        <v>0 um/Dia</v>
      </c>
      <c r="Z391" s="220" t="str">
        <f t="shared" si="140"/>
        <v xml:space="preserve"> um / HH</v>
      </c>
      <c r="AA391" s="221" t="str">
        <f t="shared" si="141"/>
        <v/>
      </c>
      <c r="AB391" s="222" t="str">
        <f t="shared" si="142"/>
        <v>0 um /HH</v>
      </c>
      <c r="AC391" s="223">
        <f t="shared" si="143"/>
        <v>0</v>
      </c>
      <c r="AD391" s="224"/>
      <c r="AE391" s="225"/>
      <c r="AF391" s="226">
        <f t="shared" si="144"/>
        <v>0</v>
      </c>
      <c r="AG391" s="227">
        <f t="shared" si="145"/>
        <v>0</v>
      </c>
      <c r="AH391" s="228" t="s">
        <v>25</v>
      </c>
      <c r="AI391" s="229" t="str">
        <f t="shared" si="79"/>
        <v>Extremamente Complexa</v>
      </c>
      <c r="AJ391" s="230" t="str">
        <f t="shared" si="80"/>
        <v>Normal</v>
      </c>
      <c r="AK391" s="231">
        <f t="shared" si="146"/>
        <v>0</v>
      </c>
      <c r="AL391" s="232" t="str">
        <f t="shared" si="147"/>
        <v/>
      </c>
      <c r="AM391" s="233" t="str">
        <f t="shared" si="148"/>
        <v/>
      </c>
      <c r="AN391" s="233" t="str">
        <f t="shared" si="149"/>
        <v/>
      </c>
      <c r="AO391" s="234">
        <f t="shared" si="150"/>
        <v>0</v>
      </c>
      <c r="AP391" s="235">
        <f t="shared" si="165"/>
        <v>1</v>
      </c>
      <c r="AQ391" s="235">
        <f t="shared" si="165"/>
        <v>1</v>
      </c>
      <c r="AR391" s="236">
        <f t="shared" si="151"/>
        <v>1</v>
      </c>
      <c r="AS391" s="251">
        <f t="shared" si="152"/>
        <v>0</v>
      </c>
      <c r="AT391" s="238">
        <f t="shared" si="153"/>
        <v>0</v>
      </c>
      <c r="AU391" s="239">
        <f t="shared" si="154"/>
        <v>0</v>
      </c>
      <c r="AV391" s="239">
        <f t="shared" si="155"/>
        <v>0</v>
      </c>
      <c r="AW391" s="239">
        <f t="shared" si="156"/>
        <v>0.05</v>
      </c>
      <c r="AX391" s="240">
        <f t="shared" si="157"/>
        <v>0</v>
      </c>
      <c r="AY391" s="241" t="str">
        <f t="shared" si="158"/>
        <v/>
      </c>
      <c r="AZ391" s="242" t="str">
        <f>IFERROR(VLOOKUP(M391,'[1]Base Brasil Obras'!$C$2:$F$485,4,0),"")</f>
        <v/>
      </c>
      <c r="BA391" s="243">
        <f t="shared" si="159"/>
        <v>0</v>
      </c>
      <c r="BB391" s="244">
        <f t="shared" si="160"/>
        <v>0</v>
      </c>
      <c r="BC391" s="244">
        <f t="shared" si="161"/>
        <v>0.05</v>
      </c>
      <c r="BD391" s="245">
        <f t="shared" si="162"/>
        <v>0.95</v>
      </c>
      <c r="BE391" s="246">
        <f t="shared" si="163"/>
        <v>0</v>
      </c>
      <c r="BF391" s="247">
        <v>0</v>
      </c>
      <c r="BG391" s="248">
        <f t="shared" si="164"/>
        <v>1</v>
      </c>
      <c r="BH391" s="198"/>
      <c r="BI391" s="198"/>
      <c r="BJ391" s="199"/>
      <c r="BK391" s="200"/>
      <c r="BL391" s="200"/>
      <c r="BM391" s="200"/>
      <c r="BN391" s="200"/>
      <c r="BO391" s="10"/>
    </row>
    <row r="392" spans="1:67" ht="18" customHeight="1" x14ac:dyDescent="0.25">
      <c r="A392" s="201">
        <v>284</v>
      </c>
      <c r="B392" s="286"/>
      <c r="C392" s="203">
        <f t="shared" si="135"/>
        <v>0</v>
      </c>
      <c r="D392" s="204"/>
      <c r="E392" s="204"/>
      <c r="F392" s="207"/>
      <c r="G392" s="206"/>
      <c r="H392" s="207"/>
      <c r="I392" s="208" t="s">
        <v>125</v>
      </c>
      <c r="J392" s="208" t="s">
        <v>126</v>
      </c>
      <c r="K392" s="287"/>
      <c r="L392" s="288"/>
      <c r="M392" s="289"/>
      <c r="N392" s="257"/>
      <c r="O392" s="213"/>
      <c r="P392" s="214"/>
      <c r="Q392" s="214"/>
      <c r="R392" s="214"/>
      <c r="S392" s="214"/>
      <c r="T392" s="214"/>
      <c r="U392" s="215">
        <f t="shared" si="136"/>
        <v>0</v>
      </c>
      <c r="V392" s="216" t="str">
        <f t="shared" si="137"/>
        <v/>
      </c>
      <c r="W392" s="217" t="str">
        <f t="shared" si="138"/>
        <v/>
      </c>
      <c r="X392" s="218" t="s">
        <v>20</v>
      </c>
      <c r="Y392" s="219" t="str">
        <f t="shared" si="139"/>
        <v>0 um/Dia</v>
      </c>
      <c r="Z392" s="220" t="str">
        <f t="shared" si="140"/>
        <v xml:space="preserve"> um / HH</v>
      </c>
      <c r="AA392" s="221" t="str">
        <f t="shared" si="141"/>
        <v/>
      </c>
      <c r="AB392" s="222" t="str">
        <f t="shared" si="142"/>
        <v>0 um /HH</v>
      </c>
      <c r="AC392" s="223">
        <f t="shared" si="143"/>
        <v>0</v>
      </c>
      <c r="AD392" s="224"/>
      <c r="AE392" s="225"/>
      <c r="AF392" s="226">
        <f t="shared" si="144"/>
        <v>0</v>
      </c>
      <c r="AG392" s="227">
        <f t="shared" si="145"/>
        <v>0</v>
      </c>
      <c r="AH392" s="228" t="s">
        <v>25</v>
      </c>
      <c r="AI392" s="229" t="str">
        <f t="shared" si="79"/>
        <v>Extremamente Complexa</v>
      </c>
      <c r="AJ392" s="230" t="str">
        <f t="shared" si="80"/>
        <v>Normal</v>
      </c>
      <c r="AK392" s="231">
        <f t="shared" si="146"/>
        <v>0</v>
      </c>
      <c r="AL392" s="232" t="str">
        <f t="shared" si="147"/>
        <v/>
      </c>
      <c r="AM392" s="233" t="str">
        <f t="shared" si="148"/>
        <v/>
      </c>
      <c r="AN392" s="233" t="str">
        <f t="shared" si="149"/>
        <v/>
      </c>
      <c r="AO392" s="234">
        <f t="shared" si="150"/>
        <v>0</v>
      </c>
      <c r="AP392" s="235">
        <f t="shared" si="165"/>
        <v>1</v>
      </c>
      <c r="AQ392" s="235">
        <f t="shared" si="165"/>
        <v>1</v>
      </c>
      <c r="AR392" s="235">
        <f t="shared" si="151"/>
        <v>1</v>
      </c>
      <c r="AS392" s="252">
        <f t="shared" si="152"/>
        <v>0</v>
      </c>
      <c r="AT392" s="238">
        <f t="shared" si="153"/>
        <v>0</v>
      </c>
      <c r="AU392" s="239">
        <f t="shared" si="154"/>
        <v>0</v>
      </c>
      <c r="AV392" s="239">
        <f t="shared" si="155"/>
        <v>0</v>
      </c>
      <c r="AW392" s="239">
        <f t="shared" si="156"/>
        <v>0.05</v>
      </c>
      <c r="AX392" s="240">
        <f t="shared" si="157"/>
        <v>0</v>
      </c>
      <c r="AY392" s="241" t="str">
        <f t="shared" si="158"/>
        <v/>
      </c>
      <c r="AZ392" s="242" t="str">
        <f>IFERROR(VLOOKUP(M392,'[1]Base Brasil Obras'!$C$2:$F$485,4,0),"")</f>
        <v/>
      </c>
      <c r="BA392" s="243">
        <f t="shared" si="159"/>
        <v>0</v>
      </c>
      <c r="BB392" s="244">
        <f t="shared" si="160"/>
        <v>0</v>
      </c>
      <c r="BC392" s="244">
        <f t="shared" si="161"/>
        <v>0.05</v>
      </c>
      <c r="BD392" s="245">
        <f t="shared" si="162"/>
        <v>0.95</v>
      </c>
      <c r="BE392" s="246">
        <f t="shared" si="163"/>
        <v>0</v>
      </c>
      <c r="BF392" s="247">
        <v>0</v>
      </c>
      <c r="BG392" s="248">
        <f t="shared" si="164"/>
        <v>1</v>
      </c>
      <c r="BH392" s="198"/>
      <c r="BI392" s="198"/>
      <c r="BJ392" s="199"/>
      <c r="BK392" s="200"/>
      <c r="BL392" s="200"/>
      <c r="BM392" s="200"/>
      <c r="BN392" s="200"/>
      <c r="BO392" s="10"/>
    </row>
    <row r="393" spans="1:67" ht="18" x14ac:dyDescent="0.25">
      <c r="A393" s="201">
        <v>285</v>
      </c>
      <c r="B393" s="286"/>
      <c r="C393" s="203">
        <f t="shared" si="135"/>
        <v>0</v>
      </c>
      <c r="D393" s="204"/>
      <c r="E393" s="204"/>
      <c r="F393" s="207"/>
      <c r="G393" s="206"/>
      <c r="H393" s="207"/>
      <c r="I393" s="208" t="s">
        <v>125</v>
      </c>
      <c r="J393" s="208" t="s">
        <v>126</v>
      </c>
      <c r="K393" s="287"/>
      <c r="L393" s="288"/>
      <c r="M393" s="289"/>
      <c r="N393" s="257"/>
      <c r="O393" s="213"/>
      <c r="P393" s="214"/>
      <c r="Q393" s="214"/>
      <c r="R393" s="214"/>
      <c r="S393" s="214"/>
      <c r="T393" s="214"/>
      <c r="U393" s="215">
        <f t="shared" si="136"/>
        <v>0</v>
      </c>
      <c r="V393" s="216" t="str">
        <f t="shared" si="137"/>
        <v/>
      </c>
      <c r="W393" s="217" t="str">
        <f t="shared" si="138"/>
        <v/>
      </c>
      <c r="X393" s="218" t="s">
        <v>20</v>
      </c>
      <c r="Y393" s="219" t="str">
        <f t="shared" si="139"/>
        <v>0 um/Dia</v>
      </c>
      <c r="Z393" s="220" t="str">
        <f t="shared" si="140"/>
        <v xml:space="preserve"> um / HH</v>
      </c>
      <c r="AA393" s="221" t="str">
        <f t="shared" si="141"/>
        <v/>
      </c>
      <c r="AB393" s="222" t="str">
        <f t="shared" si="142"/>
        <v>0 um /HH</v>
      </c>
      <c r="AC393" s="223">
        <f t="shared" si="143"/>
        <v>0</v>
      </c>
      <c r="AD393" s="224"/>
      <c r="AE393" s="225"/>
      <c r="AF393" s="226">
        <f t="shared" si="144"/>
        <v>0</v>
      </c>
      <c r="AG393" s="227">
        <f t="shared" si="145"/>
        <v>0</v>
      </c>
      <c r="AH393" s="228" t="s">
        <v>25</v>
      </c>
      <c r="AI393" s="229" t="str">
        <f t="shared" si="79"/>
        <v>Extremamente Complexa</v>
      </c>
      <c r="AJ393" s="230" t="str">
        <f t="shared" si="80"/>
        <v>Normal</v>
      </c>
      <c r="AK393" s="231">
        <f t="shared" si="146"/>
        <v>0</v>
      </c>
      <c r="AL393" s="232" t="str">
        <f t="shared" si="147"/>
        <v/>
      </c>
      <c r="AM393" s="233" t="str">
        <f t="shared" si="148"/>
        <v/>
      </c>
      <c r="AN393" s="233" t="str">
        <f t="shared" si="149"/>
        <v/>
      </c>
      <c r="AO393" s="234">
        <f t="shared" si="150"/>
        <v>0</v>
      </c>
      <c r="AP393" s="235">
        <f t="shared" si="165"/>
        <v>1</v>
      </c>
      <c r="AQ393" s="235">
        <f t="shared" si="165"/>
        <v>1</v>
      </c>
      <c r="AR393" s="236">
        <f t="shared" si="151"/>
        <v>1</v>
      </c>
      <c r="AS393" s="251">
        <f t="shared" si="152"/>
        <v>0</v>
      </c>
      <c r="AT393" s="238">
        <f t="shared" si="153"/>
        <v>0</v>
      </c>
      <c r="AU393" s="239">
        <f t="shared" si="154"/>
        <v>0</v>
      </c>
      <c r="AV393" s="239">
        <f t="shared" si="155"/>
        <v>0</v>
      </c>
      <c r="AW393" s="239">
        <f t="shared" si="156"/>
        <v>0.05</v>
      </c>
      <c r="AX393" s="240">
        <f t="shared" si="157"/>
        <v>0</v>
      </c>
      <c r="AY393" s="241" t="str">
        <f t="shared" si="158"/>
        <v/>
      </c>
      <c r="AZ393" s="242" t="str">
        <f>IFERROR(VLOOKUP(M393,'[1]Base Brasil Obras'!$C$2:$F$485,4,0),"")</f>
        <v/>
      </c>
      <c r="BA393" s="243">
        <f t="shared" si="159"/>
        <v>0</v>
      </c>
      <c r="BB393" s="244">
        <f t="shared" si="160"/>
        <v>0</v>
      </c>
      <c r="BC393" s="244">
        <f t="shared" si="161"/>
        <v>0.05</v>
      </c>
      <c r="BD393" s="245">
        <f t="shared" si="162"/>
        <v>0.95</v>
      </c>
      <c r="BE393" s="246">
        <f t="shared" si="163"/>
        <v>0</v>
      </c>
      <c r="BF393" s="247">
        <v>0</v>
      </c>
      <c r="BG393" s="248">
        <f t="shared" si="164"/>
        <v>1</v>
      </c>
      <c r="BH393" s="198"/>
      <c r="BI393" s="198"/>
      <c r="BJ393" s="199"/>
      <c r="BK393" s="200"/>
      <c r="BL393" s="200"/>
      <c r="BM393" s="200"/>
      <c r="BN393" s="200"/>
      <c r="BO393" s="10"/>
    </row>
    <row r="394" spans="1:67" ht="18" x14ac:dyDescent="0.25">
      <c r="A394" s="201">
        <v>286</v>
      </c>
      <c r="B394" s="286"/>
      <c r="C394" s="203">
        <f t="shared" si="135"/>
        <v>0</v>
      </c>
      <c r="D394" s="204"/>
      <c r="E394" s="204"/>
      <c r="F394" s="207"/>
      <c r="G394" s="206"/>
      <c r="H394" s="207"/>
      <c r="I394" s="208" t="s">
        <v>125</v>
      </c>
      <c r="J394" s="208" t="s">
        <v>126</v>
      </c>
      <c r="K394" s="287"/>
      <c r="L394" s="288"/>
      <c r="M394" s="289"/>
      <c r="N394" s="257"/>
      <c r="O394" s="213"/>
      <c r="P394" s="214"/>
      <c r="Q394" s="214"/>
      <c r="R394" s="214"/>
      <c r="S394" s="214"/>
      <c r="T394" s="214"/>
      <c r="U394" s="215">
        <f t="shared" si="136"/>
        <v>0</v>
      </c>
      <c r="V394" s="216" t="str">
        <f t="shared" si="137"/>
        <v/>
      </c>
      <c r="W394" s="217" t="str">
        <f t="shared" si="138"/>
        <v/>
      </c>
      <c r="X394" s="218" t="s">
        <v>20</v>
      </c>
      <c r="Y394" s="219" t="str">
        <f t="shared" si="139"/>
        <v>0 um/Dia</v>
      </c>
      <c r="Z394" s="220" t="str">
        <f t="shared" si="140"/>
        <v xml:space="preserve"> um / HH</v>
      </c>
      <c r="AA394" s="221" t="str">
        <f t="shared" si="141"/>
        <v/>
      </c>
      <c r="AB394" s="222" t="str">
        <f t="shared" si="142"/>
        <v>0 um /HH</v>
      </c>
      <c r="AC394" s="223">
        <f t="shared" si="143"/>
        <v>0</v>
      </c>
      <c r="AD394" s="224"/>
      <c r="AE394" s="225"/>
      <c r="AF394" s="226">
        <f t="shared" si="144"/>
        <v>0</v>
      </c>
      <c r="AG394" s="227">
        <f t="shared" si="145"/>
        <v>0</v>
      </c>
      <c r="AH394" s="228" t="s">
        <v>25</v>
      </c>
      <c r="AI394" s="229" t="str">
        <f t="shared" si="79"/>
        <v>Extremamente Complexa</v>
      </c>
      <c r="AJ394" s="230" t="str">
        <f t="shared" si="80"/>
        <v>Normal</v>
      </c>
      <c r="AK394" s="231">
        <f t="shared" si="146"/>
        <v>0</v>
      </c>
      <c r="AL394" s="232" t="str">
        <f t="shared" si="147"/>
        <v/>
      </c>
      <c r="AM394" s="233" t="str">
        <f t="shared" si="148"/>
        <v/>
      </c>
      <c r="AN394" s="233" t="str">
        <f t="shared" si="149"/>
        <v/>
      </c>
      <c r="AO394" s="234">
        <f t="shared" si="150"/>
        <v>0</v>
      </c>
      <c r="AP394" s="235">
        <f t="shared" si="165"/>
        <v>1</v>
      </c>
      <c r="AQ394" s="235">
        <f t="shared" si="165"/>
        <v>1</v>
      </c>
      <c r="AR394" s="235">
        <f t="shared" si="151"/>
        <v>1</v>
      </c>
      <c r="AS394" s="252">
        <f t="shared" si="152"/>
        <v>0</v>
      </c>
      <c r="AT394" s="238">
        <f t="shared" si="153"/>
        <v>0</v>
      </c>
      <c r="AU394" s="239">
        <f t="shared" si="154"/>
        <v>0</v>
      </c>
      <c r="AV394" s="239">
        <f t="shared" si="155"/>
        <v>0</v>
      </c>
      <c r="AW394" s="239">
        <f t="shared" si="156"/>
        <v>0.05</v>
      </c>
      <c r="AX394" s="240">
        <f t="shared" si="157"/>
        <v>0</v>
      </c>
      <c r="AY394" s="241" t="str">
        <f t="shared" si="158"/>
        <v/>
      </c>
      <c r="AZ394" s="242" t="str">
        <f>IFERROR(VLOOKUP(M394,'[1]Base Brasil Obras'!$C$2:$F$485,4,0),"")</f>
        <v/>
      </c>
      <c r="BA394" s="243">
        <f t="shared" si="159"/>
        <v>0</v>
      </c>
      <c r="BB394" s="244">
        <f t="shared" si="160"/>
        <v>0</v>
      </c>
      <c r="BC394" s="244">
        <f t="shared" si="161"/>
        <v>0.05</v>
      </c>
      <c r="BD394" s="245">
        <f t="shared" si="162"/>
        <v>0.95</v>
      </c>
      <c r="BE394" s="246">
        <f t="shared" si="163"/>
        <v>0</v>
      </c>
      <c r="BF394" s="247">
        <v>0</v>
      </c>
      <c r="BG394" s="248">
        <f t="shared" si="164"/>
        <v>1</v>
      </c>
      <c r="BH394" s="198"/>
      <c r="BI394" s="198"/>
      <c r="BJ394" s="199"/>
      <c r="BK394" s="200"/>
      <c r="BL394" s="200"/>
      <c r="BM394" s="200"/>
      <c r="BN394" s="200"/>
      <c r="BO394" s="10"/>
    </row>
    <row r="395" spans="1:67" ht="18" x14ac:dyDescent="0.25">
      <c r="A395" s="201">
        <v>287</v>
      </c>
      <c r="B395" s="286"/>
      <c r="C395" s="203">
        <f t="shared" si="135"/>
        <v>0</v>
      </c>
      <c r="D395" s="204"/>
      <c r="E395" s="204"/>
      <c r="F395" s="207"/>
      <c r="G395" s="206"/>
      <c r="H395" s="207"/>
      <c r="I395" s="208" t="s">
        <v>125</v>
      </c>
      <c r="J395" s="208" t="s">
        <v>126</v>
      </c>
      <c r="K395" s="287"/>
      <c r="L395" s="288"/>
      <c r="M395" s="289"/>
      <c r="N395" s="257"/>
      <c r="O395" s="213"/>
      <c r="P395" s="214"/>
      <c r="Q395" s="214"/>
      <c r="R395" s="214"/>
      <c r="S395" s="214"/>
      <c r="T395" s="214"/>
      <c r="U395" s="215">
        <f t="shared" si="136"/>
        <v>0</v>
      </c>
      <c r="V395" s="216" t="str">
        <f t="shared" si="137"/>
        <v/>
      </c>
      <c r="W395" s="217" t="str">
        <f t="shared" si="138"/>
        <v/>
      </c>
      <c r="X395" s="218" t="s">
        <v>20</v>
      </c>
      <c r="Y395" s="219" t="str">
        <f t="shared" si="139"/>
        <v>0 um/Dia</v>
      </c>
      <c r="Z395" s="220" t="str">
        <f t="shared" si="140"/>
        <v xml:space="preserve"> um / HH</v>
      </c>
      <c r="AA395" s="221" t="str">
        <f t="shared" si="141"/>
        <v/>
      </c>
      <c r="AB395" s="222" t="str">
        <f t="shared" si="142"/>
        <v>0 um /HH</v>
      </c>
      <c r="AC395" s="223">
        <f t="shared" si="143"/>
        <v>0</v>
      </c>
      <c r="AD395" s="224"/>
      <c r="AE395" s="225"/>
      <c r="AF395" s="226">
        <f t="shared" si="144"/>
        <v>0</v>
      </c>
      <c r="AG395" s="227">
        <f t="shared" si="145"/>
        <v>0</v>
      </c>
      <c r="AH395" s="228" t="s">
        <v>25</v>
      </c>
      <c r="AI395" s="229" t="str">
        <f t="shared" si="79"/>
        <v>Extremamente Complexa</v>
      </c>
      <c r="AJ395" s="230" t="str">
        <f t="shared" si="80"/>
        <v>Normal</v>
      </c>
      <c r="AK395" s="231">
        <f t="shared" si="146"/>
        <v>0</v>
      </c>
      <c r="AL395" s="232" t="str">
        <f t="shared" si="147"/>
        <v/>
      </c>
      <c r="AM395" s="233" t="str">
        <f t="shared" si="148"/>
        <v/>
      </c>
      <c r="AN395" s="233" t="str">
        <f t="shared" si="149"/>
        <v/>
      </c>
      <c r="AO395" s="234">
        <f t="shared" si="150"/>
        <v>0</v>
      </c>
      <c r="AP395" s="235">
        <f t="shared" si="165"/>
        <v>1</v>
      </c>
      <c r="AQ395" s="235">
        <f t="shared" si="165"/>
        <v>1</v>
      </c>
      <c r="AR395" s="236">
        <f t="shared" si="151"/>
        <v>1</v>
      </c>
      <c r="AS395" s="251">
        <f t="shared" si="152"/>
        <v>0</v>
      </c>
      <c r="AT395" s="238">
        <f t="shared" si="153"/>
        <v>0</v>
      </c>
      <c r="AU395" s="239">
        <f t="shared" si="154"/>
        <v>0</v>
      </c>
      <c r="AV395" s="239">
        <f t="shared" si="155"/>
        <v>0</v>
      </c>
      <c r="AW395" s="239">
        <f t="shared" si="156"/>
        <v>0.05</v>
      </c>
      <c r="AX395" s="240">
        <f t="shared" si="157"/>
        <v>0</v>
      </c>
      <c r="AY395" s="241" t="str">
        <f t="shared" si="158"/>
        <v/>
      </c>
      <c r="AZ395" s="242" t="str">
        <f>IFERROR(VLOOKUP(M395,'[1]Base Brasil Obras'!$C$2:$F$485,4,0),"")</f>
        <v/>
      </c>
      <c r="BA395" s="243">
        <f t="shared" si="159"/>
        <v>0</v>
      </c>
      <c r="BB395" s="244">
        <f t="shared" si="160"/>
        <v>0</v>
      </c>
      <c r="BC395" s="244">
        <f t="shared" si="161"/>
        <v>0.05</v>
      </c>
      <c r="BD395" s="245">
        <f t="shared" si="162"/>
        <v>0.95</v>
      </c>
      <c r="BE395" s="246">
        <f t="shared" si="163"/>
        <v>0</v>
      </c>
      <c r="BF395" s="247">
        <v>0</v>
      </c>
      <c r="BG395" s="248">
        <f t="shared" si="164"/>
        <v>1</v>
      </c>
      <c r="BH395" s="198"/>
      <c r="BI395" s="198"/>
      <c r="BJ395" s="199"/>
      <c r="BK395" s="200"/>
      <c r="BL395" s="200"/>
      <c r="BM395" s="200"/>
      <c r="BN395" s="200"/>
      <c r="BO395" s="10"/>
    </row>
    <row r="396" spans="1:67" ht="18" x14ac:dyDescent="0.25">
      <c r="A396" s="201">
        <v>288</v>
      </c>
      <c r="B396" s="286"/>
      <c r="C396" s="203">
        <f t="shared" si="135"/>
        <v>0</v>
      </c>
      <c r="D396" s="204"/>
      <c r="E396" s="204"/>
      <c r="F396" s="207"/>
      <c r="G396" s="206"/>
      <c r="H396" s="207"/>
      <c r="I396" s="208" t="s">
        <v>125</v>
      </c>
      <c r="J396" s="208" t="s">
        <v>126</v>
      </c>
      <c r="K396" s="287"/>
      <c r="L396" s="288"/>
      <c r="M396" s="289"/>
      <c r="N396" s="257"/>
      <c r="O396" s="213"/>
      <c r="P396" s="214"/>
      <c r="Q396" s="214"/>
      <c r="R396" s="214"/>
      <c r="S396" s="214"/>
      <c r="T396" s="214"/>
      <c r="U396" s="215">
        <f t="shared" si="136"/>
        <v>0</v>
      </c>
      <c r="V396" s="216" t="str">
        <f t="shared" si="137"/>
        <v/>
      </c>
      <c r="W396" s="217" t="str">
        <f t="shared" si="138"/>
        <v/>
      </c>
      <c r="X396" s="218" t="s">
        <v>20</v>
      </c>
      <c r="Y396" s="219" t="str">
        <f t="shared" si="139"/>
        <v>0 um/Dia</v>
      </c>
      <c r="Z396" s="220" t="str">
        <f t="shared" si="140"/>
        <v xml:space="preserve"> um / HH</v>
      </c>
      <c r="AA396" s="221" t="str">
        <f t="shared" si="141"/>
        <v/>
      </c>
      <c r="AB396" s="222" t="str">
        <f t="shared" si="142"/>
        <v>0 um /HH</v>
      </c>
      <c r="AC396" s="223">
        <f t="shared" si="143"/>
        <v>0</v>
      </c>
      <c r="AD396" s="224"/>
      <c r="AE396" s="225"/>
      <c r="AF396" s="226">
        <f t="shared" si="144"/>
        <v>0</v>
      </c>
      <c r="AG396" s="227">
        <f t="shared" si="145"/>
        <v>0</v>
      </c>
      <c r="AH396" s="228" t="s">
        <v>25</v>
      </c>
      <c r="AI396" s="229" t="str">
        <f t="shared" si="79"/>
        <v>Extremamente Complexa</v>
      </c>
      <c r="AJ396" s="230" t="str">
        <f t="shared" si="80"/>
        <v>Normal</v>
      </c>
      <c r="AK396" s="231">
        <f t="shared" si="146"/>
        <v>0</v>
      </c>
      <c r="AL396" s="232" t="str">
        <f t="shared" si="147"/>
        <v/>
      </c>
      <c r="AM396" s="233" t="str">
        <f t="shared" si="148"/>
        <v/>
      </c>
      <c r="AN396" s="233" t="str">
        <f t="shared" si="149"/>
        <v/>
      </c>
      <c r="AO396" s="234">
        <f t="shared" si="150"/>
        <v>0</v>
      </c>
      <c r="AP396" s="235">
        <f t="shared" si="165"/>
        <v>1</v>
      </c>
      <c r="AQ396" s="235">
        <f t="shared" si="165"/>
        <v>1</v>
      </c>
      <c r="AR396" s="235">
        <f t="shared" si="151"/>
        <v>1</v>
      </c>
      <c r="AS396" s="252">
        <f t="shared" si="152"/>
        <v>0</v>
      </c>
      <c r="AT396" s="238">
        <f t="shared" si="153"/>
        <v>0</v>
      </c>
      <c r="AU396" s="239">
        <f t="shared" si="154"/>
        <v>0</v>
      </c>
      <c r="AV396" s="239">
        <f t="shared" si="155"/>
        <v>0</v>
      </c>
      <c r="AW396" s="239">
        <f t="shared" si="156"/>
        <v>0.05</v>
      </c>
      <c r="AX396" s="240">
        <f t="shared" si="157"/>
        <v>0</v>
      </c>
      <c r="AY396" s="241" t="str">
        <f t="shared" si="158"/>
        <v/>
      </c>
      <c r="AZ396" s="242" t="str">
        <f>IFERROR(VLOOKUP(M396,'[1]Base Brasil Obras'!$C$2:$F$485,4,0),"")</f>
        <v/>
      </c>
      <c r="BA396" s="243">
        <f t="shared" si="159"/>
        <v>0</v>
      </c>
      <c r="BB396" s="244">
        <f t="shared" si="160"/>
        <v>0</v>
      </c>
      <c r="BC396" s="244">
        <f t="shared" si="161"/>
        <v>0.05</v>
      </c>
      <c r="BD396" s="245">
        <f t="shared" si="162"/>
        <v>0.95</v>
      </c>
      <c r="BE396" s="246">
        <f t="shared" si="163"/>
        <v>0</v>
      </c>
      <c r="BF396" s="247">
        <v>0</v>
      </c>
      <c r="BG396" s="248">
        <f t="shared" si="164"/>
        <v>1</v>
      </c>
      <c r="BH396" s="198"/>
      <c r="BI396" s="198"/>
      <c r="BJ396" s="199"/>
      <c r="BK396" s="200"/>
      <c r="BL396" s="200"/>
      <c r="BM396" s="200"/>
      <c r="BN396" s="200"/>
      <c r="BO396" s="10"/>
    </row>
    <row r="397" spans="1:67" ht="18" x14ac:dyDescent="0.25">
      <c r="A397" s="201">
        <v>289</v>
      </c>
      <c r="B397" s="286"/>
      <c r="C397" s="203">
        <f t="shared" si="135"/>
        <v>0</v>
      </c>
      <c r="D397" s="204"/>
      <c r="E397" s="204"/>
      <c r="F397" s="207"/>
      <c r="G397" s="206"/>
      <c r="H397" s="207"/>
      <c r="I397" s="208" t="s">
        <v>125</v>
      </c>
      <c r="J397" s="208" t="s">
        <v>126</v>
      </c>
      <c r="K397" s="287"/>
      <c r="L397" s="288"/>
      <c r="M397" s="289"/>
      <c r="N397" s="257"/>
      <c r="O397" s="213"/>
      <c r="P397" s="214"/>
      <c r="Q397" s="214"/>
      <c r="R397" s="214"/>
      <c r="S397" s="214"/>
      <c r="T397" s="214"/>
      <c r="U397" s="215">
        <f t="shared" si="136"/>
        <v>0</v>
      </c>
      <c r="V397" s="216" t="str">
        <f t="shared" si="137"/>
        <v/>
      </c>
      <c r="W397" s="217" t="str">
        <f t="shared" si="138"/>
        <v/>
      </c>
      <c r="X397" s="218" t="s">
        <v>20</v>
      </c>
      <c r="Y397" s="219" t="str">
        <f t="shared" si="139"/>
        <v>0 um/Dia</v>
      </c>
      <c r="Z397" s="220" t="str">
        <f t="shared" si="140"/>
        <v xml:space="preserve"> um / HH</v>
      </c>
      <c r="AA397" s="221" t="str">
        <f t="shared" si="141"/>
        <v/>
      </c>
      <c r="AB397" s="222" t="str">
        <f t="shared" si="142"/>
        <v>0 um /HH</v>
      </c>
      <c r="AC397" s="223">
        <f t="shared" si="143"/>
        <v>0</v>
      </c>
      <c r="AD397" s="224"/>
      <c r="AE397" s="225"/>
      <c r="AF397" s="226">
        <f t="shared" si="144"/>
        <v>0</v>
      </c>
      <c r="AG397" s="227">
        <f t="shared" si="145"/>
        <v>0</v>
      </c>
      <c r="AH397" s="228" t="s">
        <v>25</v>
      </c>
      <c r="AI397" s="229" t="str">
        <f t="shared" si="79"/>
        <v>Extremamente Complexa</v>
      </c>
      <c r="AJ397" s="230" t="str">
        <f t="shared" si="80"/>
        <v>Normal</v>
      </c>
      <c r="AK397" s="231">
        <f t="shared" si="146"/>
        <v>0</v>
      </c>
      <c r="AL397" s="232" t="str">
        <f t="shared" si="147"/>
        <v/>
      </c>
      <c r="AM397" s="233" t="str">
        <f t="shared" si="148"/>
        <v/>
      </c>
      <c r="AN397" s="233" t="str">
        <f t="shared" si="149"/>
        <v/>
      </c>
      <c r="AO397" s="234">
        <f t="shared" si="150"/>
        <v>0</v>
      </c>
      <c r="AP397" s="235">
        <f t="shared" si="165"/>
        <v>1</v>
      </c>
      <c r="AQ397" s="235">
        <f t="shared" si="165"/>
        <v>1</v>
      </c>
      <c r="AR397" s="236">
        <f t="shared" si="151"/>
        <v>1</v>
      </c>
      <c r="AS397" s="251">
        <f t="shared" si="152"/>
        <v>0</v>
      </c>
      <c r="AT397" s="238">
        <f t="shared" si="153"/>
        <v>0</v>
      </c>
      <c r="AU397" s="239">
        <f t="shared" si="154"/>
        <v>0</v>
      </c>
      <c r="AV397" s="239">
        <f t="shared" si="155"/>
        <v>0</v>
      </c>
      <c r="AW397" s="239">
        <f t="shared" si="156"/>
        <v>0.05</v>
      </c>
      <c r="AX397" s="240">
        <f t="shared" si="157"/>
        <v>0</v>
      </c>
      <c r="AY397" s="241" t="str">
        <f t="shared" si="158"/>
        <v/>
      </c>
      <c r="AZ397" s="242" t="str">
        <f>IFERROR(VLOOKUP(M397,'[1]Base Brasil Obras'!$C$2:$F$485,4,0),"")</f>
        <v/>
      </c>
      <c r="BA397" s="243">
        <f t="shared" si="159"/>
        <v>0</v>
      </c>
      <c r="BB397" s="244">
        <f t="shared" si="160"/>
        <v>0</v>
      </c>
      <c r="BC397" s="244">
        <f t="shared" si="161"/>
        <v>0.05</v>
      </c>
      <c r="BD397" s="245">
        <f t="shared" si="162"/>
        <v>0.95</v>
      </c>
      <c r="BE397" s="246">
        <f t="shared" si="163"/>
        <v>0</v>
      </c>
      <c r="BF397" s="247">
        <v>0</v>
      </c>
      <c r="BG397" s="248">
        <f t="shared" si="164"/>
        <v>1</v>
      </c>
      <c r="BH397" s="198"/>
      <c r="BI397" s="198"/>
      <c r="BJ397" s="199"/>
      <c r="BK397" s="200"/>
      <c r="BL397" s="200"/>
      <c r="BM397" s="200"/>
      <c r="BN397" s="200"/>
      <c r="BO397" s="10"/>
    </row>
    <row r="398" spans="1:67" ht="18" x14ac:dyDescent="0.25">
      <c r="A398" s="201">
        <v>290</v>
      </c>
      <c r="B398" s="286"/>
      <c r="C398" s="203">
        <f t="shared" si="135"/>
        <v>0</v>
      </c>
      <c r="D398" s="204"/>
      <c r="E398" s="204"/>
      <c r="F398" s="207"/>
      <c r="G398" s="206"/>
      <c r="H398" s="207"/>
      <c r="I398" s="208" t="s">
        <v>125</v>
      </c>
      <c r="J398" s="208" t="s">
        <v>126</v>
      </c>
      <c r="K398" s="287"/>
      <c r="L398" s="288"/>
      <c r="M398" s="289"/>
      <c r="N398" s="257"/>
      <c r="O398" s="213"/>
      <c r="P398" s="214"/>
      <c r="Q398" s="214"/>
      <c r="R398" s="214"/>
      <c r="S398" s="214"/>
      <c r="T398" s="214"/>
      <c r="U398" s="215">
        <f t="shared" si="136"/>
        <v>0</v>
      </c>
      <c r="V398" s="216" t="str">
        <f t="shared" si="137"/>
        <v/>
      </c>
      <c r="W398" s="217" t="str">
        <f t="shared" si="138"/>
        <v/>
      </c>
      <c r="X398" s="218" t="s">
        <v>20</v>
      </c>
      <c r="Y398" s="219" t="str">
        <f t="shared" si="139"/>
        <v>0 um/Dia</v>
      </c>
      <c r="Z398" s="220" t="str">
        <f t="shared" si="140"/>
        <v xml:space="preserve"> um / HH</v>
      </c>
      <c r="AA398" s="221" t="str">
        <f t="shared" si="141"/>
        <v/>
      </c>
      <c r="AB398" s="222" t="str">
        <f t="shared" si="142"/>
        <v>0 um /HH</v>
      </c>
      <c r="AC398" s="223">
        <f t="shared" si="143"/>
        <v>0</v>
      </c>
      <c r="AD398" s="224"/>
      <c r="AE398" s="225"/>
      <c r="AF398" s="226">
        <f t="shared" si="144"/>
        <v>0</v>
      </c>
      <c r="AG398" s="227">
        <f t="shared" si="145"/>
        <v>0</v>
      </c>
      <c r="AH398" s="228" t="s">
        <v>25</v>
      </c>
      <c r="AI398" s="229" t="str">
        <f t="shared" si="79"/>
        <v>Extremamente Complexa</v>
      </c>
      <c r="AJ398" s="230" t="str">
        <f t="shared" si="80"/>
        <v>Normal</v>
      </c>
      <c r="AK398" s="231">
        <f t="shared" si="146"/>
        <v>0</v>
      </c>
      <c r="AL398" s="232" t="str">
        <f t="shared" si="147"/>
        <v/>
      </c>
      <c r="AM398" s="233" t="str">
        <f t="shared" si="148"/>
        <v/>
      </c>
      <c r="AN398" s="233" t="str">
        <f t="shared" si="149"/>
        <v/>
      </c>
      <c r="AO398" s="234">
        <f t="shared" si="150"/>
        <v>0</v>
      </c>
      <c r="AP398" s="235">
        <f t="shared" si="165"/>
        <v>1</v>
      </c>
      <c r="AQ398" s="235">
        <f t="shared" si="165"/>
        <v>1</v>
      </c>
      <c r="AR398" s="235">
        <f t="shared" si="151"/>
        <v>1</v>
      </c>
      <c r="AS398" s="252">
        <f t="shared" si="152"/>
        <v>0</v>
      </c>
      <c r="AT398" s="238">
        <f t="shared" si="153"/>
        <v>0</v>
      </c>
      <c r="AU398" s="239">
        <f t="shared" si="154"/>
        <v>0</v>
      </c>
      <c r="AV398" s="239">
        <f t="shared" si="155"/>
        <v>0</v>
      </c>
      <c r="AW398" s="239">
        <f t="shared" si="156"/>
        <v>0.05</v>
      </c>
      <c r="AX398" s="240">
        <f t="shared" si="157"/>
        <v>0</v>
      </c>
      <c r="AY398" s="241" t="str">
        <f t="shared" si="158"/>
        <v/>
      </c>
      <c r="AZ398" s="242" t="str">
        <f>IFERROR(VLOOKUP(M398,'[1]Base Brasil Obras'!$C$2:$F$485,4,0),"")</f>
        <v/>
      </c>
      <c r="BA398" s="243">
        <f t="shared" si="159"/>
        <v>0</v>
      </c>
      <c r="BB398" s="244">
        <f t="shared" si="160"/>
        <v>0</v>
      </c>
      <c r="BC398" s="244">
        <f t="shared" si="161"/>
        <v>0.05</v>
      </c>
      <c r="BD398" s="245">
        <f t="shared" si="162"/>
        <v>0.95</v>
      </c>
      <c r="BE398" s="246">
        <f t="shared" si="163"/>
        <v>0</v>
      </c>
      <c r="BF398" s="247">
        <v>0</v>
      </c>
      <c r="BG398" s="248">
        <f t="shared" si="164"/>
        <v>1</v>
      </c>
      <c r="BH398" s="198"/>
      <c r="BI398" s="198"/>
      <c r="BJ398" s="199"/>
      <c r="BK398" s="200"/>
      <c r="BL398" s="200"/>
      <c r="BM398" s="200"/>
      <c r="BN398" s="200"/>
      <c r="BO398" s="10"/>
    </row>
    <row r="399" spans="1:67" ht="18" x14ac:dyDescent="0.25">
      <c r="A399" s="201">
        <v>291</v>
      </c>
      <c r="B399" s="286"/>
      <c r="C399" s="203">
        <f t="shared" si="135"/>
        <v>0</v>
      </c>
      <c r="D399" s="204"/>
      <c r="E399" s="204"/>
      <c r="F399" s="207"/>
      <c r="G399" s="206"/>
      <c r="H399" s="207"/>
      <c r="I399" s="208" t="s">
        <v>125</v>
      </c>
      <c r="J399" s="208" t="s">
        <v>126</v>
      </c>
      <c r="K399" s="287"/>
      <c r="L399" s="288"/>
      <c r="M399" s="289"/>
      <c r="N399" s="257"/>
      <c r="O399" s="213"/>
      <c r="P399" s="214"/>
      <c r="Q399" s="214"/>
      <c r="R399" s="214"/>
      <c r="S399" s="214"/>
      <c r="T399" s="214"/>
      <c r="U399" s="215">
        <f t="shared" si="136"/>
        <v>0</v>
      </c>
      <c r="V399" s="216" t="str">
        <f t="shared" si="137"/>
        <v/>
      </c>
      <c r="W399" s="217" t="str">
        <f t="shared" si="138"/>
        <v/>
      </c>
      <c r="X399" s="218" t="s">
        <v>20</v>
      </c>
      <c r="Y399" s="219" t="str">
        <f t="shared" si="139"/>
        <v>0 um/Dia</v>
      </c>
      <c r="Z399" s="220" t="str">
        <f t="shared" si="140"/>
        <v xml:space="preserve"> um / HH</v>
      </c>
      <c r="AA399" s="221" t="str">
        <f t="shared" si="141"/>
        <v/>
      </c>
      <c r="AB399" s="222" t="str">
        <f t="shared" si="142"/>
        <v>0 um /HH</v>
      </c>
      <c r="AC399" s="223">
        <f t="shared" si="143"/>
        <v>0</v>
      </c>
      <c r="AD399" s="224"/>
      <c r="AE399" s="225"/>
      <c r="AF399" s="226">
        <f t="shared" si="144"/>
        <v>0</v>
      </c>
      <c r="AG399" s="227">
        <f t="shared" si="145"/>
        <v>0</v>
      </c>
      <c r="AH399" s="228" t="s">
        <v>25</v>
      </c>
      <c r="AI399" s="229" t="str">
        <f t="shared" si="79"/>
        <v>Extremamente Complexa</v>
      </c>
      <c r="AJ399" s="230" t="str">
        <f t="shared" si="80"/>
        <v>Normal</v>
      </c>
      <c r="AK399" s="231">
        <f t="shared" si="146"/>
        <v>0</v>
      </c>
      <c r="AL399" s="232" t="str">
        <f t="shared" si="147"/>
        <v/>
      </c>
      <c r="AM399" s="233" t="str">
        <f t="shared" si="148"/>
        <v/>
      </c>
      <c r="AN399" s="233" t="str">
        <f t="shared" si="149"/>
        <v/>
      </c>
      <c r="AO399" s="234">
        <f t="shared" si="150"/>
        <v>0</v>
      </c>
      <c r="AP399" s="235">
        <f t="shared" si="165"/>
        <v>1</v>
      </c>
      <c r="AQ399" s="235">
        <f t="shared" si="165"/>
        <v>1</v>
      </c>
      <c r="AR399" s="236">
        <f t="shared" si="151"/>
        <v>1</v>
      </c>
      <c r="AS399" s="251">
        <f t="shared" si="152"/>
        <v>0</v>
      </c>
      <c r="AT399" s="238">
        <f t="shared" si="153"/>
        <v>0</v>
      </c>
      <c r="AU399" s="239">
        <f t="shared" si="154"/>
        <v>0</v>
      </c>
      <c r="AV399" s="239">
        <f t="shared" si="155"/>
        <v>0</v>
      </c>
      <c r="AW399" s="239">
        <f t="shared" si="156"/>
        <v>0.05</v>
      </c>
      <c r="AX399" s="240">
        <f t="shared" si="157"/>
        <v>0</v>
      </c>
      <c r="AY399" s="241" t="str">
        <f t="shared" si="158"/>
        <v/>
      </c>
      <c r="AZ399" s="242" t="str">
        <f>IFERROR(VLOOKUP(M399,'[1]Base Brasil Obras'!$C$2:$F$485,4,0),"")</f>
        <v/>
      </c>
      <c r="BA399" s="243">
        <f t="shared" si="159"/>
        <v>0</v>
      </c>
      <c r="BB399" s="244">
        <f t="shared" si="160"/>
        <v>0</v>
      </c>
      <c r="BC399" s="244">
        <f t="shared" si="161"/>
        <v>0.05</v>
      </c>
      <c r="BD399" s="245">
        <f t="shared" si="162"/>
        <v>0.95</v>
      </c>
      <c r="BE399" s="246">
        <f t="shared" si="163"/>
        <v>0</v>
      </c>
      <c r="BF399" s="247">
        <v>0</v>
      </c>
      <c r="BG399" s="248">
        <f t="shared" si="164"/>
        <v>1</v>
      </c>
      <c r="BH399" s="198"/>
      <c r="BI399" s="198"/>
      <c r="BJ399" s="199"/>
      <c r="BK399" s="200"/>
      <c r="BL399" s="200"/>
      <c r="BM399" s="200"/>
      <c r="BN399" s="200"/>
      <c r="BO399" s="10"/>
    </row>
    <row r="400" spans="1:67" ht="18" x14ac:dyDescent="0.25">
      <c r="A400" s="201">
        <v>292</v>
      </c>
      <c r="B400" s="286"/>
      <c r="C400" s="203">
        <f t="shared" si="135"/>
        <v>0</v>
      </c>
      <c r="D400" s="204"/>
      <c r="E400" s="204"/>
      <c r="F400" s="207"/>
      <c r="G400" s="206"/>
      <c r="H400" s="207"/>
      <c r="I400" s="208" t="s">
        <v>125</v>
      </c>
      <c r="J400" s="208" t="s">
        <v>126</v>
      </c>
      <c r="K400" s="287"/>
      <c r="L400" s="288"/>
      <c r="M400" s="289"/>
      <c r="N400" s="257"/>
      <c r="O400" s="213"/>
      <c r="P400" s="214"/>
      <c r="Q400" s="214"/>
      <c r="R400" s="214"/>
      <c r="S400" s="214"/>
      <c r="T400" s="214"/>
      <c r="U400" s="215">
        <f t="shared" si="136"/>
        <v>0</v>
      </c>
      <c r="V400" s="216" t="str">
        <f t="shared" si="137"/>
        <v/>
      </c>
      <c r="W400" s="217" t="str">
        <f t="shared" si="138"/>
        <v/>
      </c>
      <c r="X400" s="218" t="s">
        <v>20</v>
      </c>
      <c r="Y400" s="219" t="str">
        <f t="shared" si="139"/>
        <v>0 um/Dia</v>
      </c>
      <c r="Z400" s="220" t="str">
        <f t="shared" si="140"/>
        <v xml:space="preserve"> um / HH</v>
      </c>
      <c r="AA400" s="221" t="str">
        <f t="shared" si="141"/>
        <v/>
      </c>
      <c r="AB400" s="222" t="str">
        <f t="shared" si="142"/>
        <v>0 um /HH</v>
      </c>
      <c r="AC400" s="223">
        <f t="shared" si="143"/>
        <v>0</v>
      </c>
      <c r="AD400" s="224"/>
      <c r="AE400" s="225"/>
      <c r="AF400" s="226">
        <f t="shared" si="144"/>
        <v>0</v>
      </c>
      <c r="AG400" s="227">
        <f t="shared" si="145"/>
        <v>0</v>
      </c>
      <c r="AH400" s="228" t="s">
        <v>25</v>
      </c>
      <c r="AI400" s="229" t="str">
        <f t="shared" si="79"/>
        <v>Extremamente Complexa</v>
      </c>
      <c r="AJ400" s="230" t="str">
        <f t="shared" si="80"/>
        <v>Normal</v>
      </c>
      <c r="AK400" s="231">
        <f t="shared" si="146"/>
        <v>0</v>
      </c>
      <c r="AL400" s="232" t="str">
        <f t="shared" si="147"/>
        <v/>
      </c>
      <c r="AM400" s="233" t="str">
        <f t="shared" si="148"/>
        <v/>
      </c>
      <c r="AN400" s="233" t="str">
        <f t="shared" si="149"/>
        <v/>
      </c>
      <c r="AO400" s="234">
        <f t="shared" si="150"/>
        <v>0</v>
      </c>
      <c r="AP400" s="235">
        <f t="shared" si="165"/>
        <v>1</v>
      </c>
      <c r="AQ400" s="235">
        <f t="shared" si="165"/>
        <v>1</v>
      </c>
      <c r="AR400" s="235">
        <f t="shared" si="151"/>
        <v>1</v>
      </c>
      <c r="AS400" s="252">
        <f t="shared" si="152"/>
        <v>0</v>
      </c>
      <c r="AT400" s="238">
        <f t="shared" si="153"/>
        <v>0</v>
      </c>
      <c r="AU400" s="239">
        <f t="shared" si="154"/>
        <v>0</v>
      </c>
      <c r="AV400" s="239">
        <f t="shared" si="155"/>
        <v>0</v>
      </c>
      <c r="AW400" s="239">
        <f t="shared" si="156"/>
        <v>0.05</v>
      </c>
      <c r="AX400" s="240">
        <f t="shared" si="157"/>
        <v>0</v>
      </c>
      <c r="AY400" s="241" t="str">
        <f t="shared" si="158"/>
        <v/>
      </c>
      <c r="AZ400" s="242" t="str">
        <f>IFERROR(VLOOKUP(M400,'[1]Base Brasil Obras'!$C$2:$F$485,4,0),"")</f>
        <v/>
      </c>
      <c r="BA400" s="243">
        <f t="shared" si="159"/>
        <v>0</v>
      </c>
      <c r="BB400" s="244">
        <f t="shared" si="160"/>
        <v>0</v>
      </c>
      <c r="BC400" s="244">
        <f t="shared" si="161"/>
        <v>0.05</v>
      </c>
      <c r="BD400" s="245">
        <f t="shared" si="162"/>
        <v>0.95</v>
      </c>
      <c r="BE400" s="246">
        <f t="shared" si="163"/>
        <v>0</v>
      </c>
      <c r="BF400" s="247">
        <v>0</v>
      </c>
      <c r="BG400" s="248">
        <f t="shared" si="164"/>
        <v>1</v>
      </c>
      <c r="BH400" s="198"/>
      <c r="BI400" s="198"/>
      <c r="BJ400" s="199"/>
      <c r="BK400" s="200"/>
      <c r="BL400" s="200"/>
      <c r="BM400" s="200"/>
      <c r="BN400" s="200"/>
      <c r="BO400" s="10"/>
    </row>
    <row r="401" spans="1:67" ht="18" x14ac:dyDescent="0.25">
      <c r="A401" s="201">
        <v>293</v>
      </c>
      <c r="B401" s="286"/>
      <c r="C401" s="203">
        <f t="shared" si="135"/>
        <v>0</v>
      </c>
      <c r="D401" s="204"/>
      <c r="E401" s="204"/>
      <c r="F401" s="207"/>
      <c r="G401" s="206"/>
      <c r="H401" s="207"/>
      <c r="I401" s="208" t="s">
        <v>125</v>
      </c>
      <c r="J401" s="208" t="s">
        <v>126</v>
      </c>
      <c r="K401" s="287"/>
      <c r="L401" s="288"/>
      <c r="M401" s="289"/>
      <c r="N401" s="257"/>
      <c r="O401" s="213"/>
      <c r="P401" s="214"/>
      <c r="Q401" s="214"/>
      <c r="R401" s="214"/>
      <c r="S401" s="214"/>
      <c r="T401" s="214"/>
      <c r="U401" s="215">
        <f t="shared" si="136"/>
        <v>0</v>
      </c>
      <c r="V401" s="216" t="str">
        <f t="shared" si="137"/>
        <v/>
      </c>
      <c r="W401" s="217" t="str">
        <f t="shared" si="138"/>
        <v/>
      </c>
      <c r="X401" s="218" t="s">
        <v>20</v>
      </c>
      <c r="Y401" s="219" t="str">
        <f t="shared" si="139"/>
        <v>0 um/Dia</v>
      </c>
      <c r="Z401" s="220" t="str">
        <f t="shared" si="140"/>
        <v xml:space="preserve"> um / HH</v>
      </c>
      <c r="AA401" s="221" t="str">
        <f t="shared" si="141"/>
        <v/>
      </c>
      <c r="AB401" s="222" t="str">
        <f t="shared" si="142"/>
        <v>0 um /HH</v>
      </c>
      <c r="AC401" s="223">
        <f t="shared" si="143"/>
        <v>0</v>
      </c>
      <c r="AD401" s="224"/>
      <c r="AE401" s="225"/>
      <c r="AF401" s="226">
        <f t="shared" si="144"/>
        <v>0</v>
      </c>
      <c r="AG401" s="227">
        <f t="shared" si="145"/>
        <v>0</v>
      </c>
      <c r="AH401" s="228" t="s">
        <v>25</v>
      </c>
      <c r="AI401" s="229" t="str">
        <f t="shared" si="79"/>
        <v>Extremamente Complexa</v>
      </c>
      <c r="AJ401" s="230" t="str">
        <f t="shared" si="80"/>
        <v>Normal</v>
      </c>
      <c r="AK401" s="231">
        <f t="shared" si="146"/>
        <v>0</v>
      </c>
      <c r="AL401" s="232" t="str">
        <f t="shared" si="147"/>
        <v/>
      </c>
      <c r="AM401" s="233" t="str">
        <f t="shared" si="148"/>
        <v/>
      </c>
      <c r="AN401" s="233" t="str">
        <f t="shared" si="149"/>
        <v/>
      </c>
      <c r="AO401" s="234">
        <f t="shared" si="150"/>
        <v>0</v>
      </c>
      <c r="AP401" s="235">
        <f t="shared" si="165"/>
        <v>1</v>
      </c>
      <c r="AQ401" s="235">
        <f t="shared" si="165"/>
        <v>1</v>
      </c>
      <c r="AR401" s="236">
        <f t="shared" si="151"/>
        <v>1</v>
      </c>
      <c r="AS401" s="251">
        <f t="shared" si="152"/>
        <v>0</v>
      </c>
      <c r="AT401" s="238">
        <f t="shared" si="153"/>
        <v>0</v>
      </c>
      <c r="AU401" s="239">
        <f t="shared" si="154"/>
        <v>0</v>
      </c>
      <c r="AV401" s="239">
        <f t="shared" si="155"/>
        <v>0</v>
      </c>
      <c r="AW401" s="239">
        <f t="shared" si="156"/>
        <v>0.05</v>
      </c>
      <c r="AX401" s="240">
        <f t="shared" si="157"/>
        <v>0</v>
      </c>
      <c r="AY401" s="241" t="str">
        <f t="shared" si="158"/>
        <v/>
      </c>
      <c r="AZ401" s="242" t="str">
        <f>IFERROR(VLOOKUP(M401,'[1]Base Brasil Obras'!$C$2:$F$485,4,0),"")</f>
        <v/>
      </c>
      <c r="BA401" s="243">
        <f t="shared" si="159"/>
        <v>0</v>
      </c>
      <c r="BB401" s="244">
        <f t="shared" si="160"/>
        <v>0</v>
      </c>
      <c r="BC401" s="244">
        <f t="shared" si="161"/>
        <v>0.05</v>
      </c>
      <c r="BD401" s="245">
        <f t="shared" si="162"/>
        <v>0.95</v>
      </c>
      <c r="BE401" s="246">
        <f t="shared" si="163"/>
        <v>0</v>
      </c>
      <c r="BF401" s="247">
        <v>0</v>
      </c>
      <c r="BG401" s="248">
        <f t="shared" si="164"/>
        <v>1</v>
      </c>
      <c r="BH401" s="198"/>
      <c r="BI401" s="198"/>
      <c r="BJ401" s="199"/>
      <c r="BK401" s="200"/>
      <c r="BL401" s="200"/>
      <c r="BM401" s="200"/>
      <c r="BN401" s="200"/>
      <c r="BO401" s="10"/>
    </row>
    <row r="402" spans="1:67" ht="18" x14ac:dyDescent="0.25">
      <c r="A402" s="201">
        <v>294</v>
      </c>
      <c r="B402" s="286"/>
      <c r="C402" s="203">
        <f t="shared" si="135"/>
        <v>0</v>
      </c>
      <c r="D402" s="204"/>
      <c r="E402" s="204"/>
      <c r="F402" s="207"/>
      <c r="G402" s="206"/>
      <c r="H402" s="207"/>
      <c r="I402" s="208" t="s">
        <v>125</v>
      </c>
      <c r="J402" s="208" t="s">
        <v>126</v>
      </c>
      <c r="K402" s="287"/>
      <c r="L402" s="288"/>
      <c r="M402" s="289"/>
      <c r="N402" s="257"/>
      <c r="O402" s="213"/>
      <c r="P402" s="214"/>
      <c r="Q402" s="214"/>
      <c r="R402" s="214"/>
      <c r="S402" s="214"/>
      <c r="T402" s="214"/>
      <c r="U402" s="215">
        <f t="shared" si="136"/>
        <v>0</v>
      </c>
      <c r="V402" s="216" t="str">
        <f t="shared" si="137"/>
        <v/>
      </c>
      <c r="W402" s="217" t="str">
        <f t="shared" si="138"/>
        <v/>
      </c>
      <c r="X402" s="218" t="s">
        <v>20</v>
      </c>
      <c r="Y402" s="219" t="str">
        <f t="shared" si="139"/>
        <v>0 um/Dia</v>
      </c>
      <c r="Z402" s="220" t="str">
        <f t="shared" si="140"/>
        <v xml:space="preserve"> um / HH</v>
      </c>
      <c r="AA402" s="221" t="str">
        <f t="shared" si="141"/>
        <v/>
      </c>
      <c r="AB402" s="222" t="str">
        <f t="shared" si="142"/>
        <v>0 um /HH</v>
      </c>
      <c r="AC402" s="223">
        <f t="shared" si="143"/>
        <v>0</v>
      </c>
      <c r="AD402" s="224"/>
      <c r="AE402" s="225"/>
      <c r="AF402" s="226">
        <f t="shared" si="144"/>
        <v>0</v>
      </c>
      <c r="AG402" s="227">
        <f t="shared" si="145"/>
        <v>0</v>
      </c>
      <c r="AH402" s="228" t="s">
        <v>25</v>
      </c>
      <c r="AI402" s="229" t="str">
        <f t="shared" si="79"/>
        <v>Extremamente Complexa</v>
      </c>
      <c r="AJ402" s="230" t="str">
        <f t="shared" si="80"/>
        <v>Normal</v>
      </c>
      <c r="AK402" s="231">
        <f t="shared" si="146"/>
        <v>0</v>
      </c>
      <c r="AL402" s="232" t="str">
        <f t="shared" si="147"/>
        <v/>
      </c>
      <c r="AM402" s="233" t="str">
        <f t="shared" si="148"/>
        <v/>
      </c>
      <c r="AN402" s="233" t="str">
        <f t="shared" si="149"/>
        <v/>
      </c>
      <c r="AO402" s="234">
        <f t="shared" si="150"/>
        <v>0</v>
      </c>
      <c r="AP402" s="235">
        <f t="shared" si="165"/>
        <v>1</v>
      </c>
      <c r="AQ402" s="235">
        <f t="shared" si="165"/>
        <v>1</v>
      </c>
      <c r="AR402" s="235">
        <f t="shared" si="151"/>
        <v>1</v>
      </c>
      <c r="AS402" s="252">
        <f t="shared" si="152"/>
        <v>0</v>
      </c>
      <c r="AT402" s="238">
        <f t="shared" si="153"/>
        <v>0</v>
      </c>
      <c r="AU402" s="239">
        <f t="shared" si="154"/>
        <v>0</v>
      </c>
      <c r="AV402" s="239">
        <f t="shared" si="155"/>
        <v>0</v>
      </c>
      <c r="AW402" s="239">
        <f t="shared" si="156"/>
        <v>0.05</v>
      </c>
      <c r="AX402" s="240">
        <f t="shared" si="157"/>
        <v>0</v>
      </c>
      <c r="AY402" s="241" t="str">
        <f t="shared" si="158"/>
        <v/>
      </c>
      <c r="AZ402" s="242" t="str">
        <f>IFERROR(VLOOKUP(M402,'[1]Base Brasil Obras'!$C$2:$F$485,4,0),"")</f>
        <v/>
      </c>
      <c r="BA402" s="243">
        <f t="shared" si="159"/>
        <v>0</v>
      </c>
      <c r="BB402" s="244">
        <f t="shared" si="160"/>
        <v>0</v>
      </c>
      <c r="BC402" s="244">
        <f t="shared" si="161"/>
        <v>0.05</v>
      </c>
      <c r="BD402" s="245">
        <f t="shared" si="162"/>
        <v>0.95</v>
      </c>
      <c r="BE402" s="246">
        <f t="shared" si="163"/>
        <v>0</v>
      </c>
      <c r="BF402" s="247">
        <v>0</v>
      </c>
      <c r="BG402" s="248">
        <f t="shared" si="164"/>
        <v>1</v>
      </c>
      <c r="BH402" s="198"/>
      <c r="BI402" s="198"/>
      <c r="BJ402" s="199"/>
      <c r="BK402" s="200"/>
      <c r="BL402" s="200"/>
      <c r="BM402" s="200"/>
      <c r="BN402" s="200"/>
      <c r="BO402" s="10"/>
    </row>
    <row r="403" spans="1:67" ht="18" x14ac:dyDescent="0.25">
      <c r="A403" s="201">
        <v>295</v>
      </c>
      <c r="B403" s="286"/>
      <c r="C403" s="203">
        <f t="shared" si="135"/>
        <v>0</v>
      </c>
      <c r="D403" s="204"/>
      <c r="E403" s="204"/>
      <c r="F403" s="207"/>
      <c r="G403" s="206"/>
      <c r="H403" s="207"/>
      <c r="I403" s="208" t="s">
        <v>125</v>
      </c>
      <c r="J403" s="208" t="s">
        <v>126</v>
      </c>
      <c r="K403" s="287"/>
      <c r="L403" s="288"/>
      <c r="M403" s="289"/>
      <c r="N403" s="257"/>
      <c r="O403" s="213"/>
      <c r="P403" s="214"/>
      <c r="Q403" s="214"/>
      <c r="R403" s="214"/>
      <c r="S403" s="214"/>
      <c r="T403" s="214"/>
      <c r="U403" s="215">
        <f t="shared" si="136"/>
        <v>0</v>
      </c>
      <c r="V403" s="216" t="str">
        <f t="shared" si="137"/>
        <v/>
      </c>
      <c r="W403" s="217" t="str">
        <f t="shared" si="138"/>
        <v/>
      </c>
      <c r="X403" s="218" t="s">
        <v>20</v>
      </c>
      <c r="Y403" s="219" t="str">
        <f t="shared" si="139"/>
        <v>0 um/Dia</v>
      </c>
      <c r="Z403" s="220" t="str">
        <f t="shared" si="140"/>
        <v xml:space="preserve"> um / HH</v>
      </c>
      <c r="AA403" s="221" t="str">
        <f t="shared" si="141"/>
        <v/>
      </c>
      <c r="AB403" s="222" t="str">
        <f t="shared" si="142"/>
        <v>0 um /HH</v>
      </c>
      <c r="AC403" s="223">
        <f t="shared" si="143"/>
        <v>0</v>
      </c>
      <c r="AD403" s="224"/>
      <c r="AE403" s="225"/>
      <c r="AF403" s="226">
        <f t="shared" si="144"/>
        <v>0</v>
      </c>
      <c r="AG403" s="227">
        <f t="shared" si="145"/>
        <v>0</v>
      </c>
      <c r="AH403" s="228" t="s">
        <v>25</v>
      </c>
      <c r="AI403" s="229" t="str">
        <f t="shared" si="79"/>
        <v>Extremamente Complexa</v>
      </c>
      <c r="AJ403" s="230" t="str">
        <f t="shared" si="80"/>
        <v>Normal</v>
      </c>
      <c r="AK403" s="231">
        <f t="shared" si="146"/>
        <v>0</v>
      </c>
      <c r="AL403" s="232" t="str">
        <f t="shared" si="147"/>
        <v/>
      </c>
      <c r="AM403" s="233" t="str">
        <f t="shared" si="148"/>
        <v/>
      </c>
      <c r="AN403" s="233" t="str">
        <f t="shared" si="149"/>
        <v/>
      </c>
      <c r="AO403" s="234">
        <f t="shared" si="150"/>
        <v>0</v>
      </c>
      <c r="AP403" s="235">
        <f t="shared" si="165"/>
        <v>1</v>
      </c>
      <c r="AQ403" s="235">
        <f t="shared" si="165"/>
        <v>1</v>
      </c>
      <c r="AR403" s="236">
        <f t="shared" si="151"/>
        <v>1</v>
      </c>
      <c r="AS403" s="251">
        <f t="shared" si="152"/>
        <v>0</v>
      </c>
      <c r="AT403" s="238">
        <f t="shared" si="153"/>
        <v>0</v>
      </c>
      <c r="AU403" s="239">
        <f t="shared" si="154"/>
        <v>0</v>
      </c>
      <c r="AV403" s="239">
        <f t="shared" si="155"/>
        <v>0</v>
      </c>
      <c r="AW403" s="239">
        <f t="shared" si="156"/>
        <v>0.05</v>
      </c>
      <c r="AX403" s="240">
        <f t="shared" si="157"/>
        <v>0</v>
      </c>
      <c r="AY403" s="241" t="str">
        <f t="shared" si="158"/>
        <v/>
      </c>
      <c r="AZ403" s="242" t="str">
        <f>IFERROR(VLOOKUP(M403,'[1]Base Brasil Obras'!$C$2:$F$485,4,0),"")</f>
        <v/>
      </c>
      <c r="BA403" s="243">
        <f t="shared" si="159"/>
        <v>0</v>
      </c>
      <c r="BB403" s="244">
        <f t="shared" si="160"/>
        <v>0</v>
      </c>
      <c r="BC403" s="244">
        <f t="shared" si="161"/>
        <v>0.05</v>
      </c>
      <c r="BD403" s="245">
        <f t="shared" si="162"/>
        <v>0.95</v>
      </c>
      <c r="BE403" s="246">
        <f t="shared" si="163"/>
        <v>0</v>
      </c>
      <c r="BF403" s="247">
        <v>0</v>
      </c>
      <c r="BG403" s="248">
        <f t="shared" si="164"/>
        <v>1</v>
      </c>
      <c r="BH403" s="198"/>
      <c r="BI403" s="198"/>
      <c r="BJ403" s="199"/>
      <c r="BK403" s="200"/>
      <c r="BL403" s="200"/>
      <c r="BM403" s="200"/>
      <c r="BN403" s="200"/>
      <c r="BO403" s="10"/>
    </row>
    <row r="404" spans="1:67" ht="18" x14ac:dyDescent="0.25">
      <c r="A404" s="201">
        <v>296</v>
      </c>
      <c r="B404" s="286"/>
      <c r="C404" s="203">
        <f t="shared" si="135"/>
        <v>0</v>
      </c>
      <c r="D404" s="204"/>
      <c r="E404" s="204"/>
      <c r="F404" s="207"/>
      <c r="G404" s="206"/>
      <c r="H404" s="207"/>
      <c r="I404" s="208" t="s">
        <v>125</v>
      </c>
      <c r="J404" s="208" t="s">
        <v>126</v>
      </c>
      <c r="K404" s="287"/>
      <c r="L404" s="288"/>
      <c r="M404" s="289"/>
      <c r="N404" s="257"/>
      <c r="O404" s="213"/>
      <c r="P404" s="214"/>
      <c r="Q404" s="214"/>
      <c r="R404" s="214"/>
      <c r="S404" s="214"/>
      <c r="T404" s="214"/>
      <c r="U404" s="215">
        <f t="shared" si="136"/>
        <v>0</v>
      </c>
      <c r="V404" s="216" t="str">
        <f t="shared" si="137"/>
        <v/>
      </c>
      <c r="W404" s="217" t="str">
        <f t="shared" si="138"/>
        <v/>
      </c>
      <c r="X404" s="218" t="s">
        <v>20</v>
      </c>
      <c r="Y404" s="219" t="str">
        <f t="shared" si="139"/>
        <v>0 um/Dia</v>
      </c>
      <c r="Z404" s="220" t="str">
        <f t="shared" si="140"/>
        <v xml:space="preserve"> um / HH</v>
      </c>
      <c r="AA404" s="221" t="str">
        <f t="shared" si="141"/>
        <v/>
      </c>
      <c r="AB404" s="222" t="str">
        <f t="shared" si="142"/>
        <v>0 um /HH</v>
      </c>
      <c r="AC404" s="223">
        <f t="shared" si="143"/>
        <v>0</v>
      </c>
      <c r="AD404" s="224"/>
      <c r="AE404" s="225"/>
      <c r="AF404" s="226">
        <f t="shared" si="144"/>
        <v>0</v>
      </c>
      <c r="AG404" s="227">
        <f t="shared" si="145"/>
        <v>0</v>
      </c>
      <c r="AH404" s="228" t="s">
        <v>25</v>
      </c>
      <c r="AI404" s="229" t="str">
        <f t="shared" si="79"/>
        <v>Extremamente Complexa</v>
      </c>
      <c r="AJ404" s="230" t="str">
        <f t="shared" si="80"/>
        <v>Normal</v>
      </c>
      <c r="AK404" s="231">
        <f t="shared" si="146"/>
        <v>0</v>
      </c>
      <c r="AL404" s="232" t="str">
        <f t="shared" si="147"/>
        <v/>
      </c>
      <c r="AM404" s="233" t="str">
        <f t="shared" si="148"/>
        <v/>
      </c>
      <c r="AN404" s="233" t="str">
        <f t="shared" si="149"/>
        <v/>
      </c>
      <c r="AO404" s="234">
        <f t="shared" si="150"/>
        <v>0</v>
      </c>
      <c r="AP404" s="235">
        <f t="shared" si="165"/>
        <v>1</v>
      </c>
      <c r="AQ404" s="235">
        <f t="shared" si="165"/>
        <v>1</v>
      </c>
      <c r="AR404" s="235">
        <f t="shared" si="151"/>
        <v>1</v>
      </c>
      <c r="AS404" s="252">
        <f t="shared" si="152"/>
        <v>0</v>
      </c>
      <c r="AT404" s="238">
        <f t="shared" si="153"/>
        <v>0</v>
      </c>
      <c r="AU404" s="239">
        <f t="shared" si="154"/>
        <v>0</v>
      </c>
      <c r="AV404" s="239">
        <f t="shared" si="155"/>
        <v>0</v>
      </c>
      <c r="AW404" s="239">
        <f t="shared" si="156"/>
        <v>0.05</v>
      </c>
      <c r="AX404" s="240">
        <f t="shared" si="157"/>
        <v>0</v>
      </c>
      <c r="AY404" s="241" t="str">
        <f t="shared" si="158"/>
        <v/>
      </c>
      <c r="AZ404" s="242" t="str">
        <f>IFERROR(VLOOKUP(M404,'[1]Base Brasil Obras'!$C$2:$F$485,4,0),"")</f>
        <v/>
      </c>
      <c r="BA404" s="243">
        <f t="shared" si="159"/>
        <v>0</v>
      </c>
      <c r="BB404" s="244">
        <f t="shared" si="160"/>
        <v>0</v>
      </c>
      <c r="BC404" s="244">
        <f t="shared" si="161"/>
        <v>0.05</v>
      </c>
      <c r="BD404" s="245">
        <f t="shared" si="162"/>
        <v>0.95</v>
      </c>
      <c r="BE404" s="246">
        <f t="shared" si="163"/>
        <v>0</v>
      </c>
      <c r="BF404" s="247">
        <v>0</v>
      </c>
      <c r="BG404" s="248">
        <f t="shared" si="164"/>
        <v>1</v>
      </c>
      <c r="BH404" s="198"/>
      <c r="BI404" s="198"/>
      <c r="BJ404" s="199"/>
      <c r="BK404" s="200"/>
      <c r="BL404" s="200"/>
      <c r="BM404" s="200"/>
      <c r="BN404" s="200"/>
      <c r="BO404" s="10"/>
    </row>
    <row r="405" spans="1:67" ht="18" x14ac:dyDescent="0.25">
      <c r="A405" s="201">
        <v>297</v>
      </c>
      <c r="B405" s="286"/>
      <c r="C405" s="203">
        <f t="shared" si="135"/>
        <v>0</v>
      </c>
      <c r="D405" s="204"/>
      <c r="E405" s="204"/>
      <c r="F405" s="207"/>
      <c r="G405" s="206"/>
      <c r="H405" s="207"/>
      <c r="I405" s="208" t="s">
        <v>125</v>
      </c>
      <c r="J405" s="208" t="s">
        <v>126</v>
      </c>
      <c r="K405" s="287"/>
      <c r="L405" s="288"/>
      <c r="M405" s="289"/>
      <c r="N405" s="257"/>
      <c r="O405" s="213"/>
      <c r="P405" s="214"/>
      <c r="Q405" s="214"/>
      <c r="R405" s="214"/>
      <c r="S405" s="214"/>
      <c r="T405" s="214"/>
      <c r="U405" s="215">
        <f t="shared" si="136"/>
        <v>0</v>
      </c>
      <c r="V405" s="216" t="str">
        <f t="shared" si="137"/>
        <v/>
      </c>
      <c r="W405" s="217" t="str">
        <f t="shared" si="138"/>
        <v/>
      </c>
      <c r="X405" s="218" t="s">
        <v>20</v>
      </c>
      <c r="Y405" s="219" t="str">
        <f t="shared" si="139"/>
        <v>0 um/Dia</v>
      </c>
      <c r="Z405" s="220" t="str">
        <f t="shared" si="140"/>
        <v xml:space="preserve"> um / HH</v>
      </c>
      <c r="AA405" s="221" t="str">
        <f t="shared" si="141"/>
        <v/>
      </c>
      <c r="AB405" s="222" t="str">
        <f t="shared" si="142"/>
        <v>0 um /HH</v>
      </c>
      <c r="AC405" s="223">
        <f t="shared" si="143"/>
        <v>0</v>
      </c>
      <c r="AD405" s="224"/>
      <c r="AE405" s="225"/>
      <c r="AF405" s="226">
        <f t="shared" si="144"/>
        <v>0</v>
      </c>
      <c r="AG405" s="227">
        <f t="shared" si="145"/>
        <v>0</v>
      </c>
      <c r="AH405" s="228" t="s">
        <v>25</v>
      </c>
      <c r="AI405" s="229" t="str">
        <f t="shared" si="79"/>
        <v>Extremamente Complexa</v>
      </c>
      <c r="AJ405" s="230" t="str">
        <f t="shared" si="80"/>
        <v>Normal</v>
      </c>
      <c r="AK405" s="231">
        <f t="shared" si="146"/>
        <v>0</v>
      </c>
      <c r="AL405" s="232" t="str">
        <f t="shared" si="147"/>
        <v/>
      </c>
      <c r="AM405" s="233" t="str">
        <f t="shared" si="148"/>
        <v/>
      </c>
      <c r="AN405" s="233" t="str">
        <f t="shared" si="149"/>
        <v/>
      </c>
      <c r="AO405" s="234">
        <f t="shared" si="150"/>
        <v>0</v>
      </c>
      <c r="AP405" s="235">
        <f t="shared" si="165"/>
        <v>1</v>
      </c>
      <c r="AQ405" s="235">
        <f t="shared" si="165"/>
        <v>1</v>
      </c>
      <c r="AR405" s="236">
        <f t="shared" si="151"/>
        <v>1</v>
      </c>
      <c r="AS405" s="251">
        <f t="shared" si="152"/>
        <v>0</v>
      </c>
      <c r="AT405" s="238">
        <f t="shared" si="153"/>
        <v>0</v>
      </c>
      <c r="AU405" s="239">
        <f t="shared" si="154"/>
        <v>0</v>
      </c>
      <c r="AV405" s="239">
        <f t="shared" si="155"/>
        <v>0</v>
      </c>
      <c r="AW405" s="239">
        <f t="shared" si="156"/>
        <v>0.05</v>
      </c>
      <c r="AX405" s="240">
        <f t="shared" si="157"/>
        <v>0</v>
      </c>
      <c r="AY405" s="241" t="str">
        <f t="shared" si="158"/>
        <v/>
      </c>
      <c r="AZ405" s="242" t="str">
        <f>IFERROR(VLOOKUP(M405,'[1]Base Brasil Obras'!$C$2:$F$485,4,0),"")</f>
        <v/>
      </c>
      <c r="BA405" s="243">
        <f t="shared" si="159"/>
        <v>0</v>
      </c>
      <c r="BB405" s="244">
        <f t="shared" si="160"/>
        <v>0</v>
      </c>
      <c r="BC405" s="244">
        <f t="shared" si="161"/>
        <v>0.05</v>
      </c>
      <c r="BD405" s="245">
        <f t="shared" si="162"/>
        <v>0.95</v>
      </c>
      <c r="BE405" s="246">
        <f t="shared" si="163"/>
        <v>0</v>
      </c>
      <c r="BF405" s="247">
        <v>0</v>
      </c>
      <c r="BG405" s="248">
        <f t="shared" si="164"/>
        <v>1</v>
      </c>
      <c r="BH405" s="198"/>
      <c r="BI405" s="198"/>
      <c r="BJ405" s="199"/>
      <c r="BK405" s="200"/>
      <c r="BL405" s="200"/>
      <c r="BM405" s="200"/>
      <c r="BN405" s="200"/>
      <c r="BO405" s="10"/>
    </row>
    <row r="406" spans="1:67" ht="18" x14ac:dyDescent="0.25">
      <c r="A406" s="201">
        <v>298</v>
      </c>
      <c r="B406" s="286"/>
      <c r="C406" s="203">
        <f t="shared" si="135"/>
        <v>0</v>
      </c>
      <c r="D406" s="204"/>
      <c r="E406" s="204"/>
      <c r="F406" s="207"/>
      <c r="G406" s="206"/>
      <c r="H406" s="207"/>
      <c r="I406" s="208" t="s">
        <v>125</v>
      </c>
      <c r="J406" s="208" t="s">
        <v>126</v>
      </c>
      <c r="K406" s="287"/>
      <c r="L406" s="288"/>
      <c r="M406" s="289"/>
      <c r="N406" s="257"/>
      <c r="O406" s="213"/>
      <c r="P406" s="214"/>
      <c r="Q406" s="214"/>
      <c r="R406" s="214"/>
      <c r="S406" s="214"/>
      <c r="T406" s="214"/>
      <c r="U406" s="215">
        <f t="shared" si="136"/>
        <v>0</v>
      </c>
      <c r="V406" s="216" t="str">
        <f t="shared" si="137"/>
        <v/>
      </c>
      <c r="W406" s="217" t="str">
        <f t="shared" si="138"/>
        <v/>
      </c>
      <c r="X406" s="218" t="s">
        <v>20</v>
      </c>
      <c r="Y406" s="219" t="str">
        <f t="shared" si="139"/>
        <v>0 um/Dia</v>
      </c>
      <c r="Z406" s="220" t="str">
        <f t="shared" si="140"/>
        <v xml:space="preserve"> um / HH</v>
      </c>
      <c r="AA406" s="221" t="str">
        <f t="shared" si="141"/>
        <v/>
      </c>
      <c r="AB406" s="222" t="str">
        <f t="shared" si="142"/>
        <v>0 um /HH</v>
      </c>
      <c r="AC406" s="223">
        <f t="shared" si="143"/>
        <v>0</v>
      </c>
      <c r="AD406" s="224"/>
      <c r="AE406" s="225"/>
      <c r="AF406" s="226">
        <f t="shared" si="144"/>
        <v>0</v>
      </c>
      <c r="AG406" s="227">
        <f t="shared" si="145"/>
        <v>0</v>
      </c>
      <c r="AH406" s="228" t="s">
        <v>25</v>
      </c>
      <c r="AI406" s="229" t="str">
        <f t="shared" si="79"/>
        <v>Extremamente Complexa</v>
      </c>
      <c r="AJ406" s="230" t="str">
        <f t="shared" si="80"/>
        <v>Normal</v>
      </c>
      <c r="AK406" s="231">
        <f t="shared" si="146"/>
        <v>0</v>
      </c>
      <c r="AL406" s="232" t="str">
        <f t="shared" si="147"/>
        <v/>
      </c>
      <c r="AM406" s="233" t="str">
        <f t="shared" si="148"/>
        <v/>
      </c>
      <c r="AN406" s="233" t="str">
        <f t="shared" si="149"/>
        <v/>
      </c>
      <c r="AO406" s="234">
        <f t="shared" si="150"/>
        <v>0</v>
      </c>
      <c r="AP406" s="235">
        <f t="shared" si="165"/>
        <v>1</v>
      </c>
      <c r="AQ406" s="235">
        <f t="shared" si="165"/>
        <v>1</v>
      </c>
      <c r="AR406" s="235">
        <f t="shared" si="151"/>
        <v>1</v>
      </c>
      <c r="AS406" s="252">
        <f t="shared" si="152"/>
        <v>0</v>
      </c>
      <c r="AT406" s="238">
        <f t="shared" si="153"/>
        <v>0</v>
      </c>
      <c r="AU406" s="239">
        <f t="shared" si="154"/>
        <v>0</v>
      </c>
      <c r="AV406" s="239">
        <f t="shared" si="155"/>
        <v>0</v>
      </c>
      <c r="AW406" s="239">
        <f t="shared" si="156"/>
        <v>0.05</v>
      </c>
      <c r="AX406" s="240">
        <f t="shared" si="157"/>
        <v>0</v>
      </c>
      <c r="AY406" s="241" t="str">
        <f t="shared" si="158"/>
        <v/>
      </c>
      <c r="AZ406" s="242" t="str">
        <f>IFERROR(VLOOKUP(M406,'[1]Base Brasil Obras'!$C$2:$F$485,4,0),"")</f>
        <v/>
      </c>
      <c r="BA406" s="243">
        <f t="shared" si="159"/>
        <v>0</v>
      </c>
      <c r="BB406" s="244">
        <f t="shared" si="160"/>
        <v>0</v>
      </c>
      <c r="BC406" s="244">
        <f t="shared" si="161"/>
        <v>0.05</v>
      </c>
      <c r="BD406" s="245">
        <f t="shared" si="162"/>
        <v>0.95</v>
      </c>
      <c r="BE406" s="246">
        <f t="shared" si="163"/>
        <v>0</v>
      </c>
      <c r="BF406" s="247">
        <v>0</v>
      </c>
      <c r="BG406" s="248">
        <f t="shared" si="164"/>
        <v>1</v>
      </c>
      <c r="BH406" s="198"/>
      <c r="BI406" s="198"/>
      <c r="BJ406" s="199"/>
      <c r="BK406" s="200"/>
      <c r="BL406" s="200"/>
      <c r="BM406" s="200"/>
      <c r="BN406" s="200"/>
      <c r="BO406" s="10"/>
    </row>
    <row r="407" spans="1:67" ht="18" x14ac:dyDescent="0.25">
      <c r="A407" s="201">
        <v>299</v>
      </c>
      <c r="B407" s="286"/>
      <c r="C407" s="203">
        <f t="shared" si="135"/>
        <v>0</v>
      </c>
      <c r="D407" s="204"/>
      <c r="E407" s="204"/>
      <c r="F407" s="207"/>
      <c r="G407" s="206"/>
      <c r="H407" s="207"/>
      <c r="I407" s="208" t="s">
        <v>125</v>
      </c>
      <c r="J407" s="208" t="s">
        <v>126</v>
      </c>
      <c r="K407" s="287"/>
      <c r="L407" s="288"/>
      <c r="M407" s="289"/>
      <c r="N407" s="257"/>
      <c r="O407" s="213"/>
      <c r="P407" s="214"/>
      <c r="Q407" s="214"/>
      <c r="R407" s="214"/>
      <c r="S407" s="214"/>
      <c r="T407" s="214"/>
      <c r="U407" s="215">
        <f t="shared" si="136"/>
        <v>0</v>
      </c>
      <c r="V407" s="216" t="str">
        <f t="shared" si="137"/>
        <v/>
      </c>
      <c r="W407" s="217" t="str">
        <f t="shared" si="138"/>
        <v/>
      </c>
      <c r="X407" s="218" t="s">
        <v>20</v>
      </c>
      <c r="Y407" s="219" t="str">
        <f t="shared" si="139"/>
        <v>0 um/Dia</v>
      </c>
      <c r="Z407" s="220" t="str">
        <f t="shared" si="140"/>
        <v xml:space="preserve"> um / HH</v>
      </c>
      <c r="AA407" s="221" t="str">
        <f t="shared" si="141"/>
        <v/>
      </c>
      <c r="AB407" s="222" t="str">
        <f t="shared" si="142"/>
        <v>0 um /HH</v>
      </c>
      <c r="AC407" s="223">
        <f t="shared" si="143"/>
        <v>0</v>
      </c>
      <c r="AD407" s="224"/>
      <c r="AE407" s="225"/>
      <c r="AF407" s="226">
        <f t="shared" si="144"/>
        <v>0</v>
      </c>
      <c r="AG407" s="227">
        <f t="shared" si="145"/>
        <v>0</v>
      </c>
      <c r="AH407" s="228" t="s">
        <v>25</v>
      </c>
      <c r="AI407" s="229" t="str">
        <f t="shared" si="79"/>
        <v>Extremamente Complexa</v>
      </c>
      <c r="AJ407" s="230" t="str">
        <f t="shared" si="80"/>
        <v>Normal</v>
      </c>
      <c r="AK407" s="231">
        <f t="shared" si="146"/>
        <v>0</v>
      </c>
      <c r="AL407" s="232" t="str">
        <f t="shared" si="147"/>
        <v/>
      </c>
      <c r="AM407" s="233" t="str">
        <f t="shared" si="148"/>
        <v/>
      </c>
      <c r="AN407" s="233" t="str">
        <f t="shared" si="149"/>
        <v/>
      </c>
      <c r="AO407" s="234">
        <f t="shared" si="150"/>
        <v>0</v>
      </c>
      <c r="AP407" s="235">
        <f t="shared" si="165"/>
        <v>1</v>
      </c>
      <c r="AQ407" s="235">
        <f t="shared" si="165"/>
        <v>1</v>
      </c>
      <c r="AR407" s="236">
        <f t="shared" si="151"/>
        <v>1</v>
      </c>
      <c r="AS407" s="251">
        <f t="shared" si="152"/>
        <v>0</v>
      </c>
      <c r="AT407" s="238">
        <f t="shared" si="153"/>
        <v>0</v>
      </c>
      <c r="AU407" s="239">
        <f t="shared" si="154"/>
        <v>0</v>
      </c>
      <c r="AV407" s="239">
        <f t="shared" si="155"/>
        <v>0</v>
      </c>
      <c r="AW407" s="239">
        <f t="shared" si="156"/>
        <v>0.05</v>
      </c>
      <c r="AX407" s="240">
        <f t="shared" si="157"/>
        <v>0</v>
      </c>
      <c r="AY407" s="241" t="str">
        <f t="shared" si="158"/>
        <v/>
      </c>
      <c r="AZ407" s="242" t="str">
        <f>IFERROR(VLOOKUP(M407,'[1]Base Brasil Obras'!$C$2:$F$485,4,0),"")</f>
        <v/>
      </c>
      <c r="BA407" s="243">
        <f t="shared" si="159"/>
        <v>0</v>
      </c>
      <c r="BB407" s="244">
        <f t="shared" si="160"/>
        <v>0</v>
      </c>
      <c r="BC407" s="244">
        <f t="shared" si="161"/>
        <v>0.05</v>
      </c>
      <c r="BD407" s="245">
        <f t="shared" si="162"/>
        <v>0.95</v>
      </c>
      <c r="BE407" s="246">
        <f t="shared" si="163"/>
        <v>0</v>
      </c>
      <c r="BF407" s="247">
        <v>0</v>
      </c>
      <c r="BG407" s="248">
        <f t="shared" si="164"/>
        <v>1</v>
      </c>
      <c r="BH407" s="198"/>
      <c r="BI407" s="198"/>
      <c r="BJ407" s="199"/>
      <c r="BK407" s="200"/>
      <c r="BL407" s="200"/>
      <c r="BM407" s="200"/>
      <c r="BN407" s="200"/>
      <c r="BO407" s="10"/>
    </row>
    <row r="408" spans="1:67" ht="18" x14ac:dyDescent="0.25">
      <c r="A408" s="201">
        <v>300</v>
      </c>
      <c r="B408" s="286"/>
      <c r="C408" s="203">
        <f t="shared" si="135"/>
        <v>0</v>
      </c>
      <c r="D408" s="204"/>
      <c r="E408" s="204"/>
      <c r="F408" s="207"/>
      <c r="G408" s="206"/>
      <c r="H408" s="207"/>
      <c r="I408" s="208" t="s">
        <v>125</v>
      </c>
      <c r="J408" s="208" t="s">
        <v>126</v>
      </c>
      <c r="K408" s="287"/>
      <c r="L408" s="288"/>
      <c r="M408" s="289"/>
      <c r="N408" s="257"/>
      <c r="O408" s="213"/>
      <c r="P408" s="214"/>
      <c r="Q408" s="214"/>
      <c r="R408" s="214"/>
      <c r="S408" s="214"/>
      <c r="T408" s="214"/>
      <c r="U408" s="215">
        <f t="shared" si="136"/>
        <v>0</v>
      </c>
      <c r="V408" s="216" t="str">
        <f t="shared" si="137"/>
        <v/>
      </c>
      <c r="W408" s="217" t="str">
        <f t="shared" si="138"/>
        <v/>
      </c>
      <c r="X408" s="218" t="s">
        <v>20</v>
      </c>
      <c r="Y408" s="219" t="str">
        <f t="shared" si="139"/>
        <v>0 um/Dia</v>
      </c>
      <c r="Z408" s="220" t="str">
        <f t="shared" si="140"/>
        <v xml:space="preserve"> um / HH</v>
      </c>
      <c r="AA408" s="221" t="str">
        <f t="shared" si="141"/>
        <v/>
      </c>
      <c r="AB408" s="222" t="str">
        <f t="shared" si="142"/>
        <v>0 um /HH</v>
      </c>
      <c r="AC408" s="223">
        <f t="shared" si="143"/>
        <v>0</v>
      </c>
      <c r="AD408" s="224"/>
      <c r="AE408" s="225"/>
      <c r="AF408" s="226">
        <f t="shared" si="144"/>
        <v>0</v>
      </c>
      <c r="AG408" s="227">
        <f t="shared" si="145"/>
        <v>0</v>
      </c>
      <c r="AH408" s="228" t="s">
        <v>25</v>
      </c>
      <c r="AI408" s="229" t="str">
        <f t="shared" si="79"/>
        <v>Extremamente Complexa</v>
      </c>
      <c r="AJ408" s="230" t="str">
        <f t="shared" si="80"/>
        <v>Normal</v>
      </c>
      <c r="AK408" s="231">
        <f t="shared" si="146"/>
        <v>0</v>
      </c>
      <c r="AL408" s="232" t="str">
        <f t="shared" si="147"/>
        <v/>
      </c>
      <c r="AM408" s="233" t="str">
        <f t="shared" si="148"/>
        <v/>
      </c>
      <c r="AN408" s="233" t="str">
        <f t="shared" si="149"/>
        <v/>
      </c>
      <c r="AO408" s="234">
        <f t="shared" si="150"/>
        <v>0</v>
      </c>
      <c r="AP408" s="235">
        <f t="shared" si="165"/>
        <v>1</v>
      </c>
      <c r="AQ408" s="235">
        <f t="shared" si="165"/>
        <v>1</v>
      </c>
      <c r="AR408" s="235">
        <f t="shared" si="151"/>
        <v>1</v>
      </c>
      <c r="AS408" s="252">
        <f t="shared" si="152"/>
        <v>0</v>
      </c>
      <c r="AT408" s="238">
        <f t="shared" si="153"/>
        <v>0</v>
      </c>
      <c r="AU408" s="239">
        <f t="shared" si="154"/>
        <v>0</v>
      </c>
      <c r="AV408" s="239">
        <f t="shared" si="155"/>
        <v>0</v>
      </c>
      <c r="AW408" s="239">
        <f t="shared" si="156"/>
        <v>0.05</v>
      </c>
      <c r="AX408" s="240">
        <f t="shared" si="157"/>
        <v>0</v>
      </c>
      <c r="AY408" s="241" t="str">
        <f t="shared" si="158"/>
        <v/>
      </c>
      <c r="AZ408" s="242" t="str">
        <f>IFERROR(VLOOKUP(M408,'[1]Base Brasil Obras'!$C$2:$F$485,4,0),"")</f>
        <v/>
      </c>
      <c r="BA408" s="243">
        <f t="shared" si="159"/>
        <v>0</v>
      </c>
      <c r="BB408" s="244">
        <f t="shared" si="160"/>
        <v>0</v>
      </c>
      <c r="BC408" s="244">
        <f t="shared" si="161"/>
        <v>0.05</v>
      </c>
      <c r="BD408" s="245">
        <f t="shared" si="162"/>
        <v>0.95</v>
      </c>
      <c r="BE408" s="246">
        <f t="shared" si="163"/>
        <v>0</v>
      </c>
      <c r="BF408" s="247">
        <v>0</v>
      </c>
      <c r="BG408" s="248">
        <f t="shared" si="164"/>
        <v>1</v>
      </c>
      <c r="BH408" s="198"/>
      <c r="BI408" s="198"/>
      <c r="BJ408" s="199"/>
      <c r="BK408" s="200"/>
      <c r="BL408" s="200"/>
      <c r="BM408" s="200"/>
      <c r="BN408" s="200"/>
      <c r="BO408" s="10"/>
    </row>
    <row r="409" spans="1:67" ht="18" x14ac:dyDescent="0.25">
      <c r="A409" s="201">
        <v>301</v>
      </c>
      <c r="B409" s="286"/>
      <c r="C409" s="203">
        <f t="shared" si="135"/>
        <v>0</v>
      </c>
      <c r="D409" s="204"/>
      <c r="E409" s="204"/>
      <c r="F409" s="207"/>
      <c r="G409" s="206"/>
      <c r="H409" s="207"/>
      <c r="I409" s="208" t="s">
        <v>125</v>
      </c>
      <c r="J409" s="208" t="s">
        <v>126</v>
      </c>
      <c r="K409" s="287"/>
      <c r="L409" s="288"/>
      <c r="M409" s="289"/>
      <c r="N409" s="257"/>
      <c r="O409" s="213"/>
      <c r="P409" s="214"/>
      <c r="Q409" s="214"/>
      <c r="R409" s="214"/>
      <c r="S409" s="214"/>
      <c r="T409" s="214"/>
      <c r="U409" s="215">
        <f t="shared" si="136"/>
        <v>0</v>
      </c>
      <c r="V409" s="216" t="str">
        <f t="shared" si="137"/>
        <v/>
      </c>
      <c r="W409" s="217" t="str">
        <f t="shared" si="138"/>
        <v/>
      </c>
      <c r="X409" s="218" t="s">
        <v>20</v>
      </c>
      <c r="Y409" s="219" t="str">
        <f t="shared" si="139"/>
        <v>0 um/Dia</v>
      </c>
      <c r="Z409" s="220" t="str">
        <f t="shared" si="140"/>
        <v xml:space="preserve"> um / HH</v>
      </c>
      <c r="AA409" s="221" t="str">
        <f t="shared" si="141"/>
        <v/>
      </c>
      <c r="AB409" s="222" t="str">
        <f t="shared" si="142"/>
        <v>0 um /HH</v>
      </c>
      <c r="AC409" s="223">
        <f t="shared" si="143"/>
        <v>0</v>
      </c>
      <c r="AD409" s="224"/>
      <c r="AE409" s="225"/>
      <c r="AF409" s="226">
        <f t="shared" si="144"/>
        <v>0</v>
      </c>
      <c r="AG409" s="227">
        <f t="shared" si="145"/>
        <v>0</v>
      </c>
      <c r="AH409" s="228" t="s">
        <v>25</v>
      </c>
      <c r="AI409" s="229" t="str">
        <f t="shared" si="79"/>
        <v>Extremamente Complexa</v>
      </c>
      <c r="AJ409" s="230" t="str">
        <f t="shared" si="80"/>
        <v>Normal</v>
      </c>
      <c r="AK409" s="231">
        <f t="shared" si="146"/>
        <v>0</v>
      </c>
      <c r="AL409" s="232" t="str">
        <f t="shared" si="147"/>
        <v/>
      </c>
      <c r="AM409" s="233" t="str">
        <f t="shared" si="148"/>
        <v/>
      </c>
      <c r="AN409" s="233" t="str">
        <f t="shared" si="149"/>
        <v/>
      </c>
      <c r="AO409" s="234">
        <f t="shared" si="150"/>
        <v>0</v>
      </c>
      <c r="AP409" s="235">
        <f t="shared" si="165"/>
        <v>1</v>
      </c>
      <c r="AQ409" s="235">
        <f t="shared" si="165"/>
        <v>1</v>
      </c>
      <c r="AR409" s="236">
        <f t="shared" si="151"/>
        <v>1</v>
      </c>
      <c r="AS409" s="251">
        <f t="shared" si="152"/>
        <v>0</v>
      </c>
      <c r="AT409" s="238">
        <f t="shared" si="153"/>
        <v>0</v>
      </c>
      <c r="AU409" s="239">
        <f t="shared" si="154"/>
        <v>0</v>
      </c>
      <c r="AV409" s="239">
        <f t="shared" si="155"/>
        <v>0</v>
      </c>
      <c r="AW409" s="239">
        <f t="shared" si="156"/>
        <v>0.05</v>
      </c>
      <c r="AX409" s="240">
        <f t="shared" si="157"/>
        <v>0</v>
      </c>
      <c r="AY409" s="241" t="str">
        <f t="shared" si="158"/>
        <v/>
      </c>
      <c r="AZ409" s="242" t="str">
        <f>IFERROR(VLOOKUP(M409,'[1]Base Brasil Obras'!$C$2:$F$485,4,0),"")</f>
        <v/>
      </c>
      <c r="BA409" s="243">
        <f t="shared" si="159"/>
        <v>0</v>
      </c>
      <c r="BB409" s="244">
        <f t="shared" si="160"/>
        <v>0</v>
      </c>
      <c r="BC409" s="244">
        <f t="shared" si="161"/>
        <v>0.05</v>
      </c>
      <c r="BD409" s="245">
        <f t="shared" si="162"/>
        <v>0.95</v>
      </c>
      <c r="BE409" s="246">
        <f t="shared" si="163"/>
        <v>0</v>
      </c>
      <c r="BF409" s="247">
        <v>0</v>
      </c>
      <c r="BG409" s="248">
        <f t="shared" si="164"/>
        <v>1</v>
      </c>
      <c r="BH409" s="198"/>
      <c r="BI409" s="198"/>
      <c r="BJ409" s="199"/>
      <c r="BK409" s="200"/>
      <c r="BL409" s="200"/>
      <c r="BM409" s="200"/>
      <c r="BN409" s="200"/>
      <c r="BO409" s="10"/>
    </row>
    <row r="410" spans="1:67" ht="18" x14ac:dyDescent="0.25">
      <c r="A410" s="201">
        <v>302</v>
      </c>
      <c r="B410" s="286"/>
      <c r="C410" s="203">
        <f t="shared" si="135"/>
        <v>0</v>
      </c>
      <c r="D410" s="204"/>
      <c r="E410" s="204"/>
      <c r="F410" s="207"/>
      <c r="G410" s="206"/>
      <c r="H410" s="207"/>
      <c r="I410" s="208" t="s">
        <v>125</v>
      </c>
      <c r="J410" s="208" t="s">
        <v>126</v>
      </c>
      <c r="K410" s="287"/>
      <c r="L410" s="288"/>
      <c r="M410" s="289"/>
      <c r="N410" s="257"/>
      <c r="O410" s="213"/>
      <c r="P410" s="214"/>
      <c r="Q410" s="214"/>
      <c r="R410" s="214"/>
      <c r="S410" s="214"/>
      <c r="T410" s="214"/>
      <c r="U410" s="215">
        <f t="shared" si="136"/>
        <v>0</v>
      </c>
      <c r="V410" s="216" t="str">
        <f t="shared" si="137"/>
        <v/>
      </c>
      <c r="W410" s="217" t="str">
        <f t="shared" si="138"/>
        <v/>
      </c>
      <c r="X410" s="218" t="s">
        <v>20</v>
      </c>
      <c r="Y410" s="219" t="str">
        <f t="shared" si="139"/>
        <v>0 um/Dia</v>
      </c>
      <c r="Z410" s="220" t="str">
        <f t="shared" si="140"/>
        <v xml:space="preserve"> um / HH</v>
      </c>
      <c r="AA410" s="221" t="str">
        <f t="shared" si="141"/>
        <v/>
      </c>
      <c r="AB410" s="222" t="str">
        <f t="shared" si="142"/>
        <v>0 um /HH</v>
      </c>
      <c r="AC410" s="223">
        <f t="shared" si="143"/>
        <v>0</v>
      </c>
      <c r="AD410" s="224"/>
      <c r="AE410" s="225"/>
      <c r="AF410" s="226">
        <f t="shared" si="144"/>
        <v>0</v>
      </c>
      <c r="AG410" s="227">
        <f t="shared" si="145"/>
        <v>0</v>
      </c>
      <c r="AH410" s="228" t="s">
        <v>25</v>
      </c>
      <c r="AI410" s="229" t="str">
        <f t="shared" si="79"/>
        <v>Extremamente Complexa</v>
      </c>
      <c r="AJ410" s="230" t="str">
        <f t="shared" si="80"/>
        <v>Normal</v>
      </c>
      <c r="AK410" s="231">
        <f t="shared" si="146"/>
        <v>0</v>
      </c>
      <c r="AL410" s="232" t="str">
        <f t="shared" si="147"/>
        <v/>
      </c>
      <c r="AM410" s="233" t="str">
        <f t="shared" si="148"/>
        <v/>
      </c>
      <c r="AN410" s="233" t="str">
        <f t="shared" si="149"/>
        <v/>
      </c>
      <c r="AO410" s="234">
        <f t="shared" si="150"/>
        <v>0</v>
      </c>
      <c r="AP410" s="235">
        <f t="shared" si="165"/>
        <v>1</v>
      </c>
      <c r="AQ410" s="235">
        <f t="shared" si="165"/>
        <v>1</v>
      </c>
      <c r="AR410" s="235">
        <f t="shared" si="151"/>
        <v>1</v>
      </c>
      <c r="AS410" s="252">
        <f t="shared" si="152"/>
        <v>0</v>
      </c>
      <c r="AT410" s="238">
        <f t="shared" si="153"/>
        <v>0</v>
      </c>
      <c r="AU410" s="239">
        <f t="shared" si="154"/>
        <v>0</v>
      </c>
      <c r="AV410" s="239">
        <f t="shared" si="155"/>
        <v>0</v>
      </c>
      <c r="AW410" s="239">
        <f t="shared" si="156"/>
        <v>0.05</v>
      </c>
      <c r="AX410" s="240">
        <f t="shared" si="157"/>
        <v>0</v>
      </c>
      <c r="AY410" s="241" t="str">
        <f t="shared" si="158"/>
        <v/>
      </c>
      <c r="AZ410" s="242" t="str">
        <f>IFERROR(VLOOKUP(M410,'[1]Base Brasil Obras'!$C$2:$F$485,4,0),"")</f>
        <v/>
      </c>
      <c r="BA410" s="243">
        <f t="shared" si="159"/>
        <v>0</v>
      </c>
      <c r="BB410" s="244">
        <f t="shared" si="160"/>
        <v>0</v>
      </c>
      <c r="BC410" s="244">
        <f t="shared" si="161"/>
        <v>0.05</v>
      </c>
      <c r="BD410" s="245">
        <f t="shared" si="162"/>
        <v>0.95</v>
      </c>
      <c r="BE410" s="246">
        <f t="shared" si="163"/>
        <v>0</v>
      </c>
      <c r="BF410" s="247">
        <v>0</v>
      </c>
      <c r="BG410" s="248">
        <f t="shared" si="164"/>
        <v>1</v>
      </c>
      <c r="BH410" s="198"/>
      <c r="BI410" s="198"/>
      <c r="BJ410" s="199"/>
      <c r="BK410" s="200"/>
      <c r="BL410" s="200"/>
      <c r="BM410" s="200"/>
      <c r="BN410" s="200"/>
      <c r="BO410" s="10"/>
    </row>
    <row r="411" spans="1:67" ht="18" customHeight="1" x14ac:dyDescent="0.25">
      <c r="A411" s="201">
        <v>303</v>
      </c>
      <c r="B411" s="286"/>
      <c r="C411" s="203">
        <f t="shared" si="135"/>
        <v>0</v>
      </c>
      <c r="D411" s="204"/>
      <c r="E411" s="204"/>
      <c r="F411" s="207"/>
      <c r="G411" s="206"/>
      <c r="H411" s="207"/>
      <c r="I411" s="208" t="s">
        <v>125</v>
      </c>
      <c r="J411" s="208" t="s">
        <v>126</v>
      </c>
      <c r="K411" s="287"/>
      <c r="L411" s="288"/>
      <c r="M411" s="289"/>
      <c r="N411" s="257"/>
      <c r="O411" s="213"/>
      <c r="P411" s="214"/>
      <c r="Q411" s="214"/>
      <c r="R411" s="214"/>
      <c r="S411" s="214"/>
      <c r="T411" s="214"/>
      <c r="U411" s="215">
        <f t="shared" si="136"/>
        <v>0</v>
      </c>
      <c r="V411" s="216" t="str">
        <f t="shared" si="137"/>
        <v/>
      </c>
      <c r="W411" s="217" t="str">
        <f t="shared" si="138"/>
        <v/>
      </c>
      <c r="X411" s="218" t="s">
        <v>20</v>
      </c>
      <c r="Y411" s="219" t="str">
        <f t="shared" si="139"/>
        <v>0 um/Dia</v>
      </c>
      <c r="Z411" s="220" t="str">
        <f t="shared" si="140"/>
        <v xml:space="preserve"> um / HH</v>
      </c>
      <c r="AA411" s="221" t="str">
        <f t="shared" si="141"/>
        <v/>
      </c>
      <c r="AB411" s="222" t="str">
        <f t="shared" si="142"/>
        <v>0 um /HH</v>
      </c>
      <c r="AC411" s="223">
        <f t="shared" si="143"/>
        <v>0</v>
      </c>
      <c r="AD411" s="224"/>
      <c r="AE411" s="225"/>
      <c r="AF411" s="226">
        <f t="shared" si="144"/>
        <v>0</v>
      </c>
      <c r="AG411" s="227">
        <f t="shared" si="145"/>
        <v>0</v>
      </c>
      <c r="AH411" s="228" t="s">
        <v>25</v>
      </c>
      <c r="AI411" s="229" t="str">
        <f t="shared" si="79"/>
        <v>Extremamente Complexa</v>
      </c>
      <c r="AJ411" s="230" t="str">
        <f t="shared" si="80"/>
        <v>Normal</v>
      </c>
      <c r="AK411" s="231">
        <f t="shared" si="146"/>
        <v>0</v>
      </c>
      <c r="AL411" s="232" t="str">
        <f t="shared" si="147"/>
        <v/>
      </c>
      <c r="AM411" s="233" t="str">
        <f t="shared" si="148"/>
        <v/>
      </c>
      <c r="AN411" s="233" t="str">
        <f t="shared" si="149"/>
        <v/>
      </c>
      <c r="AO411" s="234">
        <f t="shared" si="150"/>
        <v>0</v>
      </c>
      <c r="AP411" s="235">
        <f t="shared" si="165"/>
        <v>1</v>
      </c>
      <c r="AQ411" s="235">
        <f t="shared" si="165"/>
        <v>1</v>
      </c>
      <c r="AR411" s="236">
        <f t="shared" si="151"/>
        <v>1</v>
      </c>
      <c r="AS411" s="251">
        <f t="shared" si="152"/>
        <v>0</v>
      </c>
      <c r="AT411" s="238">
        <f t="shared" si="153"/>
        <v>0</v>
      </c>
      <c r="AU411" s="239">
        <f t="shared" si="154"/>
        <v>0</v>
      </c>
      <c r="AV411" s="239">
        <f t="shared" si="155"/>
        <v>0</v>
      </c>
      <c r="AW411" s="239">
        <f t="shared" si="156"/>
        <v>0.05</v>
      </c>
      <c r="AX411" s="240">
        <f t="shared" si="157"/>
        <v>0</v>
      </c>
      <c r="AY411" s="241" t="str">
        <f t="shared" si="158"/>
        <v/>
      </c>
      <c r="AZ411" s="242" t="str">
        <f>IFERROR(VLOOKUP(M411,'[1]Base Brasil Obras'!$C$2:$F$485,4,0),"")</f>
        <v/>
      </c>
      <c r="BA411" s="243">
        <f t="shared" si="159"/>
        <v>0</v>
      </c>
      <c r="BB411" s="244">
        <f t="shared" si="160"/>
        <v>0</v>
      </c>
      <c r="BC411" s="244">
        <f t="shared" si="161"/>
        <v>0.05</v>
      </c>
      <c r="BD411" s="245">
        <f t="shared" si="162"/>
        <v>0.95</v>
      </c>
      <c r="BE411" s="246">
        <f t="shared" si="163"/>
        <v>0</v>
      </c>
      <c r="BF411" s="247">
        <v>0</v>
      </c>
      <c r="BG411" s="248">
        <f t="shared" si="164"/>
        <v>1</v>
      </c>
      <c r="BH411" s="198"/>
      <c r="BI411" s="198"/>
      <c r="BJ411" s="199"/>
      <c r="BK411" s="200"/>
      <c r="BL411" s="200"/>
      <c r="BM411" s="200"/>
      <c r="BN411" s="200"/>
      <c r="BO411" s="10"/>
    </row>
    <row r="412" spans="1:67" ht="18" customHeight="1" x14ac:dyDescent="0.25">
      <c r="A412" s="201">
        <v>304</v>
      </c>
      <c r="B412" s="286"/>
      <c r="C412" s="203">
        <f t="shared" si="135"/>
        <v>0</v>
      </c>
      <c r="D412" s="204"/>
      <c r="E412" s="204"/>
      <c r="F412" s="207"/>
      <c r="G412" s="206"/>
      <c r="H412" s="207"/>
      <c r="I412" s="208" t="s">
        <v>125</v>
      </c>
      <c r="J412" s="208" t="s">
        <v>126</v>
      </c>
      <c r="K412" s="287"/>
      <c r="L412" s="288"/>
      <c r="M412" s="289"/>
      <c r="N412" s="257"/>
      <c r="O412" s="213"/>
      <c r="P412" s="214"/>
      <c r="Q412" s="214"/>
      <c r="R412" s="214"/>
      <c r="S412" s="214"/>
      <c r="T412" s="214"/>
      <c r="U412" s="215">
        <f t="shared" si="136"/>
        <v>0</v>
      </c>
      <c r="V412" s="216" t="str">
        <f t="shared" si="137"/>
        <v/>
      </c>
      <c r="W412" s="217" t="str">
        <f t="shared" si="138"/>
        <v/>
      </c>
      <c r="X412" s="218" t="s">
        <v>20</v>
      </c>
      <c r="Y412" s="219" t="str">
        <f t="shared" si="139"/>
        <v>0 um/Dia</v>
      </c>
      <c r="Z412" s="220" t="str">
        <f t="shared" si="140"/>
        <v xml:space="preserve"> um / HH</v>
      </c>
      <c r="AA412" s="221" t="str">
        <f t="shared" si="141"/>
        <v/>
      </c>
      <c r="AB412" s="222" t="str">
        <f t="shared" si="142"/>
        <v>0 um /HH</v>
      </c>
      <c r="AC412" s="223">
        <f t="shared" si="143"/>
        <v>0</v>
      </c>
      <c r="AD412" s="224"/>
      <c r="AE412" s="225"/>
      <c r="AF412" s="226">
        <f t="shared" si="144"/>
        <v>0</v>
      </c>
      <c r="AG412" s="227">
        <f t="shared" si="145"/>
        <v>0</v>
      </c>
      <c r="AH412" s="228" t="s">
        <v>25</v>
      </c>
      <c r="AI412" s="229" t="str">
        <f t="shared" si="79"/>
        <v>Extremamente Complexa</v>
      </c>
      <c r="AJ412" s="230" t="str">
        <f t="shared" si="80"/>
        <v>Normal</v>
      </c>
      <c r="AK412" s="231">
        <f t="shared" si="146"/>
        <v>0</v>
      </c>
      <c r="AL412" s="232" t="str">
        <f t="shared" si="147"/>
        <v/>
      </c>
      <c r="AM412" s="233" t="str">
        <f t="shared" si="148"/>
        <v/>
      </c>
      <c r="AN412" s="233" t="str">
        <f t="shared" si="149"/>
        <v/>
      </c>
      <c r="AO412" s="234">
        <f t="shared" si="150"/>
        <v>0</v>
      </c>
      <c r="AP412" s="235">
        <f t="shared" si="165"/>
        <v>1</v>
      </c>
      <c r="AQ412" s="235">
        <f t="shared" si="165"/>
        <v>1</v>
      </c>
      <c r="AR412" s="235">
        <f t="shared" si="151"/>
        <v>1</v>
      </c>
      <c r="AS412" s="252">
        <f t="shared" si="152"/>
        <v>0</v>
      </c>
      <c r="AT412" s="238">
        <f t="shared" si="153"/>
        <v>0</v>
      </c>
      <c r="AU412" s="239">
        <f t="shared" si="154"/>
        <v>0</v>
      </c>
      <c r="AV412" s="239">
        <f t="shared" si="155"/>
        <v>0</v>
      </c>
      <c r="AW412" s="239">
        <f t="shared" si="156"/>
        <v>0.05</v>
      </c>
      <c r="AX412" s="240">
        <f t="shared" si="157"/>
        <v>0</v>
      </c>
      <c r="AY412" s="241" t="str">
        <f t="shared" si="158"/>
        <v/>
      </c>
      <c r="AZ412" s="242" t="str">
        <f>IFERROR(VLOOKUP(M412,'[1]Base Brasil Obras'!$C$2:$F$485,4,0),"")</f>
        <v/>
      </c>
      <c r="BA412" s="243">
        <f t="shared" si="159"/>
        <v>0</v>
      </c>
      <c r="BB412" s="244">
        <f t="shared" si="160"/>
        <v>0</v>
      </c>
      <c r="BC412" s="244">
        <f t="shared" si="161"/>
        <v>0.05</v>
      </c>
      <c r="BD412" s="245">
        <f t="shared" si="162"/>
        <v>0.95</v>
      </c>
      <c r="BE412" s="246">
        <f t="shared" si="163"/>
        <v>0</v>
      </c>
      <c r="BF412" s="247">
        <v>0</v>
      </c>
      <c r="BG412" s="248">
        <f t="shared" si="164"/>
        <v>1</v>
      </c>
      <c r="BH412" s="198"/>
      <c r="BI412" s="198"/>
      <c r="BJ412" s="199"/>
      <c r="BK412" s="200"/>
      <c r="BL412" s="200"/>
      <c r="BM412" s="200"/>
      <c r="BN412" s="200"/>
      <c r="BO412" s="10"/>
    </row>
    <row r="413" spans="1:67" ht="18" customHeight="1" x14ac:dyDescent="0.25">
      <c r="A413" s="201">
        <v>305</v>
      </c>
      <c r="B413" s="286"/>
      <c r="C413" s="203">
        <f t="shared" si="135"/>
        <v>0</v>
      </c>
      <c r="D413" s="204"/>
      <c r="E413" s="204"/>
      <c r="F413" s="207"/>
      <c r="G413" s="206"/>
      <c r="H413" s="207"/>
      <c r="I413" s="208" t="s">
        <v>125</v>
      </c>
      <c r="J413" s="208" t="s">
        <v>126</v>
      </c>
      <c r="K413" s="287"/>
      <c r="L413" s="288"/>
      <c r="M413" s="289"/>
      <c r="N413" s="257"/>
      <c r="O413" s="213"/>
      <c r="P413" s="214"/>
      <c r="Q413" s="214"/>
      <c r="R413" s="214"/>
      <c r="S413" s="214"/>
      <c r="T413" s="214"/>
      <c r="U413" s="215">
        <f t="shared" si="136"/>
        <v>0</v>
      </c>
      <c r="V413" s="216" t="str">
        <f t="shared" si="137"/>
        <v/>
      </c>
      <c r="W413" s="217" t="str">
        <f t="shared" si="138"/>
        <v/>
      </c>
      <c r="X413" s="218" t="s">
        <v>20</v>
      </c>
      <c r="Y413" s="219" t="str">
        <f t="shared" si="139"/>
        <v>0 um/Dia</v>
      </c>
      <c r="Z413" s="220" t="str">
        <f t="shared" si="140"/>
        <v xml:space="preserve"> um / HH</v>
      </c>
      <c r="AA413" s="221" t="str">
        <f t="shared" si="141"/>
        <v/>
      </c>
      <c r="AB413" s="222" t="str">
        <f t="shared" si="142"/>
        <v>0 um /HH</v>
      </c>
      <c r="AC413" s="223">
        <f t="shared" si="143"/>
        <v>0</v>
      </c>
      <c r="AD413" s="224"/>
      <c r="AE413" s="225"/>
      <c r="AF413" s="226">
        <f t="shared" si="144"/>
        <v>0</v>
      </c>
      <c r="AG413" s="227">
        <f t="shared" si="145"/>
        <v>0</v>
      </c>
      <c r="AH413" s="228" t="s">
        <v>25</v>
      </c>
      <c r="AI413" s="229" t="str">
        <f t="shared" si="79"/>
        <v>Extremamente Complexa</v>
      </c>
      <c r="AJ413" s="230" t="str">
        <f t="shared" si="80"/>
        <v>Normal</v>
      </c>
      <c r="AK413" s="231">
        <f t="shared" si="146"/>
        <v>0</v>
      </c>
      <c r="AL413" s="232" t="str">
        <f t="shared" si="147"/>
        <v/>
      </c>
      <c r="AM413" s="233" t="str">
        <f t="shared" si="148"/>
        <v/>
      </c>
      <c r="AN413" s="233" t="str">
        <f t="shared" si="149"/>
        <v/>
      </c>
      <c r="AO413" s="234">
        <f t="shared" si="150"/>
        <v>0</v>
      </c>
      <c r="AP413" s="235">
        <f t="shared" ref="AP413:AQ444" si="166">IFERROR(VLOOKUP(I413,$J$1070:$K$1089,2,1),0)</f>
        <v>1</v>
      </c>
      <c r="AQ413" s="235">
        <f t="shared" si="166"/>
        <v>1</v>
      </c>
      <c r="AR413" s="236">
        <f t="shared" si="151"/>
        <v>1</v>
      </c>
      <c r="AS413" s="251">
        <f t="shared" si="152"/>
        <v>0</v>
      </c>
      <c r="AT413" s="238">
        <f t="shared" si="153"/>
        <v>0</v>
      </c>
      <c r="AU413" s="239">
        <f t="shared" si="154"/>
        <v>0</v>
      </c>
      <c r="AV413" s="239">
        <f t="shared" si="155"/>
        <v>0</v>
      </c>
      <c r="AW413" s="239">
        <f t="shared" si="156"/>
        <v>0.05</v>
      </c>
      <c r="AX413" s="240">
        <f t="shared" si="157"/>
        <v>0</v>
      </c>
      <c r="AY413" s="241" t="str">
        <f t="shared" si="158"/>
        <v/>
      </c>
      <c r="AZ413" s="242" t="str">
        <f>IFERROR(VLOOKUP(M413,'[1]Base Brasil Obras'!$C$2:$F$485,4,0),"")</f>
        <v/>
      </c>
      <c r="BA413" s="243">
        <f t="shared" si="159"/>
        <v>0</v>
      </c>
      <c r="BB413" s="244">
        <f t="shared" si="160"/>
        <v>0</v>
      </c>
      <c r="BC413" s="244">
        <f t="shared" si="161"/>
        <v>0.05</v>
      </c>
      <c r="BD413" s="245">
        <f t="shared" si="162"/>
        <v>0.95</v>
      </c>
      <c r="BE413" s="246">
        <f t="shared" si="163"/>
        <v>0</v>
      </c>
      <c r="BF413" s="247">
        <v>0</v>
      </c>
      <c r="BG413" s="248">
        <f t="shared" si="164"/>
        <v>1</v>
      </c>
      <c r="BH413" s="198"/>
      <c r="BI413" s="198"/>
      <c r="BJ413" s="199"/>
      <c r="BK413" s="200"/>
      <c r="BL413" s="200"/>
      <c r="BM413" s="200"/>
      <c r="BN413" s="200"/>
      <c r="BO413" s="10"/>
    </row>
    <row r="414" spans="1:67" ht="18" customHeight="1" x14ac:dyDescent="0.25">
      <c r="A414" s="201">
        <v>306</v>
      </c>
      <c r="B414" s="286"/>
      <c r="C414" s="203">
        <f t="shared" si="135"/>
        <v>0</v>
      </c>
      <c r="D414" s="204"/>
      <c r="E414" s="204"/>
      <c r="F414" s="207"/>
      <c r="G414" s="206"/>
      <c r="H414" s="207"/>
      <c r="I414" s="208" t="s">
        <v>125</v>
      </c>
      <c r="J414" s="208" t="s">
        <v>126</v>
      </c>
      <c r="K414" s="287"/>
      <c r="L414" s="288"/>
      <c r="M414" s="289"/>
      <c r="N414" s="257"/>
      <c r="O414" s="213"/>
      <c r="P414" s="214"/>
      <c r="Q414" s="214"/>
      <c r="R414" s="214"/>
      <c r="S414" s="214"/>
      <c r="T414" s="214"/>
      <c r="U414" s="215">
        <f t="shared" si="136"/>
        <v>0</v>
      </c>
      <c r="V414" s="216" t="str">
        <f t="shared" si="137"/>
        <v/>
      </c>
      <c r="W414" s="217" t="str">
        <f t="shared" si="138"/>
        <v/>
      </c>
      <c r="X414" s="218" t="s">
        <v>20</v>
      </c>
      <c r="Y414" s="219" t="str">
        <f t="shared" si="139"/>
        <v>0 um/Dia</v>
      </c>
      <c r="Z414" s="220" t="str">
        <f t="shared" si="140"/>
        <v xml:space="preserve"> um / HH</v>
      </c>
      <c r="AA414" s="221" t="str">
        <f t="shared" si="141"/>
        <v/>
      </c>
      <c r="AB414" s="222" t="str">
        <f t="shared" si="142"/>
        <v>0 um /HH</v>
      </c>
      <c r="AC414" s="223">
        <f t="shared" si="143"/>
        <v>0</v>
      </c>
      <c r="AD414" s="224"/>
      <c r="AE414" s="225"/>
      <c r="AF414" s="226">
        <f t="shared" si="144"/>
        <v>0</v>
      </c>
      <c r="AG414" s="227">
        <f t="shared" si="145"/>
        <v>0</v>
      </c>
      <c r="AH414" s="228" t="s">
        <v>25</v>
      </c>
      <c r="AI414" s="229" t="str">
        <f t="shared" si="79"/>
        <v>Extremamente Complexa</v>
      </c>
      <c r="AJ414" s="230" t="str">
        <f t="shared" si="80"/>
        <v>Normal</v>
      </c>
      <c r="AK414" s="231">
        <f t="shared" si="146"/>
        <v>0</v>
      </c>
      <c r="AL414" s="232" t="str">
        <f t="shared" si="147"/>
        <v/>
      </c>
      <c r="AM414" s="233" t="str">
        <f t="shared" si="148"/>
        <v/>
      </c>
      <c r="AN414" s="233" t="str">
        <f t="shared" si="149"/>
        <v/>
      </c>
      <c r="AO414" s="234">
        <f t="shared" si="150"/>
        <v>0</v>
      </c>
      <c r="AP414" s="235">
        <f t="shared" si="166"/>
        <v>1</v>
      </c>
      <c r="AQ414" s="235">
        <f t="shared" si="166"/>
        <v>1</v>
      </c>
      <c r="AR414" s="235">
        <f t="shared" si="151"/>
        <v>1</v>
      </c>
      <c r="AS414" s="252">
        <f t="shared" si="152"/>
        <v>0</v>
      </c>
      <c r="AT414" s="238">
        <f t="shared" si="153"/>
        <v>0</v>
      </c>
      <c r="AU414" s="239">
        <f t="shared" si="154"/>
        <v>0</v>
      </c>
      <c r="AV414" s="239">
        <f t="shared" si="155"/>
        <v>0</v>
      </c>
      <c r="AW414" s="239">
        <f t="shared" si="156"/>
        <v>0.05</v>
      </c>
      <c r="AX414" s="240">
        <f t="shared" si="157"/>
        <v>0</v>
      </c>
      <c r="AY414" s="241" t="str">
        <f t="shared" si="158"/>
        <v/>
      </c>
      <c r="AZ414" s="242" t="str">
        <f>IFERROR(VLOOKUP(M414,'[1]Base Brasil Obras'!$C$2:$F$485,4,0),"")</f>
        <v/>
      </c>
      <c r="BA414" s="243">
        <f t="shared" si="159"/>
        <v>0</v>
      </c>
      <c r="BB414" s="244">
        <f t="shared" si="160"/>
        <v>0</v>
      </c>
      <c r="BC414" s="244">
        <f t="shared" si="161"/>
        <v>0.05</v>
      </c>
      <c r="BD414" s="245">
        <f t="shared" si="162"/>
        <v>0.95</v>
      </c>
      <c r="BE414" s="246">
        <f t="shared" si="163"/>
        <v>0</v>
      </c>
      <c r="BF414" s="247">
        <v>0</v>
      </c>
      <c r="BG414" s="248">
        <f t="shared" si="164"/>
        <v>1</v>
      </c>
      <c r="BH414" s="198"/>
      <c r="BI414" s="198"/>
      <c r="BJ414" s="199"/>
      <c r="BK414" s="200"/>
      <c r="BL414" s="200"/>
      <c r="BM414" s="200"/>
      <c r="BN414" s="200"/>
      <c r="BO414" s="10"/>
    </row>
    <row r="415" spans="1:67" ht="18" customHeight="1" x14ac:dyDescent="0.25">
      <c r="A415" s="201">
        <v>307</v>
      </c>
      <c r="B415" s="286"/>
      <c r="C415" s="203">
        <f t="shared" si="135"/>
        <v>0</v>
      </c>
      <c r="D415" s="204"/>
      <c r="E415" s="204"/>
      <c r="F415" s="207"/>
      <c r="G415" s="206"/>
      <c r="H415" s="207"/>
      <c r="I415" s="208" t="s">
        <v>125</v>
      </c>
      <c r="J415" s="208" t="s">
        <v>126</v>
      </c>
      <c r="K415" s="287"/>
      <c r="L415" s="288"/>
      <c r="M415" s="289"/>
      <c r="N415" s="257"/>
      <c r="O415" s="213"/>
      <c r="P415" s="214"/>
      <c r="Q415" s="214"/>
      <c r="R415" s="214"/>
      <c r="S415" s="214"/>
      <c r="T415" s="214"/>
      <c r="U415" s="215">
        <f t="shared" si="136"/>
        <v>0</v>
      </c>
      <c r="V415" s="216" t="str">
        <f t="shared" si="137"/>
        <v/>
      </c>
      <c r="W415" s="217" t="str">
        <f t="shared" si="138"/>
        <v/>
      </c>
      <c r="X415" s="218" t="s">
        <v>20</v>
      </c>
      <c r="Y415" s="219" t="str">
        <f t="shared" si="139"/>
        <v>0 um/Dia</v>
      </c>
      <c r="Z415" s="220" t="str">
        <f t="shared" si="140"/>
        <v xml:space="preserve"> um / HH</v>
      </c>
      <c r="AA415" s="221" t="str">
        <f t="shared" si="141"/>
        <v/>
      </c>
      <c r="AB415" s="222" t="str">
        <f t="shared" si="142"/>
        <v>0 um /HH</v>
      </c>
      <c r="AC415" s="223">
        <f t="shared" si="143"/>
        <v>0</v>
      </c>
      <c r="AD415" s="224"/>
      <c r="AE415" s="225"/>
      <c r="AF415" s="226">
        <f t="shared" si="144"/>
        <v>0</v>
      </c>
      <c r="AG415" s="227">
        <f t="shared" si="145"/>
        <v>0</v>
      </c>
      <c r="AH415" s="228" t="s">
        <v>25</v>
      </c>
      <c r="AI415" s="229" t="str">
        <f t="shared" si="79"/>
        <v>Extremamente Complexa</v>
      </c>
      <c r="AJ415" s="230" t="str">
        <f t="shared" si="80"/>
        <v>Normal</v>
      </c>
      <c r="AK415" s="231">
        <f t="shared" si="146"/>
        <v>0</v>
      </c>
      <c r="AL415" s="232" t="str">
        <f t="shared" si="147"/>
        <v/>
      </c>
      <c r="AM415" s="233" t="str">
        <f t="shared" si="148"/>
        <v/>
      </c>
      <c r="AN415" s="233" t="str">
        <f t="shared" si="149"/>
        <v/>
      </c>
      <c r="AO415" s="234">
        <f t="shared" si="150"/>
        <v>0</v>
      </c>
      <c r="AP415" s="235">
        <f t="shared" si="166"/>
        <v>1</v>
      </c>
      <c r="AQ415" s="235">
        <f t="shared" si="166"/>
        <v>1</v>
      </c>
      <c r="AR415" s="236">
        <f t="shared" si="151"/>
        <v>1</v>
      </c>
      <c r="AS415" s="251">
        <f t="shared" si="152"/>
        <v>0</v>
      </c>
      <c r="AT415" s="238">
        <f t="shared" si="153"/>
        <v>0</v>
      </c>
      <c r="AU415" s="239">
        <f t="shared" si="154"/>
        <v>0</v>
      </c>
      <c r="AV415" s="239">
        <f t="shared" si="155"/>
        <v>0</v>
      </c>
      <c r="AW415" s="239">
        <f t="shared" si="156"/>
        <v>0.05</v>
      </c>
      <c r="AX415" s="240">
        <f t="shared" si="157"/>
        <v>0</v>
      </c>
      <c r="AY415" s="241" t="str">
        <f t="shared" si="158"/>
        <v/>
      </c>
      <c r="AZ415" s="242" t="str">
        <f>IFERROR(VLOOKUP(M415,'[1]Base Brasil Obras'!$C$2:$F$485,4,0),"")</f>
        <v/>
      </c>
      <c r="BA415" s="243">
        <f t="shared" si="159"/>
        <v>0</v>
      </c>
      <c r="BB415" s="244">
        <f t="shared" si="160"/>
        <v>0</v>
      </c>
      <c r="BC415" s="244">
        <f t="shared" si="161"/>
        <v>0.05</v>
      </c>
      <c r="BD415" s="245">
        <f t="shared" si="162"/>
        <v>0.95</v>
      </c>
      <c r="BE415" s="246">
        <f t="shared" si="163"/>
        <v>0</v>
      </c>
      <c r="BF415" s="247">
        <v>0</v>
      </c>
      <c r="BG415" s="248">
        <f t="shared" si="164"/>
        <v>1</v>
      </c>
      <c r="BH415" s="198"/>
      <c r="BI415" s="198"/>
      <c r="BJ415" s="199"/>
      <c r="BK415" s="200"/>
      <c r="BL415" s="200"/>
      <c r="BM415" s="200"/>
      <c r="BN415" s="200"/>
      <c r="BO415" s="10"/>
    </row>
    <row r="416" spans="1:67" ht="18.75" customHeight="1" x14ac:dyDescent="0.25">
      <c r="A416" s="201">
        <v>308</v>
      </c>
      <c r="B416" s="286"/>
      <c r="C416" s="203">
        <f t="shared" si="135"/>
        <v>0</v>
      </c>
      <c r="D416" s="204"/>
      <c r="E416" s="204"/>
      <c r="F416" s="207"/>
      <c r="G416" s="206"/>
      <c r="H416" s="207"/>
      <c r="I416" s="208" t="s">
        <v>125</v>
      </c>
      <c r="J416" s="208" t="s">
        <v>126</v>
      </c>
      <c r="K416" s="287"/>
      <c r="L416" s="288"/>
      <c r="M416" s="289"/>
      <c r="N416" s="257"/>
      <c r="O416" s="213"/>
      <c r="P416" s="214"/>
      <c r="Q416" s="214"/>
      <c r="R416" s="214"/>
      <c r="S416" s="214"/>
      <c r="T416" s="214"/>
      <c r="U416" s="215">
        <f t="shared" si="136"/>
        <v>0</v>
      </c>
      <c r="V416" s="216" t="str">
        <f t="shared" si="137"/>
        <v/>
      </c>
      <c r="W416" s="217" t="str">
        <f t="shared" si="138"/>
        <v/>
      </c>
      <c r="X416" s="218" t="s">
        <v>20</v>
      </c>
      <c r="Y416" s="219" t="str">
        <f t="shared" si="139"/>
        <v>0 um/Dia</v>
      </c>
      <c r="Z416" s="220" t="str">
        <f t="shared" si="140"/>
        <v xml:space="preserve"> um / HH</v>
      </c>
      <c r="AA416" s="221" t="str">
        <f t="shared" si="141"/>
        <v/>
      </c>
      <c r="AB416" s="222" t="str">
        <f t="shared" si="142"/>
        <v>0 um /HH</v>
      </c>
      <c r="AC416" s="223">
        <f t="shared" si="143"/>
        <v>0</v>
      </c>
      <c r="AD416" s="224"/>
      <c r="AE416" s="225"/>
      <c r="AF416" s="226">
        <f t="shared" si="144"/>
        <v>0</v>
      </c>
      <c r="AG416" s="227">
        <f t="shared" si="145"/>
        <v>0</v>
      </c>
      <c r="AH416" s="228" t="s">
        <v>25</v>
      </c>
      <c r="AI416" s="229" t="str">
        <f t="shared" si="79"/>
        <v>Extremamente Complexa</v>
      </c>
      <c r="AJ416" s="230" t="str">
        <f t="shared" si="80"/>
        <v>Normal</v>
      </c>
      <c r="AK416" s="231">
        <f t="shared" si="146"/>
        <v>0</v>
      </c>
      <c r="AL416" s="232" t="str">
        <f t="shared" si="147"/>
        <v/>
      </c>
      <c r="AM416" s="233" t="str">
        <f t="shared" si="148"/>
        <v/>
      </c>
      <c r="AN416" s="233" t="str">
        <f t="shared" si="149"/>
        <v/>
      </c>
      <c r="AO416" s="234">
        <f t="shared" si="150"/>
        <v>0</v>
      </c>
      <c r="AP416" s="235">
        <f t="shared" si="166"/>
        <v>1</v>
      </c>
      <c r="AQ416" s="235">
        <f t="shared" si="166"/>
        <v>1</v>
      </c>
      <c r="AR416" s="235">
        <f t="shared" si="151"/>
        <v>1</v>
      </c>
      <c r="AS416" s="252">
        <f t="shared" si="152"/>
        <v>0</v>
      </c>
      <c r="AT416" s="238">
        <f t="shared" si="153"/>
        <v>0</v>
      </c>
      <c r="AU416" s="239">
        <f t="shared" si="154"/>
        <v>0</v>
      </c>
      <c r="AV416" s="239">
        <f t="shared" si="155"/>
        <v>0</v>
      </c>
      <c r="AW416" s="239">
        <f t="shared" si="156"/>
        <v>0.05</v>
      </c>
      <c r="AX416" s="240">
        <f t="shared" si="157"/>
        <v>0</v>
      </c>
      <c r="AY416" s="241" t="str">
        <f t="shared" si="158"/>
        <v/>
      </c>
      <c r="AZ416" s="242" t="str">
        <f>IFERROR(VLOOKUP(M416,'[1]Base Brasil Obras'!$C$2:$F$485,4,0),"")</f>
        <v/>
      </c>
      <c r="BA416" s="243">
        <f t="shared" si="159"/>
        <v>0</v>
      </c>
      <c r="BB416" s="244">
        <f t="shared" si="160"/>
        <v>0</v>
      </c>
      <c r="BC416" s="244">
        <f t="shared" si="161"/>
        <v>0.05</v>
      </c>
      <c r="BD416" s="245">
        <f t="shared" si="162"/>
        <v>0.95</v>
      </c>
      <c r="BE416" s="246">
        <f t="shared" si="163"/>
        <v>0</v>
      </c>
      <c r="BF416" s="247">
        <v>0</v>
      </c>
      <c r="BG416" s="248">
        <f t="shared" si="164"/>
        <v>1</v>
      </c>
      <c r="BH416" s="198"/>
      <c r="BI416" s="198"/>
      <c r="BJ416" s="199"/>
      <c r="BK416" s="200"/>
      <c r="BL416" s="200"/>
      <c r="BM416" s="200"/>
      <c r="BN416" s="200"/>
      <c r="BO416" s="10"/>
    </row>
    <row r="417" spans="1:67" ht="18" customHeight="1" x14ac:dyDescent="0.25">
      <c r="A417" s="201">
        <v>309</v>
      </c>
      <c r="B417" s="286"/>
      <c r="C417" s="203">
        <f t="shared" si="135"/>
        <v>0</v>
      </c>
      <c r="D417" s="204"/>
      <c r="E417" s="204"/>
      <c r="F417" s="207"/>
      <c r="G417" s="206"/>
      <c r="H417" s="207"/>
      <c r="I417" s="208" t="s">
        <v>125</v>
      </c>
      <c r="J417" s="208" t="s">
        <v>126</v>
      </c>
      <c r="K417" s="287"/>
      <c r="L417" s="288"/>
      <c r="M417" s="289"/>
      <c r="N417" s="257"/>
      <c r="O417" s="213"/>
      <c r="P417" s="214"/>
      <c r="Q417" s="214"/>
      <c r="R417" s="214"/>
      <c r="S417" s="214"/>
      <c r="T417" s="214"/>
      <c r="U417" s="215">
        <f t="shared" si="136"/>
        <v>0</v>
      </c>
      <c r="V417" s="216" t="str">
        <f t="shared" si="137"/>
        <v/>
      </c>
      <c r="W417" s="217" t="str">
        <f t="shared" si="138"/>
        <v/>
      </c>
      <c r="X417" s="218" t="s">
        <v>20</v>
      </c>
      <c r="Y417" s="219" t="str">
        <f t="shared" si="139"/>
        <v>0 um/Dia</v>
      </c>
      <c r="Z417" s="220" t="str">
        <f t="shared" si="140"/>
        <v xml:space="preserve"> um / HH</v>
      </c>
      <c r="AA417" s="221" t="str">
        <f t="shared" si="141"/>
        <v/>
      </c>
      <c r="AB417" s="222" t="str">
        <f t="shared" si="142"/>
        <v>0 um /HH</v>
      </c>
      <c r="AC417" s="223">
        <f t="shared" si="143"/>
        <v>0</v>
      </c>
      <c r="AD417" s="224"/>
      <c r="AE417" s="225"/>
      <c r="AF417" s="226">
        <f t="shared" si="144"/>
        <v>0</v>
      </c>
      <c r="AG417" s="227">
        <f t="shared" si="145"/>
        <v>0</v>
      </c>
      <c r="AH417" s="228" t="s">
        <v>25</v>
      </c>
      <c r="AI417" s="229" t="str">
        <f t="shared" si="79"/>
        <v>Extremamente Complexa</v>
      </c>
      <c r="AJ417" s="230" t="str">
        <f t="shared" si="80"/>
        <v>Normal</v>
      </c>
      <c r="AK417" s="231">
        <f t="shared" si="146"/>
        <v>0</v>
      </c>
      <c r="AL417" s="232" t="str">
        <f t="shared" si="147"/>
        <v/>
      </c>
      <c r="AM417" s="233" t="str">
        <f t="shared" si="148"/>
        <v/>
      </c>
      <c r="AN417" s="233" t="str">
        <f t="shared" si="149"/>
        <v/>
      </c>
      <c r="AO417" s="234">
        <f t="shared" si="150"/>
        <v>0</v>
      </c>
      <c r="AP417" s="235">
        <f t="shared" si="166"/>
        <v>1</v>
      </c>
      <c r="AQ417" s="235">
        <f t="shared" si="166"/>
        <v>1</v>
      </c>
      <c r="AR417" s="236">
        <f t="shared" si="151"/>
        <v>1</v>
      </c>
      <c r="AS417" s="251">
        <f t="shared" si="152"/>
        <v>0</v>
      </c>
      <c r="AT417" s="238">
        <f t="shared" si="153"/>
        <v>0</v>
      </c>
      <c r="AU417" s="239">
        <f t="shared" si="154"/>
        <v>0</v>
      </c>
      <c r="AV417" s="239">
        <f t="shared" si="155"/>
        <v>0</v>
      </c>
      <c r="AW417" s="239">
        <f t="shared" si="156"/>
        <v>0.05</v>
      </c>
      <c r="AX417" s="240">
        <f t="shared" si="157"/>
        <v>0</v>
      </c>
      <c r="AY417" s="241" t="str">
        <f t="shared" si="158"/>
        <v/>
      </c>
      <c r="AZ417" s="242" t="str">
        <f>IFERROR(VLOOKUP(M417,'[1]Base Brasil Obras'!$C$2:$F$485,4,0),"")</f>
        <v/>
      </c>
      <c r="BA417" s="243">
        <f t="shared" si="159"/>
        <v>0</v>
      </c>
      <c r="BB417" s="244">
        <f t="shared" si="160"/>
        <v>0</v>
      </c>
      <c r="BC417" s="244">
        <f t="shared" si="161"/>
        <v>0.05</v>
      </c>
      <c r="BD417" s="245">
        <f t="shared" si="162"/>
        <v>0.95</v>
      </c>
      <c r="BE417" s="246">
        <f t="shared" si="163"/>
        <v>0</v>
      </c>
      <c r="BF417" s="247">
        <v>0</v>
      </c>
      <c r="BG417" s="248">
        <f t="shared" si="164"/>
        <v>1</v>
      </c>
      <c r="BH417" s="198"/>
      <c r="BI417" s="198"/>
      <c r="BJ417" s="199"/>
      <c r="BK417" s="200"/>
      <c r="BL417" s="200"/>
      <c r="BM417" s="200"/>
      <c r="BN417" s="200"/>
      <c r="BO417" s="10"/>
    </row>
    <row r="418" spans="1:67" ht="18.75" customHeight="1" x14ac:dyDescent="0.25">
      <c r="A418" s="201">
        <v>310</v>
      </c>
      <c r="B418" s="286"/>
      <c r="C418" s="203">
        <f t="shared" si="135"/>
        <v>0</v>
      </c>
      <c r="D418" s="204"/>
      <c r="E418" s="204"/>
      <c r="F418" s="207"/>
      <c r="G418" s="206"/>
      <c r="H418" s="207"/>
      <c r="I418" s="208" t="s">
        <v>125</v>
      </c>
      <c r="J418" s="208" t="s">
        <v>126</v>
      </c>
      <c r="K418" s="287"/>
      <c r="L418" s="288"/>
      <c r="M418" s="289"/>
      <c r="N418" s="257"/>
      <c r="O418" s="213"/>
      <c r="P418" s="214"/>
      <c r="Q418" s="214"/>
      <c r="R418" s="214"/>
      <c r="S418" s="214"/>
      <c r="T418" s="214"/>
      <c r="U418" s="215">
        <f t="shared" si="136"/>
        <v>0</v>
      </c>
      <c r="V418" s="216" t="str">
        <f t="shared" si="137"/>
        <v/>
      </c>
      <c r="W418" s="217" t="str">
        <f t="shared" si="138"/>
        <v/>
      </c>
      <c r="X418" s="218" t="s">
        <v>20</v>
      </c>
      <c r="Y418" s="219" t="str">
        <f t="shared" si="139"/>
        <v>0 um/Dia</v>
      </c>
      <c r="Z418" s="220" t="str">
        <f t="shared" si="140"/>
        <v xml:space="preserve"> um / HH</v>
      </c>
      <c r="AA418" s="221" t="str">
        <f t="shared" si="141"/>
        <v/>
      </c>
      <c r="AB418" s="222" t="str">
        <f t="shared" si="142"/>
        <v>0 um /HH</v>
      </c>
      <c r="AC418" s="223">
        <f t="shared" si="143"/>
        <v>0</v>
      </c>
      <c r="AD418" s="224"/>
      <c r="AE418" s="225"/>
      <c r="AF418" s="226">
        <f t="shared" si="144"/>
        <v>0</v>
      </c>
      <c r="AG418" s="227">
        <f t="shared" si="145"/>
        <v>0</v>
      </c>
      <c r="AH418" s="228" t="s">
        <v>25</v>
      </c>
      <c r="AI418" s="229" t="str">
        <f t="shared" si="79"/>
        <v>Extremamente Complexa</v>
      </c>
      <c r="AJ418" s="230" t="str">
        <f t="shared" si="80"/>
        <v>Normal</v>
      </c>
      <c r="AK418" s="231">
        <f t="shared" si="146"/>
        <v>0</v>
      </c>
      <c r="AL418" s="232" t="str">
        <f t="shared" si="147"/>
        <v/>
      </c>
      <c r="AM418" s="233" t="str">
        <f t="shared" si="148"/>
        <v/>
      </c>
      <c r="AN418" s="233" t="str">
        <f t="shared" si="149"/>
        <v/>
      </c>
      <c r="AO418" s="234">
        <f t="shared" si="150"/>
        <v>0</v>
      </c>
      <c r="AP418" s="235">
        <f t="shared" si="166"/>
        <v>1</v>
      </c>
      <c r="AQ418" s="235">
        <f t="shared" si="166"/>
        <v>1</v>
      </c>
      <c r="AR418" s="235">
        <f t="shared" si="151"/>
        <v>1</v>
      </c>
      <c r="AS418" s="252">
        <f t="shared" si="152"/>
        <v>0</v>
      </c>
      <c r="AT418" s="238">
        <f t="shared" si="153"/>
        <v>0</v>
      </c>
      <c r="AU418" s="239">
        <f t="shared" si="154"/>
        <v>0</v>
      </c>
      <c r="AV418" s="239">
        <f t="shared" si="155"/>
        <v>0</v>
      </c>
      <c r="AW418" s="239">
        <f t="shared" si="156"/>
        <v>0.05</v>
      </c>
      <c r="AX418" s="240">
        <f t="shared" si="157"/>
        <v>0</v>
      </c>
      <c r="AY418" s="241" t="str">
        <f t="shared" si="158"/>
        <v/>
      </c>
      <c r="AZ418" s="242" t="str">
        <f>IFERROR(VLOOKUP(M418,'[1]Base Brasil Obras'!$C$2:$F$485,4,0),"")</f>
        <v/>
      </c>
      <c r="BA418" s="243">
        <f t="shared" si="159"/>
        <v>0</v>
      </c>
      <c r="BB418" s="244">
        <f t="shared" si="160"/>
        <v>0</v>
      </c>
      <c r="BC418" s="244">
        <f t="shared" si="161"/>
        <v>0.05</v>
      </c>
      <c r="BD418" s="245">
        <f t="shared" si="162"/>
        <v>0.95</v>
      </c>
      <c r="BE418" s="246">
        <f t="shared" si="163"/>
        <v>0</v>
      </c>
      <c r="BF418" s="247">
        <v>0</v>
      </c>
      <c r="BG418" s="248">
        <f t="shared" si="164"/>
        <v>1</v>
      </c>
      <c r="BH418" s="198"/>
      <c r="BI418" s="198"/>
      <c r="BJ418" s="199"/>
      <c r="BK418" s="200"/>
      <c r="BL418" s="200"/>
      <c r="BM418" s="200"/>
      <c r="BN418" s="200"/>
      <c r="BO418" s="10"/>
    </row>
    <row r="419" spans="1:67" ht="18" x14ac:dyDescent="0.25">
      <c r="A419" s="201">
        <v>311</v>
      </c>
      <c r="B419" s="286"/>
      <c r="C419" s="203">
        <f t="shared" si="135"/>
        <v>0</v>
      </c>
      <c r="D419" s="204"/>
      <c r="E419" s="204"/>
      <c r="F419" s="207"/>
      <c r="G419" s="206"/>
      <c r="H419" s="207"/>
      <c r="I419" s="208" t="s">
        <v>125</v>
      </c>
      <c r="J419" s="208" t="s">
        <v>126</v>
      </c>
      <c r="K419" s="287"/>
      <c r="L419" s="288"/>
      <c r="M419" s="289"/>
      <c r="N419" s="257"/>
      <c r="O419" s="213"/>
      <c r="P419" s="214"/>
      <c r="Q419" s="214"/>
      <c r="R419" s="214"/>
      <c r="S419" s="214"/>
      <c r="T419" s="214"/>
      <c r="U419" s="215">
        <f t="shared" si="136"/>
        <v>0</v>
      </c>
      <c r="V419" s="216" t="str">
        <f t="shared" si="137"/>
        <v/>
      </c>
      <c r="W419" s="217" t="str">
        <f t="shared" si="138"/>
        <v/>
      </c>
      <c r="X419" s="218" t="s">
        <v>20</v>
      </c>
      <c r="Y419" s="219" t="str">
        <f t="shared" si="139"/>
        <v>0 um/Dia</v>
      </c>
      <c r="Z419" s="220" t="str">
        <f t="shared" si="140"/>
        <v xml:space="preserve"> um / HH</v>
      </c>
      <c r="AA419" s="221" t="str">
        <f t="shared" si="141"/>
        <v/>
      </c>
      <c r="AB419" s="222" t="str">
        <f t="shared" si="142"/>
        <v>0 um /HH</v>
      </c>
      <c r="AC419" s="223">
        <f t="shared" si="143"/>
        <v>0</v>
      </c>
      <c r="AD419" s="224"/>
      <c r="AE419" s="225"/>
      <c r="AF419" s="226">
        <f t="shared" si="144"/>
        <v>0</v>
      </c>
      <c r="AG419" s="227">
        <f t="shared" si="145"/>
        <v>0</v>
      </c>
      <c r="AH419" s="228" t="s">
        <v>25</v>
      </c>
      <c r="AI419" s="229" t="str">
        <f t="shared" si="79"/>
        <v>Extremamente Complexa</v>
      </c>
      <c r="AJ419" s="230" t="str">
        <f t="shared" si="80"/>
        <v>Normal</v>
      </c>
      <c r="AK419" s="231">
        <f t="shared" si="146"/>
        <v>0</v>
      </c>
      <c r="AL419" s="232" t="str">
        <f t="shared" si="147"/>
        <v/>
      </c>
      <c r="AM419" s="233" t="str">
        <f t="shared" si="148"/>
        <v/>
      </c>
      <c r="AN419" s="233" t="str">
        <f t="shared" si="149"/>
        <v/>
      </c>
      <c r="AO419" s="234">
        <f t="shared" si="150"/>
        <v>0</v>
      </c>
      <c r="AP419" s="235">
        <f t="shared" si="166"/>
        <v>1</v>
      </c>
      <c r="AQ419" s="235">
        <f t="shared" si="166"/>
        <v>1</v>
      </c>
      <c r="AR419" s="236">
        <f t="shared" si="151"/>
        <v>1</v>
      </c>
      <c r="AS419" s="251">
        <f t="shared" si="152"/>
        <v>0</v>
      </c>
      <c r="AT419" s="238">
        <f t="shared" si="153"/>
        <v>0</v>
      </c>
      <c r="AU419" s="239">
        <f t="shared" si="154"/>
        <v>0</v>
      </c>
      <c r="AV419" s="239">
        <f t="shared" si="155"/>
        <v>0</v>
      </c>
      <c r="AW419" s="239">
        <f t="shared" si="156"/>
        <v>0.05</v>
      </c>
      <c r="AX419" s="240">
        <f t="shared" si="157"/>
        <v>0</v>
      </c>
      <c r="AY419" s="241" t="str">
        <f t="shared" si="158"/>
        <v/>
      </c>
      <c r="AZ419" s="242" t="str">
        <f>IFERROR(VLOOKUP(M419,'[1]Base Brasil Obras'!$C$2:$F$485,4,0),"")</f>
        <v/>
      </c>
      <c r="BA419" s="243">
        <f t="shared" si="159"/>
        <v>0</v>
      </c>
      <c r="BB419" s="244">
        <f t="shared" si="160"/>
        <v>0</v>
      </c>
      <c r="BC419" s="244">
        <f t="shared" si="161"/>
        <v>0.05</v>
      </c>
      <c r="BD419" s="245">
        <f t="shared" si="162"/>
        <v>0.95</v>
      </c>
      <c r="BE419" s="246">
        <f t="shared" si="163"/>
        <v>0</v>
      </c>
      <c r="BF419" s="247">
        <v>0</v>
      </c>
      <c r="BG419" s="248">
        <f t="shared" si="164"/>
        <v>1</v>
      </c>
      <c r="BH419" s="198"/>
      <c r="BI419" s="198"/>
      <c r="BJ419" s="199"/>
      <c r="BK419" s="200"/>
      <c r="BL419" s="200"/>
      <c r="BM419" s="200"/>
      <c r="BN419" s="200"/>
      <c r="BO419" s="10"/>
    </row>
    <row r="420" spans="1:67" ht="18" customHeight="1" x14ac:dyDescent="0.25">
      <c r="A420" s="201">
        <v>312</v>
      </c>
      <c r="B420" s="286"/>
      <c r="C420" s="203">
        <f t="shared" si="135"/>
        <v>0</v>
      </c>
      <c r="D420" s="204"/>
      <c r="E420" s="204"/>
      <c r="F420" s="207"/>
      <c r="G420" s="206"/>
      <c r="H420" s="207"/>
      <c r="I420" s="208" t="s">
        <v>125</v>
      </c>
      <c r="J420" s="208" t="s">
        <v>126</v>
      </c>
      <c r="K420" s="287"/>
      <c r="L420" s="288"/>
      <c r="M420" s="289"/>
      <c r="N420" s="257"/>
      <c r="O420" s="213"/>
      <c r="P420" s="214"/>
      <c r="Q420" s="214"/>
      <c r="R420" s="214"/>
      <c r="S420" s="214"/>
      <c r="T420" s="214"/>
      <c r="U420" s="215">
        <f t="shared" si="136"/>
        <v>0</v>
      </c>
      <c r="V420" s="216" t="str">
        <f t="shared" si="137"/>
        <v/>
      </c>
      <c r="W420" s="217" t="str">
        <f t="shared" si="138"/>
        <v/>
      </c>
      <c r="X420" s="218" t="s">
        <v>20</v>
      </c>
      <c r="Y420" s="219" t="str">
        <f t="shared" si="139"/>
        <v>0 um/Dia</v>
      </c>
      <c r="Z420" s="220" t="str">
        <f t="shared" si="140"/>
        <v xml:space="preserve"> um / HH</v>
      </c>
      <c r="AA420" s="221" t="str">
        <f t="shared" si="141"/>
        <v/>
      </c>
      <c r="AB420" s="222" t="str">
        <f t="shared" si="142"/>
        <v>0 um /HH</v>
      </c>
      <c r="AC420" s="223">
        <f t="shared" si="143"/>
        <v>0</v>
      </c>
      <c r="AD420" s="224"/>
      <c r="AE420" s="225"/>
      <c r="AF420" s="226">
        <f t="shared" si="144"/>
        <v>0</v>
      </c>
      <c r="AG420" s="227">
        <f t="shared" si="145"/>
        <v>0</v>
      </c>
      <c r="AH420" s="228" t="s">
        <v>25</v>
      </c>
      <c r="AI420" s="229" t="str">
        <f t="shared" si="79"/>
        <v>Extremamente Complexa</v>
      </c>
      <c r="AJ420" s="230" t="str">
        <f t="shared" si="80"/>
        <v>Normal</v>
      </c>
      <c r="AK420" s="231">
        <f t="shared" si="146"/>
        <v>0</v>
      </c>
      <c r="AL420" s="232" t="str">
        <f t="shared" si="147"/>
        <v/>
      </c>
      <c r="AM420" s="233" t="str">
        <f t="shared" si="148"/>
        <v/>
      </c>
      <c r="AN420" s="233" t="str">
        <f t="shared" si="149"/>
        <v/>
      </c>
      <c r="AO420" s="234">
        <f t="shared" si="150"/>
        <v>0</v>
      </c>
      <c r="AP420" s="235">
        <f t="shared" si="166"/>
        <v>1</v>
      </c>
      <c r="AQ420" s="235">
        <f t="shared" si="166"/>
        <v>1</v>
      </c>
      <c r="AR420" s="235">
        <f t="shared" si="151"/>
        <v>1</v>
      </c>
      <c r="AS420" s="252">
        <f t="shared" si="152"/>
        <v>0</v>
      </c>
      <c r="AT420" s="238">
        <f t="shared" si="153"/>
        <v>0</v>
      </c>
      <c r="AU420" s="239">
        <f t="shared" si="154"/>
        <v>0</v>
      </c>
      <c r="AV420" s="239">
        <f t="shared" si="155"/>
        <v>0</v>
      </c>
      <c r="AW420" s="239">
        <f t="shared" si="156"/>
        <v>0.05</v>
      </c>
      <c r="AX420" s="240">
        <f t="shared" si="157"/>
        <v>0</v>
      </c>
      <c r="AY420" s="241" t="str">
        <f t="shared" si="158"/>
        <v/>
      </c>
      <c r="AZ420" s="242" t="str">
        <f>IFERROR(VLOOKUP(M420,'[1]Base Brasil Obras'!$C$2:$F$485,4,0),"")</f>
        <v/>
      </c>
      <c r="BA420" s="243">
        <f t="shared" si="159"/>
        <v>0</v>
      </c>
      <c r="BB420" s="244">
        <f t="shared" si="160"/>
        <v>0</v>
      </c>
      <c r="BC420" s="244">
        <f t="shared" si="161"/>
        <v>0.05</v>
      </c>
      <c r="BD420" s="245">
        <f t="shared" si="162"/>
        <v>0.95</v>
      </c>
      <c r="BE420" s="246">
        <f t="shared" si="163"/>
        <v>0</v>
      </c>
      <c r="BF420" s="247">
        <v>0</v>
      </c>
      <c r="BG420" s="248">
        <f t="shared" si="164"/>
        <v>1</v>
      </c>
      <c r="BH420" s="198"/>
      <c r="BI420" s="198"/>
      <c r="BJ420" s="199"/>
      <c r="BK420" s="200"/>
      <c r="BL420" s="200"/>
      <c r="BM420" s="200"/>
      <c r="BN420" s="200"/>
      <c r="BO420" s="10"/>
    </row>
    <row r="421" spans="1:67" ht="18" x14ac:dyDescent="0.25">
      <c r="A421" s="201">
        <v>313</v>
      </c>
      <c r="B421" s="286"/>
      <c r="C421" s="203">
        <f t="shared" si="135"/>
        <v>0</v>
      </c>
      <c r="D421" s="204"/>
      <c r="E421" s="204"/>
      <c r="F421" s="207"/>
      <c r="G421" s="206"/>
      <c r="H421" s="207"/>
      <c r="I421" s="208" t="s">
        <v>125</v>
      </c>
      <c r="J421" s="208" t="s">
        <v>126</v>
      </c>
      <c r="K421" s="287"/>
      <c r="L421" s="288"/>
      <c r="M421" s="289"/>
      <c r="N421" s="257"/>
      <c r="O421" s="213"/>
      <c r="P421" s="214"/>
      <c r="Q421" s="214"/>
      <c r="R421" s="214"/>
      <c r="S421" s="214"/>
      <c r="T421" s="214"/>
      <c r="U421" s="215">
        <f t="shared" si="136"/>
        <v>0</v>
      </c>
      <c r="V421" s="216" t="str">
        <f t="shared" si="137"/>
        <v/>
      </c>
      <c r="W421" s="217" t="str">
        <f t="shared" si="138"/>
        <v/>
      </c>
      <c r="X421" s="218" t="s">
        <v>20</v>
      </c>
      <c r="Y421" s="219" t="str">
        <f t="shared" si="139"/>
        <v>0 um/Dia</v>
      </c>
      <c r="Z421" s="220" t="str">
        <f t="shared" si="140"/>
        <v xml:space="preserve"> um / HH</v>
      </c>
      <c r="AA421" s="221" t="str">
        <f t="shared" si="141"/>
        <v/>
      </c>
      <c r="AB421" s="222" t="str">
        <f t="shared" si="142"/>
        <v>0 um /HH</v>
      </c>
      <c r="AC421" s="223">
        <f t="shared" si="143"/>
        <v>0</v>
      </c>
      <c r="AD421" s="224"/>
      <c r="AE421" s="225"/>
      <c r="AF421" s="226">
        <f t="shared" si="144"/>
        <v>0</v>
      </c>
      <c r="AG421" s="227">
        <f t="shared" si="145"/>
        <v>0</v>
      </c>
      <c r="AH421" s="228" t="s">
        <v>25</v>
      </c>
      <c r="AI421" s="229" t="str">
        <f t="shared" si="79"/>
        <v>Extremamente Complexa</v>
      </c>
      <c r="AJ421" s="230" t="str">
        <f t="shared" si="80"/>
        <v>Normal</v>
      </c>
      <c r="AK421" s="231">
        <f t="shared" si="146"/>
        <v>0</v>
      </c>
      <c r="AL421" s="232" t="str">
        <f t="shared" si="147"/>
        <v/>
      </c>
      <c r="AM421" s="233" t="str">
        <f t="shared" si="148"/>
        <v/>
      </c>
      <c r="AN421" s="233" t="str">
        <f t="shared" si="149"/>
        <v/>
      </c>
      <c r="AO421" s="234">
        <f t="shared" si="150"/>
        <v>0</v>
      </c>
      <c r="AP421" s="235">
        <f t="shared" si="166"/>
        <v>1</v>
      </c>
      <c r="AQ421" s="235">
        <f t="shared" si="166"/>
        <v>1</v>
      </c>
      <c r="AR421" s="236">
        <f t="shared" si="151"/>
        <v>1</v>
      </c>
      <c r="AS421" s="251">
        <f t="shared" si="152"/>
        <v>0</v>
      </c>
      <c r="AT421" s="238">
        <f t="shared" si="153"/>
        <v>0</v>
      </c>
      <c r="AU421" s="239">
        <f t="shared" si="154"/>
        <v>0</v>
      </c>
      <c r="AV421" s="239">
        <f t="shared" si="155"/>
        <v>0</v>
      </c>
      <c r="AW421" s="239">
        <f t="shared" si="156"/>
        <v>0.05</v>
      </c>
      <c r="AX421" s="240">
        <f t="shared" si="157"/>
        <v>0</v>
      </c>
      <c r="AY421" s="241" t="str">
        <f t="shared" si="158"/>
        <v/>
      </c>
      <c r="AZ421" s="242" t="str">
        <f>IFERROR(VLOOKUP(M421,'[1]Base Brasil Obras'!$C$2:$F$485,4,0),"")</f>
        <v/>
      </c>
      <c r="BA421" s="243">
        <f t="shared" si="159"/>
        <v>0</v>
      </c>
      <c r="BB421" s="244">
        <f t="shared" si="160"/>
        <v>0</v>
      </c>
      <c r="BC421" s="244">
        <f t="shared" si="161"/>
        <v>0.05</v>
      </c>
      <c r="BD421" s="245">
        <f t="shared" si="162"/>
        <v>0.95</v>
      </c>
      <c r="BE421" s="246">
        <f t="shared" si="163"/>
        <v>0</v>
      </c>
      <c r="BF421" s="247">
        <v>0</v>
      </c>
      <c r="BG421" s="248">
        <f t="shared" si="164"/>
        <v>1</v>
      </c>
      <c r="BH421" s="198"/>
      <c r="BI421" s="198"/>
      <c r="BJ421" s="199"/>
      <c r="BK421" s="200"/>
      <c r="BL421" s="200"/>
      <c r="BM421" s="200"/>
      <c r="BN421" s="200"/>
      <c r="BO421" s="10"/>
    </row>
    <row r="422" spans="1:67" ht="18" x14ac:dyDescent="0.25">
      <c r="A422" s="201">
        <v>314</v>
      </c>
      <c r="B422" s="286"/>
      <c r="C422" s="203">
        <f t="shared" si="135"/>
        <v>0</v>
      </c>
      <c r="D422" s="204"/>
      <c r="E422" s="204"/>
      <c r="F422" s="207"/>
      <c r="G422" s="206"/>
      <c r="H422" s="207"/>
      <c r="I422" s="208" t="s">
        <v>125</v>
      </c>
      <c r="J422" s="208" t="s">
        <v>126</v>
      </c>
      <c r="K422" s="287"/>
      <c r="L422" s="288"/>
      <c r="M422" s="289"/>
      <c r="N422" s="257"/>
      <c r="O422" s="213"/>
      <c r="P422" s="214"/>
      <c r="Q422" s="214"/>
      <c r="R422" s="214"/>
      <c r="S422" s="214"/>
      <c r="T422" s="214"/>
      <c r="U422" s="215">
        <f t="shared" si="136"/>
        <v>0</v>
      </c>
      <c r="V422" s="216" t="str">
        <f t="shared" si="137"/>
        <v/>
      </c>
      <c r="W422" s="217" t="str">
        <f t="shared" si="138"/>
        <v/>
      </c>
      <c r="X422" s="218" t="s">
        <v>20</v>
      </c>
      <c r="Y422" s="219" t="str">
        <f t="shared" si="139"/>
        <v>0 um/Dia</v>
      </c>
      <c r="Z422" s="220" t="str">
        <f t="shared" si="140"/>
        <v xml:space="preserve"> um / HH</v>
      </c>
      <c r="AA422" s="221" t="str">
        <f t="shared" si="141"/>
        <v/>
      </c>
      <c r="AB422" s="222" t="str">
        <f t="shared" si="142"/>
        <v>0 um /HH</v>
      </c>
      <c r="AC422" s="223">
        <f t="shared" si="143"/>
        <v>0</v>
      </c>
      <c r="AD422" s="224"/>
      <c r="AE422" s="225"/>
      <c r="AF422" s="226">
        <f t="shared" si="144"/>
        <v>0</v>
      </c>
      <c r="AG422" s="227">
        <f t="shared" si="145"/>
        <v>0</v>
      </c>
      <c r="AH422" s="228" t="s">
        <v>25</v>
      </c>
      <c r="AI422" s="229" t="str">
        <f t="shared" si="79"/>
        <v>Extremamente Complexa</v>
      </c>
      <c r="AJ422" s="230" t="str">
        <f t="shared" si="80"/>
        <v>Normal</v>
      </c>
      <c r="AK422" s="231">
        <f t="shared" si="146"/>
        <v>0</v>
      </c>
      <c r="AL422" s="232" t="str">
        <f t="shared" si="147"/>
        <v/>
      </c>
      <c r="AM422" s="233" t="str">
        <f t="shared" si="148"/>
        <v/>
      </c>
      <c r="AN422" s="233" t="str">
        <f t="shared" si="149"/>
        <v/>
      </c>
      <c r="AO422" s="234">
        <f t="shared" si="150"/>
        <v>0</v>
      </c>
      <c r="AP422" s="235">
        <f t="shared" si="166"/>
        <v>1</v>
      </c>
      <c r="AQ422" s="235">
        <f t="shared" si="166"/>
        <v>1</v>
      </c>
      <c r="AR422" s="235">
        <f t="shared" si="151"/>
        <v>1</v>
      </c>
      <c r="AS422" s="252">
        <f t="shared" si="152"/>
        <v>0</v>
      </c>
      <c r="AT422" s="238">
        <f t="shared" si="153"/>
        <v>0</v>
      </c>
      <c r="AU422" s="239">
        <f t="shared" si="154"/>
        <v>0</v>
      </c>
      <c r="AV422" s="239">
        <f t="shared" si="155"/>
        <v>0</v>
      </c>
      <c r="AW422" s="239">
        <f t="shared" si="156"/>
        <v>0.05</v>
      </c>
      <c r="AX422" s="240">
        <f t="shared" si="157"/>
        <v>0</v>
      </c>
      <c r="AY422" s="241" t="str">
        <f t="shared" si="158"/>
        <v/>
      </c>
      <c r="AZ422" s="242" t="str">
        <f>IFERROR(VLOOKUP(M422,'[1]Base Brasil Obras'!$C$2:$F$485,4,0),"")</f>
        <v/>
      </c>
      <c r="BA422" s="243">
        <f t="shared" si="159"/>
        <v>0</v>
      </c>
      <c r="BB422" s="244">
        <f t="shared" si="160"/>
        <v>0</v>
      </c>
      <c r="BC422" s="244">
        <f t="shared" si="161"/>
        <v>0.05</v>
      </c>
      <c r="BD422" s="245">
        <f t="shared" si="162"/>
        <v>0.95</v>
      </c>
      <c r="BE422" s="246">
        <f t="shared" si="163"/>
        <v>0</v>
      </c>
      <c r="BF422" s="247">
        <v>0</v>
      </c>
      <c r="BG422" s="248">
        <f t="shared" si="164"/>
        <v>1</v>
      </c>
      <c r="BH422" s="198"/>
      <c r="BI422" s="198"/>
      <c r="BJ422" s="199"/>
      <c r="BK422" s="200"/>
      <c r="BL422" s="200"/>
      <c r="BM422" s="200"/>
      <c r="BN422" s="200"/>
      <c r="BO422" s="10"/>
    </row>
    <row r="423" spans="1:67" ht="18" x14ac:dyDescent="0.25">
      <c r="A423" s="201">
        <v>315</v>
      </c>
      <c r="B423" s="286"/>
      <c r="C423" s="203">
        <f t="shared" si="135"/>
        <v>0</v>
      </c>
      <c r="D423" s="204"/>
      <c r="E423" s="204"/>
      <c r="F423" s="207"/>
      <c r="G423" s="206"/>
      <c r="H423" s="207"/>
      <c r="I423" s="208" t="s">
        <v>125</v>
      </c>
      <c r="J423" s="208" t="s">
        <v>126</v>
      </c>
      <c r="K423" s="287"/>
      <c r="L423" s="288"/>
      <c r="M423" s="289"/>
      <c r="N423" s="257"/>
      <c r="O423" s="213"/>
      <c r="P423" s="214"/>
      <c r="Q423" s="214"/>
      <c r="R423" s="214"/>
      <c r="S423" s="214"/>
      <c r="T423" s="214"/>
      <c r="U423" s="215">
        <f t="shared" si="136"/>
        <v>0</v>
      </c>
      <c r="V423" s="216" t="str">
        <f t="shared" si="137"/>
        <v/>
      </c>
      <c r="W423" s="217" t="str">
        <f t="shared" si="138"/>
        <v/>
      </c>
      <c r="X423" s="218" t="s">
        <v>20</v>
      </c>
      <c r="Y423" s="219" t="str">
        <f t="shared" si="139"/>
        <v>0 um/Dia</v>
      </c>
      <c r="Z423" s="220" t="str">
        <f t="shared" si="140"/>
        <v xml:space="preserve"> um / HH</v>
      </c>
      <c r="AA423" s="221" t="str">
        <f t="shared" si="141"/>
        <v/>
      </c>
      <c r="AB423" s="222" t="str">
        <f t="shared" si="142"/>
        <v>0 um /HH</v>
      </c>
      <c r="AC423" s="223">
        <f t="shared" si="143"/>
        <v>0</v>
      </c>
      <c r="AD423" s="224"/>
      <c r="AE423" s="225"/>
      <c r="AF423" s="226">
        <f t="shared" si="144"/>
        <v>0</v>
      </c>
      <c r="AG423" s="227">
        <f t="shared" si="145"/>
        <v>0</v>
      </c>
      <c r="AH423" s="228" t="s">
        <v>25</v>
      </c>
      <c r="AI423" s="229" t="str">
        <f t="shared" si="79"/>
        <v>Extremamente Complexa</v>
      </c>
      <c r="AJ423" s="230" t="str">
        <f t="shared" si="80"/>
        <v>Normal</v>
      </c>
      <c r="AK423" s="231">
        <f t="shared" si="146"/>
        <v>0</v>
      </c>
      <c r="AL423" s="232" t="str">
        <f t="shared" si="147"/>
        <v/>
      </c>
      <c r="AM423" s="233" t="str">
        <f t="shared" si="148"/>
        <v/>
      </c>
      <c r="AN423" s="233" t="str">
        <f t="shared" si="149"/>
        <v/>
      </c>
      <c r="AO423" s="234">
        <f t="shared" si="150"/>
        <v>0</v>
      </c>
      <c r="AP423" s="235">
        <f t="shared" si="166"/>
        <v>1</v>
      </c>
      <c r="AQ423" s="235">
        <f t="shared" si="166"/>
        <v>1</v>
      </c>
      <c r="AR423" s="236">
        <f t="shared" si="151"/>
        <v>1</v>
      </c>
      <c r="AS423" s="251">
        <f t="shared" si="152"/>
        <v>0</v>
      </c>
      <c r="AT423" s="238">
        <f t="shared" si="153"/>
        <v>0</v>
      </c>
      <c r="AU423" s="239">
        <f t="shared" si="154"/>
        <v>0</v>
      </c>
      <c r="AV423" s="239">
        <f t="shared" si="155"/>
        <v>0</v>
      </c>
      <c r="AW423" s="239">
        <f t="shared" si="156"/>
        <v>0.05</v>
      </c>
      <c r="AX423" s="240">
        <f t="shared" si="157"/>
        <v>0</v>
      </c>
      <c r="AY423" s="241" t="str">
        <f t="shared" si="158"/>
        <v/>
      </c>
      <c r="AZ423" s="242" t="str">
        <f>IFERROR(VLOOKUP(M423,'[1]Base Brasil Obras'!$C$2:$F$485,4,0),"")</f>
        <v/>
      </c>
      <c r="BA423" s="243">
        <f t="shared" si="159"/>
        <v>0</v>
      </c>
      <c r="BB423" s="244">
        <f t="shared" si="160"/>
        <v>0</v>
      </c>
      <c r="BC423" s="244">
        <f t="shared" si="161"/>
        <v>0.05</v>
      </c>
      <c r="BD423" s="245">
        <f t="shared" si="162"/>
        <v>0.95</v>
      </c>
      <c r="BE423" s="246">
        <f t="shared" si="163"/>
        <v>0</v>
      </c>
      <c r="BF423" s="247">
        <v>0</v>
      </c>
      <c r="BG423" s="248">
        <f t="shared" si="164"/>
        <v>1</v>
      </c>
      <c r="BH423" s="198"/>
      <c r="BI423" s="198"/>
      <c r="BJ423" s="199"/>
      <c r="BK423" s="200"/>
      <c r="BL423" s="200"/>
      <c r="BM423" s="200"/>
      <c r="BN423" s="200"/>
      <c r="BO423" s="10"/>
    </row>
    <row r="424" spans="1:67" ht="18" x14ac:dyDescent="0.25">
      <c r="A424" s="201">
        <v>316</v>
      </c>
      <c r="B424" s="286"/>
      <c r="C424" s="203">
        <f t="shared" si="135"/>
        <v>0</v>
      </c>
      <c r="D424" s="204"/>
      <c r="E424" s="204"/>
      <c r="F424" s="207"/>
      <c r="G424" s="206"/>
      <c r="H424" s="207"/>
      <c r="I424" s="208" t="s">
        <v>125</v>
      </c>
      <c r="J424" s="208" t="s">
        <v>126</v>
      </c>
      <c r="K424" s="287"/>
      <c r="L424" s="288"/>
      <c r="M424" s="289"/>
      <c r="N424" s="257"/>
      <c r="O424" s="213"/>
      <c r="P424" s="214"/>
      <c r="Q424" s="214"/>
      <c r="R424" s="214"/>
      <c r="S424" s="214"/>
      <c r="T424" s="214"/>
      <c r="U424" s="215">
        <f t="shared" si="136"/>
        <v>0</v>
      </c>
      <c r="V424" s="216" t="str">
        <f t="shared" si="137"/>
        <v/>
      </c>
      <c r="W424" s="217" t="str">
        <f t="shared" si="138"/>
        <v/>
      </c>
      <c r="X424" s="218" t="s">
        <v>20</v>
      </c>
      <c r="Y424" s="219" t="str">
        <f t="shared" si="139"/>
        <v>0 um/Dia</v>
      </c>
      <c r="Z424" s="220" t="str">
        <f t="shared" si="140"/>
        <v xml:space="preserve"> um / HH</v>
      </c>
      <c r="AA424" s="221" t="str">
        <f t="shared" si="141"/>
        <v/>
      </c>
      <c r="AB424" s="222" t="str">
        <f t="shared" si="142"/>
        <v>0 um /HH</v>
      </c>
      <c r="AC424" s="223">
        <f t="shared" si="143"/>
        <v>0</v>
      </c>
      <c r="AD424" s="224"/>
      <c r="AE424" s="225"/>
      <c r="AF424" s="226">
        <f t="shared" si="144"/>
        <v>0</v>
      </c>
      <c r="AG424" s="227">
        <f t="shared" si="145"/>
        <v>0</v>
      </c>
      <c r="AH424" s="228" t="s">
        <v>25</v>
      </c>
      <c r="AI424" s="229" t="str">
        <f t="shared" si="79"/>
        <v>Extremamente Complexa</v>
      </c>
      <c r="AJ424" s="230" t="str">
        <f t="shared" si="80"/>
        <v>Normal</v>
      </c>
      <c r="AK424" s="231">
        <f t="shared" si="146"/>
        <v>0</v>
      </c>
      <c r="AL424" s="232" t="str">
        <f t="shared" si="147"/>
        <v/>
      </c>
      <c r="AM424" s="233" t="str">
        <f t="shared" si="148"/>
        <v/>
      </c>
      <c r="AN424" s="233" t="str">
        <f t="shared" si="149"/>
        <v/>
      </c>
      <c r="AO424" s="234">
        <f t="shared" si="150"/>
        <v>0</v>
      </c>
      <c r="AP424" s="235">
        <f t="shared" si="166"/>
        <v>1</v>
      </c>
      <c r="AQ424" s="235">
        <f t="shared" si="166"/>
        <v>1</v>
      </c>
      <c r="AR424" s="235">
        <f t="shared" si="151"/>
        <v>1</v>
      </c>
      <c r="AS424" s="252">
        <f t="shared" si="152"/>
        <v>0</v>
      </c>
      <c r="AT424" s="238">
        <f t="shared" si="153"/>
        <v>0</v>
      </c>
      <c r="AU424" s="239">
        <f t="shared" si="154"/>
        <v>0</v>
      </c>
      <c r="AV424" s="239">
        <f t="shared" si="155"/>
        <v>0</v>
      </c>
      <c r="AW424" s="239">
        <f t="shared" si="156"/>
        <v>0.05</v>
      </c>
      <c r="AX424" s="240">
        <f t="shared" si="157"/>
        <v>0</v>
      </c>
      <c r="AY424" s="241" t="str">
        <f t="shared" si="158"/>
        <v/>
      </c>
      <c r="AZ424" s="242" t="str">
        <f>IFERROR(VLOOKUP(M424,'[1]Base Brasil Obras'!$C$2:$F$485,4,0),"")</f>
        <v/>
      </c>
      <c r="BA424" s="243">
        <f t="shared" si="159"/>
        <v>0</v>
      </c>
      <c r="BB424" s="244">
        <f t="shared" si="160"/>
        <v>0</v>
      </c>
      <c r="BC424" s="244">
        <f t="shared" si="161"/>
        <v>0.05</v>
      </c>
      <c r="BD424" s="245">
        <f t="shared" si="162"/>
        <v>0.95</v>
      </c>
      <c r="BE424" s="246">
        <f t="shared" si="163"/>
        <v>0</v>
      </c>
      <c r="BF424" s="247">
        <v>0</v>
      </c>
      <c r="BG424" s="248">
        <f t="shared" si="164"/>
        <v>1</v>
      </c>
      <c r="BH424" s="198"/>
      <c r="BI424" s="198"/>
      <c r="BJ424" s="199"/>
      <c r="BK424" s="200"/>
      <c r="BL424" s="200"/>
      <c r="BM424" s="200"/>
      <c r="BN424" s="200"/>
      <c r="BO424" s="10"/>
    </row>
    <row r="425" spans="1:67" ht="18" x14ac:dyDescent="0.25">
      <c r="A425" s="201">
        <v>317</v>
      </c>
      <c r="B425" s="286"/>
      <c r="C425" s="203">
        <f t="shared" si="135"/>
        <v>0</v>
      </c>
      <c r="D425" s="204"/>
      <c r="E425" s="204"/>
      <c r="F425" s="207"/>
      <c r="G425" s="206"/>
      <c r="H425" s="207"/>
      <c r="I425" s="208" t="s">
        <v>125</v>
      </c>
      <c r="J425" s="208" t="s">
        <v>126</v>
      </c>
      <c r="K425" s="287"/>
      <c r="L425" s="288"/>
      <c r="M425" s="289"/>
      <c r="N425" s="257"/>
      <c r="O425" s="213"/>
      <c r="P425" s="214"/>
      <c r="Q425" s="214"/>
      <c r="R425" s="214"/>
      <c r="S425" s="214"/>
      <c r="T425" s="214"/>
      <c r="U425" s="215">
        <f t="shared" si="136"/>
        <v>0</v>
      </c>
      <c r="V425" s="216" t="str">
        <f t="shared" si="137"/>
        <v/>
      </c>
      <c r="W425" s="217" t="str">
        <f t="shared" si="138"/>
        <v/>
      </c>
      <c r="X425" s="218" t="s">
        <v>20</v>
      </c>
      <c r="Y425" s="219" t="str">
        <f t="shared" si="139"/>
        <v>0 um/Dia</v>
      </c>
      <c r="Z425" s="220" t="str">
        <f t="shared" si="140"/>
        <v xml:space="preserve"> um / HH</v>
      </c>
      <c r="AA425" s="221" t="str">
        <f t="shared" si="141"/>
        <v/>
      </c>
      <c r="AB425" s="222" t="str">
        <f t="shared" si="142"/>
        <v>0 um /HH</v>
      </c>
      <c r="AC425" s="223">
        <f t="shared" si="143"/>
        <v>0</v>
      </c>
      <c r="AD425" s="224"/>
      <c r="AE425" s="225"/>
      <c r="AF425" s="226">
        <f t="shared" si="144"/>
        <v>0</v>
      </c>
      <c r="AG425" s="227">
        <f t="shared" si="145"/>
        <v>0</v>
      </c>
      <c r="AH425" s="228" t="s">
        <v>25</v>
      </c>
      <c r="AI425" s="229" t="str">
        <f t="shared" si="79"/>
        <v>Extremamente Complexa</v>
      </c>
      <c r="AJ425" s="230" t="str">
        <f t="shared" si="80"/>
        <v>Normal</v>
      </c>
      <c r="AK425" s="231">
        <f t="shared" si="146"/>
        <v>0</v>
      </c>
      <c r="AL425" s="232" t="str">
        <f t="shared" si="147"/>
        <v/>
      </c>
      <c r="AM425" s="233" t="str">
        <f t="shared" si="148"/>
        <v/>
      </c>
      <c r="AN425" s="233" t="str">
        <f t="shared" si="149"/>
        <v/>
      </c>
      <c r="AO425" s="234">
        <f t="shared" si="150"/>
        <v>0</v>
      </c>
      <c r="AP425" s="235">
        <f t="shared" si="166"/>
        <v>1</v>
      </c>
      <c r="AQ425" s="235">
        <f t="shared" si="166"/>
        <v>1</v>
      </c>
      <c r="AR425" s="236">
        <f t="shared" si="151"/>
        <v>1</v>
      </c>
      <c r="AS425" s="251">
        <f t="shared" si="152"/>
        <v>0</v>
      </c>
      <c r="AT425" s="238">
        <f t="shared" si="153"/>
        <v>0</v>
      </c>
      <c r="AU425" s="239">
        <f t="shared" si="154"/>
        <v>0</v>
      </c>
      <c r="AV425" s="239">
        <f t="shared" si="155"/>
        <v>0</v>
      </c>
      <c r="AW425" s="239">
        <f t="shared" si="156"/>
        <v>0.05</v>
      </c>
      <c r="AX425" s="240">
        <f t="shared" si="157"/>
        <v>0</v>
      </c>
      <c r="AY425" s="241" t="str">
        <f t="shared" si="158"/>
        <v/>
      </c>
      <c r="AZ425" s="242" t="str">
        <f>IFERROR(VLOOKUP(M425,'[1]Base Brasil Obras'!$C$2:$F$485,4,0),"")</f>
        <v/>
      </c>
      <c r="BA425" s="243">
        <f t="shared" si="159"/>
        <v>0</v>
      </c>
      <c r="BB425" s="244">
        <f t="shared" si="160"/>
        <v>0</v>
      </c>
      <c r="BC425" s="244">
        <f t="shared" si="161"/>
        <v>0.05</v>
      </c>
      <c r="BD425" s="245">
        <f t="shared" si="162"/>
        <v>0.95</v>
      </c>
      <c r="BE425" s="246">
        <f t="shared" si="163"/>
        <v>0</v>
      </c>
      <c r="BF425" s="247">
        <v>0</v>
      </c>
      <c r="BG425" s="248">
        <f t="shared" si="164"/>
        <v>1</v>
      </c>
      <c r="BH425" s="198"/>
      <c r="BI425" s="198"/>
      <c r="BJ425" s="199"/>
      <c r="BK425" s="200"/>
      <c r="BL425" s="200"/>
      <c r="BM425" s="200"/>
      <c r="BN425" s="200"/>
      <c r="BO425" s="10"/>
    </row>
    <row r="426" spans="1:67" ht="18" x14ac:dyDescent="0.25">
      <c r="A426" s="201">
        <v>318</v>
      </c>
      <c r="B426" s="286"/>
      <c r="C426" s="203">
        <f t="shared" si="135"/>
        <v>0</v>
      </c>
      <c r="D426" s="204"/>
      <c r="E426" s="204"/>
      <c r="F426" s="207"/>
      <c r="G426" s="206"/>
      <c r="H426" s="207"/>
      <c r="I426" s="208" t="s">
        <v>125</v>
      </c>
      <c r="J426" s="208" t="s">
        <v>126</v>
      </c>
      <c r="K426" s="287"/>
      <c r="L426" s="288"/>
      <c r="M426" s="289"/>
      <c r="N426" s="257"/>
      <c r="O426" s="213"/>
      <c r="P426" s="214"/>
      <c r="Q426" s="214"/>
      <c r="R426" s="214"/>
      <c r="S426" s="214"/>
      <c r="T426" s="214"/>
      <c r="U426" s="215">
        <f t="shared" si="136"/>
        <v>0</v>
      </c>
      <c r="V426" s="216" t="str">
        <f t="shared" si="137"/>
        <v/>
      </c>
      <c r="W426" s="217" t="str">
        <f t="shared" si="138"/>
        <v/>
      </c>
      <c r="X426" s="218" t="s">
        <v>20</v>
      </c>
      <c r="Y426" s="219" t="str">
        <f t="shared" si="139"/>
        <v>0 um/Dia</v>
      </c>
      <c r="Z426" s="220" t="str">
        <f t="shared" si="140"/>
        <v xml:space="preserve"> um / HH</v>
      </c>
      <c r="AA426" s="221" t="str">
        <f t="shared" si="141"/>
        <v/>
      </c>
      <c r="AB426" s="222" t="str">
        <f t="shared" si="142"/>
        <v>0 um /HH</v>
      </c>
      <c r="AC426" s="223">
        <f t="shared" si="143"/>
        <v>0</v>
      </c>
      <c r="AD426" s="224"/>
      <c r="AE426" s="225"/>
      <c r="AF426" s="226">
        <f t="shared" si="144"/>
        <v>0</v>
      </c>
      <c r="AG426" s="227">
        <f t="shared" si="145"/>
        <v>0</v>
      </c>
      <c r="AH426" s="228" t="s">
        <v>25</v>
      </c>
      <c r="AI426" s="229" t="str">
        <f t="shared" si="79"/>
        <v>Extremamente Complexa</v>
      </c>
      <c r="AJ426" s="230" t="str">
        <f t="shared" si="80"/>
        <v>Normal</v>
      </c>
      <c r="AK426" s="231">
        <f t="shared" si="146"/>
        <v>0</v>
      </c>
      <c r="AL426" s="232" t="str">
        <f t="shared" si="147"/>
        <v/>
      </c>
      <c r="AM426" s="233" t="str">
        <f t="shared" si="148"/>
        <v/>
      </c>
      <c r="AN426" s="233" t="str">
        <f t="shared" si="149"/>
        <v/>
      </c>
      <c r="AO426" s="234">
        <f t="shared" si="150"/>
        <v>0</v>
      </c>
      <c r="AP426" s="235">
        <f t="shared" si="166"/>
        <v>1</v>
      </c>
      <c r="AQ426" s="235">
        <f t="shared" si="166"/>
        <v>1</v>
      </c>
      <c r="AR426" s="235">
        <f t="shared" si="151"/>
        <v>1</v>
      </c>
      <c r="AS426" s="252">
        <f t="shared" si="152"/>
        <v>0</v>
      </c>
      <c r="AT426" s="238">
        <f t="shared" si="153"/>
        <v>0</v>
      </c>
      <c r="AU426" s="239">
        <f t="shared" si="154"/>
        <v>0</v>
      </c>
      <c r="AV426" s="239">
        <f t="shared" si="155"/>
        <v>0</v>
      </c>
      <c r="AW426" s="239">
        <f t="shared" si="156"/>
        <v>0.05</v>
      </c>
      <c r="AX426" s="240">
        <f t="shared" si="157"/>
        <v>0</v>
      </c>
      <c r="AY426" s="241" t="str">
        <f t="shared" si="158"/>
        <v/>
      </c>
      <c r="AZ426" s="242" t="str">
        <f>IFERROR(VLOOKUP(M426,'[1]Base Brasil Obras'!$C$2:$F$485,4,0),"")</f>
        <v/>
      </c>
      <c r="BA426" s="243">
        <f t="shared" si="159"/>
        <v>0</v>
      </c>
      <c r="BB426" s="244">
        <f t="shared" si="160"/>
        <v>0</v>
      </c>
      <c r="BC426" s="244">
        <f t="shared" si="161"/>
        <v>0.05</v>
      </c>
      <c r="BD426" s="245">
        <f t="shared" si="162"/>
        <v>0.95</v>
      </c>
      <c r="BE426" s="246">
        <f t="shared" si="163"/>
        <v>0</v>
      </c>
      <c r="BF426" s="247">
        <v>0</v>
      </c>
      <c r="BG426" s="248">
        <f t="shared" si="164"/>
        <v>1</v>
      </c>
      <c r="BH426" s="198"/>
      <c r="BI426" s="198"/>
      <c r="BJ426" s="199"/>
      <c r="BK426" s="200"/>
      <c r="BL426" s="200"/>
      <c r="BM426" s="200"/>
      <c r="BN426" s="200"/>
      <c r="BO426" s="10"/>
    </row>
    <row r="427" spans="1:67" ht="18" x14ac:dyDescent="0.25">
      <c r="A427" s="201">
        <v>319</v>
      </c>
      <c r="B427" s="286"/>
      <c r="C427" s="203">
        <f t="shared" si="135"/>
        <v>0</v>
      </c>
      <c r="D427" s="204"/>
      <c r="E427" s="204"/>
      <c r="F427" s="207"/>
      <c r="G427" s="206"/>
      <c r="H427" s="207"/>
      <c r="I427" s="208" t="s">
        <v>125</v>
      </c>
      <c r="J427" s="208" t="s">
        <v>126</v>
      </c>
      <c r="K427" s="287"/>
      <c r="L427" s="288"/>
      <c r="M427" s="289"/>
      <c r="N427" s="257"/>
      <c r="O427" s="213"/>
      <c r="P427" s="214"/>
      <c r="Q427" s="214"/>
      <c r="R427" s="214"/>
      <c r="S427" s="214"/>
      <c r="T427" s="214"/>
      <c r="U427" s="215">
        <f t="shared" si="136"/>
        <v>0</v>
      </c>
      <c r="V427" s="216" t="str">
        <f t="shared" si="137"/>
        <v/>
      </c>
      <c r="W427" s="217" t="str">
        <f t="shared" si="138"/>
        <v/>
      </c>
      <c r="X427" s="218" t="s">
        <v>20</v>
      </c>
      <c r="Y427" s="219" t="str">
        <f t="shared" si="139"/>
        <v>0 um/Dia</v>
      </c>
      <c r="Z427" s="220" t="str">
        <f t="shared" si="140"/>
        <v xml:space="preserve"> um / HH</v>
      </c>
      <c r="AA427" s="221" t="str">
        <f t="shared" si="141"/>
        <v/>
      </c>
      <c r="AB427" s="222" t="str">
        <f t="shared" si="142"/>
        <v>0 um /HH</v>
      </c>
      <c r="AC427" s="223">
        <f t="shared" si="143"/>
        <v>0</v>
      </c>
      <c r="AD427" s="224"/>
      <c r="AE427" s="225"/>
      <c r="AF427" s="226">
        <f t="shared" si="144"/>
        <v>0</v>
      </c>
      <c r="AG427" s="227">
        <f t="shared" si="145"/>
        <v>0</v>
      </c>
      <c r="AH427" s="228" t="s">
        <v>25</v>
      </c>
      <c r="AI427" s="229" t="str">
        <f t="shared" si="79"/>
        <v>Extremamente Complexa</v>
      </c>
      <c r="AJ427" s="230" t="str">
        <f t="shared" si="80"/>
        <v>Normal</v>
      </c>
      <c r="AK427" s="231">
        <f t="shared" si="146"/>
        <v>0</v>
      </c>
      <c r="AL427" s="232" t="str">
        <f t="shared" si="147"/>
        <v/>
      </c>
      <c r="AM427" s="233" t="str">
        <f t="shared" si="148"/>
        <v/>
      </c>
      <c r="AN427" s="233" t="str">
        <f t="shared" si="149"/>
        <v/>
      </c>
      <c r="AO427" s="234">
        <f t="shared" si="150"/>
        <v>0</v>
      </c>
      <c r="AP427" s="235">
        <f t="shared" si="166"/>
        <v>1</v>
      </c>
      <c r="AQ427" s="235">
        <f t="shared" si="166"/>
        <v>1</v>
      </c>
      <c r="AR427" s="236">
        <f t="shared" si="151"/>
        <v>1</v>
      </c>
      <c r="AS427" s="251">
        <f t="shared" si="152"/>
        <v>0</v>
      </c>
      <c r="AT427" s="238">
        <f t="shared" si="153"/>
        <v>0</v>
      </c>
      <c r="AU427" s="239">
        <f t="shared" si="154"/>
        <v>0</v>
      </c>
      <c r="AV427" s="239">
        <f t="shared" si="155"/>
        <v>0</v>
      </c>
      <c r="AW427" s="239">
        <f t="shared" si="156"/>
        <v>0.05</v>
      </c>
      <c r="AX427" s="240">
        <f t="shared" si="157"/>
        <v>0</v>
      </c>
      <c r="AY427" s="241" t="str">
        <f t="shared" si="158"/>
        <v/>
      </c>
      <c r="AZ427" s="242" t="str">
        <f>IFERROR(VLOOKUP(M427,'[1]Base Brasil Obras'!$C$2:$F$485,4,0),"")</f>
        <v/>
      </c>
      <c r="BA427" s="243">
        <f t="shared" si="159"/>
        <v>0</v>
      </c>
      <c r="BB427" s="244">
        <f t="shared" si="160"/>
        <v>0</v>
      </c>
      <c r="BC427" s="244">
        <f t="shared" si="161"/>
        <v>0.05</v>
      </c>
      <c r="BD427" s="245">
        <f t="shared" si="162"/>
        <v>0.95</v>
      </c>
      <c r="BE427" s="246">
        <f t="shared" si="163"/>
        <v>0</v>
      </c>
      <c r="BF427" s="247">
        <v>0</v>
      </c>
      <c r="BG427" s="248">
        <f t="shared" si="164"/>
        <v>1</v>
      </c>
      <c r="BH427" s="198"/>
      <c r="BI427" s="198"/>
      <c r="BJ427" s="199"/>
      <c r="BK427" s="200"/>
      <c r="BL427" s="200"/>
      <c r="BM427" s="200"/>
      <c r="BN427" s="200"/>
      <c r="BO427" s="10"/>
    </row>
    <row r="428" spans="1:67" ht="18" x14ac:dyDescent="0.25">
      <c r="A428" s="201">
        <v>320</v>
      </c>
      <c r="B428" s="286"/>
      <c r="C428" s="203">
        <f t="shared" si="135"/>
        <v>0</v>
      </c>
      <c r="D428" s="204"/>
      <c r="E428" s="204"/>
      <c r="F428" s="207"/>
      <c r="G428" s="206"/>
      <c r="H428" s="207"/>
      <c r="I428" s="208" t="s">
        <v>125</v>
      </c>
      <c r="J428" s="208" t="s">
        <v>126</v>
      </c>
      <c r="K428" s="287"/>
      <c r="L428" s="288"/>
      <c r="M428" s="289"/>
      <c r="N428" s="257"/>
      <c r="O428" s="213"/>
      <c r="P428" s="214"/>
      <c r="Q428" s="214"/>
      <c r="R428" s="214"/>
      <c r="S428" s="214"/>
      <c r="T428" s="214"/>
      <c r="U428" s="215">
        <f t="shared" si="136"/>
        <v>0</v>
      </c>
      <c r="V428" s="216" t="str">
        <f t="shared" si="137"/>
        <v/>
      </c>
      <c r="W428" s="217" t="str">
        <f t="shared" si="138"/>
        <v/>
      </c>
      <c r="X428" s="218" t="s">
        <v>20</v>
      </c>
      <c r="Y428" s="219" t="str">
        <f t="shared" si="139"/>
        <v>0 um/Dia</v>
      </c>
      <c r="Z428" s="220" t="str">
        <f t="shared" si="140"/>
        <v xml:space="preserve"> um / HH</v>
      </c>
      <c r="AA428" s="221" t="str">
        <f t="shared" si="141"/>
        <v/>
      </c>
      <c r="AB428" s="222" t="str">
        <f t="shared" si="142"/>
        <v>0 um /HH</v>
      </c>
      <c r="AC428" s="223">
        <f t="shared" si="143"/>
        <v>0</v>
      </c>
      <c r="AD428" s="224"/>
      <c r="AE428" s="225"/>
      <c r="AF428" s="226">
        <f t="shared" si="144"/>
        <v>0</v>
      </c>
      <c r="AG428" s="227">
        <f t="shared" si="145"/>
        <v>0</v>
      </c>
      <c r="AH428" s="228" t="s">
        <v>25</v>
      </c>
      <c r="AI428" s="229" t="str">
        <f t="shared" si="79"/>
        <v>Extremamente Complexa</v>
      </c>
      <c r="AJ428" s="230" t="str">
        <f t="shared" si="80"/>
        <v>Normal</v>
      </c>
      <c r="AK428" s="231">
        <f t="shared" si="146"/>
        <v>0</v>
      </c>
      <c r="AL428" s="232" t="str">
        <f t="shared" si="147"/>
        <v/>
      </c>
      <c r="AM428" s="233" t="str">
        <f t="shared" si="148"/>
        <v/>
      </c>
      <c r="AN428" s="233" t="str">
        <f t="shared" si="149"/>
        <v/>
      </c>
      <c r="AO428" s="234">
        <f t="shared" si="150"/>
        <v>0</v>
      </c>
      <c r="AP428" s="235">
        <f t="shared" si="166"/>
        <v>1</v>
      </c>
      <c r="AQ428" s="235">
        <f t="shared" si="166"/>
        <v>1</v>
      </c>
      <c r="AR428" s="235">
        <f t="shared" si="151"/>
        <v>1</v>
      </c>
      <c r="AS428" s="252">
        <f t="shared" si="152"/>
        <v>0</v>
      </c>
      <c r="AT428" s="238">
        <f t="shared" si="153"/>
        <v>0</v>
      </c>
      <c r="AU428" s="239">
        <f t="shared" si="154"/>
        <v>0</v>
      </c>
      <c r="AV428" s="239">
        <f t="shared" si="155"/>
        <v>0</v>
      </c>
      <c r="AW428" s="239">
        <f t="shared" si="156"/>
        <v>0.05</v>
      </c>
      <c r="AX428" s="240">
        <f t="shared" si="157"/>
        <v>0</v>
      </c>
      <c r="AY428" s="241" t="str">
        <f t="shared" si="158"/>
        <v/>
      </c>
      <c r="AZ428" s="242" t="str">
        <f>IFERROR(VLOOKUP(M428,'[1]Base Brasil Obras'!$C$2:$F$485,4,0),"")</f>
        <v/>
      </c>
      <c r="BA428" s="243">
        <f t="shared" si="159"/>
        <v>0</v>
      </c>
      <c r="BB428" s="244">
        <f t="shared" si="160"/>
        <v>0</v>
      </c>
      <c r="BC428" s="244">
        <f t="shared" si="161"/>
        <v>0.05</v>
      </c>
      <c r="BD428" s="245">
        <f t="shared" si="162"/>
        <v>0.95</v>
      </c>
      <c r="BE428" s="246">
        <f t="shared" si="163"/>
        <v>0</v>
      </c>
      <c r="BF428" s="247">
        <v>0</v>
      </c>
      <c r="BG428" s="248">
        <f t="shared" si="164"/>
        <v>1</v>
      </c>
      <c r="BH428" s="198"/>
      <c r="BI428" s="198"/>
      <c r="BJ428" s="199"/>
      <c r="BK428" s="200"/>
      <c r="BL428" s="200"/>
      <c r="BM428" s="200"/>
      <c r="BN428" s="200"/>
      <c r="BO428" s="10"/>
    </row>
    <row r="429" spans="1:67" ht="18" x14ac:dyDescent="0.25">
      <c r="A429" s="201">
        <v>321</v>
      </c>
      <c r="B429" s="286"/>
      <c r="C429" s="203">
        <f t="shared" ref="C429:C492" si="167">IFERROR(AVERAGEIF(P429:T429,"&gt;0,1"),0)</f>
        <v>0</v>
      </c>
      <c r="D429" s="204"/>
      <c r="E429" s="204"/>
      <c r="F429" s="207"/>
      <c r="G429" s="206"/>
      <c r="H429" s="207"/>
      <c r="I429" s="208" t="s">
        <v>125</v>
      </c>
      <c r="J429" s="208" t="s">
        <v>126</v>
      </c>
      <c r="K429" s="287"/>
      <c r="L429" s="288"/>
      <c r="M429" s="289"/>
      <c r="N429" s="257"/>
      <c r="O429" s="213"/>
      <c r="P429" s="214"/>
      <c r="Q429" s="214"/>
      <c r="R429" s="214"/>
      <c r="S429" s="214"/>
      <c r="T429" s="214"/>
      <c r="U429" s="215">
        <f t="shared" ref="U429:U492" si="168">B429*(1-$U$107)</f>
        <v>0</v>
      </c>
      <c r="V429" s="216" t="str">
        <f t="shared" ref="V429:V492" si="169">IF(IFERROR((1-BA429/AX429),"")=0%,"",IFERROR((1-BA429/AX429),""))</f>
        <v/>
      </c>
      <c r="W429" s="217" t="str">
        <f t="shared" ref="W429:W492" si="170">IFERROR(AVERAGEIF(P429:U429,"&gt;0,1"),"")</f>
        <v/>
      </c>
      <c r="X429" s="218" t="s">
        <v>20</v>
      </c>
      <c r="Y429" s="219" t="str">
        <f t="shared" ref="Y429:Y492" si="171">_xlfn.CONCAT(AX429," ",X429,"/","Dia")</f>
        <v>0 um/Dia</v>
      </c>
      <c r="Z429" s="220" t="str">
        <f t="shared" ref="Z429:Z492" si="172">_xlfn.CONCAT(AA429," ",X429," ","/ HH")</f>
        <v xml:space="preserve"> um / HH</v>
      </c>
      <c r="AA429" s="221" t="str">
        <f t="shared" ref="AA429:AA492" si="173">IFERROR(IF(B429=0,"",ROUND(AZ429,2)),0)</f>
        <v/>
      </c>
      <c r="AB429" s="222" t="str">
        <f t="shared" ref="AB429:AB492" si="174">_xlfn.CONCAT(ROUND(AS429,1)," ",X429," /","HH")</f>
        <v>0 um /HH</v>
      </c>
      <c r="AC429" s="223">
        <f t="shared" ref="AC429:AC492" si="175">AD429+AE429</f>
        <v>0</v>
      </c>
      <c r="AD429" s="224"/>
      <c r="AE429" s="225"/>
      <c r="AF429" s="226">
        <f t="shared" ref="AF429:AF492" si="176">IFERROR(O429/AT429,0)/BG429</f>
        <v>0</v>
      </c>
      <c r="AG429" s="227">
        <f t="shared" ref="AG429:AG492" si="177">AF429*AC429*$Z$101*$Y$104</f>
        <v>0</v>
      </c>
      <c r="AH429" s="228" t="s">
        <v>25</v>
      </c>
      <c r="AI429" s="229" t="str">
        <f t="shared" si="79"/>
        <v>Extremamente Complexa</v>
      </c>
      <c r="AJ429" s="230" t="str">
        <f t="shared" si="80"/>
        <v>Normal</v>
      </c>
      <c r="AK429" s="231">
        <f t="shared" ref="AK429:AK492" si="178">(AG429*(1+0)/$Y$102)*$Y$104</f>
        <v>0</v>
      </c>
      <c r="AL429" s="232" t="str">
        <f t="shared" ref="AL429:AL492" si="179">IFERROR(AD429/AC429,"")</f>
        <v/>
      </c>
      <c r="AM429" s="233" t="str">
        <f t="shared" ref="AM429:AM492" si="180">IFERROR(AK429*AL429,"")</f>
        <v/>
      </c>
      <c r="AN429" s="233" t="str">
        <f t="shared" ref="AN429:AN492" si="181">IFERROR(AK429-AM429,"")</f>
        <v/>
      </c>
      <c r="AO429" s="234">
        <f t="shared" ref="AO429:AO492" si="182">IFERROR(AK429/$AK$107,"")</f>
        <v>0</v>
      </c>
      <c r="AP429" s="235">
        <f t="shared" si="166"/>
        <v>1</v>
      </c>
      <c r="AQ429" s="235">
        <f t="shared" si="166"/>
        <v>1</v>
      </c>
      <c r="AR429" s="236">
        <f t="shared" ref="AR429:AR492" si="183">IF(O429=0,1,IF(I429=0,AQ429,IF(J429=0,AP429,SMALL(AP429:AQ429,1))))</f>
        <v>1</v>
      </c>
      <c r="AS429" s="251">
        <f t="shared" ref="AS429:AS492" si="184">IFERROR(O429/AG429,0)</f>
        <v>0</v>
      </c>
      <c r="AT429" s="238">
        <f t="shared" ref="AT429:AT492" si="185">IF(X429=$X$5,1,AX429)</f>
        <v>0</v>
      </c>
      <c r="AU429" s="239">
        <f t="shared" ref="AU429:AU492" si="186">VLOOKUP(AH429,$AI$66:$AJ$69,2,0)</f>
        <v>0</v>
      </c>
      <c r="AV429" s="239">
        <f t="shared" ref="AV429:AV492" si="187">VLOOKUP(AJ429,$AJ$73:$AK$76,2,1)</f>
        <v>0</v>
      </c>
      <c r="AW429" s="239">
        <f t="shared" ref="AW429:AW492" si="188">VLOOKUP(AI429,$AI$83:$AJ$86,2,0)</f>
        <v>0.05</v>
      </c>
      <c r="AX429" s="240">
        <f t="shared" ref="AX429:AX492" si="189" xml:space="preserve">   ROUND((IFERROR(AVERAGEIF(P429:U429,"&gt;0,1"),0)*BD429),0)</f>
        <v>0</v>
      </c>
      <c r="AY429" s="241" t="str">
        <f t="shared" ref="AY429:AY492" si="190">IFERROR(ROUND(AS429,1)-AA429,"")</f>
        <v/>
      </c>
      <c r="AZ429" s="242" t="str">
        <f>IFERROR(VLOOKUP(M429,'[1]Base Brasil Obras'!$C$2:$F$485,4,0),"")</f>
        <v/>
      </c>
      <c r="BA429" s="243">
        <f t="shared" ref="BA429:BA492" si="191">B429*(1-$U$107)</f>
        <v>0</v>
      </c>
      <c r="BB429" s="244">
        <f t="shared" ref="BB429:BB492" si="192">1-AR429</f>
        <v>0</v>
      </c>
      <c r="BC429" s="244">
        <f t="shared" ref="BC429:BC492" si="193">AU429+AV429+AW429</f>
        <v>0.05</v>
      </c>
      <c r="BD429" s="245">
        <f t="shared" ref="BD429:BD492" si="194">1-(BB429+BC429)</f>
        <v>0.95</v>
      </c>
      <c r="BE429" s="246">
        <f t="shared" ref="BE429:BE492" si="195">IFERROR(B429/(AC429*$Z$101),0)</f>
        <v>0</v>
      </c>
      <c r="BF429" s="247">
        <v>0</v>
      </c>
      <c r="BG429" s="248">
        <f t="shared" ref="BG429:BG492" si="196">IFERROR(AC429/BF429,1)</f>
        <v>1</v>
      </c>
      <c r="BH429" s="198"/>
      <c r="BI429" s="198"/>
      <c r="BJ429" s="199"/>
      <c r="BK429" s="200"/>
      <c r="BL429" s="200"/>
      <c r="BM429" s="200"/>
      <c r="BN429" s="200"/>
      <c r="BO429" s="10"/>
    </row>
    <row r="430" spans="1:67" ht="18" x14ac:dyDescent="0.25">
      <c r="A430" s="201">
        <v>322</v>
      </c>
      <c r="B430" s="286"/>
      <c r="C430" s="203">
        <f t="shared" si="167"/>
        <v>0</v>
      </c>
      <c r="D430" s="204"/>
      <c r="E430" s="204"/>
      <c r="F430" s="207"/>
      <c r="G430" s="206"/>
      <c r="H430" s="207"/>
      <c r="I430" s="208" t="s">
        <v>125</v>
      </c>
      <c r="J430" s="208" t="s">
        <v>126</v>
      </c>
      <c r="K430" s="287"/>
      <c r="L430" s="288"/>
      <c r="M430" s="289"/>
      <c r="N430" s="257"/>
      <c r="O430" s="213"/>
      <c r="P430" s="214"/>
      <c r="Q430" s="214"/>
      <c r="R430" s="214"/>
      <c r="S430" s="214"/>
      <c r="T430" s="214"/>
      <c r="U430" s="215">
        <f t="shared" si="168"/>
        <v>0</v>
      </c>
      <c r="V430" s="216" t="str">
        <f t="shared" si="169"/>
        <v/>
      </c>
      <c r="W430" s="217" t="str">
        <f t="shared" si="170"/>
        <v/>
      </c>
      <c r="X430" s="218" t="s">
        <v>20</v>
      </c>
      <c r="Y430" s="219" t="str">
        <f t="shared" si="171"/>
        <v>0 um/Dia</v>
      </c>
      <c r="Z430" s="220" t="str">
        <f t="shared" si="172"/>
        <v xml:space="preserve"> um / HH</v>
      </c>
      <c r="AA430" s="221" t="str">
        <f t="shared" si="173"/>
        <v/>
      </c>
      <c r="AB430" s="222" t="str">
        <f t="shared" si="174"/>
        <v>0 um /HH</v>
      </c>
      <c r="AC430" s="223">
        <f t="shared" si="175"/>
        <v>0</v>
      </c>
      <c r="AD430" s="224"/>
      <c r="AE430" s="225"/>
      <c r="AF430" s="226">
        <f t="shared" si="176"/>
        <v>0</v>
      </c>
      <c r="AG430" s="227">
        <f t="shared" si="177"/>
        <v>0</v>
      </c>
      <c r="AH430" s="228" t="s">
        <v>25</v>
      </c>
      <c r="AI430" s="229" t="str">
        <f t="shared" si="79"/>
        <v>Extremamente Complexa</v>
      </c>
      <c r="AJ430" s="230" t="str">
        <f t="shared" si="80"/>
        <v>Normal</v>
      </c>
      <c r="AK430" s="231">
        <f t="shared" si="178"/>
        <v>0</v>
      </c>
      <c r="AL430" s="232" t="str">
        <f t="shared" si="179"/>
        <v/>
      </c>
      <c r="AM430" s="233" t="str">
        <f t="shared" si="180"/>
        <v/>
      </c>
      <c r="AN430" s="233" t="str">
        <f t="shared" si="181"/>
        <v/>
      </c>
      <c r="AO430" s="234">
        <f t="shared" si="182"/>
        <v>0</v>
      </c>
      <c r="AP430" s="235">
        <f t="shared" si="166"/>
        <v>1</v>
      </c>
      <c r="AQ430" s="235">
        <f t="shared" si="166"/>
        <v>1</v>
      </c>
      <c r="AR430" s="235">
        <f t="shared" si="183"/>
        <v>1</v>
      </c>
      <c r="AS430" s="252">
        <f t="shared" si="184"/>
        <v>0</v>
      </c>
      <c r="AT430" s="238">
        <f t="shared" si="185"/>
        <v>0</v>
      </c>
      <c r="AU430" s="239">
        <f t="shared" si="186"/>
        <v>0</v>
      </c>
      <c r="AV430" s="239">
        <f t="shared" si="187"/>
        <v>0</v>
      </c>
      <c r="AW430" s="239">
        <f t="shared" si="188"/>
        <v>0.05</v>
      </c>
      <c r="AX430" s="240">
        <f t="shared" si="189"/>
        <v>0</v>
      </c>
      <c r="AY430" s="241" t="str">
        <f t="shared" si="190"/>
        <v/>
      </c>
      <c r="AZ430" s="242" t="str">
        <f>IFERROR(VLOOKUP(M430,'[1]Base Brasil Obras'!$C$2:$F$485,4,0),"")</f>
        <v/>
      </c>
      <c r="BA430" s="243">
        <f t="shared" si="191"/>
        <v>0</v>
      </c>
      <c r="BB430" s="244">
        <f t="shared" si="192"/>
        <v>0</v>
      </c>
      <c r="BC430" s="244">
        <f t="shared" si="193"/>
        <v>0.05</v>
      </c>
      <c r="BD430" s="245">
        <f t="shared" si="194"/>
        <v>0.95</v>
      </c>
      <c r="BE430" s="246">
        <f t="shared" si="195"/>
        <v>0</v>
      </c>
      <c r="BF430" s="247">
        <v>0</v>
      </c>
      <c r="BG430" s="248">
        <f t="shared" si="196"/>
        <v>1</v>
      </c>
      <c r="BH430" s="198"/>
      <c r="BI430" s="198"/>
      <c r="BJ430" s="199"/>
      <c r="BK430" s="200"/>
      <c r="BL430" s="200"/>
      <c r="BM430" s="200"/>
      <c r="BN430" s="200"/>
      <c r="BO430" s="10"/>
    </row>
    <row r="431" spans="1:67" ht="18" x14ac:dyDescent="0.25">
      <c r="A431" s="201">
        <v>323</v>
      </c>
      <c r="B431" s="286"/>
      <c r="C431" s="203">
        <f t="shared" si="167"/>
        <v>0</v>
      </c>
      <c r="D431" s="204"/>
      <c r="E431" s="204"/>
      <c r="F431" s="207"/>
      <c r="G431" s="206"/>
      <c r="H431" s="207"/>
      <c r="I431" s="208" t="s">
        <v>125</v>
      </c>
      <c r="J431" s="208" t="s">
        <v>126</v>
      </c>
      <c r="K431" s="287"/>
      <c r="L431" s="288"/>
      <c r="M431" s="289"/>
      <c r="N431" s="257"/>
      <c r="O431" s="213"/>
      <c r="P431" s="214"/>
      <c r="Q431" s="214"/>
      <c r="R431" s="214"/>
      <c r="S431" s="214"/>
      <c r="T431" s="214"/>
      <c r="U431" s="215">
        <f t="shared" si="168"/>
        <v>0</v>
      </c>
      <c r="V431" s="216" t="str">
        <f t="shared" si="169"/>
        <v/>
      </c>
      <c r="W431" s="217" t="str">
        <f t="shared" si="170"/>
        <v/>
      </c>
      <c r="X431" s="218" t="s">
        <v>20</v>
      </c>
      <c r="Y431" s="219" t="str">
        <f t="shared" si="171"/>
        <v>0 um/Dia</v>
      </c>
      <c r="Z431" s="220" t="str">
        <f t="shared" si="172"/>
        <v xml:space="preserve"> um / HH</v>
      </c>
      <c r="AA431" s="221" t="str">
        <f t="shared" si="173"/>
        <v/>
      </c>
      <c r="AB431" s="222" t="str">
        <f t="shared" si="174"/>
        <v>0 um /HH</v>
      </c>
      <c r="AC431" s="223">
        <f t="shared" si="175"/>
        <v>0</v>
      </c>
      <c r="AD431" s="224"/>
      <c r="AE431" s="225"/>
      <c r="AF431" s="226">
        <f t="shared" si="176"/>
        <v>0</v>
      </c>
      <c r="AG431" s="227">
        <f t="shared" si="177"/>
        <v>0</v>
      </c>
      <c r="AH431" s="228" t="s">
        <v>25</v>
      </c>
      <c r="AI431" s="229" t="str">
        <f t="shared" si="79"/>
        <v>Extremamente Complexa</v>
      </c>
      <c r="AJ431" s="230" t="str">
        <f t="shared" si="80"/>
        <v>Normal</v>
      </c>
      <c r="AK431" s="231">
        <f t="shared" si="178"/>
        <v>0</v>
      </c>
      <c r="AL431" s="232" t="str">
        <f t="shared" si="179"/>
        <v/>
      </c>
      <c r="AM431" s="233" t="str">
        <f t="shared" si="180"/>
        <v/>
      </c>
      <c r="AN431" s="233" t="str">
        <f t="shared" si="181"/>
        <v/>
      </c>
      <c r="AO431" s="234">
        <f t="shared" si="182"/>
        <v>0</v>
      </c>
      <c r="AP431" s="235">
        <f t="shared" si="166"/>
        <v>1</v>
      </c>
      <c r="AQ431" s="235">
        <f t="shared" si="166"/>
        <v>1</v>
      </c>
      <c r="AR431" s="236">
        <f t="shared" si="183"/>
        <v>1</v>
      </c>
      <c r="AS431" s="251">
        <f t="shared" si="184"/>
        <v>0</v>
      </c>
      <c r="AT431" s="238">
        <f t="shared" si="185"/>
        <v>0</v>
      </c>
      <c r="AU431" s="239">
        <f t="shared" si="186"/>
        <v>0</v>
      </c>
      <c r="AV431" s="239">
        <f t="shared" si="187"/>
        <v>0</v>
      </c>
      <c r="AW431" s="239">
        <f t="shared" si="188"/>
        <v>0.05</v>
      </c>
      <c r="AX431" s="240">
        <f t="shared" si="189"/>
        <v>0</v>
      </c>
      <c r="AY431" s="241" t="str">
        <f t="shared" si="190"/>
        <v/>
      </c>
      <c r="AZ431" s="242" t="str">
        <f>IFERROR(VLOOKUP(M431,'[1]Base Brasil Obras'!$C$2:$F$485,4,0),"")</f>
        <v/>
      </c>
      <c r="BA431" s="243">
        <f t="shared" si="191"/>
        <v>0</v>
      </c>
      <c r="BB431" s="244">
        <f t="shared" si="192"/>
        <v>0</v>
      </c>
      <c r="BC431" s="244">
        <f t="shared" si="193"/>
        <v>0.05</v>
      </c>
      <c r="BD431" s="245">
        <f t="shared" si="194"/>
        <v>0.95</v>
      </c>
      <c r="BE431" s="246">
        <f t="shared" si="195"/>
        <v>0</v>
      </c>
      <c r="BF431" s="247">
        <v>0</v>
      </c>
      <c r="BG431" s="248">
        <f t="shared" si="196"/>
        <v>1</v>
      </c>
      <c r="BH431" s="198"/>
      <c r="BI431" s="198"/>
      <c r="BJ431" s="199"/>
      <c r="BK431" s="200"/>
      <c r="BL431" s="200"/>
      <c r="BM431" s="200"/>
      <c r="BN431" s="200"/>
      <c r="BO431" s="10"/>
    </row>
    <row r="432" spans="1:67" ht="18" x14ac:dyDescent="0.25">
      <c r="A432" s="201">
        <v>324</v>
      </c>
      <c r="B432" s="286"/>
      <c r="C432" s="203">
        <f t="shared" si="167"/>
        <v>0</v>
      </c>
      <c r="D432" s="204"/>
      <c r="E432" s="204"/>
      <c r="F432" s="207"/>
      <c r="G432" s="206"/>
      <c r="H432" s="207"/>
      <c r="I432" s="208" t="s">
        <v>125</v>
      </c>
      <c r="J432" s="208" t="s">
        <v>126</v>
      </c>
      <c r="K432" s="287"/>
      <c r="L432" s="288"/>
      <c r="M432" s="289"/>
      <c r="N432" s="257"/>
      <c r="O432" s="213"/>
      <c r="P432" s="214"/>
      <c r="Q432" s="214"/>
      <c r="R432" s="214"/>
      <c r="S432" s="214"/>
      <c r="T432" s="214"/>
      <c r="U432" s="215">
        <f t="shared" si="168"/>
        <v>0</v>
      </c>
      <c r="V432" s="216" t="str">
        <f t="shared" si="169"/>
        <v/>
      </c>
      <c r="W432" s="217" t="str">
        <f t="shared" si="170"/>
        <v/>
      </c>
      <c r="X432" s="218" t="s">
        <v>20</v>
      </c>
      <c r="Y432" s="219" t="str">
        <f t="shared" si="171"/>
        <v>0 um/Dia</v>
      </c>
      <c r="Z432" s="220" t="str">
        <f t="shared" si="172"/>
        <v xml:space="preserve"> um / HH</v>
      </c>
      <c r="AA432" s="221" t="str">
        <f t="shared" si="173"/>
        <v/>
      </c>
      <c r="AB432" s="222" t="str">
        <f t="shared" si="174"/>
        <v>0 um /HH</v>
      </c>
      <c r="AC432" s="223">
        <f t="shared" si="175"/>
        <v>0</v>
      </c>
      <c r="AD432" s="224"/>
      <c r="AE432" s="225"/>
      <c r="AF432" s="226">
        <f t="shared" si="176"/>
        <v>0</v>
      </c>
      <c r="AG432" s="227">
        <f t="shared" si="177"/>
        <v>0</v>
      </c>
      <c r="AH432" s="228" t="s">
        <v>25</v>
      </c>
      <c r="AI432" s="229" t="str">
        <f t="shared" si="79"/>
        <v>Extremamente Complexa</v>
      </c>
      <c r="AJ432" s="230" t="str">
        <f t="shared" si="80"/>
        <v>Normal</v>
      </c>
      <c r="AK432" s="231">
        <f t="shared" si="178"/>
        <v>0</v>
      </c>
      <c r="AL432" s="232" t="str">
        <f t="shared" si="179"/>
        <v/>
      </c>
      <c r="AM432" s="233" t="str">
        <f t="shared" si="180"/>
        <v/>
      </c>
      <c r="AN432" s="233" t="str">
        <f t="shared" si="181"/>
        <v/>
      </c>
      <c r="AO432" s="234">
        <f t="shared" si="182"/>
        <v>0</v>
      </c>
      <c r="AP432" s="235">
        <f t="shared" si="166"/>
        <v>1</v>
      </c>
      <c r="AQ432" s="235">
        <f t="shared" si="166"/>
        <v>1</v>
      </c>
      <c r="AR432" s="235">
        <f t="shared" si="183"/>
        <v>1</v>
      </c>
      <c r="AS432" s="252">
        <f t="shared" si="184"/>
        <v>0</v>
      </c>
      <c r="AT432" s="238">
        <f t="shared" si="185"/>
        <v>0</v>
      </c>
      <c r="AU432" s="239">
        <f t="shared" si="186"/>
        <v>0</v>
      </c>
      <c r="AV432" s="239">
        <f t="shared" si="187"/>
        <v>0</v>
      </c>
      <c r="AW432" s="239">
        <f t="shared" si="188"/>
        <v>0.05</v>
      </c>
      <c r="AX432" s="240">
        <f t="shared" si="189"/>
        <v>0</v>
      </c>
      <c r="AY432" s="241" t="str">
        <f t="shared" si="190"/>
        <v/>
      </c>
      <c r="AZ432" s="242" t="str">
        <f>IFERROR(VLOOKUP(M432,'[1]Base Brasil Obras'!$C$2:$F$485,4,0),"")</f>
        <v/>
      </c>
      <c r="BA432" s="243">
        <f t="shared" si="191"/>
        <v>0</v>
      </c>
      <c r="BB432" s="244">
        <f t="shared" si="192"/>
        <v>0</v>
      </c>
      <c r="BC432" s="244">
        <f t="shared" si="193"/>
        <v>0.05</v>
      </c>
      <c r="BD432" s="245">
        <f t="shared" si="194"/>
        <v>0.95</v>
      </c>
      <c r="BE432" s="246">
        <f t="shared" si="195"/>
        <v>0</v>
      </c>
      <c r="BF432" s="247">
        <v>0</v>
      </c>
      <c r="BG432" s="248">
        <f t="shared" si="196"/>
        <v>1</v>
      </c>
      <c r="BH432" s="198"/>
      <c r="BI432" s="198"/>
      <c r="BJ432" s="199"/>
      <c r="BK432" s="200"/>
      <c r="BL432" s="200"/>
      <c r="BM432" s="200"/>
      <c r="BN432" s="200"/>
      <c r="BO432" s="10"/>
    </row>
    <row r="433" spans="1:67" ht="18" x14ac:dyDescent="0.25">
      <c r="A433" s="201">
        <v>325</v>
      </c>
      <c r="B433" s="286"/>
      <c r="C433" s="203">
        <f t="shared" si="167"/>
        <v>0</v>
      </c>
      <c r="D433" s="204"/>
      <c r="E433" s="204"/>
      <c r="F433" s="207"/>
      <c r="G433" s="206"/>
      <c r="H433" s="207"/>
      <c r="I433" s="208" t="s">
        <v>125</v>
      </c>
      <c r="J433" s="208" t="s">
        <v>126</v>
      </c>
      <c r="K433" s="287"/>
      <c r="L433" s="288"/>
      <c r="M433" s="289"/>
      <c r="N433" s="257"/>
      <c r="O433" s="213"/>
      <c r="P433" s="214"/>
      <c r="Q433" s="214"/>
      <c r="R433" s="214"/>
      <c r="S433" s="214"/>
      <c r="T433" s="214"/>
      <c r="U433" s="215">
        <f t="shared" si="168"/>
        <v>0</v>
      </c>
      <c r="V433" s="216" t="str">
        <f t="shared" si="169"/>
        <v/>
      </c>
      <c r="W433" s="217" t="str">
        <f t="shared" si="170"/>
        <v/>
      </c>
      <c r="X433" s="218" t="s">
        <v>20</v>
      </c>
      <c r="Y433" s="219" t="str">
        <f t="shared" si="171"/>
        <v>0 um/Dia</v>
      </c>
      <c r="Z433" s="220" t="str">
        <f t="shared" si="172"/>
        <v xml:space="preserve"> um / HH</v>
      </c>
      <c r="AA433" s="221" t="str">
        <f t="shared" si="173"/>
        <v/>
      </c>
      <c r="AB433" s="222" t="str">
        <f t="shared" si="174"/>
        <v>0 um /HH</v>
      </c>
      <c r="AC433" s="223">
        <f t="shared" si="175"/>
        <v>0</v>
      </c>
      <c r="AD433" s="224"/>
      <c r="AE433" s="225"/>
      <c r="AF433" s="226">
        <f t="shared" si="176"/>
        <v>0</v>
      </c>
      <c r="AG433" s="227">
        <f t="shared" si="177"/>
        <v>0</v>
      </c>
      <c r="AH433" s="228" t="s">
        <v>25</v>
      </c>
      <c r="AI433" s="229" t="str">
        <f t="shared" si="79"/>
        <v>Extremamente Complexa</v>
      </c>
      <c r="AJ433" s="230" t="str">
        <f t="shared" si="80"/>
        <v>Normal</v>
      </c>
      <c r="AK433" s="231">
        <f t="shared" si="178"/>
        <v>0</v>
      </c>
      <c r="AL433" s="232" t="str">
        <f t="shared" si="179"/>
        <v/>
      </c>
      <c r="AM433" s="233" t="str">
        <f t="shared" si="180"/>
        <v/>
      </c>
      <c r="AN433" s="233" t="str">
        <f t="shared" si="181"/>
        <v/>
      </c>
      <c r="AO433" s="234">
        <f t="shared" si="182"/>
        <v>0</v>
      </c>
      <c r="AP433" s="235">
        <f t="shared" si="166"/>
        <v>1</v>
      </c>
      <c r="AQ433" s="235">
        <f t="shared" si="166"/>
        <v>1</v>
      </c>
      <c r="AR433" s="236">
        <f t="shared" si="183"/>
        <v>1</v>
      </c>
      <c r="AS433" s="251">
        <f t="shared" si="184"/>
        <v>0</v>
      </c>
      <c r="AT433" s="238">
        <f t="shared" si="185"/>
        <v>0</v>
      </c>
      <c r="AU433" s="239">
        <f t="shared" si="186"/>
        <v>0</v>
      </c>
      <c r="AV433" s="239">
        <f t="shared" si="187"/>
        <v>0</v>
      </c>
      <c r="AW433" s="239">
        <f t="shared" si="188"/>
        <v>0.05</v>
      </c>
      <c r="AX433" s="240">
        <f t="shared" si="189"/>
        <v>0</v>
      </c>
      <c r="AY433" s="241" t="str">
        <f t="shared" si="190"/>
        <v/>
      </c>
      <c r="AZ433" s="242" t="str">
        <f>IFERROR(VLOOKUP(M433,'[1]Base Brasil Obras'!$C$2:$F$485,4,0),"")</f>
        <v/>
      </c>
      <c r="BA433" s="243">
        <f t="shared" si="191"/>
        <v>0</v>
      </c>
      <c r="BB433" s="244">
        <f t="shared" si="192"/>
        <v>0</v>
      </c>
      <c r="BC433" s="244">
        <f t="shared" si="193"/>
        <v>0.05</v>
      </c>
      <c r="BD433" s="245">
        <f t="shared" si="194"/>
        <v>0.95</v>
      </c>
      <c r="BE433" s="246">
        <f t="shared" si="195"/>
        <v>0</v>
      </c>
      <c r="BF433" s="247">
        <v>0</v>
      </c>
      <c r="BG433" s="248">
        <f t="shared" si="196"/>
        <v>1</v>
      </c>
      <c r="BH433" s="198"/>
      <c r="BI433" s="198"/>
      <c r="BJ433" s="199"/>
      <c r="BK433" s="200"/>
      <c r="BL433" s="200"/>
      <c r="BM433" s="200"/>
      <c r="BN433" s="200"/>
      <c r="BO433" s="10"/>
    </row>
    <row r="434" spans="1:67" ht="18" x14ac:dyDescent="0.25">
      <c r="A434" s="201">
        <v>326</v>
      </c>
      <c r="B434" s="286"/>
      <c r="C434" s="203">
        <f t="shared" si="167"/>
        <v>0</v>
      </c>
      <c r="D434" s="204"/>
      <c r="E434" s="204"/>
      <c r="F434" s="207"/>
      <c r="G434" s="206"/>
      <c r="H434" s="207"/>
      <c r="I434" s="208" t="s">
        <v>125</v>
      </c>
      <c r="J434" s="208" t="s">
        <v>126</v>
      </c>
      <c r="K434" s="287"/>
      <c r="L434" s="288"/>
      <c r="M434" s="289"/>
      <c r="N434" s="257"/>
      <c r="O434" s="213"/>
      <c r="P434" s="214"/>
      <c r="Q434" s="214"/>
      <c r="R434" s="214"/>
      <c r="S434" s="214"/>
      <c r="T434" s="214"/>
      <c r="U434" s="215">
        <f t="shared" si="168"/>
        <v>0</v>
      </c>
      <c r="V434" s="216" t="str">
        <f t="shared" si="169"/>
        <v/>
      </c>
      <c r="W434" s="217" t="str">
        <f t="shared" si="170"/>
        <v/>
      </c>
      <c r="X434" s="218" t="s">
        <v>20</v>
      </c>
      <c r="Y434" s="219" t="str">
        <f t="shared" si="171"/>
        <v>0 um/Dia</v>
      </c>
      <c r="Z434" s="220" t="str">
        <f t="shared" si="172"/>
        <v xml:space="preserve"> um / HH</v>
      </c>
      <c r="AA434" s="221" t="str">
        <f t="shared" si="173"/>
        <v/>
      </c>
      <c r="AB434" s="222" t="str">
        <f t="shared" si="174"/>
        <v>0 um /HH</v>
      </c>
      <c r="AC434" s="223">
        <f t="shared" si="175"/>
        <v>0</v>
      </c>
      <c r="AD434" s="224"/>
      <c r="AE434" s="225"/>
      <c r="AF434" s="226">
        <f t="shared" si="176"/>
        <v>0</v>
      </c>
      <c r="AG434" s="227">
        <f t="shared" si="177"/>
        <v>0</v>
      </c>
      <c r="AH434" s="228" t="s">
        <v>25</v>
      </c>
      <c r="AI434" s="229" t="str">
        <f t="shared" si="79"/>
        <v>Extremamente Complexa</v>
      </c>
      <c r="AJ434" s="230" t="str">
        <f t="shared" si="80"/>
        <v>Normal</v>
      </c>
      <c r="AK434" s="231">
        <f t="shared" si="178"/>
        <v>0</v>
      </c>
      <c r="AL434" s="232" t="str">
        <f t="shared" si="179"/>
        <v/>
      </c>
      <c r="AM434" s="233" t="str">
        <f t="shared" si="180"/>
        <v/>
      </c>
      <c r="AN434" s="233" t="str">
        <f t="shared" si="181"/>
        <v/>
      </c>
      <c r="AO434" s="234">
        <f t="shared" si="182"/>
        <v>0</v>
      </c>
      <c r="AP434" s="235">
        <f t="shared" si="166"/>
        <v>1</v>
      </c>
      <c r="AQ434" s="235">
        <f t="shared" si="166"/>
        <v>1</v>
      </c>
      <c r="AR434" s="235">
        <f t="shared" si="183"/>
        <v>1</v>
      </c>
      <c r="AS434" s="252">
        <f t="shared" si="184"/>
        <v>0</v>
      </c>
      <c r="AT434" s="238">
        <f t="shared" si="185"/>
        <v>0</v>
      </c>
      <c r="AU434" s="239">
        <f t="shared" si="186"/>
        <v>0</v>
      </c>
      <c r="AV434" s="239">
        <f t="shared" si="187"/>
        <v>0</v>
      </c>
      <c r="AW434" s="239">
        <f t="shared" si="188"/>
        <v>0.05</v>
      </c>
      <c r="AX434" s="240">
        <f t="shared" si="189"/>
        <v>0</v>
      </c>
      <c r="AY434" s="241" t="str">
        <f t="shared" si="190"/>
        <v/>
      </c>
      <c r="AZ434" s="242" t="str">
        <f>IFERROR(VLOOKUP(M434,'[1]Base Brasil Obras'!$C$2:$F$485,4,0),"")</f>
        <v/>
      </c>
      <c r="BA434" s="243">
        <f t="shared" si="191"/>
        <v>0</v>
      </c>
      <c r="BB434" s="244">
        <f t="shared" si="192"/>
        <v>0</v>
      </c>
      <c r="BC434" s="244">
        <f t="shared" si="193"/>
        <v>0.05</v>
      </c>
      <c r="BD434" s="245">
        <f t="shared" si="194"/>
        <v>0.95</v>
      </c>
      <c r="BE434" s="246">
        <f t="shared" si="195"/>
        <v>0</v>
      </c>
      <c r="BF434" s="247">
        <v>0</v>
      </c>
      <c r="BG434" s="248">
        <f t="shared" si="196"/>
        <v>1</v>
      </c>
      <c r="BH434" s="198"/>
      <c r="BI434" s="198"/>
      <c r="BJ434" s="199"/>
      <c r="BK434" s="200"/>
      <c r="BL434" s="200"/>
      <c r="BM434" s="200"/>
      <c r="BN434" s="200"/>
      <c r="BO434" s="10"/>
    </row>
    <row r="435" spans="1:67" ht="18" x14ac:dyDescent="0.25">
      <c r="A435" s="201">
        <v>327</v>
      </c>
      <c r="B435" s="286"/>
      <c r="C435" s="203">
        <f t="shared" si="167"/>
        <v>0</v>
      </c>
      <c r="D435" s="204"/>
      <c r="E435" s="204"/>
      <c r="F435" s="207"/>
      <c r="G435" s="206"/>
      <c r="H435" s="207"/>
      <c r="I435" s="208" t="s">
        <v>125</v>
      </c>
      <c r="J435" s="208" t="s">
        <v>126</v>
      </c>
      <c r="K435" s="287"/>
      <c r="L435" s="288"/>
      <c r="M435" s="289"/>
      <c r="N435" s="257"/>
      <c r="O435" s="213"/>
      <c r="P435" s="214"/>
      <c r="Q435" s="214"/>
      <c r="R435" s="214"/>
      <c r="S435" s="214"/>
      <c r="T435" s="214"/>
      <c r="U435" s="215">
        <f t="shared" si="168"/>
        <v>0</v>
      </c>
      <c r="V435" s="216" t="str">
        <f t="shared" si="169"/>
        <v/>
      </c>
      <c r="W435" s="217" t="str">
        <f t="shared" si="170"/>
        <v/>
      </c>
      <c r="X435" s="218" t="s">
        <v>20</v>
      </c>
      <c r="Y435" s="219" t="str">
        <f t="shared" si="171"/>
        <v>0 um/Dia</v>
      </c>
      <c r="Z435" s="220" t="str">
        <f t="shared" si="172"/>
        <v xml:space="preserve"> um / HH</v>
      </c>
      <c r="AA435" s="221" t="str">
        <f t="shared" si="173"/>
        <v/>
      </c>
      <c r="AB435" s="222" t="str">
        <f t="shared" si="174"/>
        <v>0 um /HH</v>
      </c>
      <c r="AC435" s="223">
        <f t="shared" si="175"/>
        <v>0</v>
      </c>
      <c r="AD435" s="224"/>
      <c r="AE435" s="225"/>
      <c r="AF435" s="226">
        <f t="shared" si="176"/>
        <v>0</v>
      </c>
      <c r="AG435" s="227">
        <f t="shared" si="177"/>
        <v>0</v>
      </c>
      <c r="AH435" s="228" t="s">
        <v>25</v>
      </c>
      <c r="AI435" s="229" t="str">
        <f t="shared" si="79"/>
        <v>Extremamente Complexa</v>
      </c>
      <c r="AJ435" s="230" t="str">
        <f t="shared" si="80"/>
        <v>Normal</v>
      </c>
      <c r="AK435" s="231">
        <f t="shared" si="178"/>
        <v>0</v>
      </c>
      <c r="AL435" s="232" t="str">
        <f t="shared" si="179"/>
        <v/>
      </c>
      <c r="AM435" s="233" t="str">
        <f t="shared" si="180"/>
        <v/>
      </c>
      <c r="AN435" s="233" t="str">
        <f t="shared" si="181"/>
        <v/>
      </c>
      <c r="AO435" s="234">
        <f t="shared" si="182"/>
        <v>0</v>
      </c>
      <c r="AP435" s="235">
        <f t="shared" si="166"/>
        <v>1</v>
      </c>
      <c r="AQ435" s="235">
        <f t="shared" si="166"/>
        <v>1</v>
      </c>
      <c r="AR435" s="236">
        <f t="shared" si="183"/>
        <v>1</v>
      </c>
      <c r="AS435" s="251">
        <f t="shared" si="184"/>
        <v>0</v>
      </c>
      <c r="AT435" s="238">
        <f t="shared" si="185"/>
        <v>0</v>
      </c>
      <c r="AU435" s="239">
        <f t="shared" si="186"/>
        <v>0</v>
      </c>
      <c r="AV435" s="239">
        <f t="shared" si="187"/>
        <v>0</v>
      </c>
      <c r="AW435" s="239">
        <f t="shared" si="188"/>
        <v>0.05</v>
      </c>
      <c r="AX435" s="240">
        <f t="shared" si="189"/>
        <v>0</v>
      </c>
      <c r="AY435" s="241" t="str">
        <f t="shared" si="190"/>
        <v/>
      </c>
      <c r="AZ435" s="242" t="str">
        <f>IFERROR(VLOOKUP(M435,'[1]Base Brasil Obras'!$C$2:$F$485,4,0),"")</f>
        <v/>
      </c>
      <c r="BA435" s="243">
        <f t="shared" si="191"/>
        <v>0</v>
      </c>
      <c r="BB435" s="244">
        <f t="shared" si="192"/>
        <v>0</v>
      </c>
      <c r="BC435" s="244">
        <f t="shared" si="193"/>
        <v>0.05</v>
      </c>
      <c r="BD435" s="245">
        <f t="shared" si="194"/>
        <v>0.95</v>
      </c>
      <c r="BE435" s="246">
        <f t="shared" si="195"/>
        <v>0</v>
      </c>
      <c r="BF435" s="247">
        <v>0</v>
      </c>
      <c r="BG435" s="248">
        <f t="shared" si="196"/>
        <v>1</v>
      </c>
      <c r="BH435" s="198"/>
      <c r="BI435" s="198"/>
      <c r="BJ435" s="199"/>
      <c r="BK435" s="200"/>
      <c r="BL435" s="200"/>
      <c r="BM435" s="200"/>
      <c r="BN435" s="200"/>
      <c r="BO435" s="10"/>
    </row>
    <row r="436" spans="1:67" ht="18" x14ac:dyDescent="0.25">
      <c r="A436" s="201">
        <v>328</v>
      </c>
      <c r="B436" s="286"/>
      <c r="C436" s="203">
        <f t="shared" si="167"/>
        <v>0</v>
      </c>
      <c r="D436" s="204"/>
      <c r="E436" s="204"/>
      <c r="F436" s="207"/>
      <c r="G436" s="206"/>
      <c r="H436" s="207"/>
      <c r="I436" s="208" t="s">
        <v>125</v>
      </c>
      <c r="J436" s="208" t="s">
        <v>126</v>
      </c>
      <c r="K436" s="287"/>
      <c r="L436" s="288"/>
      <c r="M436" s="289"/>
      <c r="N436" s="257"/>
      <c r="O436" s="213"/>
      <c r="P436" s="214"/>
      <c r="Q436" s="214"/>
      <c r="R436" s="214"/>
      <c r="S436" s="214"/>
      <c r="T436" s="214"/>
      <c r="U436" s="215">
        <f t="shared" si="168"/>
        <v>0</v>
      </c>
      <c r="V436" s="216" t="str">
        <f t="shared" si="169"/>
        <v/>
      </c>
      <c r="W436" s="217" t="str">
        <f t="shared" si="170"/>
        <v/>
      </c>
      <c r="X436" s="218" t="s">
        <v>20</v>
      </c>
      <c r="Y436" s="219" t="str">
        <f t="shared" si="171"/>
        <v>0 um/Dia</v>
      </c>
      <c r="Z436" s="220" t="str">
        <f t="shared" si="172"/>
        <v xml:space="preserve"> um / HH</v>
      </c>
      <c r="AA436" s="221" t="str">
        <f t="shared" si="173"/>
        <v/>
      </c>
      <c r="AB436" s="222" t="str">
        <f t="shared" si="174"/>
        <v>0 um /HH</v>
      </c>
      <c r="AC436" s="223">
        <f t="shared" si="175"/>
        <v>0</v>
      </c>
      <c r="AD436" s="224"/>
      <c r="AE436" s="225"/>
      <c r="AF436" s="226">
        <f t="shared" si="176"/>
        <v>0</v>
      </c>
      <c r="AG436" s="227">
        <f t="shared" si="177"/>
        <v>0</v>
      </c>
      <c r="AH436" s="228" t="s">
        <v>25</v>
      </c>
      <c r="AI436" s="229" t="str">
        <f t="shared" si="79"/>
        <v>Extremamente Complexa</v>
      </c>
      <c r="AJ436" s="230" t="str">
        <f t="shared" si="80"/>
        <v>Normal</v>
      </c>
      <c r="AK436" s="231">
        <f t="shared" si="178"/>
        <v>0</v>
      </c>
      <c r="AL436" s="232" t="str">
        <f t="shared" si="179"/>
        <v/>
      </c>
      <c r="AM436" s="233" t="str">
        <f t="shared" si="180"/>
        <v/>
      </c>
      <c r="AN436" s="233" t="str">
        <f t="shared" si="181"/>
        <v/>
      </c>
      <c r="AO436" s="234">
        <f t="shared" si="182"/>
        <v>0</v>
      </c>
      <c r="AP436" s="235">
        <f t="shared" si="166"/>
        <v>1</v>
      </c>
      <c r="AQ436" s="235">
        <f t="shared" si="166"/>
        <v>1</v>
      </c>
      <c r="AR436" s="235">
        <f t="shared" si="183"/>
        <v>1</v>
      </c>
      <c r="AS436" s="252">
        <f t="shared" si="184"/>
        <v>0</v>
      </c>
      <c r="AT436" s="238">
        <f t="shared" si="185"/>
        <v>0</v>
      </c>
      <c r="AU436" s="239">
        <f t="shared" si="186"/>
        <v>0</v>
      </c>
      <c r="AV436" s="239">
        <f t="shared" si="187"/>
        <v>0</v>
      </c>
      <c r="AW436" s="239">
        <f t="shared" si="188"/>
        <v>0.05</v>
      </c>
      <c r="AX436" s="240">
        <f t="shared" si="189"/>
        <v>0</v>
      </c>
      <c r="AY436" s="241" t="str">
        <f t="shared" si="190"/>
        <v/>
      </c>
      <c r="AZ436" s="242" t="str">
        <f>IFERROR(VLOOKUP(M436,'[1]Base Brasil Obras'!$C$2:$F$485,4,0),"")</f>
        <v/>
      </c>
      <c r="BA436" s="243">
        <f t="shared" si="191"/>
        <v>0</v>
      </c>
      <c r="BB436" s="244">
        <f t="shared" si="192"/>
        <v>0</v>
      </c>
      <c r="BC436" s="244">
        <f t="shared" si="193"/>
        <v>0.05</v>
      </c>
      <c r="BD436" s="245">
        <f t="shared" si="194"/>
        <v>0.95</v>
      </c>
      <c r="BE436" s="246">
        <f t="shared" si="195"/>
        <v>0</v>
      </c>
      <c r="BF436" s="247">
        <v>0</v>
      </c>
      <c r="BG436" s="248">
        <f t="shared" si="196"/>
        <v>1</v>
      </c>
      <c r="BH436" s="198"/>
      <c r="BI436" s="198"/>
      <c r="BJ436" s="199"/>
      <c r="BK436" s="200"/>
      <c r="BL436" s="200"/>
      <c r="BM436" s="200"/>
      <c r="BN436" s="200"/>
      <c r="BO436" s="10"/>
    </row>
    <row r="437" spans="1:67" ht="18" x14ac:dyDescent="0.25">
      <c r="A437" s="201">
        <v>329</v>
      </c>
      <c r="B437" s="286"/>
      <c r="C437" s="203">
        <f t="shared" si="167"/>
        <v>0</v>
      </c>
      <c r="D437" s="204"/>
      <c r="E437" s="204"/>
      <c r="F437" s="207"/>
      <c r="G437" s="206"/>
      <c r="H437" s="207"/>
      <c r="I437" s="208" t="s">
        <v>125</v>
      </c>
      <c r="J437" s="208" t="s">
        <v>126</v>
      </c>
      <c r="K437" s="287"/>
      <c r="L437" s="288"/>
      <c r="M437" s="289"/>
      <c r="N437" s="257"/>
      <c r="O437" s="213"/>
      <c r="P437" s="214"/>
      <c r="Q437" s="214"/>
      <c r="R437" s="214"/>
      <c r="S437" s="214"/>
      <c r="T437" s="214"/>
      <c r="U437" s="215">
        <f t="shared" si="168"/>
        <v>0</v>
      </c>
      <c r="V437" s="216" t="str">
        <f t="shared" si="169"/>
        <v/>
      </c>
      <c r="W437" s="217" t="str">
        <f t="shared" si="170"/>
        <v/>
      </c>
      <c r="X437" s="218" t="s">
        <v>20</v>
      </c>
      <c r="Y437" s="219" t="str">
        <f t="shared" si="171"/>
        <v>0 um/Dia</v>
      </c>
      <c r="Z437" s="220" t="str">
        <f t="shared" si="172"/>
        <v xml:space="preserve"> um / HH</v>
      </c>
      <c r="AA437" s="221" t="str">
        <f t="shared" si="173"/>
        <v/>
      </c>
      <c r="AB437" s="222" t="str">
        <f t="shared" si="174"/>
        <v>0 um /HH</v>
      </c>
      <c r="AC437" s="223">
        <f t="shared" si="175"/>
        <v>0</v>
      </c>
      <c r="AD437" s="224"/>
      <c r="AE437" s="225"/>
      <c r="AF437" s="226">
        <f t="shared" si="176"/>
        <v>0</v>
      </c>
      <c r="AG437" s="227">
        <f t="shared" si="177"/>
        <v>0</v>
      </c>
      <c r="AH437" s="228" t="s">
        <v>25</v>
      </c>
      <c r="AI437" s="229" t="str">
        <f t="shared" si="79"/>
        <v>Extremamente Complexa</v>
      </c>
      <c r="AJ437" s="230" t="str">
        <f t="shared" si="80"/>
        <v>Normal</v>
      </c>
      <c r="AK437" s="231">
        <f t="shared" si="178"/>
        <v>0</v>
      </c>
      <c r="AL437" s="232" t="str">
        <f t="shared" si="179"/>
        <v/>
      </c>
      <c r="AM437" s="233" t="str">
        <f t="shared" si="180"/>
        <v/>
      </c>
      <c r="AN437" s="233" t="str">
        <f t="shared" si="181"/>
        <v/>
      </c>
      <c r="AO437" s="234">
        <f t="shared" si="182"/>
        <v>0</v>
      </c>
      <c r="AP437" s="235">
        <f t="shared" si="166"/>
        <v>1</v>
      </c>
      <c r="AQ437" s="235">
        <f t="shared" si="166"/>
        <v>1</v>
      </c>
      <c r="AR437" s="236">
        <f t="shared" si="183"/>
        <v>1</v>
      </c>
      <c r="AS437" s="251">
        <f t="shared" si="184"/>
        <v>0</v>
      </c>
      <c r="AT437" s="238">
        <f t="shared" si="185"/>
        <v>0</v>
      </c>
      <c r="AU437" s="239">
        <f t="shared" si="186"/>
        <v>0</v>
      </c>
      <c r="AV437" s="239">
        <f t="shared" si="187"/>
        <v>0</v>
      </c>
      <c r="AW437" s="239">
        <f t="shared" si="188"/>
        <v>0.05</v>
      </c>
      <c r="AX437" s="240">
        <f t="shared" si="189"/>
        <v>0</v>
      </c>
      <c r="AY437" s="241" t="str">
        <f t="shared" si="190"/>
        <v/>
      </c>
      <c r="AZ437" s="242" t="str">
        <f>IFERROR(VLOOKUP(M437,'[1]Base Brasil Obras'!$C$2:$F$485,4,0),"")</f>
        <v/>
      </c>
      <c r="BA437" s="243">
        <f t="shared" si="191"/>
        <v>0</v>
      </c>
      <c r="BB437" s="244">
        <f t="shared" si="192"/>
        <v>0</v>
      </c>
      <c r="BC437" s="244">
        <f t="shared" si="193"/>
        <v>0.05</v>
      </c>
      <c r="BD437" s="245">
        <f t="shared" si="194"/>
        <v>0.95</v>
      </c>
      <c r="BE437" s="246">
        <f t="shared" si="195"/>
        <v>0</v>
      </c>
      <c r="BF437" s="247">
        <v>0</v>
      </c>
      <c r="BG437" s="248">
        <f t="shared" si="196"/>
        <v>1</v>
      </c>
      <c r="BH437" s="198"/>
      <c r="BI437" s="198"/>
      <c r="BJ437" s="199"/>
      <c r="BK437" s="200"/>
      <c r="BL437" s="200"/>
      <c r="BM437" s="200"/>
      <c r="BN437" s="200"/>
      <c r="BO437" s="10"/>
    </row>
    <row r="438" spans="1:67" ht="18" x14ac:dyDescent="0.25">
      <c r="A438" s="201">
        <v>330</v>
      </c>
      <c r="B438" s="286"/>
      <c r="C438" s="203">
        <f t="shared" si="167"/>
        <v>0</v>
      </c>
      <c r="D438" s="204"/>
      <c r="E438" s="204"/>
      <c r="F438" s="207"/>
      <c r="G438" s="206"/>
      <c r="H438" s="207"/>
      <c r="I438" s="208" t="s">
        <v>125</v>
      </c>
      <c r="J438" s="208" t="s">
        <v>126</v>
      </c>
      <c r="K438" s="287"/>
      <c r="L438" s="288"/>
      <c r="M438" s="289"/>
      <c r="N438" s="257"/>
      <c r="O438" s="213"/>
      <c r="P438" s="214"/>
      <c r="Q438" s="214"/>
      <c r="R438" s="214"/>
      <c r="S438" s="214"/>
      <c r="T438" s="214"/>
      <c r="U438" s="215">
        <f t="shared" si="168"/>
        <v>0</v>
      </c>
      <c r="V438" s="216" t="str">
        <f t="shared" si="169"/>
        <v/>
      </c>
      <c r="W438" s="217" t="str">
        <f t="shared" si="170"/>
        <v/>
      </c>
      <c r="X438" s="218" t="s">
        <v>20</v>
      </c>
      <c r="Y438" s="219" t="str">
        <f t="shared" si="171"/>
        <v>0 um/Dia</v>
      </c>
      <c r="Z438" s="220" t="str">
        <f t="shared" si="172"/>
        <v xml:space="preserve"> um / HH</v>
      </c>
      <c r="AA438" s="221" t="str">
        <f t="shared" si="173"/>
        <v/>
      </c>
      <c r="AB438" s="222" t="str">
        <f t="shared" si="174"/>
        <v>0 um /HH</v>
      </c>
      <c r="AC438" s="223">
        <f t="shared" si="175"/>
        <v>0</v>
      </c>
      <c r="AD438" s="224"/>
      <c r="AE438" s="225"/>
      <c r="AF438" s="226">
        <f t="shared" si="176"/>
        <v>0</v>
      </c>
      <c r="AG438" s="227">
        <f t="shared" si="177"/>
        <v>0</v>
      </c>
      <c r="AH438" s="228" t="s">
        <v>25</v>
      </c>
      <c r="AI438" s="229" t="str">
        <f t="shared" si="79"/>
        <v>Extremamente Complexa</v>
      </c>
      <c r="AJ438" s="230" t="str">
        <f t="shared" si="80"/>
        <v>Normal</v>
      </c>
      <c r="AK438" s="231">
        <f t="shared" si="178"/>
        <v>0</v>
      </c>
      <c r="AL438" s="232" t="str">
        <f t="shared" si="179"/>
        <v/>
      </c>
      <c r="AM438" s="233" t="str">
        <f t="shared" si="180"/>
        <v/>
      </c>
      <c r="AN438" s="233" t="str">
        <f t="shared" si="181"/>
        <v/>
      </c>
      <c r="AO438" s="234">
        <f t="shared" si="182"/>
        <v>0</v>
      </c>
      <c r="AP438" s="235">
        <f t="shared" si="166"/>
        <v>1</v>
      </c>
      <c r="AQ438" s="235">
        <f t="shared" si="166"/>
        <v>1</v>
      </c>
      <c r="AR438" s="235">
        <f t="shared" si="183"/>
        <v>1</v>
      </c>
      <c r="AS438" s="252">
        <f t="shared" si="184"/>
        <v>0</v>
      </c>
      <c r="AT438" s="238">
        <f t="shared" si="185"/>
        <v>0</v>
      </c>
      <c r="AU438" s="239">
        <f t="shared" si="186"/>
        <v>0</v>
      </c>
      <c r="AV438" s="239">
        <f t="shared" si="187"/>
        <v>0</v>
      </c>
      <c r="AW438" s="239">
        <f t="shared" si="188"/>
        <v>0.05</v>
      </c>
      <c r="AX438" s="240">
        <f t="shared" si="189"/>
        <v>0</v>
      </c>
      <c r="AY438" s="241" t="str">
        <f t="shared" si="190"/>
        <v/>
      </c>
      <c r="AZ438" s="242" t="str">
        <f>IFERROR(VLOOKUP(M438,'[1]Base Brasil Obras'!$C$2:$F$485,4,0),"")</f>
        <v/>
      </c>
      <c r="BA438" s="243">
        <f t="shared" si="191"/>
        <v>0</v>
      </c>
      <c r="BB438" s="244">
        <f t="shared" si="192"/>
        <v>0</v>
      </c>
      <c r="BC438" s="244">
        <f t="shared" si="193"/>
        <v>0.05</v>
      </c>
      <c r="BD438" s="245">
        <f t="shared" si="194"/>
        <v>0.95</v>
      </c>
      <c r="BE438" s="246">
        <f t="shared" si="195"/>
        <v>0</v>
      </c>
      <c r="BF438" s="247">
        <v>0</v>
      </c>
      <c r="BG438" s="248">
        <f t="shared" si="196"/>
        <v>1</v>
      </c>
      <c r="BH438" s="198"/>
      <c r="BI438" s="198"/>
      <c r="BJ438" s="199"/>
      <c r="BK438" s="200"/>
      <c r="BL438" s="200"/>
      <c r="BM438" s="200"/>
      <c r="BN438" s="200"/>
      <c r="BO438" s="10"/>
    </row>
    <row r="439" spans="1:67" ht="18" x14ac:dyDescent="0.25">
      <c r="A439" s="201">
        <v>331</v>
      </c>
      <c r="B439" s="286"/>
      <c r="C439" s="203">
        <f t="shared" si="167"/>
        <v>0</v>
      </c>
      <c r="D439" s="204"/>
      <c r="E439" s="204"/>
      <c r="F439" s="207"/>
      <c r="G439" s="206"/>
      <c r="H439" s="207"/>
      <c r="I439" s="208" t="s">
        <v>125</v>
      </c>
      <c r="J439" s="208" t="s">
        <v>126</v>
      </c>
      <c r="K439" s="287"/>
      <c r="L439" s="288"/>
      <c r="M439" s="289"/>
      <c r="N439" s="257"/>
      <c r="O439" s="213"/>
      <c r="P439" s="214"/>
      <c r="Q439" s="214"/>
      <c r="R439" s="214"/>
      <c r="S439" s="214"/>
      <c r="T439" s="214"/>
      <c r="U439" s="215">
        <f t="shared" si="168"/>
        <v>0</v>
      </c>
      <c r="V439" s="216" t="str">
        <f t="shared" si="169"/>
        <v/>
      </c>
      <c r="W439" s="217" t="str">
        <f t="shared" si="170"/>
        <v/>
      </c>
      <c r="X439" s="218" t="s">
        <v>20</v>
      </c>
      <c r="Y439" s="219" t="str">
        <f t="shared" si="171"/>
        <v>0 um/Dia</v>
      </c>
      <c r="Z439" s="220" t="str">
        <f t="shared" si="172"/>
        <v xml:space="preserve"> um / HH</v>
      </c>
      <c r="AA439" s="221" t="str">
        <f t="shared" si="173"/>
        <v/>
      </c>
      <c r="AB439" s="222" t="str">
        <f t="shared" si="174"/>
        <v>0 um /HH</v>
      </c>
      <c r="AC439" s="223">
        <f t="shared" si="175"/>
        <v>0</v>
      </c>
      <c r="AD439" s="224"/>
      <c r="AE439" s="225"/>
      <c r="AF439" s="226">
        <f t="shared" si="176"/>
        <v>0</v>
      </c>
      <c r="AG439" s="227">
        <f t="shared" si="177"/>
        <v>0</v>
      </c>
      <c r="AH439" s="228" t="s">
        <v>25</v>
      </c>
      <c r="AI439" s="229" t="str">
        <f t="shared" si="79"/>
        <v>Extremamente Complexa</v>
      </c>
      <c r="AJ439" s="230" t="str">
        <f t="shared" si="80"/>
        <v>Normal</v>
      </c>
      <c r="AK439" s="231">
        <f t="shared" si="178"/>
        <v>0</v>
      </c>
      <c r="AL439" s="232" t="str">
        <f t="shared" si="179"/>
        <v/>
      </c>
      <c r="AM439" s="233" t="str">
        <f t="shared" si="180"/>
        <v/>
      </c>
      <c r="AN439" s="233" t="str">
        <f t="shared" si="181"/>
        <v/>
      </c>
      <c r="AO439" s="234">
        <f t="shared" si="182"/>
        <v>0</v>
      </c>
      <c r="AP439" s="235">
        <f t="shared" si="166"/>
        <v>1</v>
      </c>
      <c r="AQ439" s="235">
        <f t="shared" si="166"/>
        <v>1</v>
      </c>
      <c r="AR439" s="236">
        <f t="shared" si="183"/>
        <v>1</v>
      </c>
      <c r="AS439" s="251">
        <f t="shared" si="184"/>
        <v>0</v>
      </c>
      <c r="AT439" s="238">
        <f t="shared" si="185"/>
        <v>0</v>
      </c>
      <c r="AU439" s="239">
        <f t="shared" si="186"/>
        <v>0</v>
      </c>
      <c r="AV439" s="239">
        <f t="shared" si="187"/>
        <v>0</v>
      </c>
      <c r="AW439" s="239">
        <f t="shared" si="188"/>
        <v>0.05</v>
      </c>
      <c r="AX439" s="240">
        <f t="shared" si="189"/>
        <v>0</v>
      </c>
      <c r="AY439" s="241" t="str">
        <f t="shared" si="190"/>
        <v/>
      </c>
      <c r="AZ439" s="242" t="str">
        <f>IFERROR(VLOOKUP(M439,'[1]Base Brasil Obras'!$C$2:$F$485,4,0),"")</f>
        <v/>
      </c>
      <c r="BA439" s="243">
        <f t="shared" si="191"/>
        <v>0</v>
      </c>
      <c r="BB439" s="244">
        <f t="shared" si="192"/>
        <v>0</v>
      </c>
      <c r="BC439" s="244">
        <f t="shared" si="193"/>
        <v>0.05</v>
      </c>
      <c r="BD439" s="245">
        <f t="shared" si="194"/>
        <v>0.95</v>
      </c>
      <c r="BE439" s="246">
        <f t="shared" si="195"/>
        <v>0</v>
      </c>
      <c r="BF439" s="247">
        <v>0</v>
      </c>
      <c r="BG439" s="248">
        <f t="shared" si="196"/>
        <v>1</v>
      </c>
      <c r="BH439" s="198"/>
      <c r="BI439" s="198"/>
      <c r="BJ439" s="199"/>
      <c r="BK439" s="200"/>
      <c r="BL439" s="200"/>
      <c r="BM439" s="200"/>
      <c r="BN439" s="200"/>
      <c r="BO439" s="10"/>
    </row>
    <row r="440" spans="1:67" ht="18" x14ac:dyDescent="0.25">
      <c r="A440" s="201">
        <v>332</v>
      </c>
      <c r="B440" s="286"/>
      <c r="C440" s="203">
        <f t="shared" si="167"/>
        <v>0</v>
      </c>
      <c r="D440" s="204"/>
      <c r="E440" s="204"/>
      <c r="F440" s="207"/>
      <c r="G440" s="206"/>
      <c r="H440" s="207"/>
      <c r="I440" s="208" t="s">
        <v>125</v>
      </c>
      <c r="J440" s="208" t="s">
        <v>126</v>
      </c>
      <c r="K440" s="287"/>
      <c r="L440" s="288"/>
      <c r="M440" s="289"/>
      <c r="N440" s="257"/>
      <c r="O440" s="213"/>
      <c r="P440" s="214"/>
      <c r="Q440" s="214"/>
      <c r="R440" s="214"/>
      <c r="S440" s="214"/>
      <c r="T440" s="214"/>
      <c r="U440" s="215">
        <f t="shared" si="168"/>
        <v>0</v>
      </c>
      <c r="V440" s="216" t="str">
        <f t="shared" si="169"/>
        <v/>
      </c>
      <c r="W440" s="217" t="str">
        <f t="shared" si="170"/>
        <v/>
      </c>
      <c r="X440" s="218" t="s">
        <v>20</v>
      </c>
      <c r="Y440" s="219" t="str">
        <f t="shared" si="171"/>
        <v>0 um/Dia</v>
      </c>
      <c r="Z440" s="220" t="str">
        <f t="shared" si="172"/>
        <v xml:space="preserve"> um / HH</v>
      </c>
      <c r="AA440" s="221" t="str">
        <f t="shared" si="173"/>
        <v/>
      </c>
      <c r="AB440" s="222" t="str">
        <f t="shared" si="174"/>
        <v>0 um /HH</v>
      </c>
      <c r="AC440" s="223">
        <f t="shared" si="175"/>
        <v>0</v>
      </c>
      <c r="AD440" s="224"/>
      <c r="AE440" s="225"/>
      <c r="AF440" s="226">
        <f t="shared" si="176"/>
        <v>0</v>
      </c>
      <c r="AG440" s="227">
        <f t="shared" si="177"/>
        <v>0</v>
      </c>
      <c r="AH440" s="228" t="s">
        <v>25</v>
      </c>
      <c r="AI440" s="229" t="str">
        <f t="shared" si="79"/>
        <v>Extremamente Complexa</v>
      </c>
      <c r="AJ440" s="230" t="str">
        <f t="shared" si="80"/>
        <v>Normal</v>
      </c>
      <c r="AK440" s="231">
        <f t="shared" si="178"/>
        <v>0</v>
      </c>
      <c r="AL440" s="232" t="str">
        <f t="shared" si="179"/>
        <v/>
      </c>
      <c r="AM440" s="233" t="str">
        <f t="shared" si="180"/>
        <v/>
      </c>
      <c r="AN440" s="233" t="str">
        <f t="shared" si="181"/>
        <v/>
      </c>
      <c r="AO440" s="234">
        <f t="shared" si="182"/>
        <v>0</v>
      </c>
      <c r="AP440" s="235">
        <f t="shared" si="166"/>
        <v>1</v>
      </c>
      <c r="AQ440" s="235">
        <f t="shared" si="166"/>
        <v>1</v>
      </c>
      <c r="AR440" s="235">
        <f t="shared" si="183"/>
        <v>1</v>
      </c>
      <c r="AS440" s="252">
        <f t="shared" si="184"/>
        <v>0</v>
      </c>
      <c r="AT440" s="238">
        <f t="shared" si="185"/>
        <v>0</v>
      </c>
      <c r="AU440" s="239">
        <f t="shared" si="186"/>
        <v>0</v>
      </c>
      <c r="AV440" s="239">
        <f t="shared" si="187"/>
        <v>0</v>
      </c>
      <c r="AW440" s="239">
        <f t="shared" si="188"/>
        <v>0.05</v>
      </c>
      <c r="AX440" s="240">
        <f t="shared" si="189"/>
        <v>0</v>
      </c>
      <c r="AY440" s="241" t="str">
        <f t="shared" si="190"/>
        <v/>
      </c>
      <c r="AZ440" s="242" t="str">
        <f>IFERROR(VLOOKUP(M440,'[1]Base Brasil Obras'!$C$2:$F$485,4,0),"")</f>
        <v/>
      </c>
      <c r="BA440" s="243">
        <f t="shared" si="191"/>
        <v>0</v>
      </c>
      <c r="BB440" s="244">
        <f t="shared" si="192"/>
        <v>0</v>
      </c>
      <c r="BC440" s="244">
        <f t="shared" si="193"/>
        <v>0.05</v>
      </c>
      <c r="BD440" s="245">
        <f t="shared" si="194"/>
        <v>0.95</v>
      </c>
      <c r="BE440" s="246">
        <f t="shared" si="195"/>
        <v>0</v>
      </c>
      <c r="BF440" s="247">
        <v>0</v>
      </c>
      <c r="BG440" s="248">
        <f t="shared" si="196"/>
        <v>1</v>
      </c>
      <c r="BH440" s="198"/>
      <c r="BI440" s="198"/>
      <c r="BJ440" s="199"/>
      <c r="BK440" s="200"/>
      <c r="BL440" s="200"/>
      <c r="BM440" s="200"/>
      <c r="BN440" s="200"/>
      <c r="BO440" s="10"/>
    </row>
    <row r="441" spans="1:67" ht="18" x14ac:dyDescent="0.25">
      <c r="A441" s="201">
        <v>333</v>
      </c>
      <c r="B441" s="286"/>
      <c r="C441" s="203">
        <f t="shared" si="167"/>
        <v>0</v>
      </c>
      <c r="D441" s="204"/>
      <c r="E441" s="204"/>
      <c r="F441" s="207"/>
      <c r="G441" s="206"/>
      <c r="H441" s="207"/>
      <c r="I441" s="208" t="s">
        <v>125</v>
      </c>
      <c r="J441" s="208" t="s">
        <v>126</v>
      </c>
      <c r="K441" s="287"/>
      <c r="L441" s="288"/>
      <c r="M441" s="289"/>
      <c r="N441" s="257"/>
      <c r="O441" s="213"/>
      <c r="P441" s="214"/>
      <c r="Q441" s="214"/>
      <c r="R441" s="214"/>
      <c r="S441" s="214"/>
      <c r="T441" s="214"/>
      <c r="U441" s="215">
        <f t="shared" si="168"/>
        <v>0</v>
      </c>
      <c r="V441" s="216" t="str">
        <f t="shared" si="169"/>
        <v/>
      </c>
      <c r="W441" s="217" t="str">
        <f t="shared" si="170"/>
        <v/>
      </c>
      <c r="X441" s="218" t="s">
        <v>20</v>
      </c>
      <c r="Y441" s="219" t="str">
        <f t="shared" si="171"/>
        <v>0 um/Dia</v>
      </c>
      <c r="Z441" s="220" t="str">
        <f t="shared" si="172"/>
        <v xml:space="preserve"> um / HH</v>
      </c>
      <c r="AA441" s="221" t="str">
        <f t="shared" si="173"/>
        <v/>
      </c>
      <c r="AB441" s="222" t="str">
        <f t="shared" si="174"/>
        <v>0 um /HH</v>
      </c>
      <c r="AC441" s="223">
        <f t="shared" si="175"/>
        <v>0</v>
      </c>
      <c r="AD441" s="224"/>
      <c r="AE441" s="225"/>
      <c r="AF441" s="226">
        <f t="shared" si="176"/>
        <v>0</v>
      </c>
      <c r="AG441" s="227">
        <f t="shared" si="177"/>
        <v>0</v>
      </c>
      <c r="AH441" s="228" t="s">
        <v>25</v>
      </c>
      <c r="AI441" s="229" t="str">
        <f t="shared" si="79"/>
        <v>Extremamente Complexa</v>
      </c>
      <c r="AJ441" s="230" t="str">
        <f t="shared" si="80"/>
        <v>Normal</v>
      </c>
      <c r="AK441" s="231">
        <f t="shared" si="178"/>
        <v>0</v>
      </c>
      <c r="AL441" s="232" t="str">
        <f t="shared" si="179"/>
        <v/>
      </c>
      <c r="AM441" s="233" t="str">
        <f t="shared" si="180"/>
        <v/>
      </c>
      <c r="AN441" s="233" t="str">
        <f t="shared" si="181"/>
        <v/>
      </c>
      <c r="AO441" s="234">
        <f t="shared" si="182"/>
        <v>0</v>
      </c>
      <c r="AP441" s="235">
        <f t="shared" si="166"/>
        <v>1</v>
      </c>
      <c r="AQ441" s="235">
        <f t="shared" si="166"/>
        <v>1</v>
      </c>
      <c r="AR441" s="236">
        <f t="shared" si="183"/>
        <v>1</v>
      </c>
      <c r="AS441" s="251">
        <f t="shared" si="184"/>
        <v>0</v>
      </c>
      <c r="AT441" s="238">
        <f t="shared" si="185"/>
        <v>0</v>
      </c>
      <c r="AU441" s="239">
        <f t="shared" si="186"/>
        <v>0</v>
      </c>
      <c r="AV441" s="239">
        <f t="shared" si="187"/>
        <v>0</v>
      </c>
      <c r="AW441" s="239">
        <f t="shared" si="188"/>
        <v>0.05</v>
      </c>
      <c r="AX441" s="240">
        <f t="shared" si="189"/>
        <v>0</v>
      </c>
      <c r="AY441" s="241" t="str">
        <f t="shared" si="190"/>
        <v/>
      </c>
      <c r="AZ441" s="242" t="str">
        <f>IFERROR(VLOOKUP(M441,'[1]Base Brasil Obras'!$C$2:$F$485,4,0),"")</f>
        <v/>
      </c>
      <c r="BA441" s="243">
        <f t="shared" si="191"/>
        <v>0</v>
      </c>
      <c r="BB441" s="244">
        <f t="shared" si="192"/>
        <v>0</v>
      </c>
      <c r="BC441" s="244">
        <f t="shared" si="193"/>
        <v>0.05</v>
      </c>
      <c r="BD441" s="245">
        <f t="shared" si="194"/>
        <v>0.95</v>
      </c>
      <c r="BE441" s="246">
        <f t="shared" si="195"/>
        <v>0</v>
      </c>
      <c r="BF441" s="247">
        <v>0</v>
      </c>
      <c r="BG441" s="248">
        <f t="shared" si="196"/>
        <v>1</v>
      </c>
      <c r="BH441" s="198"/>
      <c r="BI441" s="198"/>
      <c r="BJ441" s="199"/>
      <c r="BK441" s="200"/>
      <c r="BL441" s="200"/>
      <c r="BM441" s="200"/>
      <c r="BN441" s="200"/>
      <c r="BO441" s="10"/>
    </row>
    <row r="442" spans="1:67" ht="18" x14ac:dyDescent="0.25">
      <c r="A442" s="201">
        <v>334</v>
      </c>
      <c r="B442" s="286"/>
      <c r="C442" s="203">
        <f t="shared" si="167"/>
        <v>0</v>
      </c>
      <c r="D442" s="204"/>
      <c r="E442" s="204"/>
      <c r="F442" s="207"/>
      <c r="G442" s="206"/>
      <c r="H442" s="207"/>
      <c r="I442" s="208" t="s">
        <v>125</v>
      </c>
      <c r="J442" s="208" t="s">
        <v>126</v>
      </c>
      <c r="K442" s="287"/>
      <c r="L442" s="288"/>
      <c r="M442" s="289"/>
      <c r="N442" s="257"/>
      <c r="O442" s="213"/>
      <c r="P442" s="214"/>
      <c r="Q442" s="214"/>
      <c r="R442" s="214"/>
      <c r="S442" s="214"/>
      <c r="T442" s="214"/>
      <c r="U442" s="215">
        <f t="shared" si="168"/>
        <v>0</v>
      </c>
      <c r="V442" s="216" t="str">
        <f t="shared" si="169"/>
        <v/>
      </c>
      <c r="W442" s="217" t="str">
        <f t="shared" si="170"/>
        <v/>
      </c>
      <c r="X442" s="218" t="s">
        <v>20</v>
      </c>
      <c r="Y442" s="219" t="str">
        <f t="shared" si="171"/>
        <v>0 um/Dia</v>
      </c>
      <c r="Z442" s="220" t="str">
        <f t="shared" si="172"/>
        <v xml:space="preserve"> um / HH</v>
      </c>
      <c r="AA442" s="221" t="str">
        <f t="shared" si="173"/>
        <v/>
      </c>
      <c r="AB442" s="222" t="str">
        <f t="shared" si="174"/>
        <v>0 um /HH</v>
      </c>
      <c r="AC442" s="223">
        <f t="shared" si="175"/>
        <v>0</v>
      </c>
      <c r="AD442" s="224"/>
      <c r="AE442" s="225"/>
      <c r="AF442" s="226">
        <f t="shared" si="176"/>
        <v>0</v>
      </c>
      <c r="AG442" s="227">
        <f t="shared" si="177"/>
        <v>0</v>
      </c>
      <c r="AH442" s="228" t="s">
        <v>25</v>
      </c>
      <c r="AI442" s="229" t="str">
        <f t="shared" si="79"/>
        <v>Extremamente Complexa</v>
      </c>
      <c r="AJ442" s="230" t="str">
        <f t="shared" si="80"/>
        <v>Normal</v>
      </c>
      <c r="AK442" s="231">
        <f t="shared" si="178"/>
        <v>0</v>
      </c>
      <c r="AL442" s="232" t="str">
        <f t="shared" si="179"/>
        <v/>
      </c>
      <c r="AM442" s="233" t="str">
        <f t="shared" si="180"/>
        <v/>
      </c>
      <c r="AN442" s="233" t="str">
        <f t="shared" si="181"/>
        <v/>
      </c>
      <c r="AO442" s="234">
        <f t="shared" si="182"/>
        <v>0</v>
      </c>
      <c r="AP442" s="235">
        <f t="shared" si="166"/>
        <v>1</v>
      </c>
      <c r="AQ442" s="235">
        <f t="shared" si="166"/>
        <v>1</v>
      </c>
      <c r="AR442" s="235">
        <f t="shared" si="183"/>
        <v>1</v>
      </c>
      <c r="AS442" s="252">
        <f t="shared" si="184"/>
        <v>0</v>
      </c>
      <c r="AT442" s="238">
        <f t="shared" si="185"/>
        <v>0</v>
      </c>
      <c r="AU442" s="239">
        <f t="shared" si="186"/>
        <v>0</v>
      </c>
      <c r="AV442" s="239">
        <f t="shared" si="187"/>
        <v>0</v>
      </c>
      <c r="AW442" s="239">
        <f t="shared" si="188"/>
        <v>0.05</v>
      </c>
      <c r="AX442" s="240">
        <f t="shared" si="189"/>
        <v>0</v>
      </c>
      <c r="AY442" s="241" t="str">
        <f t="shared" si="190"/>
        <v/>
      </c>
      <c r="AZ442" s="242" t="str">
        <f>IFERROR(VLOOKUP(M442,'[1]Base Brasil Obras'!$C$2:$F$485,4,0),"")</f>
        <v/>
      </c>
      <c r="BA442" s="243">
        <f t="shared" si="191"/>
        <v>0</v>
      </c>
      <c r="BB442" s="244">
        <f t="shared" si="192"/>
        <v>0</v>
      </c>
      <c r="BC442" s="244">
        <f t="shared" si="193"/>
        <v>0.05</v>
      </c>
      <c r="BD442" s="245">
        <f t="shared" si="194"/>
        <v>0.95</v>
      </c>
      <c r="BE442" s="246">
        <f t="shared" si="195"/>
        <v>0</v>
      </c>
      <c r="BF442" s="247">
        <v>0</v>
      </c>
      <c r="BG442" s="248">
        <f t="shared" si="196"/>
        <v>1</v>
      </c>
      <c r="BH442" s="198"/>
      <c r="BI442" s="198"/>
      <c r="BJ442" s="199"/>
      <c r="BK442" s="200"/>
      <c r="BL442" s="200"/>
      <c r="BM442" s="200"/>
      <c r="BN442" s="200"/>
      <c r="BO442" s="10"/>
    </row>
    <row r="443" spans="1:67" ht="18" x14ac:dyDescent="0.25">
      <c r="A443" s="201">
        <v>335</v>
      </c>
      <c r="B443" s="286"/>
      <c r="C443" s="203">
        <f t="shared" si="167"/>
        <v>0</v>
      </c>
      <c r="D443" s="204"/>
      <c r="E443" s="204"/>
      <c r="F443" s="207"/>
      <c r="G443" s="206"/>
      <c r="H443" s="207"/>
      <c r="I443" s="208" t="s">
        <v>125</v>
      </c>
      <c r="J443" s="208" t="s">
        <v>126</v>
      </c>
      <c r="K443" s="287"/>
      <c r="L443" s="288"/>
      <c r="M443" s="289"/>
      <c r="N443" s="257"/>
      <c r="O443" s="213"/>
      <c r="P443" s="214"/>
      <c r="Q443" s="214"/>
      <c r="R443" s="214"/>
      <c r="S443" s="214"/>
      <c r="T443" s="214"/>
      <c r="U443" s="215">
        <f t="shared" si="168"/>
        <v>0</v>
      </c>
      <c r="V443" s="216" t="str">
        <f t="shared" si="169"/>
        <v/>
      </c>
      <c r="W443" s="217" t="str">
        <f t="shared" si="170"/>
        <v/>
      </c>
      <c r="X443" s="218" t="s">
        <v>20</v>
      </c>
      <c r="Y443" s="219" t="str">
        <f t="shared" si="171"/>
        <v>0 um/Dia</v>
      </c>
      <c r="Z443" s="220" t="str">
        <f t="shared" si="172"/>
        <v xml:space="preserve"> um / HH</v>
      </c>
      <c r="AA443" s="221" t="str">
        <f t="shared" si="173"/>
        <v/>
      </c>
      <c r="AB443" s="222" t="str">
        <f t="shared" si="174"/>
        <v>0 um /HH</v>
      </c>
      <c r="AC443" s="223">
        <f t="shared" si="175"/>
        <v>0</v>
      </c>
      <c r="AD443" s="224"/>
      <c r="AE443" s="225"/>
      <c r="AF443" s="226">
        <f t="shared" si="176"/>
        <v>0</v>
      </c>
      <c r="AG443" s="227">
        <f t="shared" si="177"/>
        <v>0</v>
      </c>
      <c r="AH443" s="228" t="s">
        <v>25</v>
      </c>
      <c r="AI443" s="229" t="str">
        <f t="shared" si="79"/>
        <v>Extremamente Complexa</v>
      </c>
      <c r="AJ443" s="230" t="str">
        <f t="shared" si="80"/>
        <v>Normal</v>
      </c>
      <c r="AK443" s="231">
        <f t="shared" si="178"/>
        <v>0</v>
      </c>
      <c r="AL443" s="232" t="str">
        <f t="shared" si="179"/>
        <v/>
      </c>
      <c r="AM443" s="233" t="str">
        <f t="shared" si="180"/>
        <v/>
      </c>
      <c r="AN443" s="233" t="str">
        <f t="shared" si="181"/>
        <v/>
      </c>
      <c r="AO443" s="234">
        <f t="shared" si="182"/>
        <v>0</v>
      </c>
      <c r="AP443" s="235">
        <f t="shared" si="166"/>
        <v>1</v>
      </c>
      <c r="AQ443" s="235">
        <f t="shared" si="166"/>
        <v>1</v>
      </c>
      <c r="AR443" s="236">
        <f t="shared" si="183"/>
        <v>1</v>
      </c>
      <c r="AS443" s="251">
        <f t="shared" si="184"/>
        <v>0</v>
      </c>
      <c r="AT443" s="238">
        <f t="shared" si="185"/>
        <v>0</v>
      </c>
      <c r="AU443" s="239">
        <f t="shared" si="186"/>
        <v>0</v>
      </c>
      <c r="AV443" s="239">
        <f t="shared" si="187"/>
        <v>0</v>
      </c>
      <c r="AW443" s="239">
        <f t="shared" si="188"/>
        <v>0.05</v>
      </c>
      <c r="AX443" s="240">
        <f t="shared" si="189"/>
        <v>0</v>
      </c>
      <c r="AY443" s="241" t="str">
        <f t="shared" si="190"/>
        <v/>
      </c>
      <c r="AZ443" s="242" t="str">
        <f>IFERROR(VLOOKUP(M443,'[1]Base Brasil Obras'!$C$2:$F$485,4,0),"")</f>
        <v/>
      </c>
      <c r="BA443" s="243">
        <f t="shared" si="191"/>
        <v>0</v>
      </c>
      <c r="BB443" s="244">
        <f t="shared" si="192"/>
        <v>0</v>
      </c>
      <c r="BC443" s="244">
        <f t="shared" si="193"/>
        <v>0.05</v>
      </c>
      <c r="BD443" s="245">
        <f t="shared" si="194"/>
        <v>0.95</v>
      </c>
      <c r="BE443" s="246">
        <f t="shared" si="195"/>
        <v>0</v>
      </c>
      <c r="BF443" s="247">
        <v>0</v>
      </c>
      <c r="BG443" s="248">
        <f t="shared" si="196"/>
        <v>1</v>
      </c>
      <c r="BH443" s="198"/>
      <c r="BI443" s="198"/>
      <c r="BJ443" s="199"/>
      <c r="BK443" s="200"/>
      <c r="BL443" s="200"/>
      <c r="BM443" s="200"/>
      <c r="BN443" s="200"/>
      <c r="BO443" s="10"/>
    </row>
    <row r="444" spans="1:67" ht="18" x14ac:dyDescent="0.25">
      <c r="A444" s="201">
        <v>336</v>
      </c>
      <c r="B444" s="286"/>
      <c r="C444" s="203">
        <f t="shared" si="167"/>
        <v>0</v>
      </c>
      <c r="D444" s="204"/>
      <c r="E444" s="204"/>
      <c r="F444" s="207"/>
      <c r="G444" s="206"/>
      <c r="H444" s="207"/>
      <c r="I444" s="208" t="s">
        <v>125</v>
      </c>
      <c r="J444" s="208" t="s">
        <v>126</v>
      </c>
      <c r="K444" s="287"/>
      <c r="L444" s="288"/>
      <c r="M444" s="289"/>
      <c r="N444" s="257"/>
      <c r="O444" s="213"/>
      <c r="P444" s="214"/>
      <c r="Q444" s="214"/>
      <c r="R444" s="214"/>
      <c r="S444" s="214"/>
      <c r="T444" s="214"/>
      <c r="U444" s="215">
        <f t="shared" si="168"/>
        <v>0</v>
      </c>
      <c r="V444" s="216" t="str">
        <f t="shared" si="169"/>
        <v/>
      </c>
      <c r="W444" s="217" t="str">
        <f t="shared" si="170"/>
        <v/>
      </c>
      <c r="X444" s="218" t="s">
        <v>20</v>
      </c>
      <c r="Y444" s="219" t="str">
        <f t="shared" si="171"/>
        <v>0 um/Dia</v>
      </c>
      <c r="Z444" s="220" t="str">
        <f t="shared" si="172"/>
        <v xml:space="preserve"> um / HH</v>
      </c>
      <c r="AA444" s="221" t="str">
        <f t="shared" si="173"/>
        <v/>
      </c>
      <c r="AB444" s="222" t="str">
        <f t="shared" si="174"/>
        <v>0 um /HH</v>
      </c>
      <c r="AC444" s="223">
        <f t="shared" si="175"/>
        <v>0</v>
      </c>
      <c r="AD444" s="224"/>
      <c r="AE444" s="225"/>
      <c r="AF444" s="226">
        <f t="shared" si="176"/>
        <v>0</v>
      </c>
      <c r="AG444" s="227">
        <f t="shared" si="177"/>
        <v>0</v>
      </c>
      <c r="AH444" s="228" t="s">
        <v>25</v>
      </c>
      <c r="AI444" s="229" t="str">
        <f t="shared" si="79"/>
        <v>Extremamente Complexa</v>
      </c>
      <c r="AJ444" s="230" t="str">
        <f t="shared" si="80"/>
        <v>Normal</v>
      </c>
      <c r="AK444" s="231">
        <f t="shared" si="178"/>
        <v>0</v>
      </c>
      <c r="AL444" s="232" t="str">
        <f t="shared" si="179"/>
        <v/>
      </c>
      <c r="AM444" s="233" t="str">
        <f t="shared" si="180"/>
        <v/>
      </c>
      <c r="AN444" s="233" t="str">
        <f t="shared" si="181"/>
        <v/>
      </c>
      <c r="AO444" s="234">
        <f t="shared" si="182"/>
        <v>0</v>
      </c>
      <c r="AP444" s="235">
        <f t="shared" si="166"/>
        <v>1</v>
      </c>
      <c r="AQ444" s="235">
        <f t="shared" si="166"/>
        <v>1</v>
      </c>
      <c r="AR444" s="235">
        <f t="shared" si="183"/>
        <v>1</v>
      </c>
      <c r="AS444" s="252">
        <f t="shared" si="184"/>
        <v>0</v>
      </c>
      <c r="AT444" s="238">
        <f t="shared" si="185"/>
        <v>0</v>
      </c>
      <c r="AU444" s="239">
        <f t="shared" si="186"/>
        <v>0</v>
      </c>
      <c r="AV444" s="239">
        <f t="shared" si="187"/>
        <v>0</v>
      </c>
      <c r="AW444" s="239">
        <f t="shared" si="188"/>
        <v>0.05</v>
      </c>
      <c r="AX444" s="240">
        <f t="shared" si="189"/>
        <v>0</v>
      </c>
      <c r="AY444" s="241" t="str">
        <f t="shared" si="190"/>
        <v/>
      </c>
      <c r="AZ444" s="242" t="str">
        <f>IFERROR(VLOOKUP(M444,'[1]Base Brasil Obras'!$C$2:$F$485,4,0),"")</f>
        <v/>
      </c>
      <c r="BA444" s="243">
        <f t="shared" si="191"/>
        <v>0</v>
      </c>
      <c r="BB444" s="244">
        <f t="shared" si="192"/>
        <v>0</v>
      </c>
      <c r="BC444" s="244">
        <f t="shared" si="193"/>
        <v>0.05</v>
      </c>
      <c r="BD444" s="245">
        <f t="shared" si="194"/>
        <v>0.95</v>
      </c>
      <c r="BE444" s="246">
        <f t="shared" si="195"/>
        <v>0</v>
      </c>
      <c r="BF444" s="247">
        <v>0</v>
      </c>
      <c r="BG444" s="248">
        <f t="shared" si="196"/>
        <v>1</v>
      </c>
      <c r="BH444" s="198"/>
      <c r="BI444" s="198"/>
      <c r="BJ444" s="199"/>
      <c r="BK444" s="200"/>
      <c r="BL444" s="200"/>
      <c r="BM444" s="200"/>
      <c r="BN444" s="200"/>
      <c r="BO444" s="10"/>
    </row>
    <row r="445" spans="1:67" ht="18" x14ac:dyDescent="0.25">
      <c r="A445" s="201">
        <v>337</v>
      </c>
      <c r="B445" s="286"/>
      <c r="C445" s="203">
        <f t="shared" si="167"/>
        <v>0</v>
      </c>
      <c r="D445" s="204"/>
      <c r="E445" s="204"/>
      <c r="F445" s="207"/>
      <c r="G445" s="206"/>
      <c r="H445" s="207"/>
      <c r="I445" s="208" t="s">
        <v>125</v>
      </c>
      <c r="J445" s="208" t="s">
        <v>126</v>
      </c>
      <c r="K445" s="287"/>
      <c r="L445" s="288"/>
      <c r="M445" s="289"/>
      <c r="N445" s="257"/>
      <c r="O445" s="213"/>
      <c r="P445" s="214"/>
      <c r="Q445" s="214"/>
      <c r="R445" s="214"/>
      <c r="S445" s="214"/>
      <c r="T445" s="214"/>
      <c r="U445" s="215">
        <f t="shared" si="168"/>
        <v>0</v>
      </c>
      <c r="V445" s="216" t="str">
        <f t="shared" si="169"/>
        <v/>
      </c>
      <c r="W445" s="217" t="str">
        <f t="shared" si="170"/>
        <v/>
      </c>
      <c r="X445" s="218" t="s">
        <v>20</v>
      </c>
      <c r="Y445" s="219" t="str">
        <f t="shared" si="171"/>
        <v>0 um/Dia</v>
      </c>
      <c r="Z445" s="220" t="str">
        <f t="shared" si="172"/>
        <v xml:space="preserve"> um / HH</v>
      </c>
      <c r="AA445" s="221" t="str">
        <f t="shared" si="173"/>
        <v/>
      </c>
      <c r="AB445" s="222" t="str">
        <f t="shared" si="174"/>
        <v>0 um /HH</v>
      </c>
      <c r="AC445" s="223">
        <f t="shared" si="175"/>
        <v>0</v>
      </c>
      <c r="AD445" s="224"/>
      <c r="AE445" s="225"/>
      <c r="AF445" s="226">
        <f t="shared" si="176"/>
        <v>0</v>
      </c>
      <c r="AG445" s="227">
        <f t="shared" si="177"/>
        <v>0</v>
      </c>
      <c r="AH445" s="228" t="s">
        <v>25</v>
      </c>
      <c r="AI445" s="229" t="str">
        <f t="shared" ref="AI445:AI609" si="197">$AI$107</f>
        <v>Extremamente Complexa</v>
      </c>
      <c r="AJ445" s="230" t="str">
        <f t="shared" ref="AJ445:AJ609" si="198">$AJ$107</f>
        <v>Normal</v>
      </c>
      <c r="AK445" s="231">
        <f t="shared" si="178"/>
        <v>0</v>
      </c>
      <c r="AL445" s="232" t="str">
        <f t="shared" si="179"/>
        <v/>
      </c>
      <c r="AM445" s="233" t="str">
        <f t="shared" si="180"/>
        <v/>
      </c>
      <c r="AN445" s="233" t="str">
        <f t="shared" si="181"/>
        <v/>
      </c>
      <c r="AO445" s="234">
        <f t="shared" si="182"/>
        <v>0</v>
      </c>
      <c r="AP445" s="235">
        <f t="shared" ref="AP445:AQ489" si="199">IFERROR(VLOOKUP(I445,$J$1070:$K$1089,2,1),0)</f>
        <v>1</v>
      </c>
      <c r="AQ445" s="235">
        <f t="shared" si="199"/>
        <v>1</v>
      </c>
      <c r="AR445" s="236">
        <f t="shared" si="183"/>
        <v>1</v>
      </c>
      <c r="AS445" s="251">
        <f t="shared" si="184"/>
        <v>0</v>
      </c>
      <c r="AT445" s="238">
        <f t="shared" si="185"/>
        <v>0</v>
      </c>
      <c r="AU445" s="239">
        <f t="shared" si="186"/>
        <v>0</v>
      </c>
      <c r="AV445" s="239">
        <f t="shared" si="187"/>
        <v>0</v>
      </c>
      <c r="AW445" s="239">
        <f t="shared" si="188"/>
        <v>0.05</v>
      </c>
      <c r="AX445" s="240">
        <f t="shared" si="189"/>
        <v>0</v>
      </c>
      <c r="AY445" s="241" t="str">
        <f t="shared" si="190"/>
        <v/>
      </c>
      <c r="AZ445" s="242" t="str">
        <f>IFERROR(VLOOKUP(M445,'[1]Base Brasil Obras'!$C$2:$F$485,4,0),"")</f>
        <v/>
      </c>
      <c r="BA445" s="243">
        <f t="shared" si="191"/>
        <v>0</v>
      </c>
      <c r="BB445" s="244">
        <f t="shared" si="192"/>
        <v>0</v>
      </c>
      <c r="BC445" s="244">
        <f t="shared" si="193"/>
        <v>0.05</v>
      </c>
      <c r="BD445" s="245">
        <f t="shared" si="194"/>
        <v>0.95</v>
      </c>
      <c r="BE445" s="246">
        <f t="shared" si="195"/>
        <v>0</v>
      </c>
      <c r="BF445" s="247">
        <v>0</v>
      </c>
      <c r="BG445" s="248">
        <f t="shared" si="196"/>
        <v>1</v>
      </c>
      <c r="BH445" s="198"/>
      <c r="BI445" s="198"/>
      <c r="BJ445" s="199"/>
      <c r="BK445" s="200"/>
      <c r="BL445" s="200"/>
      <c r="BM445" s="200"/>
      <c r="BN445" s="200"/>
      <c r="BO445" s="10"/>
    </row>
    <row r="446" spans="1:67" ht="18" x14ac:dyDescent="0.25">
      <c r="A446" s="201">
        <v>338</v>
      </c>
      <c r="B446" s="286"/>
      <c r="C446" s="203">
        <f t="shared" si="167"/>
        <v>0</v>
      </c>
      <c r="D446" s="204"/>
      <c r="E446" s="204"/>
      <c r="F446" s="207"/>
      <c r="G446" s="206"/>
      <c r="H446" s="207"/>
      <c r="I446" s="208" t="s">
        <v>125</v>
      </c>
      <c r="J446" s="208" t="s">
        <v>126</v>
      </c>
      <c r="K446" s="287"/>
      <c r="L446" s="288"/>
      <c r="M446" s="289"/>
      <c r="N446" s="257"/>
      <c r="O446" s="213"/>
      <c r="P446" s="214"/>
      <c r="Q446" s="214"/>
      <c r="R446" s="214"/>
      <c r="S446" s="214"/>
      <c r="T446" s="214"/>
      <c r="U446" s="215">
        <f t="shared" si="168"/>
        <v>0</v>
      </c>
      <c r="V446" s="216" t="str">
        <f t="shared" si="169"/>
        <v/>
      </c>
      <c r="W446" s="217" t="str">
        <f t="shared" si="170"/>
        <v/>
      </c>
      <c r="X446" s="218" t="s">
        <v>20</v>
      </c>
      <c r="Y446" s="219" t="str">
        <f t="shared" si="171"/>
        <v>0 um/Dia</v>
      </c>
      <c r="Z446" s="220" t="str">
        <f t="shared" si="172"/>
        <v xml:space="preserve"> um / HH</v>
      </c>
      <c r="AA446" s="221" t="str">
        <f t="shared" si="173"/>
        <v/>
      </c>
      <c r="AB446" s="222" t="str">
        <f t="shared" si="174"/>
        <v>0 um /HH</v>
      </c>
      <c r="AC446" s="223">
        <f t="shared" si="175"/>
        <v>0</v>
      </c>
      <c r="AD446" s="224"/>
      <c r="AE446" s="225"/>
      <c r="AF446" s="226">
        <f t="shared" si="176"/>
        <v>0</v>
      </c>
      <c r="AG446" s="227">
        <f t="shared" si="177"/>
        <v>0</v>
      </c>
      <c r="AH446" s="228" t="s">
        <v>25</v>
      </c>
      <c r="AI446" s="229" t="str">
        <f t="shared" si="197"/>
        <v>Extremamente Complexa</v>
      </c>
      <c r="AJ446" s="230" t="str">
        <f t="shared" si="198"/>
        <v>Normal</v>
      </c>
      <c r="AK446" s="231">
        <f t="shared" si="178"/>
        <v>0</v>
      </c>
      <c r="AL446" s="232" t="str">
        <f t="shared" si="179"/>
        <v/>
      </c>
      <c r="AM446" s="233" t="str">
        <f t="shared" si="180"/>
        <v/>
      </c>
      <c r="AN446" s="233" t="str">
        <f t="shared" si="181"/>
        <v/>
      </c>
      <c r="AO446" s="234">
        <f t="shared" si="182"/>
        <v>0</v>
      </c>
      <c r="AP446" s="235">
        <f t="shared" si="199"/>
        <v>1</v>
      </c>
      <c r="AQ446" s="235">
        <f t="shared" si="199"/>
        <v>1</v>
      </c>
      <c r="AR446" s="235">
        <f t="shared" si="183"/>
        <v>1</v>
      </c>
      <c r="AS446" s="252">
        <f t="shared" si="184"/>
        <v>0</v>
      </c>
      <c r="AT446" s="238">
        <f t="shared" si="185"/>
        <v>0</v>
      </c>
      <c r="AU446" s="239">
        <f t="shared" si="186"/>
        <v>0</v>
      </c>
      <c r="AV446" s="239">
        <f t="shared" si="187"/>
        <v>0</v>
      </c>
      <c r="AW446" s="239">
        <f t="shared" si="188"/>
        <v>0.05</v>
      </c>
      <c r="AX446" s="240">
        <f t="shared" si="189"/>
        <v>0</v>
      </c>
      <c r="AY446" s="241" t="str">
        <f t="shared" si="190"/>
        <v/>
      </c>
      <c r="AZ446" s="242" t="str">
        <f>IFERROR(VLOOKUP(M446,'[1]Base Brasil Obras'!$C$2:$F$485,4,0),"")</f>
        <v/>
      </c>
      <c r="BA446" s="243">
        <f t="shared" si="191"/>
        <v>0</v>
      </c>
      <c r="BB446" s="244">
        <f t="shared" si="192"/>
        <v>0</v>
      </c>
      <c r="BC446" s="244">
        <f t="shared" si="193"/>
        <v>0.05</v>
      </c>
      <c r="BD446" s="245">
        <f t="shared" si="194"/>
        <v>0.95</v>
      </c>
      <c r="BE446" s="246">
        <f t="shared" si="195"/>
        <v>0</v>
      </c>
      <c r="BF446" s="247">
        <v>0</v>
      </c>
      <c r="BG446" s="248">
        <f t="shared" si="196"/>
        <v>1</v>
      </c>
      <c r="BH446" s="198"/>
      <c r="BI446" s="198"/>
      <c r="BJ446" s="199"/>
      <c r="BK446" s="200"/>
      <c r="BL446" s="200"/>
      <c r="BM446" s="200"/>
      <c r="BN446" s="200"/>
      <c r="BO446" s="10"/>
    </row>
    <row r="447" spans="1:67" ht="18" x14ac:dyDescent="0.25">
      <c r="A447" s="201">
        <v>339</v>
      </c>
      <c r="B447" s="286"/>
      <c r="C447" s="203">
        <f t="shared" si="167"/>
        <v>0</v>
      </c>
      <c r="D447" s="204"/>
      <c r="E447" s="204"/>
      <c r="F447" s="207"/>
      <c r="G447" s="206"/>
      <c r="H447" s="207"/>
      <c r="I447" s="208" t="s">
        <v>125</v>
      </c>
      <c r="J447" s="208" t="s">
        <v>126</v>
      </c>
      <c r="K447" s="287"/>
      <c r="L447" s="288"/>
      <c r="M447" s="289"/>
      <c r="N447" s="257"/>
      <c r="O447" s="213"/>
      <c r="P447" s="214"/>
      <c r="Q447" s="214"/>
      <c r="R447" s="214"/>
      <c r="S447" s="214"/>
      <c r="T447" s="214"/>
      <c r="U447" s="215">
        <f t="shared" si="168"/>
        <v>0</v>
      </c>
      <c r="V447" s="216" t="str">
        <f t="shared" si="169"/>
        <v/>
      </c>
      <c r="W447" s="217" t="str">
        <f t="shared" si="170"/>
        <v/>
      </c>
      <c r="X447" s="218" t="s">
        <v>20</v>
      </c>
      <c r="Y447" s="219" t="str">
        <f t="shared" si="171"/>
        <v>0 um/Dia</v>
      </c>
      <c r="Z447" s="220" t="str">
        <f t="shared" si="172"/>
        <v xml:space="preserve"> um / HH</v>
      </c>
      <c r="AA447" s="221" t="str">
        <f t="shared" si="173"/>
        <v/>
      </c>
      <c r="AB447" s="222" t="str">
        <f t="shared" si="174"/>
        <v>0 um /HH</v>
      </c>
      <c r="AC447" s="223">
        <f t="shared" si="175"/>
        <v>0</v>
      </c>
      <c r="AD447" s="224"/>
      <c r="AE447" s="225"/>
      <c r="AF447" s="226">
        <f t="shared" si="176"/>
        <v>0</v>
      </c>
      <c r="AG447" s="227">
        <f t="shared" si="177"/>
        <v>0</v>
      </c>
      <c r="AH447" s="228" t="s">
        <v>25</v>
      </c>
      <c r="AI447" s="229" t="str">
        <f t="shared" si="197"/>
        <v>Extremamente Complexa</v>
      </c>
      <c r="AJ447" s="230" t="str">
        <f t="shared" si="198"/>
        <v>Normal</v>
      </c>
      <c r="AK447" s="231">
        <f t="shared" si="178"/>
        <v>0</v>
      </c>
      <c r="AL447" s="232" t="str">
        <f t="shared" si="179"/>
        <v/>
      </c>
      <c r="AM447" s="233" t="str">
        <f t="shared" si="180"/>
        <v/>
      </c>
      <c r="AN447" s="233" t="str">
        <f t="shared" si="181"/>
        <v/>
      </c>
      <c r="AO447" s="234">
        <f t="shared" si="182"/>
        <v>0</v>
      </c>
      <c r="AP447" s="235">
        <f t="shared" si="199"/>
        <v>1</v>
      </c>
      <c r="AQ447" s="235">
        <f t="shared" si="199"/>
        <v>1</v>
      </c>
      <c r="AR447" s="236">
        <f t="shared" si="183"/>
        <v>1</v>
      </c>
      <c r="AS447" s="251">
        <f t="shared" si="184"/>
        <v>0</v>
      </c>
      <c r="AT447" s="238">
        <f t="shared" si="185"/>
        <v>0</v>
      </c>
      <c r="AU447" s="239">
        <f t="shared" si="186"/>
        <v>0</v>
      </c>
      <c r="AV447" s="239">
        <f t="shared" si="187"/>
        <v>0</v>
      </c>
      <c r="AW447" s="239">
        <f t="shared" si="188"/>
        <v>0.05</v>
      </c>
      <c r="AX447" s="240">
        <f t="shared" si="189"/>
        <v>0</v>
      </c>
      <c r="AY447" s="241" t="str">
        <f t="shared" si="190"/>
        <v/>
      </c>
      <c r="AZ447" s="242" t="str">
        <f>IFERROR(VLOOKUP(M447,'[1]Base Brasil Obras'!$C$2:$F$485,4,0),"")</f>
        <v/>
      </c>
      <c r="BA447" s="243">
        <f t="shared" si="191"/>
        <v>0</v>
      </c>
      <c r="BB447" s="244">
        <f t="shared" si="192"/>
        <v>0</v>
      </c>
      <c r="BC447" s="244">
        <f t="shared" si="193"/>
        <v>0.05</v>
      </c>
      <c r="BD447" s="245">
        <f t="shared" si="194"/>
        <v>0.95</v>
      </c>
      <c r="BE447" s="246">
        <f t="shared" si="195"/>
        <v>0</v>
      </c>
      <c r="BF447" s="247">
        <v>0</v>
      </c>
      <c r="BG447" s="248">
        <f t="shared" si="196"/>
        <v>1</v>
      </c>
      <c r="BH447" s="198"/>
      <c r="BI447" s="198"/>
      <c r="BJ447" s="199"/>
      <c r="BK447" s="200"/>
      <c r="BL447" s="200"/>
      <c r="BM447" s="200"/>
      <c r="BN447" s="200"/>
      <c r="BO447" s="10"/>
    </row>
    <row r="448" spans="1:67" ht="18" x14ac:dyDescent="0.25">
      <c r="A448" s="201">
        <v>340</v>
      </c>
      <c r="B448" s="286"/>
      <c r="C448" s="203">
        <f t="shared" si="167"/>
        <v>0</v>
      </c>
      <c r="D448" s="204"/>
      <c r="E448" s="204"/>
      <c r="F448" s="207"/>
      <c r="G448" s="206"/>
      <c r="H448" s="207"/>
      <c r="I448" s="208" t="s">
        <v>125</v>
      </c>
      <c r="J448" s="208" t="s">
        <v>126</v>
      </c>
      <c r="K448" s="287"/>
      <c r="L448" s="288"/>
      <c r="M448" s="289"/>
      <c r="N448" s="257"/>
      <c r="O448" s="213"/>
      <c r="P448" s="214"/>
      <c r="Q448" s="214"/>
      <c r="R448" s="214"/>
      <c r="S448" s="214"/>
      <c r="T448" s="214"/>
      <c r="U448" s="215">
        <f t="shared" si="168"/>
        <v>0</v>
      </c>
      <c r="V448" s="216" t="str">
        <f t="shared" si="169"/>
        <v/>
      </c>
      <c r="W448" s="217" t="str">
        <f t="shared" si="170"/>
        <v/>
      </c>
      <c r="X448" s="218" t="s">
        <v>20</v>
      </c>
      <c r="Y448" s="219" t="str">
        <f t="shared" si="171"/>
        <v>0 um/Dia</v>
      </c>
      <c r="Z448" s="220" t="str">
        <f t="shared" si="172"/>
        <v xml:space="preserve"> um / HH</v>
      </c>
      <c r="AA448" s="221" t="str">
        <f t="shared" si="173"/>
        <v/>
      </c>
      <c r="AB448" s="222" t="str">
        <f t="shared" si="174"/>
        <v>0 um /HH</v>
      </c>
      <c r="AC448" s="223">
        <f t="shared" si="175"/>
        <v>0</v>
      </c>
      <c r="AD448" s="224"/>
      <c r="AE448" s="225"/>
      <c r="AF448" s="226">
        <f t="shared" si="176"/>
        <v>0</v>
      </c>
      <c r="AG448" s="227">
        <f t="shared" si="177"/>
        <v>0</v>
      </c>
      <c r="AH448" s="228" t="s">
        <v>25</v>
      </c>
      <c r="AI448" s="229" t="str">
        <f t="shared" si="197"/>
        <v>Extremamente Complexa</v>
      </c>
      <c r="AJ448" s="230" t="str">
        <f t="shared" si="198"/>
        <v>Normal</v>
      </c>
      <c r="AK448" s="231">
        <f t="shared" si="178"/>
        <v>0</v>
      </c>
      <c r="AL448" s="232" t="str">
        <f t="shared" si="179"/>
        <v/>
      </c>
      <c r="AM448" s="233" t="str">
        <f t="shared" si="180"/>
        <v/>
      </c>
      <c r="AN448" s="233" t="str">
        <f t="shared" si="181"/>
        <v/>
      </c>
      <c r="AO448" s="234">
        <f t="shared" si="182"/>
        <v>0</v>
      </c>
      <c r="AP448" s="235">
        <f t="shared" si="199"/>
        <v>1</v>
      </c>
      <c r="AQ448" s="235">
        <f t="shared" si="199"/>
        <v>1</v>
      </c>
      <c r="AR448" s="235">
        <f t="shared" si="183"/>
        <v>1</v>
      </c>
      <c r="AS448" s="252">
        <f t="shared" si="184"/>
        <v>0</v>
      </c>
      <c r="AT448" s="238">
        <f t="shared" si="185"/>
        <v>0</v>
      </c>
      <c r="AU448" s="239">
        <f t="shared" si="186"/>
        <v>0</v>
      </c>
      <c r="AV448" s="239">
        <f t="shared" si="187"/>
        <v>0</v>
      </c>
      <c r="AW448" s="239">
        <f t="shared" si="188"/>
        <v>0.05</v>
      </c>
      <c r="AX448" s="240">
        <f t="shared" si="189"/>
        <v>0</v>
      </c>
      <c r="AY448" s="241" t="str">
        <f t="shared" si="190"/>
        <v/>
      </c>
      <c r="AZ448" s="242" t="str">
        <f>IFERROR(VLOOKUP(M448,'[1]Base Brasil Obras'!$C$2:$F$485,4,0),"")</f>
        <v/>
      </c>
      <c r="BA448" s="243">
        <f t="shared" si="191"/>
        <v>0</v>
      </c>
      <c r="BB448" s="244">
        <f t="shared" si="192"/>
        <v>0</v>
      </c>
      <c r="BC448" s="244">
        <f t="shared" si="193"/>
        <v>0.05</v>
      </c>
      <c r="BD448" s="245">
        <f t="shared" si="194"/>
        <v>0.95</v>
      </c>
      <c r="BE448" s="246">
        <f t="shared" si="195"/>
        <v>0</v>
      </c>
      <c r="BF448" s="247">
        <v>0</v>
      </c>
      <c r="BG448" s="248">
        <f t="shared" si="196"/>
        <v>1</v>
      </c>
      <c r="BH448" s="198"/>
      <c r="BI448" s="198"/>
      <c r="BJ448" s="199"/>
      <c r="BK448" s="200"/>
      <c r="BL448" s="200"/>
      <c r="BM448" s="200"/>
      <c r="BN448" s="200"/>
      <c r="BO448" s="10"/>
    </row>
    <row r="449" spans="1:67" ht="18" x14ac:dyDescent="0.25">
      <c r="A449" s="201">
        <v>341</v>
      </c>
      <c r="B449" s="286"/>
      <c r="C449" s="203">
        <f t="shared" si="167"/>
        <v>0</v>
      </c>
      <c r="D449" s="204"/>
      <c r="E449" s="204"/>
      <c r="F449" s="207"/>
      <c r="G449" s="206"/>
      <c r="H449" s="207"/>
      <c r="I449" s="208" t="s">
        <v>125</v>
      </c>
      <c r="J449" s="208" t="s">
        <v>126</v>
      </c>
      <c r="K449" s="287"/>
      <c r="L449" s="288"/>
      <c r="M449" s="289"/>
      <c r="N449" s="257"/>
      <c r="O449" s="213"/>
      <c r="P449" s="214"/>
      <c r="Q449" s="214"/>
      <c r="R449" s="214"/>
      <c r="S449" s="214"/>
      <c r="T449" s="214"/>
      <c r="U449" s="215">
        <f t="shared" si="168"/>
        <v>0</v>
      </c>
      <c r="V449" s="216" t="str">
        <f t="shared" si="169"/>
        <v/>
      </c>
      <c r="W449" s="217" t="str">
        <f t="shared" si="170"/>
        <v/>
      </c>
      <c r="X449" s="218" t="s">
        <v>20</v>
      </c>
      <c r="Y449" s="219" t="str">
        <f t="shared" si="171"/>
        <v>0 um/Dia</v>
      </c>
      <c r="Z449" s="220" t="str">
        <f t="shared" si="172"/>
        <v xml:space="preserve"> um / HH</v>
      </c>
      <c r="AA449" s="221" t="str">
        <f t="shared" si="173"/>
        <v/>
      </c>
      <c r="AB449" s="222" t="str">
        <f t="shared" si="174"/>
        <v>0 um /HH</v>
      </c>
      <c r="AC449" s="223">
        <f t="shared" si="175"/>
        <v>0</v>
      </c>
      <c r="AD449" s="224"/>
      <c r="AE449" s="225"/>
      <c r="AF449" s="226">
        <f t="shared" si="176"/>
        <v>0</v>
      </c>
      <c r="AG449" s="227">
        <f t="shared" si="177"/>
        <v>0</v>
      </c>
      <c r="AH449" s="228" t="s">
        <v>25</v>
      </c>
      <c r="AI449" s="229" t="str">
        <f t="shared" si="197"/>
        <v>Extremamente Complexa</v>
      </c>
      <c r="AJ449" s="230" t="str">
        <f t="shared" si="198"/>
        <v>Normal</v>
      </c>
      <c r="AK449" s="231">
        <f t="shared" si="178"/>
        <v>0</v>
      </c>
      <c r="AL449" s="232" t="str">
        <f t="shared" si="179"/>
        <v/>
      </c>
      <c r="AM449" s="233" t="str">
        <f t="shared" si="180"/>
        <v/>
      </c>
      <c r="AN449" s="233" t="str">
        <f t="shared" si="181"/>
        <v/>
      </c>
      <c r="AO449" s="234">
        <f t="shared" si="182"/>
        <v>0</v>
      </c>
      <c r="AP449" s="235">
        <f t="shared" si="199"/>
        <v>1</v>
      </c>
      <c r="AQ449" s="235">
        <f t="shared" si="199"/>
        <v>1</v>
      </c>
      <c r="AR449" s="236">
        <f t="shared" si="183"/>
        <v>1</v>
      </c>
      <c r="AS449" s="251">
        <f t="shared" si="184"/>
        <v>0</v>
      </c>
      <c r="AT449" s="238">
        <f t="shared" si="185"/>
        <v>0</v>
      </c>
      <c r="AU449" s="239">
        <f t="shared" si="186"/>
        <v>0</v>
      </c>
      <c r="AV449" s="239">
        <f t="shared" si="187"/>
        <v>0</v>
      </c>
      <c r="AW449" s="239">
        <f t="shared" si="188"/>
        <v>0.05</v>
      </c>
      <c r="AX449" s="240">
        <f t="shared" si="189"/>
        <v>0</v>
      </c>
      <c r="AY449" s="241" t="str">
        <f t="shared" si="190"/>
        <v/>
      </c>
      <c r="AZ449" s="242" t="str">
        <f>IFERROR(VLOOKUP(M449,'[1]Base Brasil Obras'!$C$2:$F$485,4,0),"")</f>
        <v/>
      </c>
      <c r="BA449" s="243">
        <f t="shared" si="191"/>
        <v>0</v>
      </c>
      <c r="BB449" s="244">
        <f t="shared" si="192"/>
        <v>0</v>
      </c>
      <c r="BC449" s="244">
        <f t="shared" si="193"/>
        <v>0.05</v>
      </c>
      <c r="BD449" s="245">
        <f t="shared" si="194"/>
        <v>0.95</v>
      </c>
      <c r="BE449" s="246">
        <f t="shared" si="195"/>
        <v>0</v>
      </c>
      <c r="BF449" s="247">
        <v>0</v>
      </c>
      <c r="BG449" s="248">
        <f t="shared" si="196"/>
        <v>1</v>
      </c>
      <c r="BH449" s="198"/>
      <c r="BI449" s="198"/>
      <c r="BJ449" s="199"/>
      <c r="BK449" s="200"/>
      <c r="BL449" s="200"/>
      <c r="BM449" s="200"/>
      <c r="BN449" s="200"/>
      <c r="BO449" s="10"/>
    </row>
    <row r="450" spans="1:67" ht="18" x14ac:dyDescent="0.25">
      <c r="A450" s="201">
        <v>342</v>
      </c>
      <c r="B450" s="286"/>
      <c r="C450" s="203">
        <f t="shared" si="167"/>
        <v>0</v>
      </c>
      <c r="D450" s="204"/>
      <c r="E450" s="204"/>
      <c r="F450" s="207"/>
      <c r="G450" s="206"/>
      <c r="H450" s="207"/>
      <c r="I450" s="208" t="s">
        <v>125</v>
      </c>
      <c r="J450" s="208" t="s">
        <v>126</v>
      </c>
      <c r="K450" s="287"/>
      <c r="L450" s="288"/>
      <c r="M450" s="289"/>
      <c r="N450" s="257"/>
      <c r="O450" s="213"/>
      <c r="P450" s="214"/>
      <c r="Q450" s="214"/>
      <c r="R450" s="214"/>
      <c r="S450" s="214"/>
      <c r="T450" s="214"/>
      <c r="U450" s="215">
        <f t="shared" si="168"/>
        <v>0</v>
      </c>
      <c r="V450" s="216" t="str">
        <f t="shared" si="169"/>
        <v/>
      </c>
      <c r="W450" s="217" t="str">
        <f t="shared" si="170"/>
        <v/>
      </c>
      <c r="X450" s="218" t="s">
        <v>20</v>
      </c>
      <c r="Y450" s="219" t="str">
        <f t="shared" si="171"/>
        <v>0 um/Dia</v>
      </c>
      <c r="Z450" s="220" t="str">
        <f t="shared" si="172"/>
        <v xml:space="preserve"> um / HH</v>
      </c>
      <c r="AA450" s="221" t="str">
        <f t="shared" si="173"/>
        <v/>
      </c>
      <c r="AB450" s="222" t="str">
        <f t="shared" si="174"/>
        <v>0 um /HH</v>
      </c>
      <c r="AC450" s="223">
        <f t="shared" si="175"/>
        <v>0</v>
      </c>
      <c r="AD450" s="224"/>
      <c r="AE450" s="225"/>
      <c r="AF450" s="226">
        <f t="shared" si="176"/>
        <v>0</v>
      </c>
      <c r="AG450" s="227">
        <f t="shared" si="177"/>
        <v>0</v>
      </c>
      <c r="AH450" s="228" t="s">
        <v>25</v>
      </c>
      <c r="AI450" s="229" t="str">
        <f t="shared" si="197"/>
        <v>Extremamente Complexa</v>
      </c>
      <c r="AJ450" s="230" t="str">
        <f t="shared" si="198"/>
        <v>Normal</v>
      </c>
      <c r="AK450" s="231">
        <f t="shared" si="178"/>
        <v>0</v>
      </c>
      <c r="AL450" s="232" t="str">
        <f t="shared" si="179"/>
        <v/>
      </c>
      <c r="AM450" s="233" t="str">
        <f t="shared" si="180"/>
        <v/>
      </c>
      <c r="AN450" s="233" t="str">
        <f t="shared" si="181"/>
        <v/>
      </c>
      <c r="AO450" s="234">
        <f t="shared" si="182"/>
        <v>0</v>
      </c>
      <c r="AP450" s="235">
        <f t="shared" si="199"/>
        <v>1</v>
      </c>
      <c r="AQ450" s="235">
        <f t="shared" si="199"/>
        <v>1</v>
      </c>
      <c r="AR450" s="235">
        <f t="shared" si="183"/>
        <v>1</v>
      </c>
      <c r="AS450" s="252">
        <f t="shared" si="184"/>
        <v>0</v>
      </c>
      <c r="AT450" s="238">
        <f t="shared" si="185"/>
        <v>0</v>
      </c>
      <c r="AU450" s="239">
        <f t="shared" si="186"/>
        <v>0</v>
      </c>
      <c r="AV450" s="239">
        <f t="shared" si="187"/>
        <v>0</v>
      </c>
      <c r="AW450" s="239">
        <f t="shared" si="188"/>
        <v>0.05</v>
      </c>
      <c r="AX450" s="240">
        <f t="shared" si="189"/>
        <v>0</v>
      </c>
      <c r="AY450" s="241" t="str">
        <f t="shared" si="190"/>
        <v/>
      </c>
      <c r="AZ450" s="242" t="str">
        <f>IFERROR(VLOOKUP(M450,'[1]Base Brasil Obras'!$C$2:$F$485,4,0),"")</f>
        <v/>
      </c>
      <c r="BA450" s="243">
        <f t="shared" si="191"/>
        <v>0</v>
      </c>
      <c r="BB450" s="244">
        <f t="shared" si="192"/>
        <v>0</v>
      </c>
      <c r="BC450" s="244">
        <f t="shared" si="193"/>
        <v>0.05</v>
      </c>
      <c r="BD450" s="245">
        <f t="shared" si="194"/>
        <v>0.95</v>
      </c>
      <c r="BE450" s="246">
        <f t="shared" si="195"/>
        <v>0</v>
      </c>
      <c r="BF450" s="247">
        <v>0</v>
      </c>
      <c r="BG450" s="248">
        <f t="shared" si="196"/>
        <v>1</v>
      </c>
      <c r="BH450" s="198"/>
      <c r="BI450" s="198"/>
      <c r="BJ450" s="199"/>
      <c r="BK450" s="200"/>
      <c r="BL450" s="200"/>
      <c r="BM450" s="200"/>
      <c r="BN450" s="200"/>
      <c r="BO450" s="10"/>
    </row>
    <row r="451" spans="1:67" ht="18" x14ac:dyDescent="0.25">
      <c r="A451" s="201">
        <v>343</v>
      </c>
      <c r="B451" s="286"/>
      <c r="C451" s="203">
        <f t="shared" si="167"/>
        <v>0</v>
      </c>
      <c r="D451" s="204"/>
      <c r="E451" s="204"/>
      <c r="F451" s="207"/>
      <c r="G451" s="206"/>
      <c r="H451" s="207"/>
      <c r="I451" s="208" t="s">
        <v>125</v>
      </c>
      <c r="J451" s="208" t="s">
        <v>126</v>
      </c>
      <c r="K451" s="287"/>
      <c r="L451" s="288"/>
      <c r="M451" s="289"/>
      <c r="N451" s="257"/>
      <c r="O451" s="213"/>
      <c r="P451" s="214"/>
      <c r="Q451" s="214"/>
      <c r="R451" s="214"/>
      <c r="S451" s="214"/>
      <c r="T451" s="214"/>
      <c r="U451" s="215">
        <f t="shared" si="168"/>
        <v>0</v>
      </c>
      <c r="V451" s="216" t="str">
        <f t="shared" si="169"/>
        <v/>
      </c>
      <c r="W451" s="217" t="str">
        <f t="shared" si="170"/>
        <v/>
      </c>
      <c r="X451" s="218" t="s">
        <v>20</v>
      </c>
      <c r="Y451" s="219" t="str">
        <f t="shared" si="171"/>
        <v>0 um/Dia</v>
      </c>
      <c r="Z451" s="220" t="str">
        <f t="shared" si="172"/>
        <v xml:space="preserve"> um / HH</v>
      </c>
      <c r="AA451" s="221" t="str">
        <f t="shared" si="173"/>
        <v/>
      </c>
      <c r="AB451" s="222" t="str">
        <f t="shared" si="174"/>
        <v>0 um /HH</v>
      </c>
      <c r="AC451" s="223">
        <f t="shared" si="175"/>
        <v>0</v>
      </c>
      <c r="AD451" s="224"/>
      <c r="AE451" s="225"/>
      <c r="AF451" s="226">
        <f t="shared" si="176"/>
        <v>0</v>
      </c>
      <c r="AG451" s="227">
        <f t="shared" si="177"/>
        <v>0</v>
      </c>
      <c r="AH451" s="228" t="s">
        <v>25</v>
      </c>
      <c r="AI451" s="229" t="str">
        <f t="shared" si="197"/>
        <v>Extremamente Complexa</v>
      </c>
      <c r="AJ451" s="230" t="str">
        <f t="shared" si="198"/>
        <v>Normal</v>
      </c>
      <c r="AK451" s="231">
        <f t="shared" si="178"/>
        <v>0</v>
      </c>
      <c r="AL451" s="232" t="str">
        <f t="shared" si="179"/>
        <v/>
      </c>
      <c r="AM451" s="233" t="str">
        <f t="shared" si="180"/>
        <v/>
      </c>
      <c r="AN451" s="233" t="str">
        <f t="shared" si="181"/>
        <v/>
      </c>
      <c r="AO451" s="234">
        <f t="shared" si="182"/>
        <v>0</v>
      </c>
      <c r="AP451" s="235">
        <f t="shared" si="199"/>
        <v>1</v>
      </c>
      <c r="AQ451" s="235">
        <f t="shared" si="199"/>
        <v>1</v>
      </c>
      <c r="AR451" s="236">
        <f t="shared" si="183"/>
        <v>1</v>
      </c>
      <c r="AS451" s="251">
        <f t="shared" si="184"/>
        <v>0</v>
      </c>
      <c r="AT451" s="238">
        <f t="shared" si="185"/>
        <v>0</v>
      </c>
      <c r="AU451" s="239">
        <f t="shared" si="186"/>
        <v>0</v>
      </c>
      <c r="AV451" s="239">
        <f t="shared" si="187"/>
        <v>0</v>
      </c>
      <c r="AW451" s="239">
        <f t="shared" si="188"/>
        <v>0.05</v>
      </c>
      <c r="AX451" s="240">
        <f t="shared" si="189"/>
        <v>0</v>
      </c>
      <c r="AY451" s="241" t="str">
        <f t="shared" si="190"/>
        <v/>
      </c>
      <c r="AZ451" s="242" t="str">
        <f>IFERROR(VLOOKUP(M451,'[1]Base Brasil Obras'!$C$2:$F$485,4,0),"")</f>
        <v/>
      </c>
      <c r="BA451" s="243">
        <f t="shared" si="191"/>
        <v>0</v>
      </c>
      <c r="BB451" s="244">
        <f t="shared" si="192"/>
        <v>0</v>
      </c>
      <c r="BC451" s="244">
        <f t="shared" si="193"/>
        <v>0.05</v>
      </c>
      <c r="BD451" s="245">
        <f t="shared" si="194"/>
        <v>0.95</v>
      </c>
      <c r="BE451" s="246">
        <f t="shared" si="195"/>
        <v>0</v>
      </c>
      <c r="BF451" s="247">
        <v>0</v>
      </c>
      <c r="BG451" s="248">
        <f t="shared" si="196"/>
        <v>1</v>
      </c>
      <c r="BH451" s="198"/>
      <c r="BI451" s="198"/>
      <c r="BJ451" s="199"/>
      <c r="BK451" s="200"/>
      <c r="BL451" s="200"/>
      <c r="BM451" s="200"/>
      <c r="BN451" s="200"/>
      <c r="BO451" s="10"/>
    </row>
    <row r="452" spans="1:67" ht="18" x14ac:dyDescent="0.25">
      <c r="A452" s="201">
        <v>344</v>
      </c>
      <c r="B452" s="286"/>
      <c r="C452" s="203">
        <f t="shared" si="167"/>
        <v>0</v>
      </c>
      <c r="D452" s="204"/>
      <c r="E452" s="204"/>
      <c r="F452" s="207"/>
      <c r="G452" s="206"/>
      <c r="H452" s="207"/>
      <c r="I452" s="208" t="s">
        <v>125</v>
      </c>
      <c r="J452" s="208" t="s">
        <v>126</v>
      </c>
      <c r="K452" s="287"/>
      <c r="L452" s="288"/>
      <c r="M452" s="289"/>
      <c r="N452" s="257"/>
      <c r="O452" s="213"/>
      <c r="P452" s="214"/>
      <c r="Q452" s="214"/>
      <c r="R452" s="214"/>
      <c r="S452" s="214"/>
      <c r="T452" s="214"/>
      <c r="U452" s="215">
        <f t="shared" si="168"/>
        <v>0</v>
      </c>
      <c r="V452" s="216" t="str">
        <f t="shared" si="169"/>
        <v/>
      </c>
      <c r="W452" s="217" t="str">
        <f t="shared" si="170"/>
        <v/>
      </c>
      <c r="X452" s="218" t="s">
        <v>20</v>
      </c>
      <c r="Y452" s="219" t="str">
        <f t="shared" si="171"/>
        <v>0 um/Dia</v>
      </c>
      <c r="Z452" s="220" t="str">
        <f t="shared" si="172"/>
        <v xml:space="preserve"> um / HH</v>
      </c>
      <c r="AA452" s="221" t="str">
        <f t="shared" si="173"/>
        <v/>
      </c>
      <c r="AB452" s="222" t="str">
        <f t="shared" si="174"/>
        <v>0 um /HH</v>
      </c>
      <c r="AC452" s="223">
        <f t="shared" si="175"/>
        <v>0</v>
      </c>
      <c r="AD452" s="224"/>
      <c r="AE452" s="225"/>
      <c r="AF452" s="226">
        <f t="shared" si="176"/>
        <v>0</v>
      </c>
      <c r="AG452" s="227">
        <f t="shared" si="177"/>
        <v>0</v>
      </c>
      <c r="AH452" s="228" t="s">
        <v>25</v>
      </c>
      <c r="AI452" s="229" t="str">
        <f t="shared" si="197"/>
        <v>Extremamente Complexa</v>
      </c>
      <c r="AJ452" s="230" t="str">
        <f t="shared" si="198"/>
        <v>Normal</v>
      </c>
      <c r="AK452" s="231">
        <f t="shared" si="178"/>
        <v>0</v>
      </c>
      <c r="AL452" s="232" t="str">
        <f t="shared" si="179"/>
        <v/>
      </c>
      <c r="AM452" s="233" t="str">
        <f t="shared" si="180"/>
        <v/>
      </c>
      <c r="AN452" s="233" t="str">
        <f t="shared" si="181"/>
        <v/>
      </c>
      <c r="AO452" s="234">
        <f t="shared" si="182"/>
        <v>0</v>
      </c>
      <c r="AP452" s="235">
        <f t="shared" si="199"/>
        <v>1</v>
      </c>
      <c r="AQ452" s="235">
        <f t="shared" si="199"/>
        <v>1</v>
      </c>
      <c r="AR452" s="235">
        <f t="shared" si="183"/>
        <v>1</v>
      </c>
      <c r="AS452" s="252">
        <f t="shared" si="184"/>
        <v>0</v>
      </c>
      <c r="AT452" s="238">
        <f t="shared" si="185"/>
        <v>0</v>
      </c>
      <c r="AU452" s="239">
        <f t="shared" si="186"/>
        <v>0</v>
      </c>
      <c r="AV452" s="239">
        <f t="shared" si="187"/>
        <v>0</v>
      </c>
      <c r="AW452" s="239">
        <f t="shared" si="188"/>
        <v>0.05</v>
      </c>
      <c r="AX452" s="240">
        <f t="shared" si="189"/>
        <v>0</v>
      </c>
      <c r="AY452" s="241" t="str">
        <f t="shared" si="190"/>
        <v/>
      </c>
      <c r="AZ452" s="242" t="str">
        <f>IFERROR(VLOOKUP(M452,'[1]Base Brasil Obras'!$C$2:$F$485,4,0),"")</f>
        <v/>
      </c>
      <c r="BA452" s="243">
        <f t="shared" si="191"/>
        <v>0</v>
      </c>
      <c r="BB452" s="244">
        <f t="shared" si="192"/>
        <v>0</v>
      </c>
      <c r="BC452" s="244">
        <f t="shared" si="193"/>
        <v>0.05</v>
      </c>
      <c r="BD452" s="245">
        <f t="shared" si="194"/>
        <v>0.95</v>
      </c>
      <c r="BE452" s="246">
        <f t="shared" si="195"/>
        <v>0</v>
      </c>
      <c r="BF452" s="247">
        <v>0</v>
      </c>
      <c r="BG452" s="248">
        <f t="shared" si="196"/>
        <v>1</v>
      </c>
      <c r="BH452" s="198"/>
      <c r="BI452" s="198"/>
      <c r="BJ452" s="199"/>
      <c r="BK452" s="200"/>
      <c r="BL452" s="200"/>
      <c r="BM452" s="200"/>
      <c r="BN452" s="200"/>
      <c r="BO452" s="10"/>
    </row>
    <row r="453" spans="1:67" ht="18" x14ac:dyDescent="0.25">
      <c r="A453" s="201">
        <v>345</v>
      </c>
      <c r="B453" s="286"/>
      <c r="C453" s="203">
        <f t="shared" si="167"/>
        <v>0</v>
      </c>
      <c r="D453" s="204"/>
      <c r="E453" s="204"/>
      <c r="F453" s="207"/>
      <c r="G453" s="206"/>
      <c r="H453" s="207"/>
      <c r="I453" s="208" t="s">
        <v>125</v>
      </c>
      <c r="J453" s="208" t="s">
        <v>126</v>
      </c>
      <c r="K453" s="287"/>
      <c r="L453" s="288"/>
      <c r="M453" s="289"/>
      <c r="N453" s="257"/>
      <c r="O453" s="213"/>
      <c r="P453" s="214"/>
      <c r="Q453" s="214"/>
      <c r="R453" s="214"/>
      <c r="S453" s="214"/>
      <c r="T453" s="214"/>
      <c r="U453" s="215">
        <f t="shared" si="168"/>
        <v>0</v>
      </c>
      <c r="V453" s="216" t="str">
        <f t="shared" si="169"/>
        <v/>
      </c>
      <c r="W453" s="217" t="str">
        <f t="shared" si="170"/>
        <v/>
      </c>
      <c r="X453" s="218" t="s">
        <v>20</v>
      </c>
      <c r="Y453" s="219" t="str">
        <f t="shared" si="171"/>
        <v>0 um/Dia</v>
      </c>
      <c r="Z453" s="220" t="str">
        <f t="shared" si="172"/>
        <v xml:space="preserve"> um / HH</v>
      </c>
      <c r="AA453" s="221" t="str">
        <f t="shared" si="173"/>
        <v/>
      </c>
      <c r="AB453" s="222" t="str">
        <f t="shared" si="174"/>
        <v>0 um /HH</v>
      </c>
      <c r="AC453" s="223">
        <f t="shared" si="175"/>
        <v>0</v>
      </c>
      <c r="AD453" s="224"/>
      <c r="AE453" s="225"/>
      <c r="AF453" s="226">
        <f t="shared" si="176"/>
        <v>0</v>
      </c>
      <c r="AG453" s="227">
        <f t="shared" si="177"/>
        <v>0</v>
      </c>
      <c r="AH453" s="228" t="s">
        <v>25</v>
      </c>
      <c r="AI453" s="229" t="str">
        <f t="shared" si="197"/>
        <v>Extremamente Complexa</v>
      </c>
      <c r="AJ453" s="230" t="str">
        <f t="shared" si="198"/>
        <v>Normal</v>
      </c>
      <c r="AK453" s="231">
        <f t="shared" si="178"/>
        <v>0</v>
      </c>
      <c r="AL453" s="232" t="str">
        <f t="shared" si="179"/>
        <v/>
      </c>
      <c r="AM453" s="233" t="str">
        <f t="shared" si="180"/>
        <v/>
      </c>
      <c r="AN453" s="233" t="str">
        <f t="shared" si="181"/>
        <v/>
      </c>
      <c r="AO453" s="234">
        <f t="shared" si="182"/>
        <v>0</v>
      </c>
      <c r="AP453" s="235">
        <f t="shared" si="199"/>
        <v>1</v>
      </c>
      <c r="AQ453" s="235">
        <f t="shared" si="199"/>
        <v>1</v>
      </c>
      <c r="AR453" s="236">
        <f t="shared" si="183"/>
        <v>1</v>
      </c>
      <c r="AS453" s="251">
        <f t="shared" si="184"/>
        <v>0</v>
      </c>
      <c r="AT453" s="238">
        <f t="shared" si="185"/>
        <v>0</v>
      </c>
      <c r="AU453" s="239">
        <f t="shared" si="186"/>
        <v>0</v>
      </c>
      <c r="AV453" s="239">
        <f t="shared" si="187"/>
        <v>0</v>
      </c>
      <c r="AW453" s="239">
        <f t="shared" si="188"/>
        <v>0.05</v>
      </c>
      <c r="AX453" s="240">
        <f t="shared" si="189"/>
        <v>0</v>
      </c>
      <c r="AY453" s="241" t="str">
        <f t="shared" si="190"/>
        <v/>
      </c>
      <c r="AZ453" s="242" t="str">
        <f>IFERROR(VLOOKUP(M453,'[1]Base Brasil Obras'!$C$2:$F$485,4,0),"")</f>
        <v/>
      </c>
      <c r="BA453" s="243">
        <f t="shared" si="191"/>
        <v>0</v>
      </c>
      <c r="BB453" s="244">
        <f t="shared" si="192"/>
        <v>0</v>
      </c>
      <c r="BC453" s="244">
        <f t="shared" si="193"/>
        <v>0.05</v>
      </c>
      <c r="BD453" s="245">
        <f t="shared" si="194"/>
        <v>0.95</v>
      </c>
      <c r="BE453" s="246">
        <f t="shared" si="195"/>
        <v>0</v>
      </c>
      <c r="BF453" s="247">
        <v>0</v>
      </c>
      <c r="BG453" s="248">
        <f t="shared" si="196"/>
        <v>1</v>
      </c>
      <c r="BH453" s="198"/>
      <c r="BI453" s="198"/>
      <c r="BJ453" s="199"/>
      <c r="BK453" s="200"/>
      <c r="BL453" s="200"/>
      <c r="BM453" s="200"/>
      <c r="BN453" s="200"/>
      <c r="BO453" s="10"/>
    </row>
    <row r="454" spans="1:67" ht="18" x14ac:dyDescent="0.25">
      <c r="A454" s="201">
        <v>346</v>
      </c>
      <c r="B454" s="286"/>
      <c r="C454" s="203">
        <f t="shared" si="167"/>
        <v>0</v>
      </c>
      <c r="D454" s="204"/>
      <c r="E454" s="204"/>
      <c r="F454" s="207"/>
      <c r="G454" s="206"/>
      <c r="H454" s="207"/>
      <c r="I454" s="208" t="s">
        <v>125</v>
      </c>
      <c r="J454" s="208" t="s">
        <v>126</v>
      </c>
      <c r="K454" s="287"/>
      <c r="L454" s="288"/>
      <c r="M454" s="289"/>
      <c r="N454" s="257"/>
      <c r="O454" s="213"/>
      <c r="P454" s="214"/>
      <c r="Q454" s="214"/>
      <c r="R454" s="214"/>
      <c r="S454" s="214"/>
      <c r="T454" s="214"/>
      <c r="U454" s="215">
        <f t="shared" si="168"/>
        <v>0</v>
      </c>
      <c r="V454" s="216" t="str">
        <f t="shared" si="169"/>
        <v/>
      </c>
      <c r="W454" s="217" t="str">
        <f t="shared" si="170"/>
        <v/>
      </c>
      <c r="X454" s="218" t="s">
        <v>20</v>
      </c>
      <c r="Y454" s="219" t="str">
        <f t="shared" si="171"/>
        <v>0 um/Dia</v>
      </c>
      <c r="Z454" s="220" t="str">
        <f t="shared" si="172"/>
        <v xml:space="preserve"> um / HH</v>
      </c>
      <c r="AA454" s="221" t="str">
        <f t="shared" si="173"/>
        <v/>
      </c>
      <c r="AB454" s="222" t="str">
        <f t="shared" si="174"/>
        <v>0 um /HH</v>
      </c>
      <c r="AC454" s="223">
        <f t="shared" si="175"/>
        <v>0</v>
      </c>
      <c r="AD454" s="224"/>
      <c r="AE454" s="225"/>
      <c r="AF454" s="226">
        <f t="shared" si="176"/>
        <v>0</v>
      </c>
      <c r="AG454" s="227">
        <f t="shared" si="177"/>
        <v>0</v>
      </c>
      <c r="AH454" s="228" t="s">
        <v>25</v>
      </c>
      <c r="AI454" s="229" t="str">
        <f t="shared" si="197"/>
        <v>Extremamente Complexa</v>
      </c>
      <c r="AJ454" s="230" t="str">
        <f t="shared" si="198"/>
        <v>Normal</v>
      </c>
      <c r="AK454" s="231">
        <f t="shared" si="178"/>
        <v>0</v>
      </c>
      <c r="AL454" s="232" t="str">
        <f t="shared" si="179"/>
        <v/>
      </c>
      <c r="AM454" s="233" t="str">
        <f t="shared" si="180"/>
        <v/>
      </c>
      <c r="AN454" s="233" t="str">
        <f t="shared" si="181"/>
        <v/>
      </c>
      <c r="AO454" s="234">
        <f t="shared" si="182"/>
        <v>0</v>
      </c>
      <c r="AP454" s="235">
        <f t="shared" si="199"/>
        <v>1</v>
      </c>
      <c r="AQ454" s="235">
        <f t="shared" si="199"/>
        <v>1</v>
      </c>
      <c r="AR454" s="235">
        <f t="shared" si="183"/>
        <v>1</v>
      </c>
      <c r="AS454" s="252">
        <f t="shared" si="184"/>
        <v>0</v>
      </c>
      <c r="AT454" s="238">
        <f t="shared" si="185"/>
        <v>0</v>
      </c>
      <c r="AU454" s="239">
        <f t="shared" si="186"/>
        <v>0</v>
      </c>
      <c r="AV454" s="239">
        <f t="shared" si="187"/>
        <v>0</v>
      </c>
      <c r="AW454" s="239">
        <f t="shared" si="188"/>
        <v>0.05</v>
      </c>
      <c r="AX454" s="240">
        <f t="shared" si="189"/>
        <v>0</v>
      </c>
      <c r="AY454" s="241" t="str">
        <f t="shared" si="190"/>
        <v/>
      </c>
      <c r="AZ454" s="242" t="str">
        <f>IFERROR(VLOOKUP(M454,'[1]Base Brasil Obras'!$C$2:$F$485,4,0),"")</f>
        <v/>
      </c>
      <c r="BA454" s="243">
        <f t="shared" si="191"/>
        <v>0</v>
      </c>
      <c r="BB454" s="244">
        <f t="shared" si="192"/>
        <v>0</v>
      </c>
      <c r="BC454" s="244">
        <f t="shared" si="193"/>
        <v>0.05</v>
      </c>
      <c r="BD454" s="245">
        <f t="shared" si="194"/>
        <v>0.95</v>
      </c>
      <c r="BE454" s="246">
        <f t="shared" si="195"/>
        <v>0</v>
      </c>
      <c r="BF454" s="247">
        <v>0</v>
      </c>
      <c r="BG454" s="248">
        <f t="shared" si="196"/>
        <v>1</v>
      </c>
      <c r="BH454" s="198"/>
      <c r="BI454" s="198"/>
      <c r="BJ454" s="199"/>
      <c r="BK454" s="200"/>
      <c r="BL454" s="200"/>
      <c r="BM454" s="200"/>
      <c r="BN454" s="200"/>
      <c r="BO454" s="10"/>
    </row>
    <row r="455" spans="1:67" ht="18" x14ac:dyDescent="0.25">
      <c r="A455" s="201">
        <v>347</v>
      </c>
      <c r="B455" s="286"/>
      <c r="C455" s="203">
        <f t="shared" si="167"/>
        <v>0</v>
      </c>
      <c r="D455" s="204"/>
      <c r="E455" s="204"/>
      <c r="F455" s="207"/>
      <c r="G455" s="206"/>
      <c r="H455" s="207"/>
      <c r="I455" s="208" t="s">
        <v>125</v>
      </c>
      <c r="J455" s="208" t="s">
        <v>126</v>
      </c>
      <c r="K455" s="287"/>
      <c r="L455" s="288"/>
      <c r="M455" s="289"/>
      <c r="N455" s="257"/>
      <c r="O455" s="213"/>
      <c r="P455" s="214"/>
      <c r="Q455" s="214"/>
      <c r="R455" s="214"/>
      <c r="S455" s="214"/>
      <c r="T455" s="214"/>
      <c r="U455" s="215">
        <f t="shared" si="168"/>
        <v>0</v>
      </c>
      <c r="V455" s="216" t="str">
        <f t="shared" si="169"/>
        <v/>
      </c>
      <c r="W455" s="217" t="str">
        <f t="shared" si="170"/>
        <v/>
      </c>
      <c r="X455" s="218" t="s">
        <v>20</v>
      </c>
      <c r="Y455" s="219" t="str">
        <f t="shared" si="171"/>
        <v>0 um/Dia</v>
      </c>
      <c r="Z455" s="220" t="str">
        <f t="shared" si="172"/>
        <v xml:space="preserve"> um / HH</v>
      </c>
      <c r="AA455" s="221" t="str">
        <f t="shared" si="173"/>
        <v/>
      </c>
      <c r="AB455" s="222" t="str">
        <f t="shared" si="174"/>
        <v>0 um /HH</v>
      </c>
      <c r="AC455" s="223">
        <f t="shared" si="175"/>
        <v>0</v>
      </c>
      <c r="AD455" s="224"/>
      <c r="AE455" s="225"/>
      <c r="AF455" s="226">
        <f t="shared" si="176"/>
        <v>0</v>
      </c>
      <c r="AG455" s="227">
        <f t="shared" si="177"/>
        <v>0</v>
      </c>
      <c r="AH455" s="228" t="s">
        <v>25</v>
      </c>
      <c r="AI455" s="229" t="str">
        <f t="shared" si="197"/>
        <v>Extremamente Complexa</v>
      </c>
      <c r="AJ455" s="230" t="str">
        <f t="shared" si="198"/>
        <v>Normal</v>
      </c>
      <c r="AK455" s="231">
        <f t="shared" si="178"/>
        <v>0</v>
      </c>
      <c r="AL455" s="232" t="str">
        <f t="shared" si="179"/>
        <v/>
      </c>
      <c r="AM455" s="233" t="str">
        <f t="shared" si="180"/>
        <v/>
      </c>
      <c r="AN455" s="233" t="str">
        <f t="shared" si="181"/>
        <v/>
      </c>
      <c r="AO455" s="234">
        <f t="shared" si="182"/>
        <v>0</v>
      </c>
      <c r="AP455" s="235">
        <f t="shared" si="199"/>
        <v>1</v>
      </c>
      <c r="AQ455" s="235">
        <f t="shared" si="199"/>
        <v>1</v>
      </c>
      <c r="AR455" s="236">
        <f t="shared" si="183"/>
        <v>1</v>
      </c>
      <c r="AS455" s="251">
        <f t="shared" si="184"/>
        <v>0</v>
      </c>
      <c r="AT455" s="238">
        <f t="shared" si="185"/>
        <v>0</v>
      </c>
      <c r="AU455" s="239">
        <f t="shared" si="186"/>
        <v>0</v>
      </c>
      <c r="AV455" s="239">
        <f t="shared" si="187"/>
        <v>0</v>
      </c>
      <c r="AW455" s="239">
        <f t="shared" si="188"/>
        <v>0.05</v>
      </c>
      <c r="AX455" s="240">
        <f t="shared" si="189"/>
        <v>0</v>
      </c>
      <c r="AY455" s="241" t="str">
        <f t="shared" si="190"/>
        <v/>
      </c>
      <c r="AZ455" s="242" t="str">
        <f>IFERROR(VLOOKUP(M455,'[1]Base Brasil Obras'!$C$2:$F$485,4,0),"")</f>
        <v/>
      </c>
      <c r="BA455" s="243">
        <f t="shared" si="191"/>
        <v>0</v>
      </c>
      <c r="BB455" s="244">
        <f t="shared" si="192"/>
        <v>0</v>
      </c>
      <c r="BC455" s="244">
        <f t="shared" si="193"/>
        <v>0.05</v>
      </c>
      <c r="BD455" s="245">
        <f t="shared" si="194"/>
        <v>0.95</v>
      </c>
      <c r="BE455" s="246">
        <f t="shared" si="195"/>
        <v>0</v>
      </c>
      <c r="BF455" s="247">
        <v>0</v>
      </c>
      <c r="BG455" s="248">
        <f t="shared" si="196"/>
        <v>1</v>
      </c>
      <c r="BH455" s="198"/>
      <c r="BI455" s="198"/>
      <c r="BJ455" s="199"/>
      <c r="BK455" s="200"/>
      <c r="BL455" s="200"/>
      <c r="BM455" s="200"/>
      <c r="BN455" s="200"/>
      <c r="BO455" s="10"/>
    </row>
    <row r="456" spans="1:67" ht="18" x14ac:dyDescent="0.25">
      <c r="A456" s="201">
        <v>348</v>
      </c>
      <c r="B456" s="286"/>
      <c r="C456" s="203">
        <f t="shared" si="167"/>
        <v>0</v>
      </c>
      <c r="D456" s="204"/>
      <c r="E456" s="204"/>
      <c r="F456" s="207"/>
      <c r="G456" s="206"/>
      <c r="H456" s="207"/>
      <c r="I456" s="208" t="s">
        <v>125</v>
      </c>
      <c r="J456" s="208" t="s">
        <v>126</v>
      </c>
      <c r="K456" s="287"/>
      <c r="L456" s="288"/>
      <c r="M456" s="289"/>
      <c r="N456" s="257"/>
      <c r="O456" s="213"/>
      <c r="P456" s="214"/>
      <c r="Q456" s="214"/>
      <c r="R456" s="214"/>
      <c r="S456" s="214"/>
      <c r="T456" s="214"/>
      <c r="U456" s="215">
        <f t="shared" si="168"/>
        <v>0</v>
      </c>
      <c r="V456" s="216" t="str">
        <f t="shared" si="169"/>
        <v/>
      </c>
      <c r="W456" s="217" t="str">
        <f t="shared" si="170"/>
        <v/>
      </c>
      <c r="X456" s="218" t="s">
        <v>20</v>
      </c>
      <c r="Y456" s="219" t="str">
        <f t="shared" si="171"/>
        <v>0 um/Dia</v>
      </c>
      <c r="Z456" s="220" t="str">
        <f t="shared" si="172"/>
        <v xml:space="preserve"> um / HH</v>
      </c>
      <c r="AA456" s="221" t="str">
        <f t="shared" si="173"/>
        <v/>
      </c>
      <c r="AB456" s="222" t="str">
        <f t="shared" si="174"/>
        <v>0 um /HH</v>
      </c>
      <c r="AC456" s="223">
        <f t="shared" si="175"/>
        <v>0</v>
      </c>
      <c r="AD456" s="224"/>
      <c r="AE456" s="225"/>
      <c r="AF456" s="226">
        <f t="shared" si="176"/>
        <v>0</v>
      </c>
      <c r="AG456" s="227">
        <f t="shared" si="177"/>
        <v>0</v>
      </c>
      <c r="AH456" s="228" t="s">
        <v>25</v>
      </c>
      <c r="AI456" s="229" t="str">
        <f t="shared" si="197"/>
        <v>Extremamente Complexa</v>
      </c>
      <c r="AJ456" s="230" t="str">
        <f t="shared" si="198"/>
        <v>Normal</v>
      </c>
      <c r="AK456" s="231">
        <f t="shared" si="178"/>
        <v>0</v>
      </c>
      <c r="AL456" s="232" t="str">
        <f t="shared" si="179"/>
        <v/>
      </c>
      <c r="AM456" s="233" t="str">
        <f t="shared" si="180"/>
        <v/>
      </c>
      <c r="AN456" s="233" t="str">
        <f t="shared" si="181"/>
        <v/>
      </c>
      <c r="AO456" s="234">
        <f t="shared" si="182"/>
        <v>0</v>
      </c>
      <c r="AP456" s="235">
        <f t="shared" si="199"/>
        <v>1</v>
      </c>
      <c r="AQ456" s="235">
        <f t="shared" si="199"/>
        <v>1</v>
      </c>
      <c r="AR456" s="235">
        <f t="shared" si="183"/>
        <v>1</v>
      </c>
      <c r="AS456" s="252">
        <f t="shared" si="184"/>
        <v>0</v>
      </c>
      <c r="AT456" s="238">
        <f t="shared" si="185"/>
        <v>0</v>
      </c>
      <c r="AU456" s="239">
        <f t="shared" si="186"/>
        <v>0</v>
      </c>
      <c r="AV456" s="239">
        <f t="shared" si="187"/>
        <v>0</v>
      </c>
      <c r="AW456" s="239">
        <f t="shared" si="188"/>
        <v>0.05</v>
      </c>
      <c r="AX456" s="240">
        <f t="shared" si="189"/>
        <v>0</v>
      </c>
      <c r="AY456" s="241" t="str">
        <f t="shared" si="190"/>
        <v/>
      </c>
      <c r="AZ456" s="242" t="str">
        <f>IFERROR(VLOOKUP(M456,'[1]Base Brasil Obras'!$C$2:$F$485,4,0),"")</f>
        <v/>
      </c>
      <c r="BA456" s="243">
        <f t="shared" si="191"/>
        <v>0</v>
      </c>
      <c r="BB456" s="244">
        <f t="shared" si="192"/>
        <v>0</v>
      </c>
      <c r="BC456" s="244">
        <f t="shared" si="193"/>
        <v>0.05</v>
      </c>
      <c r="BD456" s="245">
        <f t="shared" si="194"/>
        <v>0.95</v>
      </c>
      <c r="BE456" s="246">
        <f t="shared" si="195"/>
        <v>0</v>
      </c>
      <c r="BF456" s="247">
        <v>0</v>
      </c>
      <c r="BG456" s="248">
        <f t="shared" si="196"/>
        <v>1</v>
      </c>
      <c r="BH456" s="198"/>
      <c r="BI456" s="198"/>
      <c r="BJ456" s="199"/>
      <c r="BK456" s="200"/>
      <c r="BL456" s="200"/>
      <c r="BM456" s="200"/>
      <c r="BN456" s="200"/>
      <c r="BO456" s="10"/>
    </row>
    <row r="457" spans="1:67" ht="18" x14ac:dyDescent="0.25">
      <c r="A457" s="201">
        <v>349</v>
      </c>
      <c r="B457" s="286"/>
      <c r="C457" s="203">
        <f t="shared" si="167"/>
        <v>0</v>
      </c>
      <c r="D457" s="204"/>
      <c r="E457" s="204"/>
      <c r="F457" s="207"/>
      <c r="G457" s="206"/>
      <c r="H457" s="207"/>
      <c r="I457" s="208" t="s">
        <v>125</v>
      </c>
      <c r="J457" s="208" t="s">
        <v>126</v>
      </c>
      <c r="K457" s="287"/>
      <c r="L457" s="288"/>
      <c r="M457" s="289"/>
      <c r="N457" s="257"/>
      <c r="O457" s="213"/>
      <c r="P457" s="214"/>
      <c r="Q457" s="214"/>
      <c r="R457" s="214"/>
      <c r="S457" s="214"/>
      <c r="T457" s="214"/>
      <c r="U457" s="215">
        <f t="shared" si="168"/>
        <v>0</v>
      </c>
      <c r="V457" s="216" t="str">
        <f t="shared" si="169"/>
        <v/>
      </c>
      <c r="W457" s="217" t="str">
        <f t="shared" si="170"/>
        <v/>
      </c>
      <c r="X457" s="218" t="s">
        <v>20</v>
      </c>
      <c r="Y457" s="219" t="str">
        <f t="shared" si="171"/>
        <v>0 um/Dia</v>
      </c>
      <c r="Z457" s="220" t="str">
        <f t="shared" si="172"/>
        <v xml:space="preserve"> um / HH</v>
      </c>
      <c r="AA457" s="221" t="str">
        <f t="shared" si="173"/>
        <v/>
      </c>
      <c r="AB457" s="222" t="str">
        <f t="shared" si="174"/>
        <v>0 um /HH</v>
      </c>
      <c r="AC457" s="223">
        <f t="shared" si="175"/>
        <v>0</v>
      </c>
      <c r="AD457" s="224"/>
      <c r="AE457" s="225"/>
      <c r="AF457" s="226">
        <f t="shared" si="176"/>
        <v>0</v>
      </c>
      <c r="AG457" s="227">
        <f t="shared" si="177"/>
        <v>0</v>
      </c>
      <c r="AH457" s="228" t="s">
        <v>25</v>
      </c>
      <c r="AI457" s="229" t="str">
        <f t="shared" si="197"/>
        <v>Extremamente Complexa</v>
      </c>
      <c r="AJ457" s="230" t="str">
        <f t="shared" si="198"/>
        <v>Normal</v>
      </c>
      <c r="AK457" s="231">
        <f t="shared" si="178"/>
        <v>0</v>
      </c>
      <c r="AL457" s="232" t="str">
        <f t="shared" si="179"/>
        <v/>
      </c>
      <c r="AM457" s="233" t="str">
        <f t="shared" si="180"/>
        <v/>
      </c>
      <c r="AN457" s="233" t="str">
        <f t="shared" si="181"/>
        <v/>
      </c>
      <c r="AO457" s="234">
        <f t="shared" si="182"/>
        <v>0</v>
      </c>
      <c r="AP457" s="235">
        <f t="shared" si="199"/>
        <v>1</v>
      </c>
      <c r="AQ457" s="235">
        <f t="shared" si="199"/>
        <v>1</v>
      </c>
      <c r="AR457" s="236">
        <f t="shared" si="183"/>
        <v>1</v>
      </c>
      <c r="AS457" s="251">
        <f t="shared" si="184"/>
        <v>0</v>
      </c>
      <c r="AT457" s="238">
        <f t="shared" si="185"/>
        <v>0</v>
      </c>
      <c r="AU457" s="239">
        <f t="shared" si="186"/>
        <v>0</v>
      </c>
      <c r="AV457" s="239">
        <f t="shared" si="187"/>
        <v>0</v>
      </c>
      <c r="AW457" s="239">
        <f t="shared" si="188"/>
        <v>0.05</v>
      </c>
      <c r="AX457" s="240">
        <f t="shared" si="189"/>
        <v>0</v>
      </c>
      <c r="AY457" s="241" t="str">
        <f t="shared" si="190"/>
        <v/>
      </c>
      <c r="AZ457" s="242" t="str">
        <f>IFERROR(VLOOKUP(M457,'[1]Base Brasil Obras'!$C$2:$F$485,4,0),"")</f>
        <v/>
      </c>
      <c r="BA457" s="243">
        <f t="shared" si="191"/>
        <v>0</v>
      </c>
      <c r="BB457" s="244">
        <f t="shared" si="192"/>
        <v>0</v>
      </c>
      <c r="BC457" s="244">
        <f t="shared" si="193"/>
        <v>0.05</v>
      </c>
      <c r="BD457" s="245">
        <f t="shared" si="194"/>
        <v>0.95</v>
      </c>
      <c r="BE457" s="246">
        <f t="shared" si="195"/>
        <v>0</v>
      </c>
      <c r="BF457" s="247">
        <v>0</v>
      </c>
      <c r="BG457" s="248">
        <f t="shared" si="196"/>
        <v>1</v>
      </c>
      <c r="BH457" s="198"/>
      <c r="BI457" s="198"/>
      <c r="BJ457" s="199"/>
      <c r="BK457" s="200"/>
      <c r="BL457" s="200"/>
      <c r="BM457" s="200"/>
      <c r="BN457" s="200"/>
      <c r="BO457" s="10"/>
    </row>
    <row r="458" spans="1:67" ht="18" x14ac:dyDescent="0.25">
      <c r="A458" s="201">
        <v>350</v>
      </c>
      <c r="B458" s="286"/>
      <c r="C458" s="203">
        <f t="shared" si="167"/>
        <v>0</v>
      </c>
      <c r="D458" s="204"/>
      <c r="E458" s="204"/>
      <c r="F458" s="207"/>
      <c r="G458" s="206"/>
      <c r="H458" s="207"/>
      <c r="I458" s="208" t="s">
        <v>125</v>
      </c>
      <c r="J458" s="208" t="s">
        <v>126</v>
      </c>
      <c r="K458" s="287"/>
      <c r="L458" s="288"/>
      <c r="M458" s="289"/>
      <c r="N458" s="257"/>
      <c r="O458" s="213"/>
      <c r="P458" s="214"/>
      <c r="Q458" s="214"/>
      <c r="R458" s="214"/>
      <c r="S458" s="214"/>
      <c r="T458" s="214"/>
      <c r="U458" s="215">
        <f t="shared" si="168"/>
        <v>0</v>
      </c>
      <c r="V458" s="216" t="str">
        <f t="shared" si="169"/>
        <v/>
      </c>
      <c r="W458" s="217" t="str">
        <f t="shared" si="170"/>
        <v/>
      </c>
      <c r="X458" s="218" t="s">
        <v>20</v>
      </c>
      <c r="Y458" s="219" t="str">
        <f t="shared" si="171"/>
        <v>0 um/Dia</v>
      </c>
      <c r="Z458" s="220" t="str">
        <f t="shared" si="172"/>
        <v xml:space="preserve"> um / HH</v>
      </c>
      <c r="AA458" s="221" t="str">
        <f t="shared" si="173"/>
        <v/>
      </c>
      <c r="AB458" s="222" t="str">
        <f t="shared" si="174"/>
        <v>0 um /HH</v>
      </c>
      <c r="AC458" s="223">
        <f t="shared" si="175"/>
        <v>0</v>
      </c>
      <c r="AD458" s="224"/>
      <c r="AE458" s="225"/>
      <c r="AF458" s="226">
        <f t="shared" si="176"/>
        <v>0</v>
      </c>
      <c r="AG458" s="227">
        <f t="shared" si="177"/>
        <v>0</v>
      </c>
      <c r="AH458" s="228" t="s">
        <v>25</v>
      </c>
      <c r="AI458" s="229" t="str">
        <f t="shared" si="197"/>
        <v>Extremamente Complexa</v>
      </c>
      <c r="AJ458" s="230" t="str">
        <f t="shared" si="198"/>
        <v>Normal</v>
      </c>
      <c r="AK458" s="231">
        <f t="shared" si="178"/>
        <v>0</v>
      </c>
      <c r="AL458" s="232" t="str">
        <f t="shared" si="179"/>
        <v/>
      </c>
      <c r="AM458" s="233" t="str">
        <f t="shared" si="180"/>
        <v/>
      </c>
      <c r="AN458" s="233" t="str">
        <f t="shared" si="181"/>
        <v/>
      </c>
      <c r="AO458" s="234">
        <f t="shared" si="182"/>
        <v>0</v>
      </c>
      <c r="AP458" s="235">
        <f t="shared" si="199"/>
        <v>1</v>
      </c>
      <c r="AQ458" s="235">
        <f t="shared" si="199"/>
        <v>1</v>
      </c>
      <c r="AR458" s="235">
        <f t="shared" si="183"/>
        <v>1</v>
      </c>
      <c r="AS458" s="252">
        <f t="shared" si="184"/>
        <v>0</v>
      </c>
      <c r="AT458" s="238">
        <f t="shared" si="185"/>
        <v>0</v>
      </c>
      <c r="AU458" s="239">
        <f t="shared" si="186"/>
        <v>0</v>
      </c>
      <c r="AV458" s="239">
        <f t="shared" si="187"/>
        <v>0</v>
      </c>
      <c r="AW458" s="239">
        <f t="shared" si="188"/>
        <v>0.05</v>
      </c>
      <c r="AX458" s="240">
        <f t="shared" si="189"/>
        <v>0</v>
      </c>
      <c r="AY458" s="241" t="str">
        <f t="shared" si="190"/>
        <v/>
      </c>
      <c r="AZ458" s="242" t="str">
        <f>IFERROR(VLOOKUP(M458,'[1]Base Brasil Obras'!$C$2:$F$485,4,0),"")</f>
        <v/>
      </c>
      <c r="BA458" s="243">
        <f t="shared" si="191"/>
        <v>0</v>
      </c>
      <c r="BB458" s="244">
        <f t="shared" si="192"/>
        <v>0</v>
      </c>
      <c r="BC458" s="244">
        <f t="shared" si="193"/>
        <v>0.05</v>
      </c>
      <c r="BD458" s="245">
        <f t="shared" si="194"/>
        <v>0.95</v>
      </c>
      <c r="BE458" s="246">
        <f t="shared" si="195"/>
        <v>0</v>
      </c>
      <c r="BF458" s="247">
        <v>0</v>
      </c>
      <c r="BG458" s="248">
        <f t="shared" si="196"/>
        <v>1</v>
      </c>
      <c r="BH458" s="198"/>
      <c r="BI458" s="198"/>
      <c r="BJ458" s="199"/>
      <c r="BK458" s="200"/>
      <c r="BL458" s="200"/>
      <c r="BM458" s="200"/>
      <c r="BN458" s="200"/>
      <c r="BO458" s="10"/>
    </row>
    <row r="459" spans="1:67" ht="18" x14ac:dyDescent="0.25">
      <c r="A459" s="201">
        <v>351</v>
      </c>
      <c r="B459" s="286"/>
      <c r="C459" s="203">
        <f t="shared" si="167"/>
        <v>0</v>
      </c>
      <c r="D459" s="204"/>
      <c r="E459" s="204"/>
      <c r="F459" s="207"/>
      <c r="G459" s="206"/>
      <c r="H459" s="207"/>
      <c r="I459" s="208" t="s">
        <v>125</v>
      </c>
      <c r="J459" s="208" t="s">
        <v>126</v>
      </c>
      <c r="K459" s="287"/>
      <c r="L459" s="288"/>
      <c r="M459" s="289"/>
      <c r="N459" s="257"/>
      <c r="O459" s="213"/>
      <c r="P459" s="214"/>
      <c r="Q459" s="214"/>
      <c r="R459" s="214"/>
      <c r="S459" s="214"/>
      <c r="T459" s="214"/>
      <c r="U459" s="215">
        <f t="shared" si="168"/>
        <v>0</v>
      </c>
      <c r="V459" s="216" t="str">
        <f t="shared" si="169"/>
        <v/>
      </c>
      <c r="W459" s="217" t="str">
        <f t="shared" si="170"/>
        <v/>
      </c>
      <c r="X459" s="218" t="s">
        <v>20</v>
      </c>
      <c r="Y459" s="219" t="str">
        <f t="shared" si="171"/>
        <v>0 um/Dia</v>
      </c>
      <c r="Z459" s="220" t="str">
        <f t="shared" si="172"/>
        <v xml:space="preserve"> um / HH</v>
      </c>
      <c r="AA459" s="221" t="str">
        <f t="shared" si="173"/>
        <v/>
      </c>
      <c r="AB459" s="222" t="str">
        <f t="shared" si="174"/>
        <v>0 um /HH</v>
      </c>
      <c r="AC459" s="223">
        <f t="shared" si="175"/>
        <v>0</v>
      </c>
      <c r="AD459" s="224"/>
      <c r="AE459" s="225"/>
      <c r="AF459" s="226">
        <f t="shared" si="176"/>
        <v>0</v>
      </c>
      <c r="AG459" s="227">
        <f t="shared" si="177"/>
        <v>0</v>
      </c>
      <c r="AH459" s="228" t="s">
        <v>25</v>
      </c>
      <c r="AI459" s="229" t="str">
        <f t="shared" si="197"/>
        <v>Extremamente Complexa</v>
      </c>
      <c r="AJ459" s="230" t="str">
        <f t="shared" si="198"/>
        <v>Normal</v>
      </c>
      <c r="AK459" s="231">
        <f t="shared" si="178"/>
        <v>0</v>
      </c>
      <c r="AL459" s="232" t="str">
        <f t="shared" si="179"/>
        <v/>
      </c>
      <c r="AM459" s="233" t="str">
        <f t="shared" si="180"/>
        <v/>
      </c>
      <c r="AN459" s="233" t="str">
        <f t="shared" si="181"/>
        <v/>
      </c>
      <c r="AO459" s="234">
        <f t="shared" si="182"/>
        <v>0</v>
      </c>
      <c r="AP459" s="235">
        <f t="shared" si="199"/>
        <v>1</v>
      </c>
      <c r="AQ459" s="235">
        <f t="shared" si="199"/>
        <v>1</v>
      </c>
      <c r="AR459" s="236">
        <f t="shared" si="183"/>
        <v>1</v>
      </c>
      <c r="AS459" s="251">
        <f t="shared" si="184"/>
        <v>0</v>
      </c>
      <c r="AT459" s="238">
        <f t="shared" si="185"/>
        <v>0</v>
      </c>
      <c r="AU459" s="239">
        <f t="shared" si="186"/>
        <v>0</v>
      </c>
      <c r="AV459" s="239">
        <f t="shared" si="187"/>
        <v>0</v>
      </c>
      <c r="AW459" s="239">
        <f t="shared" si="188"/>
        <v>0.05</v>
      </c>
      <c r="AX459" s="240">
        <f t="shared" si="189"/>
        <v>0</v>
      </c>
      <c r="AY459" s="241" t="str">
        <f t="shared" si="190"/>
        <v/>
      </c>
      <c r="AZ459" s="242" t="str">
        <f>IFERROR(VLOOKUP(M459,'[1]Base Brasil Obras'!$C$2:$F$485,4,0),"")</f>
        <v/>
      </c>
      <c r="BA459" s="243">
        <f t="shared" si="191"/>
        <v>0</v>
      </c>
      <c r="BB459" s="244">
        <f t="shared" si="192"/>
        <v>0</v>
      </c>
      <c r="BC459" s="244">
        <f t="shared" si="193"/>
        <v>0.05</v>
      </c>
      <c r="BD459" s="245">
        <f t="shared" si="194"/>
        <v>0.95</v>
      </c>
      <c r="BE459" s="246">
        <f t="shared" si="195"/>
        <v>0</v>
      </c>
      <c r="BF459" s="247">
        <v>0</v>
      </c>
      <c r="BG459" s="248">
        <f t="shared" si="196"/>
        <v>1</v>
      </c>
      <c r="BH459" s="198"/>
      <c r="BI459" s="198"/>
      <c r="BJ459" s="199"/>
      <c r="BK459" s="200"/>
      <c r="BL459" s="200"/>
      <c r="BM459" s="200"/>
      <c r="BN459" s="200"/>
      <c r="BO459" s="10"/>
    </row>
    <row r="460" spans="1:67" ht="18" x14ac:dyDescent="0.25">
      <c r="A460" s="201">
        <v>352</v>
      </c>
      <c r="B460" s="286"/>
      <c r="C460" s="203">
        <f t="shared" si="167"/>
        <v>0</v>
      </c>
      <c r="D460" s="204"/>
      <c r="E460" s="204"/>
      <c r="F460" s="207"/>
      <c r="G460" s="206"/>
      <c r="H460" s="207"/>
      <c r="I460" s="208" t="s">
        <v>125</v>
      </c>
      <c r="J460" s="208" t="s">
        <v>126</v>
      </c>
      <c r="K460" s="287"/>
      <c r="L460" s="288"/>
      <c r="M460" s="289"/>
      <c r="N460" s="257"/>
      <c r="O460" s="213"/>
      <c r="P460" s="214"/>
      <c r="Q460" s="214"/>
      <c r="R460" s="214"/>
      <c r="S460" s="214"/>
      <c r="T460" s="214"/>
      <c r="U460" s="215">
        <f t="shared" si="168"/>
        <v>0</v>
      </c>
      <c r="V460" s="216" t="str">
        <f t="shared" si="169"/>
        <v/>
      </c>
      <c r="W460" s="217" t="str">
        <f t="shared" si="170"/>
        <v/>
      </c>
      <c r="X460" s="218" t="s">
        <v>20</v>
      </c>
      <c r="Y460" s="219" t="str">
        <f t="shared" si="171"/>
        <v>0 um/Dia</v>
      </c>
      <c r="Z460" s="220" t="str">
        <f t="shared" si="172"/>
        <v xml:space="preserve"> um / HH</v>
      </c>
      <c r="AA460" s="221" t="str">
        <f t="shared" si="173"/>
        <v/>
      </c>
      <c r="AB460" s="222" t="str">
        <f t="shared" si="174"/>
        <v>0 um /HH</v>
      </c>
      <c r="AC460" s="223">
        <f t="shared" si="175"/>
        <v>0</v>
      </c>
      <c r="AD460" s="224"/>
      <c r="AE460" s="225"/>
      <c r="AF460" s="226">
        <f t="shared" si="176"/>
        <v>0</v>
      </c>
      <c r="AG460" s="227">
        <f t="shared" si="177"/>
        <v>0</v>
      </c>
      <c r="AH460" s="228" t="s">
        <v>25</v>
      </c>
      <c r="AI460" s="229" t="str">
        <f t="shared" si="197"/>
        <v>Extremamente Complexa</v>
      </c>
      <c r="AJ460" s="230" t="str">
        <f t="shared" si="198"/>
        <v>Normal</v>
      </c>
      <c r="AK460" s="231">
        <f t="shared" si="178"/>
        <v>0</v>
      </c>
      <c r="AL460" s="232" t="str">
        <f t="shared" si="179"/>
        <v/>
      </c>
      <c r="AM460" s="233" t="str">
        <f t="shared" si="180"/>
        <v/>
      </c>
      <c r="AN460" s="233" t="str">
        <f t="shared" si="181"/>
        <v/>
      </c>
      <c r="AO460" s="234">
        <f t="shared" si="182"/>
        <v>0</v>
      </c>
      <c r="AP460" s="235">
        <f t="shared" si="199"/>
        <v>1</v>
      </c>
      <c r="AQ460" s="235">
        <f t="shared" si="199"/>
        <v>1</v>
      </c>
      <c r="AR460" s="235">
        <f t="shared" si="183"/>
        <v>1</v>
      </c>
      <c r="AS460" s="252">
        <f t="shared" si="184"/>
        <v>0</v>
      </c>
      <c r="AT460" s="238">
        <f t="shared" si="185"/>
        <v>0</v>
      </c>
      <c r="AU460" s="239">
        <f t="shared" si="186"/>
        <v>0</v>
      </c>
      <c r="AV460" s="239">
        <f t="shared" si="187"/>
        <v>0</v>
      </c>
      <c r="AW460" s="239">
        <f t="shared" si="188"/>
        <v>0.05</v>
      </c>
      <c r="AX460" s="240">
        <f t="shared" si="189"/>
        <v>0</v>
      </c>
      <c r="AY460" s="241" t="str">
        <f t="shared" si="190"/>
        <v/>
      </c>
      <c r="AZ460" s="242" t="str">
        <f>IFERROR(VLOOKUP(M460,'[1]Base Brasil Obras'!$C$2:$F$485,4,0),"")</f>
        <v/>
      </c>
      <c r="BA460" s="243">
        <f t="shared" si="191"/>
        <v>0</v>
      </c>
      <c r="BB460" s="244">
        <f t="shared" si="192"/>
        <v>0</v>
      </c>
      <c r="BC460" s="244">
        <f t="shared" si="193"/>
        <v>0.05</v>
      </c>
      <c r="BD460" s="245">
        <f t="shared" si="194"/>
        <v>0.95</v>
      </c>
      <c r="BE460" s="246">
        <f t="shared" si="195"/>
        <v>0</v>
      </c>
      <c r="BF460" s="247">
        <v>0</v>
      </c>
      <c r="BG460" s="248">
        <f t="shared" si="196"/>
        <v>1</v>
      </c>
      <c r="BH460" s="198"/>
      <c r="BI460" s="198"/>
      <c r="BJ460" s="199"/>
      <c r="BK460" s="200"/>
      <c r="BL460" s="200"/>
      <c r="BM460" s="200"/>
      <c r="BN460" s="200"/>
      <c r="BO460" s="10"/>
    </row>
    <row r="461" spans="1:67" ht="18" x14ac:dyDescent="0.25">
      <c r="A461" s="201">
        <v>353</v>
      </c>
      <c r="B461" s="286"/>
      <c r="C461" s="203">
        <f t="shared" si="167"/>
        <v>0</v>
      </c>
      <c r="D461" s="204"/>
      <c r="E461" s="204"/>
      <c r="F461" s="207"/>
      <c r="G461" s="206"/>
      <c r="H461" s="207"/>
      <c r="I461" s="208" t="s">
        <v>125</v>
      </c>
      <c r="J461" s="208" t="s">
        <v>126</v>
      </c>
      <c r="K461" s="287"/>
      <c r="L461" s="288"/>
      <c r="M461" s="289"/>
      <c r="N461" s="257"/>
      <c r="O461" s="213"/>
      <c r="P461" s="214"/>
      <c r="Q461" s="214"/>
      <c r="R461" s="214"/>
      <c r="S461" s="214"/>
      <c r="T461" s="214"/>
      <c r="U461" s="215">
        <f t="shared" si="168"/>
        <v>0</v>
      </c>
      <c r="V461" s="216" t="str">
        <f t="shared" si="169"/>
        <v/>
      </c>
      <c r="W461" s="217" t="str">
        <f t="shared" si="170"/>
        <v/>
      </c>
      <c r="X461" s="218" t="s">
        <v>20</v>
      </c>
      <c r="Y461" s="219" t="str">
        <f t="shared" si="171"/>
        <v>0 um/Dia</v>
      </c>
      <c r="Z461" s="220" t="str">
        <f t="shared" si="172"/>
        <v xml:space="preserve"> um / HH</v>
      </c>
      <c r="AA461" s="221" t="str">
        <f t="shared" si="173"/>
        <v/>
      </c>
      <c r="AB461" s="222" t="str">
        <f t="shared" si="174"/>
        <v>0 um /HH</v>
      </c>
      <c r="AC461" s="223">
        <f t="shared" si="175"/>
        <v>0</v>
      </c>
      <c r="AD461" s="224"/>
      <c r="AE461" s="225"/>
      <c r="AF461" s="226">
        <f t="shared" si="176"/>
        <v>0</v>
      </c>
      <c r="AG461" s="227">
        <f t="shared" si="177"/>
        <v>0</v>
      </c>
      <c r="AH461" s="228" t="s">
        <v>25</v>
      </c>
      <c r="AI461" s="229" t="str">
        <f t="shared" si="197"/>
        <v>Extremamente Complexa</v>
      </c>
      <c r="AJ461" s="230" t="str">
        <f t="shared" si="198"/>
        <v>Normal</v>
      </c>
      <c r="AK461" s="231">
        <f t="shared" si="178"/>
        <v>0</v>
      </c>
      <c r="AL461" s="232" t="str">
        <f t="shared" si="179"/>
        <v/>
      </c>
      <c r="AM461" s="233" t="str">
        <f t="shared" si="180"/>
        <v/>
      </c>
      <c r="AN461" s="233" t="str">
        <f t="shared" si="181"/>
        <v/>
      </c>
      <c r="AO461" s="234">
        <f t="shared" si="182"/>
        <v>0</v>
      </c>
      <c r="AP461" s="235">
        <f t="shared" si="199"/>
        <v>1</v>
      </c>
      <c r="AQ461" s="235">
        <f t="shared" si="199"/>
        <v>1</v>
      </c>
      <c r="AR461" s="236">
        <f t="shared" si="183"/>
        <v>1</v>
      </c>
      <c r="AS461" s="251">
        <f t="shared" si="184"/>
        <v>0</v>
      </c>
      <c r="AT461" s="238">
        <f t="shared" si="185"/>
        <v>0</v>
      </c>
      <c r="AU461" s="239">
        <f t="shared" si="186"/>
        <v>0</v>
      </c>
      <c r="AV461" s="239">
        <f t="shared" si="187"/>
        <v>0</v>
      </c>
      <c r="AW461" s="239">
        <f t="shared" si="188"/>
        <v>0.05</v>
      </c>
      <c r="AX461" s="240">
        <f t="shared" si="189"/>
        <v>0</v>
      </c>
      <c r="AY461" s="241" t="str">
        <f t="shared" si="190"/>
        <v/>
      </c>
      <c r="AZ461" s="242" t="str">
        <f>IFERROR(VLOOKUP(M461,'[1]Base Brasil Obras'!$C$2:$F$485,4,0),"")</f>
        <v/>
      </c>
      <c r="BA461" s="243">
        <f t="shared" si="191"/>
        <v>0</v>
      </c>
      <c r="BB461" s="244">
        <f t="shared" si="192"/>
        <v>0</v>
      </c>
      <c r="BC461" s="244">
        <f t="shared" si="193"/>
        <v>0.05</v>
      </c>
      <c r="BD461" s="245">
        <f t="shared" si="194"/>
        <v>0.95</v>
      </c>
      <c r="BE461" s="246">
        <f t="shared" si="195"/>
        <v>0</v>
      </c>
      <c r="BF461" s="247">
        <v>0</v>
      </c>
      <c r="BG461" s="248">
        <f t="shared" si="196"/>
        <v>1</v>
      </c>
      <c r="BH461" s="198"/>
      <c r="BI461" s="198"/>
      <c r="BJ461" s="199"/>
      <c r="BK461" s="200"/>
      <c r="BL461" s="200"/>
      <c r="BM461" s="200"/>
      <c r="BN461" s="200"/>
      <c r="BO461" s="10"/>
    </row>
    <row r="462" spans="1:67" ht="18" x14ac:dyDescent="0.25">
      <c r="A462" s="201">
        <v>354</v>
      </c>
      <c r="B462" s="286"/>
      <c r="C462" s="203">
        <f t="shared" si="167"/>
        <v>0</v>
      </c>
      <c r="D462" s="204"/>
      <c r="E462" s="204"/>
      <c r="F462" s="207"/>
      <c r="G462" s="206"/>
      <c r="H462" s="207"/>
      <c r="I462" s="208" t="s">
        <v>125</v>
      </c>
      <c r="J462" s="208" t="s">
        <v>126</v>
      </c>
      <c r="K462" s="287"/>
      <c r="L462" s="288"/>
      <c r="M462" s="289"/>
      <c r="N462" s="257"/>
      <c r="O462" s="213"/>
      <c r="P462" s="214"/>
      <c r="Q462" s="214"/>
      <c r="R462" s="214"/>
      <c r="S462" s="214"/>
      <c r="T462" s="214"/>
      <c r="U462" s="215">
        <f t="shared" si="168"/>
        <v>0</v>
      </c>
      <c r="V462" s="216" t="str">
        <f t="shared" si="169"/>
        <v/>
      </c>
      <c r="W462" s="217" t="str">
        <f t="shared" si="170"/>
        <v/>
      </c>
      <c r="X462" s="218" t="s">
        <v>20</v>
      </c>
      <c r="Y462" s="219" t="str">
        <f t="shared" si="171"/>
        <v>0 um/Dia</v>
      </c>
      <c r="Z462" s="220" t="str">
        <f t="shared" si="172"/>
        <v xml:space="preserve"> um / HH</v>
      </c>
      <c r="AA462" s="221" t="str">
        <f t="shared" si="173"/>
        <v/>
      </c>
      <c r="AB462" s="222" t="str">
        <f t="shared" si="174"/>
        <v>0 um /HH</v>
      </c>
      <c r="AC462" s="223">
        <f t="shared" si="175"/>
        <v>0</v>
      </c>
      <c r="AD462" s="224"/>
      <c r="AE462" s="225"/>
      <c r="AF462" s="226">
        <f t="shared" si="176"/>
        <v>0</v>
      </c>
      <c r="AG462" s="227">
        <f t="shared" si="177"/>
        <v>0</v>
      </c>
      <c r="AH462" s="228" t="s">
        <v>25</v>
      </c>
      <c r="AI462" s="229" t="str">
        <f t="shared" si="197"/>
        <v>Extremamente Complexa</v>
      </c>
      <c r="AJ462" s="230" t="str">
        <f t="shared" si="198"/>
        <v>Normal</v>
      </c>
      <c r="AK462" s="231">
        <f t="shared" si="178"/>
        <v>0</v>
      </c>
      <c r="AL462" s="232" t="str">
        <f t="shared" si="179"/>
        <v/>
      </c>
      <c r="AM462" s="233" t="str">
        <f t="shared" si="180"/>
        <v/>
      </c>
      <c r="AN462" s="233" t="str">
        <f t="shared" si="181"/>
        <v/>
      </c>
      <c r="AO462" s="234">
        <f t="shared" si="182"/>
        <v>0</v>
      </c>
      <c r="AP462" s="235">
        <f t="shared" si="199"/>
        <v>1</v>
      </c>
      <c r="AQ462" s="235">
        <f t="shared" si="199"/>
        <v>1</v>
      </c>
      <c r="AR462" s="235">
        <f t="shared" si="183"/>
        <v>1</v>
      </c>
      <c r="AS462" s="252">
        <f t="shared" si="184"/>
        <v>0</v>
      </c>
      <c r="AT462" s="238">
        <f t="shared" si="185"/>
        <v>0</v>
      </c>
      <c r="AU462" s="239">
        <f t="shared" si="186"/>
        <v>0</v>
      </c>
      <c r="AV462" s="239">
        <f t="shared" si="187"/>
        <v>0</v>
      </c>
      <c r="AW462" s="239">
        <f t="shared" si="188"/>
        <v>0.05</v>
      </c>
      <c r="AX462" s="240">
        <f t="shared" si="189"/>
        <v>0</v>
      </c>
      <c r="AY462" s="241" t="str">
        <f t="shared" si="190"/>
        <v/>
      </c>
      <c r="AZ462" s="242" t="str">
        <f>IFERROR(VLOOKUP(M462,'[1]Base Brasil Obras'!$C$2:$F$485,4,0),"")</f>
        <v/>
      </c>
      <c r="BA462" s="243">
        <f t="shared" si="191"/>
        <v>0</v>
      </c>
      <c r="BB462" s="244">
        <f t="shared" si="192"/>
        <v>0</v>
      </c>
      <c r="BC462" s="244">
        <f t="shared" si="193"/>
        <v>0.05</v>
      </c>
      <c r="BD462" s="245">
        <f t="shared" si="194"/>
        <v>0.95</v>
      </c>
      <c r="BE462" s="246">
        <f t="shared" si="195"/>
        <v>0</v>
      </c>
      <c r="BF462" s="247">
        <v>0</v>
      </c>
      <c r="BG462" s="248">
        <f t="shared" si="196"/>
        <v>1</v>
      </c>
      <c r="BH462" s="198"/>
      <c r="BI462" s="198"/>
      <c r="BJ462" s="199"/>
      <c r="BK462" s="200"/>
      <c r="BL462" s="200"/>
      <c r="BM462" s="200"/>
      <c r="BN462" s="200"/>
      <c r="BO462" s="10"/>
    </row>
    <row r="463" spans="1:67" ht="18.75" customHeight="1" x14ac:dyDescent="0.25">
      <c r="A463" s="201">
        <v>355</v>
      </c>
      <c r="B463" s="286"/>
      <c r="C463" s="203">
        <f t="shared" si="167"/>
        <v>0</v>
      </c>
      <c r="D463" s="204"/>
      <c r="E463" s="204"/>
      <c r="F463" s="207"/>
      <c r="G463" s="206"/>
      <c r="H463" s="207"/>
      <c r="I463" s="208" t="s">
        <v>125</v>
      </c>
      <c r="J463" s="208" t="s">
        <v>126</v>
      </c>
      <c r="K463" s="287"/>
      <c r="L463" s="288"/>
      <c r="M463" s="289"/>
      <c r="N463" s="257"/>
      <c r="O463" s="213"/>
      <c r="P463" s="214"/>
      <c r="Q463" s="214"/>
      <c r="R463" s="214"/>
      <c r="S463" s="214"/>
      <c r="T463" s="214"/>
      <c r="U463" s="215">
        <f t="shared" si="168"/>
        <v>0</v>
      </c>
      <c r="V463" s="216" t="str">
        <f t="shared" si="169"/>
        <v/>
      </c>
      <c r="W463" s="217" t="str">
        <f t="shared" si="170"/>
        <v/>
      </c>
      <c r="X463" s="218" t="s">
        <v>20</v>
      </c>
      <c r="Y463" s="219" t="str">
        <f t="shared" si="171"/>
        <v>0 um/Dia</v>
      </c>
      <c r="Z463" s="220" t="str">
        <f t="shared" si="172"/>
        <v xml:space="preserve"> um / HH</v>
      </c>
      <c r="AA463" s="221" t="str">
        <f t="shared" si="173"/>
        <v/>
      </c>
      <c r="AB463" s="222" t="str">
        <f t="shared" si="174"/>
        <v>0 um /HH</v>
      </c>
      <c r="AC463" s="223">
        <f t="shared" si="175"/>
        <v>0</v>
      </c>
      <c r="AD463" s="224"/>
      <c r="AE463" s="225"/>
      <c r="AF463" s="226">
        <f t="shared" si="176"/>
        <v>0</v>
      </c>
      <c r="AG463" s="227">
        <f t="shared" si="177"/>
        <v>0</v>
      </c>
      <c r="AH463" s="228" t="s">
        <v>25</v>
      </c>
      <c r="AI463" s="229" t="str">
        <f t="shared" si="197"/>
        <v>Extremamente Complexa</v>
      </c>
      <c r="AJ463" s="230" t="str">
        <f t="shared" si="198"/>
        <v>Normal</v>
      </c>
      <c r="AK463" s="231">
        <f t="shared" si="178"/>
        <v>0</v>
      </c>
      <c r="AL463" s="232" t="str">
        <f t="shared" si="179"/>
        <v/>
      </c>
      <c r="AM463" s="233" t="str">
        <f t="shared" si="180"/>
        <v/>
      </c>
      <c r="AN463" s="233" t="str">
        <f t="shared" si="181"/>
        <v/>
      </c>
      <c r="AO463" s="234">
        <f t="shared" si="182"/>
        <v>0</v>
      </c>
      <c r="AP463" s="235">
        <f t="shared" si="199"/>
        <v>1</v>
      </c>
      <c r="AQ463" s="235">
        <f t="shared" si="199"/>
        <v>1</v>
      </c>
      <c r="AR463" s="235">
        <f t="shared" si="183"/>
        <v>1</v>
      </c>
      <c r="AS463" s="252">
        <f t="shared" si="184"/>
        <v>0</v>
      </c>
      <c r="AT463" s="238">
        <f t="shared" si="185"/>
        <v>0</v>
      </c>
      <c r="AU463" s="239">
        <f t="shared" si="186"/>
        <v>0</v>
      </c>
      <c r="AV463" s="239">
        <f t="shared" si="187"/>
        <v>0</v>
      </c>
      <c r="AW463" s="239">
        <f t="shared" si="188"/>
        <v>0.05</v>
      </c>
      <c r="AX463" s="240">
        <f t="shared" si="189"/>
        <v>0</v>
      </c>
      <c r="AY463" s="241" t="str">
        <f t="shared" si="190"/>
        <v/>
      </c>
      <c r="AZ463" s="242" t="str">
        <f>IFERROR(VLOOKUP(M463,'[1]Base Brasil Obras'!$C$2:$F$485,4,0),"")</f>
        <v/>
      </c>
      <c r="BA463" s="243">
        <f t="shared" si="191"/>
        <v>0</v>
      </c>
      <c r="BB463" s="244">
        <f t="shared" si="192"/>
        <v>0</v>
      </c>
      <c r="BC463" s="244">
        <f t="shared" si="193"/>
        <v>0.05</v>
      </c>
      <c r="BD463" s="245">
        <f t="shared" si="194"/>
        <v>0.95</v>
      </c>
      <c r="BE463" s="246">
        <f t="shared" si="195"/>
        <v>0</v>
      </c>
      <c r="BF463" s="247">
        <v>0</v>
      </c>
      <c r="BG463" s="248">
        <f t="shared" si="196"/>
        <v>1</v>
      </c>
      <c r="BH463" s="198"/>
      <c r="BI463" s="198"/>
      <c r="BJ463" s="199"/>
      <c r="BK463" s="200"/>
      <c r="BL463" s="200"/>
      <c r="BM463" s="200"/>
      <c r="BN463" s="200"/>
      <c r="BO463" s="10"/>
    </row>
    <row r="464" spans="1:67" ht="18" x14ac:dyDescent="0.25">
      <c r="A464" s="201">
        <v>356</v>
      </c>
      <c r="B464" s="286"/>
      <c r="C464" s="203">
        <f t="shared" si="167"/>
        <v>0</v>
      </c>
      <c r="D464" s="204"/>
      <c r="E464" s="204"/>
      <c r="F464" s="207"/>
      <c r="G464" s="206"/>
      <c r="H464" s="207"/>
      <c r="I464" s="208" t="s">
        <v>125</v>
      </c>
      <c r="J464" s="208" t="s">
        <v>126</v>
      </c>
      <c r="K464" s="287"/>
      <c r="L464" s="288"/>
      <c r="M464" s="289"/>
      <c r="N464" s="257"/>
      <c r="O464" s="213"/>
      <c r="P464" s="214"/>
      <c r="Q464" s="214"/>
      <c r="R464" s="214"/>
      <c r="S464" s="214"/>
      <c r="T464" s="214"/>
      <c r="U464" s="215">
        <f t="shared" si="168"/>
        <v>0</v>
      </c>
      <c r="V464" s="216" t="str">
        <f t="shared" si="169"/>
        <v/>
      </c>
      <c r="W464" s="217" t="str">
        <f t="shared" si="170"/>
        <v/>
      </c>
      <c r="X464" s="218" t="s">
        <v>20</v>
      </c>
      <c r="Y464" s="219" t="str">
        <f t="shared" si="171"/>
        <v>0 um/Dia</v>
      </c>
      <c r="Z464" s="220" t="str">
        <f t="shared" si="172"/>
        <v xml:space="preserve"> um / HH</v>
      </c>
      <c r="AA464" s="221" t="str">
        <f t="shared" si="173"/>
        <v/>
      </c>
      <c r="AB464" s="222" t="str">
        <f t="shared" si="174"/>
        <v>0 um /HH</v>
      </c>
      <c r="AC464" s="223">
        <f t="shared" si="175"/>
        <v>0</v>
      </c>
      <c r="AD464" s="224"/>
      <c r="AE464" s="225"/>
      <c r="AF464" s="226">
        <f t="shared" si="176"/>
        <v>0</v>
      </c>
      <c r="AG464" s="227">
        <f t="shared" si="177"/>
        <v>0</v>
      </c>
      <c r="AH464" s="228" t="s">
        <v>25</v>
      </c>
      <c r="AI464" s="229" t="str">
        <f t="shared" si="197"/>
        <v>Extremamente Complexa</v>
      </c>
      <c r="AJ464" s="230" t="str">
        <f t="shared" si="198"/>
        <v>Normal</v>
      </c>
      <c r="AK464" s="231">
        <f t="shared" si="178"/>
        <v>0</v>
      </c>
      <c r="AL464" s="232" t="str">
        <f t="shared" si="179"/>
        <v/>
      </c>
      <c r="AM464" s="233" t="str">
        <f t="shared" si="180"/>
        <v/>
      </c>
      <c r="AN464" s="233" t="str">
        <f t="shared" si="181"/>
        <v/>
      </c>
      <c r="AO464" s="234">
        <f t="shared" si="182"/>
        <v>0</v>
      </c>
      <c r="AP464" s="235">
        <f t="shared" si="199"/>
        <v>1</v>
      </c>
      <c r="AQ464" s="235">
        <f t="shared" si="199"/>
        <v>1</v>
      </c>
      <c r="AR464" s="236">
        <f t="shared" si="183"/>
        <v>1</v>
      </c>
      <c r="AS464" s="251">
        <f t="shared" si="184"/>
        <v>0</v>
      </c>
      <c r="AT464" s="238">
        <f t="shared" si="185"/>
        <v>0</v>
      </c>
      <c r="AU464" s="239">
        <f t="shared" si="186"/>
        <v>0</v>
      </c>
      <c r="AV464" s="239">
        <f t="shared" si="187"/>
        <v>0</v>
      </c>
      <c r="AW464" s="239">
        <f t="shared" si="188"/>
        <v>0.05</v>
      </c>
      <c r="AX464" s="240">
        <f t="shared" si="189"/>
        <v>0</v>
      </c>
      <c r="AY464" s="241" t="str">
        <f t="shared" si="190"/>
        <v/>
      </c>
      <c r="AZ464" s="242" t="str">
        <f>IFERROR(VLOOKUP(M464,'[1]Base Brasil Obras'!$C$2:$F$485,4,0),"")</f>
        <v/>
      </c>
      <c r="BA464" s="243">
        <f t="shared" si="191"/>
        <v>0</v>
      </c>
      <c r="BB464" s="244">
        <f t="shared" si="192"/>
        <v>0</v>
      </c>
      <c r="BC464" s="244">
        <f t="shared" si="193"/>
        <v>0.05</v>
      </c>
      <c r="BD464" s="245">
        <f t="shared" si="194"/>
        <v>0.95</v>
      </c>
      <c r="BE464" s="246">
        <f t="shared" si="195"/>
        <v>0</v>
      </c>
      <c r="BF464" s="247">
        <v>0</v>
      </c>
      <c r="BG464" s="248">
        <f t="shared" si="196"/>
        <v>1</v>
      </c>
      <c r="BH464" s="198"/>
      <c r="BI464" s="198"/>
      <c r="BJ464" s="199"/>
      <c r="BK464" s="200"/>
      <c r="BL464" s="200"/>
      <c r="BM464" s="200"/>
      <c r="BN464" s="200"/>
      <c r="BO464" s="10"/>
    </row>
    <row r="465" spans="1:67" ht="18" customHeight="1" x14ac:dyDescent="0.25">
      <c r="A465" s="201">
        <v>357</v>
      </c>
      <c r="B465" s="286"/>
      <c r="C465" s="203">
        <f t="shared" si="167"/>
        <v>0</v>
      </c>
      <c r="D465" s="204"/>
      <c r="E465" s="204"/>
      <c r="F465" s="207"/>
      <c r="G465" s="206"/>
      <c r="H465" s="207"/>
      <c r="I465" s="208" t="s">
        <v>125</v>
      </c>
      <c r="J465" s="208" t="s">
        <v>126</v>
      </c>
      <c r="K465" s="287"/>
      <c r="L465" s="288"/>
      <c r="M465" s="289"/>
      <c r="N465" s="257"/>
      <c r="O465" s="213"/>
      <c r="P465" s="214"/>
      <c r="Q465" s="214"/>
      <c r="R465" s="214"/>
      <c r="S465" s="214"/>
      <c r="T465" s="214"/>
      <c r="U465" s="215">
        <f t="shared" si="168"/>
        <v>0</v>
      </c>
      <c r="V465" s="216" t="str">
        <f t="shared" si="169"/>
        <v/>
      </c>
      <c r="W465" s="217" t="str">
        <f t="shared" si="170"/>
        <v/>
      </c>
      <c r="X465" s="218" t="s">
        <v>20</v>
      </c>
      <c r="Y465" s="219" t="str">
        <f t="shared" si="171"/>
        <v>0 um/Dia</v>
      </c>
      <c r="Z465" s="220" t="str">
        <f t="shared" si="172"/>
        <v xml:space="preserve"> um / HH</v>
      </c>
      <c r="AA465" s="221" t="str">
        <f t="shared" si="173"/>
        <v/>
      </c>
      <c r="AB465" s="222" t="str">
        <f t="shared" si="174"/>
        <v>0 um /HH</v>
      </c>
      <c r="AC465" s="223">
        <f t="shared" si="175"/>
        <v>0</v>
      </c>
      <c r="AD465" s="224"/>
      <c r="AE465" s="225"/>
      <c r="AF465" s="226">
        <f t="shared" si="176"/>
        <v>0</v>
      </c>
      <c r="AG465" s="227">
        <f t="shared" si="177"/>
        <v>0</v>
      </c>
      <c r="AH465" s="228" t="s">
        <v>25</v>
      </c>
      <c r="AI465" s="229" t="str">
        <f t="shared" si="197"/>
        <v>Extremamente Complexa</v>
      </c>
      <c r="AJ465" s="230" t="str">
        <f t="shared" si="198"/>
        <v>Normal</v>
      </c>
      <c r="AK465" s="231">
        <f t="shared" si="178"/>
        <v>0</v>
      </c>
      <c r="AL465" s="232" t="str">
        <f t="shared" si="179"/>
        <v/>
      </c>
      <c r="AM465" s="233" t="str">
        <f t="shared" si="180"/>
        <v/>
      </c>
      <c r="AN465" s="233" t="str">
        <f t="shared" si="181"/>
        <v/>
      </c>
      <c r="AO465" s="234">
        <f t="shared" si="182"/>
        <v>0</v>
      </c>
      <c r="AP465" s="235">
        <f t="shared" si="199"/>
        <v>1</v>
      </c>
      <c r="AQ465" s="235">
        <f t="shared" si="199"/>
        <v>1</v>
      </c>
      <c r="AR465" s="235">
        <f t="shared" si="183"/>
        <v>1</v>
      </c>
      <c r="AS465" s="252">
        <f t="shared" si="184"/>
        <v>0</v>
      </c>
      <c r="AT465" s="238">
        <f t="shared" si="185"/>
        <v>0</v>
      </c>
      <c r="AU465" s="239">
        <f t="shared" si="186"/>
        <v>0</v>
      </c>
      <c r="AV465" s="239">
        <f t="shared" si="187"/>
        <v>0</v>
      </c>
      <c r="AW465" s="239">
        <f t="shared" si="188"/>
        <v>0.05</v>
      </c>
      <c r="AX465" s="240">
        <f t="shared" si="189"/>
        <v>0</v>
      </c>
      <c r="AY465" s="241" t="str">
        <f t="shared" si="190"/>
        <v/>
      </c>
      <c r="AZ465" s="242" t="str">
        <f>IFERROR(VLOOKUP(M465,'[1]Base Brasil Obras'!$C$2:$F$485,4,0),"")</f>
        <v/>
      </c>
      <c r="BA465" s="243">
        <f t="shared" si="191"/>
        <v>0</v>
      </c>
      <c r="BB465" s="244">
        <f t="shared" si="192"/>
        <v>0</v>
      </c>
      <c r="BC465" s="244">
        <f t="shared" si="193"/>
        <v>0.05</v>
      </c>
      <c r="BD465" s="245">
        <f t="shared" si="194"/>
        <v>0.95</v>
      </c>
      <c r="BE465" s="246">
        <f t="shared" si="195"/>
        <v>0</v>
      </c>
      <c r="BF465" s="247">
        <v>0</v>
      </c>
      <c r="BG465" s="248">
        <f t="shared" si="196"/>
        <v>1</v>
      </c>
      <c r="BH465" s="198"/>
      <c r="BI465" s="198"/>
      <c r="BJ465" s="199"/>
      <c r="BK465" s="200"/>
      <c r="BL465" s="200"/>
      <c r="BM465" s="200"/>
      <c r="BN465" s="200"/>
      <c r="BO465" s="10"/>
    </row>
    <row r="466" spans="1:67" ht="18" x14ac:dyDescent="0.25">
      <c r="A466" s="201">
        <v>358</v>
      </c>
      <c r="B466" s="286"/>
      <c r="C466" s="203">
        <f t="shared" si="167"/>
        <v>0</v>
      </c>
      <c r="D466" s="204"/>
      <c r="E466" s="204"/>
      <c r="F466" s="207"/>
      <c r="G466" s="206"/>
      <c r="H466" s="207"/>
      <c r="I466" s="208" t="s">
        <v>125</v>
      </c>
      <c r="J466" s="208" t="s">
        <v>126</v>
      </c>
      <c r="K466" s="287"/>
      <c r="L466" s="288"/>
      <c r="M466" s="289"/>
      <c r="N466" s="257"/>
      <c r="O466" s="213"/>
      <c r="P466" s="214"/>
      <c r="Q466" s="214"/>
      <c r="R466" s="214"/>
      <c r="S466" s="214"/>
      <c r="T466" s="214"/>
      <c r="U466" s="215">
        <f t="shared" si="168"/>
        <v>0</v>
      </c>
      <c r="V466" s="216" t="str">
        <f t="shared" si="169"/>
        <v/>
      </c>
      <c r="W466" s="217" t="str">
        <f t="shared" si="170"/>
        <v/>
      </c>
      <c r="X466" s="218" t="s">
        <v>20</v>
      </c>
      <c r="Y466" s="219" t="str">
        <f t="shared" si="171"/>
        <v>0 um/Dia</v>
      </c>
      <c r="Z466" s="220" t="str">
        <f t="shared" si="172"/>
        <v xml:space="preserve"> um / HH</v>
      </c>
      <c r="AA466" s="221" t="str">
        <f t="shared" si="173"/>
        <v/>
      </c>
      <c r="AB466" s="222" t="str">
        <f t="shared" si="174"/>
        <v>0 um /HH</v>
      </c>
      <c r="AC466" s="223">
        <f t="shared" si="175"/>
        <v>0</v>
      </c>
      <c r="AD466" s="224"/>
      <c r="AE466" s="225"/>
      <c r="AF466" s="226">
        <f t="shared" si="176"/>
        <v>0</v>
      </c>
      <c r="AG466" s="227">
        <f t="shared" si="177"/>
        <v>0</v>
      </c>
      <c r="AH466" s="228" t="s">
        <v>25</v>
      </c>
      <c r="AI466" s="229" t="str">
        <f t="shared" si="197"/>
        <v>Extremamente Complexa</v>
      </c>
      <c r="AJ466" s="230" t="str">
        <f t="shared" si="198"/>
        <v>Normal</v>
      </c>
      <c r="AK466" s="231">
        <f t="shared" si="178"/>
        <v>0</v>
      </c>
      <c r="AL466" s="232" t="str">
        <f t="shared" si="179"/>
        <v/>
      </c>
      <c r="AM466" s="233" t="str">
        <f t="shared" si="180"/>
        <v/>
      </c>
      <c r="AN466" s="233" t="str">
        <f t="shared" si="181"/>
        <v/>
      </c>
      <c r="AO466" s="234">
        <f t="shared" si="182"/>
        <v>0</v>
      </c>
      <c r="AP466" s="235">
        <f t="shared" si="199"/>
        <v>1</v>
      </c>
      <c r="AQ466" s="235">
        <f t="shared" si="199"/>
        <v>1</v>
      </c>
      <c r="AR466" s="236">
        <f t="shared" si="183"/>
        <v>1</v>
      </c>
      <c r="AS466" s="251">
        <f t="shared" si="184"/>
        <v>0</v>
      </c>
      <c r="AT466" s="238">
        <f t="shared" si="185"/>
        <v>0</v>
      </c>
      <c r="AU466" s="239">
        <f t="shared" si="186"/>
        <v>0</v>
      </c>
      <c r="AV466" s="239">
        <f t="shared" si="187"/>
        <v>0</v>
      </c>
      <c r="AW466" s="239">
        <f t="shared" si="188"/>
        <v>0.05</v>
      </c>
      <c r="AX466" s="240">
        <f t="shared" si="189"/>
        <v>0</v>
      </c>
      <c r="AY466" s="241" t="str">
        <f t="shared" si="190"/>
        <v/>
      </c>
      <c r="AZ466" s="242" t="str">
        <f>IFERROR(VLOOKUP(M466,'[1]Base Brasil Obras'!$C$2:$F$485,4,0),"")</f>
        <v/>
      </c>
      <c r="BA466" s="243">
        <f t="shared" si="191"/>
        <v>0</v>
      </c>
      <c r="BB466" s="244">
        <f t="shared" si="192"/>
        <v>0</v>
      </c>
      <c r="BC466" s="244">
        <f t="shared" si="193"/>
        <v>0.05</v>
      </c>
      <c r="BD466" s="245">
        <f t="shared" si="194"/>
        <v>0.95</v>
      </c>
      <c r="BE466" s="246">
        <f t="shared" si="195"/>
        <v>0</v>
      </c>
      <c r="BF466" s="247">
        <v>0</v>
      </c>
      <c r="BG466" s="248">
        <f t="shared" si="196"/>
        <v>1</v>
      </c>
      <c r="BH466" s="198"/>
      <c r="BI466" s="198"/>
      <c r="BJ466" s="199"/>
      <c r="BK466" s="200"/>
      <c r="BL466" s="200"/>
      <c r="BM466" s="200"/>
      <c r="BN466" s="200"/>
      <c r="BO466" s="10"/>
    </row>
    <row r="467" spans="1:67" ht="18" x14ac:dyDescent="0.25">
      <c r="A467" s="201">
        <v>359</v>
      </c>
      <c r="B467" s="286"/>
      <c r="C467" s="203">
        <f t="shared" si="167"/>
        <v>0</v>
      </c>
      <c r="D467" s="204"/>
      <c r="E467" s="204"/>
      <c r="F467" s="207"/>
      <c r="G467" s="206"/>
      <c r="H467" s="207"/>
      <c r="I467" s="208" t="s">
        <v>125</v>
      </c>
      <c r="J467" s="208" t="s">
        <v>126</v>
      </c>
      <c r="K467" s="287"/>
      <c r="L467" s="288"/>
      <c r="M467" s="289"/>
      <c r="N467" s="257"/>
      <c r="O467" s="213"/>
      <c r="P467" s="214"/>
      <c r="Q467" s="214"/>
      <c r="R467" s="214"/>
      <c r="S467" s="214"/>
      <c r="T467" s="214"/>
      <c r="U467" s="215">
        <f t="shared" si="168"/>
        <v>0</v>
      </c>
      <c r="V467" s="216" t="str">
        <f t="shared" si="169"/>
        <v/>
      </c>
      <c r="W467" s="217" t="str">
        <f t="shared" si="170"/>
        <v/>
      </c>
      <c r="X467" s="218" t="s">
        <v>20</v>
      </c>
      <c r="Y467" s="219" t="str">
        <f t="shared" si="171"/>
        <v>0 um/Dia</v>
      </c>
      <c r="Z467" s="220" t="str">
        <f t="shared" si="172"/>
        <v xml:space="preserve"> um / HH</v>
      </c>
      <c r="AA467" s="221" t="str">
        <f t="shared" si="173"/>
        <v/>
      </c>
      <c r="AB467" s="222" t="str">
        <f t="shared" si="174"/>
        <v>0 um /HH</v>
      </c>
      <c r="AC467" s="223">
        <f t="shared" si="175"/>
        <v>0</v>
      </c>
      <c r="AD467" s="224"/>
      <c r="AE467" s="225"/>
      <c r="AF467" s="226">
        <f t="shared" si="176"/>
        <v>0</v>
      </c>
      <c r="AG467" s="227">
        <f t="shared" si="177"/>
        <v>0</v>
      </c>
      <c r="AH467" s="228" t="s">
        <v>25</v>
      </c>
      <c r="AI467" s="229" t="str">
        <f t="shared" si="197"/>
        <v>Extremamente Complexa</v>
      </c>
      <c r="AJ467" s="230" t="str">
        <f t="shared" si="198"/>
        <v>Normal</v>
      </c>
      <c r="AK467" s="231">
        <f t="shared" si="178"/>
        <v>0</v>
      </c>
      <c r="AL467" s="232" t="str">
        <f t="shared" si="179"/>
        <v/>
      </c>
      <c r="AM467" s="233" t="str">
        <f t="shared" si="180"/>
        <v/>
      </c>
      <c r="AN467" s="233" t="str">
        <f t="shared" si="181"/>
        <v/>
      </c>
      <c r="AO467" s="234">
        <f t="shared" si="182"/>
        <v>0</v>
      </c>
      <c r="AP467" s="235">
        <f t="shared" si="199"/>
        <v>1</v>
      </c>
      <c r="AQ467" s="235">
        <f t="shared" si="199"/>
        <v>1</v>
      </c>
      <c r="AR467" s="235">
        <f t="shared" si="183"/>
        <v>1</v>
      </c>
      <c r="AS467" s="252">
        <f t="shared" si="184"/>
        <v>0</v>
      </c>
      <c r="AT467" s="238">
        <f t="shared" si="185"/>
        <v>0</v>
      </c>
      <c r="AU467" s="239">
        <f t="shared" si="186"/>
        <v>0</v>
      </c>
      <c r="AV467" s="239">
        <f t="shared" si="187"/>
        <v>0</v>
      </c>
      <c r="AW467" s="239">
        <f t="shared" si="188"/>
        <v>0.05</v>
      </c>
      <c r="AX467" s="240">
        <f t="shared" si="189"/>
        <v>0</v>
      </c>
      <c r="AY467" s="241" t="str">
        <f t="shared" si="190"/>
        <v/>
      </c>
      <c r="AZ467" s="242" t="str">
        <f>IFERROR(VLOOKUP(M467,'[1]Base Brasil Obras'!$C$2:$F$485,4,0),"")</f>
        <v/>
      </c>
      <c r="BA467" s="243">
        <f t="shared" si="191"/>
        <v>0</v>
      </c>
      <c r="BB467" s="244">
        <f t="shared" si="192"/>
        <v>0</v>
      </c>
      <c r="BC467" s="244">
        <f t="shared" si="193"/>
        <v>0.05</v>
      </c>
      <c r="BD467" s="245">
        <f t="shared" si="194"/>
        <v>0.95</v>
      </c>
      <c r="BE467" s="246">
        <f t="shared" si="195"/>
        <v>0</v>
      </c>
      <c r="BF467" s="247">
        <v>0</v>
      </c>
      <c r="BG467" s="248">
        <f t="shared" si="196"/>
        <v>1</v>
      </c>
      <c r="BH467" s="198"/>
      <c r="BI467" s="198"/>
      <c r="BJ467" s="199"/>
      <c r="BK467" s="200"/>
      <c r="BL467" s="200"/>
      <c r="BM467" s="200"/>
      <c r="BN467" s="200"/>
      <c r="BO467" s="10"/>
    </row>
    <row r="468" spans="1:67" ht="18" x14ac:dyDescent="0.25">
      <c r="A468" s="201">
        <v>360</v>
      </c>
      <c r="B468" s="286"/>
      <c r="C468" s="203">
        <f t="shared" si="167"/>
        <v>0</v>
      </c>
      <c r="D468" s="204"/>
      <c r="E468" s="204"/>
      <c r="F468" s="207"/>
      <c r="G468" s="206"/>
      <c r="H468" s="207"/>
      <c r="I468" s="208" t="s">
        <v>125</v>
      </c>
      <c r="J468" s="208" t="s">
        <v>126</v>
      </c>
      <c r="K468" s="287"/>
      <c r="L468" s="288"/>
      <c r="M468" s="289"/>
      <c r="N468" s="257"/>
      <c r="O468" s="213"/>
      <c r="P468" s="214"/>
      <c r="Q468" s="214"/>
      <c r="R468" s="214"/>
      <c r="S468" s="214"/>
      <c r="T468" s="214"/>
      <c r="U468" s="215">
        <f t="shared" si="168"/>
        <v>0</v>
      </c>
      <c r="V468" s="216" t="str">
        <f t="shared" si="169"/>
        <v/>
      </c>
      <c r="W468" s="217" t="str">
        <f t="shared" si="170"/>
        <v/>
      </c>
      <c r="X468" s="218" t="s">
        <v>20</v>
      </c>
      <c r="Y468" s="219" t="str">
        <f t="shared" si="171"/>
        <v>0 um/Dia</v>
      </c>
      <c r="Z468" s="220" t="str">
        <f t="shared" si="172"/>
        <v xml:space="preserve"> um / HH</v>
      </c>
      <c r="AA468" s="221" t="str">
        <f t="shared" si="173"/>
        <v/>
      </c>
      <c r="AB468" s="222" t="str">
        <f t="shared" si="174"/>
        <v>0 um /HH</v>
      </c>
      <c r="AC468" s="223">
        <f t="shared" si="175"/>
        <v>0</v>
      </c>
      <c r="AD468" s="224"/>
      <c r="AE468" s="225"/>
      <c r="AF468" s="226">
        <f t="shared" si="176"/>
        <v>0</v>
      </c>
      <c r="AG468" s="227">
        <f t="shared" si="177"/>
        <v>0</v>
      </c>
      <c r="AH468" s="228" t="s">
        <v>25</v>
      </c>
      <c r="AI468" s="229" t="str">
        <f t="shared" si="197"/>
        <v>Extremamente Complexa</v>
      </c>
      <c r="AJ468" s="230" t="str">
        <f t="shared" si="198"/>
        <v>Normal</v>
      </c>
      <c r="AK468" s="231">
        <f t="shared" si="178"/>
        <v>0</v>
      </c>
      <c r="AL468" s="232" t="str">
        <f t="shared" si="179"/>
        <v/>
      </c>
      <c r="AM468" s="233" t="str">
        <f t="shared" si="180"/>
        <v/>
      </c>
      <c r="AN468" s="233" t="str">
        <f t="shared" si="181"/>
        <v/>
      </c>
      <c r="AO468" s="234">
        <f t="shared" si="182"/>
        <v>0</v>
      </c>
      <c r="AP468" s="235">
        <f t="shared" si="199"/>
        <v>1</v>
      </c>
      <c r="AQ468" s="235">
        <f t="shared" si="199"/>
        <v>1</v>
      </c>
      <c r="AR468" s="236">
        <f t="shared" si="183"/>
        <v>1</v>
      </c>
      <c r="AS468" s="251">
        <f t="shared" si="184"/>
        <v>0</v>
      </c>
      <c r="AT468" s="238">
        <f t="shared" si="185"/>
        <v>0</v>
      </c>
      <c r="AU468" s="239">
        <f t="shared" si="186"/>
        <v>0</v>
      </c>
      <c r="AV468" s="239">
        <f t="shared" si="187"/>
        <v>0</v>
      </c>
      <c r="AW468" s="239">
        <f t="shared" si="188"/>
        <v>0.05</v>
      </c>
      <c r="AX468" s="240">
        <f t="shared" si="189"/>
        <v>0</v>
      </c>
      <c r="AY468" s="241" t="str">
        <f t="shared" si="190"/>
        <v/>
      </c>
      <c r="AZ468" s="242" t="str">
        <f>IFERROR(VLOOKUP(M468,'[1]Base Brasil Obras'!$C$2:$F$485,4,0),"")</f>
        <v/>
      </c>
      <c r="BA468" s="243">
        <f t="shared" si="191"/>
        <v>0</v>
      </c>
      <c r="BB468" s="244">
        <f t="shared" si="192"/>
        <v>0</v>
      </c>
      <c r="BC468" s="244">
        <f t="shared" si="193"/>
        <v>0.05</v>
      </c>
      <c r="BD468" s="245">
        <f t="shared" si="194"/>
        <v>0.95</v>
      </c>
      <c r="BE468" s="246">
        <f t="shared" si="195"/>
        <v>0</v>
      </c>
      <c r="BF468" s="247">
        <v>0</v>
      </c>
      <c r="BG468" s="248">
        <f t="shared" si="196"/>
        <v>1</v>
      </c>
      <c r="BH468" s="198"/>
      <c r="BI468" s="198"/>
      <c r="BJ468" s="199"/>
      <c r="BK468" s="200"/>
      <c r="BL468" s="200"/>
      <c r="BM468" s="200"/>
      <c r="BN468" s="200"/>
      <c r="BO468" s="10"/>
    </row>
    <row r="469" spans="1:67" ht="18" x14ac:dyDescent="0.25">
      <c r="A469" s="201">
        <v>361</v>
      </c>
      <c r="B469" s="286"/>
      <c r="C469" s="203">
        <f t="shared" si="167"/>
        <v>0</v>
      </c>
      <c r="D469" s="204"/>
      <c r="E469" s="204"/>
      <c r="F469" s="207"/>
      <c r="G469" s="206"/>
      <c r="H469" s="207"/>
      <c r="I469" s="208" t="s">
        <v>125</v>
      </c>
      <c r="J469" s="208" t="s">
        <v>126</v>
      </c>
      <c r="K469" s="287"/>
      <c r="L469" s="288"/>
      <c r="M469" s="289"/>
      <c r="N469" s="257"/>
      <c r="O469" s="213"/>
      <c r="P469" s="214"/>
      <c r="Q469" s="214"/>
      <c r="R469" s="214"/>
      <c r="S469" s="214"/>
      <c r="T469" s="214"/>
      <c r="U469" s="215">
        <f t="shared" si="168"/>
        <v>0</v>
      </c>
      <c r="V469" s="216" t="str">
        <f t="shared" si="169"/>
        <v/>
      </c>
      <c r="W469" s="217" t="str">
        <f t="shared" si="170"/>
        <v/>
      </c>
      <c r="X469" s="218" t="s">
        <v>20</v>
      </c>
      <c r="Y469" s="219" t="str">
        <f t="shared" si="171"/>
        <v>0 um/Dia</v>
      </c>
      <c r="Z469" s="220" t="str">
        <f t="shared" si="172"/>
        <v xml:space="preserve"> um / HH</v>
      </c>
      <c r="AA469" s="221" t="str">
        <f t="shared" si="173"/>
        <v/>
      </c>
      <c r="AB469" s="222" t="str">
        <f t="shared" si="174"/>
        <v>0 um /HH</v>
      </c>
      <c r="AC469" s="223">
        <f t="shared" si="175"/>
        <v>0</v>
      </c>
      <c r="AD469" s="224"/>
      <c r="AE469" s="225"/>
      <c r="AF469" s="226">
        <f t="shared" si="176"/>
        <v>0</v>
      </c>
      <c r="AG469" s="227">
        <f t="shared" si="177"/>
        <v>0</v>
      </c>
      <c r="AH469" s="228" t="s">
        <v>25</v>
      </c>
      <c r="AI469" s="229" t="str">
        <f t="shared" si="197"/>
        <v>Extremamente Complexa</v>
      </c>
      <c r="AJ469" s="230" t="str">
        <f t="shared" si="198"/>
        <v>Normal</v>
      </c>
      <c r="AK469" s="231">
        <f t="shared" si="178"/>
        <v>0</v>
      </c>
      <c r="AL469" s="232" t="str">
        <f t="shared" si="179"/>
        <v/>
      </c>
      <c r="AM469" s="233" t="str">
        <f t="shared" si="180"/>
        <v/>
      </c>
      <c r="AN469" s="233" t="str">
        <f t="shared" si="181"/>
        <v/>
      </c>
      <c r="AO469" s="234">
        <f t="shared" si="182"/>
        <v>0</v>
      </c>
      <c r="AP469" s="235">
        <f t="shared" si="199"/>
        <v>1</v>
      </c>
      <c r="AQ469" s="235">
        <f t="shared" si="199"/>
        <v>1</v>
      </c>
      <c r="AR469" s="235">
        <f t="shared" si="183"/>
        <v>1</v>
      </c>
      <c r="AS469" s="252">
        <f t="shared" si="184"/>
        <v>0</v>
      </c>
      <c r="AT469" s="238">
        <f t="shared" si="185"/>
        <v>0</v>
      </c>
      <c r="AU469" s="239">
        <f t="shared" si="186"/>
        <v>0</v>
      </c>
      <c r="AV469" s="239">
        <f t="shared" si="187"/>
        <v>0</v>
      </c>
      <c r="AW469" s="239">
        <f t="shared" si="188"/>
        <v>0.05</v>
      </c>
      <c r="AX469" s="240">
        <f t="shared" si="189"/>
        <v>0</v>
      </c>
      <c r="AY469" s="241" t="str">
        <f t="shared" si="190"/>
        <v/>
      </c>
      <c r="AZ469" s="242" t="str">
        <f>IFERROR(VLOOKUP(M469,'[1]Base Brasil Obras'!$C$2:$F$485,4,0),"")</f>
        <v/>
      </c>
      <c r="BA469" s="243">
        <f t="shared" si="191"/>
        <v>0</v>
      </c>
      <c r="BB469" s="244">
        <f t="shared" si="192"/>
        <v>0</v>
      </c>
      <c r="BC469" s="244">
        <f t="shared" si="193"/>
        <v>0.05</v>
      </c>
      <c r="BD469" s="245">
        <f t="shared" si="194"/>
        <v>0.95</v>
      </c>
      <c r="BE469" s="246">
        <f t="shared" si="195"/>
        <v>0</v>
      </c>
      <c r="BF469" s="247">
        <v>0</v>
      </c>
      <c r="BG469" s="248">
        <f t="shared" si="196"/>
        <v>1</v>
      </c>
      <c r="BH469" s="198"/>
      <c r="BI469" s="198"/>
      <c r="BJ469" s="199"/>
      <c r="BK469" s="200"/>
      <c r="BL469" s="200"/>
      <c r="BM469" s="200"/>
      <c r="BN469" s="200"/>
      <c r="BO469" s="10"/>
    </row>
    <row r="470" spans="1:67" ht="18" x14ac:dyDescent="0.25">
      <c r="A470" s="201">
        <v>362</v>
      </c>
      <c r="B470" s="286"/>
      <c r="C470" s="203">
        <f t="shared" si="167"/>
        <v>0</v>
      </c>
      <c r="D470" s="204"/>
      <c r="E470" s="204"/>
      <c r="F470" s="207"/>
      <c r="G470" s="206"/>
      <c r="H470" s="207"/>
      <c r="I470" s="208" t="s">
        <v>125</v>
      </c>
      <c r="J470" s="208" t="s">
        <v>126</v>
      </c>
      <c r="K470" s="287"/>
      <c r="L470" s="288"/>
      <c r="M470" s="289"/>
      <c r="N470" s="257"/>
      <c r="O470" s="213"/>
      <c r="P470" s="214"/>
      <c r="Q470" s="214"/>
      <c r="R470" s="214"/>
      <c r="S470" s="214"/>
      <c r="T470" s="214"/>
      <c r="U470" s="215">
        <f t="shared" si="168"/>
        <v>0</v>
      </c>
      <c r="V470" s="216" t="str">
        <f t="shared" si="169"/>
        <v/>
      </c>
      <c r="W470" s="217" t="str">
        <f t="shared" si="170"/>
        <v/>
      </c>
      <c r="X470" s="218" t="s">
        <v>20</v>
      </c>
      <c r="Y470" s="219" t="str">
        <f t="shared" si="171"/>
        <v>0 um/Dia</v>
      </c>
      <c r="Z470" s="220" t="str">
        <f t="shared" si="172"/>
        <v xml:space="preserve"> um / HH</v>
      </c>
      <c r="AA470" s="221" t="str">
        <f t="shared" si="173"/>
        <v/>
      </c>
      <c r="AB470" s="222" t="str">
        <f t="shared" si="174"/>
        <v>0 um /HH</v>
      </c>
      <c r="AC470" s="223">
        <f t="shared" si="175"/>
        <v>0</v>
      </c>
      <c r="AD470" s="224"/>
      <c r="AE470" s="225"/>
      <c r="AF470" s="226">
        <f t="shared" si="176"/>
        <v>0</v>
      </c>
      <c r="AG470" s="227">
        <f t="shared" si="177"/>
        <v>0</v>
      </c>
      <c r="AH470" s="228" t="s">
        <v>25</v>
      </c>
      <c r="AI470" s="229" t="str">
        <f t="shared" si="197"/>
        <v>Extremamente Complexa</v>
      </c>
      <c r="AJ470" s="230" t="str">
        <f t="shared" si="198"/>
        <v>Normal</v>
      </c>
      <c r="AK470" s="231">
        <f t="shared" si="178"/>
        <v>0</v>
      </c>
      <c r="AL470" s="232" t="str">
        <f t="shared" si="179"/>
        <v/>
      </c>
      <c r="AM470" s="233" t="str">
        <f t="shared" si="180"/>
        <v/>
      </c>
      <c r="AN470" s="233" t="str">
        <f t="shared" si="181"/>
        <v/>
      </c>
      <c r="AO470" s="234">
        <f t="shared" si="182"/>
        <v>0</v>
      </c>
      <c r="AP470" s="235">
        <f t="shared" si="199"/>
        <v>1</v>
      </c>
      <c r="AQ470" s="235">
        <f t="shared" si="199"/>
        <v>1</v>
      </c>
      <c r="AR470" s="236">
        <f t="shared" si="183"/>
        <v>1</v>
      </c>
      <c r="AS470" s="251">
        <f t="shared" si="184"/>
        <v>0</v>
      </c>
      <c r="AT470" s="238">
        <f t="shared" si="185"/>
        <v>0</v>
      </c>
      <c r="AU470" s="239">
        <f t="shared" si="186"/>
        <v>0</v>
      </c>
      <c r="AV470" s="239">
        <f t="shared" si="187"/>
        <v>0</v>
      </c>
      <c r="AW470" s="239">
        <f t="shared" si="188"/>
        <v>0.05</v>
      </c>
      <c r="AX470" s="240">
        <f t="shared" si="189"/>
        <v>0</v>
      </c>
      <c r="AY470" s="241" t="str">
        <f t="shared" si="190"/>
        <v/>
      </c>
      <c r="AZ470" s="242" t="str">
        <f>IFERROR(VLOOKUP(M470,'[1]Base Brasil Obras'!$C$2:$F$485,4,0),"")</f>
        <v/>
      </c>
      <c r="BA470" s="243">
        <f t="shared" si="191"/>
        <v>0</v>
      </c>
      <c r="BB470" s="244">
        <f t="shared" si="192"/>
        <v>0</v>
      </c>
      <c r="BC470" s="244">
        <f t="shared" si="193"/>
        <v>0.05</v>
      </c>
      <c r="BD470" s="245">
        <f t="shared" si="194"/>
        <v>0.95</v>
      </c>
      <c r="BE470" s="246">
        <f t="shared" si="195"/>
        <v>0</v>
      </c>
      <c r="BF470" s="247">
        <v>0</v>
      </c>
      <c r="BG470" s="248">
        <f t="shared" si="196"/>
        <v>1</v>
      </c>
      <c r="BH470" s="198"/>
      <c r="BI470" s="198"/>
      <c r="BJ470" s="199"/>
      <c r="BK470" s="200"/>
      <c r="BL470" s="200"/>
      <c r="BM470" s="200"/>
      <c r="BN470" s="200"/>
      <c r="BO470" s="10"/>
    </row>
    <row r="471" spans="1:67" ht="18" x14ac:dyDescent="0.25">
      <c r="A471" s="201">
        <v>363</v>
      </c>
      <c r="B471" s="286"/>
      <c r="C471" s="203">
        <f t="shared" si="167"/>
        <v>0</v>
      </c>
      <c r="D471" s="204"/>
      <c r="E471" s="204"/>
      <c r="F471" s="207"/>
      <c r="G471" s="206"/>
      <c r="H471" s="207"/>
      <c r="I471" s="208" t="s">
        <v>125</v>
      </c>
      <c r="J471" s="208" t="s">
        <v>126</v>
      </c>
      <c r="K471" s="287"/>
      <c r="L471" s="288"/>
      <c r="M471" s="289"/>
      <c r="N471" s="257"/>
      <c r="O471" s="213"/>
      <c r="P471" s="214"/>
      <c r="Q471" s="214"/>
      <c r="R471" s="214"/>
      <c r="S471" s="214"/>
      <c r="T471" s="214"/>
      <c r="U471" s="215">
        <f t="shared" si="168"/>
        <v>0</v>
      </c>
      <c r="V471" s="216" t="str">
        <f t="shared" si="169"/>
        <v/>
      </c>
      <c r="W471" s="217" t="str">
        <f t="shared" si="170"/>
        <v/>
      </c>
      <c r="X471" s="218" t="s">
        <v>20</v>
      </c>
      <c r="Y471" s="219" t="str">
        <f t="shared" si="171"/>
        <v>0 um/Dia</v>
      </c>
      <c r="Z471" s="220" t="str">
        <f t="shared" si="172"/>
        <v xml:space="preserve"> um / HH</v>
      </c>
      <c r="AA471" s="221" t="str">
        <f t="shared" si="173"/>
        <v/>
      </c>
      <c r="AB471" s="222" t="str">
        <f t="shared" si="174"/>
        <v>0 um /HH</v>
      </c>
      <c r="AC471" s="223">
        <f t="shared" si="175"/>
        <v>0</v>
      </c>
      <c r="AD471" s="224"/>
      <c r="AE471" s="225"/>
      <c r="AF471" s="226">
        <f t="shared" si="176"/>
        <v>0</v>
      </c>
      <c r="AG471" s="227">
        <f t="shared" si="177"/>
        <v>0</v>
      </c>
      <c r="AH471" s="228" t="s">
        <v>25</v>
      </c>
      <c r="AI471" s="229" t="str">
        <f t="shared" si="197"/>
        <v>Extremamente Complexa</v>
      </c>
      <c r="AJ471" s="230" t="str">
        <f t="shared" si="198"/>
        <v>Normal</v>
      </c>
      <c r="AK471" s="231">
        <f t="shared" si="178"/>
        <v>0</v>
      </c>
      <c r="AL471" s="232" t="str">
        <f t="shared" si="179"/>
        <v/>
      </c>
      <c r="AM471" s="233" t="str">
        <f t="shared" si="180"/>
        <v/>
      </c>
      <c r="AN471" s="233" t="str">
        <f t="shared" si="181"/>
        <v/>
      </c>
      <c r="AO471" s="234">
        <f t="shared" si="182"/>
        <v>0</v>
      </c>
      <c r="AP471" s="235">
        <f t="shared" si="199"/>
        <v>1</v>
      </c>
      <c r="AQ471" s="235">
        <f t="shared" si="199"/>
        <v>1</v>
      </c>
      <c r="AR471" s="235">
        <f t="shared" si="183"/>
        <v>1</v>
      </c>
      <c r="AS471" s="252">
        <f t="shared" si="184"/>
        <v>0</v>
      </c>
      <c r="AT471" s="238">
        <f t="shared" si="185"/>
        <v>0</v>
      </c>
      <c r="AU471" s="239">
        <f t="shared" si="186"/>
        <v>0</v>
      </c>
      <c r="AV471" s="239">
        <f t="shared" si="187"/>
        <v>0</v>
      </c>
      <c r="AW471" s="239">
        <f t="shared" si="188"/>
        <v>0.05</v>
      </c>
      <c r="AX471" s="240">
        <f t="shared" si="189"/>
        <v>0</v>
      </c>
      <c r="AY471" s="241" t="str">
        <f t="shared" si="190"/>
        <v/>
      </c>
      <c r="AZ471" s="242" t="str">
        <f>IFERROR(VLOOKUP(M471,'[1]Base Brasil Obras'!$C$2:$F$485,4,0),"")</f>
        <v/>
      </c>
      <c r="BA471" s="243">
        <f t="shared" si="191"/>
        <v>0</v>
      </c>
      <c r="BB471" s="244">
        <f t="shared" si="192"/>
        <v>0</v>
      </c>
      <c r="BC471" s="244">
        <f t="shared" si="193"/>
        <v>0.05</v>
      </c>
      <c r="BD471" s="245">
        <f t="shared" si="194"/>
        <v>0.95</v>
      </c>
      <c r="BE471" s="246">
        <f t="shared" si="195"/>
        <v>0</v>
      </c>
      <c r="BF471" s="247">
        <v>0</v>
      </c>
      <c r="BG471" s="248">
        <f t="shared" si="196"/>
        <v>1</v>
      </c>
      <c r="BH471" s="198"/>
      <c r="BI471" s="198"/>
      <c r="BJ471" s="199"/>
      <c r="BK471" s="200"/>
      <c r="BL471" s="200"/>
      <c r="BM471" s="200"/>
      <c r="BN471" s="200"/>
      <c r="BO471" s="10"/>
    </row>
    <row r="472" spans="1:67" ht="18" x14ac:dyDescent="0.25">
      <c r="A472" s="201">
        <v>364</v>
      </c>
      <c r="B472" s="286"/>
      <c r="C472" s="203">
        <f t="shared" si="167"/>
        <v>0</v>
      </c>
      <c r="D472" s="204"/>
      <c r="E472" s="204"/>
      <c r="F472" s="207"/>
      <c r="G472" s="206"/>
      <c r="H472" s="207"/>
      <c r="I472" s="208" t="s">
        <v>125</v>
      </c>
      <c r="J472" s="208" t="s">
        <v>126</v>
      </c>
      <c r="K472" s="287"/>
      <c r="L472" s="288"/>
      <c r="M472" s="289"/>
      <c r="N472" s="257"/>
      <c r="O472" s="213"/>
      <c r="P472" s="214"/>
      <c r="Q472" s="214"/>
      <c r="R472" s="214"/>
      <c r="S472" s="214"/>
      <c r="T472" s="214"/>
      <c r="U472" s="215">
        <f t="shared" si="168"/>
        <v>0</v>
      </c>
      <c r="V472" s="216" t="str">
        <f t="shared" si="169"/>
        <v/>
      </c>
      <c r="W472" s="217" t="str">
        <f t="shared" si="170"/>
        <v/>
      </c>
      <c r="X472" s="218" t="s">
        <v>20</v>
      </c>
      <c r="Y472" s="219" t="str">
        <f t="shared" si="171"/>
        <v>0 um/Dia</v>
      </c>
      <c r="Z472" s="220" t="str">
        <f t="shared" si="172"/>
        <v xml:space="preserve"> um / HH</v>
      </c>
      <c r="AA472" s="221" t="str">
        <f t="shared" si="173"/>
        <v/>
      </c>
      <c r="AB472" s="222" t="str">
        <f t="shared" si="174"/>
        <v>0 um /HH</v>
      </c>
      <c r="AC472" s="223">
        <f t="shared" si="175"/>
        <v>0</v>
      </c>
      <c r="AD472" s="224"/>
      <c r="AE472" s="225"/>
      <c r="AF472" s="226">
        <f t="shared" si="176"/>
        <v>0</v>
      </c>
      <c r="AG472" s="227">
        <f t="shared" si="177"/>
        <v>0</v>
      </c>
      <c r="AH472" s="228" t="s">
        <v>25</v>
      </c>
      <c r="AI472" s="229" t="str">
        <f t="shared" si="197"/>
        <v>Extremamente Complexa</v>
      </c>
      <c r="AJ472" s="230" t="str">
        <f t="shared" si="198"/>
        <v>Normal</v>
      </c>
      <c r="AK472" s="231">
        <f t="shared" si="178"/>
        <v>0</v>
      </c>
      <c r="AL472" s="232" t="str">
        <f t="shared" si="179"/>
        <v/>
      </c>
      <c r="AM472" s="233" t="str">
        <f t="shared" si="180"/>
        <v/>
      </c>
      <c r="AN472" s="233" t="str">
        <f t="shared" si="181"/>
        <v/>
      </c>
      <c r="AO472" s="234">
        <f t="shared" si="182"/>
        <v>0</v>
      </c>
      <c r="AP472" s="235">
        <f t="shared" si="199"/>
        <v>1</v>
      </c>
      <c r="AQ472" s="235">
        <f t="shared" si="199"/>
        <v>1</v>
      </c>
      <c r="AR472" s="236">
        <f t="shared" si="183"/>
        <v>1</v>
      </c>
      <c r="AS472" s="251">
        <f t="shared" si="184"/>
        <v>0</v>
      </c>
      <c r="AT472" s="238">
        <f t="shared" si="185"/>
        <v>0</v>
      </c>
      <c r="AU472" s="239">
        <f t="shared" si="186"/>
        <v>0</v>
      </c>
      <c r="AV472" s="239">
        <f t="shared" si="187"/>
        <v>0</v>
      </c>
      <c r="AW472" s="239">
        <f t="shared" si="188"/>
        <v>0.05</v>
      </c>
      <c r="AX472" s="240">
        <f t="shared" si="189"/>
        <v>0</v>
      </c>
      <c r="AY472" s="241" t="str">
        <f t="shared" si="190"/>
        <v/>
      </c>
      <c r="AZ472" s="242" t="str">
        <f>IFERROR(VLOOKUP(M472,'[1]Base Brasil Obras'!$C$2:$F$485,4,0),"")</f>
        <v/>
      </c>
      <c r="BA472" s="243">
        <f t="shared" si="191"/>
        <v>0</v>
      </c>
      <c r="BB472" s="244">
        <f t="shared" si="192"/>
        <v>0</v>
      </c>
      <c r="BC472" s="244">
        <f t="shared" si="193"/>
        <v>0.05</v>
      </c>
      <c r="BD472" s="245">
        <f t="shared" si="194"/>
        <v>0.95</v>
      </c>
      <c r="BE472" s="246">
        <f t="shared" si="195"/>
        <v>0</v>
      </c>
      <c r="BF472" s="247">
        <v>0</v>
      </c>
      <c r="BG472" s="248">
        <f t="shared" si="196"/>
        <v>1</v>
      </c>
      <c r="BH472" s="198"/>
      <c r="BI472" s="198"/>
      <c r="BJ472" s="199"/>
      <c r="BK472" s="200"/>
      <c r="BL472" s="200"/>
      <c r="BM472" s="200"/>
      <c r="BN472" s="200"/>
      <c r="BO472" s="10"/>
    </row>
    <row r="473" spans="1:67" ht="18" x14ac:dyDescent="0.25">
      <c r="A473" s="201">
        <v>365</v>
      </c>
      <c r="B473" s="286"/>
      <c r="C473" s="203">
        <f t="shared" si="167"/>
        <v>0</v>
      </c>
      <c r="D473" s="204"/>
      <c r="E473" s="204"/>
      <c r="F473" s="207"/>
      <c r="G473" s="206"/>
      <c r="H473" s="207"/>
      <c r="I473" s="208" t="s">
        <v>125</v>
      </c>
      <c r="J473" s="208" t="s">
        <v>126</v>
      </c>
      <c r="K473" s="287"/>
      <c r="L473" s="288"/>
      <c r="M473" s="289"/>
      <c r="N473" s="257"/>
      <c r="O473" s="213"/>
      <c r="P473" s="214"/>
      <c r="Q473" s="214"/>
      <c r="R473" s="214"/>
      <c r="S473" s="214"/>
      <c r="T473" s="214"/>
      <c r="U473" s="215">
        <f t="shared" si="168"/>
        <v>0</v>
      </c>
      <c r="V473" s="216" t="str">
        <f t="shared" si="169"/>
        <v/>
      </c>
      <c r="W473" s="217" t="str">
        <f t="shared" si="170"/>
        <v/>
      </c>
      <c r="X473" s="218" t="s">
        <v>20</v>
      </c>
      <c r="Y473" s="219" t="str">
        <f t="shared" si="171"/>
        <v>0 um/Dia</v>
      </c>
      <c r="Z473" s="220" t="str">
        <f t="shared" si="172"/>
        <v xml:space="preserve"> um / HH</v>
      </c>
      <c r="AA473" s="221" t="str">
        <f t="shared" si="173"/>
        <v/>
      </c>
      <c r="AB473" s="222" t="str">
        <f t="shared" si="174"/>
        <v>0 um /HH</v>
      </c>
      <c r="AC473" s="223">
        <f t="shared" si="175"/>
        <v>0</v>
      </c>
      <c r="AD473" s="224"/>
      <c r="AE473" s="225"/>
      <c r="AF473" s="226">
        <f t="shared" si="176"/>
        <v>0</v>
      </c>
      <c r="AG473" s="227">
        <f t="shared" si="177"/>
        <v>0</v>
      </c>
      <c r="AH473" s="228" t="s">
        <v>25</v>
      </c>
      <c r="AI473" s="229" t="str">
        <f t="shared" si="197"/>
        <v>Extremamente Complexa</v>
      </c>
      <c r="AJ473" s="230" t="str">
        <f t="shared" si="198"/>
        <v>Normal</v>
      </c>
      <c r="AK473" s="231">
        <f t="shared" si="178"/>
        <v>0</v>
      </c>
      <c r="AL473" s="232" t="str">
        <f t="shared" si="179"/>
        <v/>
      </c>
      <c r="AM473" s="233" t="str">
        <f t="shared" si="180"/>
        <v/>
      </c>
      <c r="AN473" s="233" t="str">
        <f t="shared" si="181"/>
        <v/>
      </c>
      <c r="AO473" s="234">
        <f t="shared" si="182"/>
        <v>0</v>
      </c>
      <c r="AP473" s="235">
        <f t="shared" si="199"/>
        <v>1</v>
      </c>
      <c r="AQ473" s="235">
        <f t="shared" si="199"/>
        <v>1</v>
      </c>
      <c r="AR473" s="235">
        <f t="shared" si="183"/>
        <v>1</v>
      </c>
      <c r="AS473" s="252">
        <f t="shared" si="184"/>
        <v>0</v>
      </c>
      <c r="AT473" s="238">
        <f t="shared" si="185"/>
        <v>0</v>
      </c>
      <c r="AU473" s="239">
        <f t="shared" si="186"/>
        <v>0</v>
      </c>
      <c r="AV473" s="239">
        <f t="shared" si="187"/>
        <v>0</v>
      </c>
      <c r="AW473" s="239">
        <f t="shared" si="188"/>
        <v>0.05</v>
      </c>
      <c r="AX473" s="240">
        <f t="shared" si="189"/>
        <v>0</v>
      </c>
      <c r="AY473" s="241" t="str">
        <f t="shared" si="190"/>
        <v/>
      </c>
      <c r="AZ473" s="242" t="str">
        <f>IFERROR(VLOOKUP(M473,'[1]Base Brasil Obras'!$C$2:$F$485,4,0),"")</f>
        <v/>
      </c>
      <c r="BA473" s="243">
        <f t="shared" si="191"/>
        <v>0</v>
      </c>
      <c r="BB473" s="244">
        <f t="shared" si="192"/>
        <v>0</v>
      </c>
      <c r="BC473" s="244">
        <f t="shared" si="193"/>
        <v>0.05</v>
      </c>
      <c r="BD473" s="245">
        <f t="shared" si="194"/>
        <v>0.95</v>
      </c>
      <c r="BE473" s="246">
        <f t="shared" si="195"/>
        <v>0</v>
      </c>
      <c r="BF473" s="247">
        <v>0</v>
      </c>
      <c r="BG473" s="248">
        <f t="shared" si="196"/>
        <v>1</v>
      </c>
      <c r="BH473" s="198"/>
      <c r="BI473" s="198"/>
      <c r="BJ473" s="199"/>
      <c r="BK473" s="200"/>
      <c r="BL473" s="200"/>
      <c r="BM473" s="200"/>
      <c r="BN473" s="200"/>
      <c r="BO473" s="10"/>
    </row>
    <row r="474" spans="1:67" ht="18" x14ac:dyDescent="0.25">
      <c r="A474" s="201">
        <v>366</v>
      </c>
      <c r="B474" s="286"/>
      <c r="C474" s="203">
        <f t="shared" si="167"/>
        <v>0</v>
      </c>
      <c r="D474" s="204"/>
      <c r="E474" s="204"/>
      <c r="F474" s="207"/>
      <c r="G474" s="206"/>
      <c r="H474" s="207"/>
      <c r="I474" s="208" t="s">
        <v>125</v>
      </c>
      <c r="J474" s="208" t="s">
        <v>126</v>
      </c>
      <c r="K474" s="287"/>
      <c r="L474" s="288"/>
      <c r="M474" s="289"/>
      <c r="N474" s="257"/>
      <c r="O474" s="213"/>
      <c r="P474" s="214"/>
      <c r="Q474" s="214"/>
      <c r="R474" s="214"/>
      <c r="S474" s="214"/>
      <c r="T474" s="214"/>
      <c r="U474" s="215">
        <f t="shared" si="168"/>
        <v>0</v>
      </c>
      <c r="V474" s="216" t="str">
        <f t="shared" si="169"/>
        <v/>
      </c>
      <c r="W474" s="217" t="str">
        <f t="shared" si="170"/>
        <v/>
      </c>
      <c r="X474" s="218" t="s">
        <v>20</v>
      </c>
      <c r="Y474" s="219" t="str">
        <f t="shared" si="171"/>
        <v>0 um/Dia</v>
      </c>
      <c r="Z474" s="220" t="str">
        <f t="shared" si="172"/>
        <v xml:space="preserve"> um / HH</v>
      </c>
      <c r="AA474" s="221" t="str">
        <f t="shared" si="173"/>
        <v/>
      </c>
      <c r="AB474" s="222" t="str">
        <f t="shared" si="174"/>
        <v>0 um /HH</v>
      </c>
      <c r="AC474" s="223">
        <f t="shared" si="175"/>
        <v>0</v>
      </c>
      <c r="AD474" s="224"/>
      <c r="AE474" s="225"/>
      <c r="AF474" s="226">
        <f t="shared" si="176"/>
        <v>0</v>
      </c>
      <c r="AG474" s="227">
        <f t="shared" si="177"/>
        <v>0</v>
      </c>
      <c r="AH474" s="228" t="s">
        <v>25</v>
      </c>
      <c r="AI474" s="229" t="str">
        <f t="shared" si="197"/>
        <v>Extremamente Complexa</v>
      </c>
      <c r="AJ474" s="230" t="str">
        <f t="shared" si="198"/>
        <v>Normal</v>
      </c>
      <c r="AK474" s="231">
        <f t="shared" si="178"/>
        <v>0</v>
      </c>
      <c r="AL474" s="232" t="str">
        <f t="shared" si="179"/>
        <v/>
      </c>
      <c r="AM474" s="233" t="str">
        <f t="shared" si="180"/>
        <v/>
      </c>
      <c r="AN474" s="233" t="str">
        <f t="shared" si="181"/>
        <v/>
      </c>
      <c r="AO474" s="234">
        <f t="shared" si="182"/>
        <v>0</v>
      </c>
      <c r="AP474" s="235">
        <f t="shared" si="199"/>
        <v>1</v>
      </c>
      <c r="AQ474" s="235">
        <f t="shared" si="199"/>
        <v>1</v>
      </c>
      <c r="AR474" s="236">
        <f t="shared" si="183"/>
        <v>1</v>
      </c>
      <c r="AS474" s="251">
        <f t="shared" si="184"/>
        <v>0</v>
      </c>
      <c r="AT474" s="238">
        <f t="shared" si="185"/>
        <v>0</v>
      </c>
      <c r="AU474" s="239">
        <f t="shared" si="186"/>
        <v>0</v>
      </c>
      <c r="AV474" s="239">
        <f t="shared" si="187"/>
        <v>0</v>
      </c>
      <c r="AW474" s="239">
        <f t="shared" si="188"/>
        <v>0.05</v>
      </c>
      <c r="AX474" s="240">
        <f t="shared" si="189"/>
        <v>0</v>
      </c>
      <c r="AY474" s="241" t="str">
        <f t="shared" si="190"/>
        <v/>
      </c>
      <c r="AZ474" s="242" t="str">
        <f>IFERROR(VLOOKUP(M474,'[1]Base Brasil Obras'!$C$2:$F$485,4,0),"")</f>
        <v/>
      </c>
      <c r="BA474" s="243">
        <f t="shared" si="191"/>
        <v>0</v>
      </c>
      <c r="BB474" s="244">
        <f t="shared" si="192"/>
        <v>0</v>
      </c>
      <c r="BC474" s="244">
        <f t="shared" si="193"/>
        <v>0.05</v>
      </c>
      <c r="BD474" s="245">
        <f t="shared" si="194"/>
        <v>0.95</v>
      </c>
      <c r="BE474" s="246">
        <f t="shared" si="195"/>
        <v>0</v>
      </c>
      <c r="BF474" s="247">
        <v>0</v>
      </c>
      <c r="BG474" s="248">
        <f t="shared" si="196"/>
        <v>1</v>
      </c>
      <c r="BH474" s="198"/>
      <c r="BI474" s="198"/>
      <c r="BJ474" s="199"/>
      <c r="BK474" s="200"/>
      <c r="BL474" s="200"/>
      <c r="BM474" s="200"/>
      <c r="BN474" s="200"/>
      <c r="BO474" s="10"/>
    </row>
    <row r="475" spans="1:67" ht="18" x14ac:dyDescent="0.25">
      <c r="A475" s="201">
        <v>367</v>
      </c>
      <c r="B475" s="286"/>
      <c r="C475" s="203">
        <f t="shared" si="167"/>
        <v>0</v>
      </c>
      <c r="D475" s="204"/>
      <c r="E475" s="204"/>
      <c r="F475" s="207"/>
      <c r="G475" s="206"/>
      <c r="H475" s="207"/>
      <c r="I475" s="208" t="s">
        <v>125</v>
      </c>
      <c r="J475" s="208" t="s">
        <v>126</v>
      </c>
      <c r="K475" s="287"/>
      <c r="L475" s="288"/>
      <c r="M475" s="289"/>
      <c r="N475" s="257"/>
      <c r="O475" s="213"/>
      <c r="P475" s="214"/>
      <c r="Q475" s="214"/>
      <c r="R475" s="214"/>
      <c r="S475" s="214"/>
      <c r="T475" s="214"/>
      <c r="U475" s="215">
        <f t="shared" si="168"/>
        <v>0</v>
      </c>
      <c r="V475" s="216" t="str">
        <f t="shared" si="169"/>
        <v/>
      </c>
      <c r="W475" s="217" t="str">
        <f t="shared" si="170"/>
        <v/>
      </c>
      <c r="X475" s="218" t="s">
        <v>20</v>
      </c>
      <c r="Y475" s="219" t="str">
        <f t="shared" si="171"/>
        <v>0 um/Dia</v>
      </c>
      <c r="Z475" s="220" t="str">
        <f t="shared" si="172"/>
        <v xml:space="preserve"> um / HH</v>
      </c>
      <c r="AA475" s="221" t="str">
        <f t="shared" si="173"/>
        <v/>
      </c>
      <c r="AB475" s="222" t="str">
        <f t="shared" si="174"/>
        <v>0 um /HH</v>
      </c>
      <c r="AC475" s="223">
        <f t="shared" si="175"/>
        <v>0</v>
      </c>
      <c r="AD475" s="224"/>
      <c r="AE475" s="225"/>
      <c r="AF475" s="226">
        <f t="shared" si="176"/>
        <v>0</v>
      </c>
      <c r="AG475" s="227">
        <f t="shared" si="177"/>
        <v>0</v>
      </c>
      <c r="AH475" s="228" t="s">
        <v>25</v>
      </c>
      <c r="AI475" s="229" t="str">
        <f t="shared" si="197"/>
        <v>Extremamente Complexa</v>
      </c>
      <c r="AJ475" s="230" t="str">
        <f t="shared" si="198"/>
        <v>Normal</v>
      </c>
      <c r="AK475" s="231">
        <f t="shared" si="178"/>
        <v>0</v>
      </c>
      <c r="AL475" s="232" t="str">
        <f t="shared" si="179"/>
        <v/>
      </c>
      <c r="AM475" s="233" t="str">
        <f t="shared" si="180"/>
        <v/>
      </c>
      <c r="AN475" s="233" t="str">
        <f t="shared" si="181"/>
        <v/>
      </c>
      <c r="AO475" s="234">
        <f t="shared" si="182"/>
        <v>0</v>
      </c>
      <c r="AP475" s="235">
        <f t="shared" si="199"/>
        <v>1</v>
      </c>
      <c r="AQ475" s="235">
        <f t="shared" si="199"/>
        <v>1</v>
      </c>
      <c r="AR475" s="235">
        <f t="shared" si="183"/>
        <v>1</v>
      </c>
      <c r="AS475" s="252">
        <f t="shared" si="184"/>
        <v>0</v>
      </c>
      <c r="AT475" s="238">
        <f t="shared" si="185"/>
        <v>0</v>
      </c>
      <c r="AU475" s="239">
        <f t="shared" si="186"/>
        <v>0</v>
      </c>
      <c r="AV475" s="239">
        <f t="shared" si="187"/>
        <v>0</v>
      </c>
      <c r="AW475" s="239">
        <f t="shared" si="188"/>
        <v>0.05</v>
      </c>
      <c r="AX475" s="240">
        <f t="shared" si="189"/>
        <v>0</v>
      </c>
      <c r="AY475" s="241" t="str">
        <f t="shared" si="190"/>
        <v/>
      </c>
      <c r="AZ475" s="242" t="str">
        <f>IFERROR(VLOOKUP(M475,'[1]Base Brasil Obras'!$C$2:$F$485,4,0),"")</f>
        <v/>
      </c>
      <c r="BA475" s="243">
        <f t="shared" si="191"/>
        <v>0</v>
      </c>
      <c r="BB475" s="244">
        <f t="shared" si="192"/>
        <v>0</v>
      </c>
      <c r="BC475" s="244">
        <f t="shared" si="193"/>
        <v>0.05</v>
      </c>
      <c r="BD475" s="245">
        <f t="shared" si="194"/>
        <v>0.95</v>
      </c>
      <c r="BE475" s="246">
        <f t="shared" si="195"/>
        <v>0</v>
      </c>
      <c r="BF475" s="247">
        <v>0</v>
      </c>
      <c r="BG475" s="248">
        <f t="shared" si="196"/>
        <v>1</v>
      </c>
      <c r="BH475" s="198"/>
      <c r="BI475" s="198"/>
      <c r="BJ475" s="199"/>
      <c r="BK475" s="200"/>
      <c r="BL475" s="200"/>
      <c r="BM475" s="200"/>
      <c r="BN475" s="200"/>
      <c r="BO475" s="10"/>
    </row>
    <row r="476" spans="1:67" ht="18" x14ac:dyDescent="0.25">
      <c r="A476" s="201">
        <v>368</v>
      </c>
      <c r="B476" s="286"/>
      <c r="C476" s="203">
        <f t="shared" si="167"/>
        <v>0</v>
      </c>
      <c r="D476" s="204"/>
      <c r="E476" s="204"/>
      <c r="F476" s="207"/>
      <c r="G476" s="206"/>
      <c r="H476" s="207"/>
      <c r="I476" s="208" t="s">
        <v>125</v>
      </c>
      <c r="J476" s="208" t="s">
        <v>126</v>
      </c>
      <c r="K476" s="287"/>
      <c r="L476" s="288"/>
      <c r="M476" s="289"/>
      <c r="N476" s="257"/>
      <c r="O476" s="213"/>
      <c r="P476" s="214"/>
      <c r="Q476" s="214"/>
      <c r="R476" s="214"/>
      <c r="S476" s="214"/>
      <c r="T476" s="214"/>
      <c r="U476" s="215">
        <f t="shared" si="168"/>
        <v>0</v>
      </c>
      <c r="V476" s="216" t="str">
        <f t="shared" si="169"/>
        <v/>
      </c>
      <c r="W476" s="217" t="str">
        <f t="shared" si="170"/>
        <v/>
      </c>
      <c r="X476" s="218" t="s">
        <v>20</v>
      </c>
      <c r="Y476" s="219" t="str">
        <f t="shared" si="171"/>
        <v>0 um/Dia</v>
      </c>
      <c r="Z476" s="220" t="str">
        <f t="shared" si="172"/>
        <v xml:space="preserve"> um / HH</v>
      </c>
      <c r="AA476" s="221" t="str">
        <f t="shared" si="173"/>
        <v/>
      </c>
      <c r="AB476" s="222" t="str">
        <f t="shared" si="174"/>
        <v>0 um /HH</v>
      </c>
      <c r="AC476" s="223">
        <f t="shared" si="175"/>
        <v>0</v>
      </c>
      <c r="AD476" s="224"/>
      <c r="AE476" s="225"/>
      <c r="AF476" s="226">
        <f t="shared" si="176"/>
        <v>0</v>
      </c>
      <c r="AG476" s="227">
        <f t="shared" si="177"/>
        <v>0</v>
      </c>
      <c r="AH476" s="228" t="s">
        <v>25</v>
      </c>
      <c r="AI476" s="229" t="str">
        <f t="shared" si="197"/>
        <v>Extremamente Complexa</v>
      </c>
      <c r="AJ476" s="230" t="str">
        <f t="shared" si="198"/>
        <v>Normal</v>
      </c>
      <c r="AK476" s="231">
        <f t="shared" si="178"/>
        <v>0</v>
      </c>
      <c r="AL476" s="232" t="str">
        <f t="shared" si="179"/>
        <v/>
      </c>
      <c r="AM476" s="233" t="str">
        <f t="shared" si="180"/>
        <v/>
      </c>
      <c r="AN476" s="233" t="str">
        <f t="shared" si="181"/>
        <v/>
      </c>
      <c r="AO476" s="234">
        <f t="shared" si="182"/>
        <v>0</v>
      </c>
      <c r="AP476" s="235">
        <f t="shared" si="199"/>
        <v>1</v>
      </c>
      <c r="AQ476" s="235">
        <f t="shared" si="199"/>
        <v>1</v>
      </c>
      <c r="AR476" s="236">
        <f t="shared" si="183"/>
        <v>1</v>
      </c>
      <c r="AS476" s="251">
        <f t="shared" si="184"/>
        <v>0</v>
      </c>
      <c r="AT476" s="238">
        <f t="shared" si="185"/>
        <v>0</v>
      </c>
      <c r="AU476" s="239">
        <f t="shared" si="186"/>
        <v>0</v>
      </c>
      <c r="AV476" s="239">
        <f t="shared" si="187"/>
        <v>0</v>
      </c>
      <c r="AW476" s="239">
        <f t="shared" si="188"/>
        <v>0.05</v>
      </c>
      <c r="AX476" s="240">
        <f t="shared" si="189"/>
        <v>0</v>
      </c>
      <c r="AY476" s="241" t="str">
        <f t="shared" si="190"/>
        <v/>
      </c>
      <c r="AZ476" s="242" t="str">
        <f>IFERROR(VLOOKUP(M476,'[1]Base Brasil Obras'!$C$2:$F$485,4,0),"")</f>
        <v/>
      </c>
      <c r="BA476" s="243">
        <f t="shared" si="191"/>
        <v>0</v>
      </c>
      <c r="BB476" s="244">
        <f t="shared" si="192"/>
        <v>0</v>
      </c>
      <c r="BC476" s="244">
        <f t="shared" si="193"/>
        <v>0.05</v>
      </c>
      <c r="BD476" s="245">
        <f t="shared" si="194"/>
        <v>0.95</v>
      </c>
      <c r="BE476" s="246">
        <f t="shared" si="195"/>
        <v>0</v>
      </c>
      <c r="BF476" s="247">
        <v>0</v>
      </c>
      <c r="BG476" s="248">
        <f t="shared" si="196"/>
        <v>1</v>
      </c>
      <c r="BH476" s="198"/>
      <c r="BI476" s="198"/>
      <c r="BJ476" s="199"/>
      <c r="BK476" s="200"/>
      <c r="BL476" s="200"/>
      <c r="BM476" s="200"/>
      <c r="BN476" s="200"/>
      <c r="BO476" s="10"/>
    </row>
    <row r="477" spans="1:67" ht="18" x14ac:dyDescent="0.25">
      <c r="A477" s="201">
        <v>369</v>
      </c>
      <c r="B477" s="286"/>
      <c r="C477" s="203">
        <f t="shared" si="167"/>
        <v>0</v>
      </c>
      <c r="D477" s="204"/>
      <c r="E477" s="204"/>
      <c r="F477" s="207"/>
      <c r="G477" s="206"/>
      <c r="H477" s="207"/>
      <c r="I477" s="208" t="s">
        <v>125</v>
      </c>
      <c r="J477" s="208" t="s">
        <v>126</v>
      </c>
      <c r="K477" s="287"/>
      <c r="L477" s="288"/>
      <c r="M477" s="289"/>
      <c r="N477" s="257"/>
      <c r="O477" s="213"/>
      <c r="P477" s="214"/>
      <c r="Q477" s="214"/>
      <c r="R477" s="214"/>
      <c r="S477" s="214"/>
      <c r="T477" s="214"/>
      <c r="U477" s="215">
        <f t="shared" si="168"/>
        <v>0</v>
      </c>
      <c r="V477" s="216" t="str">
        <f t="shared" si="169"/>
        <v/>
      </c>
      <c r="W477" s="217" t="str">
        <f t="shared" si="170"/>
        <v/>
      </c>
      <c r="X477" s="218" t="s">
        <v>20</v>
      </c>
      <c r="Y477" s="219" t="str">
        <f t="shared" si="171"/>
        <v>0 um/Dia</v>
      </c>
      <c r="Z477" s="220" t="str">
        <f t="shared" si="172"/>
        <v xml:space="preserve"> um / HH</v>
      </c>
      <c r="AA477" s="221" t="str">
        <f t="shared" si="173"/>
        <v/>
      </c>
      <c r="AB477" s="222" t="str">
        <f t="shared" si="174"/>
        <v>0 um /HH</v>
      </c>
      <c r="AC477" s="223">
        <f t="shared" si="175"/>
        <v>0</v>
      </c>
      <c r="AD477" s="224"/>
      <c r="AE477" s="225"/>
      <c r="AF477" s="226">
        <f t="shared" si="176"/>
        <v>0</v>
      </c>
      <c r="AG477" s="227">
        <f t="shared" si="177"/>
        <v>0</v>
      </c>
      <c r="AH477" s="228" t="s">
        <v>25</v>
      </c>
      <c r="AI477" s="229" t="str">
        <f t="shared" si="197"/>
        <v>Extremamente Complexa</v>
      </c>
      <c r="AJ477" s="230" t="str">
        <f t="shared" si="198"/>
        <v>Normal</v>
      </c>
      <c r="AK477" s="231">
        <f t="shared" si="178"/>
        <v>0</v>
      </c>
      <c r="AL477" s="232" t="str">
        <f t="shared" si="179"/>
        <v/>
      </c>
      <c r="AM477" s="233" t="str">
        <f t="shared" si="180"/>
        <v/>
      </c>
      <c r="AN477" s="233" t="str">
        <f t="shared" si="181"/>
        <v/>
      </c>
      <c r="AO477" s="234">
        <f t="shared" si="182"/>
        <v>0</v>
      </c>
      <c r="AP477" s="235">
        <f t="shared" si="199"/>
        <v>1</v>
      </c>
      <c r="AQ477" s="235">
        <f t="shared" si="199"/>
        <v>1</v>
      </c>
      <c r="AR477" s="235">
        <f t="shared" si="183"/>
        <v>1</v>
      </c>
      <c r="AS477" s="252">
        <f t="shared" si="184"/>
        <v>0</v>
      </c>
      <c r="AT477" s="238">
        <f t="shared" si="185"/>
        <v>0</v>
      </c>
      <c r="AU477" s="239">
        <f t="shared" si="186"/>
        <v>0</v>
      </c>
      <c r="AV477" s="239">
        <f t="shared" si="187"/>
        <v>0</v>
      </c>
      <c r="AW477" s="239">
        <f t="shared" si="188"/>
        <v>0.05</v>
      </c>
      <c r="AX477" s="240">
        <f t="shared" si="189"/>
        <v>0</v>
      </c>
      <c r="AY477" s="241" t="str">
        <f t="shared" si="190"/>
        <v/>
      </c>
      <c r="AZ477" s="242" t="str">
        <f>IFERROR(VLOOKUP(M477,'[1]Base Brasil Obras'!$C$2:$F$485,4,0),"")</f>
        <v/>
      </c>
      <c r="BA477" s="243">
        <f t="shared" si="191"/>
        <v>0</v>
      </c>
      <c r="BB477" s="244">
        <f t="shared" si="192"/>
        <v>0</v>
      </c>
      <c r="BC477" s="244">
        <f t="shared" si="193"/>
        <v>0.05</v>
      </c>
      <c r="BD477" s="245">
        <f t="shared" si="194"/>
        <v>0.95</v>
      </c>
      <c r="BE477" s="246">
        <f t="shared" si="195"/>
        <v>0</v>
      </c>
      <c r="BF477" s="247">
        <v>0</v>
      </c>
      <c r="BG477" s="248">
        <f t="shared" si="196"/>
        <v>1</v>
      </c>
      <c r="BH477" s="198"/>
      <c r="BI477" s="198"/>
      <c r="BJ477" s="199"/>
      <c r="BK477" s="200"/>
      <c r="BL477" s="200"/>
      <c r="BM477" s="200"/>
      <c r="BN477" s="200"/>
      <c r="BO477" s="10"/>
    </row>
    <row r="478" spans="1:67" ht="18" x14ac:dyDescent="0.25">
      <c r="A478" s="201">
        <v>370</v>
      </c>
      <c r="B478" s="286"/>
      <c r="C478" s="203">
        <f t="shared" si="167"/>
        <v>0</v>
      </c>
      <c r="D478" s="204"/>
      <c r="E478" s="204"/>
      <c r="F478" s="207"/>
      <c r="G478" s="206"/>
      <c r="H478" s="207"/>
      <c r="I478" s="208" t="s">
        <v>125</v>
      </c>
      <c r="J478" s="208" t="s">
        <v>126</v>
      </c>
      <c r="K478" s="287"/>
      <c r="L478" s="288"/>
      <c r="M478" s="289"/>
      <c r="N478" s="257"/>
      <c r="O478" s="213"/>
      <c r="P478" s="214"/>
      <c r="Q478" s="214"/>
      <c r="R478" s="214"/>
      <c r="S478" s="214"/>
      <c r="T478" s="214"/>
      <c r="U478" s="215">
        <f t="shared" si="168"/>
        <v>0</v>
      </c>
      <c r="V478" s="216" t="str">
        <f t="shared" si="169"/>
        <v/>
      </c>
      <c r="W478" s="217" t="str">
        <f t="shared" si="170"/>
        <v/>
      </c>
      <c r="X478" s="218" t="s">
        <v>20</v>
      </c>
      <c r="Y478" s="219" t="str">
        <f t="shared" si="171"/>
        <v>0 um/Dia</v>
      </c>
      <c r="Z478" s="220" t="str">
        <f t="shared" si="172"/>
        <v xml:space="preserve"> um / HH</v>
      </c>
      <c r="AA478" s="221" t="str">
        <f t="shared" si="173"/>
        <v/>
      </c>
      <c r="AB478" s="222" t="str">
        <f t="shared" si="174"/>
        <v>0 um /HH</v>
      </c>
      <c r="AC478" s="223">
        <f t="shared" si="175"/>
        <v>0</v>
      </c>
      <c r="AD478" s="224"/>
      <c r="AE478" s="225"/>
      <c r="AF478" s="226">
        <f t="shared" si="176"/>
        <v>0</v>
      </c>
      <c r="AG478" s="227">
        <f t="shared" si="177"/>
        <v>0</v>
      </c>
      <c r="AH478" s="228" t="s">
        <v>25</v>
      </c>
      <c r="AI478" s="229" t="str">
        <f t="shared" si="197"/>
        <v>Extremamente Complexa</v>
      </c>
      <c r="AJ478" s="230" t="str">
        <f t="shared" si="198"/>
        <v>Normal</v>
      </c>
      <c r="AK478" s="231">
        <f t="shared" si="178"/>
        <v>0</v>
      </c>
      <c r="AL478" s="232" t="str">
        <f t="shared" si="179"/>
        <v/>
      </c>
      <c r="AM478" s="233" t="str">
        <f t="shared" si="180"/>
        <v/>
      </c>
      <c r="AN478" s="233" t="str">
        <f t="shared" si="181"/>
        <v/>
      </c>
      <c r="AO478" s="234">
        <f t="shared" si="182"/>
        <v>0</v>
      </c>
      <c r="AP478" s="235">
        <f t="shared" si="199"/>
        <v>1</v>
      </c>
      <c r="AQ478" s="235">
        <f t="shared" si="199"/>
        <v>1</v>
      </c>
      <c r="AR478" s="236">
        <f t="shared" si="183"/>
        <v>1</v>
      </c>
      <c r="AS478" s="251">
        <f t="shared" si="184"/>
        <v>0</v>
      </c>
      <c r="AT478" s="238">
        <f t="shared" si="185"/>
        <v>0</v>
      </c>
      <c r="AU478" s="239">
        <f t="shared" si="186"/>
        <v>0</v>
      </c>
      <c r="AV478" s="239">
        <f t="shared" si="187"/>
        <v>0</v>
      </c>
      <c r="AW478" s="239">
        <f t="shared" si="188"/>
        <v>0.05</v>
      </c>
      <c r="AX478" s="240">
        <f t="shared" si="189"/>
        <v>0</v>
      </c>
      <c r="AY478" s="241" t="str">
        <f t="shared" si="190"/>
        <v/>
      </c>
      <c r="AZ478" s="242" t="str">
        <f>IFERROR(VLOOKUP(M478,'[1]Base Brasil Obras'!$C$2:$F$485,4,0),"")</f>
        <v/>
      </c>
      <c r="BA478" s="243">
        <f t="shared" si="191"/>
        <v>0</v>
      </c>
      <c r="BB478" s="244">
        <f t="shared" si="192"/>
        <v>0</v>
      </c>
      <c r="BC478" s="244">
        <f t="shared" si="193"/>
        <v>0.05</v>
      </c>
      <c r="BD478" s="245">
        <f t="shared" si="194"/>
        <v>0.95</v>
      </c>
      <c r="BE478" s="246">
        <f t="shared" si="195"/>
        <v>0</v>
      </c>
      <c r="BF478" s="247">
        <v>0</v>
      </c>
      <c r="BG478" s="248">
        <f t="shared" si="196"/>
        <v>1</v>
      </c>
      <c r="BH478" s="198"/>
      <c r="BI478" s="198"/>
      <c r="BJ478" s="199"/>
      <c r="BK478" s="200"/>
      <c r="BL478" s="200"/>
      <c r="BM478" s="200"/>
      <c r="BN478" s="200"/>
      <c r="BO478" s="10"/>
    </row>
    <row r="479" spans="1:67" ht="18" x14ac:dyDescent="0.25">
      <c r="A479" s="201">
        <v>371</v>
      </c>
      <c r="B479" s="286"/>
      <c r="C479" s="203">
        <f t="shared" si="167"/>
        <v>0</v>
      </c>
      <c r="D479" s="204"/>
      <c r="E479" s="204"/>
      <c r="F479" s="207"/>
      <c r="G479" s="206"/>
      <c r="H479" s="207"/>
      <c r="I479" s="208" t="s">
        <v>125</v>
      </c>
      <c r="J479" s="208" t="s">
        <v>126</v>
      </c>
      <c r="K479" s="287"/>
      <c r="L479" s="288"/>
      <c r="M479" s="289"/>
      <c r="N479" s="257"/>
      <c r="O479" s="213"/>
      <c r="P479" s="214"/>
      <c r="Q479" s="214"/>
      <c r="R479" s="214"/>
      <c r="S479" s="214"/>
      <c r="T479" s="214"/>
      <c r="U479" s="215">
        <f t="shared" si="168"/>
        <v>0</v>
      </c>
      <c r="V479" s="216" t="str">
        <f t="shared" si="169"/>
        <v/>
      </c>
      <c r="W479" s="217" t="str">
        <f t="shared" si="170"/>
        <v/>
      </c>
      <c r="X479" s="218" t="s">
        <v>20</v>
      </c>
      <c r="Y479" s="219" t="str">
        <f t="shared" si="171"/>
        <v>0 um/Dia</v>
      </c>
      <c r="Z479" s="220" t="str">
        <f t="shared" si="172"/>
        <v xml:space="preserve"> um / HH</v>
      </c>
      <c r="AA479" s="221" t="str">
        <f t="shared" si="173"/>
        <v/>
      </c>
      <c r="AB479" s="222" t="str">
        <f t="shared" si="174"/>
        <v>0 um /HH</v>
      </c>
      <c r="AC479" s="223">
        <f t="shared" si="175"/>
        <v>0</v>
      </c>
      <c r="AD479" s="224"/>
      <c r="AE479" s="225"/>
      <c r="AF479" s="226">
        <f t="shared" si="176"/>
        <v>0</v>
      </c>
      <c r="AG479" s="227">
        <f t="shared" si="177"/>
        <v>0</v>
      </c>
      <c r="AH479" s="228" t="s">
        <v>25</v>
      </c>
      <c r="AI479" s="229" t="str">
        <f t="shared" si="197"/>
        <v>Extremamente Complexa</v>
      </c>
      <c r="AJ479" s="230" t="str">
        <f t="shared" si="198"/>
        <v>Normal</v>
      </c>
      <c r="AK479" s="231">
        <f t="shared" si="178"/>
        <v>0</v>
      </c>
      <c r="AL479" s="232" t="str">
        <f t="shared" si="179"/>
        <v/>
      </c>
      <c r="AM479" s="233" t="str">
        <f t="shared" si="180"/>
        <v/>
      </c>
      <c r="AN479" s="233" t="str">
        <f t="shared" si="181"/>
        <v/>
      </c>
      <c r="AO479" s="234">
        <f t="shared" si="182"/>
        <v>0</v>
      </c>
      <c r="AP479" s="235">
        <f t="shared" si="199"/>
        <v>1</v>
      </c>
      <c r="AQ479" s="235">
        <f t="shared" si="199"/>
        <v>1</v>
      </c>
      <c r="AR479" s="235">
        <f t="shared" si="183"/>
        <v>1</v>
      </c>
      <c r="AS479" s="252">
        <f t="shared" si="184"/>
        <v>0</v>
      </c>
      <c r="AT479" s="238">
        <f t="shared" si="185"/>
        <v>0</v>
      </c>
      <c r="AU479" s="239">
        <f t="shared" si="186"/>
        <v>0</v>
      </c>
      <c r="AV479" s="239">
        <f t="shared" si="187"/>
        <v>0</v>
      </c>
      <c r="AW479" s="239">
        <f t="shared" si="188"/>
        <v>0.05</v>
      </c>
      <c r="AX479" s="240">
        <f t="shared" si="189"/>
        <v>0</v>
      </c>
      <c r="AY479" s="241" t="str">
        <f t="shared" si="190"/>
        <v/>
      </c>
      <c r="AZ479" s="242" t="str">
        <f>IFERROR(VLOOKUP(M479,'[1]Base Brasil Obras'!$C$2:$F$485,4,0),"")</f>
        <v/>
      </c>
      <c r="BA479" s="243">
        <f t="shared" si="191"/>
        <v>0</v>
      </c>
      <c r="BB479" s="244">
        <f t="shared" si="192"/>
        <v>0</v>
      </c>
      <c r="BC479" s="244">
        <f t="shared" si="193"/>
        <v>0.05</v>
      </c>
      <c r="BD479" s="245">
        <f t="shared" si="194"/>
        <v>0.95</v>
      </c>
      <c r="BE479" s="246">
        <f t="shared" si="195"/>
        <v>0</v>
      </c>
      <c r="BF479" s="247">
        <v>0</v>
      </c>
      <c r="BG479" s="248">
        <f t="shared" si="196"/>
        <v>1</v>
      </c>
      <c r="BH479" s="198"/>
      <c r="BI479" s="198"/>
      <c r="BJ479" s="199"/>
      <c r="BK479" s="200"/>
      <c r="BL479" s="200"/>
      <c r="BM479" s="200"/>
      <c r="BN479" s="200"/>
      <c r="BO479" s="10"/>
    </row>
    <row r="480" spans="1:67" ht="18" x14ac:dyDescent="0.25">
      <c r="A480" s="201">
        <v>372</v>
      </c>
      <c r="B480" s="286"/>
      <c r="C480" s="203">
        <f t="shared" si="167"/>
        <v>0</v>
      </c>
      <c r="D480" s="204"/>
      <c r="E480" s="204"/>
      <c r="F480" s="207"/>
      <c r="G480" s="206"/>
      <c r="H480" s="207"/>
      <c r="I480" s="208" t="s">
        <v>125</v>
      </c>
      <c r="J480" s="208" t="s">
        <v>126</v>
      </c>
      <c r="K480" s="287"/>
      <c r="L480" s="288"/>
      <c r="M480" s="289"/>
      <c r="N480" s="257"/>
      <c r="O480" s="213"/>
      <c r="P480" s="214"/>
      <c r="Q480" s="214"/>
      <c r="R480" s="214"/>
      <c r="S480" s="214"/>
      <c r="T480" s="214"/>
      <c r="U480" s="215">
        <f t="shared" si="168"/>
        <v>0</v>
      </c>
      <c r="V480" s="216" t="str">
        <f t="shared" si="169"/>
        <v/>
      </c>
      <c r="W480" s="217" t="str">
        <f t="shared" si="170"/>
        <v/>
      </c>
      <c r="X480" s="218" t="s">
        <v>20</v>
      </c>
      <c r="Y480" s="219" t="str">
        <f t="shared" si="171"/>
        <v>0 um/Dia</v>
      </c>
      <c r="Z480" s="220" t="str">
        <f t="shared" si="172"/>
        <v xml:space="preserve"> um / HH</v>
      </c>
      <c r="AA480" s="221" t="str">
        <f t="shared" si="173"/>
        <v/>
      </c>
      <c r="AB480" s="222" t="str">
        <f t="shared" si="174"/>
        <v>0 um /HH</v>
      </c>
      <c r="AC480" s="223">
        <f t="shared" si="175"/>
        <v>0</v>
      </c>
      <c r="AD480" s="224"/>
      <c r="AE480" s="225"/>
      <c r="AF480" s="226">
        <f t="shared" si="176"/>
        <v>0</v>
      </c>
      <c r="AG480" s="227">
        <f t="shared" si="177"/>
        <v>0</v>
      </c>
      <c r="AH480" s="228" t="s">
        <v>25</v>
      </c>
      <c r="AI480" s="229" t="str">
        <f t="shared" si="197"/>
        <v>Extremamente Complexa</v>
      </c>
      <c r="AJ480" s="230" t="str">
        <f t="shared" si="198"/>
        <v>Normal</v>
      </c>
      <c r="AK480" s="231">
        <f t="shared" si="178"/>
        <v>0</v>
      </c>
      <c r="AL480" s="232" t="str">
        <f t="shared" si="179"/>
        <v/>
      </c>
      <c r="AM480" s="233" t="str">
        <f t="shared" si="180"/>
        <v/>
      </c>
      <c r="AN480" s="233" t="str">
        <f t="shared" si="181"/>
        <v/>
      </c>
      <c r="AO480" s="234">
        <f t="shared" si="182"/>
        <v>0</v>
      </c>
      <c r="AP480" s="235">
        <f t="shared" si="199"/>
        <v>1</v>
      </c>
      <c r="AQ480" s="235">
        <f t="shared" si="199"/>
        <v>1</v>
      </c>
      <c r="AR480" s="236">
        <f t="shared" si="183"/>
        <v>1</v>
      </c>
      <c r="AS480" s="251">
        <f t="shared" si="184"/>
        <v>0</v>
      </c>
      <c r="AT480" s="238">
        <f t="shared" si="185"/>
        <v>0</v>
      </c>
      <c r="AU480" s="239">
        <f t="shared" si="186"/>
        <v>0</v>
      </c>
      <c r="AV480" s="239">
        <f t="shared" si="187"/>
        <v>0</v>
      </c>
      <c r="AW480" s="239">
        <f t="shared" si="188"/>
        <v>0.05</v>
      </c>
      <c r="AX480" s="240">
        <f t="shared" si="189"/>
        <v>0</v>
      </c>
      <c r="AY480" s="241" t="str">
        <f t="shared" si="190"/>
        <v/>
      </c>
      <c r="AZ480" s="242" t="str">
        <f>IFERROR(VLOOKUP(M480,'[1]Base Brasil Obras'!$C$2:$F$485,4,0),"")</f>
        <v/>
      </c>
      <c r="BA480" s="243">
        <f t="shared" si="191"/>
        <v>0</v>
      </c>
      <c r="BB480" s="244">
        <f t="shared" si="192"/>
        <v>0</v>
      </c>
      <c r="BC480" s="244">
        <f t="shared" si="193"/>
        <v>0.05</v>
      </c>
      <c r="BD480" s="245">
        <f t="shared" si="194"/>
        <v>0.95</v>
      </c>
      <c r="BE480" s="246">
        <f t="shared" si="195"/>
        <v>0</v>
      </c>
      <c r="BF480" s="247">
        <v>0</v>
      </c>
      <c r="BG480" s="248">
        <f t="shared" si="196"/>
        <v>1</v>
      </c>
      <c r="BH480" s="198"/>
      <c r="BI480" s="198"/>
      <c r="BJ480" s="199"/>
      <c r="BK480" s="200"/>
      <c r="BL480" s="200"/>
      <c r="BM480" s="200"/>
      <c r="BN480" s="200"/>
      <c r="BO480" s="10"/>
    </row>
    <row r="481" spans="1:67" ht="18" x14ac:dyDescent="0.25">
      <c r="A481" s="201">
        <v>373</v>
      </c>
      <c r="B481" s="286"/>
      <c r="C481" s="203">
        <f t="shared" si="167"/>
        <v>0</v>
      </c>
      <c r="D481" s="204"/>
      <c r="E481" s="204"/>
      <c r="F481" s="207"/>
      <c r="G481" s="206"/>
      <c r="H481" s="207"/>
      <c r="I481" s="208" t="s">
        <v>125</v>
      </c>
      <c r="J481" s="208" t="s">
        <v>126</v>
      </c>
      <c r="K481" s="287"/>
      <c r="L481" s="288"/>
      <c r="M481" s="289"/>
      <c r="N481" s="257"/>
      <c r="O481" s="213"/>
      <c r="P481" s="214"/>
      <c r="Q481" s="214"/>
      <c r="R481" s="214"/>
      <c r="S481" s="214"/>
      <c r="T481" s="214"/>
      <c r="U481" s="215">
        <f t="shared" si="168"/>
        <v>0</v>
      </c>
      <c r="V481" s="216" t="str">
        <f t="shared" si="169"/>
        <v/>
      </c>
      <c r="W481" s="217" t="str">
        <f t="shared" si="170"/>
        <v/>
      </c>
      <c r="X481" s="218" t="s">
        <v>20</v>
      </c>
      <c r="Y481" s="219" t="str">
        <f t="shared" si="171"/>
        <v>0 um/Dia</v>
      </c>
      <c r="Z481" s="220" t="str">
        <f t="shared" si="172"/>
        <v xml:space="preserve"> um / HH</v>
      </c>
      <c r="AA481" s="221" t="str">
        <f t="shared" si="173"/>
        <v/>
      </c>
      <c r="AB481" s="222" t="str">
        <f t="shared" si="174"/>
        <v>0 um /HH</v>
      </c>
      <c r="AC481" s="223">
        <f t="shared" si="175"/>
        <v>0</v>
      </c>
      <c r="AD481" s="224"/>
      <c r="AE481" s="225"/>
      <c r="AF481" s="226">
        <f t="shared" si="176"/>
        <v>0</v>
      </c>
      <c r="AG481" s="227">
        <f t="shared" si="177"/>
        <v>0</v>
      </c>
      <c r="AH481" s="228" t="s">
        <v>25</v>
      </c>
      <c r="AI481" s="229" t="str">
        <f t="shared" si="197"/>
        <v>Extremamente Complexa</v>
      </c>
      <c r="AJ481" s="230" t="str">
        <f t="shared" si="198"/>
        <v>Normal</v>
      </c>
      <c r="AK481" s="231">
        <f t="shared" si="178"/>
        <v>0</v>
      </c>
      <c r="AL481" s="232" t="str">
        <f t="shared" si="179"/>
        <v/>
      </c>
      <c r="AM481" s="233" t="str">
        <f t="shared" si="180"/>
        <v/>
      </c>
      <c r="AN481" s="233" t="str">
        <f t="shared" si="181"/>
        <v/>
      </c>
      <c r="AO481" s="234">
        <f t="shared" si="182"/>
        <v>0</v>
      </c>
      <c r="AP481" s="235">
        <f t="shared" si="199"/>
        <v>1</v>
      </c>
      <c r="AQ481" s="235">
        <f t="shared" si="199"/>
        <v>1</v>
      </c>
      <c r="AR481" s="235">
        <f t="shared" si="183"/>
        <v>1</v>
      </c>
      <c r="AS481" s="252">
        <f t="shared" si="184"/>
        <v>0</v>
      </c>
      <c r="AT481" s="238">
        <f t="shared" si="185"/>
        <v>0</v>
      </c>
      <c r="AU481" s="239">
        <f t="shared" si="186"/>
        <v>0</v>
      </c>
      <c r="AV481" s="239">
        <f t="shared" si="187"/>
        <v>0</v>
      </c>
      <c r="AW481" s="239">
        <f t="shared" si="188"/>
        <v>0.05</v>
      </c>
      <c r="AX481" s="240">
        <f t="shared" si="189"/>
        <v>0</v>
      </c>
      <c r="AY481" s="241" t="str">
        <f t="shared" si="190"/>
        <v/>
      </c>
      <c r="AZ481" s="242" t="str">
        <f>IFERROR(VLOOKUP(M481,'[1]Base Brasil Obras'!$C$2:$F$485,4,0),"")</f>
        <v/>
      </c>
      <c r="BA481" s="243">
        <f t="shared" si="191"/>
        <v>0</v>
      </c>
      <c r="BB481" s="244">
        <f t="shared" si="192"/>
        <v>0</v>
      </c>
      <c r="BC481" s="244">
        <f t="shared" si="193"/>
        <v>0.05</v>
      </c>
      <c r="BD481" s="245">
        <f t="shared" si="194"/>
        <v>0.95</v>
      </c>
      <c r="BE481" s="246">
        <f t="shared" si="195"/>
        <v>0</v>
      </c>
      <c r="BF481" s="247">
        <v>0</v>
      </c>
      <c r="BG481" s="248">
        <f t="shared" si="196"/>
        <v>1</v>
      </c>
      <c r="BH481" s="198"/>
      <c r="BI481" s="198"/>
      <c r="BJ481" s="199"/>
      <c r="BK481" s="200"/>
      <c r="BL481" s="200"/>
      <c r="BM481" s="200"/>
      <c r="BN481" s="200"/>
      <c r="BO481" s="10"/>
    </row>
    <row r="482" spans="1:67" ht="18" x14ac:dyDescent="0.25">
      <c r="A482" s="201">
        <v>374</v>
      </c>
      <c r="B482" s="286"/>
      <c r="C482" s="203">
        <f t="shared" si="167"/>
        <v>0</v>
      </c>
      <c r="D482" s="204"/>
      <c r="E482" s="204"/>
      <c r="F482" s="207"/>
      <c r="G482" s="206"/>
      <c r="H482" s="207"/>
      <c r="I482" s="208" t="s">
        <v>125</v>
      </c>
      <c r="J482" s="208" t="s">
        <v>126</v>
      </c>
      <c r="K482" s="287"/>
      <c r="L482" s="288"/>
      <c r="M482" s="289"/>
      <c r="N482" s="257"/>
      <c r="O482" s="213"/>
      <c r="P482" s="214"/>
      <c r="Q482" s="214"/>
      <c r="R482" s="214"/>
      <c r="S482" s="214"/>
      <c r="T482" s="214"/>
      <c r="U482" s="215">
        <f t="shared" si="168"/>
        <v>0</v>
      </c>
      <c r="V482" s="216" t="str">
        <f t="shared" si="169"/>
        <v/>
      </c>
      <c r="W482" s="217" t="str">
        <f t="shared" si="170"/>
        <v/>
      </c>
      <c r="X482" s="218" t="s">
        <v>20</v>
      </c>
      <c r="Y482" s="219" t="str">
        <f t="shared" si="171"/>
        <v>0 um/Dia</v>
      </c>
      <c r="Z482" s="220" t="str">
        <f t="shared" si="172"/>
        <v xml:space="preserve"> um / HH</v>
      </c>
      <c r="AA482" s="221" t="str">
        <f t="shared" si="173"/>
        <v/>
      </c>
      <c r="AB482" s="222" t="str">
        <f t="shared" si="174"/>
        <v>0 um /HH</v>
      </c>
      <c r="AC482" s="223">
        <f t="shared" si="175"/>
        <v>0</v>
      </c>
      <c r="AD482" s="224"/>
      <c r="AE482" s="225"/>
      <c r="AF482" s="226">
        <f t="shared" si="176"/>
        <v>0</v>
      </c>
      <c r="AG482" s="227">
        <f t="shared" si="177"/>
        <v>0</v>
      </c>
      <c r="AH482" s="228" t="s">
        <v>25</v>
      </c>
      <c r="AI482" s="229" t="str">
        <f t="shared" si="197"/>
        <v>Extremamente Complexa</v>
      </c>
      <c r="AJ482" s="230" t="str">
        <f t="shared" si="198"/>
        <v>Normal</v>
      </c>
      <c r="AK482" s="231">
        <f t="shared" si="178"/>
        <v>0</v>
      </c>
      <c r="AL482" s="232" t="str">
        <f t="shared" si="179"/>
        <v/>
      </c>
      <c r="AM482" s="233" t="str">
        <f t="shared" si="180"/>
        <v/>
      </c>
      <c r="AN482" s="233" t="str">
        <f t="shared" si="181"/>
        <v/>
      </c>
      <c r="AO482" s="234">
        <f t="shared" si="182"/>
        <v>0</v>
      </c>
      <c r="AP482" s="235">
        <f t="shared" si="199"/>
        <v>1</v>
      </c>
      <c r="AQ482" s="235">
        <f t="shared" si="199"/>
        <v>1</v>
      </c>
      <c r="AR482" s="236">
        <f t="shared" si="183"/>
        <v>1</v>
      </c>
      <c r="AS482" s="251">
        <f t="shared" si="184"/>
        <v>0</v>
      </c>
      <c r="AT482" s="238">
        <f t="shared" si="185"/>
        <v>0</v>
      </c>
      <c r="AU482" s="239">
        <f t="shared" si="186"/>
        <v>0</v>
      </c>
      <c r="AV482" s="239">
        <f t="shared" si="187"/>
        <v>0</v>
      </c>
      <c r="AW482" s="239">
        <f t="shared" si="188"/>
        <v>0.05</v>
      </c>
      <c r="AX482" s="240">
        <f t="shared" si="189"/>
        <v>0</v>
      </c>
      <c r="AY482" s="241" t="str">
        <f t="shared" si="190"/>
        <v/>
      </c>
      <c r="AZ482" s="242" t="str">
        <f>IFERROR(VLOOKUP(M482,'[1]Base Brasil Obras'!$C$2:$F$485,4,0),"")</f>
        <v/>
      </c>
      <c r="BA482" s="243">
        <f t="shared" si="191"/>
        <v>0</v>
      </c>
      <c r="BB482" s="244">
        <f t="shared" si="192"/>
        <v>0</v>
      </c>
      <c r="BC482" s="244">
        <f t="shared" si="193"/>
        <v>0.05</v>
      </c>
      <c r="BD482" s="245">
        <f t="shared" si="194"/>
        <v>0.95</v>
      </c>
      <c r="BE482" s="246">
        <f t="shared" si="195"/>
        <v>0</v>
      </c>
      <c r="BF482" s="247">
        <v>0</v>
      </c>
      <c r="BG482" s="248">
        <f t="shared" si="196"/>
        <v>1</v>
      </c>
      <c r="BH482" s="198"/>
      <c r="BI482" s="198"/>
      <c r="BJ482" s="199"/>
      <c r="BK482" s="200"/>
      <c r="BL482" s="200"/>
      <c r="BM482" s="200"/>
      <c r="BN482" s="200"/>
      <c r="BO482" s="10"/>
    </row>
    <row r="483" spans="1:67" ht="18" x14ac:dyDescent="0.25">
      <c r="A483" s="201">
        <v>375</v>
      </c>
      <c r="B483" s="286"/>
      <c r="C483" s="203">
        <f t="shared" si="167"/>
        <v>0</v>
      </c>
      <c r="D483" s="204"/>
      <c r="E483" s="204"/>
      <c r="F483" s="207"/>
      <c r="G483" s="206"/>
      <c r="H483" s="207"/>
      <c r="I483" s="208" t="s">
        <v>125</v>
      </c>
      <c r="J483" s="208" t="s">
        <v>126</v>
      </c>
      <c r="K483" s="287"/>
      <c r="L483" s="288"/>
      <c r="M483" s="289"/>
      <c r="N483" s="257"/>
      <c r="O483" s="213"/>
      <c r="P483" s="214"/>
      <c r="Q483" s="214"/>
      <c r="R483" s="214"/>
      <c r="S483" s="214"/>
      <c r="T483" s="214"/>
      <c r="U483" s="215">
        <f t="shared" si="168"/>
        <v>0</v>
      </c>
      <c r="V483" s="216" t="str">
        <f t="shared" si="169"/>
        <v/>
      </c>
      <c r="W483" s="217" t="str">
        <f t="shared" si="170"/>
        <v/>
      </c>
      <c r="X483" s="218" t="s">
        <v>20</v>
      </c>
      <c r="Y483" s="219" t="str">
        <f t="shared" si="171"/>
        <v>0 um/Dia</v>
      </c>
      <c r="Z483" s="220" t="str">
        <f t="shared" si="172"/>
        <v xml:space="preserve"> um / HH</v>
      </c>
      <c r="AA483" s="221" t="str">
        <f t="shared" si="173"/>
        <v/>
      </c>
      <c r="AB483" s="222" t="str">
        <f t="shared" si="174"/>
        <v>0 um /HH</v>
      </c>
      <c r="AC483" s="223">
        <f t="shared" si="175"/>
        <v>0</v>
      </c>
      <c r="AD483" s="224"/>
      <c r="AE483" s="225"/>
      <c r="AF483" s="226">
        <f t="shared" si="176"/>
        <v>0</v>
      </c>
      <c r="AG483" s="227">
        <f t="shared" si="177"/>
        <v>0</v>
      </c>
      <c r="AH483" s="228" t="s">
        <v>25</v>
      </c>
      <c r="AI483" s="229" t="str">
        <f t="shared" si="197"/>
        <v>Extremamente Complexa</v>
      </c>
      <c r="AJ483" s="230" t="str">
        <f t="shared" si="198"/>
        <v>Normal</v>
      </c>
      <c r="AK483" s="231">
        <f t="shared" si="178"/>
        <v>0</v>
      </c>
      <c r="AL483" s="232" t="str">
        <f t="shared" si="179"/>
        <v/>
      </c>
      <c r="AM483" s="233" t="str">
        <f t="shared" si="180"/>
        <v/>
      </c>
      <c r="AN483" s="233" t="str">
        <f t="shared" si="181"/>
        <v/>
      </c>
      <c r="AO483" s="234">
        <f t="shared" si="182"/>
        <v>0</v>
      </c>
      <c r="AP483" s="235">
        <f t="shared" si="199"/>
        <v>1</v>
      </c>
      <c r="AQ483" s="235">
        <f t="shared" si="199"/>
        <v>1</v>
      </c>
      <c r="AR483" s="235">
        <f t="shared" si="183"/>
        <v>1</v>
      </c>
      <c r="AS483" s="252">
        <f t="shared" si="184"/>
        <v>0</v>
      </c>
      <c r="AT483" s="238">
        <f t="shared" si="185"/>
        <v>0</v>
      </c>
      <c r="AU483" s="239">
        <f t="shared" si="186"/>
        <v>0</v>
      </c>
      <c r="AV483" s="239">
        <f t="shared" si="187"/>
        <v>0</v>
      </c>
      <c r="AW483" s="239">
        <f t="shared" si="188"/>
        <v>0.05</v>
      </c>
      <c r="AX483" s="240">
        <f t="shared" si="189"/>
        <v>0</v>
      </c>
      <c r="AY483" s="241" t="str">
        <f t="shared" si="190"/>
        <v/>
      </c>
      <c r="AZ483" s="242" t="str">
        <f>IFERROR(VLOOKUP(M483,'[1]Base Brasil Obras'!$C$2:$F$485,4,0),"")</f>
        <v/>
      </c>
      <c r="BA483" s="243">
        <f t="shared" si="191"/>
        <v>0</v>
      </c>
      <c r="BB483" s="244">
        <f t="shared" si="192"/>
        <v>0</v>
      </c>
      <c r="BC483" s="244">
        <f t="shared" si="193"/>
        <v>0.05</v>
      </c>
      <c r="BD483" s="245">
        <f t="shared" si="194"/>
        <v>0.95</v>
      </c>
      <c r="BE483" s="246">
        <f t="shared" si="195"/>
        <v>0</v>
      </c>
      <c r="BF483" s="247">
        <v>0</v>
      </c>
      <c r="BG483" s="248">
        <f t="shared" si="196"/>
        <v>1</v>
      </c>
      <c r="BH483" s="198"/>
      <c r="BI483" s="198"/>
      <c r="BJ483" s="199"/>
      <c r="BK483" s="200"/>
      <c r="BL483" s="200"/>
      <c r="BM483" s="200"/>
      <c r="BN483" s="200"/>
      <c r="BO483" s="10"/>
    </row>
    <row r="484" spans="1:67" ht="18" x14ac:dyDescent="0.25">
      <c r="A484" s="201">
        <v>376</v>
      </c>
      <c r="B484" s="286"/>
      <c r="C484" s="203">
        <f t="shared" si="167"/>
        <v>0</v>
      </c>
      <c r="D484" s="204"/>
      <c r="E484" s="204"/>
      <c r="F484" s="207"/>
      <c r="G484" s="206"/>
      <c r="H484" s="207"/>
      <c r="I484" s="208" t="s">
        <v>125</v>
      </c>
      <c r="J484" s="208" t="s">
        <v>126</v>
      </c>
      <c r="K484" s="287"/>
      <c r="L484" s="288"/>
      <c r="M484" s="289"/>
      <c r="N484" s="257"/>
      <c r="O484" s="213"/>
      <c r="P484" s="214"/>
      <c r="Q484" s="214"/>
      <c r="R484" s="214"/>
      <c r="S484" s="214"/>
      <c r="T484" s="214"/>
      <c r="U484" s="215">
        <f t="shared" si="168"/>
        <v>0</v>
      </c>
      <c r="V484" s="216" t="str">
        <f t="shared" si="169"/>
        <v/>
      </c>
      <c r="W484" s="217" t="str">
        <f t="shared" si="170"/>
        <v/>
      </c>
      <c r="X484" s="218" t="s">
        <v>20</v>
      </c>
      <c r="Y484" s="219" t="str">
        <f t="shared" si="171"/>
        <v>0 um/Dia</v>
      </c>
      <c r="Z484" s="220" t="str">
        <f t="shared" si="172"/>
        <v xml:space="preserve"> um / HH</v>
      </c>
      <c r="AA484" s="221" t="str">
        <f t="shared" si="173"/>
        <v/>
      </c>
      <c r="AB484" s="222" t="str">
        <f t="shared" si="174"/>
        <v>0 um /HH</v>
      </c>
      <c r="AC484" s="223">
        <f t="shared" si="175"/>
        <v>0</v>
      </c>
      <c r="AD484" s="224"/>
      <c r="AE484" s="225"/>
      <c r="AF484" s="226">
        <f t="shared" si="176"/>
        <v>0</v>
      </c>
      <c r="AG484" s="227">
        <f t="shared" si="177"/>
        <v>0</v>
      </c>
      <c r="AH484" s="228" t="s">
        <v>25</v>
      </c>
      <c r="AI484" s="229" t="str">
        <f t="shared" si="197"/>
        <v>Extremamente Complexa</v>
      </c>
      <c r="AJ484" s="230" t="str">
        <f t="shared" si="198"/>
        <v>Normal</v>
      </c>
      <c r="AK484" s="231">
        <f t="shared" si="178"/>
        <v>0</v>
      </c>
      <c r="AL484" s="232" t="str">
        <f t="shared" si="179"/>
        <v/>
      </c>
      <c r="AM484" s="233" t="str">
        <f t="shared" si="180"/>
        <v/>
      </c>
      <c r="AN484" s="233" t="str">
        <f t="shared" si="181"/>
        <v/>
      </c>
      <c r="AO484" s="234">
        <f t="shared" si="182"/>
        <v>0</v>
      </c>
      <c r="AP484" s="235">
        <f t="shared" si="199"/>
        <v>1</v>
      </c>
      <c r="AQ484" s="235">
        <f t="shared" si="199"/>
        <v>1</v>
      </c>
      <c r="AR484" s="236">
        <f t="shared" si="183"/>
        <v>1</v>
      </c>
      <c r="AS484" s="251">
        <f t="shared" si="184"/>
        <v>0</v>
      </c>
      <c r="AT484" s="238">
        <f t="shared" si="185"/>
        <v>0</v>
      </c>
      <c r="AU484" s="239">
        <f t="shared" si="186"/>
        <v>0</v>
      </c>
      <c r="AV484" s="239">
        <f t="shared" si="187"/>
        <v>0</v>
      </c>
      <c r="AW484" s="239">
        <f t="shared" si="188"/>
        <v>0.05</v>
      </c>
      <c r="AX484" s="240">
        <f t="shared" si="189"/>
        <v>0</v>
      </c>
      <c r="AY484" s="241" t="str">
        <f t="shared" si="190"/>
        <v/>
      </c>
      <c r="AZ484" s="242" t="str">
        <f>IFERROR(VLOOKUP(M484,'[1]Base Brasil Obras'!$C$2:$F$485,4,0),"")</f>
        <v/>
      </c>
      <c r="BA484" s="243">
        <f t="shared" si="191"/>
        <v>0</v>
      </c>
      <c r="BB484" s="244">
        <f t="shared" si="192"/>
        <v>0</v>
      </c>
      <c r="BC484" s="244">
        <f t="shared" si="193"/>
        <v>0.05</v>
      </c>
      <c r="BD484" s="245">
        <f t="shared" si="194"/>
        <v>0.95</v>
      </c>
      <c r="BE484" s="246">
        <f t="shared" si="195"/>
        <v>0</v>
      </c>
      <c r="BF484" s="247">
        <v>0</v>
      </c>
      <c r="BG484" s="248">
        <f t="shared" si="196"/>
        <v>1</v>
      </c>
      <c r="BH484" s="198"/>
      <c r="BI484" s="198"/>
      <c r="BJ484" s="199"/>
      <c r="BK484" s="200"/>
      <c r="BL484" s="200"/>
      <c r="BM484" s="200"/>
      <c r="BN484" s="200"/>
      <c r="BO484" s="10"/>
    </row>
    <row r="485" spans="1:67" ht="18" x14ac:dyDescent="0.25">
      <c r="A485" s="201">
        <v>377</v>
      </c>
      <c r="B485" s="286"/>
      <c r="C485" s="203">
        <f t="shared" si="167"/>
        <v>0</v>
      </c>
      <c r="D485" s="204"/>
      <c r="E485" s="204"/>
      <c r="F485" s="207"/>
      <c r="G485" s="206"/>
      <c r="H485" s="207"/>
      <c r="I485" s="208" t="s">
        <v>125</v>
      </c>
      <c r="J485" s="208" t="s">
        <v>126</v>
      </c>
      <c r="K485" s="287"/>
      <c r="L485" s="288"/>
      <c r="M485" s="289"/>
      <c r="N485" s="257"/>
      <c r="O485" s="213"/>
      <c r="P485" s="214"/>
      <c r="Q485" s="214"/>
      <c r="R485" s="214"/>
      <c r="S485" s="214"/>
      <c r="T485" s="214"/>
      <c r="U485" s="215">
        <f t="shared" si="168"/>
        <v>0</v>
      </c>
      <c r="V485" s="216" t="str">
        <f t="shared" si="169"/>
        <v/>
      </c>
      <c r="W485" s="217" t="str">
        <f t="shared" si="170"/>
        <v/>
      </c>
      <c r="X485" s="218" t="s">
        <v>20</v>
      </c>
      <c r="Y485" s="219" t="str">
        <f t="shared" si="171"/>
        <v>0 um/Dia</v>
      </c>
      <c r="Z485" s="220" t="str">
        <f t="shared" si="172"/>
        <v xml:space="preserve"> um / HH</v>
      </c>
      <c r="AA485" s="221" t="str">
        <f t="shared" si="173"/>
        <v/>
      </c>
      <c r="AB485" s="222" t="str">
        <f t="shared" si="174"/>
        <v>0 um /HH</v>
      </c>
      <c r="AC485" s="223">
        <f t="shared" si="175"/>
        <v>0</v>
      </c>
      <c r="AD485" s="224"/>
      <c r="AE485" s="225"/>
      <c r="AF485" s="226">
        <f t="shared" si="176"/>
        <v>0</v>
      </c>
      <c r="AG485" s="227">
        <f t="shared" si="177"/>
        <v>0</v>
      </c>
      <c r="AH485" s="228" t="s">
        <v>25</v>
      </c>
      <c r="AI485" s="229" t="str">
        <f t="shared" si="197"/>
        <v>Extremamente Complexa</v>
      </c>
      <c r="AJ485" s="230" t="str">
        <f t="shared" si="198"/>
        <v>Normal</v>
      </c>
      <c r="AK485" s="231">
        <f t="shared" si="178"/>
        <v>0</v>
      </c>
      <c r="AL485" s="232" t="str">
        <f t="shared" si="179"/>
        <v/>
      </c>
      <c r="AM485" s="233" t="str">
        <f t="shared" si="180"/>
        <v/>
      </c>
      <c r="AN485" s="233" t="str">
        <f t="shared" si="181"/>
        <v/>
      </c>
      <c r="AO485" s="234">
        <f t="shared" si="182"/>
        <v>0</v>
      </c>
      <c r="AP485" s="235">
        <f t="shared" si="199"/>
        <v>1</v>
      </c>
      <c r="AQ485" s="235">
        <f t="shared" si="199"/>
        <v>1</v>
      </c>
      <c r="AR485" s="235">
        <f t="shared" si="183"/>
        <v>1</v>
      </c>
      <c r="AS485" s="252">
        <f t="shared" si="184"/>
        <v>0</v>
      </c>
      <c r="AT485" s="238">
        <f t="shared" si="185"/>
        <v>0</v>
      </c>
      <c r="AU485" s="239">
        <f t="shared" si="186"/>
        <v>0</v>
      </c>
      <c r="AV485" s="239">
        <f t="shared" si="187"/>
        <v>0</v>
      </c>
      <c r="AW485" s="239">
        <f t="shared" si="188"/>
        <v>0.05</v>
      </c>
      <c r="AX485" s="240">
        <f t="shared" si="189"/>
        <v>0</v>
      </c>
      <c r="AY485" s="241" t="str">
        <f t="shared" si="190"/>
        <v/>
      </c>
      <c r="AZ485" s="242" t="str">
        <f>IFERROR(VLOOKUP(M485,'[1]Base Brasil Obras'!$C$2:$F$485,4,0),"")</f>
        <v/>
      </c>
      <c r="BA485" s="243">
        <f t="shared" si="191"/>
        <v>0</v>
      </c>
      <c r="BB485" s="244">
        <f t="shared" si="192"/>
        <v>0</v>
      </c>
      <c r="BC485" s="244">
        <f t="shared" si="193"/>
        <v>0.05</v>
      </c>
      <c r="BD485" s="245">
        <f t="shared" si="194"/>
        <v>0.95</v>
      </c>
      <c r="BE485" s="246">
        <f t="shared" si="195"/>
        <v>0</v>
      </c>
      <c r="BF485" s="247">
        <v>0</v>
      </c>
      <c r="BG485" s="248">
        <f t="shared" si="196"/>
        <v>1</v>
      </c>
      <c r="BH485" s="198"/>
      <c r="BI485" s="198"/>
      <c r="BJ485" s="199"/>
      <c r="BK485" s="200"/>
      <c r="BL485" s="200"/>
      <c r="BM485" s="200"/>
      <c r="BN485" s="200"/>
      <c r="BO485" s="10"/>
    </row>
    <row r="486" spans="1:67" ht="18" x14ac:dyDescent="0.25">
      <c r="A486" s="201">
        <v>378</v>
      </c>
      <c r="B486" s="286"/>
      <c r="C486" s="203">
        <f t="shared" si="167"/>
        <v>0</v>
      </c>
      <c r="D486" s="204"/>
      <c r="E486" s="204"/>
      <c r="F486" s="207"/>
      <c r="G486" s="206"/>
      <c r="H486" s="207"/>
      <c r="I486" s="208" t="s">
        <v>125</v>
      </c>
      <c r="J486" s="208" t="s">
        <v>126</v>
      </c>
      <c r="K486" s="287"/>
      <c r="L486" s="288"/>
      <c r="M486" s="289"/>
      <c r="N486" s="257"/>
      <c r="O486" s="213"/>
      <c r="P486" s="214"/>
      <c r="Q486" s="214"/>
      <c r="R486" s="214"/>
      <c r="S486" s="214"/>
      <c r="T486" s="214"/>
      <c r="U486" s="215">
        <f t="shared" si="168"/>
        <v>0</v>
      </c>
      <c r="V486" s="216" t="str">
        <f t="shared" si="169"/>
        <v/>
      </c>
      <c r="W486" s="217" t="str">
        <f t="shared" si="170"/>
        <v/>
      </c>
      <c r="X486" s="218" t="s">
        <v>20</v>
      </c>
      <c r="Y486" s="219" t="str">
        <f t="shared" si="171"/>
        <v>0 um/Dia</v>
      </c>
      <c r="Z486" s="220" t="str">
        <f t="shared" si="172"/>
        <v xml:space="preserve"> um / HH</v>
      </c>
      <c r="AA486" s="221" t="str">
        <f t="shared" si="173"/>
        <v/>
      </c>
      <c r="AB486" s="222" t="str">
        <f t="shared" si="174"/>
        <v>0 um /HH</v>
      </c>
      <c r="AC486" s="223">
        <f t="shared" si="175"/>
        <v>0</v>
      </c>
      <c r="AD486" s="224"/>
      <c r="AE486" s="225"/>
      <c r="AF486" s="226">
        <f t="shared" si="176"/>
        <v>0</v>
      </c>
      <c r="AG486" s="227">
        <f t="shared" si="177"/>
        <v>0</v>
      </c>
      <c r="AH486" s="228" t="s">
        <v>25</v>
      </c>
      <c r="AI486" s="229" t="str">
        <f t="shared" si="197"/>
        <v>Extremamente Complexa</v>
      </c>
      <c r="AJ486" s="230" t="str">
        <f t="shared" si="198"/>
        <v>Normal</v>
      </c>
      <c r="AK486" s="231">
        <f t="shared" si="178"/>
        <v>0</v>
      </c>
      <c r="AL486" s="232" t="str">
        <f t="shared" si="179"/>
        <v/>
      </c>
      <c r="AM486" s="233" t="str">
        <f t="shared" si="180"/>
        <v/>
      </c>
      <c r="AN486" s="233" t="str">
        <f t="shared" si="181"/>
        <v/>
      </c>
      <c r="AO486" s="234">
        <f t="shared" si="182"/>
        <v>0</v>
      </c>
      <c r="AP486" s="235">
        <f t="shared" si="199"/>
        <v>1</v>
      </c>
      <c r="AQ486" s="235">
        <f t="shared" si="199"/>
        <v>1</v>
      </c>
      <c r="AR486" s="236">
        <f t="shared" si="183"/>
        <v>1</v>
      </c>
      <c r="AS486" s="251">
        <f t="shared" si="184"/>
        <v>0</v>
      </c>
      <c r="AT486" s="238">
        <f t="shared" si="185"/>
        <v>0</v>
      </c>
      <c r="AU486" s="239">
        <f t="shared" si="186"/>
        <v>0</v>
      </c>
      <c r="AV486" s="239">
        <f t="shared" si="187"/>
        <v>0</v>
      </c>
      <c r="AW486" s="239">
        <f t="shared" si="188"/>
        <v>0.05</v>
      </c>
      <c r="AX486" s="240">
        <f t="shared" si="189"/>
        <v>0</v>
      </c>
      <c r="AY486" s="241" t="str">
        <f t="shared" si="190"/>
        <v/>
      </c>
      <c r="AZ486" s="242" t="str">
        <f>IFERROR(VLOOKUP(M486,'[1]Base Brasil Obras'!$C$2:$F$485,4,0),"")</f>
        <v/>
      </c>
      <c r="BA486" s="243">
        <f t="shared" si="191"/>
        <v>0</v>
      </c>
      <c r="BB486" s="244">
        <f t="shared" si="192"/>
        <v>0</v>
      </c>
      <c r="BC486" s="244">
        <f t="shared" si="193"/>
        <v>0.05</v>
      </c>
      <c r="BD486" s="245">
        <f t="shared" si="194"/>
        <v>0.95</v>
      </c>
      <c r="BE486" s="246">
        <f t="shared" si="195"/>
        <v>0</v>
      </c>
      <c r="BF486" s="247">
        <v>0</v>
      </c>
      <c r="BG486" s="248">
        <f t="shared" si="196"/>
        <v>1</v>
      </c>
      <c r="BH486" s="198"/>
      <c r="BI486" s="198"/>
      <c r="BJ486" s="199"/>
      <c r="BK486" s="200"/>
      <c r="BL486" s="200"/>
      <c r="BM486" s="200"/>
      <c r="BN486" s="200"/>
      <c r="BO486" s="10"/>
    </row>
    <row r="487" spans="1:67" ht="18" x14ac:dyDescent="0.25">
      <c r="A487" s="201">
        <v>379</v>
      </c>
      <c r="B487" s="286"/>
      <c r="C487" s="203">
        <f t="shared" si="167"/>
        <v>0</v>
      </c>
      <c r="D487" s="204"/>
      <c r="E487" s="204"/>
      <c r="F487" s="207"/>
      <c r="G487" s="206"/>
      <c r="H487" s="207"/>
      <c r="I487" s="208" t="s">
        <v>125</v>
      </c>
      <c r="J487" s="208" t="s">
        <v>126</v>
      </c>
      <c r="K487" s="287"/>
      <c r="L487" s="288"/>
      <c r="M487" s="289"/>
      <c r="N487" s="257"/>
      <c r="O487" s="213"/>
      <c r="P487" s="214"/>
      <c r="Q487" s="214"/>
      <c r="R487" s="214"/>
      <c r="S487" s="214"/>
      <c r="T487" s="214"/>
      <c r="U487" s="215">
        <f t="shared" si="168"/>
        <v>0</v>
      </c>
      <c r="V487" s="216" t="str">
        <f t="shared" si="169"/>
        <v/>
      </c>
      <c r="W487" s="217" t="str">
        <f t="shared" si="170"/>
        <v/>
      </c>
      <c r="X487" s="218" t="s">
        <v>20</v>
      </c>
      <c r="Y487" s="219" t="str">
        <f t="shared" si="171"/>
        <v>0 um/Dia</v>
      </c>
      <c r="Z487" s="220" t="str">
        <f t="shared" si="172"/>
        <v xml:space="preserve"> um / HH</v>
      </c>
      <c r="AA487" s="221" t="str">
        <f t="shared" si="173"/>
        <v/>
      </c>
      <c r="AB487" s="222" t="str">
        <f t="shared" si="174"/>
        <v>0 um /HH</v>
      </c>
      <c r="AC487" s="223">
        <f t="shared" si="175"/>
        <v>0</v>
      </c>
      <c r="AD487" s="224"/>
      <c r="AE487" s="225"/>
      <c r="AF487" s="226">
        <f t="shared" si="176"/>
        <v>0</v>
      </c>
      <c r="AG487" s="227">
        <f t="shared" si="177"/>
        <v>0</v>
      </c>
      <c r="AH487" s="228" t="s">
        <v>25</v>
      </c>
      <c r="AI487" s="229" t="str">
        <f t="shared" si="197"/>
        <v>Extremamente Complexa</v>
      </c>
      <c r="AJ487" s="230" t="str">
        <f t="shared" si="198"/>
        <v>Normal</v>
      </c>
      <c r="AK487" s="231">
        <f t="shared" si="178"/>
        <v>0</v>
      </c>
      <c r="AL487" s="232" t="str">
        <f t="shared" si="179"/>
        <v/>
      </c>
      <c r="AM487" s="233" t="str">
        <f t="shared" si="180"/>
        <v/>
      </c>
      <c r="AN487" s="233" t="str">
        <f t="shared" si="181"/>
        <v/>
      </c>
      <c r="AO487" s="234">
        <f t="shared" si="182"/>
        <v>0</v>
      </c>
      <c r="AP487" s="235">
        <f t="shared" si="199"/>
        <v>1</v>
      </c>
      <c r="AQ487" s="235">
        <f t="shared" si="199"/>
        <v>1</v>
      </c>
      <c r="AR487" s="235">
        <f t="shared" si="183"/>
        <v>1</v>
      </c>
      <c r="AS487" s="252">
        <f t="shared" si="184"/>
        <v>0</v>
      </c>
      <c r="AT487" s="238">
        <f t="shared" si="185"/>
        <v>0</v>
      </c>
      <c r="AU487" s="239">
        <f t="shared" si="186"/>
        <v>0</v>
      </c>
      <c r="AV487" s="239">
        <f t="shared" si="187"/>
        <v>0</v>
      </c>
      <c r="AW487" s="239">
        <f t="shared" si="188"/>
        <v>0.05</v>
      </c>
      <c r="AX487" s="240">
        <f t="shared" si="189"/>
        <v>0</v>
      </c>
      <c r="AY487" s="241" t="str">
        <f t="shared" si="190"/>
        <v/>
      </c>
      <c r="AZ487" s="242" t="str">
        <f>IFERROR(VLOOKUP(M487,'[1]Base Brasil Obras'!$C$2:$F$485,4,0),"")</f>
        <v/>
      </c>
      <c r="BA487" s="243">
        <f t="shared" si="191"/>
        <v>0</v>
      </c>
      <c r="BB487" s="244">
        <f t="shared" si="192"/>
        <v>0</v>
      </c>
      <c r="BC487" s="244">
        <f t="shared" si="193"/>
        <v>0.05</v>
      </c>
      <c r="BD487" s="245">
        <f t="shared" si="194"/>
        <v>0.95</v>
      </c>
      <c r="BE487" s="246">
        <f t="shared" si="195"/>
        <v>0</v>
      </c>
      <c r="BF487" s="247">
        <v>0</v>
      </c>
      <c r="BG487" s="248">
        <f t="shared" si="196"/>
        <v>1</v>
      </c>
      <c r="BH487" s="198"/>
      <c r="BI487" s="198"/>
      <c r="BJ487" s="199"/>
      <c r="BK487" s="200"/>
      <c r="BL487" s="200"/>
      <c r="BM487" s="200"/>
      <c r="BN487" s="200"/>
      <c r="BO487" s="10"/>
    </row>
    <row r="488" spans="1:67" ht="18" x14ac:dyDescent="0.25">
      <c r="A488" s="201">
        <v>380</v>
      </c>
      <c r="B488" s="286"/>
      <c r="C488" s="203">
        <f t="shared" si="167"/>
        <v>0</v>
      </c>
      <c r="D488" s="204"/>
      <c r="E488" s="204"/>
      <c r="F488" s="207"/>
      <c r="G488" s="206"/>
      <c r="H488" s="207"/>
      <c r="I488" s="208" t="s">
        <v>125</v>
      </c>
      <c r="J488" s="208" t="s">
        <v>126</v>
      </c>
      <c r="K488" s="287"/>
      <c r="L488" s="288"/>
      <c r="M488" s="289"/>
      <c r="N488" s="257"/>
      <c r="O488" s="213"/>
      <c r="P488" s="214"/>
      <c r="Q488" s="214"/>
      <c r="R488" s="214"/>
      <c r="S488" s="214"/>
      <c r="T488" s="214"/>
      <c r="U488" s="215">
        <f t="shared" si="168"/>
        <v>0</v>
      </c>
      <c r="V488" s="216" t="str">
        <f t="shared" si="169"/>
        <v/>
      </c>
      <c r="W488" s="217" t="str">
        <f t="shared" si="170"/>
        <v/>
      </c>
      <c r="X488" s="218" t="s">
        <v>20</v>
      </c>
      <c r="Y488" s="219" t="str">
        <f t="shared" si="171"/>
        <v>0 um/Dia</v>
      </c>
      <c r="Z488" s="220" t="str">
        <f t="shared" si="172"/>
        <v xml:space="preserve"> um / HH</v>
      </c>
      <c r="AA488" s="221" t="str">
        <f t="shared" si="173"/>
        <v/>
      </c>
      <c r="AB488" s="222" t="str">
        <f t="shared" si="174"/>
        <v>0 um /HH</v>
      </c>
      <c r="AC488" s="223">
        <f t="shared" si="175"/>
        <v>0</v>
      </c>
      <c r="AD488" s="224"/>
      <c r="AE488" s="225"/>
      <c r="AF488" s="226">
        <f t="shared" si="176"/>
        <v>0</v>
      </c>
      <c r="AG488" s="227">
        <f t="shared" si="177"/>
        <v>0</v>
      </c>
      <c r="AH488" s="228" t="s">
        <v>25</v>
      </c>
      <c r="AI488" s="229" t="str">
        <f t="shared" si="197"/>
        <v>Extremamente Complexa</v>
      </c>
      <c r="AJ488" s="230" t="str">
        <f t="shared" si="198"/>
        <v>Normal</v>
      </c>
      <c r="AK488" s="231">
        <f t="shared" si="178"/>
        <v>0</v>
      </c>
      <c r="AL488" s="232" t="str">
        <f t="shared" si="179"/>
        <v/>
      </c>
      <c r="AM488" s="233" t="str">
        <f t="shared" si="180"/>
        <v/>
      </c>
      <c r="AN488" s="233" t="str">
        <f t="shared" si="181"/>
        <v/>
      </c>
      <c r="AO488" s="234">
        <f t="shared" si="182"/>
        <v>0</v>
      </c>
      <c r="AP488" s="235">
        <f t="shared" si="199"/>
        <v>1</v>
      </c>
      <c r="AQ488" s="235">
        <f t="shared" si="199"/>
        <v>1</v>
      </c>
      <c r="AR488" s="236">
        <f t="shared" si="183"/>
        <v>1</v>
      </c>
      <c r="AS488" s="251">
        <f t="shared" si="184"/>
        <v>0</v>
      </c>
      <c r="AT488" s="238">
        <f t="shared" si="185"/>
        <v>0</v>
      </c>
      <c r="AU488" s="239">
        <f t="shared" si="186"/>
        <v>0</v>
      </c>
      <c r="AV488" s="239">
        <f t="shared" si="187"/>
        <v>0</v>
      </c>
      <c r="AW488" s="239">
        <f t="shared" si="188"/>
        <v>0.05</v>
      </c>
      <c r="AX488" s="240">
        <f t="shared" si="189"/>
        <v>0</v>
      </c>
      <c r="AY488" s="241" t="str">
        <f t="shared" si="190"/>
        <v/>
      </c>
      <c r="AZ488" s="242" t="str">
        <f>IFERROR(VLOOKUP(M488,'[1]Base Brasil Obras'!$C$2:$F$485,4,0),"")</f>
        <v/>
      </c>
      <c r="BA488" s="243">
        <f t="shared" si="191"/>
        <v>0</v>
      </c>
      <c r="BB488" s="244">
        <f t="shared" si="192"/>
        <v>0</v>
      </c>
      <c r="BC488" s="244">
        <f t="shared" si="193"/>
        <v>0.05</v>
      </c>
      <c r="BD488" s="245">
        <f t="shared" si="194"/>
        <v>0.95</v>
      </c>
      <c r="BE488" s="246">
        <f t="shared" si="195"/>
        <v>0</v>
      </c>
      <c r="BF488" s="247">
        <v>0</v>
      </c>
      <c r="BG488" s="248">
        <f t="shared" si="196"/>
        <v>1</v>
      </c>
      <c r="BH488" s="198"/>
      <c r="BI488" s="198"/>
      <c r="BJ488" s="199"/>
      <c r="BK488" s="200"/>
      <c r="BL488" s="200"/>
      <c r="BM488" s="200"/>
      <c r="BN488" s="200"/>
      <c r="BO488" s="10"/>
    </row>
    <row r="489" spans="1:67" ht="18" x14ac:dyDescent="0.25">
      <c r="A489" s="201">
        <v>381</v>
      </c>
      <c r="B489" s="286"/>
      <c r="C489" s="203">
        <f t="shared" si="167"/>
        <v>0</v>
      </c>
      <c r="D489" s="204"/>
      <c r="E489" s="204"/>
      <c r="F489" s="207"/>
      <c r="G489" s="206"/>
      <c r="H489" s="207"/>
      <c r="I489" s="208" t="s">
        <v>125</v>
      </c>
      <c r="J489" s="208" t="s">
        <v>126</v>
      </c>
      <c r="K489" s="287"/>
      <c r="L489" s="288"/>
      <c r="M489" s="289"/>
      <c r="N489" s="257"/>
      <c r="O489" s="213"/>
      <c r="P489" s="214"/>
      <c r="Q489" s="214"/>
      <c r="R489" s="214"/>
      <c r="S489" s="214"/>
      <c r="T489" s="214"/>
      <c r="U489" s="215">
        <f t="shared" si="168"/>
        <v>0</v>
      </c>
      <c r="V489" s="216" t="str">
        <f t="shared" si="169"/>
        <v/>
      </c>
      <c r="W489" s="217" t="str">
        <f t="shared" si="170"/>
        <v/>
      </c>
      <c r="X489" s="218" t="s">
        <v>20</v>
      </c>
      <c r="Y489" s="219" t="str">
        <f t="shared" si="171"/>
        <v>0 um/Dia</v>
      </c>
      <c r="Z489" s="220" t="str">
        <f t="shared" si="172"/>
        <v xml:space="preserve"> um / HH</v>
      </c>
      <c r="AA489" s="221" t="str">
        <f t="shared" si="173"/>
        <v/>
      </c>
      <c r="AB489" s="222" t="str">
        <f t="shared" si="174"/>
        <v>0 um /HH</v>
      </c>
      <c r="AC489" s="223">
        <f t="shared" si="175"/>
        <v>0</v>
      </c>
      <c r="AD489" s="224"/>
      <c r="AE489" s="225"/>
      <c r="AF489" s="226">
        <f t="shared" si="176"/>
        <v>0</v>
      </c>
      <c r="AG489" s="227">
        <f t="shared" si="177"/>
        <v>0</v>
      </c>
      <c r="AH489" s="228" t="s">
        <v>25</v>
      </c>
      <c r="AI489" s="229" t="str">
        <f t="shared" si="197"/>
        <v>Extremamente Complexa</v>
      </c>
      <c r="AJ489" s="230" t="str">
        <f t="shared" si="198"/>
        <v>Normal</v>
      </c>
      <c r="AK489" s="231">
        <f t="shared" si="178"/>
        <v>0</v>
      </c>
      <c r="AL489" s="232" t="str">
        <f t="shared" si="179"/>
        <v/>
      </c>
      <c r="AM489" s="233" t="str">
        <f t="shared" si="180"/>
        <v/>
      </c>
      <c r="AN489" s="233" t="str">
        <f t="shared" si="181"/>
        <v/>
      </c>
      <c r="AO489" s="234">
        <f t="shared" si="182"/>
        <v>0</v>
      </c>
      <c r="AP489" s="235">
        <f t="shared" si="199"/>
        <v>1</v>
      </c>
      <c r="AQ489" s="235">
        <f t="shared" si="199"/>
        <v>1</v>
      </c>
      <c r="AR489" s="235">
        <f t="shared" si="183"/>
        <v>1</v>
      </c>
      <c r="AS489" s="252">
        <f t="shared" si="184"/>
        <v>0</v>
      </c>
      <c r="AT489" s="238">
        <f t="shared" si="185"/>
        <v>0</v>
      </c>
      <c r="AU489" s="239">
        <f t="shared" si="186"/>
        <v>0</v>
      </c>
      <c r="AV489" s="239">
        <f t="shared" si="187"/>
        <v>0</v>
      </c>
      <c r="AW489" s="239">
        <f t="shared" si="188"/>
        <v>0.05</v>
      </c>
      <c r="AX489" s="240">
        <f t="shared" si="189"/>
        <v>0</v>
      </c>
      <c r="AY489" s="241" t="str">
        <f t="shared" si="190"/>
        <v/>
      </c>
      <c r="AZ489" s="242" t="str">
        <f>IFERROR(VLOOKUP(M489,'[1]Base Brasil Obras'!$C$2:$F$485,4,0),"")</f>
        <v/>
      </c>
      <c r="BA489" s="243">
        <f t="shared" si="191"/>
        <v>0</v>
      </c>
      <c r="BB489" s="244">
        <f t="shared" si="192"/>
        <v>0</v>
      </c>
      <c r="BC489" s="244">
        <f t="shared" si="193"/>
        <v>0.05</v>
      </c>
      <c r="BD489" s="245">
        <f t="shared" si="194"/>
        <v>0.95</v>
      </c>
      <c r="BE489" s="246">
        <f t="shared" si="195"/>
        <v>0</v>
      </c>
      <c r="BF489" s="247">
        <v>0</v>
      </c>
      <c r="BG489" s="248">
        <f t="shared" si="196"/>
        <v>1</v>
      </c>
      <c r="BH489" s="198"/>
      <c r="BI489" s="198"/>
      <c r="BJ489" s="199"/>
      <c r="BK489" s="200"/>
      <c r="BL489" s="200"/>
      <c r="BM489" s="200"/>
      <c r="BN489" s="200"/>
      <c r="BO489" s="10"/>
    </row>
    <row r="490" spans="1:67" ht="18" x14ac:dyDescent="0.25">
      <c r="A490" s="201">
        <v>382</v>
      </c>
      <c r="B490" s="286"/>
      <c r="C490" s="203">
        <f t="shared" si="167"/>
        <v>0</v>
      </c>
      <c r="D490" s="204"/>
      <c r="E490" s="204"/>
      <c r="F490" s="207"/>
      <c r="G490" s="206"/>
      <c r="H490" s="207"/>
      <c r="I490" s="208" t="s">
        <v>125</v>
      </c>
      <c r="J490" s="208" t="s">
        <v>126</v>
      </c>
      <c r="K490" s="287"/>
      <c r="L490" s="288"/>
      <c r="M490" s="289"/>
      <c r="N490" s="257"/>
      <c r="O490" s="213"/>
      <c r="P490" s="214"/>
      <c r="Q490" s="214"/>
      <c r="R490" s="214"/>
      <c r="S490" s="214"/>
      <c r="T490" s="214"/>
      <c r="U490" s="215">
        <f t="shared" si="168"/>
        <v>0</v>
      </c>
      <c r="V490" s="216" t="str">
        <f t="shared" si="169"/>
        <v/>
      </c>
      <c r="W490" s="217" t="str">
        <f t="shared" si="170"/>
        <v/>
      </c>
      <c r="X490" s="218" t="s">
        <v>20</v>
      </c>
      <c r="Y490" s="219" t="str">
        <f t="shared" si="171"/>
        <v>0 um/Dia</v>
      </c>
      <c r="Z490" s="220" t="str">
        <f t="shared" si="172"/>
        <v xml:space="preserve"> um / HH</v>
      </c>
      <c r="AA490" s="221" t="str">
        <f t="shared" si="173"/>
        <v/>
      </c>
      <c r="AB490" s="222" t="str">
        <f t="shared" si="174"/>
        <v>0 um /HH</v>
      </c>
      <c r="AC490" s="223">
        <f t="shared" si="175"/>
        <v>0</v>
      </c>
      <c r="AD490" s="224"/>
      <c r="AE490" s="225"/>
      <c r="AF490" s="226">
        <f t="shared" si="176"/>
        <v>0</v>
      </c>
      <c r="AG490" s="227">
        <f t="shared" si="177"/>
        <v>0</v>
      </c>
      <c r="AH490" s="228" t="s">
        <v>25</v>
      </c>
      <c r="AI490" s="229" t="str">
        <f t="shared" si="197"/>
        <v>Extremamente Complexa</v>
      </c>
      <c r="AJ490" s="230" t="str">
        <f t="shared" si="198"/>
        <v>Normal</v>
      </c>
      <c r="AK490" s="231">
        <f t="shared" si="178"/>
        <v>0</v>
      </c>
      <c r="AL490" s="232" t="str">
        <f t="shared" si="179"/>
        <v/>
      </c>
      <c r="AM490" s="233" t="str">
        <f t="shared" si="180"/>
        <v/>
      </c>
      <c r="AN490" s="233" t="str">
        <f t="shared" si="181"/>
        <v/>
      </c>
      <c r="AO490" s="234">
        <f t="shared" si="182"/>
        <v>0</v>
      </c>
      <c r="AP490" s="235">
        <f t="shared" ref="AP490:AQ565" si="200">IFERROR(VLOOKUP(I490,$J$1070:$K$1089,2,1),0)</f>
        <v>1</v>
      </c>
      <c r="AQ490" s="235">
        <f t="shared" si="200"/>
        <v>1</v>
      </c>
      <c r="AR490" s="236">
        <f t="shared" si="183"/>
        <v>1</v>
      </c>
      <c r="AS490" s="251">
        <f t="shared" si="184"/>
        <v>0</v>
      </c>
      <c r="AT490" s="238">
        <f t="shared" si="185"/>
        <v>0</v>
      </c>
      <c r="AU490" s="239">
        <f t="shared" si="186"/>
        <v>0</v>
      </c>
      <c r="AV490" s="239">
        <f t="shared" si="187"/>
        <v>0</v>
      </c>
      <c r="AW490" s="239">
        <f t="shared" si="188"/>
        <v>0.05</v>
      </c>
      <c r="AX490" s="240">
        <f t="shared" si="189"/>
        <v>0</v>
      </c>
      <c r="AY490" s="241" t="str">
        <f t="shared" si="190"/>
        <v/>
      </c>
      <c r="AZ490" s="242" t="str">
        <f>IFERROR(VLOOKUP(M490,'[1]Base Brasil Obras'!$C$2:$F$485,4,0),"")</f>
        <v/>
      </c>
      <c r="BA490" s="243">
        <f t="shared" si="191"/>
        <v>0</v>
      </c>
      <c r="BB490" s="244">
        <f t="shared" si="192"/>
        <v>0</v>
      </c>
      <c r="BC490" s="244">
        <f t="shared" si="193"/>
        <v>0.05</v>
      </c>
      <c r="BD490" s="245">
        <f t="shared" si="194"/>
        <v>0.95</v>
      </c>
      <c r="BE490" s="246">
        <f t="shared" si="195"/>
        <v>0</v>
      </c>
      <c r="BF490" s="247">
        <v>0</v>
      </c>
      <c r="BG490" s="248">
        <f t="shared" si="196"/>
        <v>1</v>
      </c>
      <c r="BH490" s="198"/>
      <c r="BI490" s="198"/>
      <c r="BJ490" s="199"/>
      <c r="BK490" s="200"/>
      <c r="BL490" s="200"/>
      <c r="BM490" s="200"/>
      <c r="BN490" s="200"/>
      <c r="BO490" s="10"/>
    </row>
    <row r="491" spans="1:67" ht="18" x14ac:dyDescent="0.25">
      <c r="A491" s="201">
        <v>383</v>
      </c>
      <c r="B491" s="286"/>
      <c r="C491" s="203">
        <f t="shared" si="167"/>
        <v>0</v>
      </c>
      <c r="D491" s="204"/>
      <c r="E491" s="204"/>
      <c r="F491" s="207"/>
      <c r="G491" s="206"/>
      <c r="H491" s="207"/>
      <c r="I491" s="208" t="s">
        <v>125</v>
      </c>
      <c r="J491" s="208" t="s">
        <v>126</v>
      </c>
      <c r="K491" s="287"/>
      <c r="L491" s="288"/>
      <c r="M491" s="289"/>
      <c r="N491" s="257"/>
      <c r="O491" s="213"/>
      <c r="P491" s="214"/>
      <c r="Q491" s="214"/>
      <c r="R491" s="214"/>
      <c r="S491" s="214"/>
      <c r="T491" s="214"/>
      <c r="U491" s="215">
        <f t="shared" si="168"/>
        <v>0</v>
      </c>
      <c r="V491" s="216" t="str">
        <f t="shared" si="169"/>
        <v/>
      </c>
      <c r="W491" s="217" t="str">
        <f t="shared" si="170"/>
        <v/>
      </c>
      <c r="X491" s="218" t="s">
        <v>20</v>
      </c>
      <c r="Y491" s="219" t="str">
        <f t="shared" si="171"/>
        <v>0 um/Dia</v>
      </c>
      <c r="Z491" s="220" t="str">
        <f t="shared" si="172"/>
        <v xml:space="preserve"> um / HH</v>
      </c>
      <c r="AA491" s="221" t="str">
        <f t="shared" si="173"/>
        <v/>
      </c>
      <c r="AB491" s="222" t="str">
        <f t="shared" si="174"/>
        <v>0 um /HH</v>
      </c>
      <c r="AC491" s="223">
        <f t="shared" si="175"/>
        <v>0</v>
      </c>
      <c r="AD491" s="224"/>
      <c r="AE491" s="225"/>
      <c r="AF491" s="226">
        <f t="shared" si="176"/>
        <v>0</v>
      </c>
      <c r="AG491" s="227">
        <f t="shared" si="177"/>
        <v>0</v>
      </c>
      <c r="AH491" s="228" t="s">
        <v>25</v>
      </c>
      <c r="AI491" s="229" t="str">
        <f t="shared" si="197"/>
        <v>Extremamente Complexa</v>
      </c>
      <c r="AJ491" s="230" t="str">
        <f t="shared" si="198"/>
        <v>Normal</v>
      </c>
      <c r="AK491" s="231">
        <f t="shared" si="178"/>
        <v>0</v>
      </c>
      <c r="AL491" s="232" t="str">
        <f t="shared" si="179"/>
        <v/>
      </c>
      <c r="AM491" s="233" t="str">
        <f t="shared" si="180"/>
        <v/>
      </c>
      <c r="AN491" s="233" t="str">
        <f t="shared" si="181"/>
        <v/>
      </c>
      <c r="AO491" s="234">
        <f t="shared" si="182"/>
        <v>0</v>
      </c>
      <c r="AP491" s="235">
        <f t="shared" si="200"/>
        <v>1</v>
      </c>
      <c r="AQ491" s="235">
        <f t="shared" si="200"/>
        <v>1</v>
      </c>
      <c r="AR491" s="235">
        <f t="shared" si="183"/>
        <v>1</v>
      </c>
      <c r="AS491" s="252">
        <f t="shared" si="184"/>
        <v>0</v>
      </c>
      <c r="AT491" s="238">
        <f t="shared" si="185"/>
        <v>0</v>
      </c>
      <c r="AU491" s="239">
        <f t="shared" si="186"/>
        <v>0</v>
      </c>
      <c r="AV491" s="239">
        <f t="shared" si="187"/>
        <v>0</v>
      </c>
      <c r="AW491" s="239">
        <f t="shared" si="188"/>
        <v>0.05</v>
      </c>
      <c r="AX491" s="240">
        <f t="shared" si="189"/>
        <v>0</v>
      </c>
      <c r="AY491" s="241" t="str">
        <f t="shared" si="190"/>
        <v/>
      </c>
      <c r="AZ491" s="242" t="str">
        <f>IFERROR(VLOOKUP(M491,'[1]Base Brasil Obras'!$C$2:$F$485,4,0),"")</f>
        <v/>
      </c>
      <c r="BA491" s="243">
        <f t="shared" si="191"/>
        <v>0</v>
      </c>
      <c r="BB491" s="244">
        <f t="shared" si="192"/>
        <v>0</v>
      </c>
      <c r="BC491" s="244">
        <f t="shared" si="193"/>
        <v>0.05</v>
      </c>
      <c r="BD491" s="245">
        <f t="shared" si="194"/>
        <v>0.95</v>
      </c>
      <c r="BE491" s="246">
        <f t="shared" si="195"/>
        <v>0</v>
      </c>
      <c r="BF491" s="247">
        <v>0</v>
      </c>
      <c r="BG491" s="248">
        <f t="shared" si="196"/>
        <v>1</v>
      </c>
      <c r="BH491" s="198"/>
      <c r="BI491" s="198"/>
      <c r="BJ491" s="199"/>
      <c r="BK491" s="200"/>
      <c r="BL491" s="200"/>
      <c r="BM491" s="200"/>
      <c r="BN491" s="200"/>
      <c r="BO491" s="10"/>
    </row>
    <row r="492" spans="1:67" ht="18" x14ac:dyDescent="0.25">
      <c r="A492" s="201">
        <v>384</v>
      </c>
      <c r="B492" s="286"/>
      <c r="C492" s="203">
        <f t="shared" si="167"/>
        <v>0</v>
      </c>
      <c r="D492" s="204"/>
      <c r="E492" s="204"/>
      <c r="F492" s="207"/>
      <c r="G492" s="206"/>
      <c r="H492" s="207"/>
      <c r="I492" s="208" t="s">
        <v>125</v>
      </c>
      <c r="J492" s="208" t="s">
        <v>126</v>
      </c>
      <c r="K492" s="287"/>
      <c r="L492" s="288"/>
      <c r="M492" s="289"/>
      <c r="N492" s="257"/>
      <c r="O492" s="213"/>
      <c r="P492" s="214"/>
      <c r="Q492" s="214"/>
      <c r="R492" s="214"/>
      <c r="S492" s="214"/>
      <c r="T492" s="214"/>
      <c r="U492" s="215">
        <f t="shared" si="168"/>
        <v>0</v>
      </c>
      <c r="V492" s="216" t="str">
        <f t="shared" si="169"/>
        <v/>
      </c>
      <c r="W492" s="217" t="str">
        <f t="shared" si="170"/>
        <v/>
      </c>
      <c r="X492" s="218" t="s">
        <v>20</v>
      </c>
      <c r="Y492" s="219" t="str">
        <f t="shared" si="171"/>
        <v>0 um/Dia</v>
      </c>
      <c r="Z492" s="220" t="str">
        <f t="shared" si="172"/>
        <v xml:space="preserve"> um / HH</v>
      </c>
      <c r="AA492" s="221" t="str">
        <f t="shared" si="173"/>
        <v/>
      </c>
      <c r="AB492" s="222" t="str">
        <f t="shared" si="174"/>
        <v>0 um /HH</v>
      </c>
      <c r="AC492" s="223">
        <f t="shared" si="175"/>
        <v>0</v>
      </c>
      <c r="AD492" s="224"/>
      <c r="AE492" s="225"/>
      <c r="AF492" s="226">
        <f t="shared" si="176"/>
        <v>0</v>
      </c>
      <c r="AG492" s="227">
        <f t="shared" si="177"/>
        <v>0</v>
      </c>
      <c r="AH492" s="228" t="s">
        <v>25</v>
      </c>
      <c r="AI492" s="229" t="str">
        <f t="shared" si="197"/>
        <v>Extremamente Complexa</v>
      </c>
      <c r="AJ492" s="230" t="str">
        <f t="shared" si="198"/>
        <v>Normal</v>
      </c>
      <c r="AK492" s="231">
        <f t="shared" si="178"/>
        <v>0</v>
      </c>
      <c r="AL492" s="232" t="str">
        <f t="shared" si="179"/>
        <v/>
      </c>
      <c r="AM492" s="233" t="str">
        <f t="shared" si="180"/>
        <v/>
      </c>
      <c r="AN492" s="233" t="str">
        <f t="shared" si="181"/>
        <v/>
      </c>
      <c r="AO492" s="234">
        <f t="shared" si="182"/>
        <v>0</v>
      </c>
      <c r="AP492" s="235">
        <f t="shared" si="200"/>
        <v>1</v>
      </c>
      <c r="AQ492" s="235">
        <f t="shared" si="200"/>
        <v>1</v>
      </c>
      <c r="AR492" s="236">
        <f t="shared" si="183"/>
        <v>1</v>
      </c>
      <c r="AS492" s="251">
        <f t="shared" si="184"/>
        <v>0</v>
      </c>
      <c r="AT492" s="238">
        <f t="shared" si="185"/>
        <v>0</v>
      </c>
      <c r="AU492" s="239">
        <f t="shared" si="186"/>
        <v>0</v>
      </c>
      <c r="AV492" s="239">
        <f t="shared" si="187"/>
        <v>0</v>
      </c>
      <c r="AW492" s="239">
        <f t="shared" si="188"/>
        <v>0.05</v>
      </c>
      <c r="AX492" s="240">
        <f t="shared" si="189"/>
        <v>0</v>
      </c>
      <c r="AY492" s="241" t="str">
        <f t="shared" si="190"/>
        <v/>
      </c>
      <c r="AZ492" s="242" t="str">
        <f>IFERROR(VLOOKUP(M492,'[1]Base Brasil Obras'!$C$2:$F$485,4,0),"")</f>
        <v/>
      </c>
      <c r="BA492" s="243">
        <f t="shared" si="191"/>
        <v>0</v>
      </c>
      <c r="BB492" s="244">
        <f t="shared" si="192"/>
        <v>0</v>
      </c>
      <c r="BC492" s="244">
        <f t="shared" si="193"/>
        <v>0.05</v>
      </c>
      <c r="BD492" s="245">
        <f t="shared" si="194"/>
        <v>0.95</v>
      </c>
      <c r="BE492" s="246">
        <f t="shared" si="195"/>
        <v>0</v>
      </c>
      <c r="BF492" s="247">
        <v>0</v>
      </c>
      <c r="BG492" s="248">
        <f t="shared" si="196"/>
        <v>1</v>
      </c>
      <c r="BH492" s="198"/>
      <c r="BI492" s="198"/>
      <c r="BJ492" s="199"/>
      <c r="BK492" s="200"/>
      <c r="BL492" s="200"/>
      <c r="BM492" s="200"/>
      <c r="BN492" s="200"/>
      <c r="BO492" s="10"/>
    </row>
    <row r="493" spans="1:67" ht="18" x14ac:dyDescent="0.25">
      <c r="A493" s="201">
        <v>385</v>
      </c>
      <c r="B493" s="286"/>
      <c r="C493" s="203">
        <f t="shared" ref="C493:C568" si="201">IFERROR(AVERAGEIF(P493:T493,"&gt;0,1"),0)</f>
        <v>0</v>
      </c>
      <c r="D493" s="204"/>
      <c r="E493" s="204"/>
      <c r="F493" s="207"/>
      <c r="G493" s="206"/>
      <c r="H493" s="207"/>
      <c r="I493" s="208" t="s">
        <v>125</v>
      </c>
      <c r="J493" s="208" t="s">
        <v>126</v>
      </c>
      <c r="K493" s="287"/>
      <c r="L493" s="288"/>
      <c r="M493" s="289"/>
      <c r="N493" s="257"/>
      <c r="O493" s="213"/>
      <c r="P493" s="214"/>
      <c r="Q493" s="214"/>
      <c r="R493" s="214"/>
      <c r="S493" s="214"/>
      <c r="T493" s="214"/>
      <c r="U493" s="215">
        <f t="shared" ref="U493:U568" si="202">B493*(1-$U$107)</f>
        <v>0</v>
      </c>
      <c r="V493" s="216" t="str">
        <f t="shared" ref="V493:V568" si="203">IF(IFERROR((1-BA493/AX493),"")=0%,"",IFERROR((1-BA493/AX493),""))</f>
        <v/>
      </c>
      <c r="W493" s="217" t="str">
        <f t="shared" ref="W493:W568" si="204">IFERROR(AVERAGEIF(P493:U493,"&gt;0,1"),"")</f>
        <v/>
      </c>
      <c r="X493" s="218" t="s">
        <v>20</v>
      </c>
      <c r="Y493" s="219" t="str">
        <f t="shared" ref="Y493:Y568" si="205">_xlfn.CONCAT(AX493," ",X493,"/","Dia")</f>
        <v>0 um/Dia</v>
      </c>
      <c r="Z493" s="220" t="str">
        <f t="shared" ref="Z493:Z568" si="206">_xlfn.CONCAT(AA493," ",X493," ","/ HH")</f>
        <v xml:space="preserve"> um / HH</v>
      </c>
      <c r="AA493" s="221" t="str">
        <f t="shared" ref="AA493:AA568" si="207">IFERROR(IF(B493=0,"",ROUND(AZ493,2)),0)</f>
        <v/>
      </c>
      <c r="AB493" s="222" t="str">
        <f t="shared" ref="AB493:AB568" si="208">_xlfn.CONCAT(ROUND(AS493,1)," ",X493," /","HH")</f>
        <v>0 um /HH</v>
      </c>
      <c r="AC493" s="223">
        <f t="shared" ref="AC493:AC568" si="209">AD493+AE493</f>
        <v>0</v>
      </c>
      <c r="AD493" s="224"/>
      <c r="AE493" s="225"/>
      <c r="AF493" s="226">
        <f t="shared" ref="AF493:AF568" si="210">IFERROR(O493/AT493,0)/BG493</f>
        <v>0</v>
      </c>
      <c r="AG493" s="227">
        <f t="shared" ref="AG493:AG568" si="211">AF493*AC493*$Z$101*$Y$104</f>
        <v>0</v>
      </c>
      <c r="AH493" s="228" t="s">
        <v>25</v>
      </c>
      <c r="AI493" s="229" t="str">
        <f t="shared" si="197"/>
        <v>Extremamente Complexa</v>
      </c>
      <c r="AJ493" s="230" t="str">
        <f t="shared" si="198"/>
        <v>Normal</v>
      </c>
      <c r="AK493" s="231">
        <f t="shared" ref="AK493:AK568" si="212">(AG493*(1+0)/$Y$102)*$Y$104</f>
        <v>0</v>
      </c>
      <c r="AL493" s="232" t="str">
        <f t="shared" ref="AL493:AL568" si="213">IFERROR(AD493/AC493,"")</f>
        <v/>
      </c>
      <c r="AM493" s="233" t="str">
        <f t="shared" ref="AM493:AM568" si="214">IFERROR(AK493*AL493,"")</f>
        <v/>
      </c>
      <c r="AN493" s="233" t="str">
        <f t="shared" ref="AN493:AN568" si="215">IFERROR(AK493-AM493,"")</f>
        <v/>
      </c>
      <c r="AO493" s="234">
        <f t="shared" ref="AO493:AO568" si="216">IFERROR(AK493/$AK$107,"")</f>
        <v>0</v>
      </c>
      <c r="AP493" s="235">
        <f t="shared" si="200"/>
        <v>1</v>
      </c>
      <c r="AQ493" s="235">
        <f t="shared" si="200"/>
        <v>1</v>
      </c>
      <c r="AR493" s="235">
        <f t="shared" ref="AR493:AR568" si="217">IF(O493=0,1,IF(I493=0,AQ493,IF(J493=0,AP493,SMALL(AP493:AQ493,1))))</f>
        <v>1</v>
      </c>
      <c r="AS493" s="252">
        <f t="shared" ref="AS493:AS568" si="218">IFERROR(O493/AG493,0)</f>
        <v>0</v>
      </c>
      <c r="AT493" s="238">
        <f t="shared" ref="AT493:AT568" si="219">IF(X493=$X$5,1,AX493)</f>
        <v>0</v>
      </c>
      <c r="AU493" s="239">
        <f t="shared" ref="AU493:AU568" si="220">VLOOKUP(AH493,$AI$66:$AJ$69,2,0)</f>
        <v>0</v>
      </c>
      <c r="AV493" s="239">
        <f t="shared" ref="AV493:AV568" si="221">VLOOKUP(AJ493,$AJ$73:$AK$76,2,1)</f>
        <v>0</v>
      </c>
      <c r="AW493" s="239">
        <f t="shared" ref="AW493:AW568" si="222">VLOOKUP(AI493,$AI$83:$AJ$86,2,0)</f>
        <v>0.05</v>
      </c>
      <c r="AX493" s="240">
        <f t="shared" ref="AX493:AX568" si="223" xml:space="preserve">   ROUND((IFERROR(AVERAGEIF(P493:U493,"&gt;0,1"),0)*BD493),0)</f>
        <v>0</v>
      </c>
      <c r="AY493" s="241" t="str">
        <f t="shared" ref="AY493:AY568" si="224">IFERROR(ROUND(AS493,1)-AA493,"")</f>
        <v/>
      </c>
      <c r="AZ493" s="242" t="str">
        <f>IFERROR(VLOOKUP(M493,'[1]Base Brasil Obras'!$C$2:$F$485,4,0),"")</f>
        <v/>
      </c>
      <c r="BA493" s="243">
        <f t="shared" ref="BA493:BA568" si="225">B493*(1-$U$107)</f>
        <v>0</v>
      </c>
      <c r="BB493" s="244">
        <f t="shared" ref="BB493:BB568" si="226">1-AR493</f>
        <v>0</v>
      </c>
      <c r="BC493" s="244">
        <f t="shared" ref="BC493:BC568" si="227">AU493+AV493+AW493</f>
        <v>0.05</v>
      </c>
      <c r="BD493" s="245">
        <f t="shared" ref="BD493:BD568" si="228">1-(BB493+BC493)</f>
        <v>0.95</v>
      </c>
      <c r="BE493" s="246">
        <f t="shared" ref="BE493:BE568" si="229">IFERROR(B493/(AC493*$Z$101),0)</f>
        <v>0</v>
      </c>
      <c r="BF493" s="247">
        <v>0</v>
      </c>
      <c r="BG493" s="248">
        <f t="shared" ref="BG493:BG568" si="230">IFERROR(AC493/BF493,1)</f>
        <v>1</v>
      </c>
      <c r="BH493" s="198"/>
      <c r="BI493" s="198"/>
      <c r="BJ493" s="199"/>
      <c r="BK493" s="200"/>
      <c r="BL493" s="200"/>
      <c r="BM493" s="200"/>
      <c r="BN493" s="200"/>
      <c r="BO493" s="10"/>
    </row>
    <row r="494" spans="1:67" ht="18" x14ac:dyDescent="0.25">
      <c r="A494" s="201">
        <v>386</v>
      </c>
      <c r="B494" s="286"/>
      <c r="C494" s="203">
        <f t="shared" si="201"/>
        <v>0</v>
      </c>
      <c r="D494" s="204"/>
      <c r="E494" s="204"/>
      <c r="F494" s="207"/>
      <c r="G494" s="206"/>
      <c r="H494" s="207"/>
      <c r="I494" s="208" t="s">
        <v>125</v>
      </c>
      <c r="J494" s="208" t="s">
        <v>126</v>
      </c>
      <c r="K494" s="287"/>
      <c r="L494" s="288"/>
      <c r="M494" s="289"/>
      <c r="N494" s="257"/>
      <c r="O494" s="213"/>
      <c r="P494" s="214"/>
      <c r="Q494" s="214"/>
      <c r="R494" s="214"/>
      <c r="S494" s="214"/>
      <c r="T494" s="214"/>
      <c r="U494" s="215">
        <f t="shared" si="202"/>
        <v>0</v>
      </c>
      <c r="V494" s="216" t="str">
        <f t="shared" si="203"/>
        <v/>
      </c>
      <c r="W494" s="217" t="str">
        <f t="shared" si="204"/>
        <v/>
      </c>
      <c r="X494" s="218" t="s">
        <v>20</v>
      </c>
      <c r="Y494" s="219" t="str">
        <f t="shared" si="205"/>
        <v>0 um/Dia</v>
      </c>
      <c r="Z494" s="220" t="str">
        <f t="shared" si="206"/>
        <v xml:space="preserve"> um / HH</v>
      </c>
      <c r="AA494" s="221" t="str">
        <f t="shared" si="207"/>
        <v/>
      </c>
      <c r="AB494" s="222" t="str">
        <f t="shared" si="208"/>
        <v>0 um /HH</v>
      </c>
      <c r="AC494" s="223">
        <f t="shared" si="209"/>
        <v>0</v>
      </c>
      <c r="AD494" s="224"/>
      <c r="AE494" s="225"/>
      <c r="AF494" s="226">
        <f t="shared" si="210"/>
        <v>0</v>
      </c>
      <c r="AG494" s="227">
        <f t="shared" si="211"/>
        <v>0</v>
      </c>
      <c r="AH494" s="228" t="s">
        <v>25</v>
      </c>
      <c r="AI494" s="229" t="str">
        <f t="shared" si="197"/>
        <v>Extremamente Complexa</v>
      </c>
      <c r="AJ494" s="230" t="str">
        <f t="shared" si="198"/>
        <v>Normal</v>
      </c>
      <c r="AK494" s="231">
        <f t="shared" si="212"/>
        <v>0</v>
      </c>
      <c r="AL494" s="232" t="str">
        <f t="shared" si="213"/>
        <v/>
      </c>
      <c r="AM494" s="233" t="str">
        <f t="shared" si="214"/>
        <v/>
      </c>
      <c r="AN494" s="233" t="str">
        <f t="shared" si="215"/>
        <v/>
      </c>
      <c r="AO494" s="234">
        <f t="shared" si="216"/>
        <v>0</v>
      </c>
      <c r="AP494" s="235">
        <f t="shared" si="200"/>
        <v>1</v>
      </c>
      <c r="AQ494" s="235">
        <f t="shared" si="200"/>
        <v>1</v>
      </c>
      <c r="AR494" s="236">
        <f t="shared" si="217"/>
        <v>1</v>
      </c>
      <c r="AS494" s="251">
        <f t="shared" si="218"/>
        <v>0</v>
      </c>
      <c r="AT494" s="238">
        <f t="shared" si="219"/>
        <v>0</v>
      </c>
      <c r="AU494" s="239">
        <f t="shared" si="220"/>
        <v>0</v>
      </c>
      <c r="AV494" s="239">
        <f t="shared" si="221"/>
        <v>0</v>
      </c>
      <c r="AW494" s="239">
        <f t="shared" si="222"/>
        <v>0.05</v>
      </c>
      <c r="AX494" s="240">
        <f t="shared" si="223"/>
        <v>0</v>
      </c>
      <c r="AY494" s="241" t="str">
        <f t="shared" si="224"/>
        <v/>
      </c>
      <c r="AZ494" s="242" t="str">
        <f>IFERROR(VLOOKUP(M494,'[1]Base Brasil Obras'!$C$2:$F$485,4,0),"")</f>
        <v/>
      </c>
      <c r="BA494" s="243">
        <f t="shared" si="225"/>
        <v>0</v>
      </c>
      <c r="BB494" s="244">
        <f t="shared" si="226"/>
        <v>0</v>
      </c>
      <c r="BC494" s="244">
        <f t="shared" si="227"/>
        <v>0.05</v>
      </c>
      <c r="BD494" s="245">
        <f t="shared" si="228"/>
        <v>0.95</v>
      </c>
      <c r="BE494" s="246">
        <f t="shared" si="229"/>
        <v>0</v>
      </c>
      <c r="BF494" s="247">
        <v>0</v>
      </c>
      <c r="BG494" s="248">
        <f t="shared" si="230"/>
        <v>1</v>
      </c>
      <c r="BH494" s="198"/>
      <c r="BI494" s="198"/>
      <c r="BJ494" s="199"/>
      <c r="BK494" s="200"/>
      <c r="BL494" s="200"/>
      <c r="BM494" s="200"/>
      <c r="BN494" s="200"/>
      <c r="BO494" s="10"/>
    </row>
    <row r="495" spans="1:67" ht="18" x14ac:dyDescent="0.25">
      <c r="A495" s="201">
        <v>387</v>
      </c>
      <c r="B495" s="286"/>
      <c r="C495" s="203">
        <f t="shared" si="201"/>
        <v>0</v>
      </c>
      <c r="D495" s="204"/>
      <c r="E495" s="204"/>
      <c r="F495" s="207"/>
      <c r="G495" s="206"/>
      <c r="H495" s="207"/>
      <c r="I495" s="208" t="s">
        <v>125</v>
      </c>
      <c r="J495" s="208" t="s">
        <v>126</v>
      </c>
      <c r="K495" s="287"/>
      <c r="L495" s="288"/>
      <c r="M495" s="289"/>
      <c r="N495" s="257"/>
      <c r="O495" s="213"/>
      <c r="P495" s="214"/>
      <c r="Q495" s="214"/>
      <c r="R495" s="214"/>
      <c r="S495" s="214"/>
      <c r="T495" s="214"/>
      <c r="U495" s="215">
        <f t="shared" si="202"/>
        <v>0</v>
      </c>
      <c r="V495" s="216" t="str">
        <f t="shared" si="203"/>
        <v/>
      </c>
      <c r="W495" s="217" t="str">
        <f t="shared" si="204"/>
        <v/>
      </c>
      <c r="X495" s="218" t="s">
        <v>20</v>
      </c>
      <c r="Y495" s="219" t="str">
        <f t="shared" si="205"/>
        <v>0 um/Dia</v>
      </c>
      <c r="Z495" s="220" t="str">
        <f t="shared" si="206"/>
        <v xml:space="preserve"> um / HH</v>
      </c>
      <c r="AA495" s="221" t="str">
        <f t="shared" si="207"/>
        <v/>
      </c>
      <c r="AB495" s="222" t="str">
        <f t="shared" si="208"/>
        <v>0 um /HH</v>
      </c>
      <c r="AC495" s="223">
        <f t="shared" si="209"/>
        <v>0</v>
      </c>
      <c r="AD495" s="224"/>
      <c r="AE495" s="225"/>
      <c r="AF495" s="226">
        <f t="shared" si="210"/>
        <v>0</v>
      </c>
      <c r="AG495" s="227">
        <f t="shared" si="211"/>
        <v>0</v>
      </c>
      <c r="AH495" s="228" t="s">
        <v>25</v>
      </c>
      <c r="AI495" s="229" t="str">
        <f t="shared" si="197"/>
        <v>Extremamente Complexa</v>
      </c>
      <c r="AJ495" s="230" t="str">
        <f t="shared" si="198"/>
        <v>Normal</v>
      </c>
      <c r="AK495" s="231">
        <f t="shared" si="212"/>
        <v>0</v>
      </c>
      <c r="AL495" s="232" t="str">
        <f t="shared" si="213"/>
        <v/>
      </c>
      <c r="AM495" s="233" t="str">
        <f t="shared" si="214"/>
        <v/>
      </c>
      <c r="AN495" s="233" t="str">
        <f t="shared" si="215"/>
        <v/>
      </c>
      <c r="AO495" s="234">
        <f t="shared" si="216"/>
        <v>0</v>
      </c>
      <c r="AP495" s="235">
        <f t="shared" si="200"/>
        <v>1</v>
      </c>
      <c r="AQ495" s="235">
        <f t="shared" si="200"/>
        <v>1</v>
      </c>
      <c r="AR495" s="235">
        <f t="shared" si="217"/>
        <v>1</v>
      </c>
      <c r="AS495" s="252">
        <f t="shared" si="218"/>
        <v>0</v>
      </c>
      <c r="AT495" s="238">
        <f t="shared" si="219"/>
        <v>0</v>
      </c>
      <c r="AU495" s="239">
        <f t="shared" si="220"/>
        <v>0</v>
      </c>
      <c r="AV495" s="239">
        <f t="shared" si="221"/>
        <v>0</v>
      </c>
      <c r="AW495" s="239">
        <f t="shared" si="222"/>
        <v>0.05</v>
      </c>
      <c r="AX495" s="240">
        <f t="shared" si="223"/>
        <v>0</v>
      </c>
      <c r="AY495" s="241" t="str">
        <f t="shared" si="224"/>
        <v/>
      </c>
      <c r="AZ495" s="242" t="str">
        <f>IFERROR(VLOOKUP(M495,'[1]Base Brasil Obras'!$C$2:$F$485,4,0),"")</f>
        <v/>
      </c>
      <c r="BA495" s="243">
        <f t="shared" si="225"/>
        <v>0</v>
      </c>
      <c r="BB495" s="244">
        <f t="shared" si="226"/>
        <v>0</v>
      </c>
      <c r="BC495" s="244">
        <f t="shared" si="227"/>
        <v>0.05</v>
      </c>
      <c r="BD495" s="245">
        <f t="shared" si="228"/>
        <v>0.95</v>
      </c>
      <c r="BE495" s="246">
        <f t="shared" si="229"/>
        <v>0</v>
      </c>
      <c r="BF495" s="247">
        <v>0</v>
      </c>
      <c r="BG495" s="248">
        <f t="shared" si="230"/>
        <v>1</v>
      </c>
      <c r="BH495" s="198"/>
      <c r="BI495" s="198"/>
      <c r="BJ495" s="199"/>
      <c r="BK495" s="200"/>
      <c r="BL495" s="200"/>
      <c r="BM495" s="200"/>
      <c r="BN495" s="200"/>
      <c r="BO495" s="10"/>
    </row>
    <row r="496" spans="1:67" ht="18" x14ac:dyDescent="0.25">
      <c r="A496" s="201">
        <v>388</v>
      </c>
      <c r="B496" s="286"/>
      <c r="C496" s="203">
        <f t="shared" si="201"/>
        <v>0</v>
      </c>
      <c r="D496" s="204"/>
      <c r="E496" s="204"/>
      <c r="F496" s="207"/>
      <c r="G496" s="206"/>
      <c r="H496" s="207"/>
      <c r="I496" s="208" t="s">
        <v>125</v>
      </c>
      <c r="J496" s="208" t="s">
        <v>126</v>
      </c>
      <c r="K496" s="287"/>
      <c r="L496" s="288"/>
      <c r="M496" s="289"/>
      <c r="N496" s="257"/>
      <c r="O496" s="213"/>
      <c r="P496" s="214"/>
      <c r="Q496" s="214"/>
      <c r="R496" s="214"/>
      <c r="S496" s="214"/>
      <c r="T496" s="214"/>
      <c r="U496" s="215">
        <f t="shared" si="202"/>
        <v>0</v>
      </c>
      <c r="V496" s="216" t="str">
        <f t="shared" si="203"/>
        <v/>
      </c>
      <c r="W496" s="217" t="str">
        <f t="shared" si="204"/>
        <v/>
      </c>
      <c r="X496" s="218" t="s">
        <v>20</v>
      </c>
      <c r="Y496" s="219" t="str">
        <f t="shared" si="205"/>
        <v>0 um/Dia</v>
      </c>
      <c r="Z496" s="220" t="str">
        <f t="shared" si="206"/>
        <v xml:space="preserve"> um / HH</v>
      </c>
      <c r="AA496" s="221" t="str">
        <f t="shared" si="207"/>
        <v/>
      </c>
      <c r="AB496" s="222" t="str">
        <f t="shared" si="208"/>
        <v>0 um /HH</v>
      </c>
      <c r="AC496" s="223">
        <f t="shared" si="209"/>
        <v>0</v>
      </c>
      <c r="AD496" s="224"/>
      <c r="AE496" s="225"/>
      <c r="AF496" s="226">
        <f t="shared" si="210"/>
        <v>0</v>
      </c>
      <c r="AG496" s="227">
        <f t="shared" si="211"/>
        <v>0</v>
      </c>
      <c r="AH496" s="228" t="s">
        <v>25</v>
      </c>
      <c r="AI496" s="229" t="str">
        <f t="shared" si="197"/>
        <v>Extremamente Complexa</v>
      </c>
      <c r="AJ496" s="230" t="str">
        <f t="shared" si="198"/>
        <v>Normal</v>
      </c>
      <c r="AK496" s="231">
        <f t="shared" si="212"/>
        <v>0</v>
      </c>
      <c r="AL496" s="232" t="str">
        <f t="shared" si="213"/>
        <v/>
      </c>
      <c r="AM496" s="233" t="str">
        <f t="shared" si="214"/>
        <v/>
      </c>
      <c r="AN496" s="233" t="str">
        <f t="shared" si="215"/>
        <v/>
      </c>
      <c r="AO496" s="234">
        <f t="shared" si="216"/>
        <v>0</v>
      </c>
      <c r="AP496" s="235">
        <f t="shared" si="200"/>
        <v>1</v>
      </c>
      <c r="AQ496" s="235">
        <f t="shared" si="200"/>
        <v>1</v>
      </c>
      <c r="AR496" s="236">
        <f t="shared" si="217"/>
        <v>1</v>
      </c>
      <c r="AS496" s="251">
        <f t="shared" si="218"/>
        <v>0</v>
      </c>
      <c r="AT496" s="238">
        <f t="shared" si="219"/>
        <v>0</v>
      </c>
      <c r="AU496" s="239">
        <f t="shared" si="220"/>
        <v>0</v>
      </c>
      <c r="AV496" s="239">
        <f t="shared" si="221"/>
        <v>0</v>
      </c>
      <c r="AW496" s="239">
        <f t="shared" si="222"/>
        <v>0.05</v>
      </c>
      <c r="AX496" s="240">
        <f t="shared" si="223"/>
        <v>0</v>
      </c>
      <c r="AY496" s="241" t="str">
        <f t="shared" si="224"/>
        <v/>
      </c>
      <c r="AZ496" s="242" t="str">
        <f>IFERROR(VLOOKUP(M496,'[1]Base Brasil Obras'!$C$2:$F$485,4,0),"")</f>
        <v/>
      </c>
      <c r="BA496" s="243">
        <f t="shared" si="225"/>
        <v>0</v>
      </c>
      <c r="BB496" s="244">
        <f t="shared" si="226"/>
        <v>0</v>
      </c>
      <c r="BC496" s="244">
        <f t="shared" si="227"/>
        <v>0.05</v>
      </c>
      <c r="BD496" s="245">
        <f t="shared" si="228"/>
        <v>0.95</v>
      </c>
      <c r="BE496" s="246">
        <f t="shared" si="229"/>
        <v>0</v>
      </c>
      <c r="BF496" s="247">
        <v>0</v>
      </c>
      <c r="BG496" s="248">
        <f t="shared" si="230"/>
        <v>1</v>
      </c>
      <c r="BH496" s="198"/>
      <c r="BI496" s="198"/>
      <c r="BJ496" s="199"/>
      <c r="BK496" s="200"/>
      <c r="BL496" s="200"/>
      <c r="BM496" s="200"/>
      <c r="BN496" s="200"/>
      <c r="BO496" s="10"/>
    </row>
    <row r="497" spans="1:67" ht="18" x14ac:dyDescent="0.25">
      <c r="A497" s="201">
        <v>389</v>
      </c>
      <c r="B497" s="286"/>
      <c r="C497" s="203">
        <f t="shared" si="201"/>
        <v>0</v>
      </c>
      <c r="D497" s="204"/>
      <c r="E497" s="204"/>
      <c r="F497" s="207"/>
      <c r="G497" s="206"/>
      <c r="H497" s="207"/>
      <c r="I497" s="208" t="s">
        <v>125</v>
      </c>
      <c r="J497" s="208" t="s">
        <v>126</v>
      </c>
      <c r="K497" s="287"/>
      <c r="L497" s="288"/>
      <c r="M497" s="289"/>
      <c r="N497" s="257"/>
      <c r="O497" s="213"/>
      <c r="P497" s="214"/>
      <c r="Q497" s="214"/>
      <c r="R497" s="214"/>
      <c r="S497" s="214"/>
      <c r="T497" s="214"/>
      <c r="U497" s="215">
        <f t="shared" si="202"/>
        <v>0</v>
      </c>
      <c r="V497" s="216" t="str">
        <f t="shared" si="203"/>
        <v/>
      </c>
      <c r="W497" s="217" t="str">
        <f t="shared" si="204"/>
        <v/>
      </c>
      <c r="X497" s="218" t="s">
        <v>20</v>
      </c>
      <c r="Y497" s="219" t="str">
        <f t="shared" si="205"/>
        <v>0 um/Dia</v>
      </c>
      <c r="Z497" s="220" t="str">
        <f t="shared" si="206"/>
        <v xml:space="preserve"> um / HH</v>
      </c>
      <c r="AA497" s="221" t="str">
        <f t="shared" si="207"/>
        <v/>
      </c>
      <c r="AB497" s="222" t="str">
        <f t="shared" si="208"/>
        <v>0 um /HH</v>
      </c>
      <c r="AC497" s="223">
        <f t="shared" si="209"/>
        <v>0</v>
      </c>
      <c r="AD497" s="224"/>
      <c r="AE497" s="225"/>
      <c r="AF497" s="226">
        <f t="shared" si="210"/>
        <v>0</v>
      </c>
      <c r="AG497" s="227">
        <f t="shared" si="211"/>
        <v>0</v>
      </c>
      <c r="AH497" s="228" t="s">
        <v>25</v>
      </c>
      <c r="AI497" s="229" t="str">
        <f t="shared" si="197"/>
        <v>Extremamente Complexa</v>
      </c>
      <c r="AJ497" s="230" t="str">
        <f t="shared" si="198"/>
        <v>Normal</v>
      </c>
      <c r="AK497" s="231">
        <f t="shared" si="212"/>
        <v>0</v>
      </c>
      <c r="AL497" s="232" t="str">
        <f t="shared" si="213"/>
        <v/>
      </c>
      <c r="AM497" s="233" t="str">
        <f t="shared" si="214"/>
        <v/>
      </c>
      <c r="AN497" s="233" t="str">
        <f t="shared" si="215"/>
        <v/>
      </c>
      <c r="AO497" s="234">
        <f t="shared" si="216"/>
        <v>0</v>
      </c>
      <c r="AP497" s="235">
        <f t="shared" si="200"/>
        <v>1</v>
      </c>
      <c r="AQ497" s="235">
        <f t="shared" si="200"/>
        <v>1</v>
      </c>
      <c r="AR497" s="235">
        <f t="shared" si="217"/>
        <v>1</v>
      </c>
      <c r="AS497" s="252">
        <f t="shared" si="218"/>
        <v>0</v>
      </c>
      <c r="AT497" s="238">
        <f t="shared" si="219"/>
        <v>0</v>
      </c>
      <c r="AU497" s="239">
        <f t="shared" si="220"/>
        <v>0</v>
      </c>
      <c r="AV497" s="239">
        <f t="shared" si="221"/>
        <v>0</v>
      </c>
      <c r="AW497" s="239">
        <f t="shared" si="222"/>
        <v>0.05</v>
      </c>
      <c r="AX497" s="240">
        <f t="shared" si="223"/>
        <v>0</v>
      </c>
      <c r="AY497" s="241" t="str">
        <f t="shared" si="224"/>
        <v/>
      </c>
      <c r="AZ497" s="242" t="str">
        <f>IFERROR(VLOOKUP(M497,'[1]Base Brasil Obras'!$C$2:$F$485,4,0),"")</f>
        <v/>
      </c>
      <c r="BA497" s="243">
        <f t="shared" si="225"/>
        <v>0</v>
      </c>
      <c r="BB497" s="244">
        <f t="shared" si="226"/>
        <v>0</v>
      </c>
      <c r="BC497" s="244">
        <f t="shared" si="227"/>
        <v>0.05</v>
      </c>
      <c r="BD497" s="245">
        <f t="shared" si="228"/>
        <v>0.95</v>
      </c>
      <c r="BE497" s="246">
        <f t="shared" si="229"/>
        <v>0</v>
      </c>
      <c r="BF497" s="247">
        <v>0</v>
      </c>
      <c r="BG497" s="248">
        <f t="shared" si="230"/>
        <v>1</v>
      </c>
      <c r="BH497" s="198"/>
      <c r="BI497" s="198"/>
      <c r="BJ497" s="199"/>
      <c r="BK497" s="200"/>
      <c r="BL497" s="200"/>
      <c r="BM497" s="200"/>
      <c r="BN497" s="200"/>
      <c r="BO497" s="10"/>
    </row>
    <row r="498" spans="1:67" ht="18" x14ac:dyDescent="0.25">
      <c r="A498" s="201">
        <v>390</v>
      </c>
      <c r="B498" s="286"/>
      <c r="C498" s="203">
        <f t="shared" si="201"/>
        <v>0</v>
      </c>
      <c r="D498" s="204"/>
      <c r="E498" s="204"/>
      <c r="F498" s="207"/>
      <c r="G498" s="206"/>
      <c r="H498" s="207"/>
      <c r="I498" s="208" t="s">
        <v>125</v>
      </c>
      <c r="J498" s="208" t="s">
        <v>126</v>
      </c>
      <c r="K498" s="287"/>
      <c r="L498" s="288"/>
      <c r="M498" s="289"/>
      <c r="N498" s="257"/>
      <c r="O498" s="213"/>
      <c r="P498" s="214"/>
      <c r="Q498" s="214"/>
      <c r="R498" s="214"/>
      <c r="S498" s="214"/>
      <c r="T498" s="214"/>
      <c r="U498" s="215">
        <f t="shared" si="202"/>
        <v>0</v>
      </c>
      <c r="V498" s="216" t="str">
        <f t="shared" si="203"/>
        <v/>
      </c>
      <c r="W498" s="217" t="str">
        <f t="shared" si="204"/>
        <v/>
      </c>
      <c r="X498" s="218" t="s">
        <v>20</v>
      </c>
      <c r="Y498" s="219" t="str">
        <f t="shared" si="205"/>
        <v>0 um/Dia</v>
      </c>
      <c r="Z498" s="220" t="str">
        <f t="shared" si="206"/>
        <v xml:space="preserve"> um / HH</v>
      </c>
      <c r="AA498" s="221" t="str">
        <f t="shared" si="207"/>
        <v/>
      </c>
      <c r="AB498" s="222" t="str">
        <f t="shared" si="208"/>
        <v>0 um /HH</v>
      </c>
      <c r="AC498" s="223">
        <f t="shared" si="209"/>
        <v>0</v>
      </c>
      <c r="AD498" s="224"/>
      <c r="AE498" s="225"/>
      <c r="AF498" s="226">
        <f t="shared" si="210"/>
        <v>0</v>
      </c>
      <c r="AG498" s="227">
        <f t="shared" si="211"/>
        <v>0</v>
      </c>
      <c r="AH498" s="228" t="s">
        <v>25</v>
      </c>
      <c r="AI498" s="229" t="str">
        <f t="shared" si="197"/>
        <v>Extremamente Complexa</v>
      </c>
      <c r="AJ498" s="230" t="str">
        <f t="shared" si="198"/>
        <v>Normal</v>
      </c>
      <c r="AK498" s="231">
        <f t="shared" si="212"/>
        <v>0</v>
      </c>
      <c r="AL498" s="232" t="str">
        <f t="shared" si="213"/>
        <v/>
      </c>
      <c r="AM498" s="233" t="str">
        <f t="shared" si="214"/>
        <v/>
      </c>
      <c r="AN498" s="233" t="str">
        <f t="shared" si="215"/>
        <v/>
      </c>
      <c r="AO498" s="234">
        <f t="shared" si="216"/>
        <v>0</v>
      </c>
      <c r="AP498" s="235">
        <f t="shared" si="200"/>
        <v>1</v>
      </c>
      <c r="AQ498" s="235">
        <f t="shared" si="200"/>
        <v>1</v>
      </c>
      <c r="AR498" s="236">
        <f t="shared" si="217"/>
        <v>1</v>
      </c>
      <c r="AS498" s="251">
        <f t="shared" si="218"/>
        <v>0</v>
      </c>
      <c r="AT498" s="238">
        <f t="shared" si="219"/>
        <v>0</v>
      </c>
      <c r="AU498" s="239">
        <f t="shared" si="220"/>
        <v>0</v>
      </c>
      <c r="AV498" s="239">
        <f t="shared" si="221"/>
        <v>0</v>
      </c>
      <c r="AW498" s="239">
        <f t="shared" si="222"/>
        <v>0.05</v>
      </c>
      <c r="AX498" s="240">
        <f t="shared" si="223"/>
        <v>0</v>
      </c>
      <c r="AY498" s="241" t="str">
        <f t="shared" si="224"/>
        <v/>
      </c>
      <c r="AZ498" s="242" t="str">
        <f>IFERROR(VLOOKUP(M498,'[1]Base Brasil Obras'!$C$2:$F$485,4,0),"")</f>
        <v/>
      </c>
      <c r="BA498" s="243">
        <f t="shared" si="225"/>
        <v>0</v>
      </c>
      <c r="BB498" s="244">
        <f t="shared" si="226"/>
        <v>0</v>
      </c>
      <c r="BC498" s="244">
        <f t="shared" si="227"/>
        <v>0.05</v>
      </c>
      <c r="BD498" s="245">
        <f t="shared" si="228"/>
        <v>0.95</v>
      </c>
      <c r="BE498" s="246">
        <f t="shared" si="229"/>
        <v>0</v>
      </c>
      <c r="BF498" s="247">
        <v>0</v>
      </c>
      <c r="BG498" s="248">
        <f t="shared" si="230"/>
        <v>1</v>
      </c>
      <c r="BH498" s="198"/>
      <c r="BI498" s="198"/>
      <c r="BJ498" s="199"/>
      <c r="BK498" s="200"/>
      <c r="BL498" s="200"/>
      <c r="BM498" s="200"/>
      <c r="BN498" s="200"/>
      <c r="BO498" s="10"/>
    </row>
    <row r="499" spans="1:67" ht="18" x14ac:dyDescent="0.25">
      <c r="A499" s="201">
        <v>391</v>
      </c>
      <c r="B499" s="286"/>
      <c r="C499" s="203">
        <f t="shared" si="201"/>
        <v>0</v>
      </c>
      <c r="D499" s="204"/>
      <c r="E499" s="204"/>
      <c r="F499" s="207"/>
      <c r="G499" s="206"/>
      <c r="H499" s="207"/>
      <c r="I499" s="208" t="s">
        <v>125</v>
      </c>
      <c r="J499" s="208" t="s">
        <v>126</v>
      </c>
      <c r="K499" s="287"/>
      <c r="L499" s="288"/>
      <c r="M499" s="289"/>
      <c r="N499" s="257"/>
      <c r="O499" s="213"/>
      <c r="P499" s="214"/>
      <c r="Q499" s="214"/>
      <c r="R499" s="214"/>
      <c r="S499" s="214"/>
      <c r="T499" s="214"/>
      <c r="U499" s="215">
        <f t="shared" si="202"/>
        <v>0</v>
      </c>
      <c r="V499" s="216" t="str">
        <f t="shared" si="203"/>
        <v/>
      </c>
      <c r="W499" s="217" t="str">
        <f t="shared" si="204"/>
        <v/>
      </c>
      <c r="X499" s="218" t="s">
        <v>20</v>
      </c>
      <c r="Y499" s="219" t="str">
        <f t="shared" si="205"/>
        <v>0 um/Dia</v>
      </c>
      <c r="Z499" s="220" t="str">
        <f t="shared" si="206"/>
        <v xml:space="preserve"> um / HH</v>
      </c>
      <c r="AA499" s="221" t="str">
        <f t="shared" si="207"/>
        <v/>
      </c>
      <c r="AB499" s="222" t="str">
        <f t="shared" si="208"/>
        <v>0 um /HH</v>
      </c>
      <c r="AC499" s="223">
        <f t="shared" si="209"/>
        <v>0</v>
      </c>
      <c r="AD499" s="224"/>
      <c r="AE499" s="225"/>
      <c r="AF499" s="226">
        <f t="shared" si="210"/>
        <v>0</v>
      </c>
      <c r="AG499" s="227">
        <f t="shared" si="211"/>
        <v>0</v>
      </c>
      <c r="AH499" s="228" t="s">
        <v>25</v>
      </c>
      <c r="AI499" s="229" t="str">
        <f t="shared" si="197"/>
        <v>Extremamente Complexa</v>
      </c>
      <c r="AJ499" s="230" t="str">
        <f t="shared" si="198"/>
        <v>Normal</v>
      </c>
      <c r="AK499" s="231">
        <f t="shared" si="212"/>
        <v>0</v>
      </c>
      <c r="AL499" s="232" t="str">
        <f t="shared" si="213"/>
        <v/>
      </c>
      <c r="AM499" s="233" t="str">
        <f t="shared" si="214"/>
        <v/>
      </c>
      <c r="AN499" s="233" t="str">
        <f t="shared" si="215"/>
        <v/>
      </c>
      <c r="AO499" s="234">
        <f t="shared" si="216"/>
        <v>0</v>
      </c>
      <c r="AP499" s="235">
        <f t="shared" si="200"/>
        <v>1</v>
      </c>
      <c r="AQ499" s="235">
        <f t="shared" si="200"/>
        <v>1</v>
      </c>
      <c r="AR499" s="235">
        <f t="shared" si="217"/>
        <v>1</v>
      </c>
      <c r="AS499" s="252">
        <f t="shared" si="218"/>
        <v>0</v>
      </c>
      <c r="AT499" s="238">
        <f t="shared" si="219"/>
        <v>0</v>
      </c>
      <c r="AU499" s="239">
        <f t="shared" si="220"/>
        <v>0</v>
      </c>
      <c r="AV499" s="239">
        <f t="shared" si="221"/>
        <v>0</v>
      </c>
      <c r="AW499" s="239">
        <f t="shared" si="222"/>
        <v>0.05</v>
      </c>
      <c r="AX499" s="240">
        <f t="shared" si="223"/>
        <v>0</v>
      </c>
      <c r="AY499" s="241" t="str">
        <f t="shared" si="224"/>
        <v/>
      </c>
      <c r="AZ499" s="242" t="str">
        <f>IFERROR(VLOOKUP(M499,'[1]Base Brasil Obras'!$C$2:$F$485,4,0),"")</f>
        <v/>
      </c>
      <c r="BA499" s="243">
        <f t="shared" si="225"/>
        <v>0</v>
      </c>
      <c r="BB499" s="244">
        <f t="shared" si="226"/>
        <v>0</v>
      </c>
      <c r="BC499" s="244">
        <f t="shared" si="227"/>
        <v>0.05</v>
      </c>
      <c r="BD499" s="245">
        <f t="shared" si="228"/>
        <v>0.95</v>
      </c>
      <c r="BE499" s="246">
        <f t="shared" si="229"/>
        <v>0</v>
      </c>
      <c r="BF499" s="247">
        <v>0</v>
      </c>
      <c r="BG499" s="248">
        <f t="shared" si="230"/>
        <v>1</v>
      </c>
      <c r="BH499" s="198"/>
      <c r="BI499" s="198"/>
      <c r="BJ499" s="199"/>
      <c r="BK499" s="200"/>
      <c r="BL499" s="200"/>
      <c r="BM499" s="200"/>
      <c r="BN499" s="200"/>
      <c r="BO499" s="10"/>
    </row>
    <row r="500" spans="1:67" ht="18" x14ac:dyDescent="0.25">
      <c r="A500" s="201">
        <v>392</v>
      </c>
      <c r="B500" s="286"/>
      <c r="C500" s="203">
        <f t="shared" si="201"/>
        <v>0</v>
      </c>
      <c r="D500" s="204"/>
      <c r="E500" s="204"/>
      <c r="F500" s="207"/>
      <c r="G500" s="206"/>
      <c r="H500" s="207"/>
      <c r="I500" s="208" t="s">
        <v>125</v>
      </c>
      <c r="J500" s="208" t="s">
        <v>126</v>
      </c>
      <c r="K500" s="287"/>
      <c r="L500" s="288"/>
      <c r="M500" s="289"/>
      <c r="N500" s="257"/>
      <c r="O500" s="213"/>
      <c r="P500" s="214"/>
      <c r="Q500" s="214"/>
      <c r="R500" s="214"/>
      <c r="S500" s="214"/>
      <c r="T500" s="214"/>
      <c r="U500" s="215">
        <f t="shared" si="202"/>
        <v>0</v>
      </c>
      <c r="V500" s="216" t="str">
        <f t="shared" si="203"/>
        <v/>
      </c>
      <c r="W500" s="217" t="str">
        <f t="shared" si="204"/>
        <v/>
      </c>
      <c r="X500" s="218" t="s">
        <v>20</v>
      </c>
      <c r="Y500" s="219" t="str">
        <f t="shared" si="205"/>
        <v>0 um/Dia</v>
      </c>
      <c r="Z500" s="220" t="str">
        <f t="shared" si="206"/>
        <v xml:space="preserve"> um / HH</v>
      </c>
      <c r="AA500" s="221" t="str">
        <f t="shared" si="207"/>
        <v/>
      </c>
      <c r="AB500" s="222" t="str">
        <f t="shared" si="208"/>
        <v>0 um /HH</v>
      </c>
      <c r="AC500" s="223">
        <f t="shared" si="209"/>
        <v>0</v>
      </c>
      <c r="AD500" s="224"/>
      <c r="AE500" s="225"/>
      <c r="AF500" s="226">
        <f t="shared" si="210"/>
        <v>0</v>
      </c>
      <c r="AG500" s="227">
        <f t="shared" si="211"/>
        <v>0</v>
      </c>
      <c r="AH500" s="228" t="s">
        <v>25</v>
      </c>
      <c r="AI500" s="229" t="str">
        <f t="shared" si="197"/>
        <v>Extremamente Complexa</v>
      </c>
      <c r="AJ500" s="230" t="str">
        <f t="shared" si="198"/>
        <v>Normal</v>
      </c>
      <c r="AK500" s="231">
        <f t="shared" si="212"/>
        <v>0</v>
      </c>
      <c r="AL500" s="232" t="str">
        <f t="shared" si="213"/>
        <v/>
      </c>
      <c r="AM500" s="233" t="str">
        <f t="shared" si="214"/>
        <v/>
      </c>
      <c r="AN500" s="233" t="str">
        <f t="shared" si="215"/>
        <v/>
      </c>
      <c r="AO500" s="234">
        <f t="shared" si="216"/>
        <v>0</v>
      </c>
      <c r="AP500" s="235">
        <f t="shared" si="200"/>
        <v>1</v>
      </c>
      <c r="AQ500" s="235">
        <f t="shared" si="200"/>
        <v>1</v>
      </c>
      <c r="AR500" s="236">
        <f t="shared" si="217"/>
        <v>1</v>
      </c>
      <c r="AS500" s="251">
        <f t="shared" si="218"/>
        <v>0</v>
      </c>
      <c r="AT500" s="238">
        <f t="shared" si="219"/>
        <v>0</v>
      </c>
      <c r="AU500" s="239">
        <f t="shared" si="220"/>
        <v>0</v>
      </c>
      <c r="AV500" s="239">
        <f t="shared" si="221"/>
        <v>0</v>
      </c>
      <c r="AW500" s="239">
        <f t="shared" si="222"/>
        <v>0.05</v>
      </c>
      <c r="AX500" s="240">
        <f t="shared" si="223"/>
        <v>0</v>
      </c>
      <c r="AY500" s="241" t="str">
        <f t="shared" si="224"/>
        <v/>
      </c>
      <c r="AZ500" s="242" t="str">
        <f>IFERROR(VLOOKUP(M500,'[1]Base Brasil Obras'!$C$2:$F$485,4,0),"")</f>
        <v/>
      </c>
      <c r="BA500" s="243">
        <f t="shared" si="225"/>
        <v>0</v>
      </c>
      <c r="BB500" s="244">
        <f t="shared" si="226"/>
        <v>0</v>
      </c>
      <c r="BC500" s="244">
        <f t="shared" si="227"/>
        <v>0.05</v>
      </c>
      <c r="BD500" s="245">
        <f t="shared" si="228"/>
        <v>0.95</v>
      </c>
      <c r="BE500" s="246">
        <f t="shared" si="229"/>
        <v>0</v>
      </c>
      <c r="BF500" s="247">
        <v>0</v>
      </c>
      <c r="BG500" s="248">
        <f t="shared" si="230"/>
        <v>1</v>
      </c>
      <c r="BH500" s="198"/>
      <c r="BI500" s="198"/>
      <c r="BJ500" s="199"/>
      <c r="BK500" s="200"/>
      <c r="BL500" s="200"/>
      <c r="BM500" s="200"/>
      <c r="BN500" s="200"/>
      <c r="BO500" s="10"/>
    </row>
    <row r="501" spans="1:67" ht="18" x14ac:dyDescent="0.25">
      <c r="A501" s="201">
        <v>393</v>
      </c>
      <c r="B501" s="286"/>
      <c r="C501" s="203">
        <f t="shared" si="201"/>
        <v>0</v>
      </c>
      <c r="D501" s="204"/>
      <c r="E501" s="204"/>
      <c r="F501" s="207"/>
      <c r="G501" s="206"/>
      <c r="H501" s="207"/>
      <c r="I501" s="208" t="s">
        <v>125</v>
      </c>
      <c r="J501" s="208" t="s">
        <v>126</v>
      </c>
      <c r="K501" s="287"/>
      <c r="L501" s="288"/>
      <c r="M501" s="289"/>
      <c r="N501" s="257"/>
      <c r="O501" s="213"/>
      <c r="P501" s="214"/>
      <c r="Q501" s="214"/>
      <c r="R501" s="214"/>
      <c r="S501" s="214"/>
      <c r="T501" s="214"/>
      <c r="U501" s="215">
        <f t="shared" si="202"/>
        <v>0</v>
      </c>
      <c r="V501" s="216" t="str">
        <f t="shared" si="203"/>
        <v/>
      </c>
      <c r="W501" s="217" t="str">
        <f t="shared" si="204"/>
        <v/>
      </c>
      <c r="X501" s="218" t="s">
        <v>20</v>
      </c>
      <c r="Y501" s="219" t="str">
        <f t="shared" si="205"/>
        <v>0 um/Dia</v>
      </c>
      <c r="Z501" s="220" t="str">
        <f t="shared" si="206"/>
        <v xml:space="preserve"> um / HH</v>
      </c>
      <c r="AA501" s="221" t="str">
        <f t="shared" si="207"/>
        <v/>
      </c>
      <c r="AB501" s="222" t="str">
        <f t="shared" si="208"/>
        <v>0 um /HH</v>
      </c>
      <c r="AC501" s="223">
        <f t="shared" si="209"/>
        <v>0</v>
      </c>
      <c r="AD501" s="224"/>
      <c r="AE501" s="225"/>
      <c r="AF501" s="226">
        <f t="shared" si="210"/>
        <v>0</v>
      </c>
      <c r="AG501" s="227">
        <f t="shared" si="211"/>
        <v>0</v>
      </c>
      <c r="AH501" s="228" t="s">
        <v>25</v>
      </c>
      <c r="AI501" s="229" t="str">
        <f t="shared" si="197"/>
        <v>Extremamente Complexa</v>
      </c>
      <c r="AJ501" s="230" t="str">
        <f t="shared" si="198"/>
        <v>Normal</v>
      </c>
      <c r="AK501" s="231">
        <f t="shared" si="212"/>
        <v>0</v>
      </c>
      <c r="AL501" s="232" t="str">
        <f t="shared" si="213"/>
        <v/>
      </c>
      <c r="AM501" s="233" t="str">
        <f t="shared" si="214"/>
        <v/>
      </c>
      <c r="AN501" s="233" t="str">
        <f t="shared" si="215"/>
        <v/>
      </c>
      <c r="AO501" s="234">
        <f t="shared" si="216"/>
        <v>0</v>
      </c>
      <c r="AP501" s="235">
        <f t="shared" si="200"/>
        <v>1</v>
      </c>
      <c r="AQ501" s="235">
        <f t="shared" si="200"/>
        <v>1</v>
      </c>
      <c r="AR501" s="235">
        <f t="shared" si="217"/>
        <v>1</v>
      </c>
      <c r="AS501" s="252">
        <f t="shared" si="218"/>
        <v>0</v>
      </c>
      <c r="AT501" s="238">
        <f t="shared" si="219"/>
        <v>0</v>
      </c>
      <c r="AU501" s="239">
        <f t="shared" si="220"/>
        <v>0</v>
      </c>
      <c r="AV501" s="239">
        <f t="shared" si="221"/>
        <v>0</v>
      </c>
      <c r="AW501" s="239">
        <f t="shared" si="222"/>
        <v>0.05</v>
      </c>
      <c r="AX501" s="240">
        <f t="shared" si="223"/>
        <v>0</v>
      </c>
      <c r="AY501" s="241" t="str">
        <f t="shared" si="224"/>
        <v/>
      </c>
      <c r="AZ501" s="242" t="str">
        <f>IFERROR(VLOOKUP(M501,'[1]Base Brasil Obras'!$C$2:$F$485,4,0),"")</f>
        <v/>
      </c>
      <c r="BA501" s="243">
        <f t="shared" si="225"/>
        <v>0</v>
      </c>
      <c r="BB501" s="244">
        <f t="shared" si="226"/>
        <v>0</v>
      </c>
      <c r="BC501" s="244">
        <f t="shared" si="227"/>
        <v>0.05</v>
      </c>
      <c r="BD501" s="245">
        <f t="shared" si="228"/>
        <v>0.95</v>
      </c>
      <c r="BE501" s="246">
        <f t="shared" si="229"/>
        <v>0</v>
      </c>
      <c r="BF501" s="247">
        <v>0</v>
      </c>
      <c r="BG501" s="248">
        <f t="shared" si="230"/>
        <v>1</v>
      </c>
      <c r="BH501" s="198"/>
      <c r="BI501" s="198"/>
      <c r="BJ501" s="199"/>
      <c r="BK501" s="200"/>
      <c r="BL501" s="200"/>
      <c r="BM501" s="200"/>
      <c r="BN501" s="200"/>
      <c r="BO501" s="10"/>
    </row>
    <row r="502" spans="1:67" ht="18" x14ac:dyDescent="0.25">
      <c r="A502" s="201">
        <v>394</v>
      </c>
      <c r="B502" s="286"/>
      <c r="C502" s="203">
        <f t="shared" si="201"/>
        <v>0</v>
      </c>
      <c r="D502" s="204"/>
      <c r="E502" s="204"/>
      <c r="F502" s="207"/>
      <c r="G502" s="206"/>
      <c r="H502" s="207"/>
      <c r="I502" s="208" t="s">
        <v>125</v>
      </c>
      <c r="J502" s="208" t="s">
        <v>126</v>
      </c>
      <c r="K502" s="287"/>
      <c r="L502" s="288"/>
      <c r="M502" s="289"/>
      <c r="N502" s="257"/>
      <c r="O502" s="213"/>
      <c r="P502" s="214"/>
      <c r="Q502" s="214"/>
      <c r="R502" s="214"/>
      <c r="S502" s="214"/>
      <c r="T502" s="214"/>
      <c r="U502" s="215">
        <f t="shared" si="202"/>
        <v>0</v>
      </c>
      <c r="V502" s="216" t="str">
        <f t="shared" si="203"/>
        <v/>
      </c>
      <c r="W502" s="217" t="str">
        <f t="shared" si="204"/>
        <v/>
      </c>
      <c r="X502" s="218" t="s">
        <v>20</v>
      </c>
      <c r="Y502" s="219" t="str">
        <f t="shared" si="205"/>
        <v>0 um/Dia</v>
      </c>
      <c r="Z502" s="220" t="str">
        <f t="shared" si="206"/>
        <v xml:space="preserve"> um / HH</v>
      </c>
      <c r="AA502" s="221" t="str">
        <f t="shared" si="207"/>
        <v/>
      </c>
      <c r="AB502" s="222" t="str">
        <f t="shared" si="208"/>
        <v>0 um /HH</v>
      </c>
      <c r="AC502" s="223">
        <f t="shared" si="209"/>
        <v>0</v>
      </c>
      <c r="AD502" s="224"/>
      <c r="AE502" s="225"/>
      <c r="AF502" s="226">
        <f t="shared" si="210"/>
        <v>0</v>
      </c>
      <c r="AG502" s="227">
        <f t="shared" si="211"/>
        <v>0</v>
      </c>
      <c r="AH502" s="228" t="s">
        <v>25</v>
      </c>
      <c r="AI502" s="229" t="str">
        <f t="shared" si="197"/>
        <v>Extremamente Complexa</v>
      </c>
      <c r="AJ502" s="230" t="str">
        <f t="shared" si="198"/>
        <v>Normal</v>
      </c>
      <c r="AK502" s="231">
        <f t="shared" si="212"/>
        <v>0</v>
      </c>
      <c r="AL502" s="232" t="str">
        <f t="shared" si="213"/>
        <v/>
      </c>
      <c r="AM502" s="233" t="str">
        <f t="shared" si="214"/>
        <v/>
      </c>
      <c r="AN502" s="233" t="str">
        <f t="shared" si="215"/>
        <v/>
      </c>
      <c r="AO502" s="234">
        <f t="shared" si="216"/>
        <v>0</v>
      </c>
      <c r="AP502" s="235">
        <f t="shared" si="200"/>
        <v>1</v>
      </c>
      <c r="AQ502" s="235">
        <f t="shared" si="200"/>
        <v>1</v>
      </c>
      <c r="AR502" s="236">
        <f t="shared" si="217"/>
        <v>1</v>
      </c>
      <c r="AS502" s="251">
        <f t="shared" si="218"/>
        <v>0</v>
      </c>
      <c r="AT502" s="238">
        <f t="shared" si="219"/>
        <v>0</v>
      </c>
      <c r="AU502" s="239">
        <f t="shared" si="220"/>
        <v>0</v>
      </c>
      <c r="AV502" s="239">
        <f t="shared" si="221"/>
        <v>0</v>
      </c>
      <c r="AW502" s="239">
        <f t="shared" si="222"/>
        <v>0.05</v>
      </c>
      <c r="AX502" s="240">
        <f t="shared" si="223"/>
        <v>0</v>
      </c>
      <c r="AY502" s="241" t="str">
        <f t="shared" si="224"/>
        <v/>
      </c>
      <c r="AZ502" s="242" t="str">
        <f>IFERROR(VLOOKUP(M502,'[1]Base Brasil Obras'!$C$2:$F$485,4,0),"")</f>
        <v/>
      </c>
      <c r="BA502" s="243">
        <f t="shared" si="225"/>
        <v>0</v>
      </c>
      <c r="BB502" s="244">
        <f t="shared" si="226"/>
        <v>0</v>
      </c>
      <c r="BC502" s="244">
        <f t="shared" si="227"/>
        <v>0.05</v>
      </c>
      <c r="BD502" s="245">
        <f t="shared" si="228"/>
        <v>0.95</v>
      </c>
      <c r="BE502" s="246">
        <f t="shared" si="229"/>
        <v>0</v>
      </c>
      <c r="BF502" s="247">
        <v>0</v>
      </c>
      <c r="BG502" s="248">
        <f t="shared" si="230"/>
        <v>1</v>
      </c>
      <c r="BH502" s="198"/>
      <c r="BI502" s="198"/>
      <c r="BJ502" s="199"/>
      <c r="BK502" s="200"/>
      <c r="BL502" s="200"/>
      <c r="BM502" s="200"/>
      <c r="BN502" s="200"/>
      <c r="BO502" s="10"/>
    </row>
    <row r="503" spans="1:67" ht="18" x14ac:dyDescent="0.25">
      <c r="A503" s="201">
        <v>395</v>
      </c>
      <c r="B503" s="286"/>
      <c r="C503" s="203">
        <f t="shared" si="201"/>
        <v>0</v>
      </c>
      <c r="D503" s="204"/>
      <c r="E503" s="204"/>
      <c r="F503" s="207"/>
      <c r="G503" s="206"/>
      <c r="H503" s="207"/>
      <c r="I503" s="208" t="s">
        <v>125</v>
      </c>
      <c r="J503" s="208" t="s">
        <v>126</v>
      </c>
      <c r="K503" s="287"/>
      <c r="L503" s="288"/>
      <c r="M503" s="289"/>
      <c r="N503" s="257"/>
      <c r="O503" s="213"/>
      <c r="P503" s="214"/>
      <c r="Q503" s="214"/>
      <c r="R503" s="214"/>
      <c r="S503" s="214"/>
      <c r="T503" s="214"/>
      <c r="U503" s="215">
        <f t="shared" si="202"/>
        <v>0</v>
      </c>
      <c r="V503" s="216" t="str">
        <f t="shared" si="203"/>
        <v/>
      </c>
      <c r="W503" s="217" t="str">
        <f t="shared" si="204"/>
        <v/>
      </c>
      <c r="X503" s="218" t="s">
        <v>20</v>
      </c>
      <c r="Y503" s="219" t="str">
        <f t="shared" si="205"/>
        <v>0 um/Dia</v>
      </c>
      <c r="Z503" s="220" t="str">
        <f t="shared" si="206"/>
        <v xml:space="preserve"> um / HH</v>
      </c>
      <c r="AA503" s="221" t="str">
        <f t="shared" si="207"/>
        <v/>
      </c>
      <c r="AB503" s="222" t="str">
        <f t="shared" si="208"/>
        <v>0 um /HH</v>
      </c>
      <c r="AC503" s="223">
        <f t="shared" si="209"/>
        <v>0</v>
      </c>
      <c r="AD503" s="224"/>
      <c r="AE503" s="225"/>
      <c r="AF503" s="226">
        <f t="shared" si="210"/>
        <v>0</v>
      </c>
      <c r="AG503" s="227">
        <f t="shared" si="211"/>
        <v>0</v>
      </c>
      <c r="AH503" s="228" t="s">
        <v>25</v>
      </c>
      <c r="AI503" s="229" t="str">
        <f t="shared" si="197"/>
        <v>Extremamente Complexa</v>
      </c>
      <c r="AJ503" s="230" t="str">
        <f t="shared" si="198"/>
        <v>Normal</v>
      </c>
      <c r="AK503" s="231">
        <f t="shared" si="212"/>
        <v>0</v>
      </c>
      <c r="AL503" s="232" t="str">
        <f t="shared" si="213"/>
        <v/>
      </c>
      <c r="AM503" s="233" t="str">
        <f t="shared" si="214"/>
        <v/>
      </c>
      <c r="AN503" s="233" t="str">
        <f t="shared" si="215"/>
        <v/>
      </c>
      <c r="AO503" s="234">
        <f t="shared" si="216"/>
        <v>0</v>
      </c>
      <c r="AP503" s="235">
        <f t="shared" si="200"/>
        <v>1</v>
      </c>
      <c r="AQ503" s="235">
        <f t="shared" si="200"/>
        <v>1</v>
      </c>
      <c r="AR503" s="235">
        <f t="shared" si="217"/>
        <v>1</v>
      </c>
      <c r="AS503" s="252">
        <f t="shared" si="218"/>
        <v>0</v>
      </c>
      <c r="AT503" s="238">
        <f t="shared" si="219"/>
        <v>0</v>
      </c>
      <c r="AU503" s="239">
        <f t="shared" si="220"/>
        <v>0</v>
      </c>
      <c r="AV503" s="239">
        <f t="shared" si="221"/>
        <v>0</v>
      </c>
      <c r="AW503" s="239">
        <f t="shared" si="222"/>
        <v>0.05</v>
      </c>
      <c r="AX503" s="240">
        <f t="shared" si="223"/>
        <v>0</v>
      </c>
      <c r="AY503" s="241" t="str">
        <f t="shared" si="224"/>
        <v/>
      </c>
      <c r="AZ503" s="242" t="str">
        <f>IFERROR(VLOOKUP(M503,'[1]Base Brasil Obras'!$C$2:$F$485,4,0),"")</f>
        <v/>
      </c>
      <c r="BA503" s="243">
        <f t="shared" si="225"/>
        <v>0</v>
      </c>
      <c r="BB503" s="244">
        <f t="shared" si="226"/>
        <v>0</v>
      </c>
      <c r="BC503" s="244">
        <f t="shared" si="227"/>
        <v>0.05</v>
      </c>
      <c r="BD503" s="245">
        <f t="shared" si="228"/>
        <v>0.95</v>
      </c>
      <c r="BE503" s="246">
        <f t="shared" si="229"/>
        <v>0</v>
      </c>
      <c r="BF503" s="247">
        <v>0</v>
      </c>
      <c r="BG503" s="248">
        <f t="shared" si="230"/>
        <v>1</v>
      </c>
      <c r="BH503" s="198"/>
      <c r="BI503" s="198"/>
      <c r="BJ503" s="199"/>
      <c r="BK503" s="200"/>
      <c r="BL503" s="200"/>
      <c r="BM503" s="200"/>
      <c r="BN503" s="200"/>
      <c r="BO503" s="10"/>
    </row>
    <row r="504" spans="1:67" ht="18" x14ac:dyDescent="0.25">
      <c r="A504" s="201">
        <v>396</v>
      </c>
      <c r="B504" s="286"/>
      <c r="C504" s="203">
        <f t="shared" si="201"/>
        <v>0</v>
      </c>
      <c r="D504" s="204"/>
      <c r="E504" s="204"/>
      <c r="F504" s="207"/>
      <c r="G504" s="206"/>
      <c r="H504" s="207"/>
      <c r="I504" s="208" t="s">
        <v>125</v>
      </c>
      <c r="J504" s="208" t="s">
        <v>126</v>
      </c>
      <c r="K504" s="287"/>
      <c r="L504" s="288"/>
      <c r="M504" s="289"/>
      <c r="N504" s="257"/>
      <c r="O504" s="213"/>
      <c r="P504" s="214"/>
      <c r="Q504" s="214"/>
      <c r="R504" s="214"/>
      <c r="S504" s="214"/>
      <c r="T504" s="214"/>
      <c r="U504" s="215">
        <f t="shared" si="202"/>
        <v>0</v>
      </c>
      <c r="V504" s="216" t="str">
        <f t="shared" si="203"/>
        <v/>
      </c>
      <c r="W504" s="217" t="str">
        <f t="shared" si="204"/>
        <v/>
      </c>
      <c r="X504" s="218" t="s">
        <v>20</v>
      </c>
      <c r="Y504" s="219" t="str">
        <f t="shared" si="205"/>
        <v>0 um/Dia</v>
      </c>
      <c r="Z504" s="220" t="str">
        <f t="shared" si="206"/>
        <v xml:space="preserve"> um / HH</v>
      </c>
      <c r="AA504" s="221" t="str">
        <f t="shared" si="207"/>
        <v/>
      </c>
      <c r="AB504" s="222" t="str">
        <f t="shared" si="208"/>
        <v>0 um /HH</v>
      </c>
      <c r="AC504" s="223">
        <f t="shared" si="209"/>
        <v>0</v>
      </c>
      <c r="AD504" s="224"/>
      <c r="AE504" s="225"/>
      <c r="AF504" s="226">
        <f t="shared" si="210"/>
        <v>0</v>
      </c>
      <c r="AG504" s="227">
        <f t="shared" si="211"/>
        <v>0</v>
      </c>
      <c r="AH504" s="228" t="s">
        <v>25</v>
      </c>
      <c r="AI504" s="229" t="str">
        <f t="shared" si="197"/>
        <v>Extremamente Complexa</v>
      </c>
      <c r="AJ504" s="230" t="str">
        <f t="shared" si="198"/>
        <v>Normal</v>
      </c>
      <c r="AK504" s="231">
        <f t="shared" si="212"/>
        <v>0</v>
      </c>
      <c r="AL504" s="232" t="str">
        <f t="shared" si="213"/>
        <v/>
      </c>
      <c r="AM504" s="233" t="str">
        <f t="shared" si="214"/>
        <v/>
      </c>
      <c r="AN504" s="233" t="str">
        <f t="shared" si="215"/>
        <v/>
      </c>
      <c r="AO504" s="234">
        <f t="shared" si="216"/>
        <v>0</v>
      </c>
      <c r="AP504" s="235">
        <f t="shared" si="200"/>
        <v>1</v>
      </c>
      <c r="AQ504" s="235">
        <f t="shared" si="200"/>
        <v>1</v>
      </c>
      <c r="AR504" s="236">
        <f t="shared" si="217"/>
        <v>1</v>
      </c>
      <c r="AS504" s="251">
        <f t="shared" si="218"/>
        <v>0</v>
      </c>
      <c r="AT504" s="238">
        <f t="shared" si="219"/>
        <v>0</v>
      </c>
      <c r="AU504" s="239">
        <f t="shared" si="220"/>
        <v>0</v>
      </c>
      <c r="AV504" s="239">
        <f t="shared" si="221"/>
        <v>0</v>
      </c>
      <c r="AW504" s="239">
        <f t="shared" si="222"/>
        <v>0.05</v>
      </c>
      <c r="AX504" s="240">
        <f t="shared" si="223"/>
        <v>0</v>
      </c>
      <c r="AY504" s="241" t="str">
        <f t="shared" si="224"/>
        <v/>
      </c>
      <c r="AZ504" s="242" t="str">
        <f>IFERROR(VLOOKUP(M504,'[1]Base Brasil Obras'!$C$2:$F$485,4,0),"")</f>
        <v/>
      </c>
      <c r="BA504" s="243">
        <f t="shared" si="225"/>
        <v>0</v>
      </c>
      <c r="BB504" s="244">
        <f t="shared" si="226"/>
        <v>0</v>
      </c>
      <c r="BC504" s="244">
        <f t="shared" si="227"/>
        <v>0.05</v>
      </c>
      <c r="BD504" s="245">
        <f t="shared" si="228"/>
        <v>0.95</v>
      </c>
      <c r="BE504" s="246">
        <f t="shared" si="229"/>
        <v>0</v>
      </c>
      <c r="BF504" s="247">
        <v>0</v>
      </c>
      <c r="BG504" s="248">
        <f t="shared" si="230"/>
        <v>1</v>
      </c>
      <c r="BH504" s="198"/>
      <c r="BI504" s="198"/>
      <c r="BJ504" s="199"/>
      <c r="BK504" s="200"/>
      <c r="BL504" s="200"/>
      <c r="BM504" s="200"/>
      <c r="BN504" s="200"/>
      <c r="BO504" s="10"/>
    </row>
    <row r="505" spans="1:67" ht="18" x14ac:dyDescent="0.25">
      <c r="A505" s="201">
        <v>397</v>
      </c>
      <c r="B505" s="286"/>
      <c r="C505" s="203">
        <f t="shared" si="201"/>
        <v>0</v>
      </c>
      <c r="D505" s="204"/>
      <c r="E505" s="204"/>
      <c r="F505" s="207"/>
      <c r="G505" s="206"/>
      <c r="H505" s="207"/>
      <c r="I505" s="208" t="s">
        <v>125</v>
      </c>
      <c r="J505" s="208" t="s">
        <v>126</v>
      </c>
      <c r="K505" s="287"/>
      <c r="L505" s="288"/>
      <c r="M505" s="289"/>
      <c r="N505" s="257"/>
      <c r="O505" s="213"/>
      <c r="P505" s="214"/>
      <c r="Q505" s="214"/>
      <c r="R505" s="214"/>
      <c r="S505" s="214"/>
      <c r="T505" s="214"/>
      <c r="U505" s="215">
        <f t="shared" si="202"/>
        <v>0</v>
      </c>
      <c r="V505" s="216" t="str">
        <f t="shared" si="203"/>
        <v/>
      </c>
      <c r="W505" s="217" t="str">
        <f t="shared" si="204"/>
        <v/>
      </c>
      <c r="X505" s="218" t="s">
        <v>20</v>
      </c>
      <c r="Y505" s="219" t="str">
        <f t="shared" si="205"/>
        <v>0 um/Dia</v>
      </c>
      <c r="Z505" s="220" t="str">
        <f t="shared" si="206"/>
        <v xml:space="preserve"> um / HH</v>
      </c>
      <c r="AA505" s="221" t="str">
        <f t="shared" si="207"/>
        <v/>
      </c>
      <c r="AB505" s="222" t="str">
        <f t="shared" si="208"/>
        <v>0 um /HH</v>
      </c>
      <c r="AC505" s="223">
        <f t="shared" si="209"/>
        <v>0</v>
      </c>
      <c r="AD505" s="224"/>
      <c r="AE505" s="225"/>
      <c r="AF505" s="226">
        <f t="shared" si="210"/>
        <v>0</v>
      </c>
      <c r="AG505" s="227">
        <f t="shared" si="211"/>
        <v>0</v>
      </c>
      <c r="AH505" s="228" t="s">
        <v>25</v>
      </c>
      <c r="AI505" s="229" t="str">
        <f t="shared" si="197"/>
        <v>Extremamente Complexa</v>
      </c>
      <c r="AJ505" s="230" t="str">
        <f t="shared" si="198"/>
        <v>Normal</v>
      </c>
      <c r="AK505" s="231">
        <f t="shared" si="212"/>
        <v>0</v>
      </c>
      <c r="AL505" s="232" t="str">
        <f t="shared" si="213"/>
        <v/>
      </c>
      <c r="AM505" s="233" t="str">
        <f t="shared" si="214"/>
        <v/>
      </c>
      <c r="AN505" s="233" t="str">
        <f t="shared" si="215"/>
        <v/>
      </c>
      <c r="AO505" s="234">
        <f t="shared" si="216"/>
        <v>0</v>
      </c>
      <c r="AP505" s="235">
        <f t="shared" si="200"/>
        <v>1</v>
      </c>
      <c r="AQ505" s="235">
        <f t="shared" si="200"/>
        <v>1</v>
      </c>
      <c r="AR505" s="235">
        <f t="shared" si="217"/>
        <v>1</v>
      </c>
      <c r="AS505" s="252">
        <f t="shared" si="218"/>
        <v>0</v>
      </c>
      <c r="AT505" s="238">
        <f t="shared" si="219"/>
        <v>0</v>
      </c>
      <c r="AU505" s="239">
        <f t="shared" si="220"/>
        <v>0</v>
      </c>
      <c r="AV505" s="239">
        <f t="shared" si="221"/>
        <v>0</v>
      </c>
      <c r="AW505" s="239">
        <f t="shared" si="222"/>
        <v>0.05</v>
      </c>
      <c r="AX505" s="240">
        <f t="shared" si="223"/>
        <v>0</v>
      </c>
      <c r="AY505" s="241" t="str">
        <f t="shared" si="224"/>
        <v/>
      </c>
      <c r="AZ505" s="242" t="str">
        <f>IFERROR(VLOOKUP(M505,'[1]Base Brasil Obras'!$C$2:$F$485,4,0),"")</f>
        <v/>
      </c>
      <c r="BA505" s="243">
        <f t="shared" si="225"/>
        <v>0</v>
      </c>
      <c r="BB505" s="244">
        <f t="shared" si="226"/>
        <v>0</v>
      </c>
      <c r="BC505" s="244">
        <f t="shared" si="227"/>
        <v>0.05</v>
      </c>
      <c r="BD505" s="245">
        <f t="shared" si="228"/>
        <v>0.95</v>
      </c>
      <c r="BE505" s="246">
        <f t="shared" si="229"/>
        <v>0</v>
      </c>
      <c r="BF505" s="247">
        <v>0</v>
      </c>
      <c r="BG505" s="248">
        <f t="shared" si="230"/>
        <v>1</v>
      </c>
      <c r="BH505" s="198"/>
      <c r="BI505" s="198"/>
      <c r="BJ505" s="199"/>
      <c r="BK505" s="200"/>
      <c r="BL505" s="200"/>
      <c r="BM505" s="200"/>
      <c r="BN505" s="200"/>
      <c r="BO505" s="10"/>
    </row>
    <row r="506" spans="1:67" ht="18" x14ac:dyDescent="0.25">
      <c r="A506" s="201">
        <v>398</v>
      </c>
      <c r="B506" s="286"/>
      <c r="C506" s="203">
        <f t="shared" si="201"/>
        <v>0</v>
      </c>
      <c r="D506" s="204"/>
      <c r="E506" s="204"/>
      <c r="F506" s="207"/>
      <c r="G506" s="206"/>
      <c r="H506" s="207"/>
      <c r="I506" s="208" t="s">
        <v>125</v>
      </c>
      <c r="J506" s="208" t="s">
        <v>126</v>
      </c>
      <c r="K506" s="287"/>
      <c r="L506" s="288"/>
      <c r="M506" s="289"/>
      <c r="N506" s="257"/>
      <c r="O506" s="213"/>
      <c r="P506" s="214"/>
      <c r="Q506" s="214"/>
      <c r="R506" s="214"/>
      <c r="S506" s="214"/>
      <c r="T506" s="214"/>
      <c r="U506" s="215">
        <f t="shared" si="202"/>
        <v>0</v>
      </c>
      <c r="V506" s="216" t="str">
        <f t="shared" si="203"/>
        <v/>
      </c>
      <c r="W506" s="217" t="str">
        <f t="shared" si="204"/>
        <v/>
      </c>
      <c r="X506" s="218" t="s">
        <v>20</v>
      </c>
      <c r="Y506" s="219" t="str">
        <f t="shared" si="205"/>
        <v>0 um/Dia</v>
      </c>
      <c r="Z506" s="220" t="str">
        <f t="shared" si="206"/>
        <v xml:space="preserve"> um / HH</v>
      </c>
      <c r="AA506" s="221" t="str">
        <f t="shared" si="207"/>
        <v/>
      </c>
      <c r="AB506" s="222" t="str">
        <f t="shared" si="208"/>
        <v>0 um /HH</v>
      </c>
      <c r="AC506" s="223">
        <f t="shared" si="209"/>
        <v>0</v>
      </c>
      <c r="AD506" s="224"/>
      <c r="AE506" s="225"/>
      <c r="AF506" s="226">
        <f t="shared" si="210"/>
        <v>0</v>
      </c>
      <c r="AG506" s="227">
        <f t="shared" si="211"/>
        <v>0</v>
      </c>
      <c r="AH506" s="228" t="s">
        <v>25</v>
      </c>
      <c r="AI506" s="229" t="str">
        <f t="shared" si="197"/>
        <v>Extremamente Complexa</v>
      </c>
      <c r="AJ506" s="230" t="str">
        <f t="shared" si="198"/>
        <v>Normal</v>
      </c>
      <c r="AK506" s="231">
        <f t="shared" si="212"/>
        <v>0</v>
      </c>
      <c r="AL506" s="232" t="str">
        <f t="shared" si="213"/>
        <v/>
      </c>
      <c r="AM506" s="233" t="str">
        <f t="shared" si="214"/>
        <v/>
      </c>
      <c r="AN506" s="233" t="str">
        <f t="shared" si="215"/>
        <v/>
      </c>
      <c r="AO506" s="234">
        <f t="shared" si="216"/>
        <v>0</v>
      </c>
      <c r="AP506" s="235">
        <f t="shared" si="200"/>
        <v>1</v>
      </c>
      <c r="AQ506" s="235">
        <f t="shared" si="200"/>
        <v>1</v>
      </c>
      <c r="AR506" s="236">
        <f t="shared" si="217"/>
        <v>1</v>
      </c>
      <c r="AS506" s="251">
        <f t="shared" si="218"/>
        <v>0</v>
      </c>
      <c r="AT506" s="238">
        <f t="shared" si="219"/>
        <v>0</v>
      </c>
      <c r="AU506" s="239">
        <f t="shared" si="220"/>
        <v>0</v>
      </c>
      <c r="AV506" s="239">
        <f t="shared" si="221"/>
        <v>0</v>
      </c>
      <c r="AW506" s="239">
        <f t="shared" si="222"/>
        <v>0.05</v>
      </c>
      <c r="AX506" s="240">
        <f t="shared" si="223"/>
        <v>0</v>
      </c>
      <c r="AY506" s="241" t="str">
        <f t="shared" si="224"/>
        <v/>
      </c>
      <c r="AZ506" s="242" t="str">
        <f>IFERROR(VLOOKUP(M506,'[1]Base Brasil Obras'!$C$2:$F$485,4,0),"")</f>
        <v/>
      </c>
      <c r="BA506" s="243">
        <f t="shared" si="225"/>
        <v>0</v>
      </c>
      <c r="BB506" s="244">
        <f t="shared" si="226"/>
        <v>0</v>
      </c>
      <c r="BC506" s="244">
        <f t="shared" si="227"/>
        <v>0.05</v>
      </c>
      <c r="BD506" s="245">
        <f t="shared" si="228"/>
        <v>0.95</v>
      </c>
      <c r="BE506" s="246">
        <f t="shared" si="229"/>
        <v>0</v>
      </c>
      <c r="BF506" s="247">
        <v>0</v>
      </c>
      <c r="BG506" s="248">
        <f t="shared" si="230"/>
        <v>1</v>
      </c>
      <c r="BH506" s="198"/>
      <c r="BI506" s="198"/>
      <c r="BJ506" s="199"/>
      <c r="BK506" s="200"/>
      <c r="BL506" s="200"/>
      <c r="BM506" s="200"/>
      <c r="BN506" s="200"/>
      <c r="BO506" s="10"/>
    </row>
    <row r="507" spans="1:67" ht="18" x14ac:dyDescent="0.25">
      <c r="A507" s="201">
        <v>399</v>
      </c>
      <c r="B507" s="286"/>
      <c r="C507" s="203">
        <f t="shared" si="201"/>
        <v>0</v>
      </c>
      <c r="D507" s="204"/>
      <c r="E507" s="204"/>
      <c r="F507" s="207"/>
      <c r="G507" s="206"/>
      <c r="H507" s="207"/>
      <c r="I507" s="208" t="s">
        <v>125</v>
      </c>
      <c r="J507" s="208" t="s">
        <v>126</v>
      </c>
      <c r="K507" s="287"/>
      <c r="L507" s="288"/>
      <c r="M507" s="289"/>
      <c r="N507" s="257"/>
      <c r="O507" s="213"/>
      <c r="P507" s="214"/>
      <c r="Q507" s="214"/>
      <c r="R507" s="214"/>
      <c r="S507" s="214"/>
      <c r="T507" s="214"/>
      <c r="U507" s="215">
        <f t="shared" si="202"/>
        <v>0</v>
      </c>
      <c r="V507" s="216" t="str">
        <f t="shared" si="203"/>
        <v/>
      </c>
      <c r="W507" s="217" t="str">
        <f t="shared" si="204"/>
        <v/>
      </c>
      <c r="X507" s="218" t="s">
        <v>20</v>
      </c>
      <c r="Y507" s="219" t="str">
        <f t="shared" si="205"/>
        <v>0 um/Dia</v>
      </c>
      <c r="Z507" s="220" t="str">
        <f t="shared" si="206"/>
        <v xml:space="preserve"> um / HH</v>
      </c>
      <c r="AA507" s="221" t="str">
        <f t="shared" si="207"/>
        <v/>
      </c>
      <c r="AB507" s="222" t="str">
        <f t="shared" si="208"/>
        <v>0 um /HH</v>
      </c>
      <c r="AC507" s="223">
        <f t="shared" si="209"/>
        <v>0</v>
      </c>
      <c r="AD507" s="224"/>
      <c r="AE507" s="225"/>
      <c r="AF507" s="226">
        <f t="shared" si="210"/>
        <v>0</v>
      </c>
      <c r="AG507" s="227">
        <f t="shared" si="211"/>
        <v>0</v>
      </c>
      <c r="AH507" s="228" t="s">
        <v>25</v>
      </c>
      <c r="AI507" s="229" t="str">
        <f t="shared" si="197"/>
        <v>Extremamente Complexa</v>
      </c>
      <c r="AJ507" s="230" t="str">
        <f t="shared" si="198"/>
        <v>Normal</v>
      </c>
      <c r="AK507" s="231">
        <f t="shared" si="212"/>
        <v>0</v>
      </c>
      <c r="AL507" s="232" t="str">
        <f t="shared" si="213"/>
        <v/>
      </c>
      <c r="AM507" s="233" t="str">
        <f t="shared" si="214"/>
        <v/>
      </c>
      <c r="AN507" s="233" t="str">
        <f t="shared" si="215"/>
        <v/>
      </c>
      <c r="AO507" s="234">
        <f t="shared" si="216"/>
        <v>0</v>
      </c>
      <c r="AP507" s="235">
        <f t="shared" si="200"/>
        <v>1</v>
      </c>
      <c r="AQ507" s="235">
        <f t="shared" si="200"/>
        <v>1</v>
      </c>
      <c r="AR507" s="235">
        <f t="shared" si="217"/>
        <v>1</v>
      </c>
      <c r="AS507" s="252">
        <f t="shared" si="218"/>
        <v>0</v>
      </c>
      <c r="AT507" s="238">
        <f t="shared" si="219"/>
        <v>0</v>
      </c>
      <c r="AU507" s="239">
        <f t="shared" si="220"/>
        <v>0</v>
      </c>
      <c r="AV507" s="239">
        <f t="shared" si="221"/>
        <v>0</v>
      </c>
      <c r="AW507" s="239">
        <f t="shared" si="222"/>
        <v>0.05</v>
      </c>
      <c r="AX507" s="240">
        <f t="shared" si="223"/>
        <v>0</v>
      </c>
      <c r="AY507" s="241" t="str">
        <f t="shared" si="224"/>
        <v/>
      </c>
      <c r="AZ507" s="242" t="str">
        <f>IFERROR(VLOOKUP(M507,'[1]Base Brasil Obras'!$C$2:$F$485,4,0),"")</f>
        <v/>
      </c>
      <c r="BA507" s="243">
        <f t="shared" si="225"/>
        <v>0</v>
      </c>
      <c r="BB507" s="244">
        <f t="shared" si="226"/>
        <v>0</v>
      </c>
      <c r="BC507" s="244">
        <f t="shared" si="227"/>
        <v>0.05</v>
      </c>
      <c r="BD507" s="245">
        <f t="shared" si="228"/>
        <v>0.95</v>
      </c>
      <c r="BE507" s="246">
        <f t="shared" si="229"/>
        <v>0</v>
      </c>
      <c r="BF507" s="247">
        <v>0</v>
      </c>
      <c r="BG507" s="248">
        <f t="shared" si="230"/>
        <v>1</v>
      </c>
      <c r="BH507" s="198"/>
      <c r="BI507" s="198"/>
      <c r="BJ507" s="199"/>
      <c r="BK507" s="200"/>
      <c r="BL507" s="200"/>
      <c r="BM507" s="200"/>
      <c r="BN507" s="200"/>
      <c r="BO507" s="10"/>
    </row>
    <row r="508" spans="1:67" ht="18.75" customHeight="1" x14ac:dyDescent="0.25">
      <c r="A508" s="201">
        <v>400</v>
      </c>
      <c r="B508" s="286"/>
      <c r="C508" s="203">
        <f t="shared" si="201"/>
        <v>0</v>
      </c>
      <c r="D508" s="204"/>
      <c r="E508" s="204"/>
      <c r="F508" s="207"/>
      <c r="G508" s="206"/>
      <c r="H508" s="207"/>
      <c r="I508" s="208" t="s">
        <v>125</v>
      </c>
      <c r="J508" s="208" t="s">
        <v>126</v>
      </c>
      <c r="K508" s="287"/>
      <c r="L508" s="288"/>
      <c r="M508" s="289"/>
      <c r="N508" s="257"/>
      <c r="O508" s="213"/>
      <c r="P508" s="214"/>
      <c r="Q508" s="214"/>
      <c r="R508" s="214"/>
      <c r="S508" s="214"/>
      <c r="T508" s="214"/>
      <c r="U508" s="215">
        <f t="shared" si="202"/>
        <v>0</v>
      </c>
      <c r="V508" s="216" t="str">
        <f t="shared" si="203"/>
        <v/>
      </c>
      <c r="W508" s="217" t="str">
        <f t="shared" si="204"/>
        <v/>
      </c>
      <c r="X508" s="218" t="s">
        <v>20</v>
      </c>
      <c r="Y508" s="219" t="str">
        <f t="shared" si="205"/>
        <v>0 um/Dia</v>
      </c>
      <c r="Z508" s="220" t="str">
        <f t="shared" si="206"/>
        <v xml:space="preserve"> um / HH</v>
      </c>
      <c r="AA508" s="221" t="str">
        <f t="shared" si="207"/>
        <v/>
      </c>
      <c r="AB508" s="222" t="str">
        <f t="shared" si="208"/>
        <v>0 um /HH</v>
      </c>
      <c r="AC508" s="223">
        <f t="shared" si="209"/>
        <v>0</v>
      </c>
      <c r="AD508" s="224"/>
      <c r="AE508" s="225"/>
      <c r="AF508" s="226">
        <f t="shared" si="210"/>
        <v>0</v>
      </c>
      <c r="AG508" s="227">
        <f t="shared" si="211"/>
        <v>0</v>
      </c>
      <c r="AH508" s="228" t="s">
        <v>25</v>
      </c>
      <c r="AI508" s="229" t="str">
        <f t="shared" si="197"/>
        <v>Extremamente Complexa</v>
      </c>
      <c r="AJ508" s="230" t="str">
        <f t="shared" si="198"/>
        <v>Normal</v>
      </c>
      <c r="AK508" s="231">
        <f t="shared" si="212"/>
        <v>0</v>
      </c>
      <c r="AL508" s="232" t="str">
        <f t="shared" si="213"/>
        <v/>
      </c>
      <c r="AM508" s="233" t="str">
        <f t="shared" si="214"/>
        <v/>
      </c>
      <c r="AN508" s="233" t="str">
        <f t="shared" si="215"/>
        <v/>
      </c>
      <c r="AO508" s="234">
        <f t="shared" si="216"/>
        <v>0</v>
      </c>
      <c r="AP508" s="235">
        <f t="shared" si="200"/>
        <v>1</v>
      </c>
      <c r="AQ508" s="235">
        <f t="shared" si="200"/>
        <v>1</v>
      </c>
      <c r="AR508" s="235">
        <f t="shared" si="217"/>
        <v>1</v>
      </c>
      <c r="AS508" s="252">
        <f t="shared" si="218"/>
        <v>0</v>
      </c>
      <c r="AT508" s="238">
        <f t="shared" si="219"/>
        <v>0</v>
      </c>
      <c r="AU508" s="239">
        <f t="shared" si="220"/>
        <v>0</v>
      </c>
      <c r="AV508" s="239">
        <f t="shared" si="221"/>
        <v>0</v>
      </c>
      <c r="AW508" s="239">
        <f t="shared" si="222"/>
        <v>0.05</v>
      </c>
      <c r="AX508" s="240">
        <f t="shared" si="223"/>
        <v>0</v>
      </c>
      <c r="AY508" s="241" t="str">
        <f t="shared" si="224"/>
        <v/>
      </c>
      <c r="AZ508" s="242" t="str">
        <f>IFERROR(VLOOKUP(M508,'[1]Base Brasil Obras'!$C$2:$F$485,4,0),"")</f>
        <v/>
      </c>
      <c r="BA508" s="243">
        <f t="shared" si="225"/>
        <v>0</v>
      </c>
      <c r="BB508" s="244">
        <f t="shared" si="226"/>
        <v>0</v>
      </c>
      <c r="BC508" s="244">
        <f t="shared" si="227"/>
        <v>0.05</v>
      </c>
      <c r="BD508" s="245">
        <f t="shared" si="228"/>
        <v>0.95</v>
      </c>
      <c r="BE508" s="246">
        <f t="shared" si="229"/>
        <v>0</v>
      </c>
      <c r="BF508" s="247">
        <v>0</v>
      </c>
      <c r="BG508" s="248">
        <f t="shared" si="230"/>
        <v>1</v>
      </c>
      <c r="BH508" s="198"/>
      <c r="BI508" s="198"/>
      <c r="BJ508" s="199"/>
      <c r="BK508" s="200"/>
      <c r="BL508" s="200"/>
      <c r="BM508" s="200"/>
      <c r="BN508" s="200"/>
      <c r="BO508" s="10"/>
    </row>
    <row r="509" spans="1:67" ht="18" x14ac:dyDescent="0.25">
      <c r="A509" s="201">
        <v>401</v>
      </c>
      <c r="B509" s="286"/>
      <c r="C509" s="203">
        <f t="shared" si="201"/>
        <v>0</v>
      </c>
      <c r="D509" s="204"/>
      <c r="E509" s="204"/>
      <c r="F509" s="207"/>
      <c r="G509" s="206"/>
      <c r="H509" s="207"/>
      <c r="I509" s="208" t="s">
        <v>125</v>
      </c>
      <c r="J509" s="208" t="s">
        <v>126</v>
      </c>
      <c r="K509" s="287"/>
      <c r="L509" s="288"/>
      <c r="M509" s="289"/>
      <c r="N509" s="257"/>
      <c r="O509" s="213"/>
      <c r="P509" s="214"/>
      <c r="Q509" s="214"/>
      <c r="R509" s="214"/>
      <c r="S509" s="214"/>
      <c r="T509" s="214"/>
      <c r="U509" s="215">
        <f t="shared" si="202"/>
        <v>0</v>
      </c>
      <c r="V509" s="216" t="str">
        <f t="shared" si="203"/>
        <v/>
      </c>
      <c r="W509" s="217" t="str">
        <f t="shared" si="204"/>
        <v/>
      </c>
      <c r="X509" s="218" t="s">
        <v>20</v>
      </c>
      <c r="Y509" s="219" t="str">
        <f t="shared" si="205"/>
        <v>0 um/Dia</v>
      </c>
      <c r="Z509" s="220" t="str">
        <f t="shared" si="206"/>
        <v xml:space="preserve"> um / HH</v>
      </c>
      <c r="AA509" s="221" t="str">
        <f t="shared" si="207"/>
        <v/>
      </c>
      <c r="AB509" s="222" t="str">
        <f t="shared" si="208"/>
        <v>0 um /HH</v>
      </c>
      <c r="AC509" s="223">
        <f t="shared" si="209"/>
        <v>0</v>
      </c>
      <c r="AD509" s="224"/>
      <c r="AE509" s="225"/>
      <c r="AF509" s="226">
        <f t="shared" si="210"/>
        <v>0</v>
      </c>
      <c r="AG509" s="227">
        <f t="shared" si="211"/>
        <v>0</v>
      </c>
      <c r="AH509" s="228" t="s">
        <v>25</v>
      </c>
      <c r="AI509" s="229" t="str">
        <f t="shared" si="197"/>
        <v>Extremamente Complexa</v>
      </c>
      <c r="AJ509" s="230" t="str">
        <f t="shared" si="198"/>
        <v>Normal</v>
      </c>
      <c r="AK509" s="231">
        <f t="shared" si="212"/>
        <v>0</v>
      </c>
      <c r="AL509" s="232" t="str">
        <f t="shared" si="213"/>
        <v/>
      </c>
      <c r="AM509" s="233" t="str">
        <f t="shared" si="214"/>
        <v/>
      </c>
      <c r="AN509" s="233" t="str">
        <f t="shared" si="215"/>
        <v/>
      </c>
      <c r="AO509" s="234">
        <f t="shared" si="216"/>
        <v>0</v>
      </c>
      <c r="AP509" s="235">
        <f t="shared" si="200"/>
        <v>1</v>
      </c>
      <c r="AQ509" s="235">
        <f t="shared" si="200"/>
        <v>1</v>
      </c>
      <c r="AR509" s="236">
        <f t="shared" si="217"/>
        <v>1</v>
      </c>
      <c r="AS509" s="251">
        <f t="shared" si="218"/>
        <v>0</v>
      </c>
      <c r="AT509" s="238">
        <f t="shared" si="219"/>
        <v>0</v>
      </c>
      <c r="AU509" s="239">
        <f t="shared" si="220"/>
        <v>0</v>
      </c>
      <c r="AV509" s="239">
        <f t="shared" si="221"/>
        <v>0</v>
      </c>
      <c r="AW509" s="239">
        <f t="shared" si="222"/>
        <v>0.05</v>
      </c>
      <c r="AX509" s="240">
        <f t="shared" si="223"/>
        <v>0</v>
      </c>
      <c r="AY509" s="241" t="str">
        <f t="shared" si="224"/>
        <v/>
      </c>
      <c r="AZ509" s="242" t="str">
        <f>IFERROR(VLOOKUP(M509,'[1]Base Brasil Obras'!$C$2:$F$485,4,0),"")</f>
        <v/>
      </c>
      <c r="BA509" s="243">
        <f t="shared" si="225"/>
        <v>0</v>
      </c>
      <c r="BB509" s="244">
        <f t="shared" si="226"/>
        <v>0</v>
      </c>
      <c r="BC509" s="244">
        <f t="shared" si="227"/>
        <v>0.05</v>
      </c>
      <c r="BD509" s="245">
        <f t="shared" si="228"/>
        <v>0.95</v>
      </c>
      <c r="BE509" s="246">
        <f t="shared" si="229"/>
        <v>0</v>
      </c>
      <c r="BF509" s="247">
        <v>0</v>
      </c>
      <c r="BG509" s="248">
        <f t="shared" si="230"/>
        <v>1</v>
      </c>
      <c r="BH509" s="198"/>
      <c r="BI509" s="198"/>
      <c r="BJ509" s="199"/>
      <c r="BK509" s="200"/>
      <c r="BL509" s="200"/>
      <c r="BM509" s="200"/>
      <c r="BN509" s="200"/>
      <c r="BO509" s="10"/>
    </row>
    <row r="510" spans="1:67" ht="18" customHeight="1" x14ac:dyDescent="0.25">
      <c r="A510" s="201">
        <v>402</v>
      </c>
      <c r="B510" s="286"/>
      <c r="C510" s="203">
        <f t="shared" si="201"/>
        <v>0</v>
      </c>
      <c r="D510" s="204"/>
      <c r="E510" s="204"/>
      <c r="F510" s="207"/>
      <c r="G510" s="206"/>
      <c r="H510" s="207"/>
      <c r="I510" s="208" t="s">
        <v>125</v>
      </c>
      <c r="J510" s="208" t="s">
        <v>126</v>
      </c>
      <c r="K510" s="287"/>
      <c r="L510" s="288"/>
      <c r="M510" s="289"/>
      <c r="N510" s="257"/>
      <c r="O510" s="213"/>
      <c r="P510" s="214"/>
      <c r="Q510" s="214"/>
      <c r="R510" s="214"/>
      <c r="S510" s="214"/>
      <c r="T510" s="214"/>
      <c r="U510" s="215">
        <f t="shared" si="202"/>
        <v>0</v>
      </c>
      <c r="V510" s="216" t="str">
        <f t="shared" si="203"/>
        <v/>
      </c>
      <c r="W510" s="217" t="str">
        <f t="shared" si="204"/>
        <v/>
      </c>
      <c r="X510" s="218" t="s">
        <v>20</v>
      </c>
      <c r="Y510" s="219" t="str">
        <f t="shared" si="205"/>
        <v>0 um/Dia</v>
      </c>
      <c r="Z510" s="220" t="str">
        <f t="shared" si="206"/>
        <v xml:space="preserve"> um / HH</v>
      </c>
      <c r="AA510" s="221" t="str">
        <f t="shared" si="207"/>
        <v/>
      </c>
      <c r="AB510" s="222" t="str">
        <f t="shared" si="208"/>
        <v>0 um /HH</v>
      </c>
      <c r="AC510" s="223">
        <f t="shared" si="209"/>
        <v>0</v>
      </c>
      <c r="AD510" s="224"/>
      <c r="AE510" s="225"/>
      <c r="AF510" s="226">
        <f t="shared" si="210"/>
        <v>0</v>
      </c>
      <c r="AG510" s="227">
        <f t="shared" si="211"/>
        <v>0</v>
      </c>
      <c r="AH510" s="228" t="s">
        <v>25</v>
      </c>
      <c r="AI510" s="229" t="str">
        <f t="shared" si="197"/>
        <v>Extremamente Complexa</v>
      </c>
      <c r="AJ510" s="230" t="str">
        <f t="shared" si="198"/>
        <v>Normal</v>
      </c>
      <c r="AK510" s="231">
        <f t="shared" si="212"/>
        <v>0</v>
      </c>
      <c r="AL510" s="232" t="str">
        <f t="shared" si="213"/>
        <v/>
      </c>
      <c r="AM510" s="233" t="str">
        <f t="shared" si="214"/>
        <v/>
      </c>
      <c r="AN510" s="233" t="str">
        <f t="shared" si="215"/>
        <v/>
      </c>
      <c r="AO510" s="234">
        <f t="shared" si="216"/>
        <v>0</v>
      </c>
      <c r="AP510" s="235">
        <f t="shared" si="200"/>
        <v>1</v>
      </c>
      <c r="AQ510" s="235">
        <f t="shared" si="200"/>
        <v>1</v>
      </c>
      <c r="AR510" s="235">
        <f t="shared" si="217"/>
        <v>1</v>
      </c>
      <c r="AS510" s="252">
        <f t="shared" si="218"/>
        <v>0</v>
      </c>
      <c r="AT510" s="238">
        <f t="shared" si="219"/>
        <v>0</v>
      </c>
      <c r="AU510" s="239">
        <f t="shared" si="220"/>
        <v>0</v>
      </c>
      <c r="AV510" s="239">
        <f t="shared" si="221"/>
        <v>0</v>
      </c>
      <c r="AW510" s="239">
        <f t="shared" si="222"/>
        <v>0.05</v>
      </c>
      <c r="AX510" s="240">
        <f t="shared" si="223"/>
        <v>0</v>
      </c>
      <c r="AY510" s="241" t="str">
        <f t="shared" si="224"/>
        <v/>
      </c>
      <c r="AZ510" s="242" t="str">
        <f>IFERROR(VLOOKUP(M510,'[1]Base Brasil Obras'!$C$2:$F$485,4,0),"")</f>
        <v/>
      </c>
      <c r="BA510" s="243">
        <f t="shared" si="225"/>
        <v>0</v>
      </c>
      <c r="BB510" s="244">
        <f t="shared" si="226"/>
        <v>0</v>
      </c>
      <c r="BC510" s="244">
        <f t="shared" si="227"/>
        <v>0.05</v>
      </c>
      <c r="BD510" s="245">
        <f t="shared" si="228"/>
        <v>0.95</v>
      </c>
      <c r="BE510" s="246">
        <f t="shared" si="229"/>
        <v>0</v>
      </c>
      <c r="BF510" s="247">
        <v>0</v>
      </c>
      <c r="BG510" s="248">
        <f t="shared" si="230"/>
        <v>1</v>
      </c>
      <c r="BH510" s="198"/>
      <c r="BI510" s="198"/>
      <c r="BJ510" s="199"/>
      <c r="BK510" s="200"/>
      <c r="BL510" s="200"/>
      <c r="BM510" s="200"/>
      <c r="BN510" s="200"/>
      <c r="BO510" s="10"/>
    </row>
    <row r="511" spans="1:67" ht="18" x14ac:dyDescent="0.25">
      <c r="A511" s="201">
        <v>403</v>
      </c>
      <c r="B511" s="286"/>
      <c r="C511" s="203">
        <f t="shared" si="201"/>
        <v>0</v>
      </c>
      <c r="D511" s="204"/>
      <c r="E511" s="204"/>
      <c r="F511" s="207"/>
      <c r="G511" s="206"/>
      <c r="H511" s="207"/>
      <c r="I511" s="208" t="s">
        <v>125</v>
      </c>
      <c r="J511" s="208" t="s">
        <v>126</v>
      </c>
      <c r="K511" s="287"/>
      <c r="L511" s="288"/>
      <c r="M511" s="289"/>
      <c r="N511" s="257"/>
      <c r="O511" s="213"/>
      <c r="P511" s="214"/>
      <c r="Q511" s="214"/>
      <c r="R511" s="214"/>
      <c r="S511" s="214"/>
      <c r="T511" s="214"/>
      <c r="U511" s="215">
        <f t="shared" si="202"/>
        <v>0</v>
      </c>
      <c r="V511" s="216" t="str">
        <f t="shared" si="203"/>
        <v/>
      </c>
      <c r="W511" s="217" t="str">
        <f t="shared" si="204"/>
        <v/>
      </c>
      <c r="X511" s="218" t="s">
        <v>20</v>
      </c>
      <c r="Y511" s="219" t="str">
        <f t="shared" si="205"/>
        <v>0 um/Dia</v>
      </c>
      <c r="Z511" s="220" t="str">
        <f t="shared" si="206"/>
        <v xml:space="preserve"> um / HH</v>
      </c>
      <c r="AA511" s="221" t="str">
        <f t="shared" si="207"/>
        <v/>
      </c>
      <c r="AB511" s="222" t="str">
        <f t="shared" si="208"/>
        <v>0 um /HH</v>
      </c>
      <c r="AC511" s="223">
        <f t="shared" si="209"/>
        <v>0</v>
      </c>
      <c r="AD511" s="224"/>
      <c r="AE511" s="225"/>
      <c r="AF511" s="226">
        <f t="shared" si="210"/>
        <v>0</v>
      </c>
      <c r="AG511" s="227">
        <f t="shared" si="211"/>
        <v>0</v>
      </c>
      <c r="AH511" s="228" t="s">
        <v>25</v>
      </c>
      <c r="AI511" s="229" t="str">
        <f t="shared" si="197"/>
        <v>Extremamente Complexa</v>
      </c>
      <c r="AJ511" s="230" t="str">
        <f t="shared" si="198"/>
        <v>Normal</v>
      </c>
      <c r="AK511" s="231">
        <f t="shared" si="212"/>
        <v>0</v>
      </c>
      <c r="AL511" s="232" t="str">
        <f t="shared" si="213"/>
        <v/>
      </c>
      <c r="AM511" s="233" t="str">
        <f t="shared" si="214"/>
        <v/>
      </c>
      <c r="AN511" s="233" t="str">
        <f t="shared" si="215"/>
        <v/>
      </c>
      <c r="AO511" s="234">
        <f t="shared" si="216"/>
        <v>0</v>
      </c>
      <c r="AP511" s="235">
        <f t="shared" si="200"/>
        <v>1</v>
      </c>
      <c r="AQ511" s="235">
        <f t="shared" si="200"/>
        <v>1</v>
      </c>
      <c r="AR511" s="236">
        <f t="shared" si="217"/>
        <v>1</v>
      </c>
      <c r="AS511" s="251">
        <f t="shared" si="218"/>
        <v>0</v>
      </c>
      <c r="AT511" s="238">
        <f t="shared" si="219"/>
        <v>0</v>
      </c>
      <c r="AU511" s="239">
        <f t="shared" si="220"/>
        <v>0</v>
      </c>
      <c r="AV511" s="239">
        <f t="shared" si="221"/>
        <v>0</v>
      </c>
      <c r="AW511" s="239">
        <f t="shared" si="222"/>
        <v>0.05</v>
      </c>
      <c r="AX511" s="240">
        <f t="shared" si="223"/>
        <v>0</v>
      </c>
      <c r="AY511" s="241" t="str">
        <f t="shared" si="224"/>
        <v/>
      </c>
      <c r="AZ511" s="242" t="str">
        <f>IFERROR(VLOOKUP(M511,'[1]Base Brasil Obras'!$C$2:$F$485,4,0),"")</f>
        <v/>
      </c>
      <c r="BA511" s="243">
        <f t="shared" si="225"/>
        <v>0</v>
      </c>
      <c r="BB511" s="244">
        <f t="shared" si="226"/>
        <v>0</v>
      </c>
      <c r="BC511" s="244">
        <f t="shared" si="227"/>
        <v>0.05</v>
      </c>
      <c r="BD511" s="245">
        <f t="shared" si="228"/>
        <v>0.95</v>
      </c>
      <c r="BE511" s="246">
        <f t="shared" si="229"/>
        <v>0</v>
      </c>
      <c r="BF511" s="247">
        <v>0</v>
      </c>
      <c r="BG511" s="248">
        <f t="shared" si="230"/>
        <v>1</v>
      </c>
      <c r="BH511" s="198"/>
      <c r="BI511" s="198"/>
      <c r="BJ511" s="199"/>
      <c r="BK511" s="200"/>
      <c r="BL511" s="200"/>
      <c r="BM511" s="200"/>
      <c r="BN511" s="200"/>
      <c r="BO511" s="10"/>
    </row>
    <row r="512" spans="1:67" ht="18" x14ac:dyDescent="0.25">
      <c r="A512" s="201">
        <v>404</v>
      </c>
      <c r="B512" s="286"/>
      <c r="C512" s="203">
        <f t="shared" si="201"/>
        <v>0</v>
      </c>
      <c r="D512" s="204"/>
      <c r="E512" s="204"/>
      <c r="F512" s="207"/>
      <c r="G512" s="206"/>
      <c r="H512" s="207"/>
      <c r="I512" s="208" t="s">
        <v>125</v>
      </c>
      <c r="J512" s="208" t="s">
        <v>126</v>
      </c>
      <c r="K512" s="287"/>
      <c r="L512" s="288"/>
      <c r="M512" s="289"/>
      <c r="N512" s="257"/>
      <c r="O512" s="213"/>
      <c r="P512" s="214"/>
      <c r="Q512" s="214"/>
      <c r="R512" s="214"/>
      <c r="S512" s="214"/>
      <c r="T512" s="214"/>
      <c r="U512" s="215">
        <f t="shared" si="202"/>
        <v>0</v>
      </c>
      <c r="V512" s="216" t="str">
        <f t="shared" si="203"/>
        <v/>
      </c>
      <c r="W512" s="217" t="str">
        <f t="shared" si="204"/>
        <v/>
      </c>
      <c r="X512" s="218" t="s">
        <v>20</v>
      </c>
      <c r="Y512" s="219" t="str">
        <f t="shared" si="205"/>
        <v>0 um/Dia</v>
      </c>
      <c r="Z512" s="220" t="str">
        <f t="shared" si="206"/>
        <v xml:space="preserve"> um / HH</v>
      </c>
      <c r="AA512" s="221" t="str">
        <f t="shared" si="207"/>
        <v/>
      </c>
      <c r="AB512" s="222" t="str">
        <f t="shared" si="208"/>
        <v>0 um /HH</v>
      </c>
      <c r="AC512" s="223">
        <f t="shared" si="209"/>
        <v>0</v>
      </c>
      <c r="AD512" s="224"/>
      <c r="AE512" s="225"/>
      <c r="AF512" s="226">
        <f t="shared" si="210"/>
        <v>0</v>
      </c>
      <c r="AG512" s="227">
        <f t="shared" si="211"/>
        <v>0</v>
      </c>
      <c r="AH512" s="228" t="s">
        <v>25</v>
      </c>
      <c r="AI512" s="229" t="str">
        <f t="shared" si="197"/>
        <v>Extremamente Complexa</v>
      </c>
      <c r="AJ512" s="230" t="str">
        <f t="shared" si="198"/>
        <v>Normal</v>
      </c>
      <c r="AK512" s="231">
        <f t="shared" si="212"/>
        <v>0</v>
      </c>
      <c r="AL512" s="232" t="str">
        <f t="shared" si="213"/>
        <v/>
      </c>
      <c r="AM512" s="233" t="str">
        <f t="shared" si="214"/>
        <v/>
      </c>
      <c r="AN512" s="233" t="str">
        <f t="shared" si="215"/>
        <v/>
      </c>
      <c r="AO512" s="234">
        <f t="shared" si="216"/>
        <v>0</v>
      </c>
      <c r="AP512" s="235">
        <f t="shared" si="200"/>
        <v>1</v>
      </c>
      <c r="AQ512" s="235">
        <f t="shared" si="200"/>
        <v>1</v>
      </c>
      <c r="AR512" s="235">
        <f t="shared" si="217"/>
        <v>1</v>
      </c>
      <c r="AS512" s="252">
        <f t="shared" si="218"/>
        <v>0</v>
      </c>
      <c r="AT512" s="238">
        <f t="shared" si="219"/>
        <v>0</v>
      </c>
      <c r="AU512" s="239">
        <f t="shared" si="220"/>
        <v>0</v>
      </c>
      <c r="AV512" s="239">
        <f t="shared" si="221"/>
        <v>0</v>
      </c>
      <c r="AW512" s="239">
        <f t="shared" si="222"/>
        <v>0.05</v>
      </c>
      <c r="AX512" s="240">
        <f t="shared" si="223"/>
        <v>0</v>
      </c>
      <c r="AY512" s="241" t="str">
        <f t="shared" si="224"/>
        <v/>
      </c>
      <c r="AZ512" s="242" t="str">
        <f>IFERROR(VLOOKUP(M512,'[1]Base Brasil Obras'!$C$2:$F$485,4,0),"")</f>
        <v/>
      </c>
      <c r="BA512" s="243">
        <f t="shared" si="225"/>
        <v>0</v>
      </c>
      <c r="BB512" s="244">
        <f t="shared" si="226"/>
        <v>0</v>
      </c>
      <c r="BC512" s="244">
        <f t="shared" si="227"/>
        <v>0.05</v>
      </c>
      <c r="BD512" s="245">
        <f t="shared" si="228"/>
        <v>0.95</v>
      </c>
      <c r="BE512" s="246">
        <f t="shared" si="229"/>
        <v>0</v>
      </c>
      <c r="BF512" s="247">
        <v>0</v>
      </c>
      <c r="BG512" s="248">
        <f t="shared" si="230"/>
        <v>1</v>
      </c>
      <c r="BH512" s="198"/>
      <c r="BI512" s="198"/>
      <c r="BJ512" s="199"/>
      <c r="BK512" s="200"/>
      <c r="BL512" s="200"/>
      <c r="BM512" s="200"/>
      <c r="BN512" s="200"/>
      <c r="BO512" s="10"/>
    </row>
    <row r="513" spans="1:67" ht="18" x14ac:dyDescent="0.25">
      <c r="A513" s="201">
        <v>405</v>
      </c>
      <c r="B513" s="286"/>
      <c r="C513" s="203">
        <f t="shared" si="201"/>
        <v>0</v>
      </c>
      <c r="D513" s="204"/>
      <c r="E513" s="204"/>
      <c r="F513" s="207"/>
      <c r="G513" s="206"/>
      <c r="H513" s="207"/>
      <c r="I513" s="208" t="s">
        <v>125</v>
      </c>
      <c r="J513" s="208" t="s">
        <v>126</v>
      </c>
      <c r="K513" s="287"/>
      <c r="L513" s="288"/>
      <c r="M513" s="289"/>
      <c r="N513" s="257"/>
      <c r="O513" s="213"/>
      <c r="P513" s="214"/>
      <c r="Q513" s="214"/>
      <c r="R513" s="214"/>
      <c r="S513" s="214"/>
      <c r="T513" s="214"/>
      <c r="U513" s="215">
        <f t="shared" si="202"/>
        <v>0</v>
      </c>
      <c r="V513" s="216" t="str">
        <f t="shared" si="203"/>
        <v/>
      </c>
      <c r="W513" s="217" t="str">
        <f t="shared" si="204"/>
        <v/>
      </c>
      <c r="X513" s="218" t="s">
        <v>20</v>
      </c>
      <c r="Y513" s="219" t="str">
        <f t="shared" si="205"/>
        <v>0 um/Dia</v>
      </c>
      <c r="Z513" s="220" t="str">
        <f t="shared" si="206"/>
        <v xml:space="preserve"> um / HH</v>
      </c>
      <c r="AA513" s="221" t="str">
        <f t="shared" si="207"/>
        <v/>
      </c>
      <c r="AB513" s="222" t="str">
        <f t="shared" si="208"/>
        <v>0 um /HH</v>
      </c>
      <c r="AC513" s="223">
        <f t="shared" si="209"/>
        <v>0</v>
      </c>
      <c r="AD513" s="224"/>
      <c r="AE513" s="225"/>
      <c r="AF513" s="226">
        <f t="shared" si="210"/>
        <v>0</v>
      </c>
      <c r="AG513" s="227">
        <f t="shared" si="211"/>
        <v>0</v>
      </c>
      <c r="AH513" s="228" t="s">
        <v>25</v>
      </c>
      <c r="AI513" s="229" t="str">
        <f t="shared" si="197"/>
        <v>Extremamente Complexa</v>
      </c>
      <c r="AJ513" s="230" t="str">
        <f t="shared" si="198"/>
        <v>Normal</v>
      </c>
      <c r="AK513" s="231">
        <f t="shared" si="212"/>
        <v>0</v>
      </c>
      <c r="AL513" s="232" t="str">
        <f t="shared" si="213"/>
        <v/>
      </c>
      <c r="AM513" s="233" t="str">
        <f t="shared" si="214"/>
        <v/>
      </c>
      <c r="AN513" s="233" t="str">
        <f t="shared" si="215"/>
        <v/>
      </c>
      <c r="AO513" s="234">
        <f t="shared" si="216"/>
        <v>0</v>
      </c>
      <c r="AP513" s="235">
        <f t="shared" si="200"/>
        <v>1</v>
      </c>
      <c r="AQ513" s="235">
        <f t="shared" si="200"/>
        <v>1</v>
      </c>
      <c r="AR513" s="236">
        <f t="shared" si="217"/>
        <v>1</v>
      </c>
      <c r="AS513" s="251">
        <f t="shared" si="218"/>
        <v>0</v>
      </c>
      <c r="AT513" s="238">
        <f t="shared" si="219"/>
        <v>0</v>
      </c>
      <c r="AU513" s="239">
        <f t="shared" si="220"/>
        <v>0</v>
      </c>
      <c r="AV513" s="239">
        <f t="shared" si="221"/>
        <v>0</v>
      </c>
      <c r="AW513" s="239">
        <f t="shared" si="222"/>
        <v>0.05</v>
      </c>
      <c r="AX513" s="240">
        <f t="shared" si="223"/>
        <v>0</v>
      </c>
      <c r="AY513" s="241" t="str">
        <f t="shared" si="224"/>
        <v/>
      </c>
      <c r="AZ513" s="242" t="str">
        <f>IFERROR(VLOOKUP(M513,'[1]Base Brasil Obras'!$C$2:$F$485,4,0),"")</f>
        <v/>
      </c>
      <c r="BA513" s="243">
        <f t="shared" si="225"/>
        <v>0</v>
      </c>
      <c r="BB513" s="244">
        <f t="shared" si="226"/>
        <v>0</v>
      </c>
      <c r="BC513" s="244">
        <f t="shared" si="227"/>
        <v>0.05</v>
      </c>
      <c r="BD513" s="245">
        <f t="shared" si="228"/>
        <v>0.95</v>
      </c>
      <c r="BE513" s="246">
        <f t="shared" si="229"/>
        <v>0</v>
      </c>
      <c r="BF513" s="247">
        <v>0</v>
      </c>
      <c r="BG513" s="248">
        <f t="shared" si="230"/>
        <v>1</v>
      </c>
      <c r="BH513" s="198"/>
      <c r="BI513" s="198"/>
      <c r="BJ513" s="199"/>
      <c r="BK513" s="200"/>
      <c r="BL513" s="200"/>
      <c r="BM513" s="200"/>
      <c r="BN513" s="200"/>
      <c r="BO513" s="10"/>
    </row>
    <row r="514" spans="1:67" ht="18" x14ac:dyDescent="0.25">
      <c r="A514" s="201">
        <v>406</v>
      </c>
      <c r="B514" s="286"/>
      <c r="C514" s="203">
        <f t="shared" si="201"/>
        <v>0</v>
      </c>
      <c r="D514" s="204"/>
      <c r="E514" s="204"/>
      <c r="F514" s="207"/>
      <c r="G514" s="206"/>
      <c r="H514" s="207"/>
      <c r="I514" s="208" t="s">
        <v>125</v>
      </c>
      <c r="J514" s="208" t="s">
        <v>126</v>
      </c>
      <c r="K514" s="287"/>
      <c r="L514" s="288"/>
      <c r="M514" s="289"/>
      <c r="N514" s="257"/>
      <c r="O514" s="213"/>
      <c r="P514" s="214"/>
      <c r="Q514" s="214"/>
      <c r="R514" s="214"/>
      <c r="S514" s="214"/>
      <c r="T514" s="214"/>
      <c r="U514" s="215">
        <f t="shared" si="202"/>
        <v>0</v>
      </c>
      <c r="V514" s="216" t="str">
        <f t="shared" si="203"/>
        <v/>
      </c>
      <c r="W514" s="217" t="str">
        <f t="shared" si="204"/>
        <v/>
      </c>
      <c r="X514" s="218" t="s">
        <v>20</v>
      </c>
      <c r="Y514" s="219" t="str">
        <f t="shared" si="205"/>
        <v>0 um/Dia</v>
      </c>
      <c r="Z514" s="220" t="str">
        <f t="shared" si="206"/>
        <v xml:space="preserve"> um / HH</v>
      </c>
      <c r="AA514" s="221" t="str">
        <f t="shared" si="207"/>
        <v/>
      </c>
      <c r="AB514" s="222" t="str">
        <f t="shared" si="208"/>
        <v>0 um /HH</v>
      </c>
      <c r="AC514" s="223">
        <f t="shared" si="209"/>
        <v>0</v>
      </c>
      <c r="AD514" s="224"/>
      <c r="AE514" s="225"/>
      <c r="AF514" s="226">
        <f t="shared" si="210"/>
        <v>0</v>
      </c>
      <c r="AG514" s="227">
        <f t="shared" si="211"/>
        <v>0</v>
      </c>
      <c r="AH514" s="228" t="s">
        <v>25</v>
      </c>
      <c r="AI514" s="229" t="str">
        <f t="shared" si="197"/>
        <v>Extremamente Complexa</v>
      </c>
      <c r="AJ514" s="230" t="str">
        <f t="shared" si="198"/>
        <v>Normal</v>
      </c>
      <c r="AK514" s="231">
        <f t="shared" si="212"/>
        <v>0</v>
      </c>
      <c r="AL514" s="232" t="str">
        <f t="shared" si="213"/>
        <v/>
      </c>
      <c r="AM514" s="233" t="str">
        <f t="shared" si="214"/>
        <v/>
      </c>
      <c r="AN514" s="233" t="str">
        <f t="shared" si="215"/>
        <v/>
      </c>
      <c r="AO514" s="234">
        <f t="shared" si="216"/>
        <v>0</v>
      </c>
      <c r="AP514" s="235">
        <f t="shared" si="200"/>
        <v>1</v>
      </c>
      <c r="AQ514" s="235">
        <f t="shared" si="200"/>
        <v>1</v>
      </c>
      <c r="AR514" s="235">
        <f t="shared" si="217"/>
        <v>1</v>
      </c>
      <c r="AS514" s="252">
        <f t="shared" si="218"/>
        <v>0</v>
      </c>
      <c r="AT514" s="238">
        <f t="shared" si="219"/>
        <v>0</v>
      </c>
      <c r="AU514" s="239">
        <f t="shared" si="220"/>
        <v>0</v>
      </c>
      <c r="AV514" s="239">
        <f t="shared" si="221"/>
        <v>0</v>
      </c>
      <c r="AW514" s="239">
        <f t="shared" si="222"/>
        <v>0.05</v>
      </c>
      <c r="AX514" s="240">
        <f t="shared" si="223"/>
        <v>0</v>
      </c>
      <c r="AY514" s="241" t="str">
        <f t="shared" si="224"/>
        <v/>
      </c>
      <c r="AZ514" s="242" t="str">
        <f>IFERROR(VLOOKUP(M514,'[1]Base Brasil Obras'!$C$2:$F$485,4,0),"")</f>
        <v/>
      </c>
      <c r="BA514" s="243">
        <f t="shared" si="225"/>
        <v>0</v>
      </c>
      <c r="BB514" s="244">
        <f t="shared" si="226"/>
        <v>0</v>
      </c>
      <c r="BC514" s="244">
        <f t="shared" si="227"/>
        <v>0.05</v>
      </c>
      <c r="BD514" s="245">
        <f t="shared" si="228"/>
        <v>0.95</v>
      </c>
      <c r="BE514" s="246">
        <f t="shared" si="229"/>
        <v>0</v>
      </c>
      <c r="BF514" s="247">
        <v>0</v>
      </c>
      <c r="BG514" s="248">
        <f t="shared" si="230"/>
        <v>1</v>
      </c>
      <c r="BH514" s="198"/>
      <c r="BI514" s="198"/>
      <c r="BJ514" s="199"/>
      <c r="BK514" s="200"/>
      <c r="BL514" s="200"/>
      <c r="BM514" s="200"/>
      <c r="BN514" s="200"/>
      <c r="BO514" s="10"/>
    </row>
    <row r="515" spans="1:67" ht="18" x14ac:dyDescent="0.25">
      <c r="A515" s="201">
        <v>407</v>
      </c>
      <c r="B515" s="286"/>
      <c r="C515" s="203">
        <f t="shared" si="201"/>
        <v>0</v>
      </c>
      <c r="D515" s="204"/>
      <c r="E515" s="204"/>
      <c r="F515" s="207"/>
      <c r="G515" s="206"/>
      <c r="H515" s="207"/>
      <c r="I515" s="208" t="s">
        <v>125</v>
      </c>
      <c r="J515" s="208" t="s">
        <v>126</v>
      </c>
      <c r="K515" s="287"/>
      <c r="L515" s="288"/>
      <c r="M515" s="289"/>
      <c r="N515" s="257"/>
      <c r="O515" s="213"/>
      <c r="P515" s="214"/>
      <c r="Q515" s="214"/>
      <c r="R515" s="214"/>
      <c r="S515" s="214"/>
      <c r="T515" s="214"/>
      <c r="U515" s="215">
        <f t="shared" si="202"/>
        <v>0</v>
      </c>
      <c r="V515" s="216" t="str">
        <f t="shared" si="203"/>
        <v/>
      </c>
      <c r="W515" s="217" t="str">
        <f t="shared" si="204"/>
        <v/>
      </c>
      <c r="X515" s="218" t="s">
        <v>20</v>
      </c>
      <c r="Y515" s="219" t="str">
        <f t="shared" si="205"/>
        <v>0 um/Dia</v>
      </c>
      <c r="Z515" s="220" t="str">
        <f t="shared" si="206"/>
        <v xml:space="preserve"> um / HH</v>
      </c>
      <c r="AA515" s="221" t="str">
        <f t="shared" si="207"/>
        <v/>
      </c>
      <c r="AB515" s="222" t="str">
        <f t="shared" si="208"/>
        <v>0 um /HH</v>
      </c>
      <c r="AC515" s="223">
        <f t="shared" si="209"/>
        <v>0</v>
      </c>
      <c r="AD515" s="224"/>
      <c r="AE515" s="225"/>
      <c r="AF515" s="226">
        <f t="shared" si="210"/>
        <v>0</v>
      </c>
      <c r="AG515" s="227">
        <f t="shared" si="211"/>
        <v>0</v>
      </c>
      <c r="AH515" s="228" t="s">
        <v>25</v>
      </c>
      <c r="AI515" s="229" t="str">
        <f t="shared" si="197"/>
        <v>Extremamente Complexa</v>
      </c>
      <c r="AJ515" s="230" t="str">
        <f t="shared" si="198"/>
        <v>Normal</v>
      </c>
      <c r="AK515" s="231">
        <f t="shared" si="212"/>
        <v>0</v>
      </c>
      <c r="AL515" s="232" t="str">
        <f t="shared" si="213"/>
        <v/>
      </c>
      <c r="AM515" s="233" t="str">
        <f t="shared" si="214"/>
        <v/>
      </c>
      <c r="AN515" s="233" t="str">
        <f t="shared" si="215"/>
        <v/>
      </c>
      <c r="AO515" s="234">
        <f t="shared" si="216"/>
        <v>0</v>
      </c>
      <c r="AP515" s="235">
        <f t="shared" si="200"/>
        <v>1</v>
      </c>
      <c r="AQ515" s="235">
        <f t="shared" si="200"/>
        <v>1</v>
      </c>
      <c r="AR515" s="236">
        <f t="shared" si="217"/>
        <v>1</v>
      </c>
      <c r="AS515" s="251">
        <f t="shared" si="218"/>
        <v>0</v>
      </c>
      <c r="AT515" s="238">
        <f t="shared" si="219"/>
        <v>0</v>
      </c>
      <c r="AU515" s="239">
        <f t="shared" si="220"/>
        <v>0</v>
      </c>
      <c r="AV515" s="239">
        <f t="shared" si="221"/>
        <v>0</v>
      </c>
      <c r="AW515" s="239">
        <f t="shared" si="222"/>
        <v>0.05</v>
      </c>
      <c r="AX515" s="240">
        <f t="shared" si="223"/>
        <v>0</v>
      </c>
      <c r="AY515" s="241" t="str">
        <f t="shared" si="224"/>
        <v/>
      </c>
      <c r="AZ515" s="242" t="str">
        <f>IFERROR(VLOOKUP(M515,'[1]Base Brasil Obras'!$C$2:$F$485,4,0),"")</f>
        <v/>
      </c>
      <c r="BA515" s="243">
        <f t="shared" si="225"/>
        <v>0</v>
      </c>
      <c r="BB515" s="244">
        <f t="shared" si="226"/>
        <v>0</v>
      </c>
      <c r="BC515" s="244">
        <f t="shared" si="227"/>
        <v>0.05</v>
      </c>
      <c r="BD515" s="245">
        <f t="shared" si="228"/>
        <v>0.95</v>
      </c>
      <c r="BE515" s="246">
        <f t="shared" si="229"/>
        <v>0</v>
      </c>
      <c r="BF515" s="247">
        <v>0</v>
      </c>
      <c r="BG515" s="248">
        <f t="shared" si="230"/>
        <v>1</v>
      </c>
      <c r="BH515" s="198"/>
      <c r="BI515" s="198"/>
      <c r="BJ515" s="199"/>
      <c r="BK515" s="200"/>
      <c r="BL515" s="200"/>
      <c r="BM515" s="200"/>
      <c r="BN515" s="200"/>
      <c r="BO515" s="10"/>
    </row>
    <row r="516" spans="1:67" ht="18" x14ac:dyDescent="0.25">
      <c r="A516" s="201">
        <v>408</v>
      </c>
      <c r="B516" s="286"/>
      <c r="C516" s="203">
        <f t="shared" si="201"/>
        <v>0</v>
      </c>
      <c r="D516" s="204"/>
      <c r="E516" s="204"/>
      <c r="F516" s="207"/>
      <c r="G516" s="206"/>
      <c r="H516" s="207"/>
      <c r="I516" s="208" t="s">
        <v>125</v>
      </c>
      <c r="J516" s="208" t="s">
        <v>126</v>
      </c>
      <c r="K516" s="287"/>
      <c r="L516" s="288"/>
      <c r="M516" s="289"/>
      <c r="N516" s="257"/>
      <c r="O516" s="213"/>
      <c r="P516" s="214"/>
      <c r="Q516" s="214"/>
      <c r="R516" s="214"/>
      <c r="S516" s="214"/>
      <c r="T516" s="214"/>
      <c r="U516" s="215">
        <f t="shared" si="202"/>
        <v>0</v>
      </c>
      <c r="V516" s="216" t="str">
        <f t="shared" si="203"/>
        <v/>
      </c>
      <c r="W516" s="217" t="str">
        <f t="shared" si="204"/>
        <v/>
      </c>
      <c r="X516" s="218" t="s">
        <v>20</v>
      </c>
      <c r="Y516" s="219" t="str">
        <f t="shared" si="205"/>
        <v>0 um/Dia</v>
      </c>
      <c r="Z516" s="220" t="str">
        <f t="shared" si="206"/>
        <v xml:space="preserve"> um / HH</v>
      </c>
      <c r="AA516" s="221" t="str">
        <f t="shared" si="207"/>
        <v/>
      </c>
      <c r="AB516" s="222" t="str">
        <f t="shared" si="208"/>
        <v>0 um /HH</v>
      </c>
      <c r="AC516" s="223">
        <f t="shared" si="209"/>
        <v>0</v>
      </c>
      <c r="AD516" s="224"/>
      <c r="AE516" s="225"/>
      <c r="AF516" s="226">
        <f t="shared" si="210"/>
        <v>0</v>
      </c>
      <c r="AG516" s="227">
        <f t="shared" si="211"/>
        <v>0</v>
      </c>
      <c r="AH516" s="228" t="s">
        <v>25</v>
      </c>
      <c r="AI516" s="229" t="str">
        <f t="shared" si="197"/>
        <v>Extremamente Complexa</v>
      </c>
      <c r="AJ516" s="230" t="str">
        <f t="shared" si="198"/>
        <v>Normal</v>
      </c>
      <c r="AK516" s="231">
        <f t="shared" si="212"/>
        <v>0</v>
      </c>
      <c r="AL516" s="232" t="str">
        <f t="shared" si="213"/>
        <v/>
      </c>
      <c r="AM516" s="233" t="str">
        <f t="shared" si="214"/>
        <v/>
      </c>
      <c r="AN516" s="233" t="str">
        <f t="shared" si="215"/>
        <v/>
      </c>
      <c r="AO516" s="234">
        <f t="shared" si="216"/>
        <v>0</v>
      </c>
      <c r="AP516" s="235">
        <f t="shared" si="200"/>
        <v>1</v>
      </c>
      <c r="AQ516" s="235">
        <f t="shared" si="200"/>
        <v>1</v>
      </c>
      <c r="AR516" s="235">
        <f t="shared" si="217"/>
        <v>1</v>
      </c>
      <c r="AS516" s="252">
        <f t="shared" si="218"/>
        <v>0</v>
      </c>
      <c r="AT516" s="238">
        <f t="shared" si="219"/>
        <v>0</v>
      </c>
      <c r="AU516" s="239">
        <f t="shared" si="220"/>
        <v>0</v>
      </c>
      <c r="AV516" s="239">
        <f t="shared" si="221"/>
        <v>0</v>
      </c>
      <c r="AW516" s="239">
        <f t="shared" si="222"/>
        <v>0.05</v>
      </c>
      <c r="AX516" s="240">
        <f t="shared" si="223"/>
        <v>0</v>
      </c>
      <c r="AY516" s="241" t="str">
        <f t="shared" si="224"/>
        <v/>
      </c>
      <c r="AZ516" s="242" t="str">
        <f>IFERROR(VLOOKUP(M516,'[1]Base Brasil Obras'!$C$2:$F$485,4,0),"")</f>
        <v/>
      </c>
      <c r="BA516" s="243">
        <f t="shared" si="225"/>
        <v>0</v>
      </c>
      <c r="BB516" s="244">
        <f t="shared" si="226"/>
        <v>0</v>
      </c>
      <c r="BC516" s="244">
        <f t="shared" si="227"/>
        <v>0.05</v>
      </c>
      <c r="BD516" s="245">
        <f t="shared" si="228"/>
        <v>0.95</v>
      </c>
      <c r="BE516" s="246">
        <f t="shared" si="229"/>
        <v>0</v>
      </c>
      <c r="BF516" s="247">
        <v>0</v>
      </c>
      <c r="BG516" s="248">
        <f t="shared" si="230"/>
        <v>1</v>
      </c>
      <c r="BH516" s="198"/>
      <c r="BI516" s="198"/>
      <c r="BJ516" s="199"/>
      <c r="BK516" s="200"/>
      <c r="BL516" s="200"/>
      <c r="BM516" s="200"/>
      <c r="BN516" s="200"/>
      <c r="BO516" s="10"/>
    </row>
    <row r="517" spans="1:67" ht="18" x14ac:dyDescent="0.25">
      <c r="A517" s="201">
        <v>409</v>
      </c>
      <c r="B517" s="286"/>
      <c r="C517" s="203">
        <f t="shared" si="201"/>
        <v>0</v>
      </c>
      <c r="D517" s="204"/>
      <c r="E517" s="204"/>
      <c r="F517" s="207"/>
      <c r="G517" s="206"/>
      <c r="H517" s="207"/>
      <c r="I517" s="208" t="s">
        <v>125</v>
      </c>
      <c r="J517" s="208" t="s">
        <v>126</v>
      </c>
      <c r="K517" s="287"/>
      <c r="L517" s="288"/>
      <c r="M517" s="289"/>
      <c r="N517" s="257"/>
      <c r="O517" s="213"/>
      <c r="P517" s="214"/>
      <c r="Q517" s="214"/>
      <c r="R517" s="214"/>
      <c r="S517" s="214"/>
      <c r="T517" s="214"/>
      <c r="U517" s="215">
        <f t="shared" si="202"/>
        <v>0</v>
      </c>
      <c r="V517" s="216" t="str">
        <f t="shared" si="203"/>
        <v/>
      </c>
      <c r="W517" s="217" t="str">
        <f t="shared" si="204"/>
        <v/>
      </c>
      <c r="X517" s="218" t="s">
        <v>20</v>
      </c>
      <c r="Y517" s="219" t="str">
        <f t="shared" si="205"/>
        <v>0 um/Dia</v>
      </c>
      <c r="Z517" s="220" t="str">
        <f t="shared" si="206"/>
        <v xml:space="preserve"> um / HH</v>
      </c>
      <c r="AA517" s="221" t="str">
        <f t="shared" si="207"/>
        <v/>
      </c>
      <c r="AB517" s="222" t="str">
        <f t="shared" si="208"/>
        <v>0 um /HH</v>
      </c>
      <c r="AC517" s="223">
        <f t="shared" si="209"/>
        <v>0</v>
      </c>
      <c r="AD517" s="224"/>
      <c r="AE517" s="225"/>
      <c r="AF517" s="226">
        <f t="shared" si="210"/>
        <v>0</v>
      </c>
      <c r="AG517" s="227">
        <f t="shared" si="211"/>
        <v>0</v>
      </c>
      <c r="AH517" s="228" t="s">
        <v>25</v>
      </c>
      <c r="AI517" s="229" t="str">
        <f t="shared" si="197"/>
        <v>Extremamente Complexa</v>
      </c>
      <c r="AJ517" s="230" t="str">
        <f t="shared" si="198"/>
        <v>Normal</v>
      </c>
      <c r="AK517" s="231">
        <f t="shared" si="212"/>
        <v>0</v>
      </c>
      <c r="AL517" s="232" t="str">
        <f t="shared" si="213"/>
        <v/>
      </c>
      <c r="AM517" s="233" t="str">
        <f t="shared" si="214"/>
        <v/>
      </c>
      <c r="AN517" s="233" t="str">
        <f t="shared" si="215"/>
        <v/>
      </c>
      <c r="AO517" s="234">
        <f t="shared" si="216"/>
        <v>0</v>
      </c>
      <c r="AP517" s="235">
        <f t="shared" si="200"/>
        <v>1</v>
      </c>
      <c r="AQ517" s="235">
        <f t="shared" si="200"/>
        <v>1</v>
      </c>
      <c r="AR517" s="236">
        <f t="shared" si="217"/>
        <v>1</v>
      </c>
      <c r="AS517" s="251">
        <f t="shared" si="218"/>
        <v>0</v>
      </c>
      <c r="AT517" s="238">
        <f t="shared" si="219"/>
        <v>0</v>
      </c>
      <c r="AU517" s="239">
        <f t="shared" si="220"/>
        <v>0</v>
      </c>
      <c r="AV517" s="239">
        <f t="shared" si="221"/>
        <v>0</v>
      </c>
      <c r="AW517" s="239">
        <f t="shared" si="222"/>
        <v>0.05</v>
      </c>
      <c r="AX517" s="240">
        <f t="shared" si="223"/>
        <v>0</v>
      </c>
      <c r="AY517" s="241" t="str">
        <f t="shared" si="224"/>
        <v/>
      </c>
      <c r="AZ517" s="242" t="str">
        <f>IFERROR(VLOOKUP(M517,'[1]Base Brasil Obras'!$C$2:$F$485,4,0),"")</f>
        <v/>
      </c>
      <c r="BA517" s="243">
        <f t="shared" si="225"/>
        <v>0</v>
      </c>
      <c r="BB517" s="244">
        <f t="shared" si="226"/>
        <v>0</v>
      </c>
      <c r="BC517" s="244">
        <f t="shared" si="227"/>
        <v>0.05</v>
      </c>
      <c r="BD517" s="245">
        <f t="shared" si="228"/>
        <v>0.95</v>
      </c>
      <c r="BE517" s="246">
        <f t="shared" si="229"/>
        <v>0</v>
      </c>
      <c r="BF517" s="247">
        <v>0</v>
      </c>
      <c r="BG517" s="248">
        <f t="shared" si="230"/>
        <v>1</v>
      </c>
      <c r="BH517" s="198"/>
      <c r="BI517" s="198"/>
      <c r="BJ517" s="199"/>
      <c r="BK517" s="200"/>
      <c r="BL517" s="200"/>
      <c r="BM517" s="200"/>
      <c r="BN517" s="200"/>
      <c r="BO517" s="10"/>
    </row>
    <row r="518" spans="1:67" ht="18" x14ac:dyDescent="0.25">
      <c r="A518" s="201">
        <v>410</v>
      </c>
      <c r="B518" s="286"/>
      <c r="C518" s="203">
        <f t="shared" si="201"/>
        <v>0</v>
      </c>
      <c r="D518" s="204"/>
      <c r="E518" s="204"/>
      <c r="F518" s="207"/>
      <c r="G518" s="206"/>
      <c r="H518" s="207"/>
      <c r="I518" s="208" t="s">
        <v>125</v>
      </c>
      <c r="J518" s="208" t="s">
        <v>126</v>
      </c>
      <c r="K518" s="287"/>
      <c r="L518" s="288"/>
      <c r="M518" s="289"/>
      <c r="N518" s="257"/>
      <c r="O518" s="213"/>
      <c r="P518" s="214"/>
      <c r="Q518" s="214"/>
      <c r="R518" s="214"/>
      <c r="S518" s="214"/>
      <c r="T518" s="214"/>
      <c r="U518" s="215">
        <f t="shared" si="202"/>
        <v>0</v>
      </c>
      <c r="V518" s="216" t="str">
        <f t="shared" si="203"/>
        <v/>
      </c>
      <c r="W518" s="217" t="str">
        <f t="shared" si="204"/>
        <v/>
      </c>
      <c r="X518" s="218" t="s">
        <v>20</v>
      </c>
      <c r="Y518" s="219" t="str">
        <f t="shared" si="205"/>
        <v>0 um/Dia</v>
      </c>
      <c r="Z518" s="220" t="str">
        <f t="shared" si="206"/>
        <v xml:space="preserve"> um / HH</v>
      </c>
      <c r="AA518" s="221" t="str">
        <f t="shared" si="207"/>
        <v/>
      </c>
      <c r="AB518" s="222" t="str">
        <f t="shared" si="208"/>
        <v>0 um /HH</v>
      </c>
      <c r="AC518" s="223">
        <f t="shared" si="209"/>
        <v>0</v>
      </c>
      <c r="AD518" s="224"/>
      <c r="AE518" s="225"/>
      <c r="AF518" s="226">
        <f t="shared" si="210"/>
        <v>0</v>
      </c>
      <c r="AG518" s="227">
        <f t="shared" si="211"/>
        <v>0</v>
      </c>
      <c r="AH518" s="228" t="s">
        <v>25</v>
      </c>
      <c r="AI518" s="229" t="str">
        <f t="shared" si="197"/>
        <v>Extremamente Complexa</v>
      </c>
      <c r="AJ518" s="230" t="str">
        <f t="shared" si="198"/>
        <v>Normal</v>
      </c>
      <c r="AK518" s="231">
        <f t="shared" si="212"/>
        <v>0</v>
      </c>
      <c r="AL518" s="232" t="str">
        <f t="shared" si="213"/>
        <v/>
      </c>
      <c r="AM518" s="233" t="str">
        <f t="shared" si="214"/>
        <v/>
      </c>
      <c r="AN518" s="233" t="str">
        <f t="shared" si="215"/>
        <v/>
      </c>
      <c r="AO518" s="234">
        <f t="shared" si="216"/>
        <v>0</v>
      </c>
      <c r="AP518" s="235">
        <f t="shared" si="200"/>
        <v>1</v>
      </c>
      <c r="AQ518" s="235">
        <f t="shared" si="200"/>
        <v>1</v>
      </c>
      <c r="AR518" s="235">
        <f t="shared" si="217"/>
        <v>1</v>
      </c>
      <c r="AS518" s="252">
        <f t="shared" si="218"/>
        <v>0</v>
      </c>
      <c r="AT518" s="238">
        <f t="shared" si="219"/>
        <v>0</v>
      </c>
      <c r="AU518" s="239">
        <f t="shared" si="220"/>
        <v>0</v>
      </c>
      <c r="AV518" s="239">
        <f t="shared" si="221"/>
        <v>0</v>
      </c>
      <c r="AW518" s="239">
        <f t="shared" si="222"/>
        <v>0.05</v>
      </c>
      <c r="AX518" s="240">
        <f t="shared" si="223"/>
        <v>0</v>
      </c>
      <c r="AY518" s="241" t="str">
        <f t="shared" si="224"/>
        <v/>
      </c>
      <c r="AZ518" s="242" t="str">
        <f>IFERROR(VLOOKUP(M518,'[1]Base Brasil Obras'!$C$2:$F$485,4,0),"")</f>
        <v/>
      </c>
      <c r="BA518" s="243">
        <f t="shared" si="225"/>
        <v>0</v>
      </c>
      <c r="BB518" s="244">
        <f t="shared" si="226"/>
        <v>0</v>
      </c>
      <c r="BC518" s="244">
        <f t="shared" si="227"/>
        <v>0.05</v>
      </c>
      <c r="BD518" s="245">
        <f t="shared" si="228"/>
        <v>0.95</v>
      </c>
      <c r="BE518" s="246">
        <f t="shared" si="229"/>
        <v>0</v>
      </c>
      <c r="BF518" s="247">
        <v>0</v>
      </c>
      <c r="BG518" s="248">
        <f t="shared" si="230"/>
        <v>1</v>
      </c>
      <c r="BH518" s="198"/>
      <c r="BI518" s="198"/>
      <c r="BJ518" s="199"/>
      <c r="BK518" s="200"/>
      <c r="BL518" s="200"/>
      <c r="BM518" s="200"/>
      <c r="BN518" s="200"/>
      <c r="BO518" s="10"/>
    </row>
    <row r="519" spans="1:67" ht="18" x14ac:dyDescent="0.25">
      <c r="A519" s="201">
        <v>411</v>
      </c>
      <c r="B519" s="286"/>
      <c r="C519" s="203">
        <f t="shared" si="201"/>
        <v>0</v>
      </c>
      <c r="D519" s="204"/>
      <c r="E519" s="204"/>
      <c r="F519" s="207"/>
      <c r="G519" s="206"/>
      <c r="H519" s="207"/>
      <c r="I519" s="208" t="s">
        <v>125</v>
      </c>
      <c r="J519" s="208" t="s">
        <v>126</v>
      </c>
      <c r="K519" s="287"/>
      <c r="L519" s="288"/>
      <c r="M519" s="289"/>
      <c r="N519" s="257"/>
      <c r="O519" s="213"/>
      <c r="P519" s="214"/>
      <c r="Q519" s="214"/>
      <c r="R519" s="214"/>
      <c r="S519" s="214"/>
      <c r="T519" s="214"/>
      <c r="U519" s="215">
        <f t="shared" si="202"/>
        <v>0</v>
      </c>
      <c r="V519" s="216" t="str">
        <f t="shared" si="203"/>
        <v/>
      </c>
      <c r="W519" s="217" t="str">
        <f t="shared" si="204"/>
        <v/>
      </c>
      <c r="X519" s="218" t="s">
        <v>20</v>
      </c>
      <c r="Y519" s="219" t="str">
        <f t="shared" si="205"/>
        <v>0 um/Dia</v>
      </c>
      <c r="Z519" s="220" t="str">
        <f t="shared" si="206"/>
        <v xml:space="preserve"> um / HH</v>
      </c>
      <c r="AA519" s="221" t="str">
        <f t="shared" si="207"/>
        <v/>
      </c>
      <c r="AB519" s="222" t="str">
        <f t="shared" si="208"/>
        <v>0 um /HH</v>
      </c>
      <c r="AC519" s="223">
        <f t="shared" si="209"/>
        <v>0</v>
      </c>
      <c r="AD519" s="224"/>
      <c r="AE519" s="225"/>
      <c r="AF519" s="226">
        <f t="shared" si="210"/>
        <v>0</v>
      </c>
      <c r="AG519" s="227">
        <f t="shared" si="211"/>
        <v>0</v>
      </c>
      <c r="AH519" s="228" t="s">
        <v>25</v>
      </c>
      <c r="AI519" s="229" t="str">
        <f t="shared" si="197"/>
        <v>Extremamente Complexa</v>
      </c>
      <c r="AJ519" s="230" t="str">
        <f t="shared" si="198"/>
        <v>Normal</v>
      </c>
      <c r="AK519" s="231">
        <f t="shared" si="212"/>
        <v>0</v>
      </c>
      <c r="AL519" s="232" t="str">
        <f t="shared" si="213"/>
        <v/>
      </c>
      <c r="AM519" s="233" t="str">
        <f t="shared" si="214"/>
        <v/>
      </c>
      <c r="AN519" s="233" t="str">
        <f t="shared" si="215"/>
        <v/>
      </c>
      <c r="AO519" s="234">
        <f t="shared" si="216"/>
        <v>0</v>
      </c>
      <c r="AP519" s="235">
        <f t="shared" si="200"/>
        <v>1</v>
      </c>
      <c r="AQ519" s="235">
        <f t="shared" si="200"/>
        <v>1</v>
      </c>
      <c r="AR519" s="236">
        <f t="shared" si="217"/>
        <v>1</v>
      </c>
      <c r="AS519" s="251">
        <f t="shared" si="218"/>
        <v>0</v>
      </c>
      <c r="AT519" s="238">
        <f t="shared" si="219"/>
        <v>0</v>
      </c>
      <c r="AU519" s="239">
        <f t="shared" si="220"/>
        <v>0</v>
      </c>
      <c r="AV519" s="239">
        <f t="shared" si="221"/>
        <v>0</v>
      </c>
      <c r="AW519" s="239">
        <f t="shared" si="222"/>
        <v>0.05</v>
      </c>
      <c r="AX519" s="240">
        <f t="shared" si="223"/>
        <v>0</v>
      </c>
      <c r="AY519" s="241" t="str">
        <f t="shared" si="224"/>
        <v/>
      </c>
      <c r="AZ519" s="242" t="str">
        <f>IFERROR(VLOOKUP(M519,'[1]Base Brasil Obras'!$C$2:$F$485,4,0),"")</f>
        <v/>
      </c>
      <c r="BA519" s="243">
        <f t="shared" si="225"/>
        <v>0</v>
      </c>
      <c r="BB519" s="244">
        <f t="shared" si="226"/>
        <v>0</v>
      </c>
      <c r="BC519" s="244">
        <f t="shared" si="227"/>
        <v>0.05</v>
      </c>
      <c r="BD519" s="245">
        <f t="shared" si="228"/>
        <v>0.95</v>
      </c>
      <c r="BE519" s="246">
        <f t="shared" si="229"/>
        <v>0</v>
      </c>
      <c r="BF519" s="247">
        <v>0</v>
      </c>
      <c r="BG519" s="248">
        <f t="shared" si="230"/>
        <v>1</v>
      </c>
      <c r="BH519" s="198"/>
      <c r="BI519" s="198"/>
      <c r="BJ519" s="199"/>
      <c r="BK519" s="200"/>
      <c r="BL519" s="200"/>
      <c r="BM519" s="200"/>
      <c r="BN519" s="200"/>
      <c r="BO519" s="10"/>
    </row>
    <row r="520" spans="1:67" ht="18" x14ac:dyDescent="0.25">
      <c r="A520" s="201">
        <v>412</v>
      </c>
      <c r="B520" s="286"/>
      <c r="C520" s="203">
        <f t="shared" si="201"/>
        <v>0</v>
      </c>
      <c r="D520" s="204"/>
      <c r="E520" s="204"/>
      <c r="F520" s="207"/>
      <c r="G520" s="206"/>
      <c r="H520" s="207"/>
      <c r="I520" s="208" t="s">
        <v>125</v>
      </c>
      <c r="J520" s="208" t="s">
        <v>126</v>
      </c>
      <c r="K520" s="287"/>
      <c r="L520" s="288"/>
      <c r="M520" s="289"/>
      <c r="N520" s="257"/>
      <c r="O520" s="213"/>
      <c r="P520" s="214"/>
      <c r="Q520" s="214"/>
      <c r="R520" s="214"/>
      <c r="S520" s="214"/>
      <c r="T520" s="214"/>
      <c r="U520" s="215">
        <f t="shared" si="202"/>
        <v>0</v>
      </c>
      <c r="V520" s="216" t="str">
        <f t="shared" si="203"/>
        <v/>
      </c>
      <c r="W520" s="217" t="str">
        <f t="shared" si="204"/>
        <v/>
      </c>
      <c r="X520" s="218" t="s">
        <v>20</v>
      </c>
      <c r="Y520" s="219" t="str">
        <f t="shared" si="205"/>
        <v>0 um/Dia</v>
      </c>
      <c r="Z520" s="220" t="str">
        <f t="shared" si="206"/>
        <v xml:space="preserve"> um / HH</v>
      </c>
      <c r="AA520" s="221" t="str">
        <f t="shared" si="207"/>
        <v/>
      </c>
      <c r="AB520" s="222" t="str">
        <f t="shared" si="208"/>
        <v>0 um /HH</v>
      </c>
      <c r="AC520" s="223">
        <f t="shared" si="209"/>
        <v>0</v>
      </c>
      <c r="AD520" s="224"/>
      <c r="AE520" s="225"/>
      <c r="AF520" s="226">
        <f t="shared" si="210"/>
        <v>0</v>
      </c>
      <c r="AG520" s="227">
        <f t="shared" si="211"/>
        <v>0</v>
      </c>
      <c r="AH520" s="228" t="s">
        <v>25</v>
      </c>
      <c r="AI520" s="229" t="str">
        <f t="shared" si="197"/>
        <v>Extremamente Complexa</v>
      </c>
      <c r="AJ520" s="230" t="str">
        <f t="shared" si="198"/>
        <v>Normal</v>
      </c>
      <c r="AK520" s="231">
        <f t="shared" si="212"/>
        <v>0</v>
      </c>
      <c r="AL520" s="232" t="str">
        <f t="shared" si="213"/>
        <v/>
      </c>
      <c r="AM520" s="233" t="str">
        <f t="shared" si="214"/>
        <v/>
      </c>
      <c r="AN520" s="233" t="str">
        <f t="shared" si="215"/>
        <v/>
      </c>
      <c r="AO520" s="234">
        <f t="shared" si="216"/>
        <v>0</v>
      </c>
      <c r="AP520" s="235">
        <f t="shared" si="200"/>
        <v>1</v>
      </c>
      <c r="AQ520" s="235">
        <f t="shared" si="200"/>
        <v>1</v>
      </c>
      <c r="AR520" s="235">
        <f t="shared" si="217"/>
        <v>1</v>
      </c>
      <c r="AS520" s="252">
        <f t="shared" si="218"/>
        <v>0</v>
      </c>
      <c r="AT520" s="238">
        <f t="shared" si="219"/>
        <v>0</v>
      </c>
      <c r="AU520" s="239">
        <f t="shared" si="220"/>
        <v>0</v>
      </c>
      <c r="AV520" s="239">
        <f t="shared" si="221"/>
        <v>0</v>
      </c>
      <c r="AW520" s="239">
        <f t="shared" si="222"/>
        <v>0.05</v>
      </c>
      <c r="AX520" s="240">
        <f t="shared" si="223"/>
        <v>0</v>
      </c>
      <c r="AY520" s="241" t="str">
        <f t="shared" si="224"/>
        <v/>
      </c>
      <c r="AZ520" s="242" t="str">
        <f>IFERROR(VLOOKUP(M520,'[1]Base Brasil Obras'!$C$2:$F$485,4,0),"")</f>
        <v/>
      </c>
      <c r="BA520" s="243">
        <f t="shared" si="225"/>
        <v>0</v>
      </c>
      <c r="BB520" s="244">
        <f t="shared" si="226"/>
        <v>0</v>
      </c>
      <c r="BC520" s="244">
        <f t="shared" si="227"/>
        <v>0.05</v>
      </c>
      <c r="BD520" s="245">
        <f t="shared" si="228"/>
        <v>0.95</v>
      </c>
      <c r="BE520" s="246">
        <f t="shared" si="229"/>
        <v>0</v>
      </c>
      <c r="BF520" s="247">
        <v>0</v>
      </c>
      <c r="BG520" s="248">
        <f t="shared" si="230"/>
        <v>1</v>
      </c>
      <c r="BH520" s="198"/>
      <c r="BI520" s="198"/>
      <c r="BJ520" s="199"/>
      <c r="BK520" s="200"/>
      <c r="BL520" s="200"/>
      <c r="BM520" s="200"/>
      <c r="BN520" s="200"/>
      <c r="BO520" s="10"/>
    </row>
    <row r="521" spans="1:67" ht="18" x14ac:dyDescent="0.25">
      <c r="A521" s="201">
        <v>413</v>
      </c>
      <c r="B521" s="286"/>
      <c r="C521" s="203">
        <f t="shared" si="201"/>
        <v>0</v>
      </c>
      <c r="D521" s="204"/>
      <c r="E521" s="204"/>
      <c r="F521" s="207"/>
      <c r="G521" s="206"/>
      <c r="H521" s="207"/>
      <c r="I521" s="208" t="s">
        <v>125</v>
      </c>
      <c r="J521" s="208" t="s">
        <v>126</v>
      </c>
      <c r="K521" s="287"/>
      <c r="L521" s="288"/>
      <c r="M521" s="289"/>
      <c r="N521" s="257"/>
      <c r="O521" s="213"/>
      <c r="P521" s="214"/>
      <c r="Q521" s="214"/>
      <c r="R521" s="214"/>
      <c r="S521" s="214"/>
      <c r="T521" s="214"/>
      <c r="U521" s="215">
        <f t="shared" si="202"/>
        <v>0</v>
      </c>
      <c r="V521" s="216" t="str">
        <f t="shared" si="203"/>
        <v/>
      </c>
      <c r="W521" s="217" t="str">
        <f t="shared" si="204"/>
        <v/>
      </c>
      <c r="X521" s="218" t="s">
        <v>20</v>
      </c>
      <c r="Y521" s="219" t="str">
        <f t="shared" si="205"/>
        <v>0 um/Dia</v>
      </c>
      <c r="Z521" s="220" t="str">
        <f t="shared" si="206"/>
        <v xml:space="preserve"> um / HH</v>
      </c>
      <c r="AA521" s="221" t="str">
        <f t="shared" si="207"/>
        <v/>
      </c>
      <c r="AB521" s="222" t="str">
        <f t="shared" si="208"/>
        <v>0 um /HH</v>
      </c>
      <c r="AC521" s="223">
        <f t="shared" si="209"/>
        <v>0</v>
      </c>
      <c r="AD521" s="224"/>
      <c r="AE521" s="225"/>
      <c r="AF521" s="226">
        <f t="shared" si="210"/>
        <v>0</v>
      </c>
      <c r="AG521" s="227">
        <f t="shared" si="211"/>
        <v>0</v>
      </c>
      <c r="AH521" s="228" t="s">
        <v>25</v>
      </c>
      <c r="AI521" s="229" t="str">
        <f t="shared" si="197"/>
        <v>Extremamente Complexa</v>
      </c>
      <c r="AJ521" s="230" t="str">
        <f t="shared" si="198"/>
        <v>Normal</v>
      </c>
      <c r="AK521" s="231">
        <f t="shared" si="212"/>
        <v>0</v>
      </c>
      <c r="AL521" s="232" t="str">
        <f t="shared" si="213"/>
        <v/>
      </c>
      <c r="AM521" s="233" t="str">
        <f t="shared" si="214"/>
        <v/>
      </c>
      <c r="AN521" s="233" t="str">
        <f t="shared" si="215"/>
        <v/>
      </c>
      <c r="AO521" s="234">
        <f t="shared" si="216"/>
        <v>0</v>
      </c>
      <c r="AP521" s="235">
        <f t="shared" si="200"/>
        <v>1</v>
      </c>
      <c r="AQ521" s="235">
        <f t="shared" si="200"/>
        <v>1</v>
      </c>
      <c r="AR521" s="236">
        <f t="shared" si="217"/>
        <v>1</v>
      </c>
      <c r="AS521" s="251">
        <f t="shared" si="218"/>
        <v>0</v>
      </c>
      <c r="AT521" s="238">
        <f t="shared" si="219"/>
        <v>0</v>
      </c>
      <c r="AU521" s="239">
        <f t="shared" si="220"/>
        <v>0</v>
      </c>
      <c r="AV521" s="239">
        <f t="shared" si="221"/>
        <v>0</v>
      </c>
      <c r="AW521" s="239">
        <f t="shared" si="222"/>
        <v>0.05</v>
      </c>
      <c r="AX521" s="240">
        <f t="shared" si="223"/>
        <v>0</v>
      </c>
      <c r="AY521" s="241" t="str">
        <f t="shared" si="224"/>
        <v/>
      </c>
      <c r="AZ521" s="242" t="str">
        <f>IFERROR(VLOOKUP(M521,'[1]Base Brasil Obras'!$C$2:$F$485,4,0),"")</f>
        <v/>
      </c>
      <c r="BA521" s="243">
        <f t="shared" si="225"/>
        <v>0</v>
      </c>
      <c r="BB521" s="244">
        <f t="shared" si="226"/>
        <v>0</v>
      </c>
      <c r="BC521" s="244">
        <f t="shared" si="227"/>
        <v>0.05</v>
      </c>
      <c r="BD521" s="245">
        <f t="shared" si="228"/>
        <v>0.95</v>
      </c>
      <c r="BE521" s="246">
        <f t="shared" si="229"/>
        <v>0</v>
      </c>
      <c r="BF521" s="247">
        <v>0</v>
      </c>
      <c r="BG521" s="248">
        <f t="shared" si="230"/>
        <v>1</v>
      </c>
      <c r="BH521" s="198"/>
      <c r="BI521" s="198"/>
      <c r="BJ521" s="199"/>
      <c r="BK521" s="200"/>
      <c r="BL521" s="200"/>
      <c r="BM521" s="200"/>
      <c r="BN521" s="200"/>
      <c r="BO521" s="10"/>
    </row>
    <row r="522" spans="1:67" ht="18" x14ac:dyDescent="0.25">
      <c r="A522" s="201">
        <v>414</v>
      </c>
      <c r="B522" s="286"/>
      <c r="C522" s="203">
        <f t="shared" si="201"/>
        <v>0</v>
      </c>
      <c r="D522" s="204"/>
      <c r="E522" s="204"/>
      <c r="F522" s="207"/>
      <c r="G522" s="206"/>
      <c r="H522" s="207"/>
      <c r="I522" s="208" t="s">
        <v>125</v>
      </c>
      <c r="J522" s="208" t="s">
        <v>126</v>
      </c>
      <c r="K522" s="287"/>
      <c r="L522" s="288"/>
      <c r="M522" s="289"/>
      <c r="N522" s="257"/>
      <c r="O522" s="213"/>
      <c r="P522" s="214"/>
      <c r="Q522" s="214"/>
      <c r="R522" s="214"/>
      <c r="S522" s="214"/>
      <c r="T522" s="214"/>
      <c r="U522" s="215">
        <f t="shared" si="202"/>
        <v>0</v>
      </c>
      <c r="V522" s="216" t="str">
        <f t="shared" si="203"/>
        <v/>
      </c>
      <c r="W522" s="217" t="str">
        <f t="shared" si="204"/>
        <v/>
      </c>
      <c r="X522" s="218" t="s">
        <v>20</v>
      </c>
      <c r="Y522" s="219" t="str">
        <f t="shared" si="205"/>
        <v>0 um/Dia</v>
      </c>
      <c r="Z522" s="220" t="str">
        <f t="shared" si="206"/>
        <v xml:space="preserve"> um / HH</v>
      </c>
      <c r="AA522" s="221" t="str">
        <f t="shared" si="207"/>
        <v/>
      </c>
      <c r="AB522" s="222" t="str">
        <f t="shared" si="208"/>
        <v>0 um /HH</v>
      </c>
      <c r="AC522" s="223">
        <f t="shared" si="209"/>
        <v>0</v>
      </c>
      <c r="AD522" s="224"/>
      <c r="AE522" s="225"/>
      <c r="AF522" s="226">
        <f t="shared" si="210"/>
        <v>0</v>
      </c>
      <c r="AG522" s="227">
        <f t="shared" si="211"/>
        <v>0</v>
      </c>
      <c r="AH522" s="228" t="s">
        <v>25</v>
      </c>
      <c r="AI522" s="229" t="str">
        <f t="shared" si="197"/>
        <v>Extremamente Complexa</v>
      </c>
      <c r="AJ522" s="230" t="str">
        <f t="shared" si="198"/>
        <v>Normal</v>
      </c>
      <c r="AK522" s="231">
        <f t="shared" si="212"/>
        <v>0</v>
      </c>
      <c r="AL522" s="232" t="str">
        <f t="shared" si="213"/>
        <v/>
      </c>
      <c r="AM522" s="233" t="str">
        <f t="shared" si="214"/>
        <v/>
      </c>
      <c r="AN522" s="233" t="str">
        <f t="shared" si="215"/>
        <v/>
      </c>
      <c r="AO522" s="234">
        <f t="shared" si="216"/>
        <v>0</v>
      </c>
      <c r="AP522" s="235">
        <f t="shared" si="200"/>
        <v>1</v>
      </c>
      <c r="AQ522" s="235">
        <f t="shared" si="200"/>
        <v>1</v>
      </c>
      <c r="AR522" s="235">
        <f t="shared" si="217"/>
        <v>1</v>
      </c>
      <c r="AS522" s="252">
        <f t="shared" si="218"/>
        <v>0</v>
      </c>
      <c r="AT522" s="238">
        <f t="shared" si="219"/>
        <v>0</v>
      </c>
      <c r="AU522" s="239">
        <f t="shared" si="220"/>
        <v>0</v>
      </c>
      <c r="AV522" s="239">
        <f t="shared" si="221"/>
        <v>0</v>
      </c>
      <c r="AW522" s="239">
        <f t="shared" si="222"/>
        <v>0.05</v>
      </c>
      <c r="AX522" s="240">
        <f t="shared" si="223"/>
        <v>0</v>
      </c>
      <c r="AY522" s="241" t="str">
        <f t="shared" si="224"/>
        <v/>
      </c>
      <c r="AZ522" s="242" t="str">
        <f>IFERROR(VLOOKUP(M522,'[1]Base Brasil Obras'!$C$2:$F$485,4,0),"")</f>
        <v/>
      </c>
      <c r="BA522" s="243">
        <f t="shared" si="225"/>
        <v>0</v>
      </c>
      <c r="BB522" s="244">
        <f t="shared" si="226"/>
        <v>0</v>
      </c>
      <c r="BC522" s="244">
        <f t="shared" si="227"/>
        <v>0.05</v>
      </c>
      <c r="BD522" s="245">
        <f t="shared" si="228"/>
        <v>0.95</v>
      </c>
      <c r="BE522" s="246">
        <f t="shared" si="229"/>
        <v>0</v>
      </c>
      <c r="BF522" s="247">
        <v>0</v>
      </c>
      <c r="BG522" s="248">
        <f t="shared" si="230"/>
        <v>1</v>
      </c>
      <c r="BH522" s="198"/>
      <c r="BI522" s="198"/>
      <c r="BJ522" s="199"/>
      <c r="BK522" s="200"/>
      <c r="BL522" s="200"/>
      <c r="BM522" s="200"/>
      <c r="BN522" s="200"/>
      <c r="BO522" s="10"/>
    </row>
    <row r="523" spans="1:67" ht="18" x14ac:dyDescent="0.25">
      <c r="A523" s="201">
        <v>415</v>
      </c>
      <c r="B523" s="286"/>
      <c r="C523" s="203">
        <f t="shared" si="201"/>
        <v>0</v>
      </c>
      <c r="D523" s="204"/>
      <c r="E523" s="204"/>
      <c r="F523" s="207"/>
      <c r="G523" s="206"/>
      <c r="H523" s="207"/>
      <c r="I523" s="208" t="s">
        <v>125</v>
      </c>
      <c r="J523" s="208" t="s">
        <v>126</v>
      </c>
      <c r="K523" s="287"/>
      <c r="L523" s="288"/>
      <c r="M523" s="289"/>
      <c r="N523" s="257"/>
      <c r="O523" s="213"/>
      <c r="P523" s="214"/>
      <c r="Q523" s="214"/>
      <c r="R523" s="214"/>
      <c r="S523" s="214"/>
      <c r="T523" s="214"/>
      <c r="U523" s="215">
        <f t="shared" si="202"/>
        <v>0</v>
      </c>
      <c r="V523" s="216" t="str">
        <f t="shared" si="203"/>
        <v/>
      </c>
      <c r="W523" s="217" t="str">
        <f t="shared" si="204"/>
        <v/>
      </c>
      <c r="X523" s="218" t="s">
        <v>20</v>
      </c>
      <c r="Y523" s="219" t="str">
        <f t="shared" si="205"/>
        <v>0 um/Dia</v>
      </c>
      <c r="Z523" s="220" t="str">
        <f t="shared" si="206"/>
        <v xml:space="preserve"> um / HH</v>
      </c>
      <c r="AA523" s="221" t="str">
        <f t="shared" si="207"/>
        <v/>
      </c>
      <c r="AB523" s="222" t="str">
        <f t="shared" si="208"/>
        <v>0 um /HH</v>
      </c>
      <c r="AC523" s="223">
        <f t="shared" si="209"/>
        <v>0</v>
      </c>
      <c r="AD523" s="224"/>
      <c r="AE523" s="225"/>
      <c r="AF523" s="226">
        <f t="shared" si="210"/>
        <v>0</v>
      </c>
      <c r="AG523" s="227">
        <f t="shared" si="211"/>
        <v>0</v>
      </c>
      <c r="AH523" s="228" t="s">
        <v>25</v>
      </c>
      <c r="AI523" s="229" t="str">
        <f t="shared" si="197"/>
        <v>Extremamente Complexa</v>
      </c>
      <c r="AJ523" s="230" t="str">
        <f t="shared" si="198"/>
        <v>Normal</v>
      </c>
      <c r="AK523" s="231">
        <f t="shared" si="212"/>
        <v>0</v>
      </c>
      <c r="AL523" s="232" t="str">
        <f t="shared" si="213"/>
        <v/>
      </c>
      <c r="AM523" s="233" t="str">
        <f t="shared" si="214"/>
        <v/>
      </c>
      <c r="AN523" s="233" t="str">
        <f t="shared" si="215"/>
        <v/>
      </c>
      <c r="AO523" s="234">
        <f t="shared" si="216"/>
        <v>0</v>
      </c>
      <c r="AP523" s="235">
        <f t="shared" si="200"/>
        <v>1</v>
      </c>
      <c r="AQ523" s="235">
        <f t="shared" si="200"/>
        <v>1</v>
      </c>
      <c r="AR523" s="236">
        <f t="shared" si="217"/>
        <v>1</v>
      </c>
      <c r="AS523" s="251">
        <f t="shared" si="218"/>
        <v>0</v>
      </c>
      <c r="AT523" s="238">
        <f t="shared" si="219"/>
        <v>0</v>
      </c>
      <c r="AU523" s="239">
        <f t="shared" si="220"/>
        <v>0</v>
      </c>
      <c r="AV523" s="239">
        <f t="shared" si="221"/>
        <v>0</v>
      </c>
      <c r="AW523" s="239">
        <f t="shared" si="222"/>
        <v>0.05</v>
      </c>
      <c r="AX523" s="240">
        <f t="shared" si="223"/>
        <v>0</v>
      </c>
      <c r="AY523" s="241" t="str">
        <f t="shared" si="224"/>
        <v/>
      </c>
      <c r="AZ523" s="242" t="str">
        <f>IFERROR(VLOOKUP(M523,'[1]Base Brasil Obras'!$C$2:$F$485,4,0),"")</f>
        <v/>
      </c>
      <c r="BA523" s="243">
        <f t="shared" si="225"/>
        <v>0</v>
      </c>
      <c r="BB523" s="244">
        <f t="shared" si="226"/>
        <v>0</v>
      </c>
      <c r="BC523" s="244">
        <f t="shared" si="227"/>
        <v>0.05</v>
      </c>
      <c r="BD523" s="245">
        <f t="shared" si="228"/>
        <v>0.95</v>
      </c>
      <c r="BE523" s="246">
        <f t="shared" si="229"/>
        <v>0</v>
      </c>
      <c r="BF523" s="247">
        <v>0</v>
      </c>
      <c r="BG523" s="248">
        <f t="shared" si="230"/>
        <v>1</v>
      </c>
      <c r="BH523" s="198"/>
      <c r="BI523" s="198"/>
      <c r="BJ523" s="199"/>
      <c r="BK523" s="200"/>
      <c r="BL523" s="200"/>
      <c r="BM523" s="200"/>
      <c r="BN523" s="200"/>
      <c r="BO523" s="10"/>
    </row>
    <row r="524" spans="1:67" ht="18" x14ac:dyDescent="0.25">
      <c r="A524" s="201">
        <v>416</v>
      </c>
      <c r="B524" s="286"/>
      <c r="C524" s="203">
        <f t="shared" si="201"/>
        <v>0</v>
      </c>
      <c r="D524" s="204"/>
      <c r="E524" s="204"/>
      <c r="F524" s="207"/>
      <c r="G524" s="206"/>
      <c r="H524" s="207"/>
      <c r="I524" s="208" t="s">
        <v>125</v>
      </c>
      <c r="J524" s="208" t="s">
        <v>126</v>
      </c>
      <c r="K524" s="287"/>
      <c r="L524" s="288"/>
      <c r="M524" s="289"/>
      <c r="N524" s="257"/>
      <c r="O524" s="213"/>
      <c r="P524" s="214"/>
      <c r="Q524" s="214"/>
      <c r="R524" s="214"/>
      <c r="S524" s="214"/>
      <c r="T524" s="214"/>
      <c r="U524" s="215">
        <f t="shared" si="202"/>
        <v>0</v>
      </c>
      <c r="V524" s="216" t="str">
        <f t="shared" si="203"/>
        <v/>
      </c>
      <c r="W524" s="217" t="str">
        <f t="shared" si="204"/>
        <v/>
      </c>
      <c r="X524" s="218" t="s">
        <v>20</v>
      </c>
      <c r="Y524" s="219" t="str">
        <f t="shared" si="205"/>
        <v>0 um/Dia</v>
      </c>
      <c r="Z524" s="220" t="str">
        <f t="shared" si="206"/>
        <v xml:space="preserve"> um / HH</v>
      </c>
      <c r="AA524" s="221" t="str">
        <f t="shared" si="207"/>
        <v/>
      </c>
      <c r="AB524" s="222" t="str">
        <f t="shared" si="208"/>
        <v>0 um /HH</v>
      </c>
      <c r="AC524" s="223">
        <f t="shared" si="209"/>
        <v>0</v>
      </c>
      <c r="AD524" s="224"/>
      <c r="AE524" s="225"/>
      <c r="AF524" s="226">
        <f t="shared" si="210"/>
        <v>0</v>
      </c>
      <c r="AG524" s="227">
        <f t="shared" si="211"/>
        <v>0</v>
      </c>
      <c r="AH524" s="228" t="s">
        <v>25</v>
      </c>
      <c r="AI524" s="229" t="str">
        <f t="shared" si="197"/>
        <v>Extremamente Complexa</v>
      </c>
      <c r="AJ524" s="230" t="str">
        <f t="shared" si="198"/>
        <v>Normal</v>
      </c>
      <c r="AK524" s="231">
        <f t="shared" si="212"/>
        <v>0</v>
      </c>
      <c r="AL524" s="232" t="str">
        <f t="shared" si="213"/>
        <v/>
      </c>
      <c r="AM524" s="233" t="str">
        <f t="shared" si="214"/>
        <v/>
      </c>
      <c r="AN524" s="233" t="str">
        <f t="shared" si="215"/>
        <v/>
      </c>
      <c r="AO524" s="234">
        <f t="shared" si="216"/>
        <v>0</v>
      </c>
      <c r="AP524" s="235">
        <f t="shared" si="200"/>
        <v>1</v>
      </c>
      <c r="AQ524" s="235">
        <f t="shared" si="200"/>
        <v>1</v>
      </c>
      <c r="AR524" s="235">
        <f t="shared" si="217"/>
        <v>1</v>
      </c>
      <c r="AS524" s="252">
        <f t="shared" si="218"/>
        <v>0</v>
      </c>
      <c r="AT524" s="238">
        <f t="shared" si="219"/>
        <v>0</v>
      </c>
      <c r="AU524" s="239">
        <f t="shared" si="220"/>
        <v>0</v>
      </c>
      <c r="AV524" s="239">
        <f t="shared" si="221"/>
        <v>0</v>
      </c>
      <c r="AW524" s="239">
        <f t="shared" si="222"/>
        <v>0.05</v>
      </c>
      <c r="AX524" s="240">
        <f t="shared" si="223"/>
        <v>0</v>
      </c>
      <c r="AY524" s="241" t="str">
        <f t="shared" si="224"/>
        <v/>
      </c>
      <c r="AZ524" s="242" t="str">
        <f>IFERROR(VLOOKUP(M524,'[1]Base Brasil Obras'!$C$2:$F$485,4,0),"")</f>
        <v/>
      </c>
      <c r="BA524" s="243">
        <f t="shared" si="225"/>
        <v>0</v>
      </c>
      <c r="BB524" s="244">
        <f t="shared" si="226"/>
        <v>0</v>
      </c>
      <c r="BC524" s="244">
        <f t="shared" si="227"/>
        <v>0.05</v>
      </c>
      <c r="BD524" s="245">
        <f t="shared" si="228"/>
        <v>0.95</v>
      </c>
      <c r="BE524" s="246">
        <f t="shared" si="229"/>
        <v>0</v>
      </c>
      <c r="BF524" s="247">
        <v>0</v>
      </c>
      <c r="BG524" s="248">
        <f t="shared" si="230"/>
        <v>1</v>
      </c>
      <c r="BH524" s="198"/>
      <c r="BI524" s="198"/>
      <c r="BJ524" s="199"/>
      <c r="BK524" s="200"/>
      <c r="BL524" s="200"/>
      <c r="BM524" s="200"/>
      <c r="BN524" s="200"/>
      <c r="BO524" s="10"/>
    </row>
    <row r="525" spans="1:67" ht="18" x14ac:dyDescent="0.25">
      <c r="A525" s="201">
        <v>417</v>
      </c>
      <c r="B525" s="286"/>
      <c r="C525" s="203">
        <f t="shared" si="201"/>
        <v>0</v>
      </c>
      <c r="D525" s="204"/>
      <c r="E525" s="204"/>
      <c r="F525" s="207"/>
      <c r="G525" s="206"/>
      <c r="H525" s="207"/>
      <c r="I525" s="208" t="s">
        <v>125</v>
      </c>
      <c r="J525" s="208" t="s">
        <v>126</v>
      </c>
      <c r="K525" s="287"/>
      <c r="L525" s="288"/>
      <c r="M525" s="289"/>
      <c r="N525" s="257"/>
      <c r="O525" s="213"/>
      <c r="P525" s="214"/>
      <c r="Q525" s="214"/>
      <c r="R525" s="214"/>
      <c r="S525" s="214"/>
      <c r="T525" s="214"/>
      <c r="U525" s="215">
        <f t="shared" si="202"/>
        <v>0</v>
      </c>
      <c r="V525" s="216" t="str">
        <f t="shared" si="203"/>
        <v/>
      </c>
      <c r="W525" s="217" t="str">
        <f t="shared" si="204"/>
        <v/>
      </c>
      <c r="X525" s="218" t="s">
        <v>20</v>
      </c>
      <c r="Y525" s="219" t="str">
        <f t="shared" si="205"/>
        <v>0 um/Dia</v>
      </c>
      <c r="Z525" s="220" t="str">
        <f t="shared" si="206"/>
        <v xml:space="preserve"> um / HH</v>
      </c>
      <c r="AA525" s="221" t="str">
        <f t="shared" si="207"/>
        <v/>
      </c>
      <c r="AB525" s="222" t="str">
        <f t="shared" si="208"/>
        <v>0 um /HH</v>
      </c>
      <c r="AC525" s="223">
        <f t="shared" si="209"/>
        <v>0</v>
      </c>
      <c r="AD525" s="224"/>
      <c r="AE525" s="225"/>
      <c r="AF525" s="226">
        <f t="shared" si="210"/>
        <v>0</v>
      </c>
      <c r="AG525" s="227">
        <f t="shared" si="211"/>
        <v>0</v>
      </c>
      <c r="AH525" s="228" t="s">
        <v>25</v>
      </c>
      <c r="AI525" s="229" t="str">
        <f t="shared" si="197"/>
        <v>Extremamente Complexa</v>
      </c>
      <c r="AJ525" s="230" t="str">
        <f t="shared" si="198"/>
        <v>Normal</v>
      </c>
      <c r="AK525" s="231">
        <f t="shared" si="212"/>
        <v>0</v>
      </c>
      <c r="AL525" s="232" t="str">
        <f t="shared" si="213"/>
        <v/>
      </c>
      <c r="AM525" s="233" t="str">
        <f t="shared" si="214"/>
        <v/>
      </c>
      <c r="AN525" s="233" t="str">
        <f t="shared" si="215"/>
        <v/>
      </c>
      <c r="AO525" s="234">
        <f t="shared" si="216"/>
        <v>0</v>
      </c>
      <c r="AP525" s="235">
        <f t="shared" si="200"/>
        <v>1</v>
      </c>
      <c r="AQ525" s="235">
        <f t="shared" si="200"/>
        <v>1</v>
      </c>
      <c r="AR525" s="236">
        <f t="shared" si="217"/>
        <v>1</v>
      </c>
      <c r="AS525" s="251">
        <f t="shared" si="218"/>
        <v>0</v>
      </c>
      <c r="AT525" s="238">
        <f t="shared" si="219"/>
        <v>0</v>
      </c>
      <c r="AU525" s="239">
        <f t="shared" si="220"/>
        <v>0</v>
      </c>
      <c r="AV525" s="239">
        <f t="shared" si="221"/>
        <v>0</v>
      </c>
      <c r="AW525" s="239">
        <f t="shared" si="222"/>
        <v>0.05</v>
      </c>
      <c r="AX525" s="240">
        <f t="shared" si="223"/>
        <v>0</v>
      </c>
      <c r="AY525" s="241" t="str">
        <f t="shared" si="224"/>
        <v/>
      </c>
      <c r="AZ525" s="242" t="str">
        <f>IFERROR(VLOOKUP(M525,'[1]Base Brasil Obras'!$C$2:$F$485,4,0),"")</f>
        <v/>
      </c>
      <c r="BA525" s="243">
        <f t="shared" si="225"/>
        <v>0</v>
      </c>
      <c r="BB525" s="244">
        <f t="shared" si="226"/>
        <v>0</v>
      </c>
      <c r="BC525" s="244">
        <f t="shared" si="227"/>
        <v>0.05</v>
      </c>
      <c r="BD525" s="245">
        <f t="shared" si="228"/>
        <v>0.95</v>
      </c>
      <c r="BE525" s="246">
        <f t="shared" si="229"/>
        <v>0</v>
      </c>
      <c r="BF525" s="247">
        <v>0</v>
      </c>
      <c r="BG525" s="248">
        <f t="shared" si="230"/>
        <v>1</v>
      </c>
      <c r="BH525" s="198"/>
      <c r="BI525" s="198"/>
      <c r="BJ525" s="199"/>
      <c r="BK525" s="200"/>
      <c r="BL525" s="200"/>
      <c r="BM525" s="200"/>
      <c r="BN525" s="200"/>
      <c r="BO525" s="10"/>
    </row>
    <row r="526" spans="1:67" ht="18" x14ac:dyDescent="0.25">
      <c r="A526" s="201">
        <v>418</v>
      </c>
      <c r="B526" s="286"/>
      <c r="C526" s="203">
        <f t="shared" si="201"/>
        <v>0</v>
      </c>
      <c r="D526" s="204"/>
      <c r="E526" s="204"/>
      <c r="F526" s="207"/>
      <c r="G526" s="206"/>
      <c r="H526" s="207"/>
      <c r="I526" s="208" t="s">
        <v>125</v>
      </c>
      <c r="J526" s="208" t="s">
        <v>126</v>
      </c>
      <c r="K526" s="287"/>
      <c r="L526" s="288"/>
      <c r="M526" s="289"/>
      <c r="N526" s="257"/>
      <c r="O526" s="213"/>
      <c r="P526" s="214"/>
      <c r="Q526" s="214"/>
      <c r="R526" s="214"/>
      <c r="S526" s="214"/>
      <c r="T526" s="214"/>
      <c r="U526" s="215">
        <f t="shared" si="202"/>
        <v>0</v>
      </c>
      <c r="V526" s="216" t="str">
        <f t="shared" si="203"/>
        <v/>
      </c>
      <c r="W526" s="217" t="str">
        <f t="shared" si="204"/>
        <v/>
      </c>
      <c r="X526" s="218" t="s">
        <v>20</v>
      </c>
      <c r="Y526" s="219" t="str">
        <f t="shared" si="205"/>
        <v>0 um/Dia</v>
      </c>
      <c r="Z526" s="220" t="str">
        <f t="shared" si="206"/>
        <v xml:space="preserve"> um / HH</v>
      </c>
      <c r="AA526" s="221" t="str">
        <f t="shared" si="207"/>
        <v/>
      </c>
      <c r="AB526" s="222" t="str">
        <f t="shared" si="208"/>
        <v>0 um /HH</v>
      </c>
      <c r="AC526" s="223">
        <f t="shared" si="209"/>
        <v>0</v>
      </c>
      <c r="AD526" s="224"/>
      <c r="AE526" s="225"/>
      <c r="AF526" s="226">
        <f t="shared" si="210"/>
        <v>0</v>
      </c>
      <c r="AG526" s="227">
        <f t="shared" si="211"/>
        <v>0</v>
      </c>
      <c r="AH526" s="228" t="s">
        <v>25</v>
      </c>
      <c r="AI526" s="229" t="str">
        <f t="shared" si="197"/>
        <v>Extremamente Complexa</v>
      </c>
      <c r="AJ526" s="230" t="str">
        <f t="shared" si="198"/>
        <v>Normal</v>
      </c>
      <c r="AK526" s="231">
        <f t="shared" si="212"/>
        <v>0</v>
      </c>
      <c r="AL526" s="232" t="str">
        <f t="shared" si="213"/>
        <v/>
      </c>
      <c r="AM526" s="233" t="str">
        <f t="shared" si="214"/>
        <v/>
      </c>
      <c r="AN526" s="233" t="str">
        <f t="shared" si="215"/>
        <v/>
      </c>
      <c r="AO526" s="234">
        <f t="shared" si="216"/>
        <v>0</v>
      </c>
      <c r="AP526" s="235">
        <f t="shared" si="200"/>
        <v>1</v>
      </c>
      <c r="AQ526" s="235">
        <f t="shared" si="200"/>
        <v>1</v>
      </c>
      <c r="AR526" s="235">
        <f t="shared" si="217"/>
        <v>1</v>
      </c>
      <c r="AS526" s="252">
        <f t="shared" si="218"/>
        <v>0</v>
      </c>
      <c r="AT526" s="238">
        <f t="shared" si="219"/>
        <v>0</v>
      </c>
      <c r="AU526" s="239">
        <f t="shared" si="220"/>
        <v>0</v>
      </c>
      <c r="AV526" s="239">
        <f t="shared" si="221"/>
        <v>0</v>
      </c>
      <c r="AW526" s="239">
        <f t="shared" si="222"/>
        <v>0.05</v>
      </c>
      <c r="AX526" s="240">
        <f t="shared" si="223"/>
        <v>0</v>
      </c>
      <c r="AY526" s="241" t="str">
        <f t="shared" si="224"/>
        <v/>
      </c>
      <c r="AZ526" s="242" t="str">
        <f>IFERROR(VLOOKUP(M526,'[1]Base Brasil Obras'!$C$2:$F$485,4,0),"")</f>
        <v/>
      </c>
      <c r="BA526" s="243">
        <f t="shared" si="225"/>
        <v>0</v>
      </c>
      <c r="BB526" s="244">
        <f t="shared" si="226"/>
        <v>0</v>
      </c>
      <c r="BC526" s="244">
        <f t="shared" si="227"/>
        <v>0.05</v>
      </c>
      <c r="BD526" s="245">
        <f t="shared" si="228"/>
        <v>0.95</v>
      </c>
      <c r="BE526" s="246">
        <f t="shared" si="229"/>
        <v>0</v>
      </c>
      <c r="BF526" s="247">
        <v>0</v>
      </c>
      <c r="BG526" s="248">
        <f t="shared" si="230"/>
        <v>1</v>
      </c>
      <c r="BH526" s="198"/>
      <c r="BI526" s="198"/>
      <c r="BJ526" s="199"/>
      <c r="BK526" s="200"/>
      <c r="BL526" s="200"/>
      <c r="BM526" s="200"/>
      <c r="BN526" s="200"/>
      <c r="BO526" s="10"/>
    </row>
    <row r="527" spans="1:67" ht="18" x14ac:dyDescent="0.25">
      <c r="A527" s="201">
        <v>419</v>
      </c>
      <c r="B527" s="286"/>
      <c r="C527" s="203">
        <f t="shared" si="201"/>
        <v>0</v>
      </c>
      <c r="D527" s="204"/>
      <c r="E527" s="204"/>
      <c r="F527" s="207"/>
      <c r="G527" s="206"/>
      <c r="H527" s="207"/>
      <c r="I527" s="208" t="s">
        <v>125</v>
      </c>
      <c r="J527" s="208" t="s">
        <v>126</v>
      </c>
      <c r="K527" s="287"/>
      <c r="L527" s="288"/>
      <c r="M527" s="289"/>
      <c r="N527" s="257"/>
      <c r="O527" s="213"/>
      <c r="P527" s="214"/>
      <c r="Q527" s="214"/>
      <c r="R527" s="214"/>
      <c r="S527" s="214"/>
      <c r="T527" s="214"/>
      <c r="U527" s="215">
        <f t="shared" si="202"/>
        <v>0</v>
      </c>
      <c r="V527" s="216" t="str">
        <f t="shared" si="203"/>
        <v/>
      </c>
      <c r="W527" s="217" t="str">
        <f t="shared" si="204"/>
        <v/>
      </c>
      <c r="X527" s="218" t="s">
        <v>20</v>
      </c>
      <c r="Y527" s="219" t="str">
        <f t="shared" si="205"/>
        <v>0 um/Dia</v>
      </c>
      <c r="Z527" s="220" t="str">
        <f t="shared" si="206"/>
        <v xml:space="preserve"> um / HH</v>
      </c>
      <c r="AA527" s="221" t="str">
        <f t="shared" si="207"/>
        <v/>
      </c>
      <c r="AB527" s="222" t="str">
        <f t="shared" si="208"/>
        <v>0 um /HH</v>
      </c>
      <c r="AC527" s="223">
        <f t="shared" si="209"/>
        <v>0</v>
      </c>
      <c r="AD527" s="224"/>
      <c r="AE527" s="225"/>
      <c r="AF527" s="226">
        <f t="shared" si="210"/>
        <v>0</v>
      </c>
      <c r="AG527" s="227">
        <f t="shared" si="211"/>
        <v>0</v>
      </c>
      <c r="AH527" s="228" t="s">
        <v>25</v>
      </c>
      <c r="AI527" s="229" t="str">
        <f t="shared" si="197"/>
        <v>Extremamente Complexa</v>
      </c>
      <c r="AJ527" s="230" t="str">
        <f t="shared" si="198"/>
        <v>Normal</v>
      </c>
      <c r="AK527" s="231">
        <f t="shared" si="212"/>
        <v>0</v>
      </c>
      <c r="AL527" s="232" t="str">
        <f t="shared" si="213"/>
        <v/>
      </c>
      <c r="AM527" s="233" t="str">
        <f t="shared" si="214"/>
        <v/>
      </c>
      <c r="AN527" s="233" t="str">
        <f t="shared" si="215"/>
        <v/>
      </c>
      <c r="AO527" s="234">
        <f t="shared" si="216"/>
        <v>0</v>
      </c>
      <c r="AP527" s="235">
        <f t="shared" si="200"/>
        <v>1</v>
      </c>
      <c r="AQ527" s="235">
        <f t="shared" si="200"/>
        <v>1</v>
      </c>
      <c r="AR527" s="236">
        <f t="shared" si="217"/>
        <v>1</v>
      </c>
      <c r="AS527" s="251">
        <f t="shared" si="218"/>
        <v>0</v>
      </c>
      <c r="AT527" s="238">
        <f t="shared" si="219"/>
        <v>0</v>
      </c>
      <c r="AU527" s="239">
        <f t="shared" si="220"/>
        <v>0</v>
      </c>
      <c r="AV527" s="239">
        <f t="shared" si="221"/>
        <v>0</v>
      </c>
      <c r="AW527" s="239">
        <f t="shared" si="222"/>
        <v>0.05</v>
      </c>
      <c r="AX527" s="240">
        <f t="shared" si="223"/>
        <v>0</v>
      </c>
      <c r="AY527" s="241" t="str">
        <f t="shared" si="224"/>
        <v/>
      </c>
      <c r="AZ527" s="242" t="str">
        <f>IFERROR(VLOOKUP(M527,'[1]Base Brasil Obras'!$C$2:$F$485,4,0),"")</f>
        <v/>
      </c>
      <c r="BA527" s="243">
        <f t="shared" si="225"/>
        <v>0</v>
      </c>
      <c r="BB527" s="244">
        <f t="shared" si="226"/>
        <v>0</v>
      </c>
      <c r="BC527" s="244">
        <f t="shared" si="227"/>
        <v>0.05</v>
      </c>
      <c r="BD527" s="245">
        <f t="shared" si="228"/>
        <v>0.95</v>
      </c>
      <c r="BE527" s="246">
        <f t="shared" si="229"/>
        <v>0</v>
      </c>
      <c r="BF527" s="247">
        <v>0</v>
      </c>
      <c r="BG527" s="248">
        <f t="shared" si="230"/>
        <v>1</v>
      </c>
      <c r="BH527" s="198"/>
      <c r="BI527" s="198"/>
      <c r="BJ527" s="199"/>
      <c r="BK527" s="200"/>
      <c r="BL527" s="200"/>
      <c r="BM527" s="200"/>
      <c r="BN527" s="200"/>
      <c r="BO527" s="10"/>
    </row>
    <row r="528" spans="1:67" ht="18" x14ac:dyDescent="0.25">
      <c r="A528" s="201">
        <v>420</v>
      </c>
      <c r="B528" s="286"/>
      <c r="C528" s="203">
        <f t="shared" si="201"/>
        <v>0</v>
      </c>
      <c r="D528" s="204"/>
      <c r="E528" s="204"/>
      <c r="F528" s="207"/>
      <c r="G528" s="206"/>
      <c r="H528" s="207"/>
      <c r="I528" s="208" t="s">
        <v>125</v>
      </c>
      <c r="J528" s="208" t="s">
        <v>126</v>
      </c>
      <c r="K528" s="287"/>
      <c r="L528" s="288"/>
      <c r="M528" s="289"/>
      <c r="N528" s="257"/>
      <c r="O528" s="213"/>
      <c r="P528" s="214"/>
      <c r="Q528" s="214"/>
      <c r="R528" s="214"/>
      <c r="S528" s="214"/>
      <c r="T528" s="214"/>
      <c r="U528" s="215">
        <f t="shared" si="202"/>
        <v>0</v>
      </c>
      <c r="V528" s="216" t="str">
        <f t="shared" si="203"/>
        <v/>
      </c>
      <c r="W528" s="217" t="str">
        <f t="shared" si="204"/>
        <v/>
      </c>
      <c r="X528" s="218" t="s">
        <v>20</v>
      </c>
      <c r="Y528" s="219" t="str">
        <f t="shared" si="205"/>
        <v>0 um/Dia</v>
      </c>
      <c r="Z528" s="220" t="str">
        <f t="shared" si="206"/>
        <v xml:space="preserve"> um / HH</v>
      </c>
      <c r="AA528" s="221" t="str">
        <f t="shared" si="207"/>
        <v/>
      </c>
      <c r="AB528" s="222" t="str">
        <f t="shared" si="208"/>
        <v>0 um /HH</v>
      </c>
      <c r="AC528" s="223">
        <f t="shared" si="209"/>
        <v>0</v>
      </c>
      <c r="AD528" s="224"/>
      <c r="AE528" s="225"/>
      <c r="AF528" s="226">
        <f t="shared" si="210"/>
        <v>0</v>
      </c>
      <c r="AG528" s="227">
        <f t="shared" si="211"/>
        <v>0</v>
      </c>
      <c r="AH528" s="228" t="s">
        <v>25</v>
      </c>
      <c r="AI528" s="229" t="str">
        <f t="shared" si="197"/>
        <v>Extremamente Complexa</v>
      </c>
      <c r="AJ528" s="230" t="str">
        <f t="shared" si="198"/>
        <v>Normal</v>
      </c>
      <c r="AK528" s="231">
        <f t="shared" si="212"/>
        <v>0</v>
      </c>
      <c r="AL528" s="232" t="str">
        <f t="shared" si="213"/>
        <v/>
      </c>
      <c r="AM528" s="233" t="str">
        <f t="shared" si="214"/>
        <v/>
      </c>
      <c r="AN528" s="233" t="str">
        <f t="shared" si="215"/>
        <v/>
      </c>
      <c r="AO528" s="234">
        <f t="shared" si="216"/>
        <v>0</v>
      </c>
      <c r="AP528" s="235">
        <f t="shared" si="200"/>
        <v>1</v>
      </c>
      <c r="AQ528" s="235">
        <f t="shared" si="200"/>
        <v>1</v>
      </c>
      <c r="AR528" s="235">
        <f t="shared" si="217"/>
        <v>1</v>
      </c>
      <c r="AS528" s="252">
        <f t="shared" si="218"/>
        <v>0</v>
      </c>
      <c r="AT528" s="238">
        <f t="shared" si="219"/>
        <v>0</v>
      </c>
      <c r="AU528" s="239">
        <f t="shared" si="220"/>
        <v>0</v>
      </c>
      <c r="AV528" s="239">
        <f t="shared" si="221"/>
        <v>0</v>
      </c>
      <c r="AW528" s="239">
        <f t="shared" si="222"/>
        <v>0.05</v>
      </c>
      <c r="AX528" s="240">
        <f t="shared" si="223"/>
        <v>0</v>
      </c>
      <c r="AY528" s="241" t="str">
        <f t="shared" si="224"/>
        <v/>
      </c>
      <c r="AZ528" s="242" t="str">
        <f>IFERROR(VLOOKUP(M528,'[1]Base Brasil Obras'!$C$2:$F$485,4,0),"")</f>
        <v/>
      </c>
      <c r="BA528" s="243">
        <f t="shared" si="225"/>
        <v>0</v>
      </c>
      <c r="BB528" s="244">
        <f t="shared" si="226"/>
        <v>0</v>
      </c>
      <c r="BC528" s="244">
        <f t="shared" si="227"/>
        <v>0.05</v>
      </c>
      <c r="BD528" s="245">
        <f t="shared" si="228"/>
        <v>0.95</v>
      </c>
      <c r="BE528" s="246">
        <f t="shared" si="229"/>
        <v>0</v>
      </c>
      <c r="BF528" s="247">
        <v>0</v>
      </c>
      <c r="BG528" s="248">
        <f t="shared" si="230"/>
        <v>1</v>
      </c>
      <c r="BH528" s="198"/>
      <c r="BI528" s="198"/>
      <c r="BJ528" s="199"/>
      <c r="BK528" s="200"/>
      <c r="BL528" s="200"/>
      <c r="BM528" s="200"/>
      <c r="BN528" s="200"/>
      <c r="BO528" s="10"/>
    </row>
    <row r="529" spans="1:67" ht="18" x14ac:dyDescent="0.25">
      <c r="A529" s="201">
        <v>421</v>
      </c>
      <c r="B529" s="286"/>
      <c r="C529" s="203">
        <f t="shared" si="201"/>
        <v>0</v>
      </c>
      <c r="D529" s="204"/>
      <c r="E529" s="204"/>
      <c r="F529" s="207"/>
      <c r="G529" s="206"/>
      <c r="H529" s="207"/>
      <c r="I529" s="208" t="s">
        <v>125</v>
      </c>
      <c r="J529" s="208" t="s">
        <v>126</v>
      </c>
      <c r="K529" s="287"/>
      <c r="L529" s="288"/>
      <c r="M529" s="289"/>
      <c r="N529" s="257"/>
      <c r="O529" s="213"/>
      <c r="P529" s="214"/>
      <c r="Q529" s="214"/>
      <c r="R529" s="214"/>
      <c r="S529" s="214"/>
      <c r="T529" s="214"/>
      <c r="U529" s="215">
        <f t="shared" si="202"/>
        <v>0</v>
      </c>
      <c r="V529" s="216" t="str">
        <f t="shared" si="203"/>
        <v/>
      </c>
      <c r="W529" s="217" t="str">
        <f t="shared" si="204"/>
        <v/>
      </c>
      <c r="X529" s="218" t="s">
        <v>20</v>
      </c>
      <c r="Y529" s="219" t="str">
        <f t="shared" si="205"/>
        <v>0 um/Dia</v>
      </c>
      <c r="Z529" s="220" t="str">
        <f t="shared" si="206"/>
        <v xml:space="preserve"> um / HH</v>
      </c>
      <c r="AA529" s="221" t="str">
        <f t="shared" si="207"/>
        <v/>
      </c>
      <c r="AB529" s="222" t="str">
        <f t="shared" si="208"/>
        <v>0 um /HH</v>
      </c>
      <c r="AC529" s="223">
        <f t="shared" si="209"/>
        <v>0</v>
      </c>
      <c r="AD529" s="224"/>
      <c r="AE529" s="225"/>
      <c r="AF529" s="226">
        <f t="shared" si="210"/>
        <v>0</v>
      </c>
      <c r="AG529" s="227">
        <f t="shared" si="211"/>
        <v>0</v>
      </c>
      <c r="AH529" s="228" t="s">
        <v>25</v>
      </c>
      <c r="AI529" s="229" t="str">
        <f t="shared" si="197"/>
        <v>Extremamente Complexa</v>
      </c>
      <c r="AJ529" s="230" t="str">
        <f t="shared" si="198"/>
        <v>Normal</v>
      </c>
      <c r="AK529" s="231">
        <f t="shared" si="212"/>
        <v>0</v>
      </c>
      <c r="AL529" s="232" t="str">
        <f t="shared" si="213"/>
        <v/>
      </c>
      <c r="AM529" s="233" t="str">
        <f t="shared" si="214"/>
        <v/>
      </c>
      <c r="AN529" s="233" t="str">
        <f t="shared" si="215"/>
        <v/>
      </c>
      <c r="AO529" s="234">
        <f t="shared" si="216"/>
        <v>0</v>
      </c>
      <c r="AP529" s="235">
        <f t="shared" si="200"/>
        <v>1</v>
      </c>
      <c r="AQ529" s="235">
        <f t="shared" si="200"/>
        <v>1</v>
      </c>
      <c r="AR529" s="236">
        <f t="shared" si="217"/>
        <v>1</v>
      </c>
      <c r="AS529" s="251">
        <f t="shared" si="218"/>
        <v>0</v>
      </c>
      <c r="AT529" s="238">
        <f t="shared" si="219"/>
        <v>0</v>
      </c>
      <c r="AU529" s="239">
        <f t="shared" si="220"/>
        <v>0</v>
      </c>
      <c r="AV529" s="239">
        <f t="shared" si="221"/>
        <v>0</v>
      </c>
      <c r="AW529" s="239">
        <f t="shared" si="222"/>
        <v>0.05</v>
      </c>
      <c r="AX529" s="240">
        <f t="shared" si="223"/>
        <v>0</v>
      </c>
      <c r="AY529" s="241" t="str">
        <f t="shared" si="224"/>
        <v/>
      </c>
      <c r="AZ529" s="242" t="str">
        <f>IFERROR(VLOOKUP(M529,'[1]Base Brasil Obras'!$C$2:$F$485,4,0),"")</f>
        <v/>
      </c>
      <c r="BA529" s="243">
        <f t="shared" si="225"/>
        <v>0</v>
      </c>
      <c r="BB529" s="244">
        <f t="shared" si="226"/>
        <v>0</v>
      </c>
      <c r="BC529" s="244">
        <f t="shared" si="227"/>
        <v>0.05</v>
      </c>
      <c r="BD529" s="245">
        <f t="shared" si="228"/>
        <v>0.95</v>
      </c>
      <c r="BE529" s="246">
        <f t="shared" si="229"/>
        <v>0</v>
      </c>
      <c r="BF529" s="247">
        <v>0</v>
      </c>
      <c r="BG529" s="248">
        <f t="shared" si="230"/>
        <v>1</v>
      </c>
      <c r="BH529" s="198"/>
      <c r="BI529" s="198"/>
      <c r="BJ529" s="199"/>
      <c r="BK529" s="200"/>
      <c r="BL529" s="200"/>
      <c r="BM529" s="200"/>
      <c r="BN529" s="200"/>
      <c r="BO529" s="10"/>
    </row>
    <row r="530" spans="1:67" ht="18" x14ac:dyDescent="0.25">
      <c r="A530" s="201">
        <v>422</v>
      </c>
      <c r="B530" s="286"/>
      <c r="C530" s="203">
        <f t="shared" si="201"/>
        <v>0</v>
      </c>
      <c r="D530" s="204"/>
      <c r="E530" s="204"/>
      <c r="F530" s="207"/>
      <c r="G530" s="206"/>
      <c r="H530" s="207"/>
      <c r="I530" s="208" t="s">
        <v>125</v>
      </c>
      <c r="J530" s="208" t="s">
        <v>126</v>
      </c>
      <c r="K530" s="287"/>
      <c r="L530" s="288"/>
      <c r="M530" s="289"/>
      <c r="N530" s="257"/>
      <c r="O530" s="213"/>
      <c r="P530" s="214"/>
      <c r="Q530" s="214"/>
      <c r="R530" s="214"/>
      <c r="S530" s="214"/>
      <c r="T530" s="214"/>
      <c r="U530" s="215">
        <f t="shared" si="202"/>
        <v>0</v>
      </c>
      <c r="V530" s="216" t="str">
        <f t="shared" si="203"/>
        <v/>
      </c>
      <c r="W530" s="217" t="str">
        <f t="shared" si="204"/>
        <v/>
      </c>
      <c r="X530" s="218" t="s">
        <v>20</v>
      </c>
      <c r="Y530" s="219" t="str">
        <f t="shared" si="205"/>
        <v>0 um/Dia</v>
      </c>
      <c r="Z530" s="220" t="str">
        <f t="shared" si="206"/>
        <v xml:space="preserve"> um / HH</v>
      </c>
      <c r="AA530" s="221" t="str">
        <f t="shared" si="207"/>
        <v/>
      </c>
      <c r="AB530" s="222" t="str">
        <f t="shared" si="208"/>
        <v>0 um /HH</v>
      </c>
      <c r="AC530" s="223">
        <f t="shared" si="209"/>
        <v>0</v>
      </c>
      <c r="AD530" s="224"/>
      <c r="AE530" s="225"/>
      <c r="AF530" s="226">
        <f t="shared" si="210"/>
        <v>0</v>
      </c>
      <c r="AG530" s="227">
        <f t="shared" si="211"/>
        <v>0</v>
      </c>
      <c r="AH530" s="228" t="s">
        <v>25</v>
      </c>
      <c r="AI530" s="229" t="str">
        <f t="shared" si="197"/>
        <v>Extremamente Complexa</v>
      </c>
      <c r="AJ530" s="230" t="str">
        <f t="shared" si="198"/>
        <v>Normal</v>
      </c>
      <c r="AK530" s="231">
        <f t="shared" si="212"/>
        <v>0</v>
      </c>
      <c r="AL530" s="232" t="str">
        <f t="shared" si="213"/>
        <v/>
      </c>
      <c r="AM530" s="233" t="str">
        <f t="shared" si="214"/>
        <v/>
      </c>
      <c r="AN530" s="233" t="str">
        <f t="shared" si="215"/>
        <v/>
      </c>
      <c r="AO530" s="234">
        <f t="shared" si="216"/>
        <v>0</v>
      </c>
      <c r="AP530" s="235">
        <f t="shared" si="200"/>
        <v>1</v>
      </c>
      <c r="AQ530" s="235">
        <f t="shared" si="200"/>
        <v>1</v>
      </c>
      <c r="AR530" s="235">
        <f t="shared" si="217"/>
        <v>1</v>
      </c>
      <c r="AS530" s="252">
        <f t="shared" si="218"/>
        <v>0</v>
      </c>
      <c r="AT530" s="238">
        <f t="shared" si="219"/>
        <v>0</v>
      </c>
      <c r="AU530" s="239">
        <f t="shared" si="220"/>
        <v>0</v>
      </c>
      <c r="AV530" s="239">
        <f t="shared" si="221"/>
        <v>0</v>
      </c>
      <c r="AW530" s="239">
        <f t="shared" si="222"/>
        <v>0.05</v>
      </c>
      <c r="AX530" s="240">
        <f t="shared" si="223"/>
        <v>0</v>
      </c>
      <c r="AY530" s="241" t="str">
        <f t="shared" si="224"/>
        <v/>
      </c>
      <c r="AZ530" s="242" t="str">
        <f>IFERROR(VLOOKUP(M530,'[1]Base Brasil Obras'!$C$2:$F$485,4,0),"")</f>
        <v/>
      </c>
      <c r="BA530" s="243">
        <f t="shared" si="225"/>
        <v>0</v>
      </c>
      <c r="BB530" s="244">
        <f t="shared" si="226"/>
        <v>0</v>
      </c>
      <c r="BC530" s="244">
        <f t="shared" si="227"/>
        <v>0.05</v>
      </c>
      <c r="BD530" s="245">
        <f t="shared" si="228"/>
        <v>0.95</v>
      </c>
      <c r="BE530" s="246">
        <f t="shared" si="229"/>
        <v>0</v>
      </c>
      <c r="BF530" s="247">
        <v>0</v>
      </c>
      <c r="BG530" s="248">
        <f t="shared" si="230"/>
        <v>1</v>
      </c>
      <c r="BH530" s="198"/>
      <c r="BI530" s="198"/>
      <c r="BJ530" s="199"/>
      <c r="BK530" s="200"/>
      <c r="BL530" s="200"/>
      <c r="BM530" s="200"/>
      <c r="BN530" s="200"/>
      <c r="BO530" s="10"/>
    </row>
    <row r="531" spans="1:67" ht="18" x14ac:dyDescent="0.25">
      <c r="A531" s="201">
        <v>423</v>
      </c>
      <c r="B531" s="286"/>
      <c r="C531" s="203">
        <f t="shared" si="201"/>
        <v>0</v>
      </c>
      <c r="D531" s="204"/>
      <c r="E531" s="204"/>
      <c r="F531" s="207"/>
      <c r="G531" s="206"/>
      <c r="H531" s="207"/>
      <c r="I531" s="208" t="s">
        <v>125</v>
      </c>
      <c r="J531" s="208" t="s">
        <v>126</v>
      </c>
      <c r="K531" s="287"/>
      <c r="L531" s="288"/>
      <c r="M531" s="289"/>
      <c r="N531" s="257"/>
      <c r="O531" s="213"/>
      <c r="P531" s="214"/>
      <c r="Q531" s="214"/>
      <c r="R531" s="214"/>
      <c r="S531" s="214"/>
      <c r="T531" s="214"/>
      <c r="U531" s="215">
        <f t="shared" si="202"/>
        <v>0</v>
      </c>
      <c r="V531" s="216" t="str">
        <f t="shared" si="203"/>
        <v/>
      </c>
      <c r="W531" s="217" t="str">
        <f t="shared" si="204"/>
        <v/>
      </c>
      <c r="X531" s="218" t="s">
        <v>20</v>
      </c>
      <c r="Y531" s="219" t="str">
        <f t="shared" si="205"/>
        <v>0 um/Dia</v>
      </c>
      <c r="Z531" s="220" t="str">
        <f t="shared" si="206"/>
        <v xml:space="preserve"> um / HH</v>
      </c>
      <c r="AA531" s="221" t="str">
        <f t="shared" si="207"/>
        <v/>
      </c>
      <c r="AB531" s="222" t="str">
        <f t="shared" si="208"/>
        <v>0 um /HH</v>
      </c>
      <c r="AC531" s="223">
        <f t="shared" si="209"/>
        <v>0</v>
      </c>
      <c r="AD531" s="224"/>
      <c r="AE531" s="225"/>
      <c r="AF531" s="226">
        <f t="shared" si="210"/>
        <v>0</v>
      </c>
      <c r="AG531" s="227">
        <f t="shared" si="211"/>
        <v>0</v>
      </c>
      <c r="AH531" s="228" t="s">
        <v>25</v>
      </c>
      <c r="AI531" s="229" t="str">
        <f t="shared" si="197"/>
        <v>Extremamente Complexa</v>
      </c>
      <c r="AJ531" s="230" t="str">
        <f t="shared" si="198"/>
        <v>Normal</v>
      </c>
      <c r="AK531" s="231">
        <f t="shared" si="212"/>
        <v>0</v>
      </c>
      <c r="AL531" s="232" t="str">
        <f t="shared" si="213"/>
        <v/>
      </c>
      <c r="AM531" s="233" t="str">
        <f t="shared" si="214"/>
        <v/>
      </c>
      <c r="AN531" s="233" t="str">
        <f t="shared" si="215"/>
        <v/>
      </c>
      <c r="AO531" s="234">
        <f t="shared" si="216"/>
        <v>0</v>
      </c>
      <c r="AP531" s="235">
        <f t="shared" si="200"/>
        <v>1</v>
      </c>
      <c r="AQ531" s="235">
        <f t="shared" si="200"/>
        <v>1</v>
      </c>
      <c r="AR531" s="236">
        <f t="shared" si="217"/>
        <v>1</v>
      </c>
      <c r="AS531" s="251">
        <f t="shared" si="218"/>
        <v>0</v>
      </c>
      <c r="AT531" s="238">
        <f t="shared" si="219"/>
        <v>0</v>
      </c>
      <c r="AU531" s="239">
        <f t="shared" si="220"/>
        <v>0</v>
      </c>
      <c r="AV531" s="239">
        <f t="shared" si="221"/>
        <v>0</v>
      </c>
      <c r="AW531" s="239">
        <f t="shared" si="222"/>
        <v>0.05</v>
      </c>
      <c r="AX531" s="240">
        <f t="shared" si="223"/>
        <v>0</v>
      </c>
      <c r="AY531" s="241" t="str">
        <f t="shared" si="224"/>
        <v/>
      </c>
      <c r="AZ531" s="242" t="str">
        <f>IFERROR(VLOOKUP(M531,'[1]Base Brasil Obras'!$C$2:$F$485,4,0),"")</f>
        <v/>
      </c>
      <c r="BA531" s="243">
        <f t="shared" si="225"/>
        <v>0</v>
      </c>
      <c r="BB531" s="244">
        <f t="shared" si="226"/>
        <v>0</v>
      </c>
      <c r="BC531" s="244">
        <f t="shared" si="227"/>
        <v>0.05</v>
      </c>
      <c r="BD531" s="245">
        <f t="shared" si="228"/>
        <v>0.95</v>
      </c>
      <c r="BE531" s="246">
        <f t="shared" si="229"/>
        <v>0</v>
      </c>
      <c r="BF531" s="247">
        <v>0</v>
      </c>
      <c r="BG531" s="248">
        <f t="shared" si="230"/>
        <v>1</v>
      </c>
      <c r="BH531" s="198"/>
      <c r="BI531" s="198"/>
      <c r="BJ531" s="199"/>
      <c r="BK531" s="200"/>
      <c r="BL531" s="200"/>
      <c r="BM531" s="200"/>
      <c r="BN531" s="200"/>
      <c r="BO531" s="10"/>
    </row>
    <row r="532" spans="1:67" ht="18" x14ac:dyDescent="0.25">
      <c r="A532" s="201">
        <v>424</v>
      </c>
      <c r="B532" s="286"/>
      <c r="C532" s="203">
        <f t="shared" si="201"/>
        <v>0</v>
      </c>
      <c r="D532" s="204"/>
      <c r="E532" s="204"/>
      <c r="F532" s="207"/>
      <c r="G532" s="206"/>
      <c r="H532" s="207"/>
      <c r="I532" s="208" t="s">
        <v>125</v>
      </c>
      <c r="J532" s="208" t="s">
        <v>126</v>
      </c>
      <c r="K532" s="287"/>
      <c r="L532" s="288"/>
      <c r="M532" s="289"/>
      <c r="N532" s="257"/>
      <c r="O532" s="213"/>
      <c r="P532" s="214"/>
      <c r="Q532" s="214"/>
      <c r="R532" s="214"/>
      <c r="S532" s="214"/>
      <c r="T532" s="214"/>
      <c r="U532" s="215">
        <f t="shared" si="202"/>
        <v>0</v>
      </c>
      <c r="V532" s="216" t="str">
        <f t="shared" si="203"/>
        <v/>
      </c>
      <c r="W532" s="217" t="str">
        <f t="shared" si="204"/>
        <v/>
      </c>
      <c r="X532" s="218" t="s">
        <v>20</v>
      </c>
      <c r="Y532" s="219" t="str">
        <f t="shared" si="205"/>
        <v>0 um/Dia</v>
      </c>
      <c r="Z532" s="220" t="str">
        <f t="shared" si="206"/>
        <v xml:space="preserve"> um / HH</v>
      </c>
      <c r="AA532" s="221" t="str">
        <f t="shared" si="207"/>
        <v/>
      </c>
      <c r="AB532" s="222" t="str">
        <f t="shared" si="208"/>
        <v>0 um /HH</v>
      </c>
      <c r="AC532" s="223">
        <f t="shared" si="209"/>
        <v>0</v>
      </c>
      <c r="AD532" s="224"/>
      <c r="AE532" s="225"/>
      <c r="AF532" s="226">
        <f t="shared" si="210"/>
        <v>0</v>
      </c>
      <c r="AG532" s="227">
        <f t="shared" si="211"/>
        <v>0</v>
      </c>
      <c r="AH532" s="228" t="s">
        <v>25</v>
      </c>
      <c r="AI532" s="229" t="str">
        <f t="shared" si="197"/>
        <v>Extremamente Complexa</v>
      </c>
      <c r="AJ532" s="230" t="str">
        <f t="shared" si="198"/>
        <v>Normal</v>
      </c>
      <c r="AK532" s="231">
        <f t="shared" si="212"/>
        <v>0</v>
      </c>
      <c r="AL532" s="232" t="str">
        <f t="shared" si="213"/>
        <v/>
      </c>
      <c r="AM532" s="233" t="str">
        <f t="shared" si="214"/>
        <v/>
      </c>
      <c r="AN532" s="233" t="str">
        <f t="shared" si="215"/>
        <v/>
      </c>
      <c r="AO532" s="234">
        <f t="shared" si="216"/>
        <v>0</v>
      </c>
      <c r="AP532" s="235">
        <f t="shared" si="200"/>
        <v>1</v>
      </c>
      <c r="AQ532" s="235">
        <f t="shared" si="200"/>
        <v>1</v>
      </c>
      <c r="AR532" s="236">
        <f t="shared" si="217"/>
        <v>1</v>
      </c>
      <c r="AS532" s="251">
        <f t="shared" si="218"/>
        <v>0</v>
      </c>
      <c r="AT532" s="238">
        <f t="shared" si="219"/>
        <v>0</v>
      </c>
      <c r="AU532" s="239">
        <f t="shared" si="220"/>
        <v>0</v>
      </c>
      <c r="AV532" s="239">
        <f t="shared" si="221"/>
        <v>0</v>
      </c>
      <c r="AW532" s="239">
        <f t="shared" si="222"/>
        <v>0.05</v>
      </c>
      <c r="AX532" s="240">
        <f t="shared" si="223"/>
        <v>0</v>
      </c>
      <c r="AY532" s="241" t="str">
        <f t="shared" si="224"/>
        <v/>
      </c>
      <c r="AZ532" s="242" t="str">
        <f>IFERROR(VLOOKUP(M532,'[1]Base Brasil Obras'!$C$2:$F$485,4,0),"")</f>
        <v/>
      </c>
      <c r="BA532" s="243">
        <f t="shared" si="225"/>
        <v>0</v>
      </c>
      <c r="BB532" s="244">
        <f t="shared" si="226"/>
        <v>0</v>
      </c>
      <c r="BC532" s="244">
        <f t="shared" si="227"/>
        <v>0.05</v>
      </c>
      <c r="BD532" s="245">
        <f t="shared" si="228"/>
        <v>0.95</v>
      </c>
      <c r="BE532" s="246">
        <f t="shared" si="229"/>
        <v>0</v>
      </c>
      <c r="BF532" s="247">
        <v>0</v>
      </c>
      <c r="BG532" s="248">
        <f t="shared" si="230"/>
        <v>1</v>
      </c>
      <c r="BH532" s="198"/>
      <c r="BI532" s="198"/>
      <c r="BJ532" s="199"/>
      <c r="BK532" s="200"/>
      <c r="BL532" s="200"/>
      <c r="BM532" s="200"/>
      <c r="BN532" s="200"/>
      <c r="BO532" s="10"/>
    </row>
    <row r="533" spans="1:67" ht="18" x14ac:dyDescent="0.25">
      <c r="A533" s="201">
        <v>425</v>
      </c>
      <c r="B533" s="286"/>
      <c r="C533" s="203">
        <f t="shared" si="201"/>
        <v>0</v>
      </c>
      <c r="D533" s="204"/>
      <c r="E533" s="204"/>
      <c r="F533" s="207"/>
      <c r="G533" s="206"/>
      <c r="H533" s="207"/>
      <c r="I533" s="208" t="s">
        <v>125</v>
      </c>
      <c r="J533" s="208" t="s">
        <v>126</v>
      </c>
      <c r="K533" s="287"/>
      <c r="L533" s="288"/>
      <c r="M533" s="289"/>
      <c r="N533" s="257"/>
      <c r="O533" s="213"/>
      <c r="P533" s="214"/>
      <c r="Q533" s="214"/>
      <c r="R533" s="214"/>
      <c r="S533" s="214"/>
      <c r="T533" s="214"/>
      <c r="U533" s="215">
        <f t="shared" si="202"/>
        <v>0</v>
      </c>
      <c r="V533" s="216" t="str">
        <f t="shared" si="203"/>
        <v/>
      </c>
      <c r="W533" s="217" t="str">
        <f t="shared" si="204"/>
        <v/>
      </c>
      <c r="X533" s="218" t="s">
        <v>20</v>
      </c>
      <c r="Y533" s="219" t="str">
        <f t="shared" si="205"/>
        <v>0 um/Dia</v>
      </c>
      <c r="Z533" s="220" t="str">
        <f t="shared" si="206"/>
        <v xml:space="preserve"> um / HH</v>
      </c>
      <c r="AA533" s="221" t="str">
        <f t="shared" si="207"/>
        <v/>
      </c>
      <c r="AB533" s="222" t="str">
        <f t="shared" si="208"/>
        <v>0 um /HH</v>
      </c>
      <c r="AC533" s="223">
        <f t="shared" si="209"/>
        <v>0</v>
      </c>
      <c r="AD533" s="224"/>
      <c r="AE533" s="225"/>
      <c r="AF533" s="226">
        <f t="shared" si="210"/>
        <v>0</v>
      </c>
      <c r="AG533" s="227">
        <f t="shared" si="211"/>
        <v>0</v>
      </c>
      <c r="AH533" s="228" t="s">
        <v>25</v>
      </c>
      <c r="AI533" s="229" t="str">
        <f t="shared" si="197"/>
        <v>Extremamente Complexa</v>
      </c>
      <c r="AJ533" s="230" t="str">
        <f t="shared" si="198"/>
        <v>Normal</v>
      </c>
      <c r="AK533" s="231">
        <f t="shared" si="212"/>
        <v>0</v>
      </c>
      <c r="AL533" s="232" t="str">
        <f t="shared" si="213"/>
        <v/>
      </c>
      <c r="AM533" s="233" t="str">
        <f t="shared" si="214"/>
        <v/>
      </c>
      <c r="AN533" s="233" t="str">
        <f t="shared" si="215"/>
        <v/>
      </c>
      <c r="AO533" s="234">
        <f t="shared" si="216"/>
        <v>0</v>
      </c>
      <c r="AP533" s="235">
        <f t="shared" si="200"/>
        <v>1</v>
      </c>
      <c r="AQ533" s="235">
        <f t="shared" si="200"/>
        <v>1</v>
      </c>
      <c r="AR533" s="235">
        <f t="shared" si="217"/>
        <v>1</v>
      </c>
      <c r="AS533" s="252">
        <f t="shared" si="218"/>
        <v>0</v>
      </c>
      <c r="AT533" s="238">
        <f t="shared" si="219"/>
        <v>0</v>
      </c>
      <c r="AU533" s="239">
        <f t="shared" si="220"/>
        <v>0</v>
      </c>
      <c r="AV533" s="239">
        <f t="shared" si="221"/>
        <v>0</v>
      </c>
      <c r="AW533" s="239">
        <f t="shared" si="222"/>
        <v>0.05</v>
      </c>
      <c r="AX533" s="240">
        <f t="shared" si="223"/>
        <v>0</v>
      </c>
      <c r="AY533" s="241" t="str">
        <f t="shared" si="224"/>
        <v/>
      </c>
      <c r="AZ533" s="242" t="str">
        <f>IFERROR(VLOOKUP(M533,'[1]Base Brasil Obras'!$C$2:$F$485,4,0),"")</f>
        <v/>
      </c>
      <c r="BA533" s="243">
        <f t="shared" si="225"/>
        <v>0</v>
      </c>
      <c r="BB533" s="244">
        <f t="shared" si="226"/>
        <v>0</v>
      </c>
      <c r="BC533" s="244">
        <f t="shared" si="227"/>
        <v>0.05</v>
      </c>
      <c r="BD533" s="245">
        <f t="shared" si="228"/>
        <v>0.95</v>
      </c>
      <c r="BE533" s="246">
        <f t="shared" si="229"/>
        <v>0</v>
      </c>
      <c r="BF533" s="247">
        <v>0</v>
      </c>
      <c r="BG533" s="248">
        <f t="shared" si="230"/>
        <v>1</v>
      </c>
      <c r="BH533" s="198"/>
      <c r="BI533" s="198"/>
      <c r="BJ533" s="199"/>
      <c r="BK533" s="200"/>
      <c r="BL533" s="200"/>
      <c r="BM533" s="200"/>
      <c r="BN533" s="200"/>
      <c r="BO533" s="10"/>
    </row>
    <row r="534" spans="1:67" ht="18" x14ac:dyDescent="0.25">
      <c r="A534" s="201">
        <v>426</v>
      </c>
      <c r="B534" s="286"/>
      <c r="C534" s="203">
        <f t="shared" si="201"/>
        <v>0</v>
      </c>
      <c r="D534" s="204"/>
      <c r="E534" s="204"/>
      <c r="F534" s="207"/>
      <c r="G534" s="206"/>
      <c r="H534" s="207"/>
      <c r="I534" s="208" t="s">
        <v>125</v>
      </c>
      <c r="J534" s="208" t="s">
        <v>126</v>
      </c>
      <c r="K534" s="287"/>
      <c r="L534" s="288"/>
      <c r="M534" s="289"/>
      <c r="N534" s="257"/>
      <c r="O534" s="213"/>
      <c r="P534" s="214"/>
      <c r="Q534" s="214"/>
      <c r="R534" s="214"/>
      <c r="S534" s="214"/>
      <c r="T534" s="214"/>
      <c r="U534" s="215">
        <f t="shared" si="202"/>
        <v>0</v>
      </c>
      <c r="V534" s="216" t="str">
        <f t="shared" si="203"/>
        <v/>
      </c>
      <c r="W534" s="217" t="str">
        <f t="shared" si="204"/>
        <v/>
      </c>
      <c r="X534" s="218" t="s">
        <v>20</v>
      </c>
      <c r="Y534" s="219" t="str">
        <f t="shared" si="205"/>
        <v>0 um/Dia</v>
      </c>
      <c r="Z534" s="220" t="str">
        <f t="shared" si="206"/>
        <v xml:space="preserve"> um / HH</v>
      </c>
      <c r="AA534" s="221" t="str">
        <f t="shared" si="207"/>
        <v/>
      </c>
      <c r="AB534" s="222" t="str">
        <f t="shared" si="208"/>
        <v>0 um /HH</v>
      </c>
      <c r="AC534" s="223">
        <f t="shared" si="209"/>
        <v>0</v>
      </c>
      <c r="AD534" s="224"/>
      <c r="AE534" s="225"/>
      <c r="AF534" s="226">
        <f t="shared" si="210"/>
        <v>0</v>
      </c>
      <c r="AG534" s="227">
        <f t="shared" si="211"/>
        <v>0</v>
      </c>
      <c r="AH534" s="228" t="s">
        <v>25</v>
      </c>
      <c r="AI534" s="229" t="str">
        <f t="shared" si="197"/>
        <v>Extremamente Complexa</v>
      </c>
      <c r="AJ534" s="230" t="str">
        <f t="shared" si="198"/>
        <v>Normal</v>
      </c>
      <c r="AK534" s="231">
        <f t="shared" si="212"/>
        <v>0</v>
      </c>
      <c r="AL534" s="232" t="str">
        <f t="shared" si="213"/>
        <v/>
      </c>
      <c r="AM534" s="233" t="str">
        <f t="shared" si="214"/>
        <v/>
      </c>
      <c r="AN534" s="233" t="str">
        <f t="shared" si="215"/>
        <v/>
      </c>
      <c r="AO534" s="234">
        <f t="shared" si="216"/>
        <v>0</v>
      </c>
      <c r="AP534" s="235">
        <f t="shared" si="200"/>
        <v>1</v>
      </c>
      <c r="AQ534" s="235">
        <f t="shared" si="200"/>
        <v>1</v>
      </c>
      <c r="AR534" s="236">
        <f t="shared" si="217"/>
        <v>1</v>
      </c>
      <c r="AS534" s="251">
        <f t="shared" si="218"/>
        <v>0</v>
      </c>
      <c r="AT534" s="238">
        <f t="shared" si="219"/>
        <v>0</v>
      </c>
      <c r="AU534" s="239">
        <f t="shared" si="220"/>
        <v>0</v>
      </c>
      <c r="AV534" s="239">
        <f t="shared" si="221"/>
        <v>0</v>
      </c>
      <c r="AW534" s="239">
        <f t="shared" si="222"/>
        <v>0.05</v>
      </c>
      <c r="AX534" s="240">
        <f t="shared" si="223"/>
        <v>0</v>
      </c>
      <c r="AY534" s="241" t="str">
        <f t="shared" si="224"/>
        <v/>
      </c>
      <c r="AZ534" s="242" t="str">
        <f>IFERROR(VLOOKUP(M534,'[1]Base Brasil Obras'!$C$2:$F$485,4,0),"")</f>
        <v/>
      </c>
      <c r="BA534" s="243">
        <f t="shared" si="225"/>
        <v>0</v>
      </c>
      <c r="BB534" s="244">
        <f t="shared" si="226"/>
        <v>0</v>
      </c>
      <c r="BC534" s="244">
        <f t="shared" si="227"/>
        <v>0.05</v>
      </c>
      <c r="BD534" s="245">
        <f t="shared" si="228"/>
        <v>0.95</v>
      </c>
      <c r="BE534" s="246">
        <f t="shared" si="229"/>
        <v>0</v>
      </c>
      <c r="BF534" s="247">
        <v>0</v>
      </c>
      <c r="BG534" s="248">
        <f t="shared" si="230"/>
        <v>1</v>
      </c>
      <c r="BH534" s="198"/>
      <c r="BI534" s="198"/>
      <c r="BJ534" s="199"/>
      <c r="BK534" s="200"/>
      <c r="BL534" s="200"/>
      <c r="BM534" s="200"/>
      <c r="BN534" s="200"/>
      <c r="BO534" s="10"/>
    </row>
    <row r="535" spans="1:67" ht="18" x14ac:dyDescent="0.25">
      <c r="A535" s="201">
        <v>427</v>
      </c>
      <c r="B535" s="286"/>
      <c r="C535" s="203">
        <f t="shared" si="201"/>
        <v>0</v>
      </c>
      <c r="D535" s="204"/>
      <c r="E535" s="204"/>
      <c r="F535" s="207"/>
      <c r="G535" s="206"/>
      <c r="H535" s="207"/>
      <c r="I535" s="208" t="s">
        <v>125</v>
      </c>
      <c r="J535" s="208" t="s">
        <v>126</v>
      </c>
      <c r="K535" s="287"/>
      <c r="L535" s="288"/>
      <c r="M535" s="289"/>
      <c r="N535" s="257"/>
      <c r="O535" s="213"/>
      <c r="P535" s="214"/>
      <c r="Q535" s="214"/>
      <c r="R535" s="214"/>
      <c r="S535" s="214"/>
      <c r="T535" s="214"/>
      <c r="U535" s="215">
        <f t="shared" si="202"/>
        <v>0</v>
      </c>
      <c r="V535" s="216" t="str">
        <f t="shared" si="203"/>
        <v/>
      </c>
      <c r="W535" s="217" t="str">
        <f t="shared" si="204"/>
        <v/>
      </c>
      <c r="X535" s="218" t="s">
        <v>20</v>
      </c>
      <c r="Y535" s="219" t="str">
        <f t="shared" si="205"/>
        <v>0 um/Dia</v>
      </c>
      <c r="Z535" s="220" t="str">
        <f t="shared" si="206"/>
        <v xml:space="preserve"> um / HH</v>
      </c>
      <c r="AA535" s="221" t="str">
        <f t="shared" si="207"/>
        <v/>
      </c>
      <c r="AB535" s="222" t="str">
        <f t="shared" si="208"/>
        <v>0 um /HH</v>
      </c>
      <c r="AC535" s="223">
        <f t="shared" si="209"/>
        <v>0</v>
      </c>
      <c r="AD535" s="224"/>
      <c r="AE535" s="225"/>
      <c r="AF535" s="226">
        <f t="shared" si="210"/>
        <v>0</v>
      </c>
      <c r="AG535" s="227">
        <f t="shared" si="211"/>
        <v>0</v>
      </c>
      <c r="AH535" s="228" t="s">
        <v>25</v>
      </c>
      <c r="AI535" s="229" t="str">
        <f t="shared" si="197"/>
        <v>Extremamente Complexa</v>
      </c>
      <c r="AJ535" s="230" t="str">
        <f t="shared" si="198"/>
        <v>Normal</v>
      </c>
      <c r="AK535" s="231">
        <f t="shared" si="212"/>
        <v>0</v>
      </c>
      <c r="AL535" s="232" t="str">
        <f t="shared" si="213"/>
        <v/>
      </c>
      <c r="AM535" s="233" t="str">
        <f t="shared" si="214"/>
        <v/>
      </c>
      <c r="AN535" s="233" t="str">
        <f t="shared" si="215"/>
        <v/>
      </c>
      <c r="AO535" s="234">
        <f t="shared" si="216"/>
        <v>0</v>
      </c>
      <c r="AP535" s="235">
        <f t="shared" si="200"/>
        <v>1</v>
      </c>
      <c r="AQ535" s="235">
        <f t="shared" si="200"/>
        <v>1</v>
      </c>
      <c r="AR535" s="235">
        <f t="shared" si="217"/>
        <v>1</v>
      </c>
      <c r="AS535" s="252">
        <f t="shared" si="218"/>
        <v>0</v>
      </c>
      <c r="AT535" s="238">
        <f t="shared" si="219"/>
        <v>0</v>
      </c>
      <c r="AU535" s="239">
        <f t="shared" si="220"/>
        <v>0</v>
      </c>
      <c r="AV535" s="239">
        <f t="shared" si="221"/>
        <v>0</v>
      </c>
      <c r="AW535" s="239">
        <f t="shared" si="222"/>
        <v>0.05</v>
      </c>
      <c r="AX535" s="240">
        <f t="shared" si="223"/>
        <v>0</v>
      </c>
      <c r="AY535" s="241" t="str">
        <f t="shared" si="224"/>
        <v/>
      </c>
      <c r="AZ535" s="242" t="str">
        <f>IFERROR(VLOOKUP(M535,'[1]Base Brasil Obras'!$C$2:$F$485,4,0),"")</f>
        <v/>
      </c>
      <c r="BA535" s="243">
        <f t="shared" si="225"/>
        <v>0</v>
      </c>
      <c r="BB535" s="244">
        <f t="shared" si="226"/>
        <v>0</v>
      </c>
      <c r="BC535" s="244">
        <f t="shared" si="227"/>
        <v>0.05</v>
      </c>
      <c r="BD535" s="245">
        <f t="shared" si="228"/>
        <v>0.95</v>
      </c>
      <c r="BE535" s="246">
        <f t="shared" si="229"/>
        <v>0</v>
      </c>
      <c r="BF535" s="247">
        <v>0</v>
      </c>
      <c r="BG535" s="248">
        <f t="shared" si="230"/>
        <v>1</v>
      </c>
      <c r="BH535" s="198"/>
      <c r="BI535" s="198"/>
      <c r="BJ535" s="199"/>
      <c r="BK535" s="200"/>
      <c r="BL535" s="200"/>
      <c r="BM535" s="200"/>
      <c r="BN535" s="200"/>
      <c r="BO535" s="10"/>
    </row>
    <row r="536" spans="1:67" ht="18" x14ac:dyDescent="0.25">
      <c r="A536" s="201">
        <v>428</v>
      </c>
      <c r="B536" s="286"/>
      <c r="C536" s="203">
        <f t="shared" si="201"/>
        <v>0</v>
      </c>
      <c r="D536" s="204"/>
      <c r="E536" s="204"/>
      <c r="F536" s="207"/>
      <c r="G536" s="206"/>
      <c r="H536" s="207"/>
      <c r="I536" s="208" t="s">
        <v>125</v>
      </c>
      <c r="J536" s="208" t="s">
        <v>126</v>
      </c>
      <c r="K536" s="287"/>
      <c r="L536" s="288"/>
      <c r="M536" s="289"/>
      <c r="N536" s="257"/>
      <c r="O536" s="213"/>
      <c r="P536" s="214"/>
      <c r="Q536" s="214"/>
      <c r="R536" s="214"/>
      <c r="S536" s="214"/>
      <c r="T536" s="214"/>
      <c r="U536" s="215">
        <f t="shared" si="202"/>
        <v>0</v>
      </c>
      <c r="V536" s="216" t="str">
        <f t="shared" si="203"/>
        <v/>
      </c>
      <c r="W536" s="217" t="str">
        <f t="shared" si="204"/>
        <v/>
      </c>
      <c r="X536" s="218" t="s">
        <v>20</v>
      </c>
      <c r="Y536" s="219" t="str">
        <f t="shared" si="205"/>
        <v>0 um/Dia</v>
      </c>
      <c r="Z536" s="220" t="str">
        <f t="shared" si="206"/>
        <v xml:space="preserve"> um / HH</v>
      </c>
      <c r="AA536" s="221" t="str">
        <f t="shared" si="207"/>
        <v/>
      </c>
      <c r="AB536" s="222" t="str">
        <f t="shared" si="208"/>
        <v>0 um /HH</v>
      </c>
      <c r="AC536" s="223">
        <f t="shared" si="209"/>
        <v>0</v>
      </c>
      <c r="AD536" s="224"/>
      <c r="AE536" s="225"/>
      <c r="AF536" s="226">
        <f t="shared" si="210"/>
        <v>0</v>
      </c>
      <c r="AG536" s="227">
        <f t="shared" si="211"/>
        <v>0</v>
      </c>
      <c r="AH536" s="228" t="s">
        <v>25</v>
      </c>
      <c r="AI536" s="229" t="str">
        <f t="shared" si="197"/>
        <v>Extremamente Complexa</v>
      </c>
      <c r="AJ536" s="230" t="str">
        <f t="shared" si="198"/>
        <v>Normal</v>
      </c>
      <c r="AK536" s="231">
        <f t="shared" si="212"/>
        <v>0</v>
      </c>
      <c r="AL536" s="232" t="str">
        <f t="shared" si="213"/>
        <v/>
      </c>
      <c r="AM536" s="233" t="str">
        <f t="shared" si="214"/>
        <v/>
      </c>
      <c r="AN536" s="233" t="str">
        <f t="shared" si="215"/>
        <v/>
      </c>
      <c r="AO536" s="234">
        <f t="shared" si="216"/>
        <v>0</v>
      </c>
      <c r="AP536" s="235">
        <f t="shared" si="200"/>
        <v>1</v>
      </c>
      <c r="AQ536" s="235">
        <f t="shared" si="200"/>
        <v>1</v>
      </c>
      <c r="AR536" s="236">
        <f t="shared" si="217"/>
        <v>1</v>
      </c>
      <c r="AS536" s="251">
        <f t="shared" si="218"/>
        <v>0</v>
      </c>
      <c r="AT536" s="238">
        <f t="shared" si="219"/>
        <v>0</v>
      </c>
      <c r="AU536" s="239">
        <f t="shared" si="220"/>
        <v>0</v>
      </c>
      <c r="AV536" s="239">
        <f t="shared" si="221"/>
        <v>0</v>
      </c>
      <c r="AW536" s="239">
        <f t="shared" si="222"/>
        <v>0.05</v>
      </c>
      <c r="AX536" s="240">
        <f t="shared" si="223"/>
        <v>0</v>
      </c>
      <c r="AY536" s="241" t="str">
        <f t="shared" si="224"/>
        <v/>
      </c>
      <c r="AZ536" s="242" t="str">
        <f>IFERROR(VLOOKUP(M536,'[1]Base Brasil Obras'!$C$2:$F$485,4,0),"")</f>
        <v/>
      </c>
      <c r="BA536" s="243">
        <f t="shared" si="225"/>
        <v>0</v>
      </c>
      <c r="BB536" s="244">
        <f t="shared" si="226"/>
        <v>0</v>
      </c>
      <c r="BC536" s="244">
        <f t="shared" si="227"/>
        <v>0.05</v>
      </c>
      <c r="BD536" s="245">
        <f t="shared" si="228"/>
        <v>0.95</v>
      </c>
      <c r="BE536" s="246">
        <f t="shared" si="229"/>
        <v>0</v>
      </c>
      <c r="BF536" s="247">
        <v>0</v>
      </c>
      <c r="BG536" s="248">
        <f t="shared" si="230"/>
        <v>1</v>
      </c>
      <c r="BH536" s="198"/>
      <c r="BI536" s="198"/>
      <c r="BJ536" s="199"/>
      <c r="BK536" s="200"/>
      <c r="BL536" s="200"/>
      <c r="BM536" s="200"/>
      <c r="BN536" s="200"/>
      <c r="BO536" s="10"/>
    </row>
    <row r="537" spans="1:67" ht="18" x14ac:dyDescent="0.25">
      <c r="A537" s="201">
        <v>429</v>
      </c>
      <c r="B537" s="286"/>
      <c r="C537" s="203">
        <f t="shared" si="201"/>
        <v>0</v>
      </c>
      <c r="D537" s="204"/>
      <c r="E537" s="204"/>
      <c r="F537" s="207"/>
      <c r="G537" s="206"/>
      <c r="H537" s="207"/>
      <c r="I537" s="208" t="s">
        <v>125</v>
      </c>
      <c r="J537" s="208" t="s">
        <v>126</v>
      </c>
      <c r="K537" s="287"/>
      <c r="L537" s="288"/>
      <c r="M537" s="289"/>
      <c r="N537" s="257"/>
      <c r="O537" s="213"/>
      <c r="P537" s="214"/>
      <c r="Q537" s="214"/>
      <c r="R537" s="214"/>
      <c r="S537" s="214"/>
      <c r="T537" s="214"/>
      <c r="U537" s="215">
        <f t="shared" si="202"/>
        <v>0</v>
      </c>
      <c r="V537" s="216" t="str">
        <f t="shared" si="203"/>
        <v/>
      </c>
      <c r="W537" s="217" t="str">
        <f t="shared" si="204"/>
        <v/>
      </c>
      <c r="X537" s="218" t="s">
        <v>20</v>
      </c>
      <c r="Y537" s="219" t="str">
        <f t="shared" si="205"/>
        <v>0 um/Dia</v>
      </c>
      <c r="Z537" s="220" t="str">
        <f t="shared" si="206"/>
        <v xml:space="preserve"> um / HH</v>
      </c>
      <c r="AA537" s="221" t="str">
        <f t="shared" si="207"/>
        <v/>
      </c>
      <c r="AB537" s="222" t="str">
        <f t="shared" si="208"/>
        <v>0 um /HH</v>
      </c>
      <c r="AC537" s="223">
        <f t="shared" si="209"/>
        <v>0</v>
      </c>
      <c r="AD537" s="224"/>
      <c r="AE537" s="225"/>
      <c r="AF537" s="226">
        <f t="shared" si="210"/>
        <v>0</v>
      </c>
      <c r="AG537" s="227">
        <f t="shared" si="211"/>
        <v>0</v>
      </c>
      <c r="AH537" s="228" t="s">
        <v>25</v>
      </c>
      <c r="AI537" s="229" t="str">
        <f t="shared" si="197"/>
        <v>Extremamente Complexa</v>
      </c>
      <c r="AJ537" s="230" t="str">
        <f t="shared" si="198"/>
        <v>Normal</v>
      </c>
      <c r="AK537" s="231">
        <f t="shared" si="212"/>
        <v>0</v>
      </c>
      <c r="AL537" s="232" t="str">
        <f t="shared" si="213"/>
        <v/>
      </c>
      <c r="AM537" s="233" t="str">
        <f t="shared" si="214"/>
        <v/>
      </c>
      <c r="AN537" s="233" t="str">
        <f t="shared" si="215"/>
        <v/>
      </c>
      <c r="AO537" s="234">
        <f t="shared" si="216"/>
        <v>0</v>
      </c>
      <c r="AP537" s="235">
        <f t="shared" si="200"/>
        <v>1</v>
      </c>
      <c r="AQ537" s="235">
        <f t="shared" si="200"/>
        <v>1</v>
      </c>
      <c r="AR537" s="235">
        <f t="shared" si="217"/>
        <v>1</v>
      </c>
      <c r="AS537" s="252">
        <f t="shared" si="218"/>
        <v>0</v>
      </c>
      <c r="AT537" s="238">
        <f t="shared" si="219"/>
        <v>0</v>
      </c>
      <c r="AU537" s="239">
        <f t="shared" si="220"/>
        <v>0</v>
      </c>
      <c r="AV537" s="239">
        <f t="shared" si="221"/>
        <v>0</v>
      </c>
      <c r="AW537" s="239">
        <f t="shared" si="222"/>
        <v>0.05</v>
      </c>
      <c r="AX537" s="240">
        <f t="shared" si="223"/>
        <v>0</v>
      </c>
      <c r="AY537" s="241" t="str">
        <f t="shared" si="224"/>
        <v/>
      </c>
      <c r="AZ537" s="242" t="str">
        <f>IFERROR(VLOOKUP(M537,'[1]Base Brasil Obras'!$C$2:$F$485,4,0),"")</f>
        <v/>
      </c>
      <c r="BA537" s="243">
        <f t="shared" si="225"/>
        <v>0</v>
      </c>
      <c r="BB537" s="244">
        <f t="shared" si="226"/>
        <v>0</v>
      </c>
      <c r="BC537" s="244">
        <f t="shared" si="227"/>
        <v>0.05</v>
      </c>
      <c r="BD537" s="245">
        <f t="shared" si="228"/>
        <v>0.95</v>
      </c>
      <c r="BE537" s="246">
        <f t="shared" si="229"/>
        <v>0</v>
      </c>
      <c r="BF537" s="247">
        <v>0</v>
      </c>
      <c r="BG537" s="248">
        <f t="shared" si="230"/>
        <v>1</v>
      </c>
      <c r="BH537" s="198"/>
      <c r="BI537" s="198"/>
      <c r="BJ537" s="199"/>
      <c r="BK537" s="200"/>
      <c r="BL537" s="200"/>
      <c r="BM537" s="200"/>
      <c r="BN537" s="200"/>
      <c r="BO537" s="10"/>
    </row>
    <row r="538" spans="1:67" ht="18" x14ac:dyDescent="0.25">
      <c r="A538" s="201">
        <v>430</v>
      </c>
      <c r="B538" s="286"/>
      <c r="C538" s="203">
        <f t="shared" si="201"/>
        <v>0</v>
      </c>
      <c r="D538" s="204"/>
      <c r="E538" s="204"/>
      <c r="F538" s="207"/>
      <c r="G538" s="206"/>
      <c r="H538" s="207"/>
      <c r="I538" s="208" t="s">
        <v>125</v>
      </c>
      <c r="J538" s="208" t="s">
        <v>126</v>
      </c>
      <c r="K538" s="287"/>
      <c r="L538" s="288"/>
      <c r="M538" s="289"/>
      <c r="N538" s="257"/>
      <c r="O538" s="213"/>
      <c r="P538" s="214"/>
      <c r="Q538" s="214"/>
      <c r="R538" s="214"/>
      <c r="S538" s="214"/>
      <c r="T538" s="214"/>
      <c r="U538" s="215">
        <f t="shared" si="202"/>
        <v>0</v>
      </c>
      <c r="V538" s="216" t="str">
        <f t="shared" si="203"/>
        <v/>
      </c>
      <c r="W538" s="217" t="str">
        <f t="shared" si="204"/>
        <v/>
      </c>
      <c r="X538" s="218" t="s">
        <v>20</v>
      </c>
      <c r="Y538" s="219" t="str">
        <f t="shared" si="205"/>
        <v>0 um/Dia</v>
      </c>
      <c r="Z538" s="220" t="str">
        <f t="shared" si="206"/>
        <v xml:space="preserve"> um / HH</v>
      </c>
      <c r="AA538" s="221" t="str">
        <f t="shared" si="207"/>
        <v/>
      </c>
      <c r="AB538" s="222" t="str">
        <f t="shared" si="208"/>
        <v>0 um /HH</v>
      </c>
      <c r="AC538" s="223">
        <f t="shared" si="209"/>
        <v>0</v>
      </c>
      <c r="AD538" s="224"/>
      <c r="AE538" s="225"/>
      <c r="AF538" s="226">
        <f t="shared" si="210"/>
        <v>0</v>
      </c>
      <c r="AG538" s="227">
        <f t="shared" si="211"/>
        <v>0</v>
      </c>
      <c r="AH538" s="228" t="s">
        <v>25</v>
      </c>
      <c r="AI538" s="229" t="str">
        <f t="shared" si="197"/>
        <v>Extremamente Complexa</v>
      </c>
      <c r="AJ538" s="230" t="str">
        <f t="shared" si="198"/>
        <v>Normal</v>
      </c>
      <c r="AK538" s="231">
        <f t="shared" si="212"/>
        <v>0</v>
      </c>
      <c r="AL538" s="232" t="str">
        <f t="shared" si="213"/>
        <v/>
      </c>
      <c r="AM538" s="233" t="str">
        <f t="shared" si="214"/>
        <v/>
      </c>
      <c r="AN538" s="233" t="str">
        <f t="shared" si="215"/>
        <v/>
      </c>
      <c r="AO538" s="234">
        <f t="shared" si="216"/>
        <v>0</v>
      </c>
      <c r="AP538" s="235">
        <f t="shared" si="200"/>
        <v>1</v>
      </c>
      <c r="AQ538" s="235">
        <f t="shared" si="200"/>
        <v>1</v>
      </c>
      <c r="AR538" s="236">
        <f t="shared" si="217"/>
        <v>1</v>
      </c>
      <c r="AS538" s="251">
        <f t="shared" si="218"/>
        <v>0</v>
      </c>
      <c r="AT538" s="238">
        <f t="shared" si="219"/>
        <v>0</v>
      </c>
      <c r="AU538" s="239">
        <f t="shared" si="220"/>
        <v>0</v>
      </c>
      <c r="AV538" s="239">
        <f t="shared" si="221"/>
        <v>0</v>
      </c>
      <c r="AW538" s="239">
        <f t="shared" si="222"/>
        <v>0.05</v>
      </c>
      <c r="AX538" s="240">
        <f t="shared" si="223"/>
        <v>0</v>
      </c>
      <c r="AY538" s="241" t="str">
        <f t="shared" si="224"/>
        <v/>
      </c>
      <c r="AZ538" s="242" t="str">
        <f>IFERROR(VLOOKUP(M538,'[1]Base Brasil Obras'!$C$2:$F$485,4,0),"")</f>
        <v/>
      </c>
      <c r="BA538" s="243">
        <f t="shared" si="225"/>
        <v>0</v>
      </c>
      <c r="BB538" s="244">
        <f t="shared" si="226"/>
        <v>0</v>
      </c>
      <c r="BC538" s="244">
        <f t="shared" si="227"/>
        <v>0.05</v>
      </c>
      <c r="BD538" s="245">
        <f t="shared" si="228"/>
        <v>0.95</v>
      </c>
      <c r="BE538" s="246">
        <f t="shared" si="229"/>
        <v>0</v>
      </c>
      <c r="BF538" s="247">
        <v>0</v>
      </c>
      <c r="BG538" s="248">
        <f t="shared" si="230"/>
        <v>1</v>
      </c>
      <c r="BH538" s="198"/>
      <c r="BI538" s="198"/>
      <c r="BJ538" s="199"/>
      <c r="BK538" s="200"/>
      <c r="BL538" s="200"/>
      <c r="BM538" s="200"/>
      <c r="BN538" s="200"/>
      <c r="BO538" s="10"/>
    </row>
    <row r="539" spans="1:67" ht="18" x14ac:dyDescent="0.25">
      <c r="A539" s="201">
        <v>431</v>
      </c>
      <c r="B539" s="286"/>
      <c r="C539" s="203">
        <f t="shared" si="201"/>
        <v>0</v>
      </c>
      <c r="D539" s="204"/>
      <c r="E539" s="204"/>
      <c r="F539" s="207"/>
      <c r="G539" s="206"/>
      <c r="H539" s="207"/>
      <c r="I539" s="208" t="s">
        <v>125</v>
      </c>
      <c r="J539" s="208" t="s">
        <v>126</v>
      </c>
      <c r="K539" s="287"/>
      <c r="L539" s="288"/>
      <c r="M539" s="289"/>
      <c r="N539" s="257"/>
      <c r="O539" s="213"/>
      <c r="P539" s="214"/>
      <c r="Q539" s="214"/>
      <c r="R539" s="214"/>
      <c r="S539" s="214"/>
      <c r="T539" s="214"/>
      <c r="U539" s="215">
        <f t="shared" si="202"/>
        <v>0</v>
      </c>
      <c r="V539" s="216" t="str">
        <f t="shared" si="203"/>
        <v/>
      </c>
      <c r="W539" s="217" t="str">
        <f t="shared" si="204"/>
        <v/>
      </c>
      <c r="X539" s="218" t="s">
        <v>20</v>
      </c>
      <c r="Y539" s="219" t="str">
        <f t="shared" si="205"/>
        <v>0 um/Dia</v>
      </c>
      <c r="Z539" s="220" t="str">
        <f t="shared" si="206"/>
        <v xml:space="preserve"> um / HH</v>
      </c>
      <c r="AA539" s="221" t="str">
        <f t="shared" si="207"/>
        <v/>
      </c>
      <c r="AB539" s="222" t="str">
        <f t="shared" si="208"/>
        <v>0 um /HH</v>
      </c>
      <c r="AC539" s="223">
        <f t="shared" si="209"/>
        <v>0</v>
      </c>
      <c r="AD539" s="224"/>
      <c r="AE539" s="225"/>
      <c r="AF539" s="226">
        <f t="shared" si="210"/>
        <v>0</v>
      </c>
      <c r="AG539" s="227">
        <f t="shared" si="211"/>
        <v>0</v>
      </c>
      <c r="AH539" s="228" t="s">
        <v>25</v>
      </c>
      <c r="AI539" s="229" t="str">
        <f t="shared" si="197"/>
        <v>Extremamente Complexa</v>
      </c>
      <c r="AJ539" s="230" t="str">
        <f t="shared" si="198"/>
        <v>Normal</v>
      </c>
      <c r="AK539" s="231">
        <f t="shared" si="212"/>
        <v>0</v>
      </c>
      <c r="AL539" s="232" t="str">
        <f t="shared" si="213"/>
        <v/>
      </c>
      <c r="AM539" s="233" t="str">
        <f t="shared" si="214"/>
        <v/>
      </c>
      <c r="AN539" s="233" t="str">
        <f t="shared" si="215"/>
        <v/>
      </c>
      <c r="AO539" s="234">
        <f t="shared" si="216"/>
        <v>0</v>
      </c>
      <c r="AP539" s="235">
        <f t="shared" si="200"/>
        <v>1</v>
      </c>
      <c r="AQ539" s="235">
        <f t="shared" si="200"/>
        <v>1</v>
      </c>
      <c r="AR539" s="235">
        <f t="shared" si="217"/>
        <v>1</v>
      </c>
      <c r="AS539" s="252">
        <f t="shared" si="218"/>
        <v>0</v>
      </c>
      <c r="AT539" s="238">
        <f t="shared" si="219"/>
        <v>0</v>
      </c>
      <c r="AU539" s="239">
        <f t="shared" si="220"/>
        <v>0</v>
      </c>
      <c r="AV539" s="239">
        <f t="shared" si="221"/>
        <v>0</v>
      </c>
      <c r="AW539" s="239">
        <f t="shared" si="222"/>
        <v>0.05</v>
      </c>
      <c r="AX539" s="240">
        <f t="shared" si="223"/>
        <v>0</v>
      </c>
      <c r="AY539" s="241" t="str">
        <f t="shared" si="224"/>
        <v/>
      </c>
      <c r="AZ539" s="242" t="str">
        <f>IFERROR(VLOOKUP(M539,'[1]Base Brasil Obras'!$C$2:$F$485,4,0),"")</f>
        <v/>
      </c>
      <c r="BA539" s="243">
        <f t="shared" si="225"/>
        <v>0</v>
      </c>
      <c r="BB539" s="244">
        <f t="shared" si="226"/>
        <v>0</v>
      </c>
      <c r="BC539" s="244">
        <f t="shared" si="227"/>
        <v>0.05</v>
      </c>
      <c r="BD539" s="245">
        <f t="shared" si="228"/>
        <v>0.95</v>
      </c>
      <c r="BE539" s="246">
        <f t="shared" si="229"/>
        <v>0</v>
      </c>
      <c r="BF539" s="247">
        <v>0</v>
      </c>
      <c r="BG539" s="248">
        <f t="shared" si="230"/>
        <v>1</v>
      </c>
      <c r="BH539" s="198"/>
      <c r="BI539" s="198"/>
      <c r="BJ539" s="199"/>
      <c r="BK539" s="200"/>
      <c r="BL539" s="200"/>
      <c r="BM539" s="200"/>
      <c r="BN539" s="200"/>
      <c r="BO539" s="10"/>
    </row>
    <row r="540" spans="1:67" ht="18" x14ac:dyDescent="0.25">
      <c r="A540" s="201">
        <v>432</v>
      </c>
      <c r="B540" s="286"/>
      <c r="C540" s="203">
        <f t="shared" si="201"/>
        <v>0</v>
      </c>
      <c r="D540" s="204"/>
      <c r="E540" s="204"/>
      <c r="F540" s="207"/>
      <c r="G540" s="206"/>
      <c r="H540" s="207"/>
      <c r="I540" s="208" t="s">
        <v>125</v>
      </c>
      <c r="J540" s="208" t="s">
        <v>126</v>
      </c>
      <c r="K540" s="287"/>
      <c r="L540" s="288"/>
      <c r="M540" s="289"/>
      <c r="N540" s="257"/>
      <c r="O540" s="213"/>
      <c r="P540" s="214"/>
      <c r="Q540" s="214"/>
      <c r="R540" s="214"/>
      <c r="S540" s="214"/>
      <c r="T540" s="214"/>
      <c r="U540" s="215">
        <f t="shared" si="202"/>
        <v>0</v>
      </c>
      <c r="V540" s="216" t="str">
        <f t="shared" si="203"/>
        <v/>
      </c>
      <c r="W540" s="217" t="str">
        <f t="shared" si="204"/>
        <v/>
      </c>
      <c r="X540" s="218" t="s">
        <v>20</v>
      </c>
      <c r="Y540" s="219" t="str">
        <f t="shared" si="205"/>
        <v>0 um/Dia</v>
      </c>
      <c r="Z540" s="220" t="str">
        <f t="shared" si="206"/>
        <v xml:space="preserve"> um / HH</v>
      </c>
      <c r="AA540" s="221" t="str">
        <f t="shared" si="207"/>
        <v/>
      </c>
      <c r="AB540" s="222" t="str">
        <f t="shared" si="208"/>
        <v>0 um /HH</v>
      </c>
      <c r="AC540" s="223">
        <f t="shared" si="209"/>
        <v>0</v>
      </c>
      <c r="AD540" s="224"/>
      <c r="AE540" s="225"/>
      <c r="AF540" s="226">
        <f t="shared" si="210"/>
        <v>0</v>
      </c>
      <c r="AG540" s="227">
        <f t="shared" si="211"/>
        <v>0</v>
      </c>
      <c r="AH540" s="228" t="s">
        <v>25</v>
      </c>
      <c r="AI540" s="229" t="str">
        <f t="shared" si="197"/>
        <v>Extremamente Complexa</v>
      </c>
      <c r="AJ540" s="230" t="str">
        <f t="shared" si="198"/>
        <v>Normal</v>
      </c>
      <c r="AK540" s="231">
        <f t="shared" si="212"/>
        <v>0</v>
      </c>
      <c r="AL540" s="232" t="str">
        <f t="shared" si="213"/>
        <v/>
      </c>
      <c r="AM540" s="233" t="str">
        <f t="shared" si="214"/>
        <v/>
      </c>
      <c r="AN540" s="233" t="str">
        <f t="shared" si="215"/>
        <v/>
      </c>
      <c r="AO540" s="234">
        <f t="shared" si="216"/>
        <v>0</v>
      </c>
      <c r="AP540" s="235">
        <f t="shared" si="200"/>
        <v>1</v>
      </c>
      <c r="AQ540" s="235">
        <f t="shared" si="200"/>
        <v>1</v>
      </c>
      <c r="AR540" s="236">
        <f t="shared" si="217"/>
        <v>1</v>
      </c>
      <c r="AS540" s="251">
        <f t="shared" si="218"/>
        <v>0</v>
      </c>
      <c r="AT540" s="238">
        <f t="shared" si="219"/>
        <v>0</v>
      </c>
      <c r="AU540" s="239">
        <f t="shared" si="220"/>
        <v>0</v>
      </c>
      <c r="AV540" s="239">
        <f t="shared" si="221"/>
        <v>0</v>
      </c>
      <c r="AW540" s="239">
        <f t="shared" si="222"/>
        <v>0.05</v>
      </c>
      <c r="AX540" s="240">
        <f t="shared" si="223"/>
        <v>0</v>
      </c>
      <c r="AY540" s="241" t="str">
        <f t="shared" si="224"/>
        <v/>
      </c>
      <c r="AZ540" s="242" t="str">
        <f>IFERROR(VLOOKUP(M540,'[1]Base Brasil Obras'!$C$2:$F$485,4,0),"")</f>
        <v/>
      </c>
      <c r="BA540" s="243">
        <f t="shared" si="225"/>
        <v>0</v>
      </c>
      <c r="BB540" s="244">
        <f t="shared" si="226"/>
        <v>0</v>
      </c>
      <c r="BC540" s="244">
        <f t="shared" si="227"/>
        <v>0.05</v>
      </c>
      <c r="BD540" s="245">
        <f t="shared" si="228"/>
        <v>0.95</v>
      </c>
      <c r="BE540" s="246">
        <f t="shared" si="229"/>
        <v>0</v>
      </c>
      <c r="BF540" s="247">
        <v>0</v>
      </c>
      <c r="BG540" s="248">
        <f t="shared" si="230"/>
        <v>1</v>
      </c>
      <c r="BH540" s="198"/>
      <c r="BI540" s="198"/>
      <c r="BJ540" s="199"/>
      <c r="BK540" s="200"/>
      <c r="BL540" s="200"/>
      <c r="BM540" s="200"/>
      <c r="BN540" s="200"/>
      <c r="BO540" s="10"/>
    </row>
    <row r="541" spans="1:67" ht="18" x14ac:dyDescent="0.25">
      <c r="A541" s="201">
        <v>433</v>
      </c>
      <c r="B541" s="286"/>
      <c r="C541" s="203">
        <f t="shared" si="201"/>
        <v>0</v>
      </c>
      <c r="D541" s="204"/>
      <c r="E541" s="204"/>
      <c r="F541" s="207"/>
      <c r="G541" s="206"/>
      <c r="H541" s="207"/>
      <c r="I541" s="208" t="s">
        <v>125</v>
      </c>
      <c r="J541" s="208" t="s">
        <v>126</v>
      </c>
      <c r="K541" s="287"/>
      <c r="L541" s="288"/>
      <c r="M541" s="289"/>
      <c r="N541" s="257"/>
      <c r="O541" s="213"/>
      <c r="P541" s="214"/>
      <c r="Q541" s="214"/>
      <c r="R541" s="214"/>
      <c r="S541" s="214"/>
      <c r="T541" s="214"/>
      <c r="U541" s="215">
        <f t="shared" si="202"/>
        <v>0</v>
      </c>
      <c r="V541" s="216" t="str">
        <f t="shared" si="203"/>
        <v/>
      </c>
      <c r="W541" s="217" t="str">
        <f t="shared" si="204"/>
        <v/>
      </c>
      <c r="X541" s="218" t="s">
        <v>20</v>
      </c>
      <c r="Y541" s="219" t="str">
        <f t="shared" si="205"/>
        <v>0 um/Dia</v>
      </c>
      <c r="Z541" s="220" t="str">
        <f t="shared" si="206"/>
        <v xml:space="preserve"> um / HH</v>
      </c>
      <c r="AA541" s="221" t="str">
        <f t="shared" si="207"/>
        <v/>
      </c>
      <c r="AB541" s="222" t="str">
        <f t="shared" si="208"/>
        <v>0 um /HH</v>
      </c>
      <c r="AC541" s="223">
        <f t="shared" si="209"/>
        <v>0</v>
      </c>
      <c r="AD541" s="224"/>
      <c r="AE541" s="225"/>
      <c r="AF541" s="226">
        <f t="shared" si="210"/>
        <v>0</v>
      </c>
      <c r="AG541" s="227">
        <f t="shared" si="211"/>
        <v>0</v>
      </c>
      <c r="AH541" s="228" t="s">
        <v>25</v>
      </c>
      <c r="AI541" s="229" t="str">
        <f t="shared" si="197"/>
        <v>Extremamente Complexa</v>
      </c>
      <c r="AJ541" s="230" t="str">
        <f t="shared" si="198"/>
        <v>Normal</v>
      </c>
      <c r="AK541" s="231">
        <f t="shared" si="212"/>
        <v>0</v>
      </c>
      <c r="AL541" s="232" t="str">
        <f t="shared" si="213"/>
        <v/>
      </c>
      <c r="AM541" s="233" t="str">
        <f t="shared" si="214"/>
        <v/>
      </c>
      <c r="AN541" s="233" t="str">
        <f t="shared" si="215"/>
        <v/>
      </c>
      <c r="AO541" s="234">
        <f t="shared" si="216"/>
        <v>0</v>
      </c>
      <c r="AP541" s="235">
        <f t="shared" si="200"/>
        <v>1</v>
      </c>
      <c r="AQ541" s="235">
        <f t="shared" si="200"/>
        <v>1</v>
      </c>
      <c r="AR541" s="235">
        <f t="shared" si="217"/>
        <v>1</v>
      </c>
      <c r="AS541" s="252">
        <f t="shared" si="218"/>
        <v>0</v>
      </c>
      <c r="AT541" s="238">
        <f t="shared" si="219"/>
        <v>0</v>
      </c>
      <c r="AU541" s="239">
        <f t="shared" si="220"/>
        <v>0</v>
      </c>
      <c r="AV541" s="239">
        <f t="shared" si="221"/>
        <v>0</v>
      </c>
      <c r="AW541" s="239">
        <f t="shared" si="222"/>
        <v>0.05</v>
      </c>
      <c r="AX541" s="240">
        <f t="shared" si="223"/>
        <v>0</v>
      </c>
      <c r="AY541" s="241" t="str">
        <f t="shared" si="224"/>
        <v/>
      </c>
      <c r="AZ541" s="242" t="str">
        <f>IFERROR(VLOOKUP(M541,'[1]Base Brasil Obras'!$C$2:$F$485,4,0),"")</f>
        <v/>
      </c>
      <c r="BA541" s="243">
        <f t="shared" si="225"/>
        <v>0</v>
      </c>
      <c r="BB541" s="244">
        <f t="shared" si="226"/>
        <v>0</v>
      </c>
      <c r="BC541" s="244">
        <f t="shared" si="227"/>
        <v>0.05</v>
      </c>
      <c r="BD541" s="245">
        <f t="shared" si="228"/>
        <v>0.95</v>
      </c>
      <c r="BE541" s="246">
        <f t="shared" si="229"/>
        <v>0</v>
      </c>
      <c r="BF541" s="247">
        <v>0</v>
      </c>
      <c r="BG541" s="248">
        <f t="shared" si="230"/>
        <v>1</v>
      </c>
      <c r="BH541" s="198"/>
      <c r="BI541" s="198"/>
      <c r="BJ541" s="199"/>
      <c r="BK541" s="200"/>
      <c r="BL541" s="200"/>
      <c r="BM541" s="200"/>
      <c r="BN541" s="200"/>
      <c r="BO541" s="10"/>
    </row>
    <row r="542" spans="1:67" ht="18" x14ac:dyDescent="0.25">
      <c r="A542" s="201">
        <v>434</v>
      </c>
      <c r="B542" s="286"/>
      <c r="C542" s="203">
        <f t="shared" si="201"/>
        <v>0</v>
      </c>
      <c r="D542" s="204"/>
      <c r="E542" s="204"/>
      <c r="F542" s="207"/>
      <c r="G542" s="206"/>
      <c r="H542" s="207"/>
      <c r="I542" s="208" t="s">
        <v>125</v>
      </c>
      <c r="J542" s="208" t="s">
        <v>126</v>
      </c>
      <c r="K542" s="287"/>
      <c r="L542" s="288"/>
      <c r="M542" s="289"/>
      <c r="N542" s="257"/>
      <c r="O542" s="213"/>
      <c r="P542" s="214"/>
      <c r="Q542" s="214"/>
      <c r="R542" s="214"/>
      <c r="S542" s="214"/>
      <c r="T542" s="214"/>
      <c r="U542" s="215">
        <f t="shared" si="202"/>
        <v>0</v>
      </c>
      <c r="V542" s="216" t="str">
        <f t="shared" si="203"/>
        <v/>
      </c>
      <c r="W542" s="217" t="str">
        <f t="shared" si="204"/>
        <v/>
      </c>
      <c r="X542" s="218" t="s">
        <v>20</v>
      </c>
      <c r="Y542" s="219" t="str">
        <f t="shared" si="205"/>
        <v>0 um/Dia</v>
      </c>
      <c r="Z542" s="220" t="str">
        <f t="shared" si="206"/>
        <v xml:space="preserve"> um / HH</v>
      </c>
      <c r="AA542" s="221" t="str">
        <f t="shared" si="207"/>
        <v/>
      </c>
      <c r="AB542" s="222" t="str">
        <f t="shared" si="208"/>
        <v>0 um /HH</v>
      </c>
      <c r="AC542" s="223">
        <f t="shared" si="209"/>
        <v>0</v>
      </c>
      <c r="AD542" s="224"/>
      <c r="AE542" s="225"/>
      <c r="AF542" s="226">
        <f t="shared" si="210"/>
        <v>0</v>
      </c>
      <c r="AG542" s="227">
        <f t="shared" si="211"/>
        <v>0</v>
      </c>
      <c r="AH542" s="228" t="s">
        <v>25</v>
      </c>
      <c r="AI542" s="229" t="str">
        <f t="shared" si="197"/>
        <v>Extremamente Complexa</v>
      </c>
      <c r="AJ542" s="230" t="str">
        <f t="shared" si="198"/>
        <v>Normal</v>
      </c>
      <c r="AK542" s="231">
        <f t="shared" si="212"/>
        <v>0</v>
      </c>
      <c r="AL542" s="232" t="str">
        <f t="shared" si="213"/>
        <v/>
      </c>
      <c r="AM542" s="233" t="str">
        <f t="shared" si="214"/>
        <v/>
      </c>
      <c r="AN542" s="233" t="str">
        <f t="shared" si="215"/>
        <v/>
      </c>
      <c r="AO542" s="234">
        <f t="shared" si="216"/>
        <v>0</v>
      </c>
      <c r="AP542" s="235">
        <f t="shared" si="200"/>
        <v>1</v>
      </c>
      <c r="AQ542" s="235">
        <f t="shared" si="200"/>
        <v>1</v>
      </c>
      <c r="AR542" s="236">
        <f t="shared" si="217"/>
        <v>1</v>
      </c>
      <c r="AS542" s="251">
        <f t="shared" si="218"/>
        <v>0</v>
      </c>
      <c r="AT542" s="238">
        <f t="shared" si="219"/>
        <v>0</v>
      </c>
      <c r="AU542" s="239">
        <f t="shared" si="220"/>
        <v>0</v>
      </c>
      <c r="AV542" s="239">
        <f t="shared" si="221"/>
        <v>0</v>
      </c>
      <c r="AW542" s="239">
        <f t="shared" si="222"/>
        <v>0.05</v>
      </c>
      <c r="AX542" s="240">
        <f t="shared" si="223"/>
        <v>0</v>
      </c>
      <c r="AY542" s="241" t="str">
        <f t="shared" si="224"/>
        <v/>
      </c>
      <c r="AZ542" s="242" t="str">
        <f>IFERROR(VLOOKUP(M542,'[1]Base Brasil Obras'!$C$2:$F$485,4,0),"")</f>
        <v/>
      </c>
      <c r="BA542" s="243">
        <f t="shared" si="225"/>
        <v>0</v>
      </c>
      <c r="BB542" s="244">
        <f t="shared" si="226"/>
        <v>0</v>
      </c>
      <c r="BC542" s="244">
        <f t="shared" si="227"/>
        <v>0.05</v>
      </c>
      <c r="BD542" s="245">
        <f t="shared" si="228"/>
        <v>0.95</v>
      </c>
      <c r="BE542" s="246">
        <f t="shared" si="229"/>
        <v>0</v>
      </c>
      <c r="BF542" s="247">
        <v>0</v>
      </c>
      <c r="BG542" s="248">
        <f t="shared" si="230"/>
        <v>1</v>
      </c>
      <c r="BH542" s="198"/>
      <c r="BI542" s="198"/>
      <c r="BJ542" s="199"/>
      <c r="BK542" s="200"/>
      <c r="BL542" s="200"/>
      <c r="BM542" s="200"/>
      <c r="BN542" s="200"/>
      <c r="BO542" s="10"/>
    </row>
    <row r="543" spans="1:67" ht="18" x14ac:dyDescent="0.25">
      <c r="A543" s="201">
        <v>435</v>
      </c>
      <c r="B543" s="286"/>
      <c r="C543" s="203">
        <f t="shared" si="201"/>
        <v>0</v>
      </c>
      <c r="D543" s="204"/>
      <c r="E543" s="204"/>
      <c r="F543" s="207"/>
      <c r="G543" s="206"/>
      <c r="H543" s="207"/>
      <c r="I543" s="208" t="s">
        <v>125</v>
      </c>
      <c r="J543" s="208" t="s">
        <v>126</v>
      </c>
      <c r="K543" s="287"/>
      <c r="L543" s="288"/>
      <c r="M543" s="289"/>
      <c r="N543" s="257"/>
      <c r="O543" s="213"/>
      <c r="P543" s="214"/>
      <c r="Q543" s="214"/>
      <c r="R543" s="214"/>
      <c r="S543" s="214"/>
      <c r="T543" s="214"/>
      <c r="U543" s="215">
        <f t="shared" si="202"/>
        <v>0</v>
      </c>
      <c r="V543" s="216" t="str">
        <f t="shared" si="203"/>
        <v/>
      </c>
      <c r="W543" s="217" t="str">
        <f t="shared" si="204"/>
        <v/>
      </c>
      <c r="X543" s="218" t="s">
        <v>20</v>
      </c>
      <c r="Y543" s="219" t="str">
        <f t="shared" si="205"/>
        <v>0 um/Dia</v>
      </c>
      <c r="Z543" s="220" t="str">
        <f t="shared" si="206"/>
        <v xml:space="preserve"> um / HH</v>
      </c>
      <c r="AA543" s="221" t="str">
        <f t="shared" si="207"/>
        <v/>
      </c>
      <c r="AB543" s="222" t="str">
        <f t="shared" si="208"/>
        <v>0 um /HH</v>
      </c>
      <c r="AC543" s="223">
        <f t="shared" si="209"/>
        <v>0</v>
      </c>
      <c r="AD543" s="224"/>
      <c r="AE543" s="225"/>
      <c r="AF543" s="226">
        <f t="shared" si="210"/>
        <v>0</v>
      </c>
      <c r="AG543" s="227">
        <f t="shared" si="211"/>
        <v>0</v>
      </c>
      <c r="AH543" s="228" t="s">
        <v>25</v>
      </c>
      <c r="AI543" s="229" t="str">
        <f t="shared" si="197"/>
        <v>Extremamente Complexa</v>
      </c>
      <c r="AJ543" s="230" t="str">
        <f t="shared" si="198"/>
        <v>Normal</v>
      </c>
      <c r="AK543" s="231">
        <f t="shared" si="212"/>
        <v>0</v>
      </c>
      <c r="AL543" s="232" t="str">
        <f t="shared" si="213"/>
        <v/>
      </c>
      <c r="AM543" s="233" t="str">
        <f t="shared" si="214"/>
        <v/>
      </c>
      <c r="AN543" s="233" t="str">
        <f t="shared" si="215"/>
        <v/>
      </c>
      <c r="AO543" s="234">
        <f t="shared" si="216"/>
        <v>0</v>
      </c>
      <c r="AP543" s="235">
        <f t="shared" si="200"/>
        <v>1</v>
      </c>
      <c r="AQ543" s="235">
        <f t="shared" si="200"/>
        <v>1</v>
      </c>
      <c r="AR543" s="235">
        <f t="shared" si="217"/>
        <v>1</v>
      </c>
      <c r="AS543" s="252">
        <f t="shared" si="218"/>
        <v>0</v>
      </c>
      <c r="AT543" s="238">
        <f t="shared" si="219"/>
        <v>0</v>
      </c>
      <c r="AU543" s="239">
        <f t="shared" si="220"/>
        <v>0</v>
      </c>
      <c r="AV543" s="239">
        <f t="shared" si="221"/>
        <v>0</v>
      </c>
      <c r="AW543" s="239">
        <f t="shared" si="222"/>
        <v>0.05</v>
      </c>
      <c r="AX543" s="240">
        <f t="shared" si="223"/>
        <v>0</v>
      </c>
      <c r="AY543" s="241" t="str">
        <f t="shared" si="224"/>
        <v/>
      </c>
      <c r="AZ543" s="242" t="str">
        <f>IFERROR(VLOOKUP(M543,'[1]Base Brasil Obras'!$C$2:$F$485,4,0),"")</f>
        <v/>
      </c>
      <c r="BA543" s="243">
        <f t="shared" si="225"/>
        <v>0</v>
      </c>
      <c r="BB543" s="244">
        <f t="shared" si="226"/>
        <v>0</v>
      </c>
      <c r="BC543" s="244">
        <f t="shared" si="227"/>
        <v>0.05</v>
      </c>
      <c r="BD543" s="245">
        <f t="shared" si="228"/>
        <v>0.95</v>
      </c>
      <c r="BE543" s="246">
        <f t="shared" si="229"/>
        <v>0</v>
      </c>
      <c r="BF543" s="247">
        <v>0</v>
      </c>
      <c r="BG543" s="248">
        <f t="shared" si="230"/>
        <v>1</v>
      </c>
      <c r="BH543" s="198"/>
      <c r="BI543" s="198"/>
      <c r="BJ543" s="199"/>
      <c r="BK543" s="200"/>
      <c r="BL543" s="200"/>
      <c r="BM543" s="200"/>
      <c r="BN543" s="200"/>
      <c r="BO543" s="10"/>
    </row>
    <row r="544" spans="1:67" ht="18" x14ac:dyDescent="0.25">
      <c r="A544" s="201">
        <v>436</v>
      </c>
      <c r="B544" s="286"/>
      <c r="C544" s="203">
        <f t="shared" si="201"/>
        <v>0</v>
      </c>
      <c r="D544" s="204"/>
      <c r="E544" s="204"/>
      <c r="F544" s="207"/>
      <c r="G544" s="206"/>
      <c r="H544" s="207"/>
      <c r="I544" s="208" t="s">
        <v>125</v>
      </c>
      <c r="J544" s="208" t="s">
        <v>126</v>
      </c>
      <c r="K544" s="287"/>
      <c r="L544" s="288"/>
      <c r="M544" s="289"/>
      <c r="N544" s="257"/>
      <c r="O544" s="213"/>
      <c r="P544" s="214"/>
      <c r="Q544" s="214"/>
      <c r="R544" s="214"/>
      <c r="S544" s="214"/>
      <c r="T544" s="214"/>
      <c r="U544" s="215">
        <f t="shared" si="202"/>
        <v>0</v>
      </c>
      <c r="V544" s="216" t="str">
        <f t="shared" si="203"/>
        <v/>
      </c>
      <c r="W544" s="217" t="str">
        <f t="shared" si="204"/>
        <v/>
      </c>
      <c r="X544" s="218" t="s">
        <v>20</v>
      </c>
      <c r="Y544" s="219" t="str">
        <f t="shared" si="205"/>
        <v>0 um/Dia</v>
      </c>
      <c r="Z544" s="220" t="str">
        <f t="shared" si="206"/>
        <v xml:space="preserve"> um / HH</v>
      </c>
      <c r="AA544" s="221" t="str">
        <f t="shared" si="207"/>
        <v/>
      </c>
      <c r="AB544" s="222" t="str">
        <f t="shared" si="208"/>
        <v>0 um /HH</v>
      </c>
      <c r="AC544" s="223">
        <f t="shared" si="209"/>
        <v>0</v>
      </c>
      <c r="AD544" s="224"/>
      <c r="AE544" s="225"/>
      <c r="AF544" s="226">
        <f t="shared" si="210"/>
        <v>0</v>
      </c>
      <c r="AG544" s="227">
        <f t="shared" si="211"/>
        <v>0</v>
      </c>
      <c r="AH544" s="228" t="s">
        <v>25</v>
      </c>
      <c r="AI544" s="229" t="str">
        <f t="shared" si="197"/>
        <v>Extremamente Complexa</v>
      </c>
      <c r="AJ544" s="230" t="str">
        <f t="shared" si="198"/>
        <v>Normal</v>
      </c>
      <c r="AK544" s="231">
        <f t="shared" si="212"/>
        <v>0</v>
      </c>
      <c r="AL544" s="232" t="str">
        <f t="shared" si="213"/>
        <v/>
      </c>
      <c r="AM544" s="233" t="str">
        <f t="shared" si="214"/>
        <v/>
      </c>
      <c r="AN544" s="233" t="str">
        <f t="shared" si="215"/>
        <v/>
      </c>
      <c r="AO544" s="234">
        <f t="shared" si="216"/>
        <v>0</v>
      </c>
      <c r="AP544" s="235">
        <f t="shared" si="200"/>
        <v>1</v>
      </c>
      <c r="AQ544" s="235">
        <f t="shared" si="200"/>
        <v>1</v>
      </c>
      <c r="AR544" s="236">
        <f t="shared" si="217"/>
        <v>1</v>
      </c>
      <c r="AS544" s="251">
        <f t="shared" si="218"/>
        <v>0</v>
      </c>
      <c r="AT544" s="238">
        <f t="shared" si="219"/>
        <v>0</v>
      </c>
      <c r="AU544" s="239">
        <f t="shared" si="220"/>
        <v>0</v>
      </c>
      <c r="AV544" s="239">
        <f t="shared" si="221"/>
        <v>0</v>
      </c>
      <c r="AW544" s="239">
        <f t="shared" si="222"/>
        <v>0.05</v>
      </c>
      <c r="AX544" s="240">
        <f t="shared" si="223"/>
        <v>0</v>
      </c>
      <c r="AY544" s="241" t="str">
        <f t="shared" si="224"/>
        <v/>
      </c>
      <c r="AZ544" s="242" t="str">
        <f>IFERROR(VLOOKUP(M544,'[1]Base Brasil Obras'!$C$2:$F$485,4,0),"")</f>
        <v/>
      </c>
      <c r="BA544" s="243">
        <f t="shared" si="225"/>
        <v>0</v>
      </c>
      <c r="BB544" s="244">
        <f t="shared" si="226"/>
        <v>0</v>
      </c>
      <c r="BC544" s="244">
        <f t="shared" si="227"/>
        <v>0.05</v>
      </c>
      <c r="BD544" s="245">
        <f t="shared" si="228"/>
        <v>0.95</v>
      </c>
      <c r="BE544" s="246">
        <f t="shared" si="229"/>
        <v>0</v>
      </c>
      <c r="BF544" s="247">
        <v>0</v>
      </c>
      <c r="BG544" s="248">
        <f t="shared" si="230"/>
        <v>1</v>
      </c>
      <c r="BH544" s="198"/>
      <c r="BI544" s="198"/>
      <c r="BJ544" s="199"/>
      <c r="BK544" s="200"/>
      <c r="BL544" s="200"/>
      <c r="BM544" s="200"/>
      <c r="BN544" s="200"/>
      <c r="BO544" s="10"/>
    </row>
    <row r="545" spans="1:67" ht="18" x14ac:dyDescent="0.25">
      <c r="A545" s="201">
        <v>437</v>
      </c>
      <c r="B545" s="286"/>
      <c r="C545" s="203">
        <f t="shared" si="201"/>
        <v>0</v>
      </c>
      <c r="D545" s="204"/>
      <c r="E545" s="204"/>
      <c r="F545" s="207"/>
      <c r="G545" s="206"/>
      <c r="H545" s="207"/>
      <c r="I545" s="208" t="s">
        <v>125</v>
      </c>
      <c r="J545" s="208" t="s">
        <v>126</v>
      </c>
      <c r="K545" s="287"/>
      <c r="L545" s="288"/>
      <c r="M545" s="289"/>
      <c r="N545" s="257"/>
      <c r="O545" s="213"/>
      <c r="P545" s="214"/>
      <c r="Q545" s="214"/>
      <c r="R545" s="214"/>
      <c r="S545" s="214"/>
      <c r="T545" s="214"/>
      <c r="U545" s="215">
        <f t="shared" si="202"/>
        <v>0</v>
      </c>
      <c r="V545" s="216" t="str">
        <f t="shared" si="203"/>
        <v/>
      </c>
      <c r="W545" s="217" t="str">
        <f t="shared" si="204"/>
        <v/>
      </c>
      <c r="X545" s="218" t="s">
        <v>20</v>
      </c>
      <c r="Y545" s="219" t="str">
        <f t="shared" si="205"/>
        <v>0 um/Dia</v>
      </c>
      <c r="Z545" s="220" t="str">
        <f t="shared" si="206"/>
        <v xml:space="preserve"> um / HH</v>
      </c>
      <c r="AA545" s="221" t="str">
        <f t="shared" si="207"/>
        <v/>
      </c>
      <c r="AB545" s="222" t="str">
        <f t="shared" si="208"/>
        <v>0 um /HH</v>
      </c>
      <c r="AC545" s="223">
        <f t="shared" si="209"/>
        <v>0</v>
      </c>
      <c r="AD545" s="224"/>
      <c r="AE545" s="225"/>
      <c r="AF545" s="226">
        <f t="shared" si="210"/>
        <v>0</v>
      </c>
      <c r="AG545" s="227">
        <f t="shared" si="211"/>
        <v>0</v>
      </c>
      <c r="AH545" s="228" t="s">
        <v>25</v>
      </c>
      <c r="AI545" s="229" t="str">
        <f t="shared" si="197"/>
        <v>Extremamente Complexa</v>
      </c>
      <c r="AJ545" s="230" t="str">
        <f t="shared" si="198"/>
        <v>Normal</v>
      </c>
      <c r="AK545" s="231">
        <f t="shared" si="212"/>
        <v>0</v>
      </c>
      <c r="AL545" s="232" t="str">
        <f t="shared" si="213"/>
        <v/>
      </c>
      <c r="AM545" s="233" t="str">
        <f t="shared" si="214"/>
        <v/>
      </c>
      <c r="AN545" s="233" t="str">
        <f t="shared" si="215"/>
        <v/>
      </c>
      <c r="AO545" s="234">
        <f t="shared" si="216"/>
        <v>0</v>
      </c>
      <c r="AP545" s="235">
        <f t="shared" si="200"/>
        <v>1</v>
      </c>
      <c r="AQ545" s="235">
        <f t="shared" si="200"/>
        <v>1</v>
      </c>
      <c r="AR545" s="235">
        <f t="shared" si="217"/>
        <v>1</v>
      </c>
      <c r="AS545" s="252">
        <f t="shared" si="218"/>
        <v>0</v>
      </c>
      <c r="AT545" s="238">
        <f t="shared" si="219"/>
        <v>0</v>
      </c>
      <c r="AU545" s="239">
        <f t="shared" si="220"/>
        <v>0</v>
      </c>
      <c r="AV545" s="239">
        <f t="shared" si="221"/>
        <v>0</v>
      </c>
      <c r="AW545" s="239">
        <f t="shared" si="222"/>
        <v>0.05</v>
      </c>
      <c r="AX545" s="240">
        <f t="shared" si="223"/>
        <v>0</v>
      </c>
      <c r="AY545" s="241" t="str">
        <f t="shared" si="224"/>
        <v/>
      </c>
      <c r="AZ545" s="242" t="str">
        <f>IFERROR(VLOOKUP(M545,'[1]Base Brasil Obras'!$C$2:$F$485,4,0),"")</f>
        <v/>
      </c>
      <c r="BA545" s="243">
        <f t="shared" si="225"/>
        <v>0</v>
      </c>
      <c r="BB545" s="244">
        <f t="shared" si="226"/>
        <v>0</v>
      </c>
      <c r="BC545" s="244">
        <f t="shared" si="227"/>
        <v>0.05</v>
      </c>
      <c r="BD545" s="245">
        <f t="shared" si="228"/>
        <v>0.95</v>
      </c>
      <c r="BE545" s="246">
        <f t="shared" si="229"/>
        <v>0</v>
      </c>
      <c r="BF545" s="247">
        <v>0</v>
      </c>
      <c r="BG545" s="248">
        <f t="shared" si="230"/>
        <v>1</v>
      </c>
      <c r="BH545" s="198"/>
      <c r="BI545" s="198"/>
      <c r="BJ545" s="199"/>
      <c r="BK545" s="200"/>
      <c r="BL545" s="200"/>
      <c r="BM545" s="200"/>
      <c r="BN545" s="200"/>
      <c r="BO545" s="10"/>
    </row>
    <row r="546" spans="1:67" ht="18" x14ac:dyDescent="0.25">
      <c r="A546" s="201">
        <v>438</v>
      </c>
      <c r="B546" s="286"/>
      <c r="C546" s="203">
        <f t="shared" si="201"/>
        <v>0</v>
      </c>
      <c r="D546" s="204"/>
      <c r="E546" s="204"/>
      <c r="F546" s="207"/>
      <c r="G546" s="206"/>
      <c r="H546" s="207"/>
      <c r="I546" s="208" t="s">
        <v>125</v>
      </c>
      <c r="J546" s="208" t="s">
        <v>126</v>
      </c>
      <c r="K546" s="287"/>
      <c r="L546" s="288"/>
      <c r="M546" s="289"/>
      <c r="N546" s="257"/>
      <c r="O546" s="213"/>
      <c r="P546" s="214"/>
      <c r="Q546" s="214"/>
      <c r="R546" s="214"/>
      <c r="S546" s="214"/>
      <c r="T546" s="214"/>
      <c r="U546" s="215">
        <f t="shared" si="202"/>
        <v>0</v>
      </c>
      <c r="V546" s="216" t="str">
        <f t="shared" si="203"/>
        <v/>
      </c>
      <c r="W546" s="217" t="str">
        <f t="shared" si="204"/>
        <v/>
      </c>
      <c r="X546" s="218" t="s">
        <v>20</v>
      </c>
      <c r="Y546" s="219" t="str">
        <f t="shared" si="205"/>
        <v>0 um/Dia</v>
      </c>
      <c r="Z546" s="220" t="str">
        <f t="shared" si="206"/>
        <v xml:space="preserve"> um / HH</v>
      </c>
      <c r="AA546" s="221" t="str">
        <f t="shared" si="207"/>
        <v/>
      </c>
      <c r="AB546" s="222" t="str">
        <f t="shared" si="208"/>
        <v>0 um /HH</v>
      </c>
      <c r="AC546" s="223">
        <f t="shared" si="209"/>
        <v>0</v>
      </c>
      <c r="AD546" s="224"/>
      <c r="AE546" s="225"/>
      <c r="AF546" s="226">
        <f t="shared" si="210"/>
        <v>0</v>
      </c>
      <c r="AG546" s="227">
        <f t="shared" si="211"/>
        <v>0</v>
      </c>
      <c r="AH546" s="228" t="s">
        <v>25</v>
      </c>
      <c r="AI546" s="229" t="str">
        <f t="shared" si="197"/>
        <v>Extremamente Complexa</v>
      </c>
      <c r="AJ546" s="230" t="str">
        <f t="shared" si="198"/>
        <v>Normal</v>
      </c>
      <c r="AK546" s="231">
        <f t="shared" si="212"/>
        <v>0</v>
      </c>
      <c r="AL546" s="232" t="str">
        <f t="shared" si="213"/>
        <v/>
      </c>
      <c r="AM546" s="233" t="str">
        <f t="shared" si="214"/>
        <v/>
      </c>
      <c r="AN546" s="233" t="str">
        <f t="shared" si="215"/>
        <v/>
      </c>
      <c r="AO546" s="234">
        <f t="shared" si="216"/>
        <v>0</v>
      </c>
      <c r="AP546" s="235">
        <f t="shared" si="200"/>
        <v>1</v>
      </c>
      <c r="AQ546" s="235">
        <f t="shared" si="200"/>
        <v>1</v>
      </c>
      <c r="AR546" s="236">
        <f t="shared" si="217"/>
        <v>1</v>
      </c>
      <c r="AS546" s="251">
        <f t="shared" si="218"/>
        <v>0</v>
      </c>
      <c r="AT546" s="238">
        <f t="shared" si="219"/>
        <v>0</v>
      </c>
      <c r="AU546" s="239">
        <f t="shared" si="220"/>
        <v>0</v>
      </c>
      <c r="AV546" s="239">
        <f t="shared" si="221"/>
        <v>0</v>
      </c>
      <c r="AW546" s="239">
        <f t="shared" si="222"/>
        <v>0.05</v>
      </c>
      <c r="AX546" s="240">
        <f t="shared" si="223"/>
        <v>0</v>
      </c>
      <c r="AY546" s="241" t="str">
        <f t="shared" si="224"/>
        <v/>
      </c>
      <c r="AZ546" s="242" t="str">
        <f>IFERROR(VLOOKUP(M546,'[1]Base Brasil Obras'!$C$2:$F$485,4,0),"")</f>
        <v/>
      </c>
      <c r="BA546" s="243">
        <f t="shared" si="225"/>
        <v>0</v>
      </c>
      <c r="BB546" s="244">
        <f t="shared" si="226"/>
        <v>0</v>
      </c>
      <c r="BC546" s="244">
        <f t="shared" si="227"/>
        <v>0.05</v>
      </c>
      <c r="BD546" s="245">
        <f t="shared" si="228"/>
        <v>0.95</v>
      </c>
      <c r="BE546" s="246">
        <f t="shared" si="229"/>
        <v>0</v>
      </c>
      <c r="BF546" s="247">
        <v>0</v>
      </c>
      <c r="BG546" s="248">
        <f t="shared" si="230"/>
        <v>1</v>
      </c>
      <c r="BH546" s="198"/>
      <c r="BI546" s="198"/>
      <c r="BJ546" s="199"/>
      <c r="BK546" s="200"/>
      <c r="BL546" s="200"/>
      <c r="BM546" s="200"/>
      <c r="BN546" s="200"/>
      <c r="BO546" s="10"/>
    </row>
    <row r="547" spans="1:67" ht="18" x14ac:dyDescent="0.25">
      <c r="A547" s="201">
        <v>439</v>
      </c>
      <c r="B547" s="286"/>
      <c r="C547" s="203">
        <f t="shared" si="201"/>
        <v>0</v>
      </c>
      <c r="D547" s="204"/>
      <c r="E547" s="204"/>
      <c r="F547" s="207"/>
      <c r="G547" s="206"/>
      <c r="H547" s="207"/>
      <c r="I547" s="208" t="s">
        <v>125</v>
      </c>
      <c r="J547" s="208" t="s">
        <v>126</v>
      </c>
      <c r="K547" s="287"/>
      <c r="L547" s="288"/>
      <c r="M547" s="289"/>
      <c r="N547" s="257"/>
      <c r="O547" s="213"/>
      <c r="P547" s="214"/>
      <c r="Q547" s="214"/>
      <c r="R547" s="214"/>
      <c r="S547" s="214"/>
      <c r="T547" s="214"/>
      <c r="U547" s="215">
        <f t="shared" si="202"/>
        <v>0</v>
      </c>
      <c r="V547" s="216" t="str">
        <f t="shared" si="203"/>
        <v/>
      </c>
      <c r="W547" s="217" t="str">
        <f t="shared" si="204"/>
        <v/>
      </c>
      <c r="X547" s="218" t="s">
        <v>20</v>
      </c>
      <c r="Y547" s="219" t="str">
        <f t="shared" si="205"/>
        <v>0 um/Dia</v>
      </c>
      <c r="Z547" s="220" t="str">
        <f t="shared" si="206"/>
        <v xml:space="preserve"> um / HH</v>
      </c>
      <c r="AA547" s="221" t="str">
        <f t="shared" si="207"/>
        <v/>
      </c>
      <c r="AB547" s="222" t="str">
        <f t="shared" si="208"/>
        <v>0 um /HH</v>
      </c>
      <c r="AC547" s="223">
        <f t="shared" si="209"/>
        <v>0</v>
      </c>
      <c r="AD547" s="224"/>
      <c r="AE547" s="225"/>
      <c r="AF547" s="226">
        <f t="shared" si="210"/>
        <v>0</v>
      </c>
      <c r="AG547" s="227">
        <f t="shared" si="211"/>
        <v>0</v>
      </c>
      <c r="AH547" s="228" t="s">
        <v>25</v>
      </c>
      <c r="AI547" s="229" t="str">
        <f t="shared" si="197"/>
        <v>Extremamente Complexa</v>
      </c>
      <c r="AJ547" s="230" t="str">
        <f t="shared" si="198"/>
        <v>Normal</v>
      </c>
      <c r="AK547" s="231">
        <f t="shared" si="212"/>
        <v>0</v>
      </c>
      <c r="AL547" s="232" t="str">
        <f t="shared" si="213"/>
        <v/>
      </c>
      <c r="AM547" s="233" t="str">
        <f t="shared" si="214"/>
        <v/>
      </c>
      <c r="AN547" s="233" t="str">
        <f t="shared" si="215"/>
        <v/>
      </c>
      <c r="AO547" s="234">
        <f t="shared" si="216"/>
        <v>0</v>
      </c>
      <c r="AP547" s="235">
        <f t="shared" si="200"/>
        <v>1</v>
      </c>
      <c r="AQ547" s="235">
        <f t="shared" si="200"/>
        <v>1</v>
      </c>
      <c r="AR547" s="235">
        <f t="shared" si="217"/>
        <v>1</v>
      </c>
      <c r="AS547" s="252">
        <f t="shared" si="218"/>
        <v>0</v>
      </c>
      <c r="AT547" s="238">
        <f t="shared" si="219"/>
        <v>0</v>
      </c>
      <c r="AU547" s="239">
        <f t="shared" si="220"/>
        <v>0</v>
      </c>
      <c r="AV547" s="239">
        <f t="shared" si="221"/>
        <v>0</v>
      </c>
      <c r="AW547" s="239">
        <f t="shared" si="222"/>
        <v>0.05</v>
      </c>
      <c r="AX547" s="240">
        <f t="shared" si="223"/>
        <v>0</v>
      </c>
      <c r="AY547" s="241" t="str">
        <f t="shared" si="224"/>
        <v/>
      </c>
      <c r="AZ547" s="242" t="str">
        <f>IFERROR(VLOOKUP(M547,'[1]Base Brasil Obras'!$C$2:$F$485,4,0),"")</f>
        <v/>
      </c>
      <c r="BA547" s="243">
        <f t="shared" si="225"/>
        <v>0</v>
      </c>
      <c r="BB547" s="244">
        <f t="shared" si="226"/>
        <v>0</v>
      </c>
      <c r="BC547" s="244">
        <f t="shared" si="227"/>
        <v>0.05</v>
      </c>
      <c r="BD547" s="245">
        <f t="shared" si="228"/>
        <v>0.95</v>
      </c>
      <c r="BE547" s="246">
        <f t="shared" si="229"/>
        <v>0</v>
      </c>
      <c r="BF547" s="247">
        <v>0</v>
      </c>
      <c r="BG547" s="248">
        <f t="shared" si="230"/>
        <v>1</v>
      </c>
      <c r="BH547" s="198"/>
      <c r="BI547" s="198"/>
      <c r="BJ547" s="199"/>
      <c r="BK547" s="200"/>
      <c r="BL547" s="200"/>
      <c r="BM547" s="200"/>
      <c r="BN547" s="200"/>
      <c r="BO547" s="10"/>
    </row>
    <row r="548" spans="1:67" ht="18" x14ac:dyDescent="0.25">
      <c r="A548" s="201">
        <v>440</v>
      </c>
      <c r="B548" s="286"/>
      <c r="C548" s="203">
        <f t="shared" si="201"/>
        <v>0</v>
      </c>
      <c r="D548" s="204"/>
      <c r="E548" s="204"/>
      <c r="F548" s="207"/>
      <c r="G548" s="206"/>
      <c r="H548" s="207"/>
      <c r="I548" s="208" t="s">
        <v>125</v>
      </c>
      <c r="J548" s="208" t="s">
        <v>126</v>
      </c>
      <c r="K548" s="287"/>
      <c r="L548" s="288"/>
      <c r="M548" s="289"/>
      <c r="N548" s="257"/>
      <c r="O548" s="213"/>
      <c r="P548" s="214"/>
      <c r="Q548" s="214"/>
      <c r="R548" s="214"/>
      <c r="S548" s="214"/>
      <c r="T548" s="214"/>
      <c r="U548" s="215">
        <f t="shared" si="202"/>
        <v>0</v>
      </c>
      <c r="V548" s="216" t="str">
        <f t="shared" si="203"/>
        <v/>
      </c>
      <c r="W548" s="217" t="str">
        <f t="shared" si="204"/>
        <v/>
      </c>
      <c r="X548" s="218" t="s">
        <v>20</v>
      </c>
      <c r="Y548" s="219" t="str">
        <f t="shared" si="205"/>
        <v>0 um/Dia</v>
      </c>
      <c r="Z548" s="220" t="str">
        <f t="shared" si="206"/>
        <v xml:space="preserve"> um / HH</v>
      </c>
      <c r="AA548" s="221" t="str">
        <f t="shared" si="207"/>
        <v/>
      </c>
      <c r="AB548" s="222" t="str">
        <f t="shared" si="208"/>
        <v>0 um /HH</v>
      </c>
      <c r="AC548" s="223">
        <f t="shared" si="209"/>
        <v>0</v>
      </c>
      <c r="AD548" s="224"/>
      <c r="AE548" s="225"/>
      <c r="AF548" s="226">
        <f t="shared" si="210"/>
        <v>0</v>
      </c>
      <c r="AG548" s="227">
        <f t="shared" si="211"/>
        <v>0</v>
      </c>
      <c r="AH548" s="228" t="s">
        <v>25</v>
      </c>
      <c r="AI548" s="229" t="str">
        <f t="shared" si="197"/>
        <v>Extremamente Complexa</v>
      </c>
      <c r="AJ548" s="230" t="str">
        <f t="shared" si="198"/>
        <v>Normal</v>
      </c>
      <c r="AK548" s="231">
        <f t="shared" si="212"/>
        <v>0</v>
      </c>
      <c r="AL548" s="232" t="str">
        <f t="shared" si="213"/>
        <v/>
      </c>
      <c r="AM548" s="233" t="str">
        <f t="shared" si="214"/>
        <v/>
      </c>
      <c r="AN548" s="233" t="str">
        <f t="shared" si="215"/>
        <v/>
      </c>
      <c r="AO548" s="234">
        <f t="shared" si="216"/>
        <v>0</v>
      </c>
      <c r="AP548" s="235">
        <f t="shared" si="200"/>
        <v>1</v>
      </c>
      <c r="AQ548" s="235">
        <f t="shared" si="200"/>
        <v>1</v>
      </c>
      <c r="AR548" s="236">
        <f t="shared" si="217"/>
        <v>1</v>
      </c>
      <c r="AS548" s="251">
        <f t="shared" si="218"/>
        <v>0</v>
      </c>
      <c r="AT548" s="238">
        <f t="shared" si="219"/>
        <v>0</v>
      </c>
      <c r="AU548" s="239">
        <f t="shared" si="220"/>
        <v>0</v>
      </c>
      <c r="AV548" s="239">
        <f t="shared" si="221"/>
        <v>0</v>
      </c>
      <c r="AW548" s="239">
        <f t="shared" si="222"/>
        <v>0.05</v>
      </c>
      <c r="AX548" s="240">
        <f t="shared" si="223"/>
        <v>0</v>
      </c>
      <c r="AY548" s="241" t="str">
        <f t="shared" si="224"/>
        <v/>
      </c>
      <c r="AZ548" s="242" t="str">
        <f>IFERROR(VLOOKUP(M548,'[1]Base Brasil Obras'!$C$2:$F$485,4,0),"")</f>
        <v/>
      </c>
      <c r="BA548" s="243">
        <f t="shared" si="225"/>
        <v>0</v>
      </c>
      <c r="BB548" s="244">
        <f t="shared" si="226"/>
        <v>0</v>
      </c>
      <c r="BC548" s="244">
        <f t="shared" si="227"/>
        <v>0.05</v>
      </c>
      <c r="BD548" s="245">
        <f t="shared" si="228"/>
        <v>0.95</v>
      </c>
      <c r="BE548" s="246">
        <f t="shared" si="229"/>
        <v>0</v>
      </c>
      <c r="BF548" s="247">
        <v>0</v>
      </c>
      <c r="BG548" s="248">
        <f t="shared" si="230"/>
        <v>1</v>
      </c>
      <c r="BH548" s="198"/>
      <c r="BI548" s="198"/>
      <c r="BJ548" s="199"/>
      <c r="BK548" s="200"/>
      <c r="BL548" s="200"/>
      <c r="BM548" s="200"/>
      <c r="BN548" s="200"/>
      <c r="BO548" s="10"/>
    </row>
    <row r="549" spans="1:67" ht="18" x14ac:dyDescent="0.25">
      <c r="A549" s="201">
        <v>441</v>
      </c>
      <c r="B549" s="286"/>
      <c r="C549" s="203">
        <f t="shared" si="201"/>
        <v>0</v>
      </c>
      <c r="D549" s="204"/>
      <c r="E549" s="204"/>
      <c r="F549" s="207"/>
      <c r="G549" s="206"/>
      <c r="H549" s="207"/>
      <c r="I549" s="208" t="s">
        <v>125</v>
      </c>
      <c r="J549" s="208" t="s">
        <v>126</v>
      </c>
      <c r="K549" s="287"/>
      <c r="L549" s="288"/>
      <c r="M549" s="289"/>
      <c r="N549" s="257"/>
      <c r="O549" s="213"/>
      <c r="P549" s="214"/>
      <c r="Q549" s="214"/>
      <c r="R549" s="214"/>
      <c r="S549" s="214"/>
      <c r="T549" s="214"/>
      <c r="U549" s="215">
        <f t="shared" si="202"/>
        <v>0</v>
      </c>
      <c r="V549" s="216" t="str">
        <f t="shared" si="203"/>
        <v/>
      </c>
      <c r="W549" s="217" t="str">
        <f t="shared" si="204"/>
        <v/>
      </c>
      <c r="X549" s="218" t="s">
        <v>20</v>
      </c>
      <c r="Y549" s="219" t="str">
        <f t="shared" si="205"/>
        <v>0 um/Dia</v>
      </c>
      <c r="Z549" s="220" t="str">
        <f t="shared" si="206"/>
        <v xml:space="preserve"> um / HH</v>
      </c>
      <c r="AA549" s="221" t="str">
        <f t="shared" si="207"/>
        <v/>
      </c>
      <c r="AB549" s="222" t="str">
        <f t="shared" si="208"/>
        <v>0 um /HH</v>
      </c>
      <c r="AC549" s="223">
        <f t="shared" si="209"/>
        <v>0</v>
      </c>
      <c r="AD549" s="224"/>
      <c r="AE549" s="225"/>
      <c r="AF549" s="226">
        <f t="shared" si="210"/>
        <v>0</v>
      </c>
      <c r="AG549" s="227">
        <f t="shared" si="211"/>
        <v>0</v>
      </c>
      <c r="AH549" s="228" t="s">
        <v>25</v>
      </c>
      <c r="AI549" s="229" t="str">
        <f t="shared" si="197"/>
        <v>Extremamente Complexa</v>
      </c>
      <c r="AJ549" s="230" t="str">
        <f t="shared" si="198"/>
        <v>Normal</v>
      </c>
      <c r="AK549" s="231">
        <f t="shared" si="212"/>
        <v>0</v>
      </c>
      <c r="AL549" s="232" t="str">
        <f t="shared" si="213"/>
        <v/>
      </c>
      <c r="AM549" s="233" t="str">
        <f t="shared" si="214"/>
        <v/>
      </c>
      <c r="AN549" s="233" t="str">
        <f t="shared" si="215"/>
        <v/>
      </c>
      <c r="AO549" s="234">
        <f t="shared" si="216"/>
        <v>0</v>
      </c>
      <c r="AP549" s="235">
        <f t="shared" si="200"/>
        <v>1</v>
      </c>
      <c r="AQ549" s="235">
        <f t="shared" si="200"/>
        <v>1</v>
      </c>
      <c r="AR549" s="235">
        <f t="shared" si="217"/>
        <v>1</v>
      </c>
      <c r="AS549" s="252">
        <f t="shared" si="218"/>
        <v>0</v>
      </c>
      <c r="AT549" s="238">
        <f t="shared" si="219"/>
        <v>0</v>
      </c>
      <c r="AU549" s="239">
        <f t="shared" si="220"/>
        <v>0</v>
      </c>
      <c r="AV549" s="239">
        <f t="shared" si="221"/>
        <v>0</v>
      </c>
      <c r="AW549" s="239">
        <f t="shared" si="222"/>
        <v>0.05</v>
      </c>
      <c r="AX549" s="240">
        <f t="shared" si="223"/>
        <v>0</v>
      </c>
      <c r="AY549" s="241" t="str">
        <f t="shared" si="224"/>
        <v/>
      </c>
      <c r="AZ549" s="242" t="str">
        <f>IFERROR(VLOOKUP(M549,'[1]Base Brasil Obras'!$C$2:$F$485,4,0),"")</f>
        <v/>
      </c>
      <c r="BA549" s="243">
        <f t="shared" si="225"/>
        <v>0</v>
      </c>
      <c r="BB549" s="244">
        <f t="shared" si="226"/>
        <v>0</v>
      </c>
      <c r="BC549" s="244">
        <f t="shared" si="227"/>
        <v>0.05</v>
      </c>
      <c r="BD549" s="245">
        <f t="shared" si="228"/>
        <v>0.95</v>
      </c>
      <c r="BE549" s="246">
        <f t="shared" si="229"/>
        <v>0</v>
      </c>
      <c r="BF549" s="247">
        <v>0</v>
      </c>
      <c r="BG549" s="248">
        <f t="shared" si="230"/>
        <v>1</v>
      </c>
      <c r="BH549" s="198"/>
      <c r="BI549" s="198"/>
      <c r="BJ549" s="199"/>
      <c r="BK549" s="200"/>
      <c r="BL549" s="200"/>
      <c r="BM549" s="200"/>
      <c r="BN549" s="200"/>
      <c r="BO549" s="10"/>
    </row>
    <row r="550" spans="1:67" ht="18" x14ac:dyDescent="0.25">
      <c r="A550" s="201">
        <v>442</v>
      </c>
      <c r="B550" s="286"/>
      <c r="C550" s="203">
        <f t="shared" si="201"/>
        <v>0</v>
      </c>
      <c r="D550" s="204"/>
      <c r="E550" s="204"/>
      <c r="F550" s="207"/>
      <c r="G550" s="206"/>
      <c r="H550" s="207"/>
      <c r="I550" s="208" t="s">
        <v>125</v>
      </c>
      <c r="J550" s="208" t="s">
        <v>126</v>
      </c>
      <c r="K550" s="287"/>
      <c r="L550" s="288"/>
      <c r="M550" s="289"/>
      <c r="N550" s="257"/>
      <c r="O550" s="213"/>
      <c r="P550" s="214"/>
      <c r="Q550" s="214"/>
      <c r="R550" s="214"/>
      <c r="S550" s="214"/>
      <c r="T550" s="214"/>
      <c r="U550" s="215">
        <f t="shared" si="202"/>
        <v>0</v>
      </c>
      <c r="V550" s="216" t="str">
        <f t="shared" si="203"/>
        <v/>
      </c>
      <c r="W550" s="217" t="str">
        <f t="shared" si="204"/>
        <v/>
      </c>
      <c r="X550" s="218" t="s">
        <v>20</v>
      </c>
      <c r="Y550" s="219" t="str">
        <f t="shared" si="205"/>
        <v>0 um/Dia</v>
      </c>
      <c r="Z550" s="220" t="str">
        <f t="shared" si="206"/>
        <v xml:space="preserve"> um / HH</v>
      </c>
      <c r="AA550" s="221" t="str">
        <f t="shared" si="207"/>
        <v/>
      </c>
      <c r="AB550" s="222" t="str">
        <f t="shared" si="208"/>
        <v>0 um /HH</v>
      </c>
      <c r="AC550" s="223">
        <f t="shared" si="209"/>
        <v>0</v>
      </c>
      <c r="AD550" s="224"/>
      <c r="AE550" s="225"/>
      <c r="AF550" s="226">
        <f t="shared" si="210"/>
        <v>0</v>
      </c>
      <c r="AG550" s="227">
        <f t="shared" si="211"/>
        <v>0</v>
      </c>
      <c r="AH550" s="228" t="s">
        <v>25</v>
      </c>
      <c r="AI550" s="229" t="str">
        <f t="shared" si="197"/>
        <v>Extremamente Complexa</v>
      </c>
      <c r="AJ550" s="230" t="str">
        <f t="shared" si="198"/>
        <v>Normal</v>
      </c>
      <c r="AK550" s="231">
        <f t="shared" si="212"/>
        <v>0</v>
      </c>
      <c r="AL550" s="232" t="str">
        <f t="shared" si="213"/>
        <v/>
      </c>
      <c r="AM550" s="233" t="str">
        <f t="shared" si="214"/>
        <v/>
      </c>
      <c r="AN550" s="233" t="str">
        <f t="shared" si="215"/>
        <v/>
      </c>
      <c r="AO550" s="234">
        <f t="shared" si="216"/>
        <v>0</v>
      </c>
      <c r="AP550" s="235">
        <f t="shared" si="200"/>
        <v>1</v>
      </c>
      <c r="AQ550" s="235">
        <f t="shared" si="200"/>
        <v>1</v>
      </c>
      <c r="AR550" s="236">
        <f t="shared" si="217"/>
        <v>1</v>
      </c>
      <c r="AS550" s="251">
        <f t="shared" si="218"/>
        <v>0</v>
      </c>
      <c r="AT550" s="238">
        <f t="shared" si="219"/>
        <v>0</v>
      </c>
      <c r="AU550" s="239">
        <f t="shared" si="220"/>
        <v>0</v>
      </c>
      <c r="AV550" s="239">
        <f t="shared" si="221"/>
        <v>0</v>
      </c>
      <c r="AW550" s="239">
        <f t="shared" si="222"/>
        <v>0.05</v>
      </c>
      <c r="AX550" s="240">
        <f t="shared" si="223"/>
        <v>0</v>
      </c>
      <c r="AY550" s="241" t="str">
        <f t="shared" si="224"/>
        <v/>
      </c>
      <c r="AZ550" s="242" t="str">
        <f>IFERROR(VLOOKUP(M550,'[1]Base Brasil Obras'!$C$2:$F$485,4,0),"")</f>
        <v/>
      </c>
      <c r="BA550" s="243">
        <f t="shared" si="225"/>
        <v>0</v>
      </c>
      <c r="BB550" s="244">
        <f t="shared" si="226"/>
        <v>0</v>
      </c>
      <c r="BC550" s="244">
        <f t="shared" si="227"/>
        <v>0.05</v>
      </c>
      <c r="BD550" s="245">
        <f t="shared" si="228"/>
        <v>0.95</v>
      </c>
      <c r="BE550" s="246">
        <f t="shared" si="229"/>
        <v>0</v>
      </c>
      <c r="BF550" s="247">
        <v>0</v>
      </c>
      <c r="BG550" s="248">
        <f t="shared" si="230"/>
        <v>1</v>
      </c>
      <c r="BH550" s="198"/>
      <c r="BI550" s="198"/>
      <c r="BJ550" s="199"/>
      <c r="BK550" s="200"/>
      <c r="BL550" s="200"/>
      <c r="BM550" s="200"/>
      <c r="BN550" s="200"/>
      <c r="BO550" s="10"/>
    </row>
    <row r="551" spans="1:67" ht="18" x14ac:dyDescent="0.25">
      <c r="A551" s="201">
        <v>443</v>
      </c>
      <c r="B551" s="286"/>
      <c r="C551" s="203">
        <f t="shared" si="201"/>
        <v>0</v>
      </c>
      <c r="D551" s="204"/>
      <c r="E551" s="204"/>
      <c r="F551" s="207"/>
      <c r="G551" s="206"/>
      <c r="H551" s="207"/>
      <c r="I551" s="208" t="s">
        <v>125</v>
      </c>
      <c r="J551" s="208" t="s">
        <v>126</v>
      </c>
      <c r="K551" s="287"/>
      <c r="L551" s="288"/>
      <c r="M551" s="289"/>
      <c r="N551" s="257"/>
      <c r="O551" s="213"/>
      <c r="P551" s="214"/>
      <c r="Q551" s="214"/>
      <c r="R551" s="214"/>
      <c r="S551" s="214"/>
      <c r="T551" s="214"/>
      <c r="U551" s="215">
        <f t="shared" si="202"/>
        <v>0</v>
      </c>
      <c r="V551" s="216" t="str">
        <f t="shared" si="203"/>
        <v/>
      </c>
      <c r="W551" s="217" t="str">
        <f t="shared" si="204"/>
        <v/>
      </c>
      <c r="X551" s="218" t="s">
        <v>20</v>
      </c>
      <c r="Y551" s="219" t="str">
        <f t="shared" si="205"/>
        <v>0 um/Dia</v>
      </c>
      <c r="Z551" s="220" t="str">
        <f t="shared" si="206"/>
        <v xml:space="preserve"> um / HH</v>
      </c>
      <c r="AA551" s="221" t="str">
        <f t="shared" si="207"/>
        <v/>
      </c>
      <c r="AB551" s="222" t="str">
        <f t="shared" si="208"/>
        <v>0 um /HH</v>
      </c>
      <c r="AC551" s="223">
        <f t="shared" si="209"/>
        <v>0</v>
      </c>
      <c r="AD551" s="224"/>
      <c r="AE551" s="225"/>
      <c r="AF551" s="226">
        <f t="shared" si="210"/>
        <v>0</v>
      </c>
      <c r="AG551" s="227">
        <f t="shared" si="211"/>
        <v>0</v>
      </c>
      <c r="AH551" s="228" t="s">
        <v>25</v>
      </c>
      <c r="AI551" s="229" t="str">
        <f t="shared" si="197"/>
        <v>Extremamente Complexa</v>
      </c>
      <c r="AJ551" s="230" t="str">
        <f t="shared" si="198"/>
        <v>Normal</v>
      </c>
      <c r="AK551" s="231">
        <f t="shared" si="212"/>
        <v>0</v>
      </c>
      <c r="AL551" s="232" t="str">
        <f t="shared" si="213"/>
        <v/>
      </c>
      <c r="AM551" s="233" t="str">
        <f t="shared" si="214"/>
        <v/>
      </c>
      <c r="AN551" s="233" t="str">
        <f t="shared" si="215"/>
        <v/>
      </c>
      <c r="AO551" s="234">
        <f t="shared" si="216"/>
        <v>0</v>
      </c>
      <c r="AP551" s="235">
        <f t="shared" si="200"/>
        <v>1</v>
      </c>
      <c r="AQ551" s="235">
        <f t="shared" si="200"/>
        <v>1</v>
      </c>
      <c r="AR551" s="235">
        <f t="shared" si="217"/>
        <v>1</v>
      </c>
      <c r="AS551" s="252">
        <f t="shared" si="218"/>
        <v>0</v>
      </c>
      <c r="AT551" s="238">
        <f t="shared" si="219"/>
        <v>0</v>
      </c>
      <c r="AU551" s="239">
        <f t="shared" si="220"/>
        <v>0</v>
      </c>
      <c r="AV551" s="239">
        <f t="shared" si="221"/>
        <v>0</v>
      </c>
      <c r="AW551" s="239">
        <f t="shared" si="222"/>
        <v>0.05</v>
      </c>
      <c r="AX551" s="240">
        <f t="shared" si="223"/>
        <v>0</v>
      </c>
      <c r="AY551" s="241" t="str">
        <f t="shared" si="224"/>
        <v/>
      </c>
      <c r="AZ551" s="242" t="str">
        <f>IFERROR(VLOOKUP(M551,'[1]Base Brasil Obras'!$C$2:$F$485,4,0),"")</f>
        <v/>
      </c>
      <c r="BA551" s="243">
        <f t="shared" si="225"/>
        <v>0</v>
      </c>
      <c r="BB551" s="244">
        <f t="shared" si="226"/>
        <v>0</v>
      </c>
      <c r="BC551" s="244">
        <f t="shared" si="227"/>
        <v>0.05</v>
      </c>
      <c r="BD551" s="245">
        <f t="shared" si="228"/>
        <v>0.95</v>
      </c>
      <c r="BE551" s="246">
        <f t="shared" si="229"/>
        <v>0</v>
      </c>
      <c r="BF551" s="247">
        <v>0</v>
      </c>
      <c r="BG551" s="248">
        <f t="shared" si="230"/>
        <v>1</v>
      </c>
      <c r="BH551" s="198"/>
      <c r="BI551" s="198"/>
      <c r="BJ551" s="199"/>
      <c r="BK551" s="200"/>
      <c r="BL551" s="200"/>
      <c r="BM551" s="200"/>
      <c r="BN551" s="200"/>
      <c r="BO551" s="10"/>
    </row>
    <row r="552" spans="1:67" ht="18" x14ac:dyDescent="0.25">
      <c r="A552" s="201">
        <v>444</v>
      </c>
      <c r="B552" s="286"/>
      <c r="C552" s="203">
        <f t="shared" si="201"/>
        <v>0</v>
      </c>
      <c r="D552" s="204"/>
      <c r="E552" s="204"/>
      <c r="F552" s="207"/>
      <c r="G552" s="206"/>
      <c r="H552" s="207"/>
      <c r="I552" s="208" t="s">
        <v>125</v>
      </c>
      <c r="J552" s="208" t="s">
        <v>126</v>
      </c>
      <c r="K552" s="287"/>
      <c r="L552" s="288"/>
      <c r="M552" s="289"/>
      <c r="N552" s="257"/>
      <c r="O552" s="213"/>
      <c r="P552" s="214"/>
      <c r="Q552" s="214"/>
      <c r="R552" s="214"/>
      <c r="S552" s="214"/>
      <c r="T552" s="214"/>
      <c r="U552" s="215">
        <f t="shared" si="202"/>
        <v>0</v>
      </c>
      <c r="V552" s="216" t="str">
        <f t="shared" si="203"/>
        <v/>
      </c>
      <c r="W552" s="217" t="str">
        <f t="shared" si="204"/>
        <v/>
      </c>
      <c r="X552" s="218" t="s">
        <v>20</v>
      </c>
      <c r="Y552" s="219" t="str">
        <f t="shared" si="205"/>
        <v>0 um/Dia</v>
      </c>
      <c r="Z552" s="220" t="str">
        <f t="shared" si="206"/>
        <v xml:space="preserve"> um / HH</v>
      </c>
      <c r="AA552" s="221" t="str">
        <f t="shared" si="207"/>
        <v/>
      </c>
      <c r="AB552" s="222" t="str">
        <f t="shared" si="208"/>
        <v>0 um /HH</v>
      </c>
      <c r="AC552" s="223">
        <f t="shared" si="209"/>
        <v>0</v>
      </c>
      <c r="AD552" s="224"/>
      <c r="AE552" s="225"/>
      <c r="AF552" s="226">
        <f t="shared" si="210"/>
        <v>0</v>
      </c>
      <c r="AG552" s="227">
        <f t="shared" si="211"/>
        <v>0</v>
      </c>
      <c r="AH552" s="228" t="s">
        <v>25</v>
      </c>
      <c r="AI552" s="229" t="str">
        <f t="shared" si="197"/>
        <v>Extremamente Complexa</v>
      </c>
      <c r="AJ552" s="230" t="str">
        <f t="shared" si="198"/>
        <v>Normal</v>
      </c>
      <c r="AK552" s="231">
        <f t="shared" si="212"/>
        <v>0</v>
      </c>
      <c r="AL552" s="232" t="str">
        <f t="shared" si="213"/>
        <v/>
      </c>
      <c r="AM552" s="233" t="str">
        <f t="shared" si="214"/>
        <v/>
      </c>
      <c r="AN552" s="233" t="str">
        <f t="shared" si="215"/>
        <v/>
      </c>
      <c r="AO552" s="234">
        <f t="shared" si="216"/>
        <v>0</v>
      </c>
      <c r="AP552" s="235">
        <f t="shared" si="200"/>
        <v>1</v>
      </c>
      <c r="AQ552" s="235">
        <f t="shared" si="200"/>
        <v>1</v>
      </c>
      <c r="AR552" s="236">
        <f t="shared" si="217"/>
        <v>1</v>
      </c>
      <c r="AS552" s="251">
        <f t="shared" si="218"/>
        <v>0</v>
      </c>
      <c r="AT552" s="238">
        <f t="shared" si="219"/>
        <v>0</v>
      </c>
      <c r="AU552" s="239">
        <f t="shared" si="220"/>
        <v>0</v>
      </c>
      <c r="AV552" s="239">
        <f t="shared" si="221"/>
        <v>0</v>
      </c>
      <c r="AW552" s="239">
        <f t="shared" si="222"/>
        <v>0.05</v>
      </c>
      <c r="AX552" s="240">
        <f t="shared" si="223"/>
        <v>0</v>
      </c>
      <c r="AY552" s="241" t="str">
        <f t="shared" si="224"/>
        <v/>
      </c>
      <c r="AZ552" s="242" t="str">
        <f>IFERROR(VLOOKUP(M552,'[1]Base Brasil Obras'!$C$2:$F$485,4,0),"")</f>
        <v/>
      </c>
      <c r="BA552" s="243">
        <f t="shared" si="225"/>
        <v>0</v>
      </c>
      <c r="BB552" s="244">
        <f t="shared" si="226"/>
        <v>0</v>
      </c>
      <c r="BC552" s="244">
        <f t="shared" si="227"/>
        <v>0.05</v>
      </c>
      <c r="BD552" s="245">
        <f t="shared" si="228"/>
        <v>0.95</v>
      </c>
      <c r="BE552" s="246">
        <f t="shared" si="229"/>
        <v>0</v>
      </c>
      <c r="BF552" s="247">
        <v>0</v>
      </c>
      <c r="BG552" s="248">
        <f t="shared" si="230"/>
        <v>1</v>
      </c>
      <c r="BH552" s="198"/>
      <c r="BI552" s="198"/>
      <c r="BJ552" s="199"/>
      <c r="BK552" s="200"/>
      <c r="BL552" s="200"/>
      <c r="BM552" s="200"/>
      <c r="BN552" s="200"/>
      <c r="BO552" s="10"/>
    </row>
    <row r="553" spans="1:67" ht="18" x14ac:dyDescent="0.25">
      <c r="A553" s="201">
        <v>445</v>
      </c>
      <c r="B553" s="286"/>
      <c r="C553" s="203">
        <f t="shared" si="201"/>
        <v>0</v>
      </c>
      <c r="D553" s="204"/>
      <c r="E553" s="204"/>
      <c r="F553" s="207"/>
      <c r="G553" s="206"/>
      <c r="H553" s="207"/>
      <c r="I553" s="208" t="s">
        <v>125</v>
      </c>
      <c r="J553" s="208" t="s">
        <v>126</v>
      </c>
      <c r="K553" s="287"/>
      <c r="L553" s="288"/>
      <c r="M553" s="289"/>
      <c r="N553" s="257"/>
      <c r="O553" s="213"/>
      <c r="P553" s="214"/>
      <c r="Q553" s="214"/>
      <c r="R553" s="214"/>
      <c r="S553" s="214"/>
      <c r="T553" s="214"/>
      <c r="U553" s="215">
        <f t="shared" si="202"/>
        <v>0</v>
      </c>
      <c r="V553" s="216" t="str">
        <f t="shared" si="203"/>
        <v/>
      </c>
      <c r="W553" s="217" t="str">
        <f t="shared" si="204"/>
        <v/>
      </c>
      <c r="X553" s="218" t="s">
        <v>20</v>
      </c>
      <c r="Y553" s="219" t="str">
        <f t="shared" si="205"/>
        <v>0 um/Dia</v>
      </c>
      <c r="Z553" s="220" t="str">
        <f t="shared" si="206"/>
        <v xml:space="preserve"> um / HH</v>
      </c>
      <c r="AA553" s="221" t="str">
        <f t="shared" si="207"/>
        <v/>
      </c>
      <c r="AB553" s="222" t="str">
        <f t="shared" si="208"/>
        <v>0 um /HH</v>
      </c>
      <c r="AC553" s="223">
        <f t="shared" si="209"/>
        <v>0</v>
      </c>
      <c r="AD553" s="224"/>
      <c r="AE553" s="225"/>
      <c r="AF553" s="226">
        <f t="shared" si="210"/>
        <v>0</v>
      </c>
      <c r="AG553" s="227">
        <f t="shared" si="211"/>
        <v>0</v>
      </c>
      <c r="AH553" s="228" t="s">
        <v>25</v>
      </c>
      <c r="AI553" s="229" t="str">
        <f t="shared" si="197"/>
        <v>Extremamente Complexa</v>
      </c>
      <c r="AJ553" s="230" t="str">
        <f t="shared" si="198"/>
        <v>Normal</v>
      </c>
      <c r="AK553" s="231">
        <f t="shared" si="212"/>
        <v>0</v>
      </c>
      <c r="AL553" s="232" t="str">
        <f t="shared" si="213"/>
        <v/>
      </c>
      <c r="AM553" s="233" t="str">
        <f t="shared" si="214"/>
        <v/>
      </c>
      <c r="AN553" s="233" t="str">
        <f t="shared" si="215"/>
        <v/>
      </c>
      <c r="AO553" s="234">
        <f t="shared" si="216"/>
        <v>0</v>
      </c>
      <c r="AP553" s="235">
        <f t="shared" si="200"/>
        <v>1</v>
      </c>
      <c r="AQ553" s="235">
        <f t="shared" si="200"/>
        <v>1</v>
      </c>
      <c r="AR553" s="235">
        <f t="shared" si="217"/>
        <v>1</v>
      </c>
      <c r="AS553" s="252">
        <f t="shared" si="218"/>
        <v>0</v>
      </c>
      <c r="AT553" s="238">
        <f t="shared" si="219"/>
        <v>0</v>
      </c>
      <c r="AU553" s="239">
        <f t="shared" si="220"/>
        <v>0</v>
      </c>
      <c r="AV553" s="239">
        <f t="shared" si="221"/>
        <v>0</v>
      </c>
      <c r="AW553" s="239">
        <f t="shared" si="222"/>
        <v>0.05</v>
      </c>
      <c r="AX553" s="240">
        <f t="shared" si="223"/>
        <v>0</v>
      </c>
      <c r="AY553" s="241" t="str">
        <f t="shared" si="224"/>
        <v/>
      </c>
      <c r="AZ553" s="242" t="str">
        <f>IFERROR(VLOOKUP(M553,'[1]Base Brasil Obras'!$C$2:$F$485,4,0),"")</f>
        <v/>
      </c>
      <c r="BA553" s="243">
        <f t="shared" si="225"/>
        <v>0</v>
      </c>
      <c r="BB553" s="244">
        <f t="shared" si="226"/>
        <v>0</v>
      </c>
      <c r="BC553" s="244">
        <f t="shared" si="227"/>
        <v>0.05</v>
      </c>
      <c r="BD553" s="245">
        <f t="shared" si="228"/>
        <v>0.95</v>
      </c>
      <c r="BE553" s="246">
        <f t="shared" si="229"/>
        <v>0</v>
      </c>
      <c r="BF553" s="247">
        <v>0</v>
      </c>
      <c r="BG553" s="248">
        <f t="shared" si="230"/>
        <v>1</v>
      </c>
      <c r="BH553" s="198"/>
      <c r="BI553" s="198"/>
      <c r="BJ553" s="199"/>
      <c r="BK553" s="200"/>
      <c r="BL553" s="200"/>
      <c r="BM553" s="200"/>
      <c r="BN553" s="200"/>
      <c r="BO553" s="10"/>
    </row>
    <row r="554" spans="1:67" ht="18" x14ac:dyDescent="0.25">
      <c r="A554" s="201">
        <v>446</v>
      </c>
      <c r="B554" s="286"/>
      <c r="C554" s="203">
        <f t="shared" si="201"/>
        <v>0</v>
      </c>
      <c r="D554" s="204"/>
      <c r="E554" s="204"/>
      <c r="F554" s="207"/>
      <c r="G554" s="206"/>
      <c r="H554" s="207"/>
      <c r="I554" s="208" t="s">
        <v>125</v>
      </c>
      <c r="J554" s="208" t="s">
        <v>126</v>
      </c>
      <c r="K554" s="287"/>
      <c r="L554" s="288"/>
      <c r="M554" s="289"/>
      <c r="N554" s="257"/>
      <c r="O554" s="213"/>
      <c r="P554" s="214"/>
      <c r="Q554" s="214"/>
      <c r="R554" s="214"/>
      <c r="S554" s="214"/>
      <c r="T554" s="214"/>
      <c r="U554" s="215">
        <f t="shared" si="202"/>
        <v>0</v>
      </c>
      <c r="V554" s="216" t="str">
        <f t="shared" si="203"/>
        <v/>
      </c>
      <c r="W554" s="217" t="str">
        <f t="shared" si="204"/>
        <v/>
      </c>
      <c r="X554" s="218" t="s">
        <v>20</v>
      </c>
      <c r="Y554" s="219" t="str">
        <f t="shared" si="205"/>
        <v>0 um/Dia</v>
      </c>
      <c r="Z554" s="220" t="str">
        <f t="shared" si="206"/>
        <v xml:space="preserve"> um / HH</v>
      </c>
      <c r="AA554" s="221" t="str">
        <f t="shared" si="207"/>
        <v/>
      </c>
      <c r="AB554" s="222" t="str">
        <f t="shared" si="208"/>
        <v>0 um /HH</v>
      </c>
      <c r="AC554" s="223">
        <f t="shared" si="209"/>
        <v>0</v>
      </c>
      <c r="AD554" s="224"/>
      <c r="AE554" s="225"/>
      <c r="AF554" s="226">
        <f t="shared" si="210"/>
        <v>0</v>
      </c>
      <c r="AG554" s="227">
        <f t="shared" si="211"/>
        <v>0</v>
      </c>
      <c r="AH554" s="228" t="s">
        <v>25</v>
      </c>
      <c r="AI554" s="229" t="str">
        <f t="shared" si="197"/>
        <v>Extremamente Complexa</v>
      </c>
      <c r="AJ554" s="230" t="str">
        <f t="shared" si="198"/>
        <v>Normal</v>
      </c>
      <c r="AK554" s="231">
        <f t="shared" si="212"/>
        <v>0</v>
      </c>
      <c r="AL554" s="232" t="str">
        <f t="shared" si="213"/>
        <v/>
      </c>
      <c r="AM554" s="233" t="str">
        <f t="shared" si="214"/>
        <v/>
      </c>
      <c r="AN554" s="233" t="str">
        <f t="shared" si="215"/>
        <v/>
      </c>
      <c r="AO554" s="234">
        <f t="shared" si="216"/>
        <v>0</v>
      </c>
      <c r="AP554" s="235">
        <f t="shared" si="200"/>
        <v>1</v>
      </c>
      <c r="AQ554" s="235">
        <f t="shared" si="200"/>
        <v>1</v>
      </c>
      <c r="AR554" s="236">
        <f t="shared" si="217"/>
        <v>1</v>
      </c>
      <c r="AS554" s="251">
        <f t="shared" si="218"/>
        <v>0</v>
      </c>
      <c r="AT554" s="238">
        <f t="shared" si="219"/>
        <v>0</v>
      </c>
      <c r="AU554" s="239">
        <f t="shared" si="220"/>
        <v>0</v>
      </c>
      <c r="AV554" s="239">
        <f t="shared" si="221"/>
        <v>0</v>
      </c>
      <c r="AW554" s="239">
        <f t="shared" si="222"/>
        <v>0.05</v>
      </c>
      <c r="AX554" s="240">
        <f t="shared" si="223"/>
        <v>0</v>
      </c>
      <c r="AY554" s="241" t="str">
        <f t="shared" si="224"/>
        <v/>
      </c>
      <c r="AZ554" s="242" t="str">
        <f>IFERROR(VLOOKUP(M554,'[1]Base Brasil Obras'!$C$2:$F$485,4,0),"")</f>
        <v/>
      </c>
      <c r="BA554" s="243">
        <f t="shared" si="225"/>
        <v>0</v>
      </c>
      <c r="BB554" s="244">
        <f t="shared" si="226"/>
        <v>0</v>
      </c>
      <c r="BC554" s="244">
        <f t="shared" si="227"/>
        <v>0.05</v>
      </c>
      <c r="BD554" s="245">
        <f t="shared" si="228"/>
        <v>0.95</v>
      </c>
      <c r="BE554" s="246">
        <f t="shared" si="229"/>
        <v>0</v>
      </c>
      <c r="BF554" s="247">
        <v>0</v>
      </c>
      <c r="BG554" s="248">
        <f t="shared" si="230"/>
        <v>1</v>
      </c>
      <c r="BH554" s="198"/>
      <c r="BI554" s="198"/>
      <c r="BJ554" s="199"/>
      <c r="BK554" s="200"/>
      <c r="BL554" s="200"/>
      <c r="BM554" s="200"/>
      <c r="BN554" s="200"/>
      <c r="BO554" s="10"/>
    </row>
    <row r="555" spans="1:67" ht="18" x14ac:dyDescent="0.25">
      <c r="A555" s="201">
        <v>447</v>
      </c>
      <c r="B555" s="286"/>
      <c r="C555" s="203">
        <f t="shared" si="201"/>
        <v>0</v>
      </c>
      <c r="D555" s="204"/>
      <c r="E555" s="204"/>
      <c r="F555" s="207"/>
      <c r="G555" s="206"/>
      <c r="H555" s="207"/>
      <c r="I555" s="208" t="s">
        <v>125</v>
      </c>
      <c r="J555" s="208" t="s">
        <v>126</v>
      </c>
      <c r="K555" s="287"/>
      <c r="L555" s="288"/>
      <c r="M555" s="289"/>
      <c r="N555" s="257"/>
      <c r="O555" s="213"/>
      <c r="P555" s="214"/>
      <c r="Q555" s="214"/>
      <c r="R555" s="214"/>
      <c r="S555" s="214"/>
      <c r="T555" s="214"/>
      <c r="U555" s="215">
        <f t="shared" si="202"/>
        <v>0</v>
      </c>
      <c r="V555" s="216" t="str">
        <f t="shared" si="203"/>
        <v/>
      </c>
      <c r="W555" s="217" t="str">
        <f t="shared" si="204"/>
        <v/>
      </c>
      <c r="X555" s="218" t="s">
        <v>20</v>
      </c>
      <c r="Y555" s="219" t="str">
        <f t="shared" si="205"/>
        <v>0 um/Dia</v>
      </c>
      <c r="Z555" s="220" t="str">
        <f t="shared" si="206"/>
        <v xml:space="preserve"> um / HH</v>
      </c>
      <c r="AA555" s="221" t="str">
        <f t="shared" si="207"/>
        <v/>
      </c>
      <c r="AB555" s="222" t="str">
        <f t="shared" si="208"/>
        <v>0 um /HH</v>
      </c>
      <c r="AC555" s="223">
        <f t="shared" si="209"/>
        <v>0</v>
      </c>
      <c r="AD555" s="224"/>
      <c r="AE555" s="225"/>
      <c r="AF555" s="226">
        <f t="shared" si="210"/>
        <v>0</v>
      </c>
      <c r="AG555" s="227">
        <f t="shared" si="211"/>
        <v>0</v>
      </c>
      <c r="AH555" s="228" t="s">
        <v>25</v>
      </c>
      <c r="AI555" s="229" t="str">
        <f t="shared" si="197"/>
        <v>Extremamente Complexa</v>
      </c>
      <c r="AJ555" s="230" t="str">
        <f t="shared" si="198"/>
        <v>Normal</v>
      </c>
      <c r="AK555" s="231">
        <f t="shared" si="212"/>
        <v>0</v>
      </c>
      <c r="AL555" s="232" t="str">
        <f t="shared" si="213"/>
        <v/>
      </c>
      <c r="AM555" s="233" t="str">
        <f t="shared" si="214"/>
        <v/>
      </c>
      <c r="AN555" s="233" t="str">
        <f t="shared" si="215"/>
        <v/>
      </c>
      <c r="AO555" s="234">
        <f t="shared" si="216"/>
        <v>0</v>
      </c>
      <c r="AP555" s="235">
        <f t="shared" si="200"/>
        <v>1</v>
      </c>
      <c r="AQ555" s="235">
        <f t="shared" si="200"/>
        <v>1</v>
      </c>
      <c r="AR555" s="235">
        <f t="shared" si="217"/>
        <v>1</v>
      </c>
      <c r="AS555" s="252">
        <f t="shared" si="218"/>
        <v>0</v>
      </c>
      <c r="AT555" s="238">
        <f t="shared" si="219"/>
        <v>0</v>
      </c>
      <c r="AU555" s="239">
        <f t="shared" si="220"/>
        <v>0</v>
      </c>
      <c r="AV555" s="239">
        <f t="shared" si="221"/>
        <v>0</v>
      </c>
      <c r="AW555" s="239">
        <f t="shared" si="222"/>
        <v>0.05</v>
      </c>
      <c r="AX555" s="240">
        <f t="shared" si="223"/>
        <v>0</v>
      </c>
      <c r="AY555" s="241" t="str">
        <f t="shared" si="224"/>
        <v/>
      </c>
      <c r="AZ555" s="242" t="str">
        <f>IFERROR(VLOOKUP(M555,'[1]Base Brasil Obras'!$C$2:$F$485,4,0),"")</f>
        <v/>
      </c>
      <c r="BA555" s="243">
        <f t="shared" si="225"/>
        <v>0</v>
      </c>
      <c r="BB555" s="244">
        <f t="shared" si="226"/>
        <v>0</v>
      </c>
      <c r="BC555" s="244">
        <f t="shared" si="227"/>
        <v>0.05</v>
      </c>
      <c r="BD555" s="245">
        <f t="shared" si="228"/>
        <v>0.95</v>
      </c>
      <c r="BE555" s="246">
        <f t="shared" si="229"/>
        <v>0</v>
      </c>
      <c r="BF555" s="247">
        <v>0</v>
      </c>
      <c r="BG555" s="248">
        <f t="shared" si="230"/>
        <v>1</v>
      </c>
      <c r="BH555" s="198"/>
      <c r="BI555" s="198"/>
      <c r="BJ555" s="199"/>
      <c r="BK555" s="200"/>
      <c r="BL555" s="200"/>
      <c r="BM555" s="200"/>
      <c r="BN555" s="200"/>
      <c r="BO555" s="10"/>
    </row>
    <row r="556" spans="1:67" ht="18" x14ac:dyDescent="0.25">
      <c r="A556" s="201">
        <v>448</v>
      </c>
      <c r="B556" s="286"/>
      <c r="C556" s="203">
        <f t="shared" si="201"/>
        <v>0</v>
      </c>
      <c r="D556" s="204"/>
      <c r="E556" s="204"/>
      <c r="F556" s="207"/>
      <c r="G556" s="206"/>
      <c r="H556" s="207"/>
      <c r="I556" s="208" t="s">
        <v>125</v>
      </c>
      <c r="J556" s="208" t="s">
        <v>126</v>
      </c>
      <c r="K556" s="287"/>
      <c r="L556" s="288"/>
      <c r="M556" s="289"/>
      <c r="N556" s="257"/>
      <c r="O556" s="213"/>
      <c r="P556" s="214"/>
      <c r="Q556" s="214"/>
      <c r="R556" s="214"/>
      <c r="S556" s="214"/>
      <c r="T556" s="214"/>
      <c r="U556" s="215">
        <f t="shared" si="202"/>
        <v>0</v>
      </c>
      <c r="V556" s="216" t="str">
        <f t="shared" si="203"/>
        <v/>
      </c>
      <c r="W556" s="217" t="str">
        <f t="shared" si="204"/>
        <v/>
      </c>
      <c r="X556" s="218" t="s">
        <v>20</v>
      </c>
      <c r="Y556" s="219" t="str">
        <f t="shared" si="205"/>
        <v>0 um/Dia</v>
      </c>
      <c r="Z556" s="220" t="str">
        <f t="shared" si="206"/>
        <v xml:space="preserve"> um / HH</v>
      </c>
      <c r="AA556" s="221" t="str">
        <f t="shared" si="207"/>
        <v/>
      </c>
      <c r="AB556" s="222" t="str">
        <f t="shared" si="208"/>
        <v>0 um /HH</v>
      </c>
      <c r="AC556" s="223">
        <f t="shared" si="209"/>
        <v>0</v>
      </c>
      <c r="AD556" s="224"/>
      <c r="AE556" s="225"/>
      <c r="AF556" s="226">
        <f t="shared" si="210"/>
        <v>0</v>
      </c>
      <c r="AG556" s="227">
        <f t="shared" si="211"/>
        <v>0</v>
      </c>
      <c r="AH556" s="228" t="s">
        <v>25</v>
      </c>
      <c r="AI556" s="229" t="str">
        <f t="shared" si="197"/>
        <v>Extremamente Complexa</v>
      </c>
      <c r="AJ556" s="230" t="str">
        <f t="shared" si="198"/>
        <v>Normal</v>
      </c>
      <c r="AK556" s="231">
        <f t="shared" si="212"/>
        <v>0</v>
      </c>
      <c r="AL556" s="232" t="str">
        <f t="shared" si="213"/>
        <v/>
      </c>
      <c r="AM556" s="233" t="str">
        <f t="shared" si="214"/>
        <v/>
      </c>
      <c r="AN556" s="233" t="str">
        <f t="shared" si="215"/>
        <v/>
      </c>
      <c r="AO556" s="234">
        <f t="shared" si="216"/>
        <v>0</v>
      </c>
      <c r="AP556" s="235">
        <f t="shared" si="200"/>
        <v>1</v>
      </c>
      <c r="AQ556" s="235">
        <f t="shared" si="200"/>
        <v>1</v>
      </c>
      <c r="AR556" s="236">
        <f t="shared" si="217"/>
        <v>1</v>
      </c>
      <c r="AS556" s="251">
        <f t="shared" si="218"/>
        <v>0</v>
      </c>
      <c r="AT556" s="238">
        <f t="shared" si="219"/>
        <v>0</v>
      </c>
      <c r="AU556" s="239">
        <f t="shared" si="220"/>
        <v>0</v>
      </c>
      <c r="AV556" s="239">
        <f t="shared" si="221"/>
        <v>0</v>
      </c>
      <c r="AW556" s="239">
        <f t="shared" si="222"/>
        <v>0.05</v>
      </c>
      <c r="AX556" s="240">
        <f t="shared" si="223"/>
        <v>0</v>
      </c>
      <c r="AY556" s="241" t="str">
        <f t="shared" si="224"/>
        <v/>
      </c>
      <c r="AZ556" s="242" t="str">
        <f>IFERROR(VLOOKUP(M556,'[1]Base Brasil Obras'!$C$2:$F$485,4,0),"")</f>
        <v/>
      </c>
      <c r="BA556" s="243">
        <f t="shared" si="225"/>
        <v>0</v>
      </c>
      <c r="BB556" s="244">
        <f t="shared" si="226"/>
        <v>0</v>
      </c>
      <c r="BC556" s="244">
        <f t="shared" si="227"/>
        <v>0.05</v>
      </c>
      <c r="BD556" s="245">
        <f t="shared" si="228"/>
        <v>0.95</v>
      </c>
      <c r="BE556" s="246">
        <f t="shared" si="229"/>
        <v>0</v>
      </c>
      <c r="BF556" s="247">
        <v>0</v>
      </c>
      <c r="BG556" s="248">
        <f t="shared" si="230"/>
        <v>1</v>
      </c>
      <c r="BH556" s="198"/>
      <c r="BI556" s="198"/>
      <c r="BJ556" s="199"/>
      <c r="BK556" s="200"/>
      <c r="BL556" s="200"/>
      <c r="BM556" s="200"/>
      <c r="BN556" s="200"/>
      <c r="BO556" s="10"/>
    </row>
    <row r="557" spans="1:67" ht="18" x14ac:dyDescent="0.25">
      <c r="A557" s="201">
        <v>449</v>
      </c>
      <c r="B557" s="286"/>
      <c r="C557" s="203">
        <f t="shared" si="201"/>
        <v>0</v>
      </c>
      <c r="D557" s="204"/>
      <c r="E557" s="204"/>
      <c r="F557" s="207"/>
      <c r="G557" s="206"/>
      <c r="H557" s="207"/>
      <c r="I557" s="208" t="s">
        <v>125</v>
      </c>
      <c r="J557" s="208" t="s">
        <v>126</v>
      </c>
      <c r="K557" s="287"/>
      <c r="L557" s="288"/>
      <c r="M557" s="289"/>
      <c r="N557" s="257"/>
      <c r="O557" s="213"/>
      <c r="P557" s="214"/>
      <c r="Q557" s="214"/>
      <c r="R557" s="214"/>
      <c r="S557" s="214"/>
      <c r="T557" s="214"/>
      <c r="U557" s="215">
        <f t="shared" si="202"/>
        <v>0</v>
      </c>
      <c r="V557" s="216" t="str">
        <f t="shared" si="203"/>
        <v/>
      </c>
      <c r="W557" s="217" t="str">
        <f t="shared" si="204"/>
        <v/>
      </c>
      <c r="X557" s="218" t="s">
        <v>20</v>
      </c>
      <c r="Y557" s="219" t="str">
        <f t="shared" si="205"/>
        <v>0 um/Dia</v>
      </c>
      <c r="Z557" s="220" t="str">
        <f t="shared" si="206"/>
        <v xml:space="preserve"> um / HH</v>
      </c>
      <c r="AA557" s="221" t="str">
        <f t="shared" si="207"/>
        <v/>
      </c>
      <c r="AB557" s="222" t="str">
        <f t="shared" si="208"/>
        <v>0 um /HH</v>
      </c>
      <c r="AC557" s="223">
        <f t="shared" si="209"/>
        <v>0</v>
      </c>
      <c r="AD557" s="224"/>
      <c r="AE557" s="225"/>
      <c r="AF557" s="226">
        <f t="shared" si="210"/>
        <v>0</v>
      </c>
      <c r="AG557" s="227">
        <f t="shared" si="211"/>
        <v>0</v>
      </c>
      <c r="AH557" s="228" t="s">
        <v>25</v>
      </c>
      <c r="AI557" s="229" t="str">
        <f t="shared" si="197"/>
        <v>Extremamente Complexa</v>
      </c>
      <c r="AJ557" s="230" t="str">
        <f t="shared" si="198"/>
        <v>Normal</v>
      </c>
      <c r="AK557" s="231">
        <f t="shared" si="212"/>
        <v>0</v>
      </c>
      <c r="AL557" s="232" t="str">
        <f t="shared" si="213"/>
        <v/>
      </c>
      <c r="AM557" s="233" t="str">
        <f t="shared" si="214"/>
        <v/>
      </c>
      <c r="AN557" s="233" t="str">
        <f t="shared" si="215"/>
        <v/>
      </c>
      <c r="AO557" s="234">
        <f t="shared" si="216"/>
        <v>0</v>
      </c>
      <c r="AP557" s="235">
        <f t="shared" si="200"/>
        <v>1</v>
      </c>
      <c r="AQ557" s="235">
        <f t="shared" si="200"/>
        <v>1</v>
      </c>
      <c r="AR557" s="235">
        <f t="shared" si="217"/>
        <v>1</v>
      </c>
      <c r="AS557" s="252">
        <f t="shared" si="218"/>
        <v>0</v>
      </c>
      <c r="AT557" s="238">
        <f t="shared" si="219"/>
        <v>0</v>
      </c>
      <c r="AU557" s="239">
        <f t="shared" si="220"/>
        <v>0</v>
      </c>
      <c r="AV557" s="239">
        <f t="shared" si="221"/>
        <v>0</v>
      </c>
      <c r="AW557" s="239">
        <f t="shared" si="222"/>
        <v>0.05</v>
      </c>
      <c r="AX557" s="240">
        <f t="shared" si="223"/>
        <v>0</v>
      </c>
      <c r="AY557" s="241" t="str">
        <f t="shared" si="224"/>
        <v/>
      </c>
      <c r="AZ557" s="242" t="str">
        <f>IFERROR(VLOOKUP(M557,'[1]Base Brasil Obras'!$C$2:$F$485,4,0),"")</f>
        <v/>
      </c>
      <c r="BA557" s="243">
        <f t="shared" si="225"/>
        <v>0</v>
      </c>
      <c r="BB557" s="244">
        <f t="shared" si="226"/>
        <v>0</v>
      </c>
      <c r="BC557" s="244">
        <f t="shared" si="227"/>
        <v>0.05</v>
      </c>
      <c r="BD557" s="245">
        <f t="shared" si="228"/>
        <v>0.95</v>
      </c>
      <c r="BE557" s="246">
        <f t="shared" si="229"/>
        <v>0</v>
      </c>
      <c r="BF557" s="247">
        <v>0</v>
      </c>
      <c r="BG557" s="248">
        <f t="shared" si="230"/>
        <v>1</v>
      </c>
      <c r="BH557" s="198"/>
      <c r="BI557" s="198"/>
      <c r="BJ557" s="199"/>
      <c r="BK557" s="200"/>
      <c r="BL557" s="200"/>
      <c r="BM557" s="200"/>
      <c r="BN557" s="200"/>
      <c r="BO557" s="10"/>
    </row>
    <row r="558" spans="1:67" ht="18" x14ac:dyDescent="0.25">
      <c r="A558" s="201">
        <v>450</v>
      </c>
      <c r="B558" s="286"/>
      <c r="C558" s="203">
        <f t="shared" si="201"/>
        <v>0</v>
      </c>
      <c r="D558" s="204"/>
      <c r="E558" s="204"/>
      <c r="F558" s="207"/>
      <c r="G558" s="206"/>
      <c r="H558" s="207"/>
      <c r="I558" s="208" t="s">
        <v>125</v>
      </c>
      <c r="J558" s="208" t="s">
        <v>126</v>
      </c>
      <c r="K558" s="287"/>
      <c r="L558" s="288"/>
      <c r="M558" s="289"/>
      <c r="N558" s="257"/>
      <c r="O558" s="213"/>
      <c r="P558" s="214"/>
      <c r="Q558" s="214"/>
      <c r="R558" s="214"/>
      <c r="S558" s="214"/>
      <c r="T558" s="214"/>
      <c r="U558" s="215">
        <f t="shared" si="202"/>
        <v>0</v>
      </c>
      <c r="V558" s="216" t="str">
        <f t="shared" si="203"/>
        <v/>
      </c>
      <c r="W558" s="217" t="str">
        <f t="shared" si="204"/>
        <v/>
      </c>
      <c r="X558" s="218" t="s">
        <v>20</v>
      </c>
      <c r="Y558" s="219" t="str">
        <f t="shared" si="205"/>
        <v>0 um/Dia</v>
      </c>
      <c r="Z558" s="220" t="str">
        <f t="shared" si="206"/>
        <v xml:space="preserve"> um / HH</v>
      </c>
      <c r="AA558" s="221" t="str">
        <f t="shared" si="207"/>
        <v/>
      </c>
      <c r="AB558" s="222" t="str">
        <f t="shared" si="208"/>
        <v>0 um /HH</v>
      </c>
      <c r="AC558" s="223">
        <f t="shared" si="209"/>
        <v>0</v>
      </c>
      <c r="AD558" s="224"/>
      <c r="AE558" s="225"/>
      <c r="AF558" s="226">
        <f t="shared" si="210"/>
        <v>0</v>
      </c>
      <c r="AG558" s="227">
        <f t="shared" si="211"/>
        <v>0</v>
      </c>
      <c r="AH558" s="228" t="s">
        <v>25</v>
      </c>
      <c r="AI558" s="229" t="str">
        <f t="shared" si="197"/>
        <v>Extremamente Complexa</v>
      </c>
      <c r="AJ558" s="230" t="str">
        <f t="shared" si="198"/>
        <v>Normal</v>
      </c>
      <c r="AK558" s="231">
        <f t="shared" si="212"/>
        <v>0</v>
      </c>
      <c r="AL558" s="232" t="str">
        <f t="shared" si="213"/>
        <v/>
      </c>
      <c r="AM558" s="233" t="str">
        <f t="shared" si="214"/>
        <v/>
      </c>
      <c r="AN558" s="233" t="str">
        <f t="shared" si="215"/>
        <v/>
      </c>
      <c r="AO558" s="234">
        <f t="shared" si="216"/>
        <v>0</v>
      </c>
      <c r="AP558" s="235">
        <f t="shared" si="200"/>
        <v>1</v>
      </c>
      <c r="AQ558" s="235">
        <f t="shared" si="200"/>
        <v>1</v>
      </c>
      <c r="AR558" s="236">
        <f t="shared" si="217"/>
        <v>1</v>
      </c>
      <c r="AS558" s="251">
        <f t="shared" si="218"/>
        <v>0</v>
      </c>
      <c r="AT558" s="238">
        <f t="shared" si="219"/>
        <v>0</v>
      </c>
      <c r="AU558" s="239">
        <f t="shared" si="220"/>
        <v>0</v>
      </c>
      <c r="AV558" s="239">
        <f t="shared" si="221"/>
        <v>0</v>
      </c>
      <c r="AW558" s="239">
        <f t="shared" si="222"/>
        <v>0.05</v>
      </c>
      <c r="AX558" s="240">
        <f t="shared" si="223"/>
        <v>0</v>
      </c>
      <c r="AY558" s="241" t="str">
        <f t="shared" si="224"/>
        <v/>
      </c>
      <c r="AZ558" s="242" t="str">
        <f>IFERROR(VLOOKUP(M558,'[1]Base Brasil Obras'!$C$2:$F$485,4,0),"")</f>
        <v/>
      </c>
      <c r="BA558" s="243">
        <f t="shared" si="225"/>
        <v>0</v>
      </c>
      <c r="BB558" s="244">
        <f t="shared" si="226"/>
        <v>0</v>
      </c>
      <c r="BC558" s="244">
        <f t="shared" si="227"/>
        <v>0.05</v>
      </c>
      <c r="BD558" s="245">
        <f t="shared" si="228"/>
        <v>0.95</v>
      </c>
      <c r="BE558" s="246">
        <f t="shared" si="229"/>
        <v>0</v>
      </c>
      <c r="BF558" s="247">
        <v>0</v>
      </c>
      <c r="BG558" s="248">
        <f t="shared" si="230"/>
        <v>1</v>
      </c>
      <c r="BH558" s="198"/>
      <c r="BI558" s="198"/>
      <c r="BJ558" s="199"/>
      <c r="BK558" s="200"/>
      <c r="BL558" s="200"/>
      <c r="BM558" s="200"/>
      <c r="BN558" s="200"/>
      <c r="BO558" s="10"/>
    </row>
    <row r="559" spans="1:67" ht="18" x14ac:dyDescent="0.25">
      <c r="A559" s="201">
        <v>451</v>
      </c>
      <c r="B559" s="286"/>
      <c r="C559" s="203">
        <f t="shared" si="201"/>
        <v>0</v>
      </c>
      <c r="D559" s="204"/>
      <c r="E559" s="204"/>
      <c r="F559" s="207"/>
      <c r="G559" s="206"/>
      <c r="H559" s="207"/>
      <c r="I559" s="208" t="s">
        <v>125</v>
      </c>
      <c r="J559" s="208" t="s">
        <v>126</v>
      </c>
      <c r="K559" s="287"/>
      <c r="L559" s="288"/>
      <c r="M559" s="289"/>
      <c r="N559" s="257"/>
      <c r="O559" s="213"/>
      <c r="P559" s="214"/>
      <c r="Q559" s="214"/>
      <c r="R559" s="214"/>
      <c r="S559" s="214"/>
      <c r="T559" s="214"/>
      <c r="U559" s="215">
        <f t="shared" si="202"/>
        <v>0</v>
      </c>
      <c r="V559" s="216" t="str">
        <f t="shared" si="203"/>
        <v/>
      </c>
      <c r="W559" s="217" t="str">
        <f t="shared" si="204"/>
        <v/>
      </c>
      <c r="X559" s="218" t="s">
        <v>20</v>
      </c>
      <c r="Y559" s="219" t="str">
        <f t="shared" si="205"/>
        <v>0 um/Dia</v>
      </c>
      <c r="Z559" s="220" t="str">
        <f t="shared" si="206"/>
        <v xml:space="preserve"> um / HH</v>
      </c>
      <c r="AA559" s="221" t="str">
        <f t="shared" si="207"/>
        <v/>
      </c>
      <c r="AB559" s="222" t="str">
        <f t="shared" si="208"/>
        <v>0 um /HH</v>
      </c>
      <c r="AC559" s="223">
        <f t="shared" si="209"/>
        <v>0</v>
      </c>
      <c r="AD559" s="224"/>
      <c r="AE559" s="225"/>
      <c r="AF559" s="226">
        <f t="shared" si="210"/>
        <v>0</v>
      </c>
      <c r="AG559" s="227">
        <f t="shared" si="211"/>
        <v>0</v>
      </c>
      <c r="AH559" s="228" t="s">
        <v>25</v>
      </c>
      <c r="AI559" s="229" t="str">
        <f t="shared" si="197"/>
        <v>Extremamente Complexa</v>
      </c>
      <c r="AJ559" s="230" t="str">
        <f t="shared" si="198"/>
        <v>Normal</v>
      </c>
      <c r="AK559" s="231">
        <f t="shared" si="212"/>
        <v>0</v>
      </c>
      <c r="AL559" s="232" t="str">
        <f t="shared" si="213"/>
        <v/>
      </c>
      <c r="AM559" s="233" t="str">
        <f t="shared" si="214"/>
        <v/>
      </c>
      <c r="AN559" s="233" t="str">
        <f t="shared" si="215"/>
        <v/>
      </c>
      <c r="AO559" s="234">
        <f t="shared" si="216"/>
        <v>0</v>
      </c>
      <c r="AP559" s="235">
        <f t="shared" si="200"/>
        <v>1</v>
      </c>
      <c r="AQ559" s="235">
        <f t="shared" si="200"/>
        <v>1</v>
      </c>
      <c r="AR559" s="235">
        <f t="shared" si="217"/>
        <v>1</v>
      </c>
      <c r="AS559" s="252">
        <f t="shared" si="218"/>
        <v>0</v>
      </c>
      <c r="AT559" s="238">
        <f t="shared" si="219"/>
        <v>0</v>
      </c>
      <c r="AU559" s="239">
        <f t="shared" si="220"/>
        <v>0</v>
      </c>
      <c r="AV559" s="239">
        <f t="shared" si="221"/>
        <v>0</v>
      </c>
      <c r="AW559" s="239">
        <f t="shared" si="222"/>
        <v>0.05</v>
      </c>
      <c r="AX559" s="240">
        <f t="shared" si="223"/>
        <v>0</v>
      </c>
      <c r="AY559" s="241" t="str">
        <f t="shared" si="224"/>
        <v/>
      </c>
      <c r="AZ559" s="242" t="str">
        <f>IFERROR(VLOOKUP(M559,'[1]Base Brasil Obras'!$C$2:$F$485,4,0),"")</f>
        <v/>
      </c>
      <c r="BA559" s="243">
        <f t="shared" si="225"/>
        <v>0</v>
      </c>
      <c r="BB559" s="244">
        <f t="shared" si="226"/>
        <v>0</v>
      </c>
      <c r="BC559" s="244">
        <f t="shared" si="227"/>
        <v>0.05</v>
      </c>
      <c r="BD559" s="245">
        <f t="shared" si="228"/>
        <v>0.95</v>
      </c>
      <c r="BE559" s="246">
        <f t="shared" si="229"/>
        <v>0</v>
      </c>
      <c r="BF559" s="247">
        <v>0</v>
      </c>
      <c r="BG559" s="248">
        <f t="shared" si="230"/>
        <v>1</v>
      </c>
      <c r="BH559" s="198"/>
      <c r="BI559" s="198"/>
      <c r="BJ559" s="199"/>
      <c r="BK559" s="200"/>
      <c r="BL559" s="200"/>
      <c r="BM559" s="200"/>
      <c r="BN559" s="200"/>
      <c r="BO559" s="10"/>
    </row>
    <row r="560" spans="1:67" ht="18" x14ac:dyDescent="0.25">
      <c r="A560" s="201">
        <v>452</v>
      </c>
      <c r="B560" s="286"/>
      <c r="C560" s="203">
        <f t="shared" si="201"/>
        <v>0</v>
      </c>
      <c r="D560" s="204"/>
      <c r="E560" s="204"/>
      <c r="F560" s="207"/>
      <c r="G560" s="206"/>
      <c r="H560" s="207"/>
      <c r="I560" s="208" t="s">
        <v>125</v>
      </c>
      <c r="J560" s="208" t="s">
        <v>126</v>
      </c>
      <c r="K560" s="287"/>
      <c r="L560" s="288"/>
      <c r="M560" s="289"/>
      <c r="N560" s="257"/>
      <c r="O560" s="213"/>
      <c r="P560" s="214"/>
      <c r="Q560" s="214"/>
      <c r="R560" s="214"/>
      <c r="S560" s="214"/>
      <c r="T560" s="214"/>
      <c r="U560" s="215">
        <f t="shared" si="202"/>
        <v>0</v>
      </c>
      <c r="V560" s="216" t="str">
        <f t="shared" si="203"/>
        <v/>
      </c>
      <c r="W560" s="217" t="str">
        <f t="shared" si="204"/>
        <v/>
      </c>
      <c r="X560" s="218" t="s">
        <v>20</v>
      </c>
      <c r="Y560" s="219" t="str">
        <f t="shared" si="205"/>
        <v>0 um/Dia</v>
      </c>
      <c r="Z560" s="220" t="str">
        <f t="shared" si="206"/>
        <v xml:space="preserve"> um / HH</v>
      </c>
      <c r="AA560" s="221" t="str">
        <f t="shared" si="207"/>
        <v/>
      </c>
      <c r="AB560" s="222" t="str">
        <f t="shared" si="208"/>
        <v>0 um /HH</v>
      </c>
      <c r="AC560" s="223">
        <f t="shared" si="209"/>
        <v>0</v>
      </c>
      <c r="AD560" s="224"/>
      <c r="AE560" s="225"/>
      <c r="AF560" s="226">
        <f t="shared" si="210"/>
        <v>0</v>
      </c>
      <c r="AG560" s="227">
        <f t="shared" si="211"/>
        <v>0</v>
      </c>
      <c r="AH560" s="228" t="s">
        <v>25</v>
      </c>
      <c r="AI560" s="229" t="str">
        <f t="shared" si="197"/>
        <v>Extremamente Complexa</v>
      </c>
      <c r="AJ560" s="230" t="str">
        <f t="shared" si="198"/>
        <v>Normal</v>
      </c>
      <c r="AK560" s="231">
        <f t="shared" si="212"/>
        <v>0</v>
      </c>
      <c r="AL560" s="232" t="str">
        <f t="shared" si="213"/>
        <v/>
      </c>
      <c r="AM560" s="233" t="str">
        <f t="shared" si="214"/>
        <v/>
      </c>
      <c r="AN560" s="233" t="str">
        <f t="shared" si="215"/>
        <v/>
      </c>
      <c r="AO560" s="234">
        <f t="shared" si="216"/>
        <v>0</v>
      </c>
      <c r="AP560" s="235">
        <f t="shared" si="200"/>
        <v>1</v>
      </c>
      <c r="AQ560" s="235">
        <f t="shared" si="200"/>
        <v>1</v>
      </c>
      <c r="AR560" s="236">
        <f t="shared" si="217"/>
        <v>1</v>
      </c>
      <c r="AS560" s="251">
        <f t="shared" si="218"/>
        <v>0</v>
      </c>
      <c r="AT560" s="238">
        <f t="shared" si="219"/>
        <v>0</v>
      </c>
      <c r="AU560" s="239">
        <f t="shared" si="220"/>
        <v>0</v>
      </c>
      <c r="AV560" s="239">
        <f t="shared" si="221"/>
        <v>0</v>
      </c>
      <c r="AW560" s="239">
        <f t="shared" si="222"/>
        <v>0.05</v>
      </c>
      <c r="AX560" s="240">
        <f t="shared" si="223"/>
        <v>0</v>
      </c>
      <c r="AY560" s="241" t="str">
        <f t="shared" si="224"/>
        <v/>
      </c>
      <c r="AZ560" s="242" t="str">
        <f>IFERROR(VLOOKUP(M560,'[1]Base Brasil Obras'!$C$2:$F$485,4,0),"")</f>
        <v/>
      </c>
      <c r="BA560" s="243">
        <f t="shared" si="225"/>
        <v>0</v>
      </c>
      <c r="BB560" s="244">
        <f t="shared" si="226"/>
        <v>0</v>
      </c>
      <c r="BC560" s="244">
        <f t="shared" si="227"/>
        <v>0.05</v>
      </c>
      <c r="BD560" s="245">
        <f t="shared" si="228"/>
        <v>0.95</v>
      </c>
      <c r="BE560" s="246">
        <f t="shared" si="229"/>
        <v>0</v>
      </c>
      <c r="BF560" s="247">
        <v>0</v>
      </c>
      <c r="BG560" s="248">
        <f t="shared" si="230"/>
        <v>1</v>
      </c>
      <c r="BH560" s="198"/>
      <c r="BI560" s="198"/>
      <c r="BJ560" s="199"/>
      <c r="BK560" s="200"/>
      <c r="BL560" s="200"/>
      <c r="BM560" s="200"/>
      <c r="BN560" s="200"/>
      <c r="BO560" s="10"/>
    </row>
    <row r="561" spans="1:67" ht="18" x14ac:dyDescent="0.25">
      <c r="A561" s="201">
        <v>453</v>
      </c>
      <c r="B561" s="286"/>
      <c r="C561" s="203">
        <f t="shared" si="201"/>
        <v>0</v>
      </c>
      <c r="D561" s="204"/>
      <c r="E561" s="204"/>
      <c r="F561" s="207"/>
      <c r="G561" s="206"/>
      <c r="H561" s="207"/>
      <c r="I561" s="208" t="s">
        <v>125</v>
      </c>
      <c r="J561" s="208" t="s">
        <v>126</v>
      </c>
      <c r="K561" s="287"/>
      <c r="L561" s="288"/>
      <c r="M561" s="289"/>
      <c r="N561" s="257"/>
      <c r="O561" s="213"/>
      <c r="P561" s="214"/>
      <c r="Q561" s="214"/>
      <c r="R561" s="214"/>
      <c r="S561" s="214"/>
      <c r="T561" s="214"/>
      <c r="U561" s="215">
        <f t="shared" si="202"/>
        <v>0</v>
      </c>
      <c r="V561" s="216" t="str">
        <f t="shared" si="203"/>
        <v/>
      </c>
      <c r="W561" s="217" t="str">
        <f t="shared" si="204"/>
        <v/>
      </c>
      <c r="X561" s="218" t="s">
        <v>20</v>
      </c>
      <c r="Y561" s="219" t="str">
        <f t="shared" si="205"/>
        <v>0 um/Dia</v>
      </c>
      <c r="Z561" s="220" t="str">
        <f t="shared" si="206"/>
        <v xml:space="preserve"> um / HH</v>
      </c>
      <c r="AA561" s="221" t="str">
        <f t="shared" si="207"/>
        <v/>
      </c>
      <c r="AB561" s="222" t="str">
        <f t="shared" si="208"/>
        <v>0 um /HH</v>
      </c>
      <c r="AC561" s="223">
        <f t="shared" si="209"/>
        <v>0</v>
      </c>
      <c r="AD561" s="224"/>
      <c r="AE561" s="225"/>
      <c r="AF561" s="226">
        <f t="shared" si="210"/>
        <v>0</v>
      </c>
      <c r="AG561" s="227">
        <f t="shared" si="211"/>
        <v>0</v>
      </c>
      <c r="AH561" s="228" t="s">
        <v>25</v>
      </c>
      <c r="AI561" s="229" t="str">
        <f t="shared" si="197"/>
        <v>Extremamente Complexa</v>
      </c>
      <c r="AJ561" s="230" t="str">
        <f t="shared" si="198"/>
        <v>Normal</v>
      </c>
      <c r="AK561" s="231">
        <f t="shared" si="212"/>
        <v>0</v>
      </c>
      <c r="AL561" s="232" t="str">
        <f t="shared" si="213"/>
        <v/>
      </c>
      <c r="AM561" s="233" t="str">
        <f t="shared" si="214"/>
        <v/>
      </c>
      <c r="AN561" s="233" t="str">
        <f t="shared" si="215"/>
        <v/>
      </c>
      <c r="AO561" s="234">
        <f t="shared" si="216"/>
        <v>0</v>
      </c>
      <c r="AP561" s="235">
        <f t="shared" si="200"/>
        <v>1</v>
      </c>
      <c r="AQ561" s="235">
        <f t="shared" si="200"/>
        <v>1</v>
      </c>
      <c r="AR561" s="235">
        <f t="shared" si="217"/>
        <v>1</v>
      </c>
      <c r="AS561" s="252">
        <f t="shared" si="218"/>
        <v>0</v>
      </c>
      <c r="AT561" s="238">
        <f t="shared" si="219"/>
        <v>0</v>
      </c>
      <c r="AU561" s="239">
        <f t="shared" si="220"/>
        <v>0</v>
      </c>
      <c r="AV561" s="239">
        <f t="shared" si="221"/>
        <v>0</v>
      </c>
      <c r="AW561" s="239">
        <f t="shared" si="222"/>
        <v>0.05</v>
      </c>
      <c r="AX561" s="240">
        <f t="shared" si="223"/>
        <v>0</v>
      </c>
      <c r="AY561" s="241" t="str">
        <f t="shared" si="224"/>
        <v/>
      </c>
      <c r="AZ561" s="242" t="str">
        <f>IFERROR(VLOOKUP(M561,'[1]Base Brasil Obras'!$C$2:$F$485,4,0),"")</f>
        <v/>
      </c>
      <c r="BA561" s="243">
        <f t="shared" si="225"/>
        <v>0</v>
      </c>
      <c r="BB561" s="244">
        <f t="shared" si="226"/>
        <v>0</v>
      </c>
      <c r="BC561" s="244">
        <f t="shared" si="227"/>
        <v>0.05</v>
      </c>
      <c r="BD561" s="245">
        <f t="shared" si="228"/>
        <v>0.95</v>
      </c>
      <c r="BE561" s="246">
        <f t="shared" si="229"/>
        <v>0</v>
      </c>
      <c r="BF561" s="247">
        <v>0</v>
      </c>
      <c r="BG561" s="248">
        <f t="shared" si="230"/>
        <v>1</v>
      </c>
      <c r="BH561" s="198"/>
      <c r="BI561" s="198"/>
      <c r="BJ561" s="199"/>
      <c r="BK561" s="200"/>
      <c r="BL561" s="200"/>
      <c r="BM561" s="200"/>
      <c r="BN561" s="200"/>
      <c r="BO561" s="10"/>
    </row>
    <row r="562" spans="1:67" ht="18" x14ac:dyDescent="0.25">
      <c r="A562" s="201">
        <v>454</v>
      </c>
      <c r="B562" s="286"/>
      <c r="C562" s="203">
        <f t="shared" si="201"/>
        <v>0</v>
      </c>
      <c r="D562" s="204"/>
      <c r="E562" s="204"/>
      <c r="F562" s="207"/>
      <c r="G562" s="206"/>
      <c r="H562" s="207"/>
      <c r="I562" s="208" t="s">
        <v>125</v>
      </c>
      <c r="J562" s="208" t="s">
        <v>126</v>
      </c>
      <c r="K562" s="287"/>
      <c r="L562" s="288"/>
      <c r="M562" s="289"/>
      <c r="N562" s="257"/>
      <c r="O562" s="213"/>
      <c r="P562" s="214"/>
      <c r="Q562" s="214"/>
      <c r="R562" s="214"/>
      <c r="S562" s="214"/>
      <c r="T562" s="214"/>
      <c r="U562" s="215">
        <f t="shared" si="202"/>
        <v>0</v>
      </c>
      <c r="V562" s="216" t="str">
        <f t="shared" si="203"/>
        <v/>
      </c>
      <c r="W562" s="217" t="str">
        <f t="shared" si="204"/>
        <v/>
      </c>
      <c r="X562" s="218" t="s">
        <v>20</v>
      </c>
      <c r="Y562" s="219" t="str">
        <f t="shared" si="205"/>
        <v>0 um/Dia</v>
      </c>
      <c r="Z562" s="220" t="str">
        <f t="shared" si="206"/>
        <v xml:space="preserve"> um / HH</v>
      </c>
      <c r="AA562" s="221" t="str">
        <f t="shared" si="207"/>
        <v/>
      </c>
      <c r="AB562" s="222" t="str">
        <f t="shared" si="208"/>
        <v>0 um /HH</v>
      </c>
      <c r="AC562" s="223">
        <f t="shared" si="209"/>
        <v>0</v>
      </c>
      <c r="AD562" s="224"/>
      <c r="AE562" s="225"/>
      <c r="AF562" s="226">
        <f t="shared" si="210"/>
        <v>0</v>
      </c>
      <c r="AG562" s="227">
        <f t="shared" si="211"/>
        <v>0</v>
      </c>
      <c r="AH562" s="228" t="s">
        <v>25</v>
      </c>
      <c r="AI562" s="229" t="str">
        <f t="shared" si="197"/>
        <v>Extremamente Complexa</v>
      </c>
      <c r="AJ562" s="230" t="str">
        <f t="shared" si="198"/>
        <v>Normal</v>
      </c>
      <c r="AK562" s="231">
        <f t="shared" si="212"/>
        <v>0</v>
      </c>
      <c r="AL562" s="232" t="str">
        <f t="shared" si="213"/>
        <v/>
      </c>
      <c r="AM562" s="233" t="str">
        <f t="shared" si="214"/>
        <v/>
      </c>
      <c r="AN562" s="233" t="str">
        <f t="shared" si="215"/>
        <v/>
      </c>
      <c r="AO562" s="234">
        <f t="shared" si="216"/>
        <v>0</v>
      </c>
      <c r="AP562" s="235">
        <f t="shared" si="200"/>
        <v>1</v>
      </c>
      <c r="AQ562" s="235">
        <f t="shared" si="200"/>
        <v>1</v>
      </c>
      <c r="AR562" s="236">
        <f t="shared" si="217"/>
        <v>1</v>
      </c>
      <c r="AS562" s="251">
        <f t="shared" si="218"/>
        <v>0</v>
      </c>
      <c r="AT562" s="238">
        <f t="shared" si="219"/>
        <v>0</v>
      </c>
      <c r="AU562" s="239">
        <f t="shared" si="220"/>
        <v>0</v>
      </c>
      <c r="AV562" s="239">
        <f t="shared" si="221"/>
        <v>0</v>
      </c>
      <c r="AW562" s="239">
        <f t="shared" si="222"/>
        <v>0.05</v>
      </c>
      <c r="AX562" s="240">
        <f t="shared" si="223"/>
        <v>0</v>
      </c>
      <c r="AY562" s="241" t="str">
        <f t="shared" si="224"/>
        <v/>
      </c>
      <c r="AZ562" s="242" t="str">
        <f>IFERROR(VLOOKUP(M562,'[1]Base Brasil Obras'!$C$2:$F$485,4,0),"")</f>
        <v/>
      </c>
      <c r="BA562" s="243">
        <f t="shared" si="225"/>
        <v>0</v>
      </c>
      <c r="BB562" s="244">
        <f t="shared" si="226"/>
        <v>0</v>
      </c>
      <c r="BC562" s="244">
        <f t="shared" si="227"/>
        <v>0.05</v>
      </c>
      <c r="BD562" s="245">
        <f t="shared" si="228"/>
        <v>0.95</v>
      </c>
      <c r="BE562" s="246">
        <f t="shared" si="229"/>
        <v>0</v>
      </c>
      <c r="BF562" s="247">
        <v>0</v>
      </c>
      <c r="BG562" s="248">
        <f t="shared" si="230"/>
        <v>1</v>
      </c>
      <c r="BH562" s="198"/>
      <c r="BI562" s="198"/>
      <c r="BJ562" s="199"/>
      <c r="BK562" s="200"/>
      <c r="BL562" s="200"/>
      <c r="BM562" s="200"/>
      <c r="BN562" s="200"/>
      <c r="BO562" s="10"/>
    </row>
    <row r="563" spans="1:67" ht="18" x14ac:dyDescent="0.25">
      <c r="A563" s="201">
        <v>455</v>
      </c>
      <c r="B563" s="286"/>
      <c r="C563" s="203">
        <f t="shared" si="201"/>
        <v>0</v>
      </c>
      <c r="D563" s="204"/>
      <c r="E563" s="204"/>
      <c r="F563" s="207"/>
      <c r="G563" s="206"/>
      <c r="H563" s="207"/>
      <c r="I563" s="208" t="s">
        <v>125</v>
      </c>
      <c r="J563" s="208" t="s">
        <v>126</v>
      </c>
      <c r="K563" s="287"/>
      <c r="L563" s="288"/>
      <c r="M563" s="289"/>
      <c r="N563" s="257"/>
      <c r="O563" s="213"/>
      <c r="P563" s="214"/>
      <c r="Q563" s="214"/>
      <c r="R563" s="214"/>
      <c r="S563" s="214"/>
      <c r="T563" s="214"/>
      <c r="U563" s="215">
        <f t="shared" si="202"/>
        <v>0</v>
      </c>
      <c r="V563" s="216" t="str">
        <f t="shared" si="203"/>
        <v/>
      </c>
      <c r="W563" s="217" t="str">
        <f t="shared" si="204"/>
        <v/>
      </c>
      <c r="X563" s="218" t="s">
        <v>20</v>
      </c>
      <c r="Y563" s="219" t="str">
        <f t="shared" si="205"/>
        <v>0 um/Dia</v>
      </c>
      <c r="Z563" s="220" t="str">
        <f t="shared" si="206"/>
        <v xml:space="preserve"> um / HH</v>
      </c>
      <c r="AA563" s="221" t="str">
        <f t="shared" si="207"/>
        <v/>
      </c>
      <c r="AB563" s="222" t="str">
        <f t="shared" si="208"/>
        <v>0 um /HH</v>
      </c>
      <c r="AC563" s="223">
        <f t="shared" si="209"/>
        <v>0</v>
      </c>
      <c r="AD563" s="224"/>
      <c r="AE563" s="225"/>
      <c r="AF563" s="226">
        <f t="shared" si="210"/>
        <v>0</v>
      </c>
      <c r="AG563" s="227">
        <f t="shared" si="211"/>
        <v>0</v>
      </c>
      <c r="AH563" s="228" t="s">
        <v>25</v>
      </c>
      <c r="AI563" s="229" t="str">
        <f t="shared" si="197"/>
        <v>Extremamente Complexa</v>
      </c>
      <c r="AJ563" s="230" t="str">
        <f t="shared" si="198"/>
        <v>Normal</v>
      </c>
      <c r="AK563" s="231">
        <f t="shared" si="212"/>
        <v>0</v>
      </c>
      <c r="AL563" s="232" t="str">
        <f t="shared" si="213"/>
        <v/>
      </c>
      <c r="AM563" s="233" t="str">
        <f t="shared" si="214"/>
        <v/>
      </c>
      <c r="AN563" s="233" t="str">
        <f t="shared" si="215"/>
        <v/>
      </c>
      <c r="AO563" s="234">
        <f t="shared" si="216"/>
        <v>0</v>
      </c>
      <c r="AP563" s="235">
        <f t="shared" si="200"/>
        <v>1</v>
      </c>
      <c r="AQ563" s="235">
        <f t="shared" si="200"/>
        <v>1</v>
      </c>
      <c r="AR563" s="235">
        <f t="shared" si="217"/>
        <v>1</v>
      </c>
      <c r="AS563" s="252">
        <f t="shared" si="218"/>
        <v>0</v>
      </c>
      <c r="AT563" s="238">
        <f t="shared" si="219"/>
        <v>0</v>
      </c>
      <c r="AU563" s="239">
        <f t="shared" si="220"/>
        <v>0</v>
      </c>
      <c r="AV563" s="239">
        <f t="shared" si="221"/>
        <v>0</v>
      </c>
      <c r="AW563" s="239">
        <f t="shared" si="222"/>
        <v>0.05</v>
      </c>
      <c r="AX563" s="240">
        <f t="shared" si="223"/>
        <v>0</v>
      </c>
      <c r="AY563" s="241" t="str">
        <f t="shared" si="224"/>
        <v/>
      </c>
      <c r="AZ563" s="242" t="str">
        <f>IFERROR(VLOOKUP(M563,'[1]Base Brasil Obras'!$C$2:$F$485,4,0),"")</f>
        <v/>
      </c>
      <c r="BA563" s="243">
        <f t="shared" si="225"/>
        <v>0</v>
      </c>
      <c r="BB563" s="244">
        <f t="shared" si="226"/>
        <v>0</v>
      </c>
      <c r="BC563" s="244">
        <f t="shared" si="227"/>
        <v>0.05</v>
      </c>
      <c r="BD563" s="245">
        <f t="shared" si="228"/>
        <v>0.95</v>
      </c>
      <c r="BE563" s="246">
        <f t="shared" si="229"/>
        <v>0</v>
      </c>
      <c r="BF563" s="247">
        <v>0</v>
      </c>
      <c r="BG563" s="248">
        <f t="shared" si="230"/>
        <v>1</v>
      </c>
      <c r="BH563" s="198"/>
      <c r="BI563" s="198"/>
      <c r="BJ563" s="199"/>
      <c r="BK563" s="200"/>
      <c r="BL563" s="200"/>
      <c r="BM563" s="200"/>
      <c r="BN563" s="200"/>
      <c r="BO563" s="10"/>
    </row>
    <row r="564" spans="1:67" ht="18" x14ac:dyDescent="0.25">
      <c r="A564" s="201">
        <v>456</v>
      </c>
      <c r="B564" s="286"/>
      <c r="C564" s="203">
        <f t="shared" si="201"/>
        <v>0</v>
      </c>
      <c r="D564" s="204"/>
      <c r="E564" s="204"/>
      <c r="F564" s="207"/>
      <c r="G564" s="206"/>
      <c r="H564" s="207"/>
      <c r="I564" s="208" t="s">
        <v>125</v>
      </c>
      <c r="J564" s="208" t="s">
        <v>126</v>
      </c>
      <c r="K564" s="287"/>
      <c r="L564" s="288"/>
      <c r="M564" s="289"/>
      <c r="N564" s="257"/>
      <c r="O564" s="213"/>
      <c r="P564" s="214"/>
      <c r="Q564" s="214"/>
      <c r="R564" s="214"/>
      <c r="S564" s="214"/>
      <c r="T564" s="214"/>
      <c r="U564" s="215">
        <f t="shared" si="202"/>
        <v>0</v>
      </c>
      <c r="V564" s="216" t="str">
        <f t="shared" si="203"/>
        <v/>
      </c>
      <c r="W564" s="217" t="str">
        <f t="shared" si="204"/>
        <v/>
      </c>
      <c r="X564" s="218" t="s">
        <v>20</v>
      </c>
      <c r="Y564" s="219" t="str">
        <f t="shared" si="205"/>
        <v>0 um/Dia</v>
      </c>
      <c r="Z564" s="220" t="str">
        <f t="shared" si="206"/>
        <v xml:space="preserve"> um / HH</v>
      </c>
      <c r="AA564" s="221" t="str">
        <f t="shared" si="207"/>
        <v/>
      </c>
      <c r="AB564" s="222" t="str">
        <f t="shared" si="208"/>
        <v>0 um /HH</v>
      </c>
      <c r="AC564" s="223">
        <f t="shared" si="209"/>
        <v>0</v>
      </c>
      <c r="AD564" s="224"/>
      <c r="AE564" s="225"/>
      <c r="AF564" s="226">
        <f t="shared" si="210"/>
        <v>0</v>
      </c>
      <c r="AG564" s="227">
        <f t="shared" si="211"/>
        <v>0</v>
      </c>
      <c r="AH564" s="228" t="s">
        <v>25</v>
      </c>
      <c r="AI564" s="229" t="str">
        <f t="shared" si="197"/>
        <v>Extremamente Complexa</v>
      </c>
      <c r="AJ564" s="230" t="str">
        <f t="shared" si="198"/>
        <v>Normal</v>
      </c>
      <c r="AK564" s="231">
        <f t="shared" si="212"/>
        <v>0</v>
      </c>
      <c r="AL564" s="232" t="str">
        <f t="shared" si="213"/>
        <v/>
      </c>
      <c r="AM564" s="233" t="str">
        <f t="shared" si="214"/>
        <v/>
      </c>
      <c r="AN564" s="233" t="str">
        <f t="shared" si="215"/>
        <v/>
      </c>
      <c r="AO564" s="234">
        <f t="shared" si="216"/>
        <v>0</v>
      </c>
      <c r="AP564" s="235">
        <f t="shared" si="200"/>
        <v>1</v>
      </c>
      <c r="AQ564" s="235">
        <f t="shared" si="200"/>
        <v>1</v>
      </c>
      <c r="AR564" s="236">
        <f t="shared" si="217"/>
        <v>1</v>
      </c>
      <c r="AS564" s="251">
        <f t="shared" si="218"/>
        <v>0</v>
      </c>
      <c r="AT564" s="238">
        <f t="shared" si="219"/>
        <v>0</v>
      </c>
      <c r="AU564" s="239">
        <f t="shared" si="220"/>
        <v>0</v>
      </c>
      <c r="AV564" s="239">
        <f t="shared" si="221"/>
        <v>0</v>
      </c>
      <c r="AW564" s="239">
        <f t="shared" si="222"/>
        <v>0.05</v>
      </c>
      <c r="AX564" s="240">
        <f t="shared" si="223"/>
        <v>0</v>
      </c>
      <c r="AY564" s="241" t="str">
        <f t="shared" si="224"/>
        <v/>
      </c>
      <c r="AZ564" s="242" t="str">
        <f>IFERROR(VLOOKUP(M564,'[1]Base Brasil Obras'!$C$2:$F$485,4,0),"")</f>
        <v/>
      </c>
      <c r="BA564" s="243">
        <f t="shared" si="225"/>
        <v>0</v>
      </c>
      <c r="BB564" s="244">
        <f t="shared" si="226"/>
        <v>0</v>
      </c>
      <c r="BC564" s="244">
        <f t="shared" si="227"/>
        <v>0.05</v>
      </c>
      <c r="BD564" s="245">
        <f t="shared" si="228"/>
        <v>0.95</v>
      </c>
      <c r="BE564" s="246">
        <f t="shared" si="229"/>
        <v>0</v>
      </c>
      <c r="BF564" s="247">
        <v>0</v>
      </c>
      <c r="BG564" s="248">
        <f t="shared" si="230"/>
        <v>1</v>
      </c>
      <c r="BH564" s="198"/>
      <c r="BI564" s="198"/>
      <c r="BJ564" s="199"/>
      <c r="BK564" s="200"/>
      <c r="BL564" s="200"/>
      <c r="BM564" s="200"/>
      <c r="BN564" s="200"/>
      <c r="BO564" s="10"/>
    </row>
    <row r="565" spans="1:67" ht="18" x14ac:dyDescent="0.25">
      <c r="A565" s="201">
        <v>457</v>
      </c>
      <c r="B565" s="286"/>
      <c r="C565" s="203">
        <f t="shared" si="201"/>
        <v>0</v>
      </c>
      <c r="D565" s="204"/>
      <c r="E565" s="204"/>
      <c r="F565" s="207"/>
      <c r="G565" s="206"/>
      <c r="H565" s="207"/>
      <c r="I565" s="208" t="s">
        <v>125</v>
      </c>
      <c r="J565" s="208" t="s">
        <v>126</v>
      </c>
      <c r="K565" s="287"/>
      <c r="L565" s="288"/>
      <c r="M565" s="289"/>
      <c r="N565" s="257"/>
      <c r="O565" s="213"/>
      <c r="P565" s="214"/>
      <c r="Q565" s="214"/>
      <c r="R565" s="214"/>
      <c r="S565" s="214"/>
      <c r="T565" s="214"/>
      <c r="U565" s="215">
        <f t="shared" si="202"/>
        <v>0</v>
      </c>
      <c r="V565" s="216" t="str">
        <f t="shared" si="203"/>
        <v/>
      </c>
      <c r="W565" s="217" t="str">
        <f t="shared" si="204"/>
        <v/>
      </c>
      <c r="X565" s="218" t="s">
        <v>20</v>
      </c>
      <c r="Y565" s="219" t="str">
        <f t="shared" si="205"/>
        <v>0 um/Dia</v>
      </c>
      <c r="Z565" s="220" t="str">
        <f t="shared" si="206"/>
        <v xml:space="preserve"> um / HH</v>
      </c>
      <c r="AA565" s="221" t="str">
        <f t="shared" si="207"/>
        <v/>
      </c>
      <c r="AB565" s="222" t="str">
        <f t="shared" si="208"/>
        <v>0 um /HH</v>
      </c>
      <c r="AC565" s="223">
        <f t="shared" si="209"/>
        <v>0</v>
      </c>
      <c r="AD565" s="224"/>
      <c r="AE565" s="225"/>
      <c r="AF565" s="226">
        <f t="shared" si="210"/>
        <v>0</v>
      </c>
      <c r="AG565" s="227">
        <f t="shared" si="211"/>
        <v>0</v>
      </c>
      <c r="AH565" s="228" t="s">
        <v>25</v>
      </c>
      <c r="AI565" s="229" t="str">
        <f t="shared" si="197"/>
        <v>Extremamente Complexa</v>
      </c>
      <c r="AJ565" s="230" t="str">
        <f t="shared" si="198"/>
        <v>Normal</v>
      </c>
      <c r="AK565" s="231">
        <f t="shared" si="212"/>
        <v>0</v>
      </c>
      <c r="AL565" s="232" t="str">
        <f t="shared" si="213"/>
        <v/>
      </c>
      <c r="AM565" s="233" t="str">
        <f t="shared" si="214"/>
        <v/>
      </c>
      <c r="AN565" s="233" t="str">
        <f t="shared" si="215"/>
        <v/>
      </c>
      <c r="AO565" s="234">
        <f t="shared" si="216"/>
        <v>0</v>
      </c>
      <c r="AP565" s="235">
        <f t="shared" si="200"/>
        <v>1</v>
      </c>
      <c r="AQ565" s="235">
        <f t="shared" si="200"/>
        <v>1</v>
      </c>
      <c r="AR565" s="235">
        <f t="shared" si="217"/>
        <v>1</v>
      </c>
      <c r="AS565" s="252">
        <f t="shared" si="218"/>
        <v>0</v>
      </c>
      <c r="AT565" s="238">
        <f t="shared" si="219"/>
        <v>0</v>
      </c>
      <c r="AU565" s="239">
        <f t="shared" si="220"/>
        <v>0</v>
      </c>
      <c r="AV565" s="239">
        <f t="shared" si="221"/>
        <v>0</v>
      </c>
      <c r="AW565" s="239">
        <f t="shared" si="222"/>
        <v>0.05</v>
      </c>
      <c r="AX565" s="240">
        <f t="shared" si="223"/>
        <v>0</v>
      </c>
      <c r="AY565" s="241" t="str">
        <f t="shared" si="224"/>
        <v/>
      </c>
      <c r="AZ565" s="242" t="str">
        <f>IFERROR(VLOOKUP(M565,'[1]Base Brasil Obras'!$C$2:$F$485,4,0),"")</f>
        <v/>
      </c>
      <c r="BA565" s="243">
        <f t="shared" si="225"/>
        <v>0</v>
      </c>
      <c r="BB565" s="244">
        <f t="shared" si="226"/>
        <v>0</v>
      </c>
      <c r="BC565" s="244">
        <f t="shared" si="227"/>
        <v>0.05</v>
      </c>
      <c r="BD565" s="245">
        <f t="shared" si="228"/>
        <v>0.95</v>
      </c>
      <c r="BE565" s="246">
        <f t="shared" si="229"/>
        <v>0</v>
      </c>
      <c r="BF565" s="247">
        <v>0</v>
      </c>
      <c r="BG565" s="248">
        <f t="shared" si="230"/>
        <v>1</v>
      </c>
      <c r="BH565" s="198"/>
      <c r="BI565" s="198"/>
      <c r="BJ565" s="199"/>
      <c r="BK565" s="200"/>
      <c r="BL565" s="200"/>
      <c r="BM565" s="200"/>
      <c r="BN565" s="200"/>
      <c r="BO565" s="10"/>
    </row>
    <row r="566" spans="1:67" ht="18" x14ac:dyDescent="0.25">
      <c r="A566" s="201">
        <v>458</v>
      </c>
      <c r="B566" s="286"/>
      <c r="C566" s="203">
        <f t="shared" si="201"/>
        <v>0</v>
      </c>
      <c r="D566" s="204"/>
      <c r="E566" s="204"/>
      <c r="F566" s="207"/>
      <c r="G566" s="206"/>
      <c r="H566" s="207"/>
      <c r="I566" s="208" t="s">
        <v>125</v>
      </c>
      <c r="J566" s="208" t="s">
        <v>126</v>
      </c>
      <c r="K566" s="287"/>
      <c r="L566" s="288"/>
      <c r="M566" s="289"/>
      <c r="N566" s="257"/>
      <c r="O566" s="213"/>
      <c r="P566" s="214"/>
      <c r="Q566" s="214"/>
      <c r="R566" s="214"/>
      <c r="S566" s="214"/>
      <c r="T566" s="214"/>
      <c r="U566" s="215">
        <f t="shared" si="202"/>
        <v>0</v>
      </c>
      <c r="V566" s="216" t="str">
        <f t="shared" si="203"/>
        <v/>
      </c>
      <c r="W566" s="217" t="str">
        <f t="shared" si="204"/>
        <v/>
      </c>
      <c r="X566" s="218" t="s">
        <v>20</v>
      </c>
      <c r="Y566" s="219" t="str">
        <f t="shared" si="205"/>
        <v>0 um/Dia</v>
      </c>
      <c r="Z566" s="220" t="str">
        <f t="shared" si="206"/>
        <v xml:space="preserve"> um / HH</v>
      </c>
      <c r="AA566" s="221" t="str">
        <f t="shared" si="207"/>
        <v/>
      </c>
      <c r="AB566" s="222" t="str">
        <f t="shared" si="208"/>
        <v>0 um /HH</v>
      </c>
      <c r="AC566" s="223">
        <f t="shared" si="209"/>
        <v>0</v>
      </c>
      <c r="AD566" s="224"/>
      <c r="AE566" s="225"/>
      <c r="AF566" s="226">
        <f t="shared" si="210"/>
        <v>0</v>
      </c>
      <c r="AG566" s="227">
        <f t="shared" si="211"/>
        <v>0</v>
      </c>
      <c r="AH566" s="228" t="s">
        <v>25</v>
      </c>
      <c r="AI566" s="229" t="str">
        <f t="shared" si="197"/>
        <v>Extremamente Complexa</v>
      </c>
      <c r="AJ566" s="230" t="str">
        <f t="shared" si="198"/>
        <v>Normal</v>
      </c>
      <c r="AK566" s="231">
        <f t="shared" si="212"/>
        <v>0</v>
      </c>
      <c r="AL566" s="232" t="str">
        <f t="shared" si="213"/>
        <v/>
      </c>
      <c r="AM566" s="233" t="str">
        <f t="shared" si="214"/>
        <v/>
      </c>
      <c r="AN566" s="233" t="str">
        <f t="shared" si="215"/>
        <v/>
      </c>
      <c r="AO566" s="234">
        <f t="shared" si="216"/>
        <v>0</v>
      </c>
      <c r="AP566" s="235">
        <f t="shared" ref="AP566:AQ583" si="231">IFERROR(VLOOKUP(I566,$J$1070:$K$1089,2,1),0)</f>
        <v>1</v>
      </c>
      <c r="AQ566" s="235">
        <f t="shared" si="231"/>
        <v>1</v>
      </c>
      <c r="AR566" s="236">
        <f t="shared" si="217"/>
        <v>1</v>
      </c>
      <c r="AS566" s="251">
        <f t="shared" si="218"/>
        <v>0</v>
      </c>
      <c r="AT566" s="238">
        <f t="shared" si="219"/>
        <v>0</v>
      </c>
      <c r="AU566" s="239">
        <f t="shared" si="220"/>
        <v>0</v>
      </c>
      <c r="AV566" s="239">
        <f t="shared" si="221"/>
        <v>0</v>
      </c>
      <c r="AW566" s="239">
        <f t="shared" si="222"/>
        <v>0.05</v>
      </c>
      <c r="AX566" s="240">
        <f t="shared" si="223"/>
        <v>0</v>
      </c>
      <c r="AY566" s="241" t="str">
        <f t="shared" si="224"/>
        <v/>
      </c>
      <c r="AZ566" s="242" t="str">
        <f>IFERROR(VLOOKUP(M566,'[1]Base Brasil Obras'!$C$2:$F$485,4,0),"")</f>
        <v/>
      </c>
      <c r="BA566" s="243">
        <f t="shared" si="225"/>
        <v>0</v>
      </c>
      <c r="BB566" s="244">
        <f t="shared" si="226"/>
        <v>0</v>
      </c>
      <c r="BC566" s="244">
        <f t="shared" si="227"/>
        <v>0.05</v>
      </c>
      <c r="BD566" s="245">
        <f t="shared" si="228"/>
        <v>0.95</v>
      </c>
      <c r="BE566" s="246">
        <f t="shared" si="229"/>
        <v>0</v>
      </c>
      <c r="BF566" s="247">
        <v>0</v>
      </c>
      <c r="BG566" s="248">
        <f t="shared" si="230"/>
        <v>1</v>
      </c>
      <c r="BH566" s="198"/>
      <c r="BI566" s="198"/>
      <c r="BJ566" s="199"/>
      <c r="BK566" s="200"/>
      <c r="BL566" s="200"/>
      <c r="BM566" s="200"/>
      <c r="BN566" s="200"/>
      <c r="BO566" s="10"/>
    </row>
    <row r="567" spans="1:67" ht="18" x14ac:dyDescent="0.25">
      <c r="A567" s="201">
        <v>459</v>
      </c>
      <c r="B567" s="286"/>
      <c r="C567" s="203">
        <f t="shared" si="201"/>
        <v>0</v>
      </c>
      <c r="D567" s="204"/>
      <c r="E567" s="204"/>
      <c r="F567" s="207"/>
      <c r="G567" s="206"/>
      <c r="H567" s="207"/>
      <c r="I567" s="208" t="s">
        <v>125</v>
      </c>
      <c r="J567" s="208" t="s">
        <v>126</v>
      </c>
      <c r="K567" s="287"/>
      <c r="L567" s="288"/>
      <c r="M567" s="289"/>
      <c r="N567" s="257"/>
      <c r="O567" s="213"/>
      <c r="P567" s="214"/>
      <c r="Q567" s="214"/>
      <c r="R567" s="214"/>
      <c r="S567" s="214"/>
      <c r="T567" s="214"/>
      <c r="U567" s="215">
        <f t="shared" si="202"/>
        <v>0</v>
      </c>
      <c r="V567" s="216" t="str">
        <f t="shared" si="203"/>
        <v/>
      </c>
      <c r="W567" s="217" t="str">
        <f t="shared" si="204"/>
        <v/>
      </c>
      <c r="X567" s="218" t="s">
        <v>20</v>
      </c>
      <c r="Y567" s="219" t="str">
        <f t="shared" si="205"/>
        <v>0 um/Dia</v>
      </c>
      <c r="Z567" s="220" t="str">
        <f t="shared" si="206"/>
        <v xml:space="preserve"> um / HH</v>
      </c>
      <c r="AA567" s="221" t="str">
        <f t="shared" si="207"/>
        <v/>
      </c>
      <c r="AB567" s="222" t="str">
        <f t="shared" si="208"/>
        <v>0 um /HH</v>
      </c>
      <c r="AC567" s="223">
        <f t="shared" si="209"/>
        <v>0</v>
      </c>
      <c r="AD567" s="224"/>
      <c r="AE567" s="225"/>
      <c r="AF567" s="226">
        <f t="shared" si="210"/>
        <v>0</v>
      </c>
      <c r="AG567" s="227">
        <f t="shared" si="211"/>
        <v>0</v>
      </c>
      <c r="AH567" s="228" t="s">
        <v>25</v>
      </c>
      <c r="AI567" s="229" t="str">
        <f t="shared" si="197"/>
        <v>Extremamente Complexa</v>
      </c>
      <c r="AJ567" s="230" t="str">
        <f t="shared" si="198"/>
        <v>Normal</v>
      </c>
      <c r="AK567" s="231">
        <f t="shared" si="212"/>
        <v>0</v>
      </c>
      <c r="AL567" s="232" t="str">
        <f t="shared" si="213"/>
        <v/>
      </c>
      <c r="AM567" s="233" t="str">
        <f t="shared" si="214"/>
        <v/>
      </c>
      <c r="AN567" s="233" t="str">
        <f t="shared" si="215"/>
        <v/>
      </c>
      <c r="AO567" s="234">
        <f t="shared" si="216"/>
        <v>0</v>
      </c>
      <c r="AP567" s="235">
        <f t="shared" si="231"/>
        <v>1</v>
      </c>
      <c r="AQ567" s="235">
        <f t="shared" si="231"/>
        <v>1</v>
      </c>
      <c r="AR567" s="235">
        <f t="shared" si="217"/>
        <v>1</v>
      </c>
      <c r="AS567" s="252">
        <f t="shared" si="218"/>
        <v>0</v>
      </c>
      <c r="AT567" s="238">
        <f t="shared" si="219"/>
        <v>0</v>
      </c>
      <c r="AU567" s="239">
        <f t="shared" si="220"/>
        <v>0</v>
      </c>
      <c r="AV567" s="239">
        <f t="shared" si="221"/>
        <v>0</v>
      </c>
      <c r="AW567" s="239">
        <f t="shared" si="222"/>
        <v>0.05</v>
      </c>
      <c r="AX567" s="240">
        <f t="shared" si="223"/>
        <v>0</v>
      </c>
      <c r="AY567" s="241" t="str">
        <f t="shared" si="224"/>
        <v/>
      </c>
      <c r="AZ567" s="242" t="str">
        <f>IFERROR(VLOOKUP(M567,'[1]Base Brasil Obras'!$C$2:$F$485,4,0),"")</f>
        <v/>
      </c>
      <c r="BA567" s="243">
        <f t="shared" si="225"/>
        <v>0</v>
      </c>
      <c r="BB567" s="244">
        <f t="shared" si="226"/>
        <v>0</v>
      </c>
      <c r="BC567" s="244">
        <f t="shared" si="227"/>
        <v>0.05</v>
      </c>
      <c r="BD567" s="245">
        <f t="shared" si="228"/>
        <v>0.95</v>
      </c>
      <c r="BE567" s="246">
        <f t="shared" si="229"/>
        <v>0</v>
      </c>
      <c r="BF567" s="247">
        <v>0</v>
      </c>
      <c r="BG567" s="248">
        <f t="shared" si="230"/>
        <v>1</v>
      </c>
      <c r="BH567" s="198"/>
      <c r="BI567" s="198"/>
      <c r="BJ567" s="199"/>
      <c r="BK567" s="200"/>
      <c r="BL567" s="200"/>
      <c r="BM567" s="200"/>
      <c r="BN567" s="200"/>
      <c r="BO567" s="10"/>
    </row>
    <row r="568" spans="1:67" ht="18" x14ac:dyDescent="0.25">
      <c r="A568" s="201">
        <v>460</v>
      </c>
      <c r="B568" s="286"/>
      <c r="C568" s="203">
        <f t="shared" si="201"/>
        <v>0</v>
      </c>
      <c r="D568" s="204"/>
      <c r="E568" s="204"/>
      <c r="F568" s="207"/>
      <c r="G568" s="206"/>
      <c r="H568" s="207"/>
      <c r="I568" s="208" t="s">
        <v>125</v>
      </c>
      <c r="J568" s="208" t="s">
        <v>126</v>
      </c>
      <c r="K568" s="287"/>
      <c r="L568" s="288"/>
      <c r="M568" s="289"/>
      <c r="N568" s="257"/>
      <c r="O568" s="213"/>
      <c r="P568" s="214"/>
      <c r="Q568" s="214"/>
      <c r="R568" s="214"/>
      <c r="S568" s="214"/>
      <c r="T568" s="214"/>
      <c r="U568" s="215">
        <f t="shared" si="202"/>
        <v>0</v>
      </c>
      <c r="V568" s="216" t="str">
        <f t="shared" si="203"/>
        <v/>
      </c>
      <c r="W568" s="217" t="str">
        <f t="shared" si="204"/>
        <v/>
      </c>
      <c r="X568" s="218" t="s">
        <v>20</v>
      </c>
      <c r="Y568" s="219" t="str">
        <f t="shared" si="205"/>
        <v>0 um/Dia</v>
      </c>
      <c r="Z568" s="220" t="str">
        <f t="shared" si="206"/>
        <v xml:space="preserve"> um / HH</v>
      </c>
      <c r="AA568" s="221" t="str">
        <f t="shared" si="207"/>
        <v/>
      </c>
      <c r="AB568" s="222" t="str">
        <f t="shared" si="208"/>
        <v>0 um /HH</v>
      </c>
      <c r="AC568" s="223">
        <f t="shared" si="209"/>
        <v>0</v>
      </c>
      <c r="AD568" s="224"/>
      <c r="AE568" s="225"/>
      <c r="AF568" s="226">
        <f t="shared" si="210"/>
        <v>0</v>
      </c>
      <c r="AG568" s="227">
        <f t="shared" si="211"/>
        <v>0</v>
      </c>
      <c r="AH568" s="228" t="s">
        <v>25</v>
      </c>
      <c r="AI568" s="229" t="str">
        <f t="shared" si="197"/>
        <v>Extremamente Complexa</v>
      </c>
      <c r="AJ568" s="230" t="str">
        <f t="shared" si="198"/>
        <v>Normal</v>
      </c>
      <c r="AK568" s="231">
        <f t="shared" si="212"/>
        <v>0</v>
      </c>
      <c r="AL568" s="232" t="str">
        <f t="shared" si="213"/>
        <v/>
      </c>
      <c r="AM568" s="233" t="str">
        <f t="shared" si="214"/>
        <v/>
      </c>
      <c r="AN568" s="233" t="str">
        <f t="shared" si="215"/>
        <v/>
      </c>
      <c r="AO568" s="234">
        <f t="shared" si="216"/>
        <v>0</v>
      </c>
      <c r="AP568" s="235">
        <f t="shared" si="231"/>
        <v>1</v>
      </c>
      <c r="AQ568" s="235">
        <f t="shared" si="231"/>
        <v>1</v>
      </c>
      <c r="AR568" s="236">
        <f t="shared" si="217"/>
        <v>1</v>
      </c>
      <c r="AS568" s="251">
        <f t="shared" si="218"/>
        <v>0</v>
      </c>
      <c r="AT568" s="238">
        <f t="shared" si="219"/>
        <v>0</v>
      </c>
      <c r="AU568" s="239">
        <f t="shared" si="220"/>
        <v>0</v>
      </c>
      <c r="AV568" s="239">
        <f t="shared" si="221"/>
        <v>0</v>
      </c>
      <c r="AW568" s="239">
        <f t="shared" si="222"/>
        <v>0.05</v>
      </c>
      <c r="AX568" s="240">
        <f t="shared" si="223"/>
        <v>0</v>
      </c>
      <c r="AY568" s="241" t="str">
        <f t="shared" si="224"/>
        <v/>
      </c>
      <c r="AZ568" s="242" t="str">
        <f>IFERROR(VLOOKUP(M568,'[1]Base Brasil Obras'!$C$2:$F$485,4,0),"")</f>
        <v/>
      </c>
      <c r="BA568" s="243">
        <f t="shared" si="225"/>
        <v>0</v>
      </c>
      <c r="BB568" s="244">
        <f t="shared" si="226"/>
        <v>0</v>
      </c>
      <c r="BC568" s="244">
        <f t="shared" si="227"/>
        <v>0.05</v>
      </c>
      <c r="BD568" s="245">
        <f t="shared" si="228"/>
        <v>0.95</v>
      </c>
      <c r="BE568" s="246">
        <f t="shared" si="229"/>
        <v>0</v>
      </c>
      <c r="BF568" s="247">
        <v>0</v>
      </c>
      <c r="BG568" s="248">
        <f t="shared" si="230"/>
        <v>1</v>
      </c>
      <c r="BH568" s="198"/>
      <c r="BI568" s="198"/>
      <c r="BJ568" s="199"/>
      <c r="BK568" s="200"/>
      <c r="BL568" s="200"/>
      <c r="BM568" s="200"/>
      <c r="BN568" s="200"/>
      <c r="BO568" s="10"/>
    </row>
    <row r="569" spans="1:67" ht="18" x14ac:dyDescent="0.25">
      <c r="A569" s="201">
        <v>461</v>
      </c>
      <c r="B569" s="286"/>
      <c r="C569" s="203">
        <f t="shared" ref="C569:C605" si="232">IFERROR(AVERAGEIF(P569:T569,"&gt;0,1"),0)</f>
        <v>0</v>
      </c>
      <c r="D569" s="204"/>
      <c r="E569" s="204"/>
      <c r="F569" s="207"/>
      <c r="G569" s="206"/>
      <c r="H569" s="207"/>
      <c r="I569" s="208" t="s">
        <v>125</v>
      </c>
      <c r="J569" s="208" t="s">
        <v>126</v>
      </c>
      <c r="K569" s="287"/>
      <c r="L569" s="288"/>
      <c r="M569" s="289"/>
      <c r="N569" s="257"/>
      <c r="O569" s="213"/>
      <c r="P569" s="214"/>
      <c r="Q569" s="214"/>
      <c r="R569" s="214"/>
      <c r="S569" s="214"/>
      <c r="T569" s="214"/>
      <c r="U569" s="215">
        <f t="shared" ref="U569:U605" si="233">B569*(1-$U$107)</f>
        <v>0</v>
      </c>
      <c r="V569" s="216" t="str">
        <f t="shared" ref="V569:V605" si="234">IF(IFERROR((1-BA569/AX569),"")=0%,"",IFERROR((1-BA569/AX569),""))</f>
        <v/>
      </c>
      <c r="W569" s="217" t="str">
        <f t="shared" ref="W569:W605" si="235">IFERROR(AVERAGEIF(P569:U569,"&gt;0,1"),"")</f>
        <v/>
      </c>
      <c r="X569" s="218" t="s">
        <v>20</v>
      </c>
      <c r="Y569" s="219" t="str">
        <f t="shared" ref="Y569:Y605" si="236">_xlfn.CONCAT(AX569," ",X569,"/","Dia")</f>
        <v>0 um/Dia</v>
      </c>
      <c r="Z569" s="220" t="str">
        <f t="shared" ref="Z569:Z605" si="237">_xlfn.CONCAT(AA569," ",X569," ","/ HH")</f>
        <v xml:space="preserve"> um / HH</v>
      </c>
      <c r="AA569" s="221" t="str">
        <f t="shared" ref="AA569:AA605" si="238">IFERROR(IF(B569=0,"",ROUND(AZ569,2)),0)</f>
        <v/>
      </c>
      <c r="AB569" s="222" t="str">
        <f t="shared" ref="AB569:AB605" si="239">_xlfn.CONCAT(ROUND(AS569,1)," ",X569," /","HH")</f>
        <v>0 um /HH</v>
      </c>
      <c r="AC569" s="223">
        <f t="shared" ref="AC569:AC605" si="240">AD569+AE569</f>
        <v>0</v>
      </c>
      <c r="AD569" s="224"/>
      <c r="AE569" s="225"/>
      <c r="AF569" s="226">
        <f t="shared" ref="AF569:AF605" si="241">IFERROR(O569/AT569,0)/BG569</f>
        <v>0</v>
      </c>
      <c r="AG569" s="227">
        <f t="shared" ref="AG569:AG605" si="242">AF569*AC569*$Z$101*$Y$104</f>
        <v>0</v>
      </c>
      <c r="AH569" s="228" t="s">
        <v>25</v>
      </c>
      <c r="AI569" s="229" t="str">
        <f t="shared" si="197"/>
        <v>Extremamente Complexa</v>
      </c>
      <c r="AJ569" s="230" t="str">
        <f t="shared" si="198"/>
        <v>Normal</v>
      </c>
      <c r="AK569" s="231">
        <f t="shared" ref="AK569:AK605" si="243">(AG569*(1+0)/$Y$102)*$Y$104</f>
        <v>0</v>
      </c>
      <c r="AL569" s="232" t="str">
        <f t="shared" ref="AL569:AL605" si="244">IFERROR(AD569/AC569,"")</f>
        <v/>
      </c>
      <c r="AM569" s="233" t="str">
        <f t="shared" ref="AM569:AM605" si="245">IFERROR(AK569*AL569,"")</f>
        <v/>
      </c>
      <c r="AN569" s="233" t="str">
        <f t="shared" ref="AN569:AN605" si="246">IFERROR(AK569-AM569,"")</f>
        <v/>
      </c>
      <c r="AO569" s="234">
        <f t="shared" ref="AO569:AO605" si="247">IFERROR(AK569/$AK$107,"")</f>
        <v>0</v>
      </c>
      <c r="AP569" s="235">
        <f t="shared" si="231"/>
        <v>1</v>
      </c>
      <c r="AQ569" s="235">
        <f t="shared" si="231"/>
        <v>1</v>
      </c>
      <c r="AR569" s="235">
        <f t="shared" ref="AR569:AR605" si="248">IF(O569=0,1,IF(I569=0,AQ569,IF(J569=0,AP569,SMALL(AP569:AQ569,1))))</f>
        <v>1</v>
      </c>
      <c r="AS569" s="252">
        <f t="shared" ref="AS569:AS605" si="249">IFERROR(O569/AG569,0)</f>
        <v>0</v>
      </c>
      <c r="AT569" s="238">
        <f t="shared" ref="AT569:AT605" si="250">IF(X569=$X$5,1,AX569)</f>
        <v>0</v>
      </c>
      <c r="AU569" s="239">
        <f t="shared" ref="AU569:AU605" si="251">VLOOKUP(AH569,$AI$66:$AJ$69,2,0)</f>
        <v>0</v>
      </c>
      <c r="AV569" s="239">
        <f t="shared" ref="AV569:AV605" si="252">VLOOKUP(AJ569,$AJ$73:$AK$76,2,1)</f>
        <v>0</v>
      </c>
      <c r="AW569" s="239">
        <f t="shared" ref="AW569:AW605" si="253">VLOOKUP(AI569,$AI$83:$AJ$86,2,0)</f>
        <v>0.05</v>
      </c>
      <c r="AX569" s="240">
        <f t="shared" ref="AX569:AX605" si="254" xml:space="preserve">   ROUND((IFERROR(AVERAGEIF(P569:U569,"&gt;0,1"),0)*BD569),0)</f>
        <v>0</v>
      </c>
      <c r="AY569" s="241" t="str">
        <f t="shared" ref="AY569:AY605" si="255">IFERROR(ROUND(AS569,1)-AA569,"")</f>
        <v/>
      </c>
      <c r="AZ569" s="242" t="str">
        <f>IFERROR(VLOOKUP(M569,'[1]Base Brasil Obras'!$C$2:$F$485,4,0),"")</f>
        <v/>
      </c>
      <c r="BA569" s="243">
        <f t="shared" ref="BA569:BA605" si="256">B569*(1-$U$107)</f>
        <v>0</v>
      </c>
      <c r="BB569" s="244">
        <f t="shared" ref="BB569:BB605" si="257">1-AR569</f>
        <v>0</v>
      </c>
      <c r="BC569" s="244">
        <f t="shared" ref="BC569:BC605" si="258">AU569+AV569+AW569</f>
        <v>0.05</v>
      </c>
      <c r="BD569" s="245">
        <f t="shared" ref="BD569:BD605" si="259">1-(BB569+BC569)</f>
        <v>0.95</v>
      </c>
      <c r="BE569" s="246">
        <f t="shared" ref="BE569:BE605" si="260">IFERROR(B569/(AC569*$Z$101),0)</f>
        <v>0</v>
      </c>
      <c r="BF569" s="247">
        <v>0</v>
      </c>
      <c r="BG569" s="248">
        <f t="shared" ref="BG569:BG605" si="261">IFERROR(AC569/BF569,1)</f>
        <v>1</v>
      </c>
      <c r="BH569" s="198"/>
      <c r="BI569" s="198"/>
      <c r="BJ569" s="199"/>
      <c r="BK569" s="200"/>
      <c r="BL569" s="200"/>
      <c r="BM569" s="200"/>
      <c r="BN569" s="200"/>
      <c r="BO569" s="10"/>
    </row>
    <row r="570" spans="1:67" ht="18" x14ac:dyDescent="0.25">
      <c r="A570" s="201">
        <v>462</v>
      </c>
      <c r="B570" s="286"/>
      <c r="C570" s="203">
        <f t="shared" si="232"/>
        <v>0</v>
      </c>
      <c r="D570" s="204"/>
      <c r="E570" s="204"/>
      <c r="F570" s="207"/>
      <c r="G570" s="206"/>
      <c r="H570" s="207"/>
      <c r="I570" s="208" t="s">
        <v>125</v>
      </c>
      <c r="J570" s="208" t="s">
        <v>126</v>
      </c>
      <c r="K570" s="287"/>
      <c r="L570" s="288"/>
      <c r="M570" s="289"/>
      <c r="N570" s="257"/>
      <c r="O570" s="213"/>
      <c r="P570" s="214"/>
      <c r="Q570" s="214"/>
      <c r="R570" s="214"/>
      <c r="S570" s="214"/>
      <c r="T570" s="214"/>
      <c r="U570" s="215">
        <f t="shared" si="233"/>
        <v>0</v>
      </c>
      <c r="V570" s="216" t="str">
        <f t="shared" si="234"/>
        <v/>
      </c>
      <c r="W570" s="217" t="str">
        <f t="shared" si="235"/>
        <v/>
      </c>
      <c r="X570" s="218" t="s">
        <v>20</v>
      </c>
      <c r="Y570" s="219" t="str">
        <f t="shared" si="236"/>
        <v>0 um/Dia</v>
      </c>
      <c r="Z570" s="220" t="str">
        <f t="shared" si="237"/>
        <v xml:space="preserve"> um / HH</v>
      </c>
      <c r="AA570" s="221" t="str">
        <f t="shared" si="238"/>
        <v/>
      </c>
      <c r="AB570" s="222" t="str">
        <f t="shared" si="239"/>
        <v>0 um /HH</v>
      </c>
      <c r="AC570" s="223">
        <f t="shared" si="240"/>
        <v>0</v>
      </c>
      <c r="AD570" s="224"/>
      <c r="AE570" s="225"/>
      <c r="AF570" s="226">
        <f t="shared" si="241"/>
        <v>0</v>
      </c>
      <c r="AG570" s="227">
        <f t="shared" si="242"/>
        <v>0</v>
      </c>
      <c r="AH570" s="228" t="s">
        <v>25</v>
      </c>
      <c r="AI570" s="229" t="str">
        <f t="shared" si="197"/>
        <v>Extremamente Complexa</v>
      </c>
      <c r="AJ570" s="230" t="str">
        <f t="shared" si="198"/>
        <v>Normal</v>
      </c>
      <c r="AK570" s="231">
        <f t="shared" si="243"/>
        <v>0</v>
      </c>
      <c r="AL570" s="232" t="str">
        <f t="shared" si="244"/>
        <v/>
      </c>
      <c r="AM570" s="233" t="str">
        <f t="shared" si="245"/>
        <v/>
      </c>
      <c r="AN570" s="233" t="str">
        <f t="shared" si="246"/>
        <v/>
      </c>
      <c r="AO570" s="234">
        <f t="shared" si="247"/>
        <v>0</v>
      </c>
      <c r="AP570" s="235">
        <f t="shared" si="231"/>
        <v>1</v>
      </c>
      <c r="AQ570" s="235">
        <f t="shared" si="231"/>
        <v>1</v>
      </c>
      <c r="AR570" s="236">
        <f t="shared" si="248"/>
        <v>1</v>
      </c>
      <c r="AS570" s="251">
        <f t="shared" si="249"/>
        <v>0</v>
      </c>
      <c r="AT570" s="238">
        <f t="shared" si="250"/>
        <v>0</v>
      </c>
      <c r="AU570" s="239">
        <f t="shared" si="251"/>
        <v>0</v>
      </c>
      <c r="AV570" s="239">
        <f t="shared" si="252"/>
        <v>0</v>
      </c>
      <c r="AW570" s="239">
        <f t="shared" si="253"/>
        <v>0.05</v>
      </c>
      <c r="AX570" s="240">
        <f t="shared" si="254"/>
        <v>0</v>
      </c>
      <c r="AY570" s="241" t="str">
        <f t="shared" si="255"/>
        <v/>
      </c>
      <c r="AZ570" s="242" t="str">
        <f>IFERROR(VLOOKUP(M570,'[1]Base Brasil Obras'!$C$2:$F$485,4,0),"")</f>
        <v/>
      </c>
      <c r="BA570" s="243">
        <f t="shared" si="256"/>
        <v>0</v>
      </c>
      <c r="BB570" s="244">
        <f t="shared" si="257"/>
        <v>0</v>
      </c>
      <c r="BC570" s="244">
        <f t="shared" si="258"/>
        <v>0.05</v>
      </c>
      <c r="BD570" s="245">
        <f t="shared" si="259"/>
        <v>0.95</v>
      </c>
      <c r="BE570" s="246">
        <f t="shared" si="260"/>
        <v>0</v>
      </c>
      <c r="BF570" s="247">
        <v>0</v>
      </c>
      <c r="BG570" s="248">
        <f t="shared" si="261"/>
        <v>1</v>
      </c>
      <c r="BH570" s="198"/>
      <c r="BI570" s="198"/>
      <c r="BJ570" s="199"/>
      <c r="BK570" s="200"/>
      <c r="BL570" s="200"/>
      <c r="BM570" s="200"/>
      <c r="BN570" s="200"/>
      <c r="BO570" s="10"/>
    </row>
    <row r="571" spans="1:67" ht="18" x14ac:dyDescent="0.25">
      <c r="A571" s="201">
        <v>463</v>
      </c>
      <c r="B571" s="286"/>
      <c r="C571" s="203">
        <f t="shared" si="232"/>
        <v>0</v>
      </c>
      <c r="D571" s="204"/>
      <c r="E571" s="204"/>
      <c r="F571" s="207"/>
      <c r="G571" s="206"/>
      <c r="H571" s="207"/>
      <c r="I571" s="208" t="s">
        <v>125</v>
      </c>
      <c r="J571" s="208" t="s">
        <v>126</v>
      </c>
      <c r="K571" s="287"/>
      <c r="L571" s="288"/>
      <c r="M571" s="289"/>
      <c r="N571" s="257"/>
      <c r="O571" s="213"/>
      <c r="P571" s="214"/>
      <c r="Q571" s="214"/>
      <c r="R571" s="214"/>
      <c r="S571" s="214"/>
      <c r="T571" s="214"/>
      <c r="U571" s="215">
        <f t="shared" si="233"/>
        <v>0</v>
      </c>
      <c r="V571" s="216" t="str">
        <f t="shared" si="234"/>
        <v/>
      </c>
      <c r="W571" s="217" t="str">
        <f t="shared" si="235"/>
        <v/>
      </c>
      <c r="X571" s="218" t="s">
        <v>20</v>
      </c>
      <c r="Y571" s="219" t="str">
        <f t="shared" si="236"/>
        <v>0 um/Dia</v>
      </c>
      <c r="Z571" s="220" t="str">
        <f t="shared" si="237"/>
        <v xml:space="preserve"> um / HH</v>
      </c>
      <c r="AA571" s="221" t="str">
        <f t="shared" si="238"/>
        <v/>
      </c>
      <c r="AB571" s="222" t="str">
        <f t="shared" si="239"/>
        <v>0 um /HH</v>
      </c>
      <c r="AC571" s="223">
        <f t="shared" si="240"/>
        <v>0</v>
      </c>
      <c r="AD571" s="224"/>
      <c r="AE571" s="225"/>
      <c r="AF571" s="226">
        <f t="shared" si="241"/>
        <v>0</v>
      </c>
      <c r="AG571" s="227">
        <f t="shared" si="242"/>
        <v>0</v>
      </c>
      <c r="AH571" s="228" t="s">
        <v>25</v>
      </c>
      <c r="AI571" s="229" t="str">
        <f t="shared" si="197"/>
        <v>Extremamente Complexa</v>
      </c>
      <c r="AJ571" s="230" t="str">
        <f t="shared" si="198"/>
        <v>Normal</v>
      </c>
      <c r="AK571" s="231">
        <f t="shared" si="243"/>
        <v>0</v>
      </c>
      <c r="AL571" s="232" t="str">
        <f t="shared" si="244"/>
        <v/>
      </c>
      <c r="AM571" s="233" t="str">
        <f t="shared" si="245"/>
        <v/>
      </c>
      <c r="AN571" s="233" t="str">
        <f t="shared" si="246"/>
        <v/>
      </c>
      <c r="AO571" s="234">
        <f t="shared" si="247"/>
        <v>0</v>
      </c>
      <c r="AP571" s="235">
        <f t="shared" si="231"/>
        <v>1</v>
      </c>
      <c r="AQ571" s="235">
        <f t="shared" si="231"/>
        <v>1</v>
      </c>
      <c r="AR571" s="235">
        <f t="shared" si="248"/>
        <v>1</v>
      </c>
      <c r="AS571" s="252">
        <f t="shared" si="249"/>
        <v>0</v>
      </c>
      <c r="AT571" s="238">
        <f t="shared" si="250"/>
        <v>0</v>
      </c>
      <c r="AU571" s="239">
        <f t="shared" si="251"/>
        <v>0</v>
      </c>
      <c r="AV571" s="239">
        <f t="shared" si="252"/>
        <v>0</v>
      </c>
      <c r="AW571" s="239">
        <f t="shared" si="253"/>
        <v>0.05</v>
      </c>
      <c r="AX571" s="240">
        <f t="shared" si="254"/>
        <v>0</v>
      </c>
      <c r="AY571" s="241" t="str">
        <f t="shared" si="255"/>
        <v/>
      </c>
      <c r="AZ571" s="242" t="str">
        <f>IFERROR(VLOOKUP(M571,'[1]Base Brasil Obras'!$C$2:$F$485,4,0),"")</f>
        <v/>
      </c>
      <c r="BA571" s="243">
        <f t="shared" si="256"/>
        <v>0</v>
      </c>
      <c r="BB571" s="244">
        <f t="shared" si="257"/>
        <v>0</v>
      </c>
      <c r="BC571" s="244">
        <f t="shared" si="258"/>
        <v>0.05</v>
      </c>
      <c r="BD571" s="245">
        <f t="shared" si="259"/>
        <v>0.95</v>
      </c>
      <c r="BE571" s="246">
        <f t="shared" si="260"/>
        <v>0</v>
      </c>
      <c r="BF571" s="247">
        <v>0</v>
      </c>
      <c r="BG571" s="248">
        <f t="shared" si="261"/>
        <v>1</v>
      </c>
      <c r="BH571" s="198"/>
      <c r="BI571" s="198"/>
      <c r="BJ571" s="199"/>
      <c r="BK571" s="200"/>
      <c r="BL571" s="200"/>
      <c r="BM571" s="200"/>
      <c r="BN571" s="200"/>
      <c r="BO571" s="10"/>
    </row>
    <row r="572" spans="1:67" ht="18" x14ac:dyDescent="0.25">
      <c r="A572" s="201">
        <v>464</v>
      </c>
      <c r="B572" s="286"/>
      <c r="C572" s="203">
        <f t="shared" si="232"/>
        <v>0</v>
      </c>
      <c r="D572" s="204"/>
      <c r="E572" s="204"/>
      <c r="F572" s="207"/>
      <c r="G572" s="206"/>
      <c r="H572" s="207"/>
      <c r="I572" s="208" t="s">
        <v>125</v>
      </c>
      <c r="J572" s="208" t="s">
        <v>126</v>
      </c>
      <c r="K572" s="287"/>
      <c r="L572" s="288"/>
      <c r="M572" s="289"/>
      <c r="N572" s="257"/>
      <c r="O572" s="213"/>
      <c r="P572" s="214"/>
      <c r="Q572" s="214"/>
      <c r="R572" s="214"/>
      <c r="S572" s="214"/>
      <c r="T572" s="214"/>
      <c r="U572" s="215">
        <f t="shared" si="233"/>
        <v>0</v>
      </c>
      <c r="V572" s="216" t="str">
        <f t="shared" si="234"/>
        <v/>
      </c>
      <c r="W572" s="217" t="str">
        <f t="shared" si="235"/>
        <v/>
      </c>
      <c r="X572" s="218" t="s">
        <v>20</v>
      </c>
      <c r="Y572" s="219" t="str">
        <f t="shared" si="236"/>
        <v>0 um/Dia</v>
      </c>
      <c r="Z572" s="220" t="str">
        <f t="shared" si="237"/>
        <v xml:space="preserve"> um / HH</v>
      </c>
      <c r="AA572" s="221" t="str">
        <f t="shared" si="238"/>
        <v/>
      </c>
      <c r="AB572" s="222" t="str">
        <f t="shared" si="239"/>
        <v>0 um /HH</v>
      </c>
      <c r="AC572" s="223">
        <f t="shared" si="240"/>
        <v>0</v>
      </c>
      <c r="AD572" s="224"/>
      <c r="AE572" s="225"/>
      <c r="AF572" s="226">
        <f t="shared" si="241"/>
        <v>0</v>
      </c>
      <c r="AG572" s="227">
        <f t="shared" si="242"/>
        <v>0</v>
      </c>
      <c r="AH572" s="228" t="s">
        <v>25</v>
      </c>
      <c r="AI572" s="229" t="str">
        <f t="shared" si="197"/>
        <v>Extremamente Complexa</v>
      </c>
      <c r="AJ572" s="230" t="str">
        <f t="shared" si="198"/>
        <v>Normal</v>
      </c>
      <c r="AK572" s="231">
        <f t="shared" si="243"/>
        <v>0</v>
      </c>
      <c r="AL572" s="232" t="str">
        <f t="shared" si="244"/>
        <v/>
      </c>
      <c r="AM572" s="233" t="str">
        <f t="shared" si="245"/>
        <v/>
      </c>
      <c r="AN572" s="233" t="str">
        <f t="shared" si="246"/>
        <v/>
      </c>
      <c r="AO572" s="234">
        <f t="shared" si="247"/>
        <v>0</v>
      </c>
      <c r="AP572" s="235">
        <f t="shared" si="231"/>
        <v>1</v>
      </c>
      <c r="AQ572" s="235">
        <f t="shared" si="231"/>
        <v>1</v>
      </c>
      <c r="AR572" s="236">
        <f t="shared" si="248"/>
        <v>1</v>
      </c>
      <c r="AS572" s="251">
        <f t="shared" si="249"/>
        <v>0</v>
      </c>
      <c r="AT572" s="238">
        <f t="shared" si="250"/>
        <v>0</v>
      </c>
      <c r="AU572" s="239">
        <f t="shared" si="251"/>
        <v>0</v>
      </c>
      <c r="AV572" s="239">
        <f t="shared" si="252"/>
        <v>0</v>
      </c>
      <c r="AW572" s="239">
        <f t="shared" si="253"/>
        <v>0.05</v>
      </c>
      <c r="AX572" s="240">
        <f t="shared" si="254"/>
        <v>0</v>
      </c>
      <c r="AY572" s="241" t="str">
        <f t="shared" si="255"/>
        <v/>
      </c>
      <c r="AZ572" s="242" t="str">
        <f>IFERROR(VLOOKUP(M572,'[1]Base Brasil Obras'!$C$2:$F$485,4,0),"")</f>
        <v/>
      </c>
      <c r="BA572" s="243">
        <f t="shared" si="256"/>
        <v>0</v>
      </c>
      <c r="BB572" s="244">
        <f t="shared" si="257"/>
        <v>0</v>
      </c>
      <c r="BC572" s="244">
        <f t="shared" si="258"/>
        <v>0.05</v>
      </c>
      <c r="BD572" s="245">
        <f t="shared" si="259"/>
        <v>0.95</v>
      </c>
      <c r="BE572" s="246">
        <f t="shared" si="260"/>
        <v>0</v>
      </c>
      <c r="BF572" s="247">
        <v>0</v>
      </c>
      <c r="BG572" s="248">
        <f t="shared" si="261"/>
        <v>1</v>
      </c>
      <c r="BH572" s="198"/>
      <c r="BI572" s="198"/>
      <c r="BJ572" s="199"/>
      <c r="BK572" s="200"/>
      <c r="BL572" s="200"/>
      <c r="BM572" s="200"/>
      <c r="BN572" s="200"/>
      <c r="BO572" s="10"/>
    </row>
    <row r="573" spans="1:67" ht="18" x14ac:dyDescent="0.25">
      <c r="A573" s="201">
        <v>465</v>
      </c>
      <c r="B573" s="286"/>
      <c r="C573" s="203">
        <f t="shared" si="232"/>
        <v>0</v>
      </c>
      <c r="D573" s="204"/>
      <c r="E573" s="204"/>
      <c r="F573" s="207"/>
      <c r="G573" s="206"/>
      <c r="H573" s="207"/>
      <c r="I573" s="208" t="s">
        <v>125</v>
      </c>
      <c r="J573" s="208" t="s">
        <v>126</v>
      </c>
      <c r="K573" s="287"/>
      <c r="L573" s="288"/>
      <c r="M573" s="289"/>
      <c r="N573" s="257"/>
      <c r="O573" s="213"/>
      <c r="P573" s="214"/>
      <c r="Q573" s="214"/>
      <c r="R573" s="214"/>
      <c r="S573" s="214"/>
      <c r="T573" s="214"/>
      <c r="U573" s="215">
        <f t="shared" si="233"/>
        <v>0</v>
      </c>
      <c r="V573" s="216" t="str">
        <f t="shared" si="234"/>
        <v/>
      </c>
      <c r="W573" s="217" t="str">
        <f t="shared" si="235"/>
        <v/>
      </c>
      <c r="X573" s="218" t="s">
        <v>20</v>
      </c>
      <c r="Y573" s="219" t="str">
        <f t="shared" si="236"/>
        <v>0 um/Dia</v>
      </c>
      <c r="Z573" s="220" t="str">
        <f t="shared" si="237"/>
        <v xml:space="preserve"> um / HH</v>
      </c>
      <c r="AA573" s="221" t="str">
        <f t="shared" si="238"/>
        <v/>
      </c>
      <c r="AB573" s="222" t="str">
        <f t="shared" si="239"/>
        <v>0 um /HH</v>
      </c>
      <c r="AC573" s="223">
        <f t="shared" si="240"/>
        <v>0</v>
      </c>
      <c r="AD573" s="224"/>
      <c r="AE573" s="225"/>
      <c r="AF573" s="226">
        <f t="shared" si="241"/>
        <v>0</v>
      </c>
      <c r="AG573" s="227">
        <f t="shared" si="242"/>
        <v>0</v>
      </c>
      <c r="AH573" s="228" t="s">
        <v>25</v>
      </c>
      <c r="AI573" s="229" t="str">
        <f t="shared" si="197"/>
        <v>Extremamente Complexa</v>
      </c>
      <c r="AJ573" s="230" t="str">
        <f t="shared" si="198"/>
        <v>Normal</v>
      </c>
      <c r="AK573" s="231">
        <f t="shared" si="243"/>
        <v>0</v>
      </c>
      <c r="AL573" s="232" t="str">
        <f t="shared" si="244"/>
        <v/>
      </c>
      <c r="AM573" s="233" t="str">
        <f t="shared" si="245"/>
        <v/>
      </c>
      <c r="AN573" s="233" t="str">
        <f t="shared" si="246"/>
        <v/>
      </c>
      <c r="AO573" s="234">
        <f t="shared" si="247"/>
        <v>0</v>
      </c>
      <c r="AP573" s="235">
        <f t="shared" si="231"/>
        <v>1</v>
      </c>
      <c r="AQ573" s="235">
        <f t="shared" si="231"/>
        <v>1</v>
      </c>
      <c r="AR573" s="235">
        <f t="shared" si="248"/>
        <v>1</v>
      </c>
      <c r="AS573" s="252">
        <f t="shared" si="249"/>
        <v>0</v>
      </c>
      <c r="AT573" s="238">
        <f t="shared" si="250"/>
        <v>0</v>
      </c>
      <c r="AU573" s="239">
        <f t="shared" si="251"/>
        <v>0</v>
      </c>
      <c r="AV573" s="239">
        <f t="shared" si="252"/>
        <v>0</v>
      </c>
      <c r="AW573" s="239">
        <f t="shared" si="253"/>
        <v>0.05</v>
      </c>
      <c r="AX573" s="240">
        <f t="shared" si="254"/>
        <v>0</v>
      </c>
      <c r="AY573" s="241" t="str">
        <f t="shared" si="255"/>
        <v/>
      </c>
      <c r="AZ573" s="242" t="str">
        <f>IFERROR(VLOOKUP(M573,'[1]Base Brasil Obras'!$C$2:$F$485,4,0),"")</f>
        <v/>
      </c>
      <c r="BA573" s="243">
        <f t="shared" si="256"/>
        <v>0</v>
      </c>
      <c r="BB573" s="244">
        <f t="shared" si="257"/>
        <v>0</v>
      </c>
      <c r="BC573" s="244">
        <f t="shared" si="258"/>
        <v>0.05</v>
      </c>
      <c r="BD573" s="245">
        <f t="shared" si="259"/>
        <v>0.95</v>
      </c>
      <c r="BE573" s="246">
        <f t="shared" si="260"/>
        <v>0</v>
      </c>
      <c r="BF573" s="247">
        <v>0</v>
      </c>
      <c r="BG573" s="248">
        <f t="shared" si="261"/>
        <v>1</v>
      </c>
      <c r="BH573" s="198"/>
      <c r="BI573" s="198"/>
      <c r="BJ573" s="199"/>
      <c r="BK573" s="200"/>
      <c r="BL573" s="200"/>
      <c r="BM573" s="200"/>
      <c r="BN573" s="200"/>
      <c r="BO573" s="10"/>
    </row>
    <row r="574" spans="1:67" ht="18" x14ac:dyDescent="0.25">
      <c r="A574" s="201">
        <v>466</v>
      </c>
      <c r="B574" s="286"/>
      <c r="C574" s="203">
        <f t="shared" si="232"/>
        <v>0</v>
      </c>
      <c r="D574" s="204"/>
      <c r="E574" s="204"/>
      <c r="F574" s="207"/>
      <c r="G574" s="206"/>
      <c r="H574" s="207"/>
      <c r="I574" s="208" t="s">
        <v>125</v>
      </c>
      <c r="J574" s="208" t="s">
        <v>126</v>
      </c>
      <c r="K574" s="287"/>
      <c r="L574" s="288"/>
      <c r="M574" s="289"/>
      <c r="N574" s="257"/>
      <c r="O574" s="213"/>
      <c r="P574" s="214"/>
      <c r="Q574" s="214"/>
      <c r="R574" s="214"/>
      <c r="S574" s="214"/>
      <c r="T574" s="214"/>
      <c r="U574" s="215">
        <f t="shared" si="233"/>
        <v>0</v>
      </c>
      <c r="V574" s="216" t="str">
        <f t="shared" si="234"/>
        <v/>
      </c>
      <c r="W574" s="217" t="str">
        <f t="shared" si="235"/>
        <v/>
      </c>
      <c r="X574" s="218" t="s">
        <v>20</v>
      </c>
      <c r="Y574" s="219" t="str">
        <f t="shared" si="236"/>
        <v>0 um/Dia</v>
      </c>
      <c r="Z574" s="220" t="str">
        <f t="shared" si="237"/>
        <v xml:space="preserve"> um / HH</v>
      </c>
      <c r="AA574" s="221" t="str">
        <f t="shared" si="238"/>
        <v/>
      </c>
      <c r="AB574" s="222" t="str">
        <f t="shared" si="239"/>
        <v>0 um /HH</v>
      </c>
      <c r="AC574" s="223">
        <f t="shared" si="240"/>
        <v>0</v>
      </c>
      <c r="AD574" s="224"/>
      <c r="AE574" s="225"/>
      <c r="AF574" s="226">
        <f t="shared" si="241"/>
        <v>0</v>
      </c>
      <c r="AG574" s="227">
        <f t="shared" si="242"/>
        <v>0</v>
      </c>
      <c r="AH574" s="228" t="s">
        <v>25</v>
      </c>
      <c r="AI574" s="229" t="str">
        <f t="shared" si="197"/>
        <v>Extremamente Complexa</v>
      </c>
      <c r="AJ574" s="230" t="str">
        <f t="shared" si="198"/>
        <v>Normal</v>
      </c>
      <c r="AK574" s="231">
        <f t="shared" si="243"/>
        <v>0</v>
      </c>
      <c r="AL574" s="232" t="str">
        <f t="shared" si="244"/>
        <v/>
      </c>
      <c r="AM574" s="233" t="str">
        <f t="shared" si="245"/>
        <v/>
      </c>
      <c r="AN574" s="233" t="str">
        <f t="shared" si="246"/>
        <v/>
      </c>
      <c r="AO574" s="234">
        <f t="shared" si="247"/>
        <v>0</v>
      </c>
      <c r="AP574" s="235">
        <f t="shared" si="231"/>
        <v>1</v>
      </c>
      <c r="AQ574" s="235">
        <f t="shared" si="231"/>
        <v>1</v>
      </c>
      <c r="AR574" s="236">
        <f t="shared" si="248"/>
        <v>1</v>
      </c>
      <c r="AS574" s="251">
        <f t="shared" si="249"/>
        <v>0</v>
      </c>
      <c r="AT574" s="238">
        <f t="shared" si="250"/>
        <v>0</v>
      </c>
      <c r="AU574" s="239">
        <f t="shared" si="251"/>
        <v>0</v>
      </c>
      <c r="AV574" s="239">
        <f t="shared" si="252"/>
        <v>0</v>
      </c>
      <c r="AW574" s="239">
        <f t="shared" si="253"/>
        <v>0.05</v>
      </c>
      <c r="AX574" s="240">
        <f t="shared" si="254"/>
        <v>0</v>
      </c>
      <c r="AY574" s="241" t="str">
        <f t="shared" si="255"/>
        <v/>
      </c>
      <c r="AZ574" s="242" t="str">
        <f>IFERROR(VLOOKUP(M574,'[1]Base Brasil Obras'!$C$2:$F$485,4,0),"")</f>
        <v/>
      </c>
      <c r="BA574" s="243">
        <f t="shared" si="256"/>
        <v>0</v>
      </c>
      <c r="BB574" s="244">
        <f t="shared" si="257"/>
        <v>0</v>
      </c>
      <c r="BC574" s="244">
        <f t="shared" si="258"/>
        <v>0.05</v>
      </c>
      <c r="BD574" s="245">
        <f t="shared" si="259"/>
        <v>0.95</v>
      </c>
      <c r="BE574" s="246">
        <f t="shared" si="260"/>
        <v>0</v>
      </c>
      <c r="BF574" s="247">
        <v>0</v>
      </c>
      <c r="BG574" s="248">
        <f t="shared" si="261"/>
        <v>1</v>
      </c>
      <c r="BH574" s="198"/>
      <c r="BI574" s="198"/>
      <c r="BJ574" s="199"/>
      <c r="BK574" s="200"/>
      <c r="BL574" s="200"/>
      <c r="BM574" s="200"/>
      <c r="BN574" s="200"/>
      <c r="BO574" s="10"/>
    </row>
    <row r="575" spans="1:67" ht="18" x14ac:dyDescent="0.25">
      <c r="A575" s="201">
        <v>467</v>
      </c>
      <c r="B575" s="286"/>
      <c r="C575" s="203">
        <f t="shared" si="232"/>
        <v>0</v>
      </c>
      <c r="D575" s="204"/>
      <c r="E575" s="204"/>
      <c r="F575" s="207"/>
      <c r="G575" s="206"/>
      <c r="H575" s="207"/>
      <c r="I575" s="208" t="s">
        <v>125</v>
      </c>
      <c r="J575" s="208" t="s">
        <v>126</v>
      </c>
      <c r="K575" s="287"/>
      <c r="L575" s="288"/>
      <c r="M575" s="289"/>
      <c r="N575" s="257"/>
      <c r="O575" s="213"/>
      <c r="P575" s="214"/>
      <c r="Q575" s="214"/>
      <c r="R575" s="214"/>
      <c r="S575" s="214"/>
      <c r="T575" s="214"/>
      <c r="U575" s="215">
        <f t="shared" si="233"/>
        <v>0</v>
      </c>
      <c r="V575" s="216" t="str">
        <f t="shared" si="234"/>
        <v/>
      </c>
      <c r="W575" s="217" t="str">
        <f t="shared" si="235"/>
        <v/>
      </c>
      <c r="X575" s="218" t="s">
        <v>20</v>
      </c>
      <c r="Y575" s="219" t="str">
        <f t="shared" si="236"/>
        <v>0 um/Dia</v>
      </c>
      <c r="Z575" s="220" t="str">
        <f t="shared" si="237"/>
        <v xml:space="preserve"> um / HH</v>
      </c>
      <c r="AA575" s="221" t="str">
        <f t="shared" si="238"/>
        <v/>
      </c>
      <c r="AB575" s="222" t="str">
        <f t="shared" si="239"/>
        <v>0 um /HH</v>
      </c>
      <c r="AC575" s="223">
        <f t="shared" si="240"/>
        <v>0</v>
      </c>
      <c r="AD575" s="224"/>
      <c r="AE575" s="225"/>
      <c r="AF575" s="226">
        <f t="shared" si="241"/>
        <v>0</v>
      </c>
      <c r="AG575" s="227">
        <f t="shared" si="242"/>
        <v>0</v>
      </c>
      <c r="AH575" s="228" t="s">
        <v>25</v>
      </c>
      <c r="AI575" s="229" t="str">
        <f t="shared" si="197"/>
        <v>Extremamente Complexa</v>
      </c>
      <c r="AJ575" s="230" t="str">
        <f t="shared" si="198"/>
        <v>Normal</v>
      </c>
      <c r="AK575" s="231">
        <f t="shared" si="243"/>
        <v>0</v>
      </c>
      <c r="AL575" s="232" t="str">
        <f t="shared" si="244"/>
        <v/>
      </c>
      <c r="AM575" s="233" t="str">
        <f t="shared" si="245"/>
        <v/>
      </c>
      <c r="AN575" s="233" t="str">
        <f t="shared" si="246"/>
        <v/>
      </c>
      <c r="AO575" s="234">
        <f t="shared" si="247"/>
        <v>0</v>
      </c>
      <c r="AP575" s="235">
        <f t="shared" si="231"/>
        <v>1</v>
      </c>
      <c r="AQ575" s="235">
        <f t="shared" si="231"/>
        <v>1</v>
      </c>
      <c r="AR575" s="235">
        <f t="shared" si="248"/>
        <v>1</v>
      </c>
      <c r="AS575" s="252">
        <f t="shared" si="249"/>
        <v>0</v>
      </c>
      <c r="AT575" s="238">
        <f t="shared" si="250"/>
        <v>0</v>
      </c>
      <c r="AU575" s="239">
        <f t="shared" si="251"/>
        <v>0</v>
      </c>
      <c r="AV575" s="239">
        <f t="shared" si="252"/>
        <v>0</v>
      </c>
      <c r="AW575" s="239">
        <f t="shared" si="253"/>
        <v>0.05</v>
      </c>
      <c r="AX575" s="240">
        <f t="shared" si="254"/>
        <v>0</v>
      </c>
      <c r="AY575" s="241" t="str">
        <f t="shared" si="255"/>
        <v/>
      </c>
      <c r="AZ575" s="242" t="str">
        <f>IFERROR(VLOOKUP(M575,'[1]Base Brasil Obras'!$C$2:$F$485,4,0),"")</f>
        <v/>
      </c>
      <c r="BA575" s="243">
        <f t="shared" si="256"/>
        <v>0</v>
      </c>
      <c r="BB575" s="244">
        <f t="shared" si="257"/>
        <v>0</v>
      </c>
      <c r="BC575" s="244">
        <f t="shared" si="258"/>
        <v>0.05</v>
      </c>
      <c r="BD575" s="245">
        <f t="shared" si="259"/>
        <v>0.95</v>
      </c>
      <c r="BE575" s="246">
        <f t="shared" si="260"/>
        <v>0</v>
      </c>
      <c r="BF575" s="247">
        <v>0</v>
      </c>
      <c r="BG575" s="248">
        <f t="shared" si="261"/>
        <v>1</v>
      </c>
      <c r="BH575" s="198"/>
      <c r="BI575" s="198"/>
      <c r="BJ575" s="199"/>
      <c r="BK575" s="200"/>
      <c r="BL575" s="200"/>
      <c r="BM575" s="200"/>
      <c r="BN575" s="200"/>
      <c r="BO575" s="10"/>
    </row>
    <row r="576" spans="1:67" ht="18" x14ac:dyDescent="0.25">
      <c r="A576" s="201">
        <v>468</v>
      </c>
      <c r="B576" s="286"/>
      <c r="C576" s="203">
        <f t="shared" si="232"/>
        <v>0</v>
      </c>
      <c r="D576" s="204"/>
      <c r="E576" s="204"/>
      <c r="F576" s="207"/>
      <c r="G576" s="206"/>
      <c r="H576" s="207"/>
      <c r="I576" s="208" t="s">
        <v>125</v>
      </c>
      <c r="J576" s="208" t="s">
        <v>126</v>
      </c>
      <c r="K576" s="287"/>
      <c r="L576" s="288"/>
      <c r="M576" s="289"/>
      <c r="N576" s="257"/>
      <c r="O576" s="213"/>
      <c r="P576" s="214"/>
      <c r="Q576" s="214"/>
      <c r="R576" s="214"/>
      <c r="S576" s="214"/>
      <c r="T576" s="214"/>
      <c r="U576" s="215">
        <f t="shared" si="233"/>
        <v>0</v>
      </c>
      <c r="V576" s="216" t="str">
        <f t="shared" si="234"/>
        <v/>
      </c>
      <c r="W576" s="217" t="str">
        <f t="shared" si="235"/>
        <v/>
      </c>
      <c r="X576" s="218" t="s">
        <v>20</v>
      </c>
      <c r="Y576" s="219" t="str">
        <f t="shared" si="236"/>
        <v>0 um/Dia</v>
      </c>
      <c r="Z576" s="220" t="str">
        <f t="shared" si="237"/>
        <v xml:space="preserve"> um / HH</v>
      </c>
      <c r="AA576" s="221" t="str">
        <f t="shared" si="238"/>
        <v/>
      </c>
      <c r="AB576" s="222" t="str">
        <f t="shared" si="239"/>
        <v>0 um /HH</v>
      </c>
      <c r="AC576" s="223">
        <f t="shared" si="240"/>
        <v>0</v>
      </c>
      <c r="AD576" s="224"/>
      <c r="AE576" s="225"/>
      <c r="AF576" s="226">
        <f t="shared" si="241"/>
        <v>0</v>
      </c>
      <c r="AG576" s="227">
        <f t="shared" si="242"/>
        <v>0</v>
      </c>
      <c r="AH576" s="228" t="s">
        <v>25</v>
      </c>
      <c r="AI576" s="229" t="str">
        <f t="shared" si="197"/>
        <v>Extremamente Complexa</v>
      </c>
      <c r="AJ576" s="230" t="str">
        <f t="shared" si="198"/>
        <v>Normal</v>
      </c>
      <c r="AK576" s="231">
        <f t="shared" si="243"/>
        <v>0</v>
      </c>
      <c r="AL576" s="232" t="str">
        <f t="shared" si="244"/>
        <v/>
      </c>
      <c r="AM576" s="233" t="str">
        <f t="shared" si="245"/>
        <v/>
      </c>
      <c r="AN576" s="233" t="str">
        <f t="shared" si="246"/>
        <v/>
      </c>
      <c r="AO576" s="234">
        <f t="shared" si="247"/>
        <v>0</v>
      </c>
      <c r="AP576" s="235">
        <f t="shared" si="231"/>
        <v>1</v>
      </c>
      <c r="AQ576" s="235">
        <f t="shared" si="231"/>
        <v>1</v>
      </c>
      <c r="AR576" s="236">
        <f t="shared" si="248"/>
        <v>1</v>
      </c>
      <c r="AS576" s="251">
        <f t="shared" si="249"/>
        <v>0</v>
      </c>
      <c r="AT576" s="238">
        <f t="shared" si="250"/>
        <v>0</v>
      </c>
      <c r="AU576" s="239">
        <f t="shared" si="251"/>
        <v>0</v>
      </c>
      <c r="AV576" s="239">
        <f t="shared" si="252"/>
        <v>0</v>
      </c>
      <c r="AW576" s="239">
        <f t="shared" si="253"/>
        <v>0.05</v>
      </c>
      <c r="AX576" s="240">
        <f t="shared" si="254"/>
        <v>0</v>
      </c>
      <c r="AY576" s="241" t="str">
        <f t="shared" si="255"/>
        <v/>
      </c>
      <c r="AZ576" s="242" t="str">
        <f>IFERROR(VLOOKUP(M576,'[1]Base Brasil Obras'!$C$2:$F$485,4,0),"")</f>
        <v/>
      </c>
      <c r="BA576" s="243">
        <f t="shared" si="256"/>
        <v>0</v>
      </c>
      <c r="BB576" s="244">
        <f t="shared" si="257"/>
        <v>0</v>
      </c>
      <c r="BC576" s="244">
        <f t="shared" si="258"/>
        <v>0.05</v>
      </c>
      <c r="BD576" s="245">
        <f t="shared" si="259"/>
        <v>0.95</v>
      </c>
      <c r="BE576" s="246">
        <f t="shared" si="260"/>
        <v>0</v>
      </c>
      <c r="BF576" s="247">
        <v>0</v>
      </c>
      <c r="BG576" s="248">
        <f t="shared" si="261"/>
        <v>1</v>
      </c>
      <c r="BH576" s="198"/>
      <c r="BI576" s="198"/>
      <c r="BJ576" s="199"/>
      <c r="BK576" s="200"/>
      <c r="BL576" s="200"/>
      <c r="BM576" s="200"/>
      <c r="BN576" s="200"/>
      <c r="BO576" s="10"/>
    </row>
    <row r="577" spans="1:67" ht="18" x14ac:dyDescent="0.25">
      <c r="A577" s="201">
        <v>469</v>
      </c>
      <c r="B577" s="286"/>
      <c r="C577" s="203">
        <f t="shared" si="232"/>
        <v>0</v>
      </c>
      <c r="D577" s="204"/>
      <c r="E577" s="204"/>
      <c r="F577" s="207"/>
      <c r="G577" s="206"/>
      <c r="H577" s="207"/>
      <c r="I577" s="208" t="s">
        <v>125</v>
      </c>
      <c r="J577" s="208" t="s">
        <v>126</v>
      </c>
      <c r="K577" s="287"/>
      <c r="L577" s="288"/>
      <c r="M577" s="289"/>
      <c r="N577" s="257"/>
      <c r="O577" s="213"/>
      <c r="P577" s="214"/>
      <c r="Q577" s="214"/>
      <c r="R577" s="214"/>
      <c r="S577" s="214"/>
      <c r="T577" s="214"/>
      <c r="U577" s="215">
        <f t="shared" si="233"/>
        <v>0</v>
      </c>
      <c r="V577" s="216" t="str">
        <f t="shared" si="234"/>
        <v/>
      </c>
      <c r="W577" s="217" t="str">
        <f t="shared" si="235"/>
        <v/>
      </c>
      <c r="X577" s="218" t="s">
        <v>20</v>
      </c>
      <c r="Y577" s="219" t="str">
        <f t="shared" si="236"/>
        <v>0 um/Dia</v>
      </c>
      <c r="Z577" s="220" t="str">
        <f t="shared" si="237"/>
        <v xml:space="preserve"> um / HH</v>
      </c>
      <c r="AA577" s="221" t="str">
        <f t="shared" si="238"/>
        <v/>
      </c>
      <c r="AB577" s="222" t="str">
        <f t="shared" si="239"/>
        <v>0 um /HH</v>
      </c>
      <c r="AC577" s="223">
        <f t="shared" si="240"/>
        <v>0</v>
      </c>
      <c r="AD577" s="224"/>
      <c r="AE577" s="225"/>
      <c r="AF577" s="226">
        <f t="shared" si="241"/>
        <v>0</v>
      </c>
      <c r="AG577" s="227">
        <f t="shared" si="242"/>
        <v>0</v>
      </c>
      <c r="AH577" s="228" t="s">
        <v>25</v>
      </c>
      <c r="AI577" s="229" t="str">
        <f t="shared" si="197"/>
        <v>Extremamente Complexa</v>
      </c>
      <c r="AJ577" s="230" t="str">
        <f t="shared" si="198"/>
        <v>Normal</v>
      </c>
      <c r="AK577" s="231">
        <f t="shared" si="243"/>
        <v>0</v>
      </c>
      <c r="AL577" s="232" t="str">
        <f t="shared" si="244"/>
        <v/>
      </c>
      <c r="AM577" s="233" t="str">
        <f t="shared" si="245"/>
        <v/>
      </c>
      <c r="AN577" s="233" t="str">
        <f t="shared" si="246"/>
        <v/>
      </c>
      <c r="AO577" s="234">
        <f t="shared" si="247"/>
        <v>0</v>
      </c>
      <c r="AP577" s="235">
        <f t="shared" si="231"/>
        <v>1</v>
      </c>
      <c r="AQ577" s="235">
        <f t="shared" si="231"/>
        <v>1</v>
      </c>
      <c r="AR577" s="235">
        <f t="shared" si="248"/>
        <v>1</v>
      </c>
      <c r="AS577" s="252">
        <f t="shared" si="249"/>
        <v>0</v>
      </c>
      <c r="AT577" s="238">
        <f t="shared" si="250"/>
        <v>0</v>
      </c>
      <c r="AU577" s="239">
        <f t="shared" si="251"/>
        <v>0</v>
      </c>
      <c r="AV577" s="239">
        <f t="shared" si="252"/>
        <v>0</v>
      </c>
      <c r="AW577" s="239">
        <f t="shared" si="253"/>
        <v>0.05</v>
      </c>
      <c r="AX577" s="240">
        <f t="shared" si="254"/>
        <v>0</v>
      </c>
      <c r="AY577" s="241" t="str">
        <f t="shared" si="255"/>
        <v/>
      </c>
      <c r="AZ577" s="242" t="str">
        <f>IFERROR(VLOOKUP(M577,'[1]Base Brasil Obras'!$C$2:$F$485,4,0),"")</f>
        <v/>
      </c>
      <c r="BA577" s="243">
        <f t="shared" si="256"/>
        <v>0</v>
      </c>
      <c r="BB577" s="244">
        <f t="shared" si="257"/>
        <v>0</v>
      </c>
      <c r="BC577" s="244">
        <f t="shared" si="258"/>
        <v>0.05</v>
      </c>
      <c r="BD577" s="245">
        <f t="shared" si="259"/>
        <v>0.95</v>
      </c>
      <c r="BE577" s="246">
        <f t="shared" si="260"/>
        <v>0</v>
      </c>
      <c r="BF577" s="247">
        <v>0</v>
      </c>
      <c r="BG577" s="248">
        <f t="shared" si="261"/>
        <v>1</v>
      </c>
      <c r="BH577" s="198"/>
      <c r="BI577" s="198"/>
      <c r="BJ577" s="199"/>
      <c r="BK577" s="200"/>
      <c r="BL577" s="200"/>
      <c r="BM577" s="200"/>
      <c r="BN577" s="200"/>
      <c r="BO577" s="10"/>
    </row>
    <row r="578" spans="1:67" ht="18" x14ac:dyDescent="0.25">
      <c r="A578" s="201">
        <v>470</v>
      </c>
      <c r="B578" s="286"/>
      <c r="C578" s="203">
        <f t="shared" si="232"/>
        <v>0</v>
      </c>
      <c r="D578" s="204"/>
      <c r="E578" s="204"/>
      <c r="F578" s="207"/>
      <c r="G578" s="206"/>
      <c r="H578" s="207"/>
      <c r="I578" s="208" t="s">
        <v>125</v>
      </c>
      <c r="J578" s="208" t="s">
        <v>126</v>
      </c>
      <c r="K578" s="287"/>
      <c r="L578" s="288"/>
      <c r="M578" s="289"/>
      <c r="N578" s="257"/>
      <c r="O578" s="213"/>
      <c r="P578" s="214"/>
      <c r="Q578" s="214"/>
      <c r="R578" s="214"/>
      <c r="S578" s="214"/>
      <c r="T578" s="214"/>
      <c r="U578" s="215">
        <f t="shared" si="233"/>
        <v>0</v>
      </c>
      <c r="V578" s="216" t="str">
        <f t="shared" si="234"/>
        <v/>
      </c>
      <c r="W578" s="217" t="str">
        <f t="shared" si="235"/>
        <v/>
      </c>
      <c r="X578" s="218" t="s">
        <v>20</v>
      </c>
      <c r="Y578" s="219" t="str">
        <f t="shared" si="236"/>
        <v>0 um/Dia</v>
      </c>
      <c r="Z578" s="220" t="str">
        <f t="shared" si="237"/>
        <v xml:space="preserve"> um / HH</v>
      </c>
      <c r="AA578" s="221" t="str">
        <f t="shared" si="238"/>
        <v/>
      </c>
      <c r="AB578" s="222" t="str">
        <f t="shared" si="239"/>
        <v>0 um /HH</v>
      </c>
      <c r="AC578" s="223">
        <f t="shared" si="240"/>
        <v>0</v>
      </c>
      <c r="AD578" s="224"/>
      <c r="AE578" s="225"/>
      <c r="AF578" s="226">
        <f t="shared" si="241"/>
        <v>0</v>
      </c>
      <c r="AG578" s="227">
        <f t="shared" si="242"/>
        <v>0</v>
      </c>
      <c r="AH578" s="228" t="s">
        <v>25</v>
      </c>
      <c r="AI578" s="229" t="str">
        <f t="shared" si="197"/>
        <v>Extremamente Complexa</v>
      </c>
      <c r="AJ578" s="230" t="str">
        <f t="shared" si="198"/>
        <v>Normal</v>
      </c>
      <c r="AK578" s="231">
        <f t="shared" si="243"/>
        <v>0</v>
      </c>
      <c r="AL578" s="232" t="str">
        <f t="shared" si="244"/>
        <v/>
      </c>
      <c r="AM578" s="233" t="str">
        <f t="shared" si="245"/>
        <v/>
      </c>
      <c r="AN578" s="233" t="str">
        <f t="shared" si="246"/>
        <v/>
      </c>
      <c r="AO578" s="234">
        <f t="shared" si="247"/>
        <v>0</v>
      </c>
      <c r="AP578" s="235">
        <f t="shared" si="231"/>
        <v>1</v>
      </c>
      <c r="AQ578" s="235">
        <f t="shared" si="231"/>
        <v>1</v>
      </c>
      <c r="AR578" s="236">
        <f t="shared" si="248"/>
        <v>1</v>
      </c>
      <c r="AS578" s="251">
        <f t="shared" si="249"/>
        <v>0</v>
      </c>
      <c r="AT578" s="238">
        <f t="shared" si="250"/>
        <v>0</v>
      </c>
      <c r="AU578" s="239">
        <f t="shared" si="251"/>
        <v>0</v>
      </c>
      <c r="AV578" s="239">
        <f t="shared" si="252"/>
        <v>0</v>
      </c>
      <c r="AW578" s="239">
        <f t="shared" si="253"/>
        <v>0.05</v>
      </c>
      <c r="AX578" s="240">
        <f t="shared" si="254"/>
        <v>0</v>
      </c>
      <c r="AY578" s="241" t="str">
        <f t="shared" si="255"/>
        <v/>
      </c>
      <c r="AZ578" s="242" t="str">
        <f>IFERROR(VLOOKUP(M578,'[1]Base Brasil Obras'!$C$2:$F$485,4,0),"")</f>
        <v/>
      </c>
      <c r="BA578" s="243">
        <f t="shared" si="256"/>
        <v>0</v>
      </c>
      <c r="BB578" s="244">
        <f t="shared" si="257"/>
        <v>0</v>
      </c>
      <c r="BC578" s="244">
        <f t="shared" si="258"/>
        <v>0.05</v>
      </c>
      <c r="BD578" s="245">
        <f t="shared" si="259"/>
        <v>0.95</v>
      </c>
      <c r="BE578" s="246">
        <f t="shared" si="260"/>
        <v>0</v>
      </c>
      <c r="BF578" s="247">
        <v>0</v>
      </c>
      <c r="BG578" s="248">
        <f t="shared" si="261"/>
        <v>1</v>
      </c>
      <c r="BH578" s="198"/>
      <c r="BI578" s="198"/>
      <c r="BJ578" s="199"/>
      <c r="BK578" s="200"/>
      <c r="BL578" s="200"/>
      <c r="BM578" s="200"/>
      <c r="BN578" s="200"/>
      <c r="BO578" s="10"/>
    </row>
    <row r="579" spans="1:67" ht="18" x14ac:dyDescent="0.25">
      <c r="A579" s="201">
        <v>471</v>
      </c>
      <c r="B579" s="286"/>
      <c r="C579" s="203">
        <f t="shared" si="232"/>
        <v>0</v>
      </c>
      <c r="D579" s="204"/>
      <c r="E579" s="204"/>
      <c r="F579" s="207"/>
      <c r="G579" s="206"/>
      <c r="H579" s="207"/>
      <c r="I579" s="208" t="s">
        <v>125</v>
      </c>
      <c r="J579" s="208" t="s">
        <v>126</v>
      </c>
      <c r="K579" s="287"/>
      <c r="L579" s="288"/>
      <c r="M579" s="289"/>
      <c r="N579" s="257"/>
      <c r="O579" s="213"/>
      <c r="P579" s="214"/>
      <c r="Q579" s="214"/>
      <c r="R579" s="214"/>
      <c r="S579" s="214"/>
      <c r="T579" s="214"/>
      <c r="U579" s="215">
        <f t="shared" si="233"/>
        <v>0</v>
      </c>
      <c r="V579" s="216" t="str">
        <f t="shared" si="234"/>
        <v/>
      </c>
      <c r="W579" s="217" t="str">
        <f t="shared" si="235"/>
        <v/>
      </c>
      <c r="X579" s="218" t="s">
        <v>20</v>
      </c>
      <c r="Y579" s="219" t="str">
        <f t="shared" si="236"/>
        <v>0 um/Dia</v>
      </c>
      <c r="Z579" s="220" t="str">
        <f t="shared" si="237"/>
        <v xml:space="preserve"> um / HH</v>
      </c>
      <c r="AA579" s="221" t="str">
        <f t="shared" si="238"/>
        <v/>
      </c>
      <c r="AB579" s="222" t="str">
        <f t="shared" si="239"/>
        <v>0 um /HH</v>
      </c>
      <c r="AC579" s="223">
        <f t="shared" si="240"/>
        <v>0</v>
      </c>
      <c r="AD579" s="224"/>
      <c r="AE579" s="225"/>
      <c r="AF579" s="226">
        <f t="shared" si="241"/>
        <v>0</v>
      </c>
      <c r="AG579" s="227">
        <f t="shared" si="242"/>
        <v>0</v>
      </c>
      <c r="AH579" s="228" t="s">
        <v>25</v>
      </c>
      <c r="AI579" s="229" t="str">
        <f t="shared" si="197"/>
        <v>Extremamente Complexa</v>
      </c>
      <c r="AJ579" s="230" t="str">
        <f t="shared" si="198"/>
        <v>Normal</v>
      </c>
      <c r="AK579" s="231">
        <f t="shared" si="243"/>
        <v>0</v>
      </c>
      <c r="AL579" s="232" t="str">
        <f t="shared" si="244"/>
        <v/>
      </c>
      <c r="AM579" s="233" t="str">
        <f t="shared" si="245"/>
        <v/>
      </c>
      <c r="AN579" s="233" t="str">
        <f t="shared" si="246"/>
        <v/>
      </c>
      <c r="AO579" s="234">
        <f t="shared" si="247"/>
        <v>0</v>
      </c>
      <c r="AP579" s="235">
        <f t="shared" si="231"/>
        <v>1</v>
      </c>
      <c r="AQ579" s="235">
        <f t="shared" si="231"/>
        <v>1</v>
      </c>
      <c r="AR579" s="235">
        <f t="shared" si="248"/>
        <v>1</v>
      </c>
      <c r="AS579" s="252">
        <f t="shared" si="249"/>
        <v>0</v>
      </c>
      <c r="AT579" s="238">
        <f t="shared" si="250"/>
        <v>0</v>
      </c>
      <c r="AU579" s="239">
        <f t="shared" si="251"/>
        <v>0</v>
      </c>
      <c r="AV579" s="239">
        <f t="shared" si="252"/>
        <v>0</v>
      </c>
      <c r="AW579" s="239">
        <f t="shared" si="253"/>
        <v>0.05</v>
      </c>
      <c r="AX579" s="240">
        <f t="shared" si="254"/>
        <v>0</v>
      </c>
      <c r="AY579" s="241" t="str">
        <f t="shared" si="255"/>
        <v/>
      </c>
      <c r="AZ579" s="242" t="str">
        <f>IFERROR(VLOOKUP(M579,'[1]Base Brasil Obras'!$C$2:$F$485,4,0),"")</f>
        <v/>
      </c>
      <c r="BA579" s="243">
        <f t="shared" si="256"/>
        <v>0</v>
      </c>
      <c r="BB579" s="244">
        <f t="shared" si="257"/>
        <v>0</v>
      </c>
      <c r="BC579" s="244">
        <f t="shared" si="258"/>
        <v>0.05</v>
      </c>
      <c r="BD579" s="245">
        <f t="shared" si="259"/>
        <v>0.95</v>
      </c>
      <c r="BE579" s="246">
        <f t="shared" si="260"/>
        <v>0</v>
      </c>
      <c r="BF579" s="247">
        <v>0</v>
      </c>
      <c r="BG579" s="248">
        <f t="shared" si="261"/>
        <v>1</v>
      </c>
      <c r="BH579" s="198"/>
      <c r="BI579" s="198"/>
      <c r="BJ579" s="199"/>
      <c r="BK579" s="200"/>
      <c r="BL579" s="200"/>
      <c r="BM579" s="200"/>
      <c r="BN579" s="200"/>
      <c r="BO579" s="10"/>
    </row>
    <row r="580" spans="1:67" ht="18" x14ac:dyDescent="0.25">
      <c r="A580" s="201">
        <v>472</v>
      </c>
      <c r="B580" s="286"/>
      <c r="C580" s="203">
        <f t="shared" si="232"/>
        <v>0</v>
      </c>
      <c r="D580" s="204"/>
      <c r="E580" s="204"/>
      <c r="F580" s="207"/>
      <c r="G580" s="206"/>
      <c r="H580" s="207"/>
      <c r="I580" s="208" t="s">
        <v>125</v>
      </c>
      <c r="J580" s="208" t="s">
        <v>126</v>
      </c>
      <c r="K580" s="287"/>
      <c r="L580" s="288"/>
      <c r="M580" s="289"/>
      <c r="N580" s="257"/>
      <c r="O580" s="213"/>
      <c r="P580" s="214"/>
      <c r="Q580" s="214"/>
      <c r="R580" s="214"/>
      <c r="S580" s="214"/>
      <c r="T580" s="214"/>
      <c r="U580" s="215">
        <f t="shared" si="233"/>
        <v>0</v>
      </c>
      <c r="V580" s="216" t="str">
        <f t="shared" si="234"/>
        <v/>
      </c>
      <c r="W580" s="217" t="str">
        <f t="shared" si="235"/>
        <v/>
      </c>
      <c r="X580" s="218" t="s">
        <v>20</v>
      </c>
      <c r="Y580" s="219" t="str">
        <f t="shared" si="236"/>
        <v>0 um/Dia</v>
      </c>
      <c r="Z580" s="220" t="str">
        <f t="shared" si="237"/>
        <v xml:space="preserve"> um / HH</v>
      </c>
      <c r="AA580" s="221" t="str">
        <f t="shared" si="238"/>
        <v/>
      </c>
      <c r="AB580" s="222" t="str">
        <f t="shared" si="239"/>
        <v>0 um /HH</v>
      </c>
      <c r="AC580" s="223">
        <f t="shared" si="240"/>
        <v>0</v>
      </c>
      <c r="AD580" s="224"/>
      <c r="AE580" s="225"/>
      <c r="AF580" s="226">
        <f t="shared" si="241"/>
        <v>0</v>
      </c>
      <c r="AG580" s="227">
        <f t="shared" si="242"/>
        <v>0</v>
      </c>
      <c r="AH580" s="228" t="s">
        <v>25</v>
      </c>
      <c r="AI580" s="229" t="str">
        <f t="shared" si="197"/>
        <v>Extremamente Complexa</v>
      </c>
      <c r="AJ580" s="230" t="str">
        <f t="shared" si="198"/>
        <v>Normal</v>
      </c>
      <c r="AK580" s="231">
        <f t="shared" si="243"/>
        <v>0</v>
      </c>
      <c r="AL580" s="232" t="str">
        <f t="shared" si="244"/>
        <v/>
      </c>
      <c r="AM580" s="233" t="str">
        <f t="shared" si="245"/>
        <v/>
      </c>
      <c r="AN580" s="233" t="str">
        <f t="shared" si="246"/>
        <v/>
      </c>
      <c r="AO580" s="234">
        <f t="shared" si="247"/>
        <v>0</v>
      </c>
      <c r="AP580" s="235">
        <f t="shared" si="231"/>
        <v>1</v>
      </c>
      <c r="AQ580" s="235">
        <f t="shared" si="231"/>
        <v>1</v>
      </c>
      <c r="AR580" s="236">
        <f t="shared" si="248"/>
        <v>1</v>
      </c>
      <c r="AS580" s="251">
        <f t="shared" si="249"/>
        <v>0</v>
      </c>
      <c r="AT580" s="238">
        <f t="shared" si="250"/>
        <v>0</v>
      </c>
      <c r="AU580" s="239">
        <f t="shared" si="251"/>
        <v>0</v>
      </c>
      <c r="AV580" s="239">
        <f t="shared" si="252"/>
        <v>0</v>
      </c>
      <c r="AW580" s="239">
        <f t="shared" si="253"/>
        <v>0.05</v>
      </c>
      <c r="AX580" s="240">
        <f t="shared" si="254"/>
        <v>0</v>
      </c>
      <c r="AY580" s="241" t="str">
        <f t="shared" si="255"/>
        <v/>
      </c>
      <c r="AZ580" s="242" t="str">
        <f>IFERROR(VLOOKUP(M580,'[1]Base Brasil Obras'!$C$2:$F$485,4,0),"")</f>
        <v/>
      </c>
      <c r="BA580" s="243">
        <f t="shared" si="256"/>
        <v>0</v>
      </c>
      <c r="BB580" s="244">
        <f t="shared" si="257"/>
        <v>0</v>
      </c>
      <c r="BC580" s="244">
        <f t="shared" si="258"/>
        <v>0.05</v>
      </c>
      <c r="BD580" s="245">
        <f t="shared" si="259"/>
        <v>0.95</v>
      </c>
      <c r="BE580" s="246">
        <f t="shared" si="260"/>
        <v>0</v>
      </c>
      <c r="BF580" s="247">
        <v>0</v>
      </c>
      <c r="BG580" s="248">
        <f t="shared" si="261"/>
        <v>1</v>
      </c>
      <c r="BH580" s="198"/>
      <c r="BI580" s="198"/>
      <c r="BJ580" s="199"/>
      <c r="BK580" s="200"/>
      <c r="BL580" s="200"/>
      <c r="BM580" s="200"/>
      <c r="BN580" s="200"/>
      <c r="BO580" s="10"/>
    </row>
    <row r="581" spans="1:67" ht="18" x14ac:dyDescent="0.25">
      <c r="A581" s="201">
        <v>473</v>
      </c>
      <c r="B581" s="286"/>
      <c r="C581" s="203">
        <f t="shared" si="232"/>
        <v>0</v>
      </c>
      <c r="D581" s="204"/>
      <c r="E581" s="204"/>
      <c r="F581" s="207"/>
      <c r="G581" s="206"/>
      <c r="H581" s="207"/>
      <c r="I581" s="208" t="s">
        <v>125</v>
      </c>
      <c r="J581" s="208" t="s">
        <v>126</v>
      </c>
      <c r="K581" s="287"/>
      <c r="L581" s="288"/>
      <c r="M581" s="289"/>
      <c r="N581" s="257"/>
      <c r="O581" s="213"/>
      <c r="P581" s="214"/>
      <c r="Q581" s="214"/>
      <c r="R581" s="214"/>
      <c r="S581" s="214"/>
      <c r="T581" s="214"/>
      <c r="U581" s="215">
        <f t="shared" si="233"/>
        <v>0</v>
      </c>
      <c r="V581" s="216" t="str">
        <f t="shared" si="234"/>
        <v/>
      </c>
      <c r="W581" s="217" t="str">
        <f t="shared" si="235"/>
        <v/>
      </c>
      <c r="X581" s="218" t="s">
        <v>20</v>
      </c>
      <c r="Y581" s="219" t="str">
        <f t="shared" si="236"/>
        <v>0 um/Dia</v>
      </c>
      <c r="Z581" s="220" t="str">
        <f t="shared" si="237"/>
        <v xml:space="preserve"> um / HH</v>
      </c>
      <c r="AA581" s="221" t="str">
        <f t="shared" si="238"/>
        <v/>
      </c>
      <c r="AB581" s="222" t="str">
        <f t="shared" si="239"/>
        <v>0 um /HH</v>
      </c>
      <c r="AC581" s="223">
        <f t="shared" si="240"/>
        <v>0</v>
      </c>
      <c r="AD581" s="224"/>
      <c r="AE581" s="225"/>
      <c r="AF581" s="226">
        <f t="shared" si="241"/>
        <v>0</v>
      </c>
      <c r="AG581" s="227">
        <f t="shared" si="242"/>
        <v>0</v>
      </c>
      <c r="AH581" s="228" t="s">
        <v>25</v>
      </c>
      <c r="AI581" s="229" t="str">
        <f t="shared" si="197"/>
        <v>Extremamente Complexa</v>
      </c>
      <c r="AJ581" s="230" t="str">
        <f t="shared" si="198"/>
        <v>Normal</v>
      </c>
      <c r="AK581" s="231">
        <f t="shared" si="243"/>
        <v>0</v>
      </c>
      <c r="AL581" s="232" t="str">
        <f t="shared" si="244"/>
        <v/>
      </c>
      <c r="AM581" s="233" t="str">
        <f t="shared" si="245"/>
        <v/>
      </c>
      <c r="AN581" s="233" t="str">
        <f t="shared" si="246"/>
        <v/>
      </c>
      <c r="AO581" s="234">
        <f t="shared" si="247"/>
        <v>0</v>
      </c>
      <c r="AP581" s="235">
        <f t="shared" si="231"/>
        <v>1</v>
      </c>
      <c r="AQ581" s="235">
        <f t="shared" si="231"/>
        <v>1</v>
      </c>
      <c r="AR581" s="235">
        <f t="shared" si="248"/>
        <v>1</v>
      </c>
      <c r="AS581" s="252">
        <f t="shared" si="249"/>
        <v>0</v>
      </c>
      <c r="AT581" s="238">
        <f t="shared" si="250"/>
        <v>0</v>
      </c>
      <c r="AU581" s="239">
        <f t="shared" si="251"/>
        <v>0</v>
      </c>
      <c r="AV581" s="239">
        <f t="shared" si="252"/>
        <v>0</v>
      </c>
      <c r="AW581" s="239">
        <f t="shared" si="253"/>
        <v>0.05</v>
      </c>
      <c r="AX581" s="240">
        <f t="shared" si="254"/>
        <v>0</v>
      </c>
      <c r="AY581" s="241" t="str">
        <f t="shared" si="255"/>
        <v/>
      </c>
      <c r="AZ581" s="242" t="str">
        <f>IFERROR(VLOOKUP(M581,'[1]Base Brasil Obras'!$C$2:$F$485,4,0),"")</f>
        <v/>
      </c>
      <c r="BA581" s="243">
        <f t="shared" si="256"/>
        <v>0</v>
      </c>
      <c r="BB581" s="244">
        <f t="shared" si="257"/>
        <v>0</v>
      </c>
      <c r="BC581" s="244">
        <f t="shared" si="258"/>
        <v>0.05</v>
      </c>
      <c r="BD581" s="245">
        <f t="shared" si="259"/>
        <v>0.95</v>
      </c>
      <c r="BE581" s="246">
        <f t="shared" si="260"/>
        <v>0</v>
      </c>
      <c r="BF581" s="247">
        <v>0</v>
      </c>
      <c r="BG581" s="248">
        <f t="shared" si="261"/>
        <v>1</v>
      </c>
      <c r="BH581" s="198"/>
      <c r="BI581" s="198"/>
      <c r="BJ581" s="199"/>
      <c r="BK581" s="200"/>
      <c r="BL581" s="200"/>
      <c r="BM581" s="200"/>
      <c r="BN581" s="200"/>
      <c r="BO581" s="10"/>
    </row>
    <row r="582" spans="1:67" ht="18" x14ac:dyDescent="0.25">
      <c r="A582" s="201">
        <v>474</v>
      </c>
      <c r="B582" s="286"/>
      <c r="C582" s="203">
        <f t="shared" si="232"/>
        <v>0</v>
      </c>
      <c r="D582" s="204"/>
      <c r="E582" s="204"/>
      <c r="F582" s="207"/>
      <c r="G582" s="206"/>
      <c r="H582" s="207"/>
      <c r="I582" s="208" t="s">
        <v>125</v>
      </c>
      <c r="J582" s="208" t="s">
        <v>126</v>
      </c>
      <c r="K582" s="287"/>
      <c r="L582" s="288"/>
      <c r="M582" s="289"/>
      <c r="N582" s="257"/>
      <c r="O582" s="213"/>
      <c r="P582" s="214"/>
      <c r="Q582" s="214"/>
      <c r="R582" s="214"/>
      <c r="S582" s="214"/>
      <c r="T582" s="214"/>
      <c r="U582" s="215">
        <f t="shared" si="233"/>
        <v>0</v>
      </c>
      <c r="V582" s="216" t="str">
        <f t="shared" si="234"/>
        <v/>
      </c>
      <c r="W582" s="217" t="str">
        <f t="shared" si="235"/>
        <v/>
      </c>
      <c r="X582" s="218" t="s">
        <v>20</v>
      </c>
      <c r="Y582" s="219" t="str">
        <f t="shared" si="236"/>
        <v>0 um/Dia</v>
      </c>
      <c r="Z582" s="220" t="str">
        <f t="shared" si="237"/>
        <v xml:space="preserve"> um / HH</v>
      </c>
      <c r="AA582" s="221" t="str">
        <f t="shared" si="238"/>
        <v/>
      </c>
      <c r="AB582" s="222" t="str">
        <f t="shared" si="239"/>
        <v>0 um /HH</v>
      </c>
      <c r="AC582" s="223">
        <f t="shared" si="240"/>
        <v>0</v>
      </c>
      <c r="AD582" s="224"/>
      <c r="AE582" s="225"/>
      <c r="AF582" s="226">
        <f t="shared" si="241"/>
        <v>0</v>
      </c>
      <c r="AG582" s="227">
        <f t="shared" si="242"/>
        <v>0</v>
      </c>
      <c r="AH582" s="228" t="s">
        <v>25</v>
      </c>
      <c r="AI582" s="229" t="str">
        <f t="shared" si="197"/>
        <v>Extremamente Complexa</v>
      </c>
      <c r="AJ582" s="230" t="str">
        <f t="shared" si="198"/>
        <v>Normal</v>
      </c>
      <c r="AK582" s="231">
        <f t="shared" si="243"/>
        <v>0</v>
      </c>
      <c r="AL582" s="232" t="str">
        <f t="shared" si="244"/>
        <v/>
      </c>
      <c r="AM582" s="233" t="str">
        <f t="shared" si="245"/>
        <v/>
      </c>
      <c r="AN582" s="233" t="str">
        <f t="shared" si="246"/>
        <v/>
      </c>
      <c r="AO582" s="234">
        <f t="shared" si="247"/>
        <v>0</v>
      </c>
      <c r="AP582" s="235">
        <f t="shared" si="231"/>
        <v>1</v>
      </c>
      <c r="AQ582" s="235">
        <f t="shared" si="231"/>
        <v>1</v>
      </c>
      <c r="AR582" s="236">
        <f t="shared" si="248"/>
        <v>1</v>
      </c>
      <c r="AS582" s="251">
        <f t="shared" si="249"/>
        <v>0</v>
      </c>
      <c r="AT582" s="238">
        <f t="shared" si="250"/>
        <v>0</v>
      </c>
      <c r="AU582" s="239">
        <f t="shared" si="251"/>
        <v>0</v>
      </c>
      <c r="AV582" s="239">
        <f t="shared" si="252"/>
        <v>0</v>
      </c>
      <c r="AW582" s="239">
        <f t="shared" si="253"/>
        <v>0.05</v>
      </c>
      <c r="AX582" s="240">
        <f t="shared" si="254"/>
        <v>0</v>
      </c>
      <c r="AY582" s="241" t="str">
        <f t="shared" si="255"/>
        <v/>
      </c>
      <c r="AZ582" s="242" t="str">
        <f>IFERROR(VLOOKUP(M582,'[1]Base Brasil Obras'!$C$2:$F$485,4,0),"")</f>
        <v/>
      </c>
      <c r="BA582" s="243">
        <f t="shared" si="256"/>
        <v>0</v>
      </c>
      <c r="BB582" s="244">
        <f t="shared" si="257"/>
        <v>0</v>
      </c>
      <c r="BC582" s="244">
        <f t="shared" si="258"/>
        <v>0.05</v>
      </c>
      <c r="BD582" s="245">
        <f t="shared" si="259"/>
        <v>0.95</v>
      </c>
      <c r="BE582" s="246">
        <f t="shared" si="260"/>
        <v>0</v>
      </c>
      <c r="BF582" s="247">
        <v>0</v>
      </c>
      <c r="BG582" s="248">
        <f t="shared" si="261"/>
        <v>1</v>
      </c>
      <c r="BH582" s="198"/>
      <c r="BI582" s="198"/>
      <c r="BJ582" s="199"/>
      <c r="BK582" s="200"/>
      <c r="BL582" s="200"/>
      <c r="BM582" s="200"/>
      <c r="BN582" s="200"/>
      <c r="BO582" s="10"/>
    </row>
    <row r="583" spans="1:67" ht="18" x14ac:dyDescent="0.25">
      <c r="A583" s="201">
        <v>475</v>
      </c>
      <c r="B583" s="286"/>
      <c r="C583" s="203">
        <f t="shared" si="232"/>
        <v>0</v>
      </c>
      <c r="D583" s="204"/>
      <c r="E583" s="204"/>
      <c r="F583" s="207"/>
      <c r="G583" s="206"/>
      <c r="H583" s="207"/>
      <c r="I583" s="208" t="s">
        <v>125</v>
      </c>
      <c r="J583" s="208" t="s">
        <v>126</v>
      </c>
      <c r="K583" s="287"/>
      <c r="L583" s="288"/>
      <c r="M583" s="289"/>
      <c r="N583" s="257"/>
      <c r="O583" s="213"/>
      <c r="P583" s="214"/>
      <c r="Q583" s="214"/>
      <c r="R583" s="214"/>
      <c r="S583" s="214"/>
      <c r="T583" s="214"/>
      <c r="U583" s="215">
        <f t="shared" si="233"/>
        <v>0</v>
      </c>
      <c r="V583" s="216" t="str">
        <f t="shared" si="234"/>
        <v/>
      </c>
      <c r="W583" s="217" t="str">
        <f t="shared" si="235"/>
        <v/>
      </c>
      <c r="X583" s="218" t="s">
        <v>20</v>
      </c>
      <c r="Y583" s="219" t="str">
        <f t="shared" si="236"/>
        <v>0 um/Dia</v>
      </c>
      <c r="Z583" s="220" t="str">
        <f t="shared" si="237"/>
        <v xml:space="preserve"> um / HH</v>
      </c>
      <c r="AA583" s="221" t="str">
        <f t="shared" si="238"/>
        <v/>
      </c>
      <c r="AB583" s="222" t="str">
        <f t="shared" si="239"/>
        <v>0 um /HH</v>
      </c>
      <c r="AC583" s="223">
        <f t="shared" si="240"/>
        <v>0</v>
      </c>
      <c r="AD583" s="224"/>
      <c r="AE583" s="225"/>
      <c r="AF583" s="226">
        <f t="shared" si="241"/>
        <v>0</v>
      </c>
      <c r="AG583" s="227">
        <f t="shared" si="242"/>
        <v>0</v>
      </c>
      <c r="AH583" s="228" t="s">
        <v>25</v>
      </c>
      <c r="AI583" s="229" t="str">
        <f t="shared" si="197"/>
        <v>Extremamente Complexa</v>
      </c>
      <c r="AJ583" s="230" t="str">
        <f t="shared" si="198"/>
        <v>Normal</v>
      </c>
      <c r="AK583" s="231">
        <f t="shared" si="243"/>
        <v>0</v>
      </c>
      <c r="AL583" s="232" t="str">
        <f t="shared" si="244"/>
        <v/>
      </c>
      <c r="AM583" s="233" t="str">
        <f t="shared" si="245"/>
        <v/>
      </c>
      <c r="AN583" s="233" t="str">
        <f t="shared" si="246"/>
        <v/>
      </c>
      <c r="AO583" s="234">
        <f t="shared" si="247"/>
        <v>0</v>
      </c>
      <c r="AP583" s="235">
        <f t="shared" si="231"/>
        <v>1</v>
      </c>
      <c r="AQ583" s="235">
        <f t="shared" si="231"/>
        <v>1</v>
      </c>
      <c r="AR583" s="235">
        <f t="shared" si="248"/>
        <v>1</v>
      </c>
      <c r="AS583" s="252">
        <f t="shared" si="249"/>
        <v>0</v>
      </c>
      <c r="AT583" s="238">
        <f t="shared" si="250"/>
        <v>0</v>
      </c>
      <c r="AU583" s="239">
        <f t="shared" si="251"/>
        <v>0</v>
      </c>
      <c r="AV583" s="239">
        <f t="shared" si="252"/>
        <v>0</v>
      </c>
      <c r="AW583" s="239">
        <f t="shared" si="253"/>
        <v>0.05</v>
      </c>
      <c r="AX583" s="240">
        <f t="shared" si="254"/>
        <v>0</v>
      </c>
      <c r="AY583" s="241" t="str">
        <f t="shared" si="255"/>
        <v/>
      </c>
      <c r="AZ583" s="242" t="str">
        <f>IFERROR(VLOOKUP(M583,'[1]Base Brasil Obras'!$C$2:$F$485,4,0),"")</f>
        <v/>
      </c>
      <c r="BA583" s="243">
        <f t="shared" si="256"/>
        <v>0</v>
      </c>
      <c r="BB583" s="244">
        <f t="shared" si="257"/>
        <v>0</v>
      </c>
      <c r="BC583" s="244">
        <f t="shared" si="258"/>
        <v>0.05</v>
      </c>
      <c r="BD583" s="245">
        <f t="shared" si="259"/>
        <v>0.95</v>
      </c>
      <c r="BE583" s="246">
        <f t="shared" si="260"/>
        <v>0</v>
      </c>
      <c r="BF583" s="247">
        <v>0</v>
      </c>
      <c r="BG583" s="248">
        <f t="shared" si="261"/>
        <v>1</v>
      </c>
      <c r="BH583" s="198"/>
      <c r="BI583" s="198"/>
      <c r="BJ583" s="199"/>
      <c r="BK583" s="200"/>
      <c r="BL583" s="200"/>
      <c r="BM583" s="200"/>
      <c r="BN583" s="200"/>
      <c r="BO583" s="10"/>
    </row>
    <row r="584" spans="1:67" ht="18" x14ac:dyDescent="0.25">
      <c r="A584" s="201">
        <v>476</v>
      </c>
      <c r="B584" s="286"/>
      <c r="C584" s="203">
        <f t="shared" si="232"/>
        <v>0</v>
      </c>
      <c r="D584" s="204"/>
      <c r="E584" s="204"/>
      <c r="F584" s="207"/>
      <c r="G584" s="206"/>
      <c r="H584" s="207"/>
      <c r="I584" s="208" t="s">
        <v>125</v>
      </c>
      <c r="J584" s="208" t="s">
        <v>126</v>
      </c>
      <c r="K584" s="287"/>
      <c r="L584" s="288"/>
      <c r="M584" s="289"/>
      <c r="N584" s="257"/>
      <c r="O584" s="213"/>
      <c r="P584" s="214"/>
      <c r="Q584" s="214"/>
      <c r="R584" s="214"/>
      <c r="S584" s="214"/>
      <c r="T584" s="214"/>
      <c r="U584" s="215">
        <f t="shared" si="233"/>
        <v>0</v>
      </c>
      <c r="V584" s="216" t="str">
        <f t="shared" si="234"/>
        <v/>
      </c>
      <c r="W584" s="217" t="str">
        <f t="shared" si="235"/>
        <v/>
      </c>
      <c r="X584" s="218" t="s">
        <v>20</v>
      </c>
      <c r="Y584" s="219" t="str">
        <f t="shared" si="236"/>
        <v>0 um/Dia</v>
      </c>
      <c r="Z584" s="220" t="str">
        <f t="shared" si="237"/>
        <v xml:space="preserve"> um / HH</v>
      </c>
      <c r="AA584" s="221" t="str">
        <f t="shared" si="238"/>
        <v/>
      </c>
      <c r="AB584" s="222" t="str">
        <f t="shared" si="239"/>
        <v>0 um /HH</v>
      </c>
      <c r="AC584" s="223">
        <f t="shared" si="240"/>
        <v>0</v>
      </c>
      <c r="AD584" s="224"/>
      <c r="AE584" s="225"/>
      <c r="AF584" s="226">
        <f t="shared" si="241"/>
        <v>0</v>
      </c>
      <c r="AG584" s="227">
        <f t="shared" si="242"/>
        <v>0</v>
      </c>
      <c r="AH584" s="228" t="s">
        <v>25</v>
      </c>
      <c r="AI584" s="229" t="str">
        <f t="shared" si="197"/>
        <v>Extremamente Complexa</v>
      </c>
      <c r="AJ584" s="230" t="str">
        <f t="shared" si="198"/>
        <v>Normal</v>
      </c>
      <c r="AK584" s="231">
        <f t="shared" si="243"/>
        <v>0</v>
      </c>
      <c r="AL584" s="232" t="str">
        <f t="shared" si="244"/>
        <v/>
      </c>
      <c r="AM584" s="233" t="str">
        <f t="shared" si="245"/>
        <v/>
      </c>
      <c r="AN584" s="233" t="str">
        <f t="shared" si="246"/>
        <v/>
      </c>
      <c r="AO584" s="234">
        <f t="shared" si="247"/>
        <v>0</v>
      </c>
      <c r="AP584" s="235">
        <f t="shared" ref="AP584:AQ599" si="262">IFERROR(VLOOKUP(I584,$J$1070:$K$1089,2,1),0)</f>
        <v>1</v>
      </c>
      <c r="AQ584" s="235">
        <f t="shared" si="262"/>
        <v>1</v>
      </c>
      <c r="AR584" s="236">
        <f t="shared" si="248"/>
        <v>1</v>
      </c>
      <c r="AS584" s="251">
        <f t="shared" si="249"/>
        <v>0</v>
      </c>
      <c r="AT584" s="238">
        <f t="shared" si="250"/>
        <v>0</v>
      </c>
      <c r="AU584" s="239">
        <f t="shared" si="251"/>
        <v>0</v>
      </c>
      <c r="AV584" s="239">
        <f t="shared" si="252"/>
        <v>0</v>
      </c>
      <c r="AW584" s="239">
        <f t="shared" si="253"/>
        <v>0.05</v>
      </c>
      <c r="AX584" s="240">
        <f t="shared" si="254"/>
        <v>0</v>
      </c>
      <c r="AY584" s="241" t="str">
        <f t="shared" si="255"/>
        <v/>
      </c>
      <c r="AZ584" s="242" t="str">
        <f>IFERROR(VLOOKUP(M584,'[1]Base Brasil Obras'!$C$2:$F$485,4,0),"")</f>
        <v/>
      </c>
      <c r="BA584" s="243">
        <f t="shared" si="256"/>
        <v>0</v>
      </c>
      <c r="BB584" s="244">
        <f t="shared" si="257"/>
        <v>0</v>
      </c>
      <c r="BC584" s="244">
        <f t="shared" si="258"/>
        <v>0.05</v>
      </c>
      <c r="BD584" s="245">
        <f t="shared" si="259"/>
        <v>0.95</v>
      </c>
      <c r="BE584" s="246">
        <f t="shared" si="260"/>
        <v>0</v>
      </c>
      <c r="BF584" s="247">
        <v>0</v>
      </c>
      <c r="BG584" s="248">
        <f t="shared" si="261"/>
        <v>1</v>
      </c>
      <c r="BH584" s="198"/>
      <c r="BI584" s="198"/>
      <c r="BJ584" s="199"/>
      <c r="BK584" s="200"/>
      <c r="BL584" s="200"/>
      <c r="BM584" s="200"/>
      <c r="BN584" s="200"/>
      <c r="BO584" s="10"/>
    </row>
    <row r="585" spans="1:67" ht="18" x14ac:dyDescent="0.25">
      <c r="A585" s="201">
        <v>477</v>
      </c>
      <c r="B585" s="286"/>
      <c r="C585" s="203">
        <f t="shared" si="232"/>
        <v>0</v>
      </c>
      <c r="D585" s="204"/>
      <c r="E585" s="204"/>
      <c r="F585" s="207"/>
      <c r="G585" s="206"/>
      <c r="H585" s="207"/>
      <c r="I585" s="208" t="s">
        <v>125</v>
      </c>
      <c r="J585" s="208" t="s">
        <v>126</v>
      </c>
      <c r="K585" s="287"/>
      <c r="L585" s="288"/>
      <c r="M585" s="289"/>
      <c r="N585" s="257"/>
      <c r="O585" s="213"/>
      <c r="P585" s="214"/>
      <c r="Q585" s="214"/>
      <c r="R585" s="214"/>
      <c r="S585" s="214"/>
      <c r="T585" s="214"/>
      <c r="U585" s="215">
        <f t="shared" si="233"/>
        <v>0</v>
      </c>
      <c r="V585" s="216" t="str">
        <f t="shared" si="234"/>
        <v/>
      </c>
      <c r="W585" s="217" t="str">
        <f t="shared" si="235"/>
        <v/>
      </c>
      <c r="X585" s="218" t="s">
        <v>20</v>
      </c>
      <c r="Y585" s="219" t="str">
        <f t="shared" si="236"/>
        <v>0 um/Dia</v>
      </c>
      <c r="Z585" s="220" t="str">
        <f t="shared" si="237"/>
        <v xml:space="preserve"> um / HH</v>
      </c>
      <c r="AA585" s="221" t="str">
        <f t="shared" si="238"/>
        <v/>
      </c>
      <c r="AB585" s="222" t="str">
        <f t="shared" si="239"/>
        <v>0 um /HH</v>
      </c>
      <c r="AC585" s="223">
        <f t="shared" si="240"/>
        <v>0</v>
      </c>
      <c r="AD585" s="224"/>
      <c r="AE585" s="225"/>
      <c r="AF585" s="226">
        <f t="shared" si="241"/>
        <v>0</v>
      </c>
      <c r="AG585" s="227">
        <f t="shared" si="242"/>
        <v>0</v>
      </c>
      <c r="AH585" s="228" t="s">
        <v>25</v>
      </c>
      <c r="AI585" s="229" t="str">
        <f t="shared" si="197"/>
        <v>Extremamente Complexa</v>
      </c>
      <c r="AJ585" s="230" t="str">
        <f t="shared" si="198"/>
        <v>Normal</v>
      </c>
      <c r="AK585" s="231">
        <f t="shared" si="243"/>
        <v>0</v>
      </c>
      <c r="AL585" s="232" t="str">
        <f t="shared" si="244"/>
        <v/>
      </c>
      <c r="AM585" s="233" t="str">
        <f t="shared" si="245"/>
        <v/>
      </c>
      <c r="AN585" s="233" t="str">
        <f t="shared" si="246"/>
        <v/>
      </c>
      <c r="AO585" s="234">
        <f t="shared" si="247"/>
        <v>0</v>
      </c>
      <c r="AP585" s="235">
        <f t="shared" si="262"/>
        <v>1</v>
      </c>
      <c r="AQ585" s="235">
        <f t="shared" si="262"/>
        <v>1</v>
      </c>
      <c r="AR585" s="235">
        <f t="shared" si="248"/>
        <v>1</v>
      </c>
      <c r="AS585" s="252">
        <f t="shared" si="249"/>
        <v>0</v>
      </c>
      <c r="AT585" s="238">
        <f t="shared" si="250"/>
        <v>0</v>
      </c>
      <c r="AU585" s="239">
        <f t="shared" si="251"/>
        <v>0</v>
      </c>
      <c r="AV585" s="239">
        <f t="shared" si="252"/>
        <v>0</v>
      </c>
      <c r="AW585" s="239">
        <f t="shared" si="253"/>
        <v>0.05</v>
      </c>
      <c r="AX585" s="240">
        <f t="shared" si="254"/>
        <v>0</v>
      </c>
      <c r="AY585" s="241" t="str">
        <f t="shared" si="255"/>
        <v/>
      </c>
      <c r="AZ585" s="242" t="str">
        <f>IFERROR(VLOOKUP(M585,'[1]Base Brasil Obras'!$C$2:$F$485,4,0),"")</f>
        <v/>
      </c>
      <c r="BA585" s="243">
        <f t="shared" si="256"/>
        <v>0</v>
      </c>
      <c r="BB585" s="244">
        <f t="shared" si="257"/>
        <v>0</v>
      </c>
      <c r="BC585" s="244">
        <f t="shared" si="258"/>
        <v>0.05</v>
      </c>
      <c r="BD585" s="245">
        <f t="shared" si="259"/>
        <v>0.95</v>
      </c>
      <c r="BE585" s="246">
        <f t="shared" si="260"/>
        <v>0</v>
      </c>
      <c r="BF585" s="247">
        <v>0</v>
      </c>
      <c r="BG585" s="248">
        <f t="shared" si="261"/>
        <v>1</v>
      </c>
      <c r="BH585" s="198"/>
      <c r="BI585" s="198"/>
      <c r="BJ585" s="199"/>
      <c r="BK585" s="200"/>
      <c r="BL585" s="200"/>
      <c r="BM585" s="200"/>
      <c r="BN585" s="200"/>
      <c r="BO585" s="10"/>
    </row>
    <row r="586" spans="1:67" ht="18" x14ac:dyDescent="0.25">
      <c r="A586" s="201">
        <v>478</v>
      </c>
      <c r="B586" s="286"/>
      <c r="C586" s="203">
        <f t="shared" si="232"/>
        <v>0</v>
      </c>
      <c r="D586" s="204"/>
      <c r="E586" s="204"/>
      <c r="F586" s="207"/>
      <c r="G586" s="206"/>
      <c r="H586" s="207"/>
      <c r="I586" s="208" t="s">
        <v>125</v>
      </c>
      <c r="J586" s="208" t="s">
        <v>126</v>
      </c>
      <c r="K586" s="287"/>
      <c r="L586" s="288"/>
      <c r="M586" s="289"/>
      <c r="N586" s="257"/>
      <c r="O586" s="213"/>
      <c r="P586" s="214"/>
      <c r="Q586" s="214"/>
      <c r="R586" s="214"/>
      <c r="S586" s="214"/>
      <c r="T586" s="214"/>
      <c r="U586" s="215">
        <f t="shared" si="233"/>
        <v>0</v>
      </c>
      <c r="V586" s="216" t="str">
        <f t="shared" si="234"/>
        <v/>
      </c>
      <c r="W586" s="217" t="str">
        <f t="shared" si="235"/>
        <v/>
      </c>
      <c r="X586" s="218" t="s">
        <v>20</v>
      </c>
      <c r="Y586" s="219" t="str">
        <f t="shared" si="236"/>
        <v>0 um/Dia</v>
      </c>
      <c r="Z586" s="220" t="str">
        <f t="shared" si="237"/>
        <v xml:space="preserve"> um / HH</v>
      </c>
      <c r="AA586" s="221" t="str">
        <f t="shared" si="238"/>
        <v/>
      </c>
      <c r="AB586" s="222" t="str">
        <f t="shared" si="239"/>
        <v>0 um /HH</v>
      </c>
      <c r="AC586" s="223">
        <f t="shared" si="240"/>
        <v>0</v>
      </c>
      <c r="AD586" s="224"/>
      <c r="AE586" s="225"/>
      <c r="AF586" s="226">
        <f t="shared" si="241"/>
        <v>0</v>
      </c>
      <c r="AG586" s="227">
        <f t="shared" si="242"/>
        <v>0</v>
      </c>
      <c r="AH586" s="228" t="s">
        <v>25</v>
      </c>
      <c r="AI586" s="229" t="str">
        <f t="shared" si="197"/>
        <v>Extremamente Complexa</v>
      </c>
      <c r="AJ586" s="230" t="str">
        <f t="shared" si="198"/>
        <v>Normal</v>
      </c>
      <c r="AK586" s="231">
        <f t="shared" si="243"/>
        <v>0</v>
      </c>
      <c r="AL586" s="232" t="str">
        <f t="shared" si="244"/>
        <v/>
      </c>
      <c r="AM586" s="233" t="str">
        <f t="shared" si="245"/>
        <v/>
      </c>
      <c r="AN586" s="233" t="str">
        <f t="shared" si="246"/>
        <v/>
      </c>
      <c r="AO586" s="234">
        <f t="shared" si="247"/>
        <v>0</v>
      </c>
      <c r="AP586" s="235">
        <f t="shared" si="262"/>
        <v>1</v>
      </c>
      <c r="AQ586" s="235">
        <f t="shared" si="262"/>
        <v>1</v>
      </c>
      <c r="AR586" s="236">
        <f t="shared" si="248"/>
        <v>1</v>
      </c>
      <c r="AS586" s="251">
        <f t="shared" si="249"/>
        <v>0</v>
      </c>
      <c r="AT586" s="238">
        <f t="shared" si="250"/>
        <v>0</v>
      </c>
      <c r="AU586" s="239">
        <f t="shared" si="251"/>
        <v>0</v>
      </c>
      <c r="AV586" s="239">
        <f t="shared" si="252"/>
        <v>0</v>
      </c>
      <c r="AW586" s="239">
        <f t="shared" si="253"/>
        <v>0.05</v>
      </c>
      <c r="AX586" s="240">
        <f t="shared" si="254"/>
        <v>0</v>
      </c>
      <c r="AY586" s="241" t="str">
        <f t="shared" si="255"/>
        <v/>
      </c>
      <c r="AZ586" s="242" t="str">
        <f>IFERROR(VLOOKUP(M586,'[1]Base Brasil Obras'!$C$2:$F$485,4,0),"")</f>
        <v/>
      </c>
      <c r="BA586" s="243">
        <f t="shared" si="256"/>
        <v>0</v>
      </c>
      <c r="BB586" s="244">
        <f t="shared" si="257"/>
        <v>0</v>
      </c>
      <c r="BC586" s="244">
        <f t="shared" si="258"/>
        <v>0.05</v>
      </c>
      <c r="BD586" s="245">
        <f t="shared" si="259"/>
        <v>0.95</v>
      </c>
      <c r="BE586" s="246">
        <f t="shared" si="260"/>
        <v>0</v>
      </c>
      <c r="BF586" s="247">
        <v>0</v>
      </c>
      <c r="BG586" s="248">
        <f t="shared" si="261"/>
        <v>1</v>
      </c>
      <c r="BH586" s="198"/>
      <c r="BI586" s="198"/>
      <c r="BJ586" s="199"/>
      <c r="BK586" s="200"/>
      <c r="BL586" s="200"/>
      <c r="BM586" s="200"/>
      <c r="BN586" s="200"/>
      <c r="BO586" s="10"/>
    </row>
    <row r="587" spans="1:67" ht="18" x14ac:dyDescent="0.25">
      <c r="A587" s="201">
        <v>479</v>
      </c>
      <c r="B587" s="286"/>
      <c r="C587" s="203">
        <f t="shared" si="232"/>
        <v>0</v>
      </c>
      <c r="D587" s="204"/>
      <c r="E587" s="204"/>
      <c r="F587" s="207"/>
      <c r="G587" s="206"/>
      <c r="H587" s="207"/>
      <c r="I587" s="208" t="s">
        <v>125</v>
      </c>
      <c r="J587" s="208" t="s">
        <v>126</v>
      </c>
      <c r="K587" s="287"/>
      <c r="L587" s="288"/>
      <c r="M587" s="289"/>
      <c r="N587" s="257"/>
      <c r="O587" s="213"/>
      <c r="P587" s="214"/>
      <c r="Q587" s="214"/>
      <c r="R587" s="214"/>
      <c r="S587" s="214"/>
      <c r="T587" s="214"/>
      <c r="U587" s="215">
        <f t="shared" si="233"/>
        <v>0</v>
      </c>
      <c r="V587" s="216" t="str">
        <f t="shared" si="234"/>
        <v/>
      </c>
      <c r="W587" s="217" t="str">
        <f t="shared" si="235"/>
        <v/>
      </c>
      <c r="X587" s="218" t="s">
        <v>20</v>
      </c>
      <c r="Y587" s="219" t="str">
        <f t="shared" si="236"/>
        <v>0 um/Dia</v>
      </c>
      <c r="Z587" s="220" t="str">
        <f t="shared" si="237"/>
        <v xml:space="preserve"> um / HH</v>
      </c>
      <c r="AA587" s="221" t="str">
        <f t="shared" si="238"/>
        <v/>
      </c>
      <c r="AB587" s="222" t="str">
        <f t="shared" si="239"/>
        <v>0 um /HH</v>
      </c>
      <c r="AC587" s="223">
        <f t="shared" si="240"/>
        <v>0</v>
      </c>
      <c r="AD587" s="224"/>
      <c r="AE587" s="225"/>
      <c r="AF587" s="226">
        <f t="shared" si="241"/>
        <v>0</v>
      </c>
      <c r="AG587" s="227">
        <f t="shared" si="242"/>
        <v>0</v>
      </c>
      <c r="AH587" s="228" t="s">
        <v>25</v>
      </c>
      <c r="AI587" s="229" t="str">
        <f t="shared" si="197"/>
        <v>Extremamente Complexa</v>
      </c>
      <c r="AJ587" s="230" t="str">
        <f t="shared" si="198"/>
        <v>Normal</v>
      </c>
      <c r="AK587" s="231">
        <f t="shared" si="243"/>
        <v>0</v>
      </c>
      <c r="AL587" s="232" t="str">
        <f t="shared" si="244"/>
        <v/>
      </c>
      <c r="AM587" s="233" t="str">
        <f t="shared" si="245"/>
        <v/>
      </c>
      <c r="AN587" s="233" t="str">
        <f t="shared" si="246"/>
        <v/>
      </c>
      <c r="AO587" s="234">
        <f t="shared" si="247"/>
        <v>0</v>
      </c>
      <c r="AP587" s="235">
        <f t="shared" si="262"/>
        <v>1</v>
      </c>
      <c r="AQ587" s="235">
        <f t="shared" si="262"/>
        <v>1</v>
      </c>
      <c r="AR587" s="235">
        <f t="shared" si="248"/>
        <v>1</v>
      </c>
      <c r="AS587" s="252">
        <f t="shared" si="249"/>
        <v>0</v>
      </c>
      <c r="AT587" s="238">
        <f t="shared" si="250"/>
        <v>0</v>
      </c>
      <c r="AU587" s="239">
        <f t="shared" si="251"/>
        <v>0</v>
      </c>
      <c r="AV587" s="239">
        <f t="shared" si="252"/>
        <v>0</v>
      </c>
      <c r="AW587" s="239">
        <f t="shared" si="253"/>
        <v>0.05</v>
      </c>
      <c r="AX587" s="240">
        <f t="shared" si="254"/>
        <v>0</v>
      </c>
      <c r="AY587" s="241" t="str">
        <f t="shared" si="255"/>
        <v/>
      </c>
      <c r="AZ587" s="242" t="str">
        <f>IFERROR(VLOOKUP(M587,'[1]Base Brasil Obras'!$C$2:$F$485,4,0),"")</f>
        <v/>
      </c>
      <c r="BA587" s="243">
        <f t="shared" si="256"/>
        <v>0</v>
      </c>
      <c r="BB587" s="244">
        <f t="shared" si="257"/>
        <v>0</v>
      </c>
      <c r="BC587" s="244">
        <f t="shared" si="258"/>
        <v>0.05</v>
      </c>
      <c r="BD587" s="245">
        <f t="shared" si="259"/>
        <v>0.95</v>
      </c>
      <c r="BE587" s="246">
        <f t="shared" si="260"/>
        <v>0</v>
      </c>
      <c r="BF587" s="247">
        <v>0</v>
      </c>
      <c r="BG587" s="248">
        <f t="shared" si="261"/>
        <v>1</v>
      </c>
      <c r="BH587" s="198"/>
      <c r="BI587" s="198"/>
      <c r="BJ587" s="199"/>
      <c r="BK587" s="200"/>
      <c r="BL587" s="200"/>
      <c r="BM587" s="200"/>
      <c r="BN587" s="200"/>
      <c r="BO587" s="10"/>
    </row>
    <row r="588" spans="1:67" ht="18" x14ac:dyDescent="0.25">
      <c r="A588" s="201">
        <v>480</v>
      </c>
      <c r="B588" s="286"/>
      <c r="C588" s="203">
        <f t="shared" si="232"/>
        <v>0</v>
      </c>
      <c r="D588" s="204"/>
      <c r="E588" s="204"/>
      <c r="F588" s="207"/>
      <c r="G588" s="206"/>
      <c r="H588" s="207"/>
      <c r="I588" s="208" t="s">
        <v>125</v>
      </c>
      <c r="J588" s="208" t="s">
        <v>126</v>
      </c>
      <c r="K588" s="287"/>
      <c r="L588" s="288"/>
      <c r="M588" s="289"/>
      <c r="N588" s="257"/>
      <c r="O588" s="213"/>
      <c r="P588" s="214"/>
      <c r="Q588" s="214"/>
      <c r="R588" s="214"/>
      <c r="S588" s="214"/>
      <c r="T588" s="214"/>
      <c r="U588" s="215">
        <f t="shared" si="233"/>
        <v>0</v>
      </c>
      <c r="V588" s="216" t="str">
        <f t="shared" si="234"/>
        <v/>
      </c>
      <c r="W588" s="217" t="str">
        <f t="shared" si="235"/>
        <v/>
      </c>
      <c r="X588" s="218" t="s">
        <v>20</v>
      </c>
      <c r="Y588" s="219" t="str">
        <f t="shared" si="236"/>
        <v>0 um/Dia</v>
      </c>
      <c r="Z588" s="220" t="str">
        <f t="shared" si="237"/>
        <v xml:space="preserve"> um / HH</v>
      </c>
      <c r="AA588" s="221" t="str">
        <f t="shared" si="238"/>
        <v/>
      </c>
      <c r="AB588" s="222" t="str">
        <f t="shared" si="239"/>
        <v>0 um /HH</v>
      </c>
      <c r="AC588" s="223">
        <f t="shared" si="240"/>
        <v>0</v>
      </c>
      <c r="AD588" s="224"/>
      <c r="AE588" s="225"/>
      <c r="AF588" s="226">
        <f t="shared" si="241"/>
        <v>0</v>
      </c>
      <c r="AG588" s="227">
        <f t="shared" si="242"/>
        <v>0</v>
      </c>
      <c r="AH588" s="228" t="s">
        <v>25</v>
      </c>
      <c r="AI588" s="229" t="str">
        <f t="shared" si="197"/>
        <v>Extremamente Complexa</v>
      </c>
      <c r="AJ588" s="230" t="str">
        <f t="shared" si="198"/>
        <v>Normal</v>
      </c>
      <c r="AK588" s="231">
        <f t="shared" si="243"/>
        <v>0</v>
      </c>
      <c r="AL588" s="232" t="str">
        <f t="shared" si="244"/>
        <v/>
      </c>
      <c r="AM588" s="233" t="str">
        <f t="shared" si="245"/>
        <v/>
      </c>
      <c r="AN588" s="233" t="str">
        <f t="shared" si="246"/>
        <v/>
      </c>
      <c r="AO588" s="234">
        <f t="shared" si="247"/>
        <v>0</v>
      </c>
      <c r="AP588" s="235">
        <f t="shared" si="262"/>
        <v>1</v>
      </c>
      <c r="AQ588" s="235">
        <f t="shared" si="262"/>
        <v>1</v>
      </c>
      <c r="AR588" s="236">
        <f t="shared" si="248"/>
        <v>1</v>
      </c>
      <c r="AS588" s="251">
        <f t="shared" si="249"/>
        <v>0</v>
      </c>
      <c r="AT588" s="238">
        <f t="shared" si="250"/>
        <v>0</v>
      </c>
      <c r="AU588" s="239">
        <f t="shared" si="251"/>
        <v>0</v>
      </c>
      <c r="AV588" s="239">
        <f t="shared" si="252"/>
        <v>0</v>
      </c>
      <c r="AW588" s="239">
        <f t="shared" si="253"/>
        <v>0.05</v>
      </c>
      <c r="AX588" s="240">
        <f t="shared" si="254"/>
        <v>0</v>
      </c>
      <c r="AY588" s="241" t="str">
        <f t="shared" si="255"/>
        <v/>
      </c>
      <c r="AZ588" s="242" t="str">
        <f>IFERROR(VLOOKUP(M588,'[1]Base Brasil Obras'!$C$2:$F$485,4,0),"")</f>
        <v/>
      </c>
      <c r="BA588" s="243">
        <f t="shared" si="256"/>
        <v>0</v>
      </c>
      <c r="BB588" s="244">
        <f t="shared" si="257"/>
        <v>0</v>
      </c>
      <c r="BC588" s="244">
        <f t="shared" si="258"/>
        <v>0.05</v>
      </c>
      <c r="BD588" s="245">
        <f t="shared" si="259"/>
        <v>0.95</v>
      </c>
      <c r="BE588" s="246">
        <f t="shared" si="260"/>
        <v>0</v>
      </c>
      <c r="BF588" s="247">
        <v>0</v>
      </c>
      <c r="BG588" s="248">
        <f t="shared" si="261"/>
        <v>1</v>
      </c>
      <c r="BH588" s="198"/>
      <c r="BI588" s="198"/>
      <c r="BJ588" s="199"/>
      <c r="BK588" s="200"/>
      <c r="BL588" s="200"/>
      <c r="BM588" s="200"/>
      <c r="BN588" s="200"/>
      <c r="BO588" s="10"/>
    </row>
    <row r="589" spans="1:67" ht="18" x14ac:dyDescent="0.25">
      <c r="A589" s="201">
        <v>481</v>
      </c>
      <c r="B589" s="286"/>
      <c r="C589" s="203">
        <f t="shared" si="232"/>
        <v>0</v>
      </c>
      <c r="D589" s="204"/>
      <c r="E589" s="204"/>
      <c r="F589" s="207"/>
      <c r="G589" s="206"/>
      <c r="H589" s="207"/>
      <c r="I589" s="208" t="s">
        <v>125</v>
      </c>
      <c r="J589" s="208" t="s">
        <v>126</v>
      </c>
      <c r="K589" s="287"/>
      <c r="L589" s="288"/>
      <c r="M589" s="289"/>
      <c r="N589" s="257"/>
      <c r="O589" s="213"/>
      <c r="P589" s="214"/>
      <c r="Q589" s="214"/>
      <c r="R589" s="214"/>
      <c r="S589" s="214"/>
      <c r="T589" s="214"/>
      <c r="U589" s="215">
        <f t="shared" si="233"/>
        <v>0</v>
      </c>
      <c r="V589" s="216" t="str">
        <f t="shared" si="234"/>
        <v/>
      </c>
      <c r="W589" s="217" t="str">
        <f t="shared" si="235"/>
        <v/>
      </c>
      <c r="X589" s="218" t="s">
        <v>20</v>
      </c>
      <c r="Y589" s="219" t="str">
        <f t="shared" si="236"/>
        <v>0 um/Dia</v>
      </c>
      <c r="Z589" s="220" t="str">
        <f t="shared" si="237"/>
        <v xml:space="preserve"> um / HH</v>
      </c>
      <c r="AA589" s="221" t="str">
        <f t="shared" si="238"/>
        <v/>
      </c>
      <c r="AB589" s="222" t="str">
        <f t="shared" si="239"/>
        <v>0 um /HH</v>
      </c>
      <c r="AC589" s="223">
        <f t="shared" si="240"/>
        <v>0</v>
      </c>
      <c r="AD589" s="224"/>
      <c r="AE589" s="225"/>
      <c r="AF589" s="226">
        <f t="shared" si="241"/>
        <v>0</v>
      </c>
      <c r="AG589" s="227">
        <f t="shared" si="242"/>
        <v>0</v>
      </c>
      <c r="AH589" s="228" t="s">
        <v>25</v>
      </c>
      <c r="AI589" s="229" t="str">
        <f t="shared" si="197"/>
        <v>Extremamente Complexa</v>
      </c>
      <c r="AJ589" s="230" t="str">
        <f t="shared" si="198"/>
        <v>Normal</v>
      </c>
      <c r="AK589" s="231">
        <f t="shared" si="243"/>
        <v>0</v>
      </c>
      <c r="AL589" s="232" t="str">
        <f t="shared" si="244"/>
        <v/>
      </c>
      <c r="AM589" s="233" t="str">
        <f t="shared" si="245"/>
        <v/>
      </c>
      <c r="AN589" s="233" t="str">
        <f t="shared" si="246"/>
        <v/>
      </c>
      <c r="AO589" s="234">
        <f t="shared" si="247"/>
        <v>0</v>
      </c>
      <c r="AP589" s="235">
        <f t="shared" si="262"/>
        <v>1</v>
      </c>
      <c r="AQ589" s="235">
        <f t="shared" si="262"/>
        <v>1</v>
      </c>
      <c r="AR589" s="235">
        <f t="shared" si="248"/>
        <v>1</v>
      </c>
      <c r="AS589" s="252">
        <f t="shared" si="249"/>
        <v>0</v>
      </c>
      <c r="AT589" s="238">
        <f t="shared" si="250"/>
        <v>0</v>
      </c>
      <c r="AU589" s="239">
        <f t="shared" si="251"/>
        <v>0</v>
      </c>
      <c r="AV589" s="239">
        <f t="shared" si="252"/>
        <v>0</v>
      </c>
      <c r="AW589" s="239">
        <f t="shared" si="253"/>
        <v>0.05</v>
      </c>
      <c r="AX589" s="240">
        <f t="shared" si="254"/>
        <v>0</v>
      </c>
      <c r="AY589" s="241" t="str">
        <f t="shared" si="255"/>
        <v/>
      </c>
      <c r="AZ589" s="242" t="str">
        <f>IFERROR(VLOOKUP(M589,'[1]Base Brasil Obras'!$C$2:$F$485,4,0),"")</f>
        <v/>
      </c>
      <c r="BA589" s="243">
        <f t="shared" si="256"/>
        <v>0</v>
      </c>
      <c r="BB589" s="244">
        <f t="shared" si="257"/>
        <v>0</v>
      </c>
      <c r="BC589" s="244">
        <f t="shared" si="258"/>
        <v>0.05</v>
      </c>
      <c r="BD589" s="245">
        <f t="shared" si="259"/>
        <v>0.95</v>
      </c>
      <c r="BE589" s="246">
        <f t="shared" si="260"/>
        <v>0</v>
      </c>
      <c r="BF589" s="247">
        <v>0</v>
      </c>
      <c r="BG589" s="248">
        <f t="shared" si="261"/>
        <v>1</v>
      </c>
      <c r="BH589" s="198"/>
      <c r="BI589" s="198"/>
      <c r="BJ589" s="199"/>
      <c r="BK589" s="200"/>
      <c r="BL589" s="200"/>
      <c r="BM589" s="200"/>
      <c r="BN589" s="200"/>
      <c r="BO589" s="10"/>
    </row>
    <row r="590" spans="1:67" ht="18" x14ac:dyDescent="0.25">
      <c r="A590" s="201">
        <v>482</v>
      </c>
      <c r="B590" s="286"/>
      <c r="C590" s="203">
        <f t="shared" si="232"/>
        <v>0</v>
      </c>
      <c r="D590" s="204"/>
      <c r="E590" s="204"/>
      <c r="F590" s="207"/>
      <c r="G590" s="206"/>
      <c r="H590" s="207"/>
      <c r="I590" s="208" t="s">
        <v>125</v>
      </c>
      <c r="J590" s="208" t="s">
        <v>126</v>
      </c>
      <c r="K590" s="287"/>
      <c r="L590" s="288"/>
      <c r="M590" s="289"/>
      <c r="N590" s="257"/>
      <c r="O590" s="213"/>
      <c r="P590" s="214"/>
      <c r="Q590" s="214"/>
      <c r="R590" s="214"/>
      <c r="S590" s="214"/>
      <c r="T590" s="214"/>
      <c r="U590" s="215">
        <f t="shared" si="233"/>
        <v>0</v>
      </c>
      <c r="V590" s="216" t="str">
        <f t="shared" si="234"/>
        <v/>
      </c>
      <c r="W590" s="217" t="str">
        <f t="shared" si="235"/>
        <v/>
      </c>
      <c r="X590" s="218" t="s">
        <v>20</v>
      </c>
      <c r="Y590" s="219" t="str">
        <f t="shared" si="236"/>
        <v>0 um/Dia</v>
      </c>
      <c r="Z590" s="220" t="str">
        <f t="shared" si="237"/>
        <v xml:space="preserve"> um / HH</v>
      </c>
      <c r="AA590" s="221" t="str">
        <f t="shared" si="238"/>
        <v/>
      </c>
      <c r="AB590" s="222" t="str">
        <f t="shared" si="239"/>
        <v>0 um /HH</v>
      </c>
      <c r="AC590" s="223">
        <f t="shared" si="240"/>
        <v>0</v>
      </c>
      <c r="AD590" s="224"/>
      <c r="AE590" s="225"/>
      <c r="AF590" s="226">
        <f t="shared" si="241"/>
        <v>0</v>
      </c>
      <c r="AG590" s="227">
        <f t="shared" si="242"/>
        <v>0</v>
      </c>
      <c r="AH590" s="228" t="s">
        <v>25</v>
      </c>
      <c r="AI590" s="229" t="str">
        <f t="shared" si="197"/>
        <v>Extremamente Complexa</v>
      </c>
      <c r="AJ590" s="230" t="str">
        <f t="shared" si="198"/>
        <v>Normal</v>
      </c>
      <c r="AK590" s="231">
        <f t="shared" si="243"/>
        <v>0</v>
      </c>
      <c r="AL590" s="232" t="str">
        <f t="shared" si="244"/>
        <v/>
      </c>
      <c r="AM590" s="233" t="str">
        <f t="shared" si="245"/>
        <v/>
      </c>
      <c r="AN590" s="233" t="str">
        <f t="shared" si="246"/>
        <v/>
      </c>
      <c r="AO590" s="234">
        <f t="shared" si="247"/>
        <v>0</v>
      </c>
      <c r="AP590" s="235">
        <f t="shared" si="262"/>
        <v>1</v>
      </c>
      <c r="AQ590" s="235">
        <f t="shared" si="262"/>
        <v>1</v>
      </c>
      <c r="AR590" s="236">
        <f t="shared" si="248"/>
        <v>1</v>
      </c>
      <c r="AS590" s="251">
        <f t="shared" si="249"/>
        <v>0</v>
      </c>
      <c r="AT590" s="238">
        <f t="shared" si="250"/>
        <v>0</v>
      </c>
      <c r="AU590" s="239">
        <f t="shared" si="251"/>
        <v>0</v>
      </c>
      <c r="AV590" s="239">
        <f t="shared" si="252"/>
        <v>0</v>
      </c>
      <c r="AW590" s="239">
        <f t="shared" si="253"/>
        <v>0.05</v>
      </c>
      <c r="AX590" s="240">
        <f t="shared" si="254"/>
        <v>0</v>
      </c>
      <c r="AY590" s="241" t="str">
        <f t="shared" si="255"/>
        <v/>
      </c>
      <c r="AZ590" s="242" t="str">
        <f>IFERROR(VLOOKUP(M590,'[1]Base Brasil Obras'!$C$2:$F$485,4,0),"")</f>
        <v/>
      </c>
      <c r="BA590" s="243">
        <f t="shared" si="256"/>
        <v>0</v>
      </c>
      <c r="BB590" s="244">
        <f t="shared" si="257"/>
        <v>0</v>
      </c>
      <c r="BC590" s="244">
        <f t="shared" si="258"/>
        <v>0.05</v>
      </c>
      <c r="BD590" s="245">
        <f t="shared" si="259"/>
        <v>0.95</v>
      </c>
      <c r="BE590" s="246">
        <f t="shared" si="260"/>
        <v>0</v>
      </c>
      <c r="BF590" s="247">
        <v>0</v>
      </c>
      <c r="BG590" s="248">
        <f t="shared" si="261"/>
        <v>1</v>
      </c>
      <c r="BH590" s="198"/>
      <c r="BI590" s="198"/>
      <c r="BJ590" s="199"/>
      <c r="BK590" s="200"/>
      <c r="BL590" s="200"/>
      <c r="BM590" s="200"/>
      <c r="BN590" s="200"/>
      <c r="BO590" s="10"/>
    </row>
    <row r="591" spans="1:67" ht="18" x14ac:dyDescent="0.25">
      <c r="A591" s="201">
        <v>483</v>
      </c>
      <c r="B591" s="286"/>
      <c r="C591" s="203">
        <f t="shared" si="232"/>
        <v>0</v>
      </c>
      <c r="D591" s="204"/>
      <c r="E591" s="204"/>
      <c r="F591" s="207"/>
      <c r="G591" s="206"/>
      <c r="H591" s="207"/>
      <c r="I591" s="208" t="s">
        <v>125</v>
      </c>
      <c r="J591" s="208" t="s">
        <v>126</v>
      </c>
      <c r="K591" s="287"/>
      <c r="L591" s="288"/>
      <c r="M591" s="289"/>
      <c r="N591" s="257"/>
      <c r="O591" s="213"/>
      <c r="P591" s="214"/>
      <c r="Q591" s="214"/>
      <c r="R591" s="214"/>
      <c r="S591" s="214"/>
      <c r="T591" s="214"/>
      <c r="U591" s="215">
        <f t="shared" si="233"/>
        <v>0</v>
      </c>
      <c r="V591" s="216" t="str">
        <f t="shared" si="234"/>
        <v/>
      </c>
      <c r="W591" s="217" t="str">
        <f t="shared" si="235"/>
        <v/>
      </c>
      <c r="X591" s="218" t="s">
        <v>20</v>
      </c>
      <c r="Y591" s="219" t="str">
        <f t="shared" si="236"/>
        <v>0 um/Dia</v>
      </c>
      <c r="Z591" s="220" t="str">
        <f t="shared" si="237"/>
        <v xml:space="preserve"> um / HH</v>
      </c>
      <c r="AA591" s="221" t="str">
        <f t="shared" si="238"/>
        <v/>
      </c>
      <c r="AB591" s="222" t="str">
        <f t="shared" si="239"/>
        <v>0 um /HH</v>
      </c>
      <c r="AC591" s="223">
        <f t="shared" si="240"/>
        <v>0</v>
      </c>
      <c r="AD591" s="224"/>
      <c r="AE591" s="225"/>
      <c r="AF591" s="226">
        <f t="shared" si="241"/>
        <v>0</v>
      </c>
      <c r="AG591" s="227">
        <f t="shared" si="242"/>
        <v>0</v>
      </c>
      <c r="AH591" s="228" t="s">
        <v>25</v>
      </c>
      <c r="AI591" s="229" t="str">
        <f t="shared" si="197"/>
        <v>Extremamente Complexa</v>
      </c>
      <c r="AJ591" s="230" t="str">
        <f t="shared" si="198"/>
        <v>Normal</v>
      </c>
      <c r="AK591" s="231">
        <f t="shared" si="243"/>
        <v>0</v>
      </c>
      <c r="AL591" s="232" t="str">
        <f t="shared" si="244"/>
        <v/>
      </c>
      <c r="AM591" s="233" t="str">
        <f t="shared" si="245"/>
        <v/>
      </c>
      <c r="AN591" s="233" t="str">
        <f t="shared" si="246"/>
        <v/>
      </c>
      <c r="AO591" s="234">
        <f t="shared" si="247"/>
        <v>0</v>
      </c>
      <c r="AP591" s="235">
        <f t="shared" si="262"/>
        <v>1</v>
      </c>
      <c r="AQ591" s="235">
        <f t="shared" si="262"/>
        <v>1</v>
      </c>
      <c r="AR591" s="235">
        <f t="shared" si="248"/>
        <v>1</v>
      </c>
      <c r="AS591" s="252">
        <f t="shared" si="249"/>
        <v>0</v>
      </c>
      <c r="AT591" s="238">
        <f t="shared" si="250"/>
        <v>0</v>
      </c>
      <c r="AU591" s="239">
        <f t="shared" si="251"/>
        <v>0</v>
      </c>
      <c r="AV591" s="239">
        <f t="shared" si="252"/>
        <v>0</v>
      </c>
      <c r="AW591" s="239">
        <f t="shared" si="253"/>
        <v>0.05</v>
      </c>
      <c r="AX591" s="240">
        <f t="shared" si="254"/>
        <v>0</v>
      </c>
      <c r="AY591" s="241" t="str">
        <f t="shared" si="255"/>
        <v/>
      </c>
      <c r="AZ591" s="242" t="str">
        <f>IFERROR(VLOOKUP(M591,'[1]Base Brasil Obras'!$C$2:$F$485,4,0),"")</f>
        <v/>
      </c>
      <c r="BA591" s="243">
        <f t="shared" si="256"/>
        <v>0</v>
      </c>
      <c r="BB591" s="244">
        <f t="shared" si="257"/>
        <v>0</v>
      </c>
      <c r="BC591" s="244">
        <f t="shared" si="258"/>
        <v>0.05</v>
      </c>
      <c r="BD591" s="245">
        <f t="shared" si="259"/>
        <v>0.95</v>
      </c>
      <c r="BE591" s="246">
        <f t="shared" si="260"/>
        <v>0</v>
      </c>
      <c r="BF591" s="247">
        <v>0</v>
      </c>
      <c r="BG591" s="248">
        <f t="shared" si="261"/>
        <v>1</v>
      </c>
      <c r="BH591" s="198"/>
      <c r="BI591" s="198"/>
      <c r="BJ591" s="199"/>
      <c r="BK591" s="200"/>
      <c r="BL591" s="200"/>
      <c r="BM591" s="200"/>
      <c r="BN591" s="200"/>
      <c r="BO591" s="10"/>
    </row>
    <row r="592" spans="1:67" ht="18" x14ac:dyDescent="0.25">
      <c r="A592" s="201">
        <v>484</v>
      </c>
      <c r="B592" s="286"/>
      <c r="C592" s="203">
        <f t="shared" si="232"/>
        <v>0</v>
      </c>
      <c r="D592" s="204"/>
      <c r="E592" s="204"/>
      <c r="F592" s="207"/>
      <c r="G592" s="206"/>
      <c r="H592" s="207"/>
      <c r="I592" s="208" t="s">
        <v>125</v>
      </c>
      <c r="J592" s="208" t="s">
        <v>126</v>
      </c>
      <c r="K592" s="287"/>
      <c r="L592" s="288"/>
      <c r="M592" s="289"/>
      <c r="N592" s="257"/>
      <c r="O592" s="213"/>
      <c r="P592" s="214"/>
      <c r="Q592" s="214"/>
      <c r="R592" s="214"/>
      <c r="S592" s="214"/>
      <c r="T592" s="214"/>
      <c r="U592" s="215">
        <f t="shared" si="233"/>
        <v>0</v>
      </c>
      <c r="V592" s="216" t="str">
        <f t="shared" si="234"/>
        <v/>
      </c>
      <c r="W592" s="217" t="str">
        <f t="shared" si="235"/>
        <v/>
      </c>
      <c r="X592" s="218" t="s">
        <v>20</v>
      </c>
      <c r="Y592" s="219" t="str">
        <f t="shared" si="236"/>
        <v>0 um/Dia</v>
      </c>
      <c r="Z592" s="220" t="str">
        <f t="shared" si="237"/>
        <v xml:space="preserve"> um / HH</v>
      </c>
      <c r="AA592" s="221" t="str">
        <f t="shared" si="238"/>
        <v/>
      </c>
      <c r="AB592" s="222" t="str">
        <f t="shared" si="239"/>
        <v>0 um /HH</v>
      </c>
      <c r="AC592" s="223">
        <f t="shared" si="240"/>
        <v>0</v>
      </c>
      <c r="AD592" s="224"/>
      <c r="AE592" s="225"/>
      <c r="AF592" s="226">
        <f t="shared" si="241"/>
        <v>0</v>
      </c>
      <c r="AG592" s="227">
        <f t="shared" si="242"/>
        <v>0</v>
      </c>
      <c r="AH592" s="228" t="s">
        <v>25</v>
      </c>
      <c r="AI592" s="229" t="str">
        <f t="shared" si="197"/>
        <v>Extremamente Complexa</v>
      </c>
      <c r="AJ592" s="230" t="str">
        <f t="shared" si="198"/>
        <v>Normal</v>
      </c>
      <c r="AK592" s="231">
        <f t="shared" si="243"/>
        <v>0</v>
      </c>
      <c r="AL592" s="232" t="str">
        <f t="shared" si="244"/>
        <v/>
      </c>
      <c r="AM592" s="233" t="str">
        <f t="shared" si="245"/>
        <v/>
      </c>
      <c r="AN592" s="233" t="str">
        <f t="shared" si="246"/>
        <v/>
      </c>
      <c r="AO592" s="234">
        <f t="shared" si="247"/>
        <v>0</v>
      </c>
      <c r="AP592" s="235">
        <f t="shared" si="262"/>
        <v>1</v>
      </c>
      <c r="AQ592" s="235">
        <f t="shared" si="262"/>
        <v>1</v>
      </c>
      <c r="AR592" s="236">
        <f t="shared" si="248"/>
        <v>1</v>
      </c>
      <c r="AS592" s="251">
        <f t="shared" si="249"/>
        <v>0</v>
      </c>
      <c r="AT592" s="238">
        <f t="shared" si="250"/>
        <v>0</v>
      </c>
      <c r="AU592" s="239">
        <f t="shared" si="251"/>
        <v>0</v>
      </c>
      <c r="AV592" s="239">
        <f t="shared" si="252"/>
        <v>0</v>
      </c>
      <c r="AW592" s="239">
        <f t="shared" si="253"/>
        <v>0.05</v>
      </c>
      <c r="AX592" s="240">
        <f t="shared" si="254"/>
        <v>0</v>
      </c>
      <c r="AY592" s="241" t="str">
        <f t="shared" si="255"/>
        <v/>
      </c>
      <c r="AZ592" s="242" t="str">
        <f>IFERROR(VLOOKUP(M592,'[1]Base Brasil Obras'!$C$2:$F$485,4,0),"")</f>
        <v/>
      </c>
      <c r="BA592" s="243">
        <f t="shared" si="256"/>
        <v>0</v>
      </c>
      <c r="BB592" s="244">
        <f t="shared" si="257"/>
        <v>0</v>
      </c>
      <c r="BC592" s="244">
        <f t="shared" si="258"/>
        <v>0.05</v>
      </c>
      <c r="BD592" s="245">
        <f t="shared" si="259"/>
        <v>0.95</v>
      </c>
      <c r="BE592" s="246">
        <f t="shared" si="260"/>
        <v>0</v>
      </c>
      <c r="BF592" s="247">
        <v>0</v>
      </c>
      <c r="BG592" s="248">
        <f t="shared" si="261"/>
        <v>1</v>
      </c>
      <c r="BH592" s="198"/>
      <c r="BI592" s="198"/>
      <c r="BJ592" s="199"/>
      <c r="BK592" s="200"/>
      <c r="BL592" s="200"/>
      <c r="BM592" s="200"/>
      <c r="BN592" s="200"/>
      <c r="BO592" s="10"/>
    </row>
    <row r="593" spans="1:67" ht="18" x14ac:dyDescent="0.25">
      <c r="A593" s="201">
        <v>485</v>
      </c>
      <c r="B593" s="286"/>
      <c r="C593" s="203">
        <f t="shared" si="232"/>
        <v>0</v>
      </c>
      <c r="D593" s="204"/>
      <c r="E593" s="204"/>
      <c r="F593" s="207"/>
      <c r="G593" s="206"/>
      <c r="H593" s="207"/>
      <c r="I593" s="208" t="s">
        <v>125</v>
      </c>
      <c r="J593" s="208" t="s">
        <v>126</v>
      </c>
      <c r="K593" s="287"/>
      <c r="L593" s="288"/>
      <c r="M593" s="289"/>
      <c r="N593" s="257"/>
      <c r="O593" s="213"/>
      <c r="P593" s="214"/>
      <c r="Q593" s="214"/>
      <c r="R593" s="214"/>
      <c r="S593" s="214"/>
      <c r="T593" s="214"/>
      <c r="U593" s="215">
        <f t="shared" si="233"/>
        <v>0</v>
      </c>
      <c r="V593" s="216" t="str">
        <f t="shared" si="234"/>
        <v/>
      </c>
      <c r="W593" s="217" t="str">
        <f t="shared" si="235"/>
        <v/>
      </c>
      <c r="X593" s="218" t="s">
        <v>20</v>
      </c>
      <c r="Y593" s="219" t="str">
        <f t="shared" si="236"/>
        <v>0 um/Dia</v>
      </c>
      <c r="Z593" s="220" t="str">
        <f t="shared" si="237"/>
        <v xml:space="preserve"> um / HH</v>
      </c>
      <c r="AA593" s="221" t="str">
        <f t="shared" si="238"/>
        <v/>
      </c>
      <c r="AB593" s="222" t="str">
        <f t="shared" si="239"/>
        <v>0 um /HH</v>
      </c>
      <c r="AC593" s="223">
        <f t="shared" si="240"/>
        <v>0</v>
      </c>
      <c r="AD593" s="224"/>
      <c r="AE593" s="225"/>
      <c r="AF593" s="226">
        <f t="shared" si="241"/>
        <v>0</v>
      </c>
      <c r="AG593" s="227">
        <f t="shared" si="242"/>
        <v>0</v>
      </c>
      <c r="AH593" s="228" t="s">
        <v>25</v>
      </c>
      <c r="AI593" s="229" t="str">
        <f t="shared" si="197"/>
        <v>Extremamente Complexa</v>
      </c>
      <c r="AJ593" s="230" t="str">
        <f t="shared" si="198"/>
        <v>Normal</v>
      </c>
      <c r="AK593" s="231">
        <f t="shared" si="243"/>
        <v>0</v>
      </c>
      <c r="AL593" s="232" t="str">
        <f t="shared" si="244"/>
        <v/>
      </c>
      <c r="AM593" s="233" t="str">
        <f t="shared" si="245"/>
        <v/>
      </c>
      <c r="AN593" s="233" t="str">
        <f t="shared" si="246"/>
        <v/>
      </c>
      <c r="AO593" s="234">
        <f t="shared" si="247"/>
        <v>0</v>
      </c>
      <c r="AP593" s="235">
        <f t="shared" si="262"/>
        <v>1</v>
      </c>
      <c r="AQ593" s="235">
        <f t="shared" si="262"/>
        <v>1</v>
      </c>
      <c r="AR593" s="235">
        <f t="shared" si="248"/>
        <v>1</v>
      </c>
      <c r="AS593" s="252">
        <f t="shared" si="249"/>
        <v>0</v>
      </c>
      <c r="AT593" s="238">
        <f t="shared" si="250"/>
        <v>0</v>
      </c>
      <c r="AU593" s="239">
        <f t="shared" si="251"/>
        <v>0</v>
      </c>
      <c r="AV593" s="239">
        <f t="shared" si="252"/>
        <v>0</v>
      </c>
      <c r="AW593" s="239">
        <f t="shared" si="253"/>
        <v>0.05</v>
      </c>
      <c r="AX593" s="240">
        <f t="shared" si="254"/>
        <v>0</v>
      </c>
      <c r="AY593" s="241" t="str">
        <f t="shared" si="255"/>
        <v/>
      </c>
      <c r="AZ593" s="242" t="str">
        <f>IFERROR(VLOOKUP(M593,'[1]Base Brasil Obras'!$C$2:$F$485,4,0),"")</f>
        <v/>
      </c>
      <c r="BA593" s="243">
        <f t="shared" si="256"/>
        <v>0</v>
      </c>
      <c r="BB593" s="244">
        <f t="shared" si="257"/>
        <v>0</v>
      </c>
      <c r="BC593" s="244">
        <f t="shared" si="258"/>
        <v>0.05</v>
      </c>
      <c r="BD593" s="245">
        <f t="shared" si="259"/>
        <v>0.95</v>
      </c>
      <c r="BE593" s="246">
        <f t="shared" si="260"/>
        <v>0</v>
      </c>
      <c r="BF593" s="247">
        <v>0</v>
      </c>
      <c r="BG593" s="248">
        <f t="shared" si="261"/>
        <v>1</v>
      </c>
      <c r="BH593" s="198"/>
      <c r="BI593" s="198"/>
      <c r="BJ593" s="199"/>
      <c r="BK593" s="200"/>
      <c r="BL593" s="200"/>
      <c r="BM593" s="200"/>
      <c r="BN593" s="200"/>
      <c r="BO593" s="10"/>
    </row>
    <row r="594" spans="1:67" ht="18" x14ac:dyDescent="0.25">
      <c r="A594" s="201">
        <v>486</v>
      </c>
      <c r="B594" s="286"/>
      <c r="C594" s="203">
        <f t="shared" si="232"/>
        <v>0</v>
      </c>
      <c r="D594" s="204"/>
      <c r="E594" s="204"/>
      <c r="F594" s="207"/>
      <c r="G594" s="206"/>
      <c r="H594" s="207"/>
      <c r="I594" s="208" t="s">
        <v>125</v>
      </c>
      <c r="J594" s="208" t="s">
        <v>126</v>
      </c>
      <c r="K594" s="287"/>
      <c r="L594" s="288"/>
      <c r="M594" s="289"/>
      <c r="N594" s="257"/>
      <c r="O594" s="213"/>
      <c r="P594" s="214"/>
      <c r="Q594" s="214"/>
      <c r="R594" s="214"/>
      <c r="S594" s="214"/>
      <c r="T594" s="214"/>
      <c r="U594" s="215">
        <f t="shared" si="233"/>
        <v>0</v>
      </c>
      <c r="V594" s="216" t="str">
        <f t="shared" si="234"/>
        <v/>
      </c>
      <c r="W594" s="217" t="str">
        <f t="shared" si="235"/>
        <v/>
      </c>
      <c r="X594" s="218" t="s">
        <v>20</v>
      </c>
      <c r="Y594" s="219" t="str">
        <f t="shared" si="236"/>
        <v>0 um/Dia</v>
      </c>
      <c r="Z594" s="220" t="str">
        <f t="shared" si="237"/>
        <v xml:space="preserve"> um / HH</v>
      </c>
      <c r="AA594" s="221" t="str">
        <f t="shared" si="238"/>
        <v/>
      </c>
      <c r="AB594" s="222" t="str">
        <f t="shared" si="239"/>
        <v>0 um /HH</v>
      </c>
      <c r="AC594" s="223">
        <f t="shared" si="240"/>
        <v>0</v>
      </c>
      <c r="AD594" s="224"/>
      <c r="AE594" s="225"/>
      <c r="AF594" s="226">
        <f t="shared" si="241"/>
        <v>0</v>
      </c>
      <c r="AG594" s="227">
        <f t="shared" si="242"/>
        <v>0</v>
      </c>
      <c r="AH594" s="228" t="s">
        <v>25</v>
      </c>
      <c r="AI594" s="229" t="str">
        <f t="shared" si="197"/>
        <v>Extremamente Complexa</v>
      </c>
      <c r="AJ594" s="230" t="str">
        <f t="shared" si="198"/>
        <v>Normal</v>
      </c>
      <c r="AK594" s="231">
        <f t="shared" si="243"/>
        <v>0</v>
      </c>
      <c r="AL594" s="232" t="str">
        <f t="shared" si="244"/>
        <v/>
      </c>
      <c r="AM594" s="233" t="str">
        <f t="shared" si="245"/>
        <v/>
      </c>
      <c r="AN594" s="233" t="str">
        <f t="shared" si="246"/>
        <v/>
      </c>
      <c r="AO594" s="234">
        <f t="shared" si="247"/>
        <v>0</v>
      </c>
      <c r="AP594" s="235">
        <f t="shared" si="262"/>
        <v>1</v>
      </c>
      <c r="AQ594" s="235">
        <f t="shared" si="262"/>
        <v>1</v>
      </c>
      <c r="AR594" s="236">
        <f t="shared" si="248"/>
        <v>1</v>
      </c>
      <c r="AS594" s="251">
        <f t="shared" si="249"/>
        <v>0</v>
      </c>
      <c r="AT594" s="238">
        <f t="shared" si="250"/>
        <v>0</v>
      </c>
      <c r="AU594" s="239">
        <f t="shared" si="251"/>
        <v>0</v>
      </c>
      <c r="AV594" s="239">
        <f t="shared" si="252"/>
        <v>0</v>
      </c>
      <c r="AW594" s="239">
        <f t="shared" si="253"/>
        <v>0.05</v>
      </c>
      <c r="AX594" s="240">
        <f t="shared" si="254"/>
        <v>0</v>
      </c>
      <c r="AY594" s="241" t="str">
        <f t="shared" si="255"/>
        <v/>
      </c>
      <c r="AZ594" s="242" t="str">
        <f>IFERROR(VLOOKUP(M594,'[1]Base Brasil Obras'!$C$2:$F$485,4,0),"")</f>
        <v/>
      </c>
      <c r="BA594" s="243">
        <f t="shared" si="256"/>
        <v>0</v>
      </c>
      <c r="BB594" s="244">
        <f t="shared" si="257"/>
        <v>0</v>
      </c>
      <c r="BC594" s="244">
        <f t="shared" si="258"/>
        <v>0.05</v>
      </c>
      <c r="BD594" s="245">
        <f t="shared" si="259"/>
        <v>0.95</v>
      </c>
      <c r="BE594" s="246">
        <f t="shared" si="260"/>
        <v>0</v>
      </c>
      <c r="BF594" s="247">
        <v>0</v>
      </c>
      <c r="BG594" s="248">
        <f t="shared" si="261"/>
        <v>1</v>
      </c>
      <c r="BH594" s="198"/>
      <c r="BI594" s="198"/>
      <c r="BJ594" s="199"/>
      <c r="BK594" s="200"/>
      <c r="BL594" s="200"/>
      <c r="BM594" s="200"/>
      <c r="BN594" s="200"/>
      <c r="BO594" s="10"/>
    </row>
    <row r="595" spans="1:67" ht="18" x14ac:dyDescent="0.25">
      <c r="A595" s="201">
        <v>487</v>
      </c>
      <c r="B595" s="286"/>
      <c r="C595" s="203">
        <f t="shared" si="232"/>
        <v>0</v>
      </c>
      <c r="D595" s="204"/>
      <c r="E595" s="204"/>
      <c r="F595" s="207"/>
      <c r="G595" s="206"/>
      <c r="H595" s="207"/>
      <c r="I595" s="208" t="s">
        <v>125</v>
      </c>
      <c r="J595" s="208" t="s">
        <v>126</v>
      </c>
      <c r="K595" s="287"/>
      <c r="L595" s="288"/>
      <c r="M595" s="289"/>
      <c r="N595" s="257"/>
      <c r="O595" s="213"/>
      <c r="P595" s="214"/>
      <c r="Q595" s="214"/>
      <c r="R595" s="214"/>
      <c r="S595" s="214"/>
      <c r="T595" s="214"/>
      <c r="U595" s="215">
        <f t="shared" si="233"/>
        <v>0</v>
      </c>
      <c r="V595" s="216" t="str">
        <f t="shared" si="234"/>
        <v/>
      </c>
      <c r="W595" s="217" t="str">
        <f t="shared" si="235"/>
        <v/>
      </c>
      <c r="X595" s="218" t="s">
        <v>20</v>
      </c>
      <c r="Y595" s="219" t="str">
        <f t="shared" si="236"/>
        <v>0 um/Dia</v>
      </c>
      <c r="Z595" s="220" t="str">
        <f t="shared" si="237"/>
        <v xml:space="preserve"> um / HH</v>
      </c>
      <c r="AA595" s="221" t="str">
        <f t="shared" si="238"/>
        <v/>
      </c>
      <c r="AB595" s="222" t="str">
        <f t="shared" si="239"/>
        <v>0 um /HH</v>
      </c>
      <c r="AC595" s="223">
        <f t="shared" si="240"/>
        <v>0</v>
      </c>
      <c r="AD595" s="224"/>
      <c r="AE595" s="225"/>
      <c r="AF595" s="226">
        <f t="shared" si="241"/>
        <v>0</v>
      </c>
      <c r="AG595" s="227">
        <f t="shared" si="242"/>
        <v>0</v>
      </c>
      <c r="AH595" s="228" t="s">
        <v>25</v>
      </c>
      <c r="AI595" s="229" t="str">
        <f t="shared" si="197"/>
        <v>Extremamente Complexa</v>
      </c>
      <c r="AJ595" s="230" t="str">
        <f t="shared" si="198"/>
        <v>Normal</v>
      </c>
      <c r="AK595" s="231">
        <f t="shared" si="243"/>
        <v>0</v>
      </c>
      <c r="AL595" s="232" t="str">
        <f t="shared" si="244"/>
        <v/>
      </c>
      <c r="AM595" s="233" t="str">
        <f t="shared" si="245"/>
        <v/>
      </c>
      <c r="AN595" s="233" t="str">
        <f t="shared" si="246"/>
        <v/>
      </c>
      <c r="AO595" s="234">
        <f t="shared" si="247"/>
        <v>0</v>
      </c>
      <c r="AP595" s="235">
        <f t="shared" si="262"/>
        <v>1</v>
      </c>
      <c r="AQ595" s="235">
        <f t="shared" si="262"/>
        <v>1</v>
      </c>
      <c r="AR595" s="235">
        <f t="shared" si="248"/>
        <v>1</v>
      </c>
      <c r="AS595" s="252">
        <f t="shared" si="249"/>
        <v>0</v>
      </c>
      <c r="AT595" s="238">
        <f t="shared" si="250"/>
        <v>0</v>
      </c>
      <c r="AU595" s="239">
        <f t="shared" si="251"/>
        <v>0</v>
      </c>
      <c r="AV595" s="239">
        <f t="shared" si="252"/>
        <v>0</v>
      </c>
      <c r="AW595" s="239">
        <f t="shared" si="253"/>
        <v>0.05</v>
      </c>
      <c r="AX595" s="240">
        <f t="shared" si="254"/>
        <v>0</v>
      </c>
      <c r="AY595" s="241" t="str">
        <f t="shared" si="255"/>
        <v/>
      </c>
      <c r="AZ595" s="242" t="str">
        <f>IFERROR(VLOOKUP(M595,'[1]Base Brasil Obras'!$C$2:$F$485,4,0),"")</f>
        <v/>
      </c>
      <c r="BA595" s="243">
        <f t="shared" si="256"/>
        <v>0</v>
      </c>
      <c r="BB595" s="244">
        <f t="shared" si="257"/>
        <v>0</v>
      </c>
      <c r="BC595" s="244">
        <f t="shared" si="258"/>
        <v>0.05</v>
      </c>
      <c r="BD595" s="245">
        <f t="shared" si="259"/>
        <v>0.95</v>
      </c>
      <c r="BE595" s="246">
        <f t="shared" si="260"/>
        <v>0</v>
      </c>
      <c r="BF595" s="247">
        <v>0</v>
      </c>
      <c r="BG595" s="248">
        <f t="shared" si="261"/>
        <v>1</v>
      </c>
      <c r="BH595" s="198"/>
      <c r="BI595" s="198"/>
      <c r="BJ595" s="199"/>
      <c r="BK595" s="200"/>
      <c r="BL595" s="200"/>
      <c r="BM595" s="200"/>
      <c r="BN595" s="200"/>
      <c r="BO595" s="10"/>
    </row>
    <row r="596" spans="1:67" ht="18" x14ac:dyDescent="0.25">
      <c r="A596" s="201">
        <v>488</v>
      </c>
      <c r="B596" s="286"/>
      <c r="C596" s="203">
        <f t="shared" si="232"/>
        <v>0</v>
      </c>
      <c r="D596" s="204"/>
      <c r="E596" s="204"/>
      <c r="F596" s="207"/>
      <c r="G596" s="206"/>
      <c r="H596" s="207"/>
      <c r="I596" s="208" t="s">
        <v>125</v>
      </c>
      <c r="J596" s="208" t="s">
        <v>126</v>
      </c>
      <c r="K596" s="287"/>
      <c r="L596" s="288"/>
      <c r="M596" s="289"/>
      <c r="N596" s="257"/>
      <c r="O596" s="213"/>
      <c r="P596" s="214"/>
      <c r="Q596" s="214"/>
      <c r="R596" s="214"/>
      <c r="S596" s="214"/>
      <c r="T596" s="214"/>
      <c r="U596" s="215">
        <f t="shared" si="233"/>
        <v>0</v>
      </c>
      <c r="V596" s="216" t="str">
        <f t="shared" si="234"/>
        <v/>
      </c>
      <c r="W596" s="217" t="str">
        <f t="shared" si="235"/>
        <v/>
      </c>
      <c r="X596" s="218" t="s">
        <v>20</v>
      </c>
      <c r="Y596" s="219" t="str">
        <f t="shared" si="236"/>
        <v>0 um/Dia</v>
      </c>
      <c r="Z596" s="220" t="str">
        <f t="shared" si="237"/>
        <v xml:space="preserve"> um / HH</v>
      </c>
      <c r="AA596" s="221" t="str">
        <f t="shared" si="238"/>
        <v/>
      </c>
      <c r="AB596" s="222" t="str">
        <f t="shared" si="239"/>
        <v>0 um /HH</v>
      </c>
      <c r="AC596" s="223">
        <f t="shared" si="240"/>
        <v>0</v>
      </c>
      <c r="AD596" s="224"/>
      <c r="AE596" s="225"/>
      <c r="AF596" s="226">
        <f t="shared" si="241"/>
        <v>0</v>
      </c>
      <c r="AG596" s="227">
        <f t="shared" si="242"/>
        <v>0</v>
      </c>
      <c r="AH596" s="228" t="s">
        <v>25</v>
      </c>
      <c r="AI596" s="229" t="str">
        <f t="shared" si="197"/>
        <v>Extremamente Complexa</v>
      </c>
      <c r="AJ596" s="230" t="str">
        <f t="shared" si="198"/>
        <v>Normal</v>
      </c>
      <c r="AK596" s="231">
        <f t="shared" si="243"/>
        <v>0</v>
      </c>
      <c r="AL596" s="232" t="str">
        <f t="shared" si="244"/>
        <v/>
      </c>
      <c r="AM596" s="233" t="str">
        <f t="shared" si="245"/>
        <v/>
      </c>
      <c r="AN596" s="233" t="str">
        <f t="shared" si="246"/>
        <v/>
      </c>
      <c r="AO596" s="234">
        <f t="shared" si="247"/>
        <v>0</v>
      </c>
      <c r="AP596" s="235">
        <f t="shared" si="262"/>
        <v>1</v>
      </c>
      <c r="AQ596" s="235">
        <f t="shared" si="262"/>
        <v>1</v>
      </c>
      <c r="AR596" s="236">
        <f t="shared" si="248"/>
        <v>1</v>
      </c>
      <c r="AS596" s="251">
        <f t="shared" si="249"/>
        <v>0</v>
      </c>
      <c r="AT596" s="238">
        <f t="shared" si="250"/>
        <v>0</v>
      </c>
      <c r="AU596" s="239">
        <f t="shared" si="251"/>
        <v>0</v>
      </c>
      <c r="AV596" s="239">
        <f t="shared" si="252"/>
        <v>0</v>
      </c>
      <c r="AW596" s="239">
        <f t="shared" si="253"/>
        <v>0.05</v>
      </c>
      <c r="AX596" s="240">
        <f t="shared" si="254"/>
        <v>0</v>
      </c>
      <c r="AY596" s="241" t="str">
        <f t="shared" si="255"/>
        <v/>
      </c>
      <c r="AZ596" s="242" t="str">
        <f>IFERROR(VLOOKUP(M596,'[1]Base Brasil Obras'!$C$2:$F$485,4,0),"")</f>
        <v/>
      </c>
      <c r="BA596" s="243">
        <f t="shared" si="256"/>
        <v>0</v>
      </c>
      <c r="BB596" s="244">
        <f t="shared" si="257"/>
        <v>0</v>
      </c>
      <c r="BC596" s="244">
        <f t="shared" si="258"/>
        <v>0.05</v>
      </c>
      <c r="BD596" s="245">
        <f t="shared" si="259"/>
        <v>0.95</v>
      </c>
      <c r="BE596" s="246">
        <f t="shared" si="260"/>
        <v>0</v>
      </c>
      <c r="BF596" s="247">
        <v>0</v>
      </c>
      <c r="BG596" s="248">
        <f t="shared" si="261"/>
        <v>1</v>
      </c>
      <c r="BH596" s="198"/>
      <c r="BI596" s="198"/>
      <c r="BJ596" s="199"/>
      <c r="BK596" s="200"/>
      <c r="BL596" s="200"/>
      <c r="BM596" s="200"/>
      <c r="BN596" s="200"/>
      <c r="BO596" s="10"/>
    </row>
    <row r="597" spans="1:67" ht="18" x14ac:dyDescent="0.25">
      <c r="A597" s="201">
        <v>489</v>
      </c>
      <c r="B597" s="286"/>
      <c r="C597" s="203">
        <f t="shared" si="232"/>
        <v>0</v>
      </c>
      <c r="D597" s="204"/>
      <c r="E597" s="204"/>
      <c r="F597" s="207"/>
      <c r="G597" s="206"/>
      <c r="H597" s="207"/>
      <c r="I597" s="208" t="s">
        <v>125</v>
      </c>
      <c r="J597" s="208" t="s">
        <v>126</v>
      </c>
      <c r="K597" s="287"/>
      <c r="L597" s="288"/>
      <c r="M597" s="289"/>
      <c r="N597" s="257"/>
      <c r="O597" s="213"/>
      <c r="P597" s="214"/>
      <c r="Q597" s="214"/>
      <c r="R597" s="214"/>
      <c r="S597" s="214"/>
      <c r="T597" s="214"/>
      <c r="U597" s="215">
        <f t="shared" si="233"/>
        <v>0</v>
      </c>
      <c r="V597" s="216" t="str">
        <f t="shared" si="234"/>
        <v/>
      </c>
      <c r="W597" s="217" t="str">
        <f t="shared" si="235"/>
        <v/>
      </c>
      <c r="X597" s="218" t="s">
        <v>20</v>
      </c>
      <c r="Y597" s="219" t="str">
        <f t="shared" si="236"/>
        <v>0 um/Dia</v>
      </c>
      <c r="Z597" s="220" t="str">
        <f t="shared" si="237"/>
        <v xml:space="preserve"> um / HH</v>
      </c>
      <c r="AA597" s="221" t="str">
        <f t="shared" si="238"/>
        <v/>
      </c>
      <c r="AB597" s="222" t="str">
        <f t="shared" si="239"/>
        <v>0 um /HH</v>
      </c>
      <c r="AC597" s="223">
        <f t="shared" si="240"/>
        <v>0</v>
      </c>
      <c r="AD597" s="224"/>
      <c r="AE597" s="225"/>
      <c r="AF597" s="226">
        <f t="shared" si="241"/>
        <v>0</v>
      </c>
      <c r="AG597" s="227">
        <f t="shared" si="242"/>
        <v>0</v>
      </c>
      <c r="AH597" s="228" t="s">
        <v>25</v>
      </c>
      <c r="AI597" s="229" t="str">
        <f t="shared" si="197"/>
        <v>Extremamente Complexa</v>
      </c>
      <c r="AJ597" s="230" t="str">
        <f t="shared" si="198"/>
        <v>Normal</v>
      </c>
      <c r="AK597" s="231">
        <f t="shared" si="243"/>
        <v>0</v>
      </c>
      <c r="AL597" s="232" t="str">
        <f t="shared" si="244"/>
        <v/>
      </c>
      <c r="AM597" s="233" t="str">
        <f t="shared" si="245"/>
        <v/>
      </c>
      <c r="AN597" s="233" t="str">
        <f t="shared" si="246"/>
        <v/>
      </c>
      <c r="AO597" s="234">
        <f t="shared" si="247"/>
        <v>0</v>
      </c>
      <c r="AP597" s="235">
        <f t="shared" si="262"/>
        <v>1</v>
      </c>
      <c r="AQ597" s="235">
        <f t="shared" si="262"/>
        <v>1</v>
      </c>
      <c r="AR597" s="235">
        <f t="shared" si="248"/>
        <v>1</v>
      </c>
      <c r="AS597" s="252">
        <f t="shared" si="249"/>
        <v>0</v>
      </c>
      <c r="AT597" s="238">
        <f t="shared" si="250"/>
        <v>0</v>
      </c>
      <c r="AU597" s="239">
        <f t="shared" si="251"/>
        <v>0</v>
      </c>
      <c r="AV597" s="239">
        <f t="shared" si="252"/>
        <v>0</v>
      </c>
      <c r="AW597" s="239">
        <f t="shared" si="253"/>
        <v>0.05</v>
      </c>
      <c r="AX597" s="240">
        <f t="shared" si="254"/>
        <v>0</v>
      </c>
      <c r="AY597" s="241" t="str">
        <f t="shared" si="255"/>
        <v/>
      </c>
      <c r="AZ597" s="242" t="str">
        <f>IFERROR(VLOOKUP(M597,'[1]Base Brasil Obras'!$C$2:$F$485,4,0),"")</f>
        <v/>
      </c>
      <c r="BA597" s="243">
        <f t="shared" si="256"/>
        <v>0</v>
      </c>
      <c r="BB597" s="244">
        <f t="shared" si="257"/>
        <v>0</v>
      </c>
      <c r="BC597" s="244">
        <f t="shared" si="258"/>
        <v>0.05</v>
      </c>
      <c r="BD597" s="245">
        <f t="shared" si="259"/>
        <v>0.95</v>
      </c>
      <c r="BE597" s="246">
        <f t="shared" si="260"/>
        <v>0</v>
      </c>
      <c r="BF597" s="247">
        <v>0</v>
      </c>
      <c r="BG597" s="248">
        <f t="shared" si="261"/>
        <v>1</v>
      </c>
      <c r="BH597" s="198"/>
      <c r="BI597" s="198"/>
      <c r="BJ597" s="199"/>
      <c r="BK597" s="200"/>
      <c r="BL597" s="200"/>
      <c r="BM597" s="200"/>
      <c r="BN597" s="200"/>
      <c r="BO597" s="10"/>
    </row>
    <row r="598" spans="1:67" ht="18" x14ac:dyDescent="0.25">
      <c r="A598" s="201">
        <v>490</v>
      </c>
      <c r="B598" s="286"/>
      <c r="C598" s="203">
        <f t="shared" si="232"/>
        <v>0</v>
      </c>
      <c r="D598" s="204"/>
      <c r="E598" s="204"/>
      <c r="F598" s="207"/>
      <c r="G598" s="206"/>
      <c r="H598" s="207"/>
      <c r="I598" s="208" t="s">
        <v>125</v>
      </c>
      <c r="J598" s="208" t="s">
        <v>126</v>
      </c>
      <c r="K598" s="287"/>
      <c r="L598" s="288"/>
      <c r="M598" s="289"/>
      <c r="N598" s="257"/>
      <c r="O598" s="213"/>
      <c r="P598" s="214"/>
      <c r="Q598" s="214"/>
      <c r="R598" s="214"/>
      <c r="S598" s="214"/>
      <c r="T598" s="214"/>
      <c r="U598" s="215">
        <f t="shared" si="233"/>
        <v>0</v>
      </c>
      <c r="V598" s="216" t="str">
        <f t="shared" si="234"/>
        <v/>
      </c>
      <c r="W598" s="217" t="str">
        <f t="shared" si="235"/>
        <v/>
      </c>
      <c r="X598" s="218" t="s">
        <v>20</v>
      </c>
      <c r="Y598" s="219" t="str">
        <f t="shared" si="236"/>
        <v>0 um/Dia</v>
      </c>
      <c r="Z598" s="220" t="str">
        <f t="shared" si="237"/>
        <v xml:space="preserve"> um / HH</v>
      </c>
      <c r="AA598" s="221" t="str">
        <f t="shared" si="238"/>
        <v/>
      </c>
      <c r="AB598" s="222" t="str">
        <f t="shared" si="239"/>
        <v>0 um /HH</v>
      </c>
      <c r="AC598" s="223">
        <f t="shared" si="240"/>
        <v>0</v>
      </c>
      <c r="AD598" s="224"/>
      <c r="AE598" s="225"/>
      <c r="AF598" s="226">
        <f t="shared" si="241"/>
        <v>0</v>
      </c>
      <c r="AG598" s="227">
        <f t="shared" si="242"/>
        <v>0</v>
      </c>
      <c r="AH598" s="228" t="s">
        <v>25</v>
      </c>
      <c r="AI598" s="229" t="str">
        <f t="shared" si="197"/>
        <v>Extremamente Complexa</v>
      </c>
      <c r="AJ598" s="230" t="str">
        <f t="shared" si="198"/>
        <v>Normal</v>
      </c>
      <c r="AK598" s="231">
        <f t="shared" si="243"/>
        <v>0</v>
      </c>
      <c r="AL598" s="232" t="str">
        <f t="shared" si="244"/>
        <v/>
      </c>
      <c r="AM598" s="233" t="str">
        <f t="shared" si="245"/>
        <v/>
      </c>
      <c r="AN598" s="233" t="str">
        <f t="shared" si="246"/>
        <v/>
      </c>
      <c r="AO598" s="234">
        <f t="shared" si="247"/>
        <v>0</v>
      </c>
      <c r="AP598" s="235">
        <f t="shared" si="262"/>
        <v>1</v>
      </c>
      <c r="AQ598" s="235">
        <f t="shared" si="262"/>
        <v>1</v>
      </c>
      <c r="AR598" s="236">
        <f t="shared" si="248"/>
        <v>1</v>
      </c>
      <c r="AS598" s="251">
        <f t="shared" si="249"/>
        <v>0</v>
      </c>
      <c r="AT598" s="238">
        <f t="shared" si="250"/>
        <v>0</v>
      </c>
      <c r="AU598" s="239">
        <f t="shared" si="251"/>
        <v>0</v>
      </c>
      <c r="AV598" s="239">
        <f t="shared" si="252"/>
        <v>0</v>
      </c>
      <c r="AW598" s="239">
        <f t="shared" si="253"/>
        <v>0.05</v>
      </c>
      <c r="AX598" s="240">
        <f t="shared" si="254"/>
        <v>0</v>
      </c>
      <c r="AY598" s="241" t="str">
        <f t="shared" si="255"/>
        <v/>
      </c>
      <c r="AZ598" s="242" t="str">
        <f>IFERROR(VLOOKUP(M598,'[1]Base Brasil Obras'!$C$2:$F$485,4,0),"")</f>
        <v/>
      </c>
      <c r="BA598" s="243">
        <f t="shared" si="256"/>
        <v>0</v>
      </c>
      <c r="BB598" s="244">
        <f t="shared" si="257"/>
        <v>0</v>
      </c>
      <c r="BC598" s="244">
        <f t="shared" si="258"/>
        <v>0.05</v>
      </c>
      <c r="BD598" s="245">
        <f t="shared" si="259"/>
        <v>0.95</v>
      </c>
      <c r="BE598" s="246">
        <f t="shared" si="260"/>
        <v>0</v>
      </c>
      <c r="BF598" s="247">
        <v>0</v>
      </c>
      <c r="BG598" s="248">
        <f t="shared" si="261"/>
        <v>1</v>
      </c>
      <c r="BH598" s="198"/>
      <c r="BI598" s="198"/>
      <c r="BJ598" s="199"/>
      <c r="BK598" s="200"/>
      <c r="BL598" s="200"/>
      <c r="BM598" s="200"/>
      <c r="BN598" s="200"/>
      <c r="BO598" s="10"/>
    </row>
    <row r="599" spans="1:67" ht="18" x14ac:dyDescent="0.25">
      <c r="A599" s="201">
        <v>491</v>
      </c>
      <c r="B599" s="286"/>
      <c r="C599" s="203">
        <f t="shared" si="232"/>
        <v>0</v>
      </c>
      <c r="D599" s="204"/>
      <c r="E599" s="204"/>
      <c r="F599" s="207"/>
      <c r="G599" s="206"/>
      <c r="H599" s="207"/>
      <c r="I599" s="208" t="s">
        <v>125</v>
      </c>
      <c r="J599" s="208" t="s">
        <v>126</v>
      </c>
      <c r="K599" s="287"/>
      <c r="L599" s="288"/>
      <c r="M599" s="289"/>
      <c r="N599" s="257"/>
      <c r="O599" s="213"/>
      <c r="P599" s="214"/>
      <c r="Q599" s="214"/>
      <c r="R599" s="214"/>
      <c r="S599" s="214"/>
      <c r="T599" s="214"/>
      <c r="U599" s="215">
        <f t="shared" si="233"/>
        <v>0</v>
      </c>
      <c r="V599" s="216" t="str">
        <f t="shared" si="234"/>
        <v/>
      </c>
      <c r="W599" s="217" t="str">
        <f t="shared" si="235"/>
        <v/>
      </c>
      <c r="X599" s="218" t="s">
        <v>20</v>
      </c>
      <c r="Y599" s="219" t="str">
        <f t="shared" si="236"/>
        <v>0 um/Dia</v>
      </c>
      <c r="Z599" s="220" t="str">
        <f t="shared" si="237"/>
        <v xml:space="preserve"> um / HH</v>
      </c>
      <c r="AA599" s="221" t="str">
        <f t="shared" si="238"/>
        <v/>
      </c>
      <c r="AB599" s="222" t="str">
        <f t="shared" si="239"/>
        <v>0 um /HH</v>
      </c>
      <c r="AC599" s="223">
        <f t="shared" si="240"/>
        <v>0</v>
      </c>
      <c r="AD599" s="224"/>
      <c r="AE599" s="225"/>
      <c r="AF599" s="226">
        <f t="shared" si="241"/>
        <v>0</v>
      </c>
      <c r="AG599" s="227">
        <f t="shared" si="242"/>
        <v>0</v>
      </c>
      <c r="AH599" s="228" t="s">
        <v>25</v>
      </c>
      <c r="AI599" s="229" t="str">
        <f t="shared" si="197"/>
        <v>Extremamente Complexa</v>
      </c>
      <c r="AJ599" s="230" t="str">
        <f t="shared" si="198"/>
        <v>Normal</v>
      </c>
      <c r="AK599" s="231">
        <f t="shared" si="243"/>
        <v>0</v>
      </c>
      <c r="AL599" s="232" t="str">
        <f t="shared" si="244"/>
        <v/>
      </c>
      <c r="AM599" s="233" t="str">
        <f t="shared" si="245"/>
        <v/>
      </c>
      <c r="AN599" s="233" t="str">
        <f t="shared" si="246"/>
        <v/>
      </c>
      <c r="AO599" s="234">
        <f t="shared" si="247"/>
        <v>0</v>
      </c>
      <c r="AP599" s="235">
        <f t="shared" si="262"/>
        <v>1</v>
      </c>
      <c r="AQ599" s="235">
        <f t="shared" si="262"/>
        <v>1</v>
      </c>
      <c r="AR599" s="235">
        <f t="shared" si="248"/>
        <v>1</v>
      </c>
      <c r="AS599" s="252">
        <f t="shared" si="249"/>
        <v>0</v>
      </c>
      <c r="AT599" s="238">
        <f t="shared" si="250"/>
        <v>0</v>
      </c>
      <c r="AU599" s="239">
        <f t="shared" si="251"/>
        <v>0</v>
      </c>
      <c r="AV599" s="239">
        <f t="shared" si="252"/>
        <v>0</v>
      </c>
      <c r="AW599" s="239">
        <f t="shared" si="253"/>
        <v>0.05</v>
      </c>
      <c r="AX599" s="240">
        <f t="shared" si="254"/>
        <v>0</v>
      </c>
      <c r="AY599" s="241" t="str">
        <f t="shared" si="255"/>
        <v/>
      </c>
      <c r="AZ599" s="242" t="str">
        <f>IFERROR(VLOOKUP(M599,'[1]Base Brasil Obras'!$C$2:$F$485,4,0),"")</f>
        <v/>
      </c>
      <c r="BA599" s="243">
        <f t="shared" si="256"/>
        <v>0</v>
      </c>
      <c r="BB599" s="244">
        <f t="shared" si="257"/>
        <v>0</v>
      </c>
      <c r="BC599" s="244">
        <f t="shared" si="258"/>
        <v>0.05</v>
      </c>
      <c r="BD599" s="245">
        <f t="shared" si="259"/>
        <v>0.95</v>
      </c>
      <c r="BE599" s="246">
        <f t="shared" si="260"/>
        <v>0</v>
      </c>
      <c r="BF599" s="247">
        <v>0</v>
      </c>
      <c r="BG599" s="248">
        <f t="shared" si="261"/>
        <v>1</v>
      </c>
      <c r="BH599" s="198"/>
      <c r="BI599" s="198"/>
      <c r="BJ599" s="199"/>
      <c r="BK599" s="200"/>
      <c r="BL599" s="200"/>
      <c r="BM599" s="200"/>
      <c r="BN599" s="200"/>
      <c r="BO599" s="10"/>
    </row>
    <row r="600" spans="1:67" ht="18" x14ac:dyDescent="0.25">
      <c r="A600" s="201">
        <v>492</v>
      </c>
      <c r="B600" s="286"/>
      <c r="C600" s="203">
        <f t="shared" si="232"/>
        <v>0</v>
      </c>
      <c r="D600" s="204"/>
      <c r="E600" s="204"/>
      <c r="F600" s="207"/>
      <c r="G600" s="206"/>
      <c r="H600" s="207"/>
      <c r="I600" s="208" t="s">
        <v>125</v>
      </c>
      <c r="J600" s="208" t="s">
        <v>126</v>
      </c>
      <c r="K600" s="287"/>
      <c r="L600" s="288"/>
      <c r="M600" s="289"/>
      <c r="N600" s="257"/>
      <c r="O600" s="213"/>
      <c r="P600" s="214"/>
      <c r="Q600" s="214"/>
      <c r="R600" s="214"/>
      <c r="S600" s="214"/>
      <c r="T600" s="214"/>
      <c r="U600" s="215">
        <f t="shared" si="233"/>
        <v>0</v>
      </c>
      <c r="V600" s="216" t="str">
        <f t="shared" si="234"/>
        <v/>
      </c>
      <c r="W600" s="217" t="str">
        <f t="shared" si="235"/>
        <v/>
      </c>
      <c r="X600" s="218" t="s">
        <v>20</v>
      </c>
      <c r="Y600" s="219" t="str">
        <f t="shared" si="236"/>
        <v>0 um/Dia</v>
      </c>
      <c r="Z600" s="220" t="str">
        <f t="shared" si="237"/>
        <v xml:space="preserve"> um / HH</v>
      </c>
      <c r="AA600" s="221" t="str">
        <f t="shared" si="238"/>
        <v/>
      </c>
      <c r="AB600" s="222" t="str">
        <f t="shared" si="239"/>
        <v>0 um /HH</v>
      </c>
      <c r="AC600" s="223">
        <f t="shared" si="240"/>
        <v>0</v>
      </c>
      <c r="AD600" s="224"/>
      <c r="AE600" s="225"/>
      <c r="AF600" s="226">
        <f t="shared" si="241"/>
        <v>0</v>
      </c>
      <c r="AG600" s="227">
        <f t="shared" si="242"/>
        <v>0</v>
      </c>
      <c r="AH600" s="228" t="s">
        <v>25</v>
      </c>
      <c r="AI600" s="229" t="str">
        <f t="shared" si="197"/>
        <v>Extremamente Complexa</v>
      </c>
      <c r="AJ600" s="230" t="str">
        <f t="shared" si="198"/>
        <v>Normal</v>
      </c>
      <c r="AK600" s="231">
        <f t="shared" si="243"/>
        <v>0</v>
      </c>
      <c r="AL600" s="232" t="str">
        <f t="shared" si="244"/>
        <v/>
      </c>
      <c r="AM600" s="233" t="str">
        <f t="shared" si="245"/>
        <v/>
      </c>
      <c r="AN600" s="233" t="str">
        <f t="shared" si="246"/>
        <v/>
      </c>
      <c r="AO600" s="234">
        <f t="shared" si="247"/>
        <v>0</v>
      </c>
      <c r="AP600" s="235">
        <f t="shared" ref="AP600:AQ609" si="263">IFERROR(VLOOKUP(I600,$J$1070:$K$1089,2,1),0)</f>
        <v>1</v>
      </c>
      <c r="AQ600" s="235">
        <f t="shared" si="263"/>
        <v>1</v>
      </c>
      <c r="AR600" s="236">
        <f t="shared" si="248"/>
        <v>1</v>
      </c>
      <c r="AS600" s="251">
        <f t="shared" si="249"/>
        <v>0</v>
      </c>
      <c r="AT600" s="238">
        <f t="shared" si="250"/>
        <v>0</v>
      </c>
      <c r="AU600" s="239">
        <f t="shared" si="251"/>
        <v>0</v>
      </c>
      <c r="AV600" s="239">
        <f t="shared" si="252"/>
        <v>0</v>
      </c>
      <c r="AW600" s="239">
        <f t="shared" si="253"/>
        <v>0.05</v>
      </c>
      <c r="AX600" s="240">
        <f t="shared" si="254"/>
        <v>0</v>
      </c>
      <c r="AY600" s="241" t="str">
        <f t="shared" si="255"/>
        <v/>
      </c>
      <c r="AZ600" s="242" t="str">
        <f>IFERROR(VLOOKUP(M600,'[1]Base Brasil Obras'!$C$2:$F$485,4,0),"")</f>
        <v/>
      </c>
      <c r="BA600" s="243">
        <f t="shared" si="256"/>
        <v>0</v>
      </c>
      <c r="BB600" s="244">
        <f t="shared" si="257"/>
        <v>0</v>
      </c>
      <c r="BC600" s="244">
        <f t="shared" si="258"/>
        <v>0.05</v>
      </c>
      <c r="BD600" s="245">
        <f t="shared" si="259"/>
        <v>0.95</v>
      </c>
      <c r="BE600" s="246">
        <f t="shared" si="260"/>
        <v>0</v>
      </c>
      <c r="BF600" s="247">
        <v>0</v>
      </c>
      <c r="BG600" s="248">
        <f t="shared" si="261"/>
        <v>1</v>
      </c>
      <c r="BH600" s="198"/>
      <c r="BI600" s="198"/>
      <c r="BJ600" s="199"/>
      <c r="BK600" s="200"/>
      <c r="BL600" s="200"/>
      <c r="BM600" s="200"/>
      <c r="BN600" s="200"/>
      <c r="BO600" s="10"/>
    </row>
    <row r="601" spans="1:67" ht="18" x14ac:dyDescent="0.25">
      <c r="A601" s="201">
        <v>493</v>
      </c>
      <c r="B601" s="286"/>
      <c r="C601" s="203">
        <f t="shared" si="232"/>
        <v>0</v>
      </c>
      <c r="D601" s="204"/>
      <c r="E601" s="204"/>
      <c r="F601" s="207"/>
      <c r="G601" s="206"/>
      <c r="H601" s="207"/>
      <c r="I601" s="208" t="s">
        <v>125</v>
      </c>
      <c r="J601" s="208" t="s">
        <v>126</v>
      </c>
      <c r="K601" s="287"/>
      <c r="L601" s="288"/>
      <c r="M601" s="289"/>
      <c r="N601" s="257"/>
      <c r="O601" s="213"/>
      <c r="P601" s="214"/>
      <c r="Q601" s="214"/>
      <c r="R601" s="214"/>
      <c r="S601" s="214"/>
      <c r="T601" s="214"/>
      <c r="U601" s="215">
        <f t="shared" si="233"/>
        <v>0</v>
      </c>
      <c r="V601" s="216" t="str">
        <f t="shared" si="234"/>
        <v/>
      </c>
      <c r="W601" s="217" t="str">
        <f t="shared" si="235"/>
        <v/>
      </c>
      <c r="X601" s="218" t="s">
        <v>20</v>
      </c>
      <c r="Y601" s="219" t="str">
        <f t="shared" si="236"/>
        <v>0 um/Dia</v>
      </c>
      <c r="Z601" s="220" t="str">
        <f t="shared" si="237"/>
        <v xml:space="preserve"> um / HH</v>
      </c>
      <c r="AA601" s="221" t="str">
        <f t="shared" si="238"/>
        <v/>
      </c>
      <c r="AB601" s="222" t="str">
        <f t="shared" si="239"/>
        <v>0 um /HH</v>
      </c>
      <c r="AC601" s="223">
        <f t="shared" si="240"/>
        <v>0</v>
      </c>
      <c r="AD601" s="224"/>
      <c r="AE601" s="225"/>
      <c r="AF601" s="226">
        <f t="shared" si="241"/>
        <v>0</v>
      </c>
      <c r="AG601" s="227">
        <f t="shared" si="242"/>
        <v>0</v>
      </c>
      <c r="AH601" s="228" t="s">
        <v>25</v>
      </c>
      <c r="AI601" s="229" t="str">
        <f t="shared" si="197"/>
        <v>Extremamente Complexa</v>
      </c>
      <c r="AJ601" s="230" t="str">
        <f t="shared" si="198"/>
        <v>Normal</v>
      </c>
      <c r="AK601" s="231">
        <f t="shared" si="243"/>
        <v>0</v>
      </c>
      <c r="AL601" s="232" t="str">
        <f t="shared" si="244"/>
        <v/>
      </c>
      <c r="AM601" s="233" t="str">
        <f t="shared" si="245"/>
        <v/>
      </c>
      <c r="AN601" s="233" t="str">
        <f t="shared" si="246"/>
        <v/>
      </c>
      <c r="AO601" s="234">
        <f t="shared" si="247"/>
        <v>0</v>
      </c>
      <c r="AP601" s="235">
        <f t="shared" si="263"/>
        <v>1</v>
      </c>
      <c r="AQ601" s="235">
        <f t="shared" si="263"/>
        <v>1</v>
      </c>
      <c r="AR601" s="235">
        <f t="shared" si="248"/>
        <v>1</v>
      </c>
      <c r="AS601" s="252">
        <f t="shared" si="249"/>
        <v>0</v>
      </c>
      <c r="AT601" s="238">
        <f t="shared" si="250"/>
        <v>0</v>
      </c>
      <c r="AU601" s="239">
        <f t="shared" si="251"/>
        <v>0</v>
      </c>
      <c r="AV601" s="239">
        <f t="shared" si="252"/>
        <v>0</v>
      </c>
      <c r="AW601" s="239">
        <f t="shared" si="253"/>
        <v>0.05</v>
      </c>
      <c r="AX601" s="240">
        <f t="shared" si="254"/>
        <v>0</v>
      </c>
      <c r="AY601" s="241" t="str">
        <f t="shared" si="255"/>
        <v/>
      </c>
      <c r="AZ601" s="242" t="str">
        <f>IFERROR(VLOOKUP(M601,'[1]Base Brasil Obras'!$C$2:$F$485,4,0),"")</f>
        <v/>
      </c>
      <c r="BA601" s="243">
        <f t="shared" si="256"/>
        <v>0</v>
      </c>
      <c r="BB601" s="244">
        <f t="shared" si="257"/>
        <v>0</v>
      </c>
      <c r="BC601" s="244">
        <f t="shared" si="258"/>
        <v>0.05</v>
      </c>
      <c r="BD601" s="245">
        <f t="shared" si="259"/>
        <v>0.95</v>
      </c>
      <c r="BE601" s="246">
        <f t="shared" si="260"/>
        <v>0</v>
      </c>
      <c r="BF601" s="247">
        <v>0</v>
      </c>
      <c r="BG601" s="248">
        <f t="shared" si="261"/>
        <v>1</v>
      </c>
      <c r="BH601" s="198"/>
      <c r="BI601" s="198"/>
      <c r="BJ601" s="199"/>
      <c r="BK601" s="200"/>
      <c r="BL601" s="200"/>
      <c r="BM601" s="200"/>
      <c r="BN601" s="200"/>
      <c r="BO601" s="10"/>
    </row>
    <row r="602" spans="1:67" ht="18" x14ac:dyDescent="0.25">
      <c r="A602" s="201">
        <v>494</v>
      </c>
      <c r="B602" s="286"/>
      <c r="C602" s="203">
        <f t="shared" si="232"/>
        <v>0</v>
      </c>
      <c r="D602" s="204"/>
      <c r="E602" s="204"/>
      <c r="F602" s="207"/>
      <c r="G602" s="206"/>
      <c r="H602" s="207"/>
      <c r="I602" s="208" t="s">
        <v>125</v>
      </c>
      <c r="J602" s="208" t="s">
        <v>126</v>
      </c>
      <c r="K602" s="287"/>
      <c r="L602" s="288"/>
      <c r="M602" s="289"/>
      <c r="N602" s="257"/>
      <c r="O602" s="213"/>
      <c r="P602" s="214"/>
      <c r="Q602" s="214"/>
      <c r="R602" s="214"/>
      <c r="S602" s="214"/>
      <c r="T602" s="214"/>
      <c r="U602" s="215">
        <f t="shared" si="233"/>
        <v>0</v>
      </c>
      <c r="V602" s="216" t="str">
        <f t="shared" si="234"/>
        <v/>
      </c>
      <c r="W602" s="217" t="str">
        <f t="shared" si="235"/>
        <v/>
      </c>
      <c r="X602" s="218" t="s">
        <v>20</v>
      </c>
      <c r="Y602" s="219" t="str">
        <f t="shared" si="236"/>
        <v>0 um/Dia</v>
      </c>
      <c r="Z602" s="220" t="str">
        <f t="shared" si="237"/>
        <v xml:space="preserve"> um / HH</v>
      </c>
      <c r="AA602" s="221" t="str">
        <f t="shared" si="238"/>
        <v/>
      </c>
      <c r="AB602" s="222" t="str">
        <f t="shared" si="239"/>
        <v>0 um /HH</v>
      </c>
      <c r="AC602" s="223">
        <f t="shared" si="240"/>
        <v>0</v>
      </c>
      <c r="AD602" s="224"/>
      <c r="AE602" s="225"/>
      <c r="AF602" s="226">
        <f t="shared" si="241"/>
        <v>0</v>
      </c>
      <c r="AG602" s="227">
        <f t="shared" si="242"/>
        <v>0</v>
      </c>
      <c r="AH602" s="228" t="s">
        <v>25</v>
      </c>
      <c r="AI602" s="229" t="str">
        <f t="shared" si="197"/>
        <v>Extremamente Complexa</v>
      </c>
      <c r="AJ602" s="230" t="str">
        <f t="shared" si="198"/>
        <v>Normal</v>
      </c>
      <c r="AK602" s="231">
        <f t="shared" si="243"/>
        <v>0</v>
      </c>
      <c r="AL602" s="232" t="str">
        <f t="shared" si="244"/>
        <v/>
      </c>
      <c r="AM602" s="233" t="str">
        <f t="shared" si="245"/>
        <v/>
      </c>
      <c r="AN602" s="233" t="str">
        <f t="shared" si="246"/>
        <v/>
      </c>
      <c r="AO602" s="234">
        <f t="shared" si="247"/>
        <v>0</v>
      </c>
      <c r="AP602" s="235">
        <f t="shared" si="263"/>
        <v>1</v>
      </c>
      <c r="AQ602" s="235">
        <f t="shared" si="263"/>
        <v>1</v>
      </c>
      <c r="AR602" s="236">
        <f t="shared" si="248"/>
        <v>1</v>
      </c>
      <c r="AS602" s="251">
        <f t="shared" si="249"/>
        <v>0</v>
      </c>
      <c r="AT602" s="238">
        <f t="shared" si="250"/>
        <v>0</v>
      </c>
      <c r="AU602" s="239">
        <f t="shared" si="251"/>
        <v>0</v>
      </c>
      <c r="AV602" s="239">
        <f t="shared" si="252"/>
        <v>0</v>
      </c>
      <c r="AW602" s="239">
        <f t="shared" si="253"/>
        <v>0.05</v>
      </c>
      <c r="AX602" s="240">
        <f t="shared" si="254"/>
        <v>0</v>
      </c>
      <c r="AY602" s="241" t="str">
        <f t="shared" si="255"/>
        <v/>
      </c>
      <c r="AZ602" s="242" t="str">
        <f>IFERROR(VLOOKUP(M602,'[1]Base Brasil Obras'!$C$2:$F$485,4,0),"")</f>
        <v/>
      </c>
      <c r="BA602" s="243">
        <f t="shared" si="256"/>
        <v>0</v>
      </c>
      <c r="BB602" s="244">
        <f t="shared" si="257"/>
        <v>0</v>
      </c>
      <c r="BC602" s="244">
        <f t="shared" si="258"/>
        <v>0.05</v>
      </c>
      <c r="BD602" s="245">
        <f t="shared" si="259"/>
        <v>0.95</v>
      </c>
      <c r="BE602" s="246">
        <f t="shared" si="260"/>
        <v>0</v>
      </c>
      <c r="BF602" s="247">
        <v>0</v>
      </c>
      <c r="BG602" s="248">
        <f t="shared" si="261"/>
        <v>1</v>
      </c>
      <c r="BH602" s="198"/>
      <c r="BI602" s="198"/>
      <c r="BJ602" s="199"/>
      <c r="BK602" s="200"/>
      <c r="BL602" s="200"/>
      <c r="BM602" s="200"/>
      <c r="BN602" s="200"/>
      <c r="BO602" s="10"/>
    </row>
    <row r="603" spans="1:67" ht="18" x14ac:dyDescent="0.25">
      <c r="A603" s="201">
        <v>495</v>
      </c>
      <c r="B603" s="286"/>
      <c r="C603" s="203">
        <f t="shared" si="232"/>
        <v>0</v>
      </c>
      <c r="D603" s="204"/>
      <c r="E603" s="204"/>
      <c r="F603" s="207"/>
      <c r="G603" s="206"/>
      <c r="H603" s="207"/>
      <c r="I603" s="208" t="s">
        <v>125</v>
      </c>
      <c r="J603" s="208" t="s">
        <v>126</v>
      </c>
      <c r="K603" s="287"/>
      <c r="L603" s="288"/>
      <c r="M603" s="289"/>
      <c r="N603" s="257"/>
      <c r="O603" s="213"/>
      <c r="P603" s="214"/>
      <c r="Q603" s="214"/>
      <c r="R603" s="214"/>
      <c r="S603" s="214"/>
      <c r="T603" s="214"/>
      <c r="U603" s="215">
        <f t="shared" si="233"/>
        <v>0</v>
      </c>
      <c r="V603" s="216" t="str">
        <f t="shared" si="234"/>
        <v/>
      </c>
      <c r="W603" s="217" t="str">
        <f t="shared" si="235"/>
        <v/>
      </c>
      <c r="X603" s="218" t="s">
        <v>20</v>
      </c>
      <c r="Y603" s="219" t="str">
        <f t="shared" si="236"/>
        <v>0 um/Dia</v>
      </c>
      <c r="Z603" s="220" t="str">
        <f t="shared" si="237"/>
        <v xml:space="preserve"> um / HH</v>
      </c>
      <c r="AA603" s="221" t="str">
        <f t="shared" si="238"/>
        <v/>
      </c>
      <c r="AB603" s="222" t="str">
        <f t="shared" si="239"/>
        <v>0 um /HH</v>
      </c>
      <c r="AC603" s="223">
        <f t="shared" si="240"/>
        <v>0</v>
      </c>
      <c r="AD603" s="224"/>
      <c r="AE603" s="225"/>
      <c r="AF603" s="226">
        <f t="shared" si="241"/>
        <v>0</v>
      </c>
      <c r="AG603" s="227">
        <f t="shared" si="242"/>
        <v>0</v>
      </c>
      <c r="AH603" s="228" t="s">
        <v>25</v>
      </c>
      <c r="AI603" s="229" t="str">
        <f t="shared" si="197"/>
        <v>Extremamente Complexa</v>
      </c>
      <c r="AJ603" s="230" t="str">
        <f t="shared" si="198"/>
        <v>Normal</v>
      </c>
      <c r="AK603" s="231">
        <f t="shared" si="243"/>
        <v>0</v>
      </c>
      <c r="AL603" s="232" t="str">
        <f t="shared" si="244"/>
        <v/>
      </c>
      <c r="AM603" s="233" t="str">
        <f t="shared" si="245"/>
        <v/>
      </c>
      <c r="AN603" s="233" t="str">
        <f t="shared" si="246"/>
        <v/>
      </c>
      <c r="AO603" s="234">
        <f t="shared" si="247"/>
        <v>0</v>
      </c>
      <c r="AP603" s="235">
        <f t="shared" si="263"/>
        <v>1</v>
      </c>
      <c r="AQ603" s="235">
        <f t="shared" si="263"/>
        <v>1</v>
      </c>
      <c r="AR603" s="235">
        <f t="shared" si="248"/>
        <v>1</v>
      </c>
      <c r="AS603" s="252">
        <f t="shared" si="249"/>
        <v>0</v>
      </c>
      <c r="AT603" s="238">
        <f t="shared" si="250"/>
        <v>0</v>
      </c>
      <c r="AU603" s="239">
        <f t="shared" si="251"/>
        <v>0</v>
      </c>
      <c r="AV603" s="239">
        <f t="shared" si="252"/>
        <v>0</v>
      </c>
      <c r="AW603" s="239">
        <f t="shared" si="253"/>
        <v>0.05</v>
      </c>
      <c r="AX603" s="240">
        <f t="shared" si="254"/>
        <v>0</v>
      </c>
      <c r="AY603" s="241" t="str">
        <f t="shared" si="255"/>
        <v/>
      </c>
      <c r="AZ603" s="242" t="str">
        <f>IFERROR(VLOOKUP(M603,'[1]Base Brasil Obras'!$C$2:$F$485,4,0),"")</f>
        <v/>
      </c>
      <c r="BA603" s="243">
        <f t="shared" si="256"/>
        <v>0</v>
      </c>
      <c r="BB603" s="244">
        <f t="shared" si="257"/>
        <v>0</v>
      </c>
      <c r="BC603" s="244">
        <f t="shared" si="258"/>
        <v>0.05</v>
      </c>
      <c r="BD603" s="245">
        <f t="shared" si="259"/>
        <v>0.95</v>
      </c>
      <c r="BE603" s="246">
        <f t="shared" si="260"/>
        <v>0</v>
      </c>
      <c r="BF603" s="247">
        <v>0</v>
      </c>
      <c r="BG603" s="248">
        <f t="shared" si="261"/>
        <v>1</v>
      </c>
      <c r="BH603" s="198"/>
      <c r="BI603" s="198"/>
      <c r="BJ603" s="199"/>
      <c r="BK603" s="200"/>
      <c r="BL603" s="200"/>
      <c r="BM603" s="200"/>
      <c r="BN603" s="200"/>
      <c r="BO603" s="10"/>
    </row>
    <row r="604" spans="1:67" ht="18" x14ac:dyDescent="0.25">
      <c r="A604" s="201">
        <v>496</v>
      </c>
      <c r="B604" s="286"/>
      <c r="C604" s="203">
        <f t="shared" si="232"/>
        <v>0</v>
      </c>
      <c r="D604" s="204"/>
      <c r="E604" s="204"/>
      <c r="F604" s="207"/>
      <c r="G604" s="206"/>
      <c r="H604" s="207"/>
      <c r="I604" s="208" t="s">
        <v>125</v>
      </c>
      <c r="J604" s="208" t="s">
        <v>126</v>
      </c>
      <c r="K604" s="287"/>
      <c r="L604" s="288"/>
      <c r="M604" s="289"/>
      <c r="N604" s="257"/>
      <c r="O604" s="213"/>
      <c r="P604" s="214"/>
      <c r="Q604" s="214"/>
      <c r="R604" s="214"/>
      <c r="S604" s="214"/>
      <c r="T604" s="214"/>
      <c r="U604" s="215">
        <f t="shared" si="233"/>
        <v>0</v>
      </c>
      <c r="V604" s="216" t="str">
        <f t="shared" si="234"/>
        <v/>
      </c>
      <c r="W604" s="217" t="str">
        <f t="shared" si="235"/>
        <v/>
      </c>
      <c r="X604" s="218" t="s">
        <v>20</v>
      </c>
      <c r="Y604" s="219" t="str">
        <f t="shared" si="236"/>
        <v>0 um/Dia</v>
      </c>
      <c r="Z604" s="220" t="str">
        <f t="shared" si="237"/>
        <v xml:space="preserve"> um / HH</v>
      </c>
      <c r="AA604" s="221" t="str">
        <f t="shared" si="238"/>
        <v/>
      </c>
      <c r="AB604" s="222" t="str">
        <f t="shared" si="239"/>
        <v>0 um /HH</v>
      </c>
      <c r="AC604" s="223">
        <f t="shared" si="240"/>
        <v>0</v>
      </c>
      <c r="AD604" s="224"/>
      <c r="AE604" s="225"/>
      <c r="AF604" s="226">
        <f t="shared" si="241"/>
        <v>0</v>
      </c>
      <c r="AG604" s="227">
        <f t="shared" si="242"/>
        <v>0</v>
      </c>
      <c r="AH604" s="228" t="s">
        <v>25</v>
      </c>
      <c r="AI604" s="229" t="str">
        <f t="shared" si="197"/>
        <v>Extremamente Complexa</v>
      </c>
      <c r="AJ604" s="230" t="str">
        <f t="shared" si="198"/>
        <v>Normal</v>
      </c>
      <c r="AK604" s="231">
        <f t="shared" si="243"/>
        <v>0</v>
      </c>
      <c r="AL604" s="232" t="str">
        <f t="shared" si="244"/>
        <v/>
      </c>
      <c r="AM604" s="233" t="str">
        <f t="shared" si="245"/>
        <v/>
      </c>
      <c r="AN604" s="233" t="str">
        <f t="shared" si="246"/>
        <v/>
      </c>
      <c r="AO604" s="234">
        <f t="shared" si="247"/>
        <v>0</v>
      </c>
      <c r="AP604" s="235">
        <f t="shared" si="263"/>
        <v>1</v>
      </c>
      <c r="AQ604" s="235">
        <f t="shared" si="263"/>
        <v>1</v>
      </c>
      <c r="AR604" s="236">
        <f t="shared" si="248"/>
        <v>1</v>
      </c>
      <c r="AS604" s="251">
        <f t="shared" si="249"/>
        <v>0</v>
      </c>
      <c r="AT604" s="238">
        <f t="shared" si="250"/>
        <v>0</v>
      </c>
      <c r="AU604" s="239">
        <f t="shared" si="251"/>
        <v>0</v>
      </c>
      <c r="AV604" s="239">
        <f t="shared" si="252"/>
        <v>0</v>
      </c>
      <c r="AW604" s="239">
        <f t="shared" si="253"/>
        <v>0.05</v>
      </c>
      <c r="AX604" s="240">
        <f t="shared" si="254"/>
        <v>0</v>
      </c>
      <c r="AY604" s="241" t="str">
        <f t="shared" si="255"/>
        <v/>
      </c>
      <c r="AZ604" s="242" t="str">
        <f>IFERROR(VLOOKUP(M604,'[1]Base Brasil Obras'!$C$2:$F$485,4,0),"")</f>
        <v/>
      </c>
      <c r="BA604" s="243">
        <f t="shared" si="256"/>
        <v>0</v>
      </c>
      <c r="BB604" s="244">
        <f t="shared" si="257"/>
        <v>0</v>
      </c>
      <c r="BC604" s="244">
        <f t="shared" si="258"/>
        <v>0.05</v>
      </c>
      <c r="BD604" s="245">
        <f t="shared" si="259"/>
        <v>0.95</v>
      </c>
      <c r="BE604" s="246">
        <f t="shared" si="260"/>
        <v>0</v>
      </c>
      <c r="BF604" s="247">
        <v>0</v>
      </c>
      <c r="BG604" s="248">
        <f t="shared" si="261"/>
        <v>1</v>
      </c>
      <c r="BH604" s="198"/>
      <c r="BI604" s="198"/>
      <c r="BJ604" s="199"/>
      <c r="BK604" s="200"/>
      <c r="BL604" s="200"/>
      <c r="BM604" s="200"/>
      <c r="BN604" s="200"/>
      <c r="BO604" s="10"/>
    </row>
    <row r="605" spans="1:67" ht="18" x14ac:dyDescent="0.25">
      <c r="A605" s="201">
        <v>497</v>
      </c>
      <c r="B605" s="286"/>
      <c r="C605" s="203">
        <f t="shared" si="232"/>
        <v>0</v>
      </c>
      <c r="D605" s="204"/>
      <c r="E605" s="204"/>
      <c r="F605" s="207"/>
      <c r="G605" s="206"/>
      <c r="H605" s="207"/>
      <c r="I605" s="208" t="s">
        <v>125</v>
      </c>
      <c r="J605" s="208" t="s">
        <v>126</v>
      </c>
      <c r="K605" s="287"/>
      <c r="L605" s="288"/>
      <c r="M605" s="289"/>
      <c r="N605" s="257"/>
      <c r="O605" s="213"/>
      <c r="P605" s="214"/>
      <c r="Q605" s="214"/>
      <c r="R605" s="214"/>
      <c r="S605" s="214"/>
      <c r="T605" s="214"/>
      <c r="U605" s="215">
        <f t="shared" si="233"/>
        <v>0</v>
      </c>
      <c r="V605" s="216" t="str">
        <f t="shared" si="234"/>
        <v/>
      </c>
      <c r="W605" s="217" t="str">
        <f t="shared" si="235"/>
        <v/>
      </c>
      <c r="X605" s="218" t="s">
        <v>20</v>
      </c>
      <c r="Y605" s="219" t="str">
        <f t="shared" si="236"/>
        <v>0 um/Dia</v>
      </c>
      <c r="Z605" s="220" t="str">
        <f t="shared" si="237"/>
        <v xml:space="preserve"> um / HH</v>
      </c>
      <c r="AA605" s="221" t="str">
        <f t="shared" si="238"/>
        <v/>
      </c>
      <c r="AB605" s="222" t="str">
        <f t="shared" si="239"/>
        <v>0 um /HH</v>
      </c>
      <c r="AC605" s="223">
        <f t="shared" si="240"/>
        <v>0</v>
      </c>
      <c r="AD605" s="224"/>
      <c r="AE605" s="225"/>
      <c r="AF605" s="226">
        <f t="shared" si="241"/>
        <v>0</v>
      </c>
      <c r="AG605" s="227">
        <f t="shared" si="242"/>
        <v>0</v>
      </c>
      <c r="AH605" s="228" t="s">
        <v>25</v>
      </c>
      <c r="AI605" s="229" t="str">
        <f t="shared" si="197"/>
        <v>Extremamente Complexa</v>
      </c>
      <c r="AJ605" s="230" t="str">
        <f t="shared" si="198"/>
        <v>Normal</v>
      </c>
      <c r="AK605" s="231">
        <f t="shared" si="243"/>
        <v>0</v>
      </c>
      <c r="AL605" s="232" t="str">
        <f t="shared" si="244"/>
        <v/>
      </c>
      <c r="AM605" s="233" t="str">
        <f t="shared" si="245"/>
        <v/>
      </c>
      <c r="AN605" s="233" t="str">
        <f t="shared" si="246"/>
        <v/>
      </c>
      <c r="AO605" s="234">
        <f t="shared" si="247"/>
        <v>0</v>
      </c>
      <c r="AP605" s="235">
        <f t="shared" si="263"/>
        <v>1</v>
      </c>
      <c r="AQ605" s="235">
        <f t="shared" si="263"/>
        <v>1</v>
      </c>
      <c r="AR605" s="235">
        <f t="shared" si="248"/>
        <v>1</v>
      </c>
      <c r="AS605" s="252">
        <f t="shared" si="249"/>
        <v>0</v>
      </c>
      <c r="AT605" s="238">
        <f t="shared" si="250"/>
        <v>0</v>
      </c>
      <c r="AU605" s="239">
        <f t="shared" si="251"/>
        <v>0</v>
      </c>
      <c r="AV605" s="239">
        <f t="shared" si="252"/>
        <v>0</v>
      </c>
      <c r="AW605" s="239">
        <f t="shared" si="253"/>
        <v>0.05</v>
      </c>
      <c r="AX605" s="240">
        <f t="shared" si="254"/>
        <v>0</v>
      </c>
      <c r="AY605" s="241" t="str">
        <f t="shared" si="255"/>
        <v/>
      </c>
      <c r="AZ605" s="242" t="str">
        <f>IFERROR(VLOOKUP(M605,'[1]Base Brasil Obras'!$C$2:$F$485,4,0),"")</f>
        <v/>
      </c>
      <c r="BA605" s="243">
        <f t="shared" si="256"/>
        <v>0</v>
      </c>
      <c r="BB605" s="244">
        <f t="shared" si="257"/>
        <v>0</v>
      </c>
      <c r="BC605" s="244">
        <f t="shared" si="258"/>
        <v>0.05</v>
      </c>
      <c r="BD605" s="245">
        <f t="shared" si="259"/>
        <v>0.95</v>
      </c>
      <c r="BE605" s="246">
        <f t="shared" si="260"/>
        <v>0</v>
      </c>
      <c r="BF605" s="247">
        <v>0</v>
      </c>
      <c r="BG605" s="248">
        <f t="shared" si="261"/>
        <v>1</v>
      </c>
      <c r="BH605" s="198"/>
      <c r="BI605" s="198"/>
      <c r="BJ605" s="199"/>
      <c r="BK605" s="200"/>
      <c r="BL605" s="200"/>
      <c r="BM605" s="200"/>
      <c r="BN605" s="200"/>
      <c r="BO605" s="10"/>
    </row>
    <row r="606" spans="1:67" ht="18" x14ac:dyDescent="0.25">
      <c r="A606" s="201">
        <v>498</v>
      </c>
      <c r="B606" s="286"/>
      <c r="C606" s="203">
        <f>IFERROR(AVERAGEIF(P606:T606,"&gt;0,1"),0)</f>
        <v>0</v>
      </c>
      <c r="D606" s="204"/>
      <c r="E606" s="204"/>
      <c r="F606" s="207"/>
      <c r="G606" s="206"/>
      <c r="H606" s="207"/>
      <c r="I606" s="208" t="s">
        <v>125</v>
      </c>
      <c r="J606" s="208" t="s">
        <v>126</v>
      </c>
      <c r="K606" s="287"/>
      <c r="L606" s="288"/>
      <c r="M606" s="289"/>
      <c r="N606" s="257"/>
      <c r="O606" s="213"/>
      <c r="P606" s="214"/>
      <c r="Q606" s="214"/>
      <c r="R606" s="214"/>
      <c r="S606" s="214"/>
      <c r="T606" s="214"/>
      <c r="U606" s="215">
        <f>B606*(1-$U$107)</f>
        <v>0</v>
      </c>
      <c r="V606" s="216" t="str">
        <f>IF(IFERROR((1-BA606/AX606),"")=0%,"",IFERROR((1-BA606/AX606),""))</f>
        <v/>
      </c>
      <c r="W606" s="217" t="str">
        <f>IFERROR(AVERAGEIF(P606:U606,"&gt;0,1"),"")</f>
        <v/>
      </c>
      <c r="X606" s="218" t="s">
        <v>20</v>
      </c>
      <c r="Y606" s="219" t="str">
        <f>_xlfn.CONCAT(AX606," ",X606,"/","Dia")</f>
        <v>0 um/Dia</v>
      </c>
      <c r="Z606" s="220" t="str">
        <f>_xlfn.CONCAT(AA606," ",X606," ","/ HH")</f>
        <v xml:space="preserve"> um / HH</v>
      </c>
      <c r="AA606" s="221" t="str">
        <f>IFERROR(IF(B606=0,"",ROUND(AZ606,2)),0)</f>
        <v/>
      </c>
      <c r="AB606" s="222" t="str">
        <f>_xlfn.CONCAT(ROUND(AS606,1)," ",X606," /","HH")</f>
        <v>0 um /HH</v>
      </c>
      <c r="AC606" s="223">
        <f>AD606+AE606</f>
        <v>0</v>
      </c>
      <c r="AD606" s="224"/>
      <c r="AE606" s="225"/>
      <c r="AF606" s="226">
        <f>IFERROR(O606/AT606,0)/BG606</f>
        <v>0</v>
      </c>
      <c r="AG606" s="227">
        <f>AF606*AC606*$Z$101*$Y$104</f>
        <v>0</v>
      </c>
      <c r="AH606" s="228" t="s">
        <v>25</v>
      </c>
      <c r="AI606" s="229" t="str">
        <f t="shared" si="197"/>
        <v>Extremamente Complexa</v>
      </c>
      <c r="AJ606" s="230" t="str">
        <f t="shared" si="198"/>
        <v>Normal</v>
      </c>
      <c r="AK606" s="231">
        <f>(AG606*(1+0)/$Y$102)*$Y$104</f>
        <v>0</v>
      </c>
      <c r="AL606" s="232" t="str">
        <f>IFERROR(AD606/AC606,"")</f>
        <v/>
      </c>
      <c r="AM606" s="233" t="str">
        <f>IFERROR(AK606*AL606,"")</f>
        <v/>
      </c>
      <c r="AN606" s="233" t="str">
        <f>IFERROR(AK606-AM606,"")</f>
        <v/>
      </c>
      <c r="AO606" s="234">
        <f>IFERROR(AK606/$AK$107,"")</f>
        <v>0</v>
      </c>
      <c r="AP606" s="235">
        <f t="shared" si="263"/>
        <v>1</v>
      </c>
      <c r="AQ606" s="235">
        <f t="shared" si="263"/>
        <v>1</v>
      </c>
      <c r="AR606" s="236">
        <f>IF(O606=0,1,IF(I606=0,AQ606,IF(J606=0,AP606,SMALL(AP606:AQ606,1))))</f>
        <v>1</v>
      </c>
      <c r="AS606" s="251">
        <f>IFERROR(O606/AG606,0)</f>
        <v>0</v>
      </c>
      <c r="AT606" s="238">
        <f>IF(X606=$X$5,1,AX606)</f>
        <v>0</v>
      </c>
      <c r="AU606" s="239">
        <f>VLOOKUP(AH606,$AI$66:$AJ$69,2,0)</f>
        <v>0</v>
      </c>
      <c r="AV606" s="239">
        <f>VLOOKUP(AJ606,$AJ$73:$AK$76,2,1)</f>
        <v>0</v>
      </c>
      <c r="AW606" s="239">
        <f>VLOOKUP(AI606,$AI$83:$AJ$86,2,0)</f>
        <v>0.05</v>
      </c>
      <c r="AX606" s="240">
        <f xml:space="preserve">   ROUND((IFERROR(AVERAGEIF(P606:U606,"&gt;0,1"),0)*BD606),0)</f>
        <v>0</v>
      </c>
      <c r="AY606" s="241" t="str">
        <f>IFERROR(ROUND(AS606,1)-AA606,"")</f>
        <v/>
      </c>
      <c r="AZ606" s="242" t="str">
        <f>IFERROR(VLOOKUP(M606,'[1]Base Brasil Obras'!$C$2:$F$485,4,0),"")</f>
        <v/>
      </c>
      <c r="BA606" s="243">
        <f>B606*(1-$U$107)</f>
        <v>0</v>
      </c>
      <c r="BB606" s="244">
        <f>1-AR606</f>
        <v>0</v>
      </c>
      <c r="BC606" s="244">
        <f>AU606+AV606+AW606</f>
        <v>0.05</v>
      </c>
      <c r="BD606" s="245">
        <f>1-(BB606+BC606)</f>
        <v>0.95</v>
      </c>
      <c r="BE606" s="246">
        <f>IFERROR(B606/(AC606*$Z$101),0)</f>
        <v>0</v>
      </c>
      <c r="BF606" s="247">
        <v>0</v>
      </c>
      <c r="BG606" s="248">
        <f>IFERROR(AC606/BF606,1)</f>
        <v>1</v>
      </c>
      <c r="BH606" s="198"/>
      <c r="BI606" s="198"/>
      <c r="BJ606" s="199"/>
      <c r="BK606" s="200"/>
      <c r="BL606" s="200"/>
      <c r="BM606" s="200"/>
      <c r="BN606" s="200"/>
      <c r="BO606" s="10"/>
    </row>
    <row r="607" spans="1:67" ht="18" x14ac:dyDescent="0.25">
      <c r="A607" s="201">
        <v>499</v>
      </c>
      <c r="B607" s="286"/>
      <c r="C607" s="203">
        <f>IFERROR(AVERAGEIF(P607:T607,"&gt;0,1"),0)</f>
        <v>0</v>
      </c>
      <c r="D607" s="204"/>
      <c r="E607" s="204"/>
      <c r="F607" s="207"/>
      <c r="G607" s="206"/>
      <c r="H607" s="207"/>
      <c r="I607" s="208" t="s">
        <v>125</v>
      </c>
      <c r="J607" s="208" t="s">
        <v>126</v>
      </c>
      <c r="K607" s="287"/>
      <c r="L607" s="288"/>
      <c r="M607" s="289"/>
      <c r="N607" s="257"/>
      <c r="O607" s="213"/>
      <c r="P607" s="214"/>
      <c r="Q607" s="214"/>
      <c r="R607" s="214"/>
      <c r="S607" s="214"/>
      <c r="T607" s="214"/>
      <c r="U607" s="215">
        <f>B607*(1-$U$107)</f>
        <v>0</v>
      </c>
      <c r="V607" s="216" t="str">
        <f>IF(IFERROR((1-BA607/AX607),"")=0%,"",IFERROR((1-BA607/AX607),""))</f>
        <v/>
      </c>
      <c r="W607" s="217" t="str">
        <f>IFERROR(AVERAGEIF(P607:U607,"&gt;0,1"),"")</f>
        <v/>
      </c>
      <c r="X607" s="218" t="s">
        <v>20</v>
      </c>
      <c r="Y607" s="219" t="str">
        <f>_xlfn.CONCAT(AX607," ",X607,"/","Dia")</f>
        <v>0 um/Dia</v>
      </c>
      <c r="Z607" s="220" t="str">
        <f>_xlfn.CONCAT(AA607," ",X607," ","/ HH")</f>
        <v xml:space="preserve"> um / HH</v>
      </c>
      <c r="AA607" s="221" t="str">
        <f>IFERROR(IF(B607=0,"",ROUND(AZ607,2)),0)</f>
        <v/>
      </c>
      <c r="AB607" s="222" t="str">
        <f>_xlfn.CONCAT(ROUND(AS607,1)," ",X607," /","HH")</f>
        <v>0 um /HH</v>
      </c>
      <c r="AC607" s="223">
        <f>AD607+AE607</f>
        <v>0</v>
      </c>
      <c r="AD607" s="224"/>
      <c r="AE607" s="225"/>
      <c r="AF607" s="226">
        <f>IFERROR(O607/AT607,0)/BG607</f>
        <v>0</v>
      </c>
      <c r="AG607" s="227">
        <f>AF607*AC607*$Z$101*$Y$104</f>
        <v>0</v>
      </c>
      <c r="AH607" s="228" t="s">
        <v>25</v>
      </c>
      <c r="AI607" s="229" t="str">
        <f t="shared" si="197"/>
        <v>Extremamente Complexa</v>
      </c>
      <c r="AJ607" s="230" t="str">
        <f t="shared" si="198"/>
        <v>Normal</v>
      </c>
      <c r="AK607" s="231">
        <f>(AG607*(1+0)/$Y$102)*$Y$104</f>
        <v>0</v>
      </c>
      <c r="AL607" s="232" t="str">
        <f>IFERROR(AD607/AC607,"")</f>
        <v/>
      </c>
      <c r="AM607" s="233" t="str">
        <f>IFERROR(AK607*AL607,"")</f>
        <v/>
      </c>
      <c r="AN607" s="233" t="str">
        <f>IFERROR(AK607-AM607,"")</f>
        <v/>
      </c>
      <c r="AO607" s="234">
        <f>IFERROR(AK607/$AK$107,"")</f>
        <v>0</v>
      </c>
      <c r="AP607" s="235">
        <f t="shared" si="263"/>
        <v>1</v>
      </c>
      <c r="AQ607" s="235">
        <f t="shared" si="263"/>
        <v>1</v>
      </c>
      <c r="AR607" s="235">
        <f>IF(O607=0,1,IF(I607=0,AQ607,IF(J607=0,AP607,SMALL(AP607:AQ607,1))))</f>
        <v>1</v>
      </c>
      <c r="AS607" s="252">
        <f>IFERROR(O607/AG607,0)</f>
        <v>0</v>
      </c>
      <c r="AT607" s="238">
        <f>IF(X607=$X$5,1,AX607)</f>
        <v>0</v>
      </c>
      <c r="AU607" s="239">
        <f>VLOOKUP(AH607,$AI$66:$AJ$69,2,0)</f>
        <v>0</v>
      </c>
      <c r="AV607" s="239">
        <f>VLOOKUP(AJ607,$AJ$73:$AK$76,2,1)</f>
        <v>0</v>
      </c>
      <c r="AW607" s="239">
        <f>VLOOKUP(AI607,$AI$83:$AJ$86,2,0)</f>
        <v>0.05</v>
      </c>
      <c r="AX607" s="240">
        <f xml:space="preserve">   ROUND((IFERROR(AVERAGEIF(P607:U607,"&gt;0,1"),0)*BD607),0)</f>
        <v>0</v>
      </c>
      <c r="AY607" s="241" t="str">
        <f>IFERROR(ROUND(AS607,1)-AA607,"")</f>
        <v/>
      </c>
      <c r="AZ607" s="242" t="str">
        <f>IFERROR(VLOOKUP(M607,'[1]Base Brasil Obras'!$C$2:$F$485,4,0),"")</f>
        <v/>
      </c>
      <c r="BA607" s="243">
        <f>B607*(1-$U$107)</f>
        <v>0</v>
      </c>
      <c r="BB607" s="244">
        <f>1-AR607</f>
        <v>0</v>
      </c>
      <c r="BC607" s="244">
        <f>AU607+AV607+AW607</f>
        <v>0.05</v>
      </c>
      <c r="BD607" s="245">
        <f>1-(BB607+BC607)</f>
        <v>0.95</v>
      </c>
      <c r="BE607" s="246">
        <f>IFERROR(B607/(AC607*$Z$101),0)</f>
        <v>0</v>
      </c>
      <c r="BF607" s="247">
        <v>0</v>
      </c>
      <c r="BG607" s="248">
        <f>IFERROR(AC607/BF607,1)</f>
        <v>1</v>
      </c>
      <c r="BH607" s="198"/>
      <c r="BI607" s="198"/>
      <c r="BJ607" s="199"/>
      <c r="BK607" s="200"/>
      <c r="BL607" s="200"/>
      <c r="BM607" s="200"/>
      <c r="BN607" s="200"/>
      <c r="BO607" s="10"/>
    </row>
    <row r="608" spans="1:67" ht="18" x14ac:dyDescent="0.25">
      <c r="A608" s="201">
        <v>500</v>
      </c>
      <c r="B608" s="286"/>
      <c r="C608" s="203">
        <f>IFERROR(AVERAGEIF(P608:T608,"&gt;0,1"),0)</f>
        <v>0</v>
      </c>
      <c r="D608" s="204"/>
      <c r="E608" s="204"/>
      <c r="F608" s="207"/>
      <c r="G608" s="206"/>
      <c r="H608" s="207"/>
      <c r="I608" s="208" t="s">
        <v>125</v>
      </c>
      <c r="J608" s="208" t="s">
        <v>126</v>
      </c>
      <c r="K608" s="287"/>
      <c r="L608" s="288"/>
      <c r="M608" s="289"/>
      <c r="N608" s="257"/>
      <c r="O608" s="213"/>
      <c r="P608" s="214"/>
      <c r="Q608" s="214"/>
      <c r="R608" s="214"/>
      <c r="S608" s="214"/>
      <c r="T608" s="214"/>
      <c r="U608" s="215">
        <f>B608*(1-$U$107)</f>
        <v>0</v>
      </c>
      <c r="V608" s="216" t="str">
        <f>IF(IFERROR((1-BA608/AX608),"")=0%,"",IFERROR((1-BA608/AX608),""))</f>
        <v/>
      </c>
      <c r="W608" s="217" t="str">
        <f>IFERROR(AVERAGEIF(P608:U608,"&gt;0,1"),"")</f>
        <v/>
      </c>
      <c r="X608" s="218" t="s">
        <v>20</v>
      </c>
      <c r="Y608" s="219" t="str">
        <f>_xlfn.CONCAT(AX608," ",X608,"/","Dia")</f>
        <v>0 um/Dia</v>
      </c>
      <c r="Z608" s="220" t="str">
        <f>_xlfn.CONCAT(AA608," ",X608," ","/ HH")</f>
        <v xml:space="preserve"> um / HH</v>
      </c>
      <c r="AA608" s="221" t="str">
        <f>IFERROR(IF(B608=0,"",ROUND(AZ608,2)),0)</f>
        <v/>
      </c>
      <c r="AB608" s="222" t="str">
        <f>_xlfn.CONCAT(ROUND(AS608,1)," ",X608," /","HH")</f>
        <v>0 um /HH</v>
      </c>
      <c r="AC608" s="223">
        <f>AD608+AE608</f>
        <v>0</v>
      </c>
      <c r="AD608" s="224"/>
      <c r="AE608" s="225"/>
      <c r="AF608" s="226">
        <f>IFERROR(O608/AT608,0)/BG608</f>
        <v>0</v>
      </c>
      <c r="AG608" s="227">
        <f>AF608*AC608*$Z$101*$Y$104</f>
        <v>0</v>
      </c>
      <c r="AH608" s="228" t="s">
        <v>25</v>
      </c>
      <c r="AI608" s="229" t="str">
        <f t="shared" si="197"/>
        <v>Extremamente Complexa</v>
      </c>
      <c r="AJ608" s="230" t="str">
        <f t="shared" si="198"/>
        <v>Normal</v>
      </c>
      <c r="AK608" s="231">
        <f>(AG608*(1+0)/$Y$102)*$Y$104</f>
        <v>0</v>
      </c>
      <c r="AL608" s="232" t="str">
        <f>IFERROR(AD608/AC608,"")</f>
        <v/>
      </c>
      <c r="AM608" s="233" t="str">
        <f>IFERROR(AK608*AL608,"")</f>
        <v/>
      </c>
      <c r="AN608" s="233" t="str">
        <f>IFERROR(AK608-AM608,"")</f>
        <v/>
      </c>
      <c r="AO608" s="234">
        <f>IFERROR(AK608/$AK$107,"")</f>
        <v>0</v>
      </c>
      <c r="AP608" s="235">
        <f t="shared" si="263"/>
        <v>1</v>
      </c>
      <c r="AQ608" s="235">
        <f t="shared" si="263"/>
        <v>1</v>
      </c>
      <c r="AR608" s="236">
        <f>IF(O608=0,1,IF(I608=0,AQ608,IF(J608=0,AP608,SMALL(AP608:AQ608,1))))</f>
        <v>1</v>
      </c>
      <c r="AS608" s="251">
        <f>IFERROR(O608/AG608,0)</f>
        <v>0</v>
      </c>
      <c r="AT608" s="238">
        <f>IF(X608=$X$5,1,AX608)</f>
        <v>0</v>
      </c>
      <c r="AU608" s="239">
        <f>VLOOKUP(AH608,$AI$66:$AJ$69,2,0)</f>
        <v>0</v>
      </c>
      <c r="AV608" s="239">
        <f>VLOOKUP(AJ608,$AJ$73:$AK$76,2,1)</f>
        <v>0</v>
      </c>
      <c r="AW608" s="239">
        <f>VLOOKUP(AI608,$AI$83:$AJ$86,2,0)</f>
        <v>0.05</v>
      </c>
      <c r="AX608" s="240">
        <f xml:space="preserve">   ROUND((IFERROR(AVERAGEIF(P608:U608,"&gt;0,1"),0)*BD608),0)</f>
        <v>0</v>
      </c>
      <c r="AY608" s="241" t="str">
        <f>IFERROR(ROUND(AS608,1)-AA608,"")</f>
        <v/>
      </c>
      <c r="AZ608" s="242" t="str">
        <f>IFERROR(VLOOKUP(M608,'[1]Base Brasil Obras'!$C$2:$F$485,4,0),"")</f>
        <v/>
      </c>
      <c r="BA608" s="243">
        <f>B608*(1-$U$107)</f>
        <v>0</v>
      </c>
      <c r="BB608" s="244">
        <f>1-AR608</f>
        <v>0</v>
      </c>
      <c r="BC608" s="244">
        <f>AU608+AV608+AW608</f>
        <v>0.05</v>
      </c>
      <c r="BD608" s="245">
        <f>1-(BB608+BC608)</f>
        <v>0.95</v>
      </c>
      <c r="BE608" s="246">
        <f>IFERROR(B608/(AC608*$Z$101),0)</f>
        <v>0</v>
      </c>
      <c r="BF608" s="247">
        <v>0</v>
      </c>
      <c r="BG608" s="248">
        <f>IFERROR(AC608/BF608,1)</f>
        <v>1</v>
      </c>
      <c r="BH608" s="198"/>
      <c r="BI608" s="198"/>
      <c r="BJ608" s="199"/>
      <c r="BK608" s="200"/>
      <c r="BL608" s="200"/>
      <c r="BM608" s="200"/>
      <c r="BN608" s="200"/>
      <c r="BO608" s="10"/>
    </row>
    <row r="609" spans="1:67" ht="18" x14ac:dyDescent="0.25">
      <c r="A609" s="201">
        <v>501</v>
      </c>
      <c r="B609" s="286"/>
      <c r="C609" s="203">
        <f>IFERROR(AVERAGEIF(P609:T609,"&gt;0,1"),0)</f>
        <v>0</v>
      </c>
      <c r="D609" s="204"/>
      <c r="E609" s="204"/>
      <c r="F609" s="207"/>
      <c r="G609" s="206"/>
      <c r="H609" s="207"/>
      <c r="I609" s="208" t="s">
        <v>125</v>
      </c>
      <c r="J609" s="208" t="s">
        <v>126</v>
      </c>
      <c r="K609" s="287"/>
      <c r="L609" s="288"/>
      <c r="M609" s="289"/>
      <c r="N609" s="257"/>
      <c r="O609" s="213"/>
      <c r="P609" s="214"/>
      <c r="Q609" s="214"/>
      <c r="R609" s="214"/>
      <c r="S609" s="214"/>
      <c r="T609" s="214"/>
      <c r="U609" s="215">
        <f>B609*(1-$U$107)</f>
        <v>0</v>
      </c>
      <c r="V609" s="216" t="str">
        <f>IF(IFERROR((1-BA609/AX609),"")=0%,"",IFERROR((1-BA609/AX609),""))</f>
        <v/>
      </c>
      <c r="W609" s="217" t="str">
        <f>IFERROR(AVERAGEIF(P609:U609,"&gt;0,1"),"")</f>
        <v/>
      </c>
      <c r="X609" s="218" t="s">
        <v>20</v>
      </c>
      <c r="Y609" s="219" t="str">
        <f>_xlfn.CONCAT(AX609," ",X609,"/","Dia")</f>
        <v>0 um/Dia</v>
      </c>
      <c r="Z609" s="220" t="str">
        <f>_xlfn.CONCAT(AA609," ",X609," ","/ HH")</f>
        <v xml:space="preserve"> um / HH</v>
      </c>
      <c r="AA609" s="221" t="str">
        <f>IFERROR(IF(B609=0,"",ROUND(AZ609,2)),0)</f>
        <v/>
      </c>
      <c r="AB609" s="222" t="str">
        <f>_xlfn.CONCAT(ROUND(AS609,1)," ",X609," /","HH")</f>
        <v>0 um /HH</v>
      </c>
      <c r="AC609" s="223">
        <f>AD609+AE609</f>
        <v>0</v>
      </c>
      <c r="AD609" s="224"/>
      <c r="AE609" s="225"/>
      <c r="AF609" s="226">
        <f>IFERROR(O609/AT609,0)/BG609</f>
        <v>0</v>
      </c>
      <c r="AG609" s="227">
        <f>AF609*AC609*$Z$101*$Y$104</f>
        <v>0</v>
      </c>
      <c r="AH609" s="228" t="s">
        <v>25</v>
      </c>
      <c r="AI609" s="229" t="str">
        <f t="shared" si="197"/>
        <v>Extremamente Complexa</v>
      </c>
      <c r="AJ609" s="230" t="str">
        <f t="shared" si="198"/>
        <v>Normal</v>
      </c>
      <c r="AK609" s="231">
        <f>(AG609*(1+0)/$Y$102)*$Y$104</f>
        <v>0</v>
      </c>
      <c r="AL609" s="232" t="str">
        <f>IFERROR(AD609/AC609,"")</f>
        <v/>
      </c>
      <c r="AM609" s="233" t="str">
        <f>IFERROR(AK609*AL609,"")</f>
        <v/>
      </c>
      <c r="AN609" s="233" t="str">
        <f>IFERROR(AK609-AM609,"")</f>
        <v/>
      </c>
      <c r="AO609" s="234">
        <f>IFERROR(AK609/$AK$107,"")</f>
        <v>0</v>
      </c>
      <c r="AP609" s="235">
        <f t="shared" si="263"/>
        <v>1</v>
      </c>
      <c r="AQ609" s="235">
        <f t="shared" si="263"/>
        <v>1</v>
      </c>
      <c r="AR609" s="235">
        <f>IF(O609=0,1,IF(I609=0,AQ609,IF(J609=0,AP609,SMALL(AP609:AQ609,1))))</f>
        <v>1</v>
      </c>
      <c r="AS609" s="252">
        <f>IFERROR(O609/AG609,0)</f>
        <v>0</v>
      </c>
      <c r="AT609" s="238">
        <f>IF(X609=$X$5,1,AX609)</f>
        <v>0</v>
      </c>
      <c r="AU609" s="239">
        <f>VLOOKUP(AH609,$AI$66:$AJ$69,2,0)</f>
        <v>0</v>
      </c>
      <c r="AV609" s="239">
        <f>VLOOKUP(AJ609,$AJ$73:$AK$76,2,1)</f>
        <v>0</v>
      </c>
      <c r="AW609" s="239">
        <f>VLOOKUP(AI609,$AI$83:$AJ$86,2,0)</f>
        <v>0.05</v>
      </c>
      <c r="AX609" s="240">
        <f xml:space="preserve">   ROUND((IFERROR(AVERAGEIF(P609:U609,"&gt;0,1"),0)*BD609),0)</f>
        <v>0</v>
      </c>
      <c r="AY609" s="241" t="str">
        <f>IFERROR(ROUND(AS609,1)-AA609,"")</f>
        <v/>
      </c>
      <c r="AZ609" s="242" t="str">
        <f>IFERROR(VLOOKUP(M609,'[1]Base Brasil Obras'!$C$2:$F$485,4,0),"")</f>
        <v/>
      </c>
      <c r="BA609" s="243">
        <f>B609*(1-$U$107)</f>
        <v>0</v>
      </c>
      <c r="BB609" s="244">
        <f>1-AR609</f>
        <v>0</v>
      </c>
      <c r="BC609" s="244">
        <f>AU609+AV609+AW609</f>
        <v>0.05</v>
      </c>
      <c r="BD609" s="245">
        <f>1-(BB609+BC609)</f>
        <v>0.95</v>
      </c>
      <c r="BE609" s="246">
        <f>IFERROR(B609/(AC609*$Z$101),0)</f>
        <v>0</v>
      </c>
      <c r="BF609" s="247">
        <v>0</v>
      </c>
      <c r="BG609" s="248">
        <f>IFERROR(AC609/BF609,1)</f>
        <v>1</v>
      </c>
      <c r="BH609" s="198"/>
      <c r="BI609" s="198"/>
      <c r="BJ609" s="199"/>
      <c r="BK609" s="200"/>
      <c r="BL609" s="200"/>
      <c r="BM609" s="200"/>
      <c r="BN609" s="200"/>
      <c r="BO609" s="10"/>
    </row>
    <row r="610" spans="1:67" s="298" customFormat="1" hidden="1" x14ac:dyDescent="0.25">
      <c r="A610" s="290"/>
      <c r="B610" s="291"/>
      <c r="C610" s="290"/>
      <c r="D610" s="290"/>
      <c r="E610" s="290"/>
      <c r="F610" s="292"/>
      <c r="G610" s="290"/>
      <c r="H610" s="290"/>
      <c r="I610" s="290"/>
      <c r="J610" s="290"/>
      <c r="K610" s="290"/>
      <c r="L610" s="290"/>
      <c r="M610" s="293"/>
      <c r="N610" s="290"/>
      <c r="O610" s="290"/>
      <c r="P610" s="290"/>
      <c r="Q610" s="290"/>
      <c r="R610" s="290"/>
      <c r="S610" s="290"/>
      <c r="T610" s="290"/>
      <c r="U610" s="294"/>
      <c r="V610" s="290"/>
      <c r="W610" s="290"/>
      <c r="X610" s="291"/>
      <c r="Y610" s="295"/>
      <c r="Z610" s="295"/>
      <c r="AA610" s="296"/>
      <c r="AB610" s="296"/>
      <c r="AC610" s="291"/>
      <c r="AD610" s="291"/>
      <c r="AE610" s="291"/>
      <c r="AF610" s="297"/>
      <c r="AG610" s="291"/>
      <c r="AH610" s="291"/>
      <c r="AI610" s="291"/>
      <c r="AJ610" s="291"/>
      <c r="AK610" s="290"/>
      <c r="AL610" s="290"/>
      <c r="AM610" s="290"/>
      <c r="AN610" s="290"/>
      <c r="AO610" s="290"/>
      <c r="AP610" s="290"/>
      <c r="AQ610" s="290"/>
      <c r="AR610" s="290"/>
      <c r="AS610" s="290"/>
      <c r="AT610" s="290"/>
      <c r="AU610" s="290"/>
      <c r="AV610" s="290"/>
      <c r="AW610" s="290"/>
      <c r="AX610" s="290"/>
      <c r="AY610" s="290"/>
      <c r="AZ610" s="290"/>
      <c r="BA610" s="290"/>
      <c r="BG610" s="299"/>
      <c r="BH610" s="299"/>
      <c r="BI610" s="299"/>
      <c r="BK610" s="300"/>
    </row>
    <row r="611" spans="1:67" s="298" customFormat="1" hidden="1" x14ac:dyDescent="0.25">
      <c r="A611" s="290"/>
      <c r="B611" s="291"/>
      <c r="C611" s="290"/>
      <c r="D611" s="290"/>
      <c r="E611" s="290"/>
      <c r="F611" s="292"/>
      <c r="G611" s="290"/>
      <c r="H611" s="290"/>
      <c r="I611" s="290"/>
      <c r="J611" s="290"/>
      <c r="K611" s="290"/>
      <c r="L611" s="290"/>
      <c r="M611" s="293"/>
      <c r="N611" s="290"/>
      <c r="O611" s="290"/>
      <c r="P611" s="290"/>
      <c r="Q611" s="290"/>
      <c r="R611" s="290"/>
      <c r="S611" s="290"/>
      <c r="T611" s="290"/>
      <c r="U611" s="294"/>
      <c r="V611" s="290"/>
      <c r="W611" s="290"/>
      <c r="X611" s="291"/>
      <c r="Y611" s="295"/>
      <c r="Z611" s="295"/>
      <c r="AA611" s="296"/>
      <c r="AB611" s="296"/>
      <c r="AC611" s="291"/>
      <c r="AD611" s="291"/>
      <c r="AE611" s="291"/>
      <c r="AF611" s="297"/>
      <c r="AG611" s="291"/>
      <c r="AH611" s="291"/>
      <c r="AI611" s="291"/>
      <c r="AJ611" s="291"/>
      <c r="AK611" s="290"/>
      <c r="AL611" s="290"/>
      <c r="AM611" s="290"/>
      <c r="AN611" s="290"/>
      <c r="AO611" s="290"/>
      <c r="AP611" s="290"/>
      <c r="AQ611" s="290"/>
      <c r="AR611" s="290"/>
      <c r="AS611" s="290"/>
      <c r="AT611" s="290"/>
      <c r="AU611" s="290"/>
      <c r="AV611" s="290"/>
      <c r="AW611" s="290"/>
      <c r="AX611" s="290"/>
      <c r="AY611" s="290"/>
      <c r="AZ611" s="290"/>
      <c r="BA611" s="290"/>
      <c r="BG611" s="299"/>
      <c r="BH611" s="299"/>
      <c r="BI611" s="299"/>
      <c r="BK611" s="300"/>
    </row>
    <row r="612" spans="1:67" s="298" customFormat="1" hidden="1" x14ac:dyDescent="0.25">
      <c r="A612" s="290"/>
      <c r="B612" s="291"/>
      <c r="C612" s="290"/>
      <c r="D612" s="290"/>
      <c r="E612" s="290"/>
      <c r="F612" s="292"/>
      <c r="G612" s="290"/>
      <c r="H612" s="290"/>
      <c r="I612" s="290"/>
      <c r="J612" s="290"/>
      <c r="K612" s="290"/>
      <c r="L612" s="290"/>
      <c r="M612" s="293"/>
      <c r="N612" s="290"/>
      <c r="O612" s="290"/>
      <c r="P612" s="290"/>
      <c r="Q612" s="290"/>
      <c r="R612" s="290"/>
      <c r="S612" s="290"/>
      <c r="T612" s="290"/>
      <c r="U612" s="294"/>
      <c r="V612" s="290"/>
      <c r="W612" s="290"/>
      <c r="X612" s="291"/>
      <c r="Y612" s="295"/>
      <c r="Z612" s="295"/>
      <c r="AA612" s="296"/>
      <c r="AB612" s="296"/>
      <c r="AC612" s="291"/>
      <c r="AD612" s="291"/>
      <c r="AE612" s="291"/>
      <c r="AF612" s="297"/>
      <c r="AG612" s="291"/>
      <c r="AH612" s="291"/>
      <c r="AI612" s="291"/>
      <c r="AJ612" s="291"/>
      <c r="AK612" s="290"/>
      <c r="AL612" s="290"/>
      <c r="AM612" s="290"/>
      <c r="AN612" s="290"/>
      <c r="AO612" s="290"/>
      <c r="AP612" s="290"/>
      <c r="AQ612" s="290"/>
      <c r="AR612" s="290"/>
      <c r="AS612" s="290"/>
      <c r="AT612" s="290"/>
      <c r="AU612" s="290"/>
      <c r="AV612" s="290"/>
      <c r="AW612" s="290"/>
      <c r="AX612" s="290"/>
      <c r="AY612" s="290"/>
      <c r="AZ612" s="290"/>
      <c r="BA612" s="290"/>
      <c r="BG612" s="299"/>
      <c r="BH612" s="299"/>
      <c r="BI612" s="299"/>
      <c r="BK612" s="300"/>
    </row>
    <row r="613" spans="1:67" s="298" customFormat="1" hidden="1" x14ac:dyDescent="0.25">
      <c r="A613" s="290"/>
      <c r="B613" s="291"/>
      <c r="C613" s="290"/>
      <c r="D613" s="290"/>
      <c r="E613" s="290"/>
      <c r="F613" s="292"/>
      <c r="G613" s="290"/>
      <c r="H613" s="290"/>
      <c r="I613" s="290"/>
      <c r="J613" s="290"/>
      <c r="K613" s="290"/>
      <c r="L613" s="290"/>
      <c r="M613" s="293"/>
      <c r="N613" s="290" t="s">
        <v>263</v>
      </c>
      <c r="O613" s="290"/>
      <c r="P613" s="290"/>
      <c r="Q613" s="290"/>
      <c r="R613" s="290"/>
      <c r="S613" s="290"/>
      <c r="T613" s="290"/>
      <c r="U613" s="294"/>
      <c r="V613" s="290"/>
      <c r="W613" s="290"/>
      <c r="X613" s="291"/>
      <c r="Y613" s="295">
        <v>6</v>
      </c>
      <c r="Z613" s="295"/>
      <c r="AA613" s="296"/>
      <c r="AB613" s="296"/>
      <c r="AC613" s="291"/>
      <c r="AD613" s="291"/>
      <c r="AE613" s="291"/>
      <c r="AF613" s="297"/>
      <c r="AG613" s="291"/>
      <c r="AH613" s="291"/>
      <c r="AI613" s="291"/>
      <c r="AJ613" s="291"/>
      <c r="AK613" s="290"/>
      <c r="AL613" s="290"/>
      <c r="AM613" s="290"/>
      <c r="AN613" s="290"/>
      <c r="AO613" s="290"/>
      <c r="AP613" s="290"/>
      <c r="AQ613" s="290"/>
      <c r="AR613" s="290"/>
      <c r="AS613" s="290"/>
      <c r="AT613" s="290"/>
      <c r="AU613" s="290"/>
      <c r="AV613" s="290"/>
      <c r="AW613" s="290"/>
      <c r="AX613" s="290"/>
      <c r="AY613" s="290"/>
      <c r="AZ613" s="290"/>
      <c r="BA613" s="290"/>
      <c r="BG613" s="299"/>
      <c r="BH613" s="299"/>
      <c r="BI613" s="299"/>
      <c r="BK613" s="300"/>
    </row>
    <row r="614" spans="1:67" s="298" customFormat="1" hidden="1" x14ac:dyDescent="0.25">
      <c r="A614" s="290"/>
      <c r="B614" s="291"/>
      <c r="C614" s="290"/>
      <c r="D614" s="290"/>
      <c r="E614" s="290"/>
      <c r="F614" s="292"/>
      <c r="G614" s="290"/>
      <c r="H614" s="290"/>
      <c r="I614" s="290"/>
      <c r="J614" s="290"/>
      <c r="K614" s="290"/>
      <c r="L614" s="290"/>
      <c r="M614" s="293"/>
      <c r="N614" s="290" t="s">
        <v>264</v>
      </c>
      <c r="O614" s="290"/>
      <c r="P614" s="290"/>
      <c r="Q614" s="290"/>
      <c r="R614" s="290"/>
      <c r="S614" s="290"/>
      <c r="T614" s="290"/>
      <c r="U614" s="294"/>
      <c r="V614" s="290"/>
      <c r="W614" s="290"/>
      <c r="X614" s="291"/>
      <c r="Y614" s="295">
        <v>30</v>
      </c>
      <c r="Z614" s="295"/>
      <c r="AA614" s="296"/>
      <c r="AB614" s="296"/>
      <c r="AC614" s="291"/>
      <c r="AD614" s="291"/>
      <c r="AE614" s="291"/>
      <c r="AF614" s="297"/>
      <c r="AG614" s="291"/>
      <c r="AH614" s="291"/>
      <c r="AI614" s="291"/>
      <c r="AJ614" s="291"/>
      <c r="AK614" s="290"/>
      <c r="AL614" s="290"/>
      <c r="AM614" s="290"/>
      <c r="AN614" s="290"/>
      <c r="AO614" s="290"/>
      <c r="AP614" s="290"/>
      <c r="AQ614" s="290"/>
      <c r="AR614" s="290"/>
      <c r="AS614" s="290"/>
      <c r="AT614" s="290"/>
      <c r="AU614" s="290"/>
      <c r="AV614" s="290"/>
      <c r="AW614" s="290"/>
      <c r="AX614" s="290"/>
      <c r="AY614" s="290"/>
      <c r="AZ614" s="290"/>
      <c r="BA614" s="290"/>
      <c r="BG614" s="299"/>
      <c r="BH614" s="299"/>
      <c r="BI614" s="299"/>
      <c r="BK614" s="300"/>
    </row>
    <row r="615" spans="1:67" s="298" customFormat="1" hidden="1" x14ac:dyDescent="0.25">
      <c r="A615" s="290"/>
      <c r="B615" s="291"/>
      <c r="C615" s="290"/>
      <c r="D615" s="290"/>
      <c r="E615" s="290"/>
      <c r="F615" s="292" t="s">
        <v>157</v>
      </c>
      <c r="G615" s="290"/>
      <c r="H615" s="290"/>
      <c r="I615" s="290"/>
      <c r="J615" s="290"/>
      <c r="K615" s="290"/>
      <c r="L615" s="290"/>
      <c r="M615" s="293"/>
      <c r="N615" s="290" t="s">
        <v>265</v>
      </c>
      <c r="O615" s="290"/>
      <c r="P615" s="290"/>
      <c r="Q615" s="290"/>
      <c r="R615" s="290"/>
      <c r="S615" s="290"/>
      <c r="T615" s="290"/>
      <c r="U615" s="294"/>
      <c r="V615" s="290"/>
      <c r="W615" s="290"/>
      <c r="X615" s="291"/>
      <c r="Y615" s="295">
        <v>50</v>
      </c>
      <c r="Z615" s="295"/>
      <c r="AA615" s="296"/>
      <c r="AB615" s="296"/>
      <c r="AC615" s="291"/>
      <c r="AD615" s="291"/>
      <c r="AE615" s="291"/>
      <c r="AF615" s="297"/>
      <c r="AG615" s="291"/>
      <c r="AH615" s="291"/>
      <c r="AI615" s="291"/>
      <c r="AJ615" s="291"/>
      <c r="AK615" s="290"/>
      <c r="AL615" s="290"/>
      <c r="AM615" s="290"/>
      <c r="AN615" s="290"/>
      <c r="AO615" s="290"/>
      <c r="AP615" s="290"/>
      <c r="AQ615" s="290"/>
      <c r="AR615" s="290"/>
      <c r="AS615" s="290"/>
      <c r="AT615" s="290"/>
      <c r="AU615" s="290"/>
      <c r="AV615" s="290"/>
      <c r="AW615" s="290"/>
      <c r="AX615" s="290"/>
      <c r="AY615" s="290"/>
      <c r="AZ615" s="290"/>
      <c r="BA615" s="290"/>
      <c r="BG615" s="299"/>
      <c r="BH615" s="299"/>
      <c r="BI615" s="299"/>
      <c r="BK615" s="300"/>
    </row>
    <row r="616" spans="1:67" s="298" customFormat="1" hidden="1" x14ac:dyDescent="0.25">
      <c r="A616" s="290"/>
      <c r="B616" s="291"/>
      <c r="C616" s="290"/>
      <c r="D616" s="290"/>
      <c r="E616" s="290"/>
      <c r="F616" s="292" t="s">
        <v>197</v>
      </c>
      <c r="G616" s="290"/>
      <c r="H616" s="290"/>
      <c r="I616" s="290"/>
      <c r="J616" s="290"/>
      <c r="K616" s="290"/>
      <c r="L616" s="290"/>
      <c r="M616" s="293"/>
      <c r="N616" s="290" t="s">
        <v>266</v>
      </c>
      <c r="O616" s="290"/>
      <c r="P616" s="290"/>
      <c r="Q616" s="290"/>
      <c r="R616" s="290"/>
      <c r="S616" s="290"/>
      <c r="T616" s="290"/>
      <c r="U616" s="294"/>
      <c r="V616" s="290"/>
      <c r="W616" s="290"/>
      <c r="X616" s="291"/>
      <c r="Y616" s="295">
        <v>50</v>
      </c>
      <c r="Z616" s="295"/>
      <c r="AA616" s="296"/>
      <c r="AB616" s="296"/>
      <c r="AC616" s="291"/>
      <c r="AD616" s="291"/>
      <c r="AE616" s="291"/>
      <c r="AF616" s="297"/>
      <c r="AG616" s="291"/>
      <c r="AH616" s="291"/>
      <c r="AI616" s="291"/>
      <c r="AJ616" s="291"/>
      <c r="AK616" s="290"/>
      <c r="AL616" s="290"/>
      <c r="AM616" s="290"/>
      <c r="AN616" s="290"/>
      <c r="AO616" s="290"/>
      <c r="AP616" s="290"/>
      <c r="AQ616" s="290"/>
      <c r="AR616" s="290"/>
      <c r="AS616" s="290"/>
      <c r="AT616" s="290"/>
      <c r="AU616" s="290"/>
      <c r="AV616" s="290"/>
      <c r="AW616" s="290"/>
      <c r="AX616" s="290"/>
      <c r="AY616" s="290"/>
      <c r="AZ616" s="290"/>
      <c r="BA616" s="290"/>
      <c r="BG616" s="299"/>
      <c r="BH616" s="299"/>
      <c r="BI616" s="299"/>
      <c r="BK616" s="300"/>
    </row>
    <row r="617" spans="1:67" s="298" customFormat="1" hidden="1" x14ac:dyDescent="0.25">
      <c r="A617" s="290"/>
      <c r="B617" s="291"/>
      <c r="C617" s="290"/>
      <c r="D617" s="290"/>
      <c r="E617" s="290"/>
      <c r="F617" s="292" t="s">
        <v>153</v>
      </c>
      <c r="G617" s="290"/>
      <c r="H617" s="290"/>
      <c r="I617" s="290"/>
      <c r="J617" s="290"/>
      <c r="K617" s="290"/>
      <c r="L617" s="290"/>
      <c r="M617" s="293"/>
      <c r="N617" s="290" t="s">
        <v>267</v>
      </c>
      <c r="O617" s="290"/>
      <c r="P617" s="290"/>
      <c r="Q617" s="290"/>
      <c r="R617" s="290"/>
      <c r="S617" s="290"/>
      <c r="T617" s="290"/>
      <c r="U617" s="294"/>
      <c r="V617" s="290"/>
      <c r="W617" s="290"/>
      <c r="X617" s="291"/>
      <c r="Y617" s="295">
        <v>50</v>
      </c>
      <c r="Z617" s="295"/>
      <c r="AA617" s="296"/>
      <c r="AB617" s="296"/>
      <c r="AC617" s="291"/>
      <c r="AD617" s="291"/>
      <c r="AE617" s="291"/>
      <c r="AF617" s="297"/>
      <c r="AG617" s="291"/>
      <c r="AH617" s="291"/>
      <c r="AI617" s="291"/>
      <c r="AJ617" s="291"/>
      <c r="AK617" s="290"/>
      <c r="AL617" s="290"/>
      <c r="AM617" s="290"/>
      <c r="AN617" s="290"/>
      <c r="AO617" s="290"/>
      <c r="AP617" s="290"/>
      <c r="AQ617" s="290"/>
      <c r="AR617" s="290"/>
      <c r="AS617" s="290"/>
      <c r="AT617" s="290"/>
      <c r="AU617" s="290"/>
      <c r="AV617" s="290"/>
      <c r="AW617" s="290"/>
      <c r="AX617" s="290"/>
      <c r="AY617" s="290"/>
      <c r="AZ617" s="290"/>
      <c r="BA617" s="290"/>
      <c r="BG617" s="299"/>
      <c r="BH617" s="299"/>
      <c r="BI617" s="299"/>
      <c r="BK617" s="300"/>
    </row>
    <row r="618" spans="1:67" s="298" customFormat="1" hidden="1" x14ac:dyDescent="0.25">
      <c r="A618" s="290"/>
      <c r="B618" s="291"/>
      <c r="C618" s="290"/>
      <c r="D618" s="290"/>
      <c r="E618" s="290"/>
      <c r="F618" s="292" t="s">
        <v>203</v>
      </c>
      <c r="G618" s="290"/>
      <c r="H618" s="301"/>
      <c r="I618" s="302"/>
      <c r="J618" s="290"/>
      <c r="K618" s="290"/>
      <c r="L618" s="290"/>
      <c r="M618" s="293"/>
      <c r="N618" s="290"/>
      <c r="O618" s="290"/>
      <c r="P618" s="290"/>
      <c r="Q618" s="290"/>
      <c r="R618" s="290"/>
      <c r="S618" s="290"/>
      <c r="T618" s="290"/>
      <c r="U618" s="294"/>
      <c r="V618" s="290"/>
      <c r="W618" s="290"/>
      <c r="X618" s="291"/>
      <c r="Y618" s="295">
        <v>50</v>
      </c>
      <c r="Z618" s="295"/>
      <c r="AA618" s="296"/>
      <c r="AB618" s="296"/>
      <c r="AC618" s="291"/>
      <c r="AD618" s="291"/>
      <c r="AE618" s="291"/>
      <c r="AF618" s="297"/>
      <c r="AG618" s="291"/>
      <c r="AH618" s="291"/>
      <c r="AI618" s="291"/>
      <c r="AJ618" s="291"/>
      <c r="AK618" s="290"/>
      <c r="AL618" s="290"/>
      <c r="AM618" s="290"/>
      <c r="AN618" s="290"/>
      <c r="AO618" s="290"/>
      <c r="AP618" s="290"/>
      <c r="AQ618" s="290"/>
      <c r="AR618" s="290"/>
      <c r="AS618" s="290"/>
      <c r="AT618" s="290"/>
      <c r="AU618" s="290"/>
      <c r="AV618" s="290"/>
      <c r="AW618" s="290"/>
      <c r="AX618" s="290"/>
      <c r="AY618" s="290"/>
      <c r="AZ618" s="290"/>
      <c r="BA618" s="290"/>
      <c r="BG618" s="299"/>
      <c r="BH618" s="299"/>
      <c r="BI618" s="299"/>
      <c r="BK618" s="300"/>
    </row>
    <row r="619" spans="1:67" s="298" customFormat="1" hidden="1" x14ac:dyDescent="0.25">
      <c r="A619" s="290"/>
      <c r="B619" s="291"/>
      <c r="C619" s="290"/>
      <c r="D619" s="290"/>
      <c r="E619" s="290"/>
      <c r="F619" s="292" t="s">
        <v>114</v>
      </c>
      <c r="G619" s="290"/>
      <c r="H619" s="303"/>
      <c r="I619" s="304"/>
      <c r="J619" s="290"/>
      <c r="K619" s="290"/>
      <c r="L619" s="290"/>
      <c r="M619" s="293"/>
      <c r="N619" s="290"/>
      <c r="O619" s="290"/>
      <c r="P619" s="290"/>
      <c r="Q619" s="290"/>
      <c r="R619" s="290"/>
      <c r="S619" s="290"/>
      <c r="T619" s="290"/>
      <c r="U619" s="294"/>
      <c r="V619" s="290"/>
      <c r="W619" s="290"/>
      <c r="X619" s="291"/>
      <c r="Y619" s="295">
        <v>125</v>
      </c>
      <c r="Z619" s="295"/>
      <c r="AA619" s="296"/>
      <c r="AB619" s="296"/>
      <c r="AC619" s="291"/>
      <c r="AD619" s="291"/>
      <c r="AE619" s="291"/>
      <c r="AF619" s="297"/>
      <c r="AG619" s="291"/>
      <c r="AH619" s="291"/>
      <c r="AI619" s="291"/>
      <c r="AJ619" s="291"/>
      <c r="AK619" s="290"/>
      <c r="AL619" s="290"/>
      <c r="AM619" s="290"/>
      <c r="AN619" s="290"/>
      <c r="AO619" s="290"/>
      <c r="AP619" s="290"/>
      <c r="AQ619" s="290"/>
      <c r="AR619" s="290"/>
      <c r="AS619" s="290"/>
      <c r="AT619" s="290"/>
      <c r="AU619" s="290"/>
      <c r="AV619" s="290"/>
      <c r="AW619" s="290"/>
      <c r="AX619" s="290"/>
      <c r="AY619" s="290"/>
      <c r="AZ619" s="290"/>
      <c r="BA619" s="290"/>
      <c r="BG619" s="299"/>
      <c r="BH619" s="299"/>
      <c r="BI619" s="299"/>
      <c r="BK619" s="300"/>
    </row>
    <row r="620" spans="1:67" s="298" customFormat="1" hidden="1" x14ac:dyDescent="0.25">
      <c r="A620" s="290"/>
      <c r="B620" s="291"/>
      <c r="C620" s="290"/>
      <c r="D620" s="290"/>
      <c r="E620" s="290"/>
      <c r="F620" s="292" t="s">
        <v>245</v>
      </c>
      <c r="G620" s="290"/>
      <c r="H620" s="303"/>
      <c r="I620" s="304"/>
      <c r="J620" s="290"/>
      <c r="K620" s="290"/>
      <c r="L620" s="290"/>
      <c r="M620" s="293"/>
      <c r="N620" s="290"/>
      <c r="O620" s="290"/>
      <c r="P620" s="290"/>
      <c r="Q620" s="290"/>
      <c r="R620" s="290"/>
      <c r="S620" s="290"/>
      <c r="T620" s="290"/>
      <c r="U620" s="294"/>
      <c r="V620" s="290"/>
      <c r="W620" s="290"/>
      <c r="X620" s="291"/>
      <c r="Y620" s="295">
        <v>4</v>
      </c>
      <c r="Z620" s="295"/>
      <c r="AA620" s="296"/>
      <c r="AB620" s="296"/>
      <c r="AC620" s="291"/>
      <c r="AD620" s="291"/>
      <c r="AE620" s="291"/>
      <c r="AF620" s="297"/>
      <c r="AG620" s="291"/>
      <c r="AH620" s="291"/>
      <c r="AI620" s="291"/>
      <c r="AJ620" s="291"/>
      <c r="AK620" s="290"/>
      <c r="AL620" s="290"/>
      <c r="AM620" s="290"/>
      <c r="AN620" s="290"/>
      <c r="AO620" s="290"/>
      <c r="AP620" s="290"/>
      <c r="AQ620" s="290"/>
      <c r="AR620" s="290"/>
      <c r="AS620" s="290"/>
      <c r="AT620" s="290"/>
      <c r="AU620" s="290"/>
      <c r="AV620" s="290"/>
      <c r="AW620" s="290"/>
      <c r="AX620" s="290"/>
      <c r="AY620" s="290"/>
      <c r="AZ620" s="290"/>
      <c r="BA620" s="290"/>
      <c r="BG620" s="299"/>
      <c r="BH620" s="299"/>
      <c r="BI620" s="299"/>
      <c r="BK620" s="300"/>
    </row>
    <row r="621" spans="1:67" s="298" customFormat="1" hidden="1" x14ac:dyDescent="0.25">
      <c r="A621" s="290"/>
      <c r="B621" s="291"/>
      <c r="C621" s="290"/>
      <c r="D621" s="290"/>
      <c r="E621" s="290"/>
      <c r="F621" s="292" t="s">
        <v>268</v>
      </c>
      <c r="G621" s="290"/>
      <c r="H621" s="303"/>
      <c r="I621" s="304"/>
      <c r="J621" s="290"/>
      <c r="K621" s="290"/>
      <c r="L621" s="290"/>
      <c r="M621" s="293"/>
      <c r="N621" s="290"/>
      <c r="O621" s="290"/>
      <c r="P621" s="290"/>
      <c r="Q621" s="290"/>
      <c r="R621" s="290"/>
      <c r="S621" s="290"/>
      <c r="T621" s="290"/>
      <c r="U621" s="294"/>
      <c r="V621" s="290"/>
      <c r="W621" s="290"/>
      <c r="X621" s="291"/>
      <c r="Y621" s="295">
        <v>21</v>
      </c>
      <c r="Z621" s="295"/>
      <c r="AA621" s="296"/>
      <c r="AB621" s="296"/>
      <c r="AC621" s="291"/>
      <c r="AD621" s="291"/>
      <c r="AE621" s="291"/>
      <c r="AF621" s="297"/>
      <c r="AG621" s="291"/>
      <c r="AH621" s="291"/>
      <c r="AI621" s="291"/>
      <c r="AJ621" s="291"/>
      <c r="AK621" s="290"/>
      <c r="AL621" s="290"/>
      <c r="AM621" s="290"/>
      <c r="AN621" s="290"/>
      <c r="AO621" s="290"/>
      <c r="AP621" s="290"/>
      <c r="AQ621" s="290"/>
      <c r="AR621" s="290"/>
      <c r="AS621" s="290"/>
      <c r="AT621" s="290"/>
      <c r="AU621" s="290"/>
      <c r="AV621" s="290"/>
      <c r="AW621" s="290"/>
      <c r="AX621" s="290"/>
      <c r="AY621" s="290"/>
      <c r="AZ621" s="290"/>
      <c r="BA621" s="290"/>
      <c r="BG621" s="299"/>
      <c r="BH621" s="299"/>
      <c r="BI621" s="299"/>
      <c r="BK621" s="300"/>
    </row>
    <row r="622" spans="1:67" s="298" customFormat="1" hidden="1" x14ac:dyDescent="0.25">
      <c r="A622" s="290"/>
      <c r="B622" s="291"/>
      <c r="C622" s="290"/>
      <c r="D622" s="290"/>
      <c r="E622" s="290"/>
      <c r="F622" s="292" t="s">
        <v>269</v>
      </c>
      <c r="G622" s="290"/>
      <c r="H622" s="303"/>
      <c r="I622" s="304"/>
      <c r="J622" s="290"/>
      <c r="K622" s="290"/>
      <c r="L622" s="290"/>
      <c r="M622" s="293"/>
      <c r="N622" s="290"/>
      <c r="O622" s="290"/>
      <c r="P622" s="290"/>
      <c r="Q622" s="290"/>
      <c r="R622" s="290"/>
      <c r="S622" s="290"/>
      <c r="T622" s="290"/>
      <c r="U622" s="294"/>
      <c r="V622" s="290"/>
      <c r="W622" s="290"/>
      <c r="X622" s="291"/>
      <c r="Y622" s="295">
        <v>24</v>
      </c>
      <c r="Z622" s="295"/>
      <c r="AA622" s="296"/>
      <c r="AB622" s="296"/>
      <c r="AC622" s="291"/>
      <c r="AD622" s="291"/>
      <c r="AE622" s="291"/>
      <c r="AF622" s="297"/>
      <c r="AG622" s="291"/>
      <c r="AH622" s="291"/>
      <c r="AI622" s="291"/>
      <c r="AJ622" s="291"/>
      <c r="AK622" s="290"/>
      <c r="AL622" s="290"/>
      <c r="AM622" s="290"/>
      <c r="AN622" s="290"/>
      <c r="AO622" s="290"/>
      <c r="AP622" s="290"/>
      <c r="AQ622" s="290"/>
      <c r="AR622" s="290"/>
      <c r="AS622" s="290"/>
      <c r="AT622" s="290"/>
      <c r="AU622" s="290"/>
      <c r="AV622" s="290"/>
      <c r="AW622" s="290"/>
      <c r="AX622" s="290"/>
      <c r="AY622" s="290"/>
      <c r="AZ622" s="290"/>
      <c r="BA622" s="290"/>
      <c r="BG622" s="299"/>
      <c r="BH622" s="299"/>
      <c r="BI622" s="299"/>
      <c r="BK622" s="300"/>
    </row>
    <row r="623" spans="1:67" s="298" customFormat="1" hidden="1" x14ac:dyDescent="0.2">
      <c r="A623" s="290"/>
      <c r="B623" s="291"/>
      <c r="C623" s="290"/>
      <c r="D623" s="290"/>
      <c r="E623" s="290"/>
      <c r="F623" s="292" t="s">
        <v>129</v>
      </c>
      <c r="G623" s="290"/>
      <c r="H623" s="305"/>
      <c r="I623" s="304"/>
      <c r="J623" s="290"/>
      <c r="K623" s="290"/>
      <c r="L623" s="290"/>
      <c r="M623" s="293"/>
      <c r="N623" s="290"/>
      <c r="O623" s="290"/>
      <c r="P623" s="290"/>
      <c r="Q623" s="290"/>
      <c r="R623" s="290"/>
      <c r="S623" s="290"/>
      <c r="T623" s="290"/>
      <c r="U623" s="294"/>
      <c r="V623" s="290"/>
      <c r="W623" s="290"/>
      <c r="X623" s="291"/>
      <c r="Y623" s="295">
        <v>64</v>
      </c>
      <c r="Z623" s="295"/>
      <c r="AA623" s="296"/>
      <c r="AB623" s="296"/>
      <c r="AC623" s="291"/>
      <c r="AD623" s="291"/>
      <c r="AE623" s="291"/>
      <c r="AF623" s="297"/>
      <c r="AG623" s="291"/>
      <c r="AH623" s="291"/>
      <c r="AI623" s="291"/>
      <c r="AJ623" s="291"/>
      <c r="AK623" s="290"/>
      <c r="AL623" s="290"/>
      <c r="AM623" s="290"/>
      <c r="AN623" s="290"/>
      <c r="AO623" s="290"/>
      <c r="AP623" s="290"/>
      <c r="AQ623" s="290"/>
      <c r="AR623" s="290"/>
      <c r="AS623" s="290"/>
      <c r="AT623" s="290"/>
      <c r="AU623" s="290"/>
      <c r="AV623" s="290"/>
      <c r="AW623" s="290"/>
      <c r="AX623" s="290"/>
      <c r="AY623" s="290"/>
      <c r="AZ623" s="290"/>
      <c r="BA623" s="290"/>
      <c r="BG623" s="299"/>
      <c r="BH623" s="299"/>
      <c r="BI623" s="299"/>
      <c r="BK623" s="300"/>
    </row>
    <row r="624" spans="1:67" s="298" customFormat="1" hidden="1" x14ac:dyDescent="0.25">
      <c r="A624" s="290"/>
      <c r="B624" s="291"/>
      <c r="C624" s="290"/>
      <c r="D624" s="290"/>
      <c r="E624" s="290"/>
      <c r="F624" s="292" t="s">
        <v>148</v>
      </c>
      <c r="G624" s="290"/>
      <c r="H624" s="306"/>
      <c r="I624" s="304"/>
      <c r="J624" s="290"/>
      <c r="K624" s="290"/>
      <c r="L624" s="290"/>
      <c r="M624" s="293"/>
      <c r="N624" s="290"/>
      <c r="O624" s="290"/>
      <c r="P624" s="290"/>
      <c r="Q624" s="290"/>
      <c r="R624" s="290"/>
      <c r="S624" s="290"/>
      <c r="T624" s="290"/>
      <c r="U624" s="294"/>
      <c r="V624" s="290"/>
      <c r="W624" s="290"/>
      <c r="X624" s="291"/>
      <c r="Y624" s="295">
        <v>350</v>
      </c>
      <c r="Z624" s="295"/>
      <c r="AA624" s="296"/>
      <c r="AB624" s="296"/>
      <c r="AC624" s="291"/>
      <c r="AD624" s="291"/>
      <c r="AE624" s="291"/>
      <c r="AF624" s="297"/>
      <c r="AG624" s="291"/>
      <c r="AH624" s="291"/>
      <c r="AI624" s="291"/>
      <c r="AJ624" s="291"/>
      <c r="AK624" s="290"/>
      <c r="AL624" s="290"/>
      <c r="AM624" s="290"/>
      <c r="AN624" s="290"/>
      <c r="AO624" s="290"/>
      <c r="AP624" s="290"/>
      <c r="AQ624" s="290"/>
      <c r="AR624" s="290"/>
      <c r="AS624" s="290"/>
      <c r="AT624" s="290"/>
      <c r="AU624" s="290"/>
      <c r="AV624" s="290"/>
      <c r="AW624" s="290"/>
      <c r="AX624" s="290"/>
      <c r="AY624" s="290"/>
      <c r="AZ624" s="290"/>
      <c r="BA624" s="290"/>
      <c r="BG624" s="299"/>
      <c r="BH624" s="299"/>
      <c r="BI624" s="299"/>
      <c r="BK624" s="300"/>
    </row>
    <row r="625" spans="1:63" s="298" customFormat="1" hidden="1" x14ac:dyDescent="0.25">
      <c r="A625" s="290"/>
      <c r="B625" s="291"/>
      <c r="C625" s="290"/>
      <c r="D625" s="290"/>
      <c r="E625" s="290"/>
      <c r="F625" s="292" t="s">
        <v>159</v>
      </c>
      <c r="G625" s="290"/>
      <c r="H625" s="303"/>
      <c r="I625" s="304"/>
      <c r="J625" s="290"/>
      <c r="K625" s="290"/>
      <c r="L625" s="290"/>
      <c r="M625" s="293"/>
      <c r="N625" s="290"/>
      <c r="O625" s="290"/>
      <c r="P625" s="290"/>
      <c r="Q625" s="290"/>
      <c r="R625" s="290"/>
      <c r="S625" s="290"/>
      <c r="T625" s="290"/>
      <c r="U625" s="294"/>
      <c r="V625" s="290"/>
      <c r="W625" s="290"/>
      <c r="X625" s="291"/>
      <c r="Y625" s="295">
        <v>33</v>
      </c>
      <c r="Z625" s="295"/>
      <c r="AA625" s="296"/>
      <c r="AB625" s="296"/>
      <c r="AC625" s="291"/>
      <c r="AD625" s="291"/>
      <c r="AE625" s="291"/>
      <c r="AF625" s="291"/>
      <c r="AG625" s="291"/>
      <c r="AH625" s="291"/>
      <c r="AI625" s="291"/>
      <c r="AJ625" s="291"/>
      <c r="AK625" s="290"/>
      <c r="AL625" s="290"/>
      <c r="AM625" s="290"/>
      <c r="AN625" s="290"/>
      <c r="AO625" s="290"/>
      <c r="AP625" s="290"/>
      <c r="AQ625" s="290"/>
      <c r="AR625" s="290"/>
      <c r="AS625" s="290"/>
      <c r="AT625" s="290"/>
      <c r="AU625" s="290"/>
      <c r="AV625" s="290"/>
      <c r="AW625" s="290"/>
      <c r="AX625" s="290"/>
      <c r="AY625" s="290"/>
      <c r="AZ625" s="290"/>
      <c r="BA625" s="290"/>
      <c r="BG625" s="307"/>
      <c r="BH625" s="307"/>
      <c r="BI625" s="307"/>
      <c r="BK625" s="300"/>
    </row>
    <row r="626" spans="1:63" s="298" customFormat="1" hidden="1" x14ac:dyDescent="0.25">
      <c r="A626" s="290"/>
      <c r="B626" s="291"/>
      <c r="C626" s="290"/>
      <c r="D626" s="290"/>
      <c r="E626" s="290"/>
      <c r="F626" s="292" t="s">
        <v>253</v>
      </c>
      <c r="G626" s="290"/>
      <c r="H626" s="303"/>
      <c r="I626" s="304"/>
      <c r="J626" s="290"/>
      <c r="K626" s="290"/>
      <c r="L626" s="290"/>
      <c r="M626" s="293"/>
      <c r="N626" s="290"/>
      <c r="O626" s="290"/>
      <c r="P626" s="290"/>
      <c r="Q626" s="290"/>
      <c r="R626" s="290"/>
      <c r="S626" s="290"/>
      <c r="T626" s="290"/>
      <c r="U626" s="294"/>
      <c r="V626" s="290"/>
      <c r="W626" s="290"/>
      <c r="X626" s="291"/>
      <c r="Y626" s="295">
        <v>34.75</v>
      </c>
      <c r="Z626" s="295"/>
      <c r="AA626" s="296"/>
      <c r="AB626" s="296"/>
      <c r="AC626" s="291"/>
      <c r="AD626" s="291"/>
      <c r="AE626" s="291"/>
      <c r="AF626" s="291"/>
      <c r="AG626" s="291"/>
      <c r="AH626" s="291"/>
      <c r="AI626" s="291"/>
      <c r="AJ626" s="291"/>
      <c r="AK626" s="290"/>
      <c r="AL626" s="290"/>
      <c r="AM626" s="290"/>
      <c r="AN626" s="290"/>
      <c r="AO626" s="290"/>
      <c r="AP626" s="290"/>
      <c r="AQ626" s="290"/>
      <c r="AR626" s="290"/>
      <c r="AS626" s="290"/>
      <c r="AT626" s="290"/>
      <c r="AU626" s="290"/>
      <c r="AV626" s="290"/>
      <c r="AW626" s="290"/>
      <c r="AX626" s="290"/>
      <c r="AY626" s="290"/>
      <c r="AZ626" s="290"/>
      <c r="BA626" s="290"/>
      <c r="BG626" s="307"/>
      <c r="BH626" s="307"/>
      <c r="BI626" s="307"/>
      <c r="BK626" s="300"/>
    </row>
    <row r="627" spans="1:63" s="298" customFormat="1" hidden="1" x14ac:dyDescent="0.25">
      <c r="A627" s="290"/>
      <c r="B627" s="291"/>
      <c r="C627" s="290"/>
      <c r="D627" s="290"/>
      <c r="E627" s="290"/>
      <c r="F627" s="292" t="s">
        <v>146</v>
      </c>
      <c r="G627" s="290"/>
      <c r="H627" s="303"/>
      <c r="I627" s="304"/>
      <c r="J627" s="290"/>
      <c r="K627" s="290"/>
      <c r="L627" s="290"/>
      <c r="M627" s="293"/>
      <c r="N627" s="290"/>
      <c r="O627" s="290"/>
      <c r="P627" s="290"/>
      <c r="Q627" s="290"/>
      <c r="R627" s="290"/>
      <c r="S627" s="290"/>
      <c r="T627" s="290"/>
      <c r="U627" s="294"/>
      <c r="V627" s="290"/>
      <c r="W627" s="290"/>
      <c r="X627" s="291"/>
      <c r="Y627" s="295">
        <v>40.4</v>
      </c>
      <c r="Z627" s="295"/>
      <c r="AA627" s="296"/>
      <c r="AB627" s="296"/>
      <c r="AC627" s="291"/>
      <c r="AD627" s="291"/>
      <c r="AE627" s="291"/>
      <c r="AF627" s="291"/>
      <c r="AG627" s="291"/>
      <c r="AH627" s="291"/>
      <c r="AI627" s="291"/>
      <c r="AJ627" s="291"/>
      <c r="AK627" s="290"/>
      <c r="AL627" s="290"/>
      <c r="AM627" s="290"/>
      <c r="AN627" s="290"/>
      <c r="AO627" s="290"/>
      <c r="AP627" s="290"/>
      <c r="AQ627" s="290"/>
      <c r="AR627" s="290"/>
      <c r="AS627" s="290"/>
      <c r="AT627" s="290"/>
      <c r="AU627" s="290"/>
      <c r="AV627" s="290"/>
      <c r="AW627" s="290"/>
      <c r="AX627" s="290"/>
      <c r="AY627" s="290"/>
      <c r="AZ627" s="290"/>
      <c r="BA627" s="290"/>
      <c r="BG627" s="307"/>
      <c r="BH627" s="307"/>
      <c r="BI627" s="307"/>
      <c r="BK627" s="300"/>
    </row>
    <row r="628" spans="1:63" s="298" customFormat="1" hidden="1" x14ac:dyDescent="0.25">
      <c r="A628" s="290"/>
      <c r="B628" s="291"/>
      <c r="C628" s="290"/>
      <c r="D628" s="290"/>
      <c r="E628" s="290"/>
      <c r="F628" s="292" t="s">
        <v>151</v>
      </c>
      <c r="G628" s="290"/>
      <c r="H628" s="303"/>
      <c r="I628" s="304"/>
      <c r="J628" s="290"/>
      <c r="K628" s="290"/>
      <c r="L628" s="290"/>
      <c r="M628" s="293"/>
      <c r="N628" s="290"/>
      <c r="O628" s="290"/>
      <c r="P628" s="290"/>
      <c r="Q628" s="290"/>
      <c r="R628" s="290"/>
      <c r="S628" s="290"/>
      <c r="T628" s="290"/>
      <c r="U628" s="294"/>
      <c r="V628" s="290"/>
      <c r="W628" s="290"/>
      <c r="X628" s="291"/>
      <c r="Y628" s="295">
        <v>683.33333333333337</v>
      </c>
      <c r="Z628" s="295"/>
      <c r="AA628" s="296"/>
      <c r="AB628" s="296"/>
      <c r="AC628" s="291"/>
      <c r="AD628" s="291"/>
      <c r="AE628" s="291"/>
      <c r="AF628" s="291"/>
      <c r="AG628" s="291"/>
      <c r="AH628" s="291"/>
      <c r="AI628" s="291"/>
      <c r="AJ628" s="291"/>
      <c r="AK628" s="290"/>
      <c r="AL628" s="290"/>
      <c r="AM628" s="290"/>
      <c r="AN628" s="290"/>
      <c r="AO628" s="290"/>
      <c r="AP628" s="290"/>
      <c r="AQ628" s="290"/>
      <c r="AR628" s="290"/>
      <c r="AS628" s="290"/>
      <c r="AT628" s="290"/>
      <c r="AU628" s="290"/>
      <c r="AV628" s="290"/>
      <c r="AW628" s="290"/>
      <c r="AX628" s="290"/>
      <c r="AY628" s="290"/>
      <c r="AZ628" s="290"/>
      <c r="BA628" s="290"/>
      <c r="BG628" s="307"/>
      <c r="BH628" s="307"/>
      <c r="BI628" s="307"/>
      <c r="BK628" s="300"/>
    </row>
    <row r="629" spans="1:63" s="298" customFormat="1" hidden="1" x14ac:dyDescent="0.25">
      <c r="A629" s="290"/>
      <c r="B629" s="291"/>
      <c r="C629" s="290"/>
      <c r="D629" s="290"/>
      <c r="E629" s="290"/>
      <c r="F629" s="292"/>
      <c r="G629" s="290"/>
      <c r="H629" s="290"/>
      <c r="I629" s="290"/>
      <c r="J629" s="290"/>
      <c r="K629" s="290"/>
      <c r="L629" s="290"/>
      <c r="M629" s="293"/>
      <c r="N629" s="290"/>
      <c r="O629" s="290"/>
      <c r="P629" s="290"/>
      <c r="Q629" s="290"/>
      <c r="R629" s="290"/>
      <c r="S629" s="290"/>
      <c r="T629" s="290"/>
      <c r="U629" s="294"/>
      <c r="V629" s="290"/>
      <c r="W629" s="290"/>
      <c r="X629" s="291"/>
      <c r="Y629" s="295">
        <v>433.33333333333331</v>
      </c>
      <c r="Z629" s="295"/>
      <c r="AA629" s="296"/>
      <c r="AB629" s="296"/>
      <c r="AC629" s="291"/>
      <c r="AD629" s="291"/>
      <c r="AE629" s="291"/>
      <c r="AF629" s="291"/>
      <c r="AG629" s="291"/>
      <c r="AH629" s="291"/>
      <c r="AI629" s="291"/>
      <c r="AJ629" s="291"/>
      <c r="AK629" s="290"/>
      <c r="AL629" s="290"/>
      <c r="AM629" s="290"/>
      <c r="AN629" s="290"/>
      <c r="AO629" s="290"/>
      <c r="AP629" s="290"/>
      <c r="AQ629" s="290"/>
      <c r="AR629" s="290"/>
      <c r="AS629" s="290"/>
      <c r="AT629" s="290"/>
      <c r="AU629" s="290"/>
      <c r="AV629" s="290"/>
      <c r="AW629" s="290"/>
      <c r="AX629" s="290"/>
      <c r="AY629" s="290"/>
      <c r="AZ629" s="290"/>
      <c r="BA629" s="290"/>
      <c r="BG629" s="307"/>
      <c r="BH629" s="307"/>
      <c r="BI629" s="307"/>
      <c r="BK629" s="300"/>
    </row>
    <row r="630" spans="1:63" s="298" customFormat="1" hidden="1" x14ac:dyDescent="0.25">
      <c r="A630" s="290"/>
      <c r="B630" s="291"/>
      <c r="C630" s="290"/>
      <c r="D630" s="290"/>
      <c r="E630" s="290"/>
      <c r="F630" s="292"/>
      <c r="G630" s="290"/>
      <c r="H630" s="290"/>
      <c r="I630" s="290"/>
      <c r="J630" s="290"/>
      <c r="K630" s="290"/>
      <c r="L630" s="290"/>
      <c r="M630" s="293"/>
      <c r="N630" s="290"/>
      <c r="O630" s="290"/>
      <c r="P630" s="290"/>
      <c r="Q630" s="290"/>
      <c r="R630" s="290"/>
      <c r="S630" s="290"/>
      <c r="T630" s="290"/>
      <c r="U630" s="294"/>
      <c r="V630" s="290"/>
      <c r="W630" s="290"/>
      <c r="X630" s="291"/>
      <c r="Y630" s="295">
        <v>550</v>
      </c>
      <c r="Z630" s="295"/>
      <c r="AA630" s="296"/>
      <c r="AB630" s="296"/>
      <c r="AC630" s="291"/>
      <c r="AD630" s="291"/>
      <c r="AE630" s="291"/>
      <c r="AF630" s="291"/>
      <c r="AG630" s="291"/>
      <c r="AH630" s="291"/>
      <c r="AI630" s="291"/>
      <c r="AJ630" s="291"/>
      <c r="AK630" s="290"/>
      <c r="AL630" s="290"/>
      <c r="AM630" s="290"/>
      <c r="AN630" s="290"/>
      <c r="AO630" s="290"/>
      <c r="AP630" s="290"/>
      <c r="AQ630" s="290"/>
      <c r="AR630" s="290"/>
      <c r="AS630" s="290"/>
      <c r="AT630" s="290"/>
      <c r="AU630" s="290"/>
      <c r="AV630" s="290"/>
      <c r="AW630" s="290"/>
      <c r="AX630" s="290"/>
      <c r="AY630" s="290"/>
      <c r="AZ630" s="290"/>
      <c r="BA630" s="290"/>
      <c r="BG630" s="307"/>
      <c r="BH630" s="307"/>
      <c r="BI630" s="307"/>
      <c r="BK630" s="300"/>
    </row>
    <row r="631" spans="1:63" s="298" customFormat="1" hidden="1" x14ac:dyDescent="0.25">
      <c r="A631" s="290"/>
      <c r="B631" s="291"/>
      <c r="C631" s="290"/>
      <c r="D631" s="290"/>
      <c r="E631" s="290"/>
      <c r="F631" s="292"/>
      <c r="G631" s="290"/>
      <c r="H631" s="290"/>
      <c r="I631" s="290"/>
      <c r="J631" s="290"/>
      <c r="K631" s="290"/>
      <c r="L631" s="290"/>
      <c r="M631" s="293"/>
      <c r="N631" s="290"/>
      <c r="O631" s="290"/>
      <c r="P631" s="290"/>
      <c r="Q631" s="290"/>
      <c r="R631" s="290"/>
      <c r="S631" s="290"/>
      <c r="T631" s="290"/>
      <c r="U631" s="294"/>
      <c r="V631" s="290"/>
      <c r="W631" s="290"/>
      <c r="X631" s="291"/>
      <c r="Y631" s="295">
        <v>600</v>
      </c>
      <c r="Z631" s="295"/>
      <c r="AA631" s="296"/>
      <c r="AB631" s="296"/>
      <c r="AC631" s="291"/>
      <c r="AD631" s="291"/>
      <c r="AE631" s="291"/>
      <c r="AF631" s="291"/>
      <c r="AG631" s="291"/>
      <c r="AH631" s="291"/>
      <c r="AI631" s="291"/>
      <c r="AJ631" s="291"/>
      <c r="AK631" s="290"/>
      <c r="AL631" s="290"/>
      <c r="AM631" s="290"/>
      <c r="AN631" s="290"/>
      <c r="AO631" s="290"/>
      <c r="AP631" s="290"/>
      <c r="AQ631" s="290"/>
      <c r="AR631" s="290"/>
      <c r="AS631" s="290"/>
      <c r="AT631" s="290"/>
      <c r="AU631" s="290"/>
      <c r="AV631" s="290"/>
      <c r="AW631" s="290"/>
      <c r="AX631" s="290"/>
      <c r="AY631" s="290"/>
      <c r="AZ631" s="290"/>
      <c r="BA631" s="290"/>
      <c r="BG631" s="307"/>
      <c r="BH631" s="307"/>
      <c r="BI631" s="307"/>
      <c r="BK631" s="300"/>
    </row>
    <row r="632" spans="1:63" s="298" customFormat="1" hidden="1" x14ac:dyDescent="0.25">
      <c r="A632" s="290"/>
      <c r="B632" s="291"/>
      <c r="C632" s="290"/>
      <c r="D632" s="290"/>
      <c r="E632" s="290"/>
      <c r="F632" s="292"/>
      <c r="G632" s="290"/>
      <c r="H632" s="290"/>
      <c r="I632" s="290"/>
      <c r="J632" s="290"/>
      <c r="K632" s="290"/>
      <c r="L632" s="290"/>
      <c r="M632" s="293"/>
      <c r="N632" s="290"/>
      <c r="O632" s="290"/>
      <c r="P632" s="290"/>
      <c r="Q632" s="290"/>
      <c r="R632" s="290"/>
      <c r="S632" s="290"/>
      <c r="T632" s="290"/>
      <c r="U632" s="294"/>
      <c r="V632" s="290"/>
      <c r="W632" s="290"/>
      <c r="X632" s="291"/>
      <c r="Y632" s="295">
        <v>475</v>
      </c>
      <c r="Z632" s="295"/>
      <c r="AA632" s="296"/>
      <c r="AB632" s="296"/>
      <c r="AC632" s="291"/>
      <c r="AD632" s="291"/>
      <c r="AE632" s="291"/>
      <c r="AF632" s="291"/>
      <c r="AG632" s="291"/>
      <c r="AH632" s="291"/>
      <c r="AI632" s="291"/>
      <c r="AJ632" s="291"/>
      <c r="AK632" s="290"/>
      <c r="AL632" s="290"/>
      <c r="AM632" s="290"/>
      <c r="AN632" s="290"/>
      <c r="AO632" s="290"/>
      <c r="AP632" s="290"/>
      <c r="AQ632" s="290"/>
      <c r="AR632" s="290"/>
      <c r="AS632" s="290"/>
      <c r="AT632" s="290"/>
      <c r="AU632" s="290"/>
      <c r="AV632" s="290"/>
      <c r="AW632" s="290"/>
      <c r="AX632" s="290"/>
      <c r="AY632" s="290"/>
      <c r="AZ632" s="290"/>
      <c r="BA632" s="290"/>
      <c r="BG632" s="307"/>
      <c r="BH632" s="307"/>
      <c r="BI632" s="307"/>
      <c r="BK632" s="300"/>
    </row>
    <row r="633" spans="1:63" s="298" customFormat="1" hidden="1" x14ac:dyDescent="0.25">
      <c r="A633" s="290"/>
      <c r="B633" s="291"/>
      <c r="C633" s="290"/>
      <c r="D633" s="290"/>
      <c r="E633" s="290"/>
      <c r="F633" s="292"/>
      <c r="G633" s="290"/>
      <c r="H633" s="290"/>
      <c r="I633" s="290"/>
      <c r="J633" s="290"/>
      <c r="K633" s="290"/>
      <c r="L633" s="290"/>
      <c r="M633" s="293"/>
      <c r="N633" s="290"/>
      <c r="O633" s="290"/>
      <c r="P633" s="290"/>
      <c r="Q633" s="290"/>
      <c r="R633" s="290"/>
      <c r="S633" s="290"/>
      <c r="T633" s="290"/>
      <c r="U633" s="294"/>
      <c r="V633" s="290"/>
      <c r="W633" s="290"/>
      <c r="X633" s="291"/>
      <c r="Y633" s="295">
        <v>400</v>
      </c>
      <c r="Z633" s="295"/>
      <c r="AA633" s="296"/>
      <c r="AB633" s="296"/>
      <c r="AC633" s="291"/>
      <c r="AD633" s="291"/>
      <c r="AE633" s="291"/>
      <c r="AF633" s="291"/>
      <c r="AG633" s="291"/>
      <c r="AH633" s="291"/>
      <c r="AI633" s="291"/>
      <c r="AJ633" s="291"/>
      <c r="AK633" s="290"/>
      <c r="AL633" s="290"/>
      <c r="AM633" s="290"/>
      <c r="AN633" s="290"/>
      <c r="AO633" s="290"/>
      <c r="AP633" s="290"/>
      <c r="AQ633" s="290"/>
      <c r="AR633" s="290"/>
      <c r="AS633" s="290"/>
      <c r="AT633" s="290"/>
      <c r="AU633" s="290"/>
      <c r="AV633" s="290"/>
      <c r="AW633" s="290"/>
      <c r="AX633" s="290"/>
      <c r="AY633" s="290"/>
      <c r="AZ633" s="290"/>
      <c r="BA633" s="290"/>
      <c r="BG633" s="307"/>
      <c r="BH633" s="307"/>
      <c r="BI633" s="307"/>
      <c r="BK633" s="300"/>
    </row>
    <row r="634" spans="1:63" s="298" customFormat="1" hidden="1" x14ac:dyDescent="0.25">
      <c r="A634" s="290"/>
      <c r="B634" s="291"/>
      <c r="C634" s="290"/>
      <c r="D634" s="290"/>
      <c r="E634" s="290"/>
      <c r="F634" s="292"/>
      <c r="G634" s="290"/>
      <c r="H634" s="290"/>
      <c r="I634" s="290"/>
      <c r="J634" s="290"/>
      <c r="K634" s="290"/>
      <c r="L634" s="290"/>
      <c r="M634" s="293"/>
      <c r="N634" s="290"/>
      <c r="O634" s="290"/>
      <c r="P634" s="290"/>
      <c r="Q634" s="290"/>
      <c r="R634" s="290"/>
      <c r="S634" s="290"/>
      <c r="T634" s="290"/>
      <c r="U634" s="294"/>
      <c r="V634" s="290"/>
      <c r="W634" s="290"/>
      <c r="X634" s="291"/>
      <c r="Y634" s="295">
        <v>1100</v>
      </c>
      <c r="Z634" s="295"/>
      <c r="AA634" s="296"/>
      <c r="AB634" s="296"/>
      <c r="AC634" s="291"/>
      <c r="AD634" s="291"/>
      <c r="AE634" s="291"/>
      <c r="AF634" s="291"/>
      <c r="AG634" s="291"/>
      <c r="AH634" s="291"/>
      <c r="AI634" s="291"/>
      <c r="AJ634" s="291"/>
      <c r="AK634" s="290"/>
      <c r="AL634" s="290"/>
      <c r="AM634" s="290"/>
      <c r="AN634" s="290"/>
      <c r="AO634" s="290"/>
      <c r="AP634" s="290"/>
      <c r="AQ634" s="290"/>
      <c r="AR634" s="290"/>
      <c r="AS634" s="290"/>
      <c r="AT634" s="290"/>
      <c r="AU634" s="290"/>
      <c r="AV634" s="290"/>
      <c r="AW634" s="290"/>
      <c r="AX634" s="290"/>
      <c r="AY634" s="290"/>
      <c r="AZ634" s="290"/>
      <c r="BA634" s="290"/>
      <c r="BG634" s="307"/>
      <c r="BH634" s="307"/>
      <c r="BI634" s="307"/>
      <c r="BK634" s="300"/>
    </row>
    <row r="635" spans="1:63" s="298" customFormat="1" hidden="1" x14ac:dyDescent="0.25">
      <c r="A635" s="290"/>
      <c r="B635" s="291"/>
      <c r="C635" s="290"/>
      <c r="D635" s="290"/>
      <c r="E635" s="290"/>
      <c r="F635" s="292"/>
      <c r="G635" s="290"/>
      <c r="H635" s="290"/>
      <c r="I635" s="290"/>
      <c r="J635" s="290"/>
      <c r="K635" s="290"/>
      <c r="L635" s="290"/>
      <c r="M635" s="293"/>
      <c r="N635" s="290"/>
      <c r="O635" s="290"/>
      <c r="P635" s="290"/>
      <c r="Q635" s="290"/>
      <c r="R635" s="290"/>
      <c r="S635" s="290"/>
      <c r="T635" s="290"/>
      <c r="U635" s="294"/>
      <c r="V635" s="290"/>
      <c r="W635" s="290"/>
      <c r="X635" s="291"/>
      <c r="Y635" s="295">
        <v>783.33333333333337</v>
      </c>
      <c r="Z635" s="295"/>
      <c r="AA635" s="296"/>
      <c r="AB635" s="296"/>
      <c r="AC635" s="291"/>
      <c r="AD635" s="291"/>
      <c r="AE635" s="291"/>
      <c r="AF635" s="291"/>
      <c r="AG635" s="291"/>
      <c r="AH635" s="291"/>
      <c r="AI635" s="291"/>
      <c r="AJ635" s="291"/>
      <c r="AK635" s="290"/>
      <c r="AL635" s="290"/>
      <c r="AM635" s="290"/>
      <c r="AN635" s="290"/>
      <c r="AO635" s="290"/>
      <c r="AP635" s="290"/>
      <c r="AQ635" s="290"/>
      <c r="AR635" s="290"/>
      <c r="AS635" s="290"/>
      <c r="AT635" s="290"/>
      <c r="AU635" s="290"/>
      <c r="AV635" s="290"/>
      <c r="AW635" s="290"/>
      <c r="AX635" s="290"/>
      <c r="AY635" s="290"/>
      <c r="AZ635" s="290"/>
      <c r="BA635" s="290"/>
      <c r="BG635" s="307"/>
      <c r="BH635" s="307"/>
      <c r="BI635" s="307"/>
      <c r="BK635" s="300"/>
    </row>
    <row r="636" spans="1:63" s="298" customFormat="1" hidden="1" x14ac:dyDescent="0.25">
      <c r="A636" s="290"/>
      <c r="B636" s="291"/>
      <c r="C636" s="290"/>
      <c r="D636" s="290"/>
      <c r="E636" s="290"/>
      <c r="F636" s="292"/>
      <c r="G636" s="290"/>
      <c r="H636" s="290"/>
      <c r="I636" s="290"/>
      <c r="J636" s="290"/>
      <c r="K636" s="290"/>
      <c r="L636" s="290"/>
      <c r="M636" s="293"/>
      <c r="N636" s="290"/>
      <c r="O636" s="290"/>
      <c r="P636" s="290"/>
      <c r="Q636" s="290"/>
      <c r="R636" s="290"/>
      <c r="S636" s="290"/>
      <c r="T636" s="290"/>
      <c r="U636" s="294"/>
      <c r="V636" s="290"/>
      <c r="W636" s="290"/>
      <c r="X636" s="291"/>
      <c r="Y636" s="295">
        <v>600</v>
      </c>
      <c r="Z636" s="295"/>
      <c r="AA636" s="296"/>
      <c r="AB636" s="296"/>
      <c r="AC636" s="291"/>
      <c r="AD636" s="291"/>
      <c r="AE636" s="291"/>
      <c r="AF636" s="291"/>
      <c r="AG636" s="291"/>
      <c r="AH636" s="291"/>
      <c r="AI636" s="291"/>
      <c r="AJ636" s="291"/>
      <c r="AK636" s="290"/>
      <c r="AL636" s="290"/>
      <c r="AM636" s="290"/>
      <c r="AN636" s="290"/>
      <c r="AO636" s="290"/>
      <c r="AP636" s="290"/>
      <c r="AQ636" s="290"/>
      <c r="AR636" s="290"/>
      <c r="AS636" s="290"/>
      <c r="AT636" s="290"/>
      <c r="AU636" s="290"/>
      <c r="AV636" s="290"/>
      <c r="AW636" s="290"/>
      <c r="AX636" s="290"/>
      <c r="AY636" s="290"/>
      <c r="AZ636" s="290"/>
      <c r="BA636" s="290"/>
      <c r="BG636" s="307"/>
      <c r="BH636" s="307"/>
      <c r="BI636" s="307"/>
      <c r="BK636" s="300"/>
    </row>
    <row r="637" spans="1:63" s="298" customFormat="1" hidden="1" x14ac:dyDescent="0.25">
      <c r="A637" s="290"/>
      <c r="B637" s="291"/>
      <c r="C637" s="290"/>
      <c r="D637" s="290"/>
      <c r="E637" s="290"/>
      <c r="F637" s="292"/>
      <c r="G637" s="290"/>
      <c r="H637" s="290"/>
      <c r="I637" s="290"/>
      <c r="J637" s="290"/>
      <c r="K637" s="290"/>
      <c r="L637" s="290"/>
      <c r="M637" s="293"/>
      <c r="N637" s="290"/>
      <c r="O637" s="290"/>
      <c r="P637" s="290"/>
      <c r="Q637" s="290"/>
      <c r="R637" s="290"/>
      <c r="S637" s="290"/>
      <c r="T637" s="290"/>
      <c r="U637" s="294"/>
      <c r="V637" s="290"/>
      <c r="W637" s="290"/>
      <c r="X637" s="291"/>
      <c r="Y637" s="295">
        <v>600</v>
      </c>
      <c r="Z637" s="295"/>
      <c r="AA637" s="296"/>
      <c r="AB637" s="296"/>
      <c r="AC637" s="291"/>
      <c r="AD637" s="291"/>
      <c r="AE637" s="291"/>
      <c r="AF637" s="291"/>
      <c r="AG637" s="291"/>
      <c r="AH637" s="291"/>
      <c r="AI637" s="291"/>
      <c r="AJ637" s="291"/>
      <c r="AK637" s="290"/>
      <c r="AL637" s="290"/>
      <c r="AM637" s="290"/>
      <c r="AN637" s="290"/>
      <c r="AO637" s="290"/>
      <c r="AP637" s="290"/>
      <c r="AQ637" s="290"/>
      <c r="AR637" s="290"/>
      <c r="AS637" s="290"/>
      <c r="AT637" s="290"/>
      <c r="AU637" s="290"/>
      <c r="AV637" s="290"/>
      <c r="AW637" s="290"/>
      <c r="AX637" s="290"/>
      <c r="AY637" s="290"/>
      <c r="AZ637" s="290"/>
      <c r="BA637" s="290"/>
      <c r="BG637" s="307"/>
      <c r="BH637" s="307"/>
      <c r="BI637" s="307"/>
      <c r="BK637" s="300"/>
    </row>
    <row r="638" spans="1:63" s="298" customFormat="1" hidden="1" x14ac:dyDescent="0.25">
      <c r="A638" s="290"/>
      <c r="B638" s="291"/>
      <c r="C638" s="290"/>
      <c r="D638" s="290"/>
      <c r="E638" s="290"/>
      <c r="F638" s="292"/>
      <c r="G638" s="290"/>
      <c r="H638" s="290"/>
      <c r="I638" s="290"/>
      <c r="J638" s="290"/>
      <c r="K638" s="290"/>
      <c r="L638" s="290"/>
      <c r="M638" s="293"/>
      <c r="N638" s="290"/>
      <c r="O638" s="290"/>
      <c r="P638" s="290"/>
      <c r="Q638" s="290"/>
      <c r="R638" s="290"/>
      <c r="S638" s="290"/>
      <c r="T638" s="290"/>
      <c r="U638" s="294"/>
      <c r="V638" s="290"/>
      <c r="W638" s="290"/>
      <c r="X638" s="291"/>
      <c r="Y638" s="295">
        <v>600</v>
      </c>
      <c r="Z638" s="295"/>
      <c r="AA638" s="296"/>
      <c r="AB638" s="296"/>
      <c r="AC638" s="291"/>
      <c r="AD638" s="291"/>
      <c r="AE638" s="291"/>
      <c r="AF638" s="291"/>
      <c r="AG638" s="291"/>
      <c r="AH638" s="291"/>
      <c r="AI638" s="291"/>
      <c r="AJ638" s="291"/>
      <c r="AK638" s="290"/>
      <c r="AL638" s="290"/>
      <c r="AM638" s="290"/>
      <c r="AN638" s="290"/>
      <c r="AO638" s="290"/>
      <c r="AP638" s="290"/>
      <c r="AQ638" s="290"/>
      <c r="AR638" s="290"/>
      <c r="AS638" s="290"/>
      <c r="AT638" s="290"/>
      <c r="AU638" s="290"/>
      <c r="AV638" s="290"/>
      <c r="AW638" s="290"/>
      <c r="AX638" s="290"/>
      <c r="AY638" s="290"/>
      <c r="AZ638" s="290"/>
      <c r="BA638" s="290"/>
      <c r="BG638" s="307"/>
      <c r="BH638" s="307"/>
      <c r="BI638" s="307"/>
      <c r="BK638" s="300"/>
    </row>
    <row r="639" spans="1:63" s="298" customFormat="1" hidden="1" x14ac:dyDescent="0.25">
      <c r="A639" s="290"/>
      <c r="B639" s="291"/>
      <c r="C639" s="290"/>
      <c r="D639" s="290"/>
      <c r="E639" s="290"/>
      <c r="F639" s="292"/>
      <c r="G639" s="290"/>
      <c r="H639" s="290"/>
      <c r="I639" s="290"/>
      <c r="J639" s="290"/>
      <c r="K639" s="290"/>
      <c r="L639" s="290"/>
      <c r="M639" s="293"/>
      <c r="N639" s="290"/>
      <c r="O639" s="290"/>
      <c r="P639" s="290"/>
      <c r="Q639" s="290"/>
      <c r="R639" s="290"/>
      <c r="S639" s="290"/>
      <c r="T639" s="290"/>
      <c r="U639" s="294"/>
      <c r="V639" s="290"/>
      <c r="W639" s="290"/>
      <c r="X639" s="291"/>
      <c r="Y639" s="295">
        <v>700</v>
      </c>
      <c r="Z639" s="295"/>
      <c r="AA639" s="296"/>
      <c r="AB639" s="296"/>
      <c r="AC639" s="291"/>
      <c r="AD639" s="291"/>
      <c r="AE639" s="291"/>
      <c r="AF639" s="291"/>
      <c r="AG639" s="291"/>
      <c r="AH639" s="291"/>
      <c r="AI639" s="291"/>
      <c r="AJ639" s="291"/>
      <c r="AK639" s="290"/>
      <c r="AL639" s="290"/>
      <c r="AM639" s="290"/>
      <c r="AN639" s="290"/>
      <c r="AO639" s="290"/>
      <c r="AP639" s="290"/>
      <c r="AQ639" s="290"/>
      <c r="AR639" s="290"/>
      <c r="AS639" s="290"/>
      <c r="AT639" s="290"/>
      <c r="AU639" s="290"/>
      <c r="AV639" s="290"/>
      <c r="AW639" s="290"/>
      <c r="AX639" s="290"/>
      <c r="AY639" s="290"/>
      <c r="AZ639" s="290"/>
      <c r="BA639" s="290"/>
      <c r="BG639" s="307"/>
      <c r="BH639" s="307"/>
      <c r="BI639" s="307"/>
      <c r="BK639" s="300"/>
    </row>
    <row r="640" spans="1:63" s="298" customFormat="1" hidden="1" x14ac:dyDescent="0.25">
      <c r="A640" s="290"/>
      <c r="B640" s="291"/>
      <c r="C640" s="290"/>
      <c r="D640" s="290"/>
      <c r="E640" s="290"/>
      <c r="F640" s="292"/>
      <c r="G640" s="290"/>
      <c r="H640" s="290"/>
      <c r="I640" s="290"/>
      <c r="J640" s="290"/>
      <c r="K640" s="290"/>
      <c r="L640" s="290"/>
      <c r="M640" s="293"/>
      <c r="N640" s="290"/>
      <c r="O640" s="290"/>
      <c r="P640" s="290"/>
      <c r="Q640" s="290"/>
      <c r="R640" s="290"/>
      <c r="S640" s="290"/>
      <c r="T640" s="290"/>
      <c r="U640" s="294"/>
      <c r="V640" s="290"/>
      <c r="W640" s="290"/>
      <c r="X640" s="291"/>
      <c r="Y640" s="295">
        <v>650</v>
      </c>
      <c r="Z640" s="295"/>
      <c r="AA640" s="296"/>
      <c r="AB640" s="296"/>
      <c r="AC640" s="291"/>
      <c r="AD640" s="291"/>
      <c r="AE640" s="291"/>
      <c r="AF640" s="291"/>
      <c r="AG640" s="291"/>
      <c r="AH640" s="291"/>
      <c r="AI640" s="291"/>
      <c r="AJ640" s="291"/>
      <c r="AK640" s="290"/>
      <c r="AL640" s="290"/>
      <c r="AM640" s="290"/>
      <c r="AN640" s="290"/>
      <c r="AO640" s="290"/>
      <c r="AP640" s="290"/>
      <c r="AQ640" s="290"/>
      <c r="AR640" s="290"/>
      <c r="AS640" s="290"/>
      <c r="AT640" s="290"/>
      <c r="AU640" s="290"/>
      <c r="AV640" s="290"/>
      <c r="AW640" s="290"/>
      <c r="AX640" s="290"/>
      <c r="AY640" s="290"/>
      <c r="AZ640" s="290"/>
      <c r="BA640" s="290"/>
      <c r="BG640" s="307"/>
      <c r="BH640" s="307"/>
      <c r="BI640" s="307"/>
      <c r="BK640" s="300"/>
    </row>
    <row r="641" spans="1:63" s="298" customFormat="1" hidden="1" x14ac:dyDescent="0.25">
      <c r="A641" s="290"/>
      <c r="B641" s="291"/>
      <c r="C641" s="290"/>
      <c r="D641" s="290"/>
      <c r="E641" s="290"/>
      <c r="F641" s="292"/>
      <c r="G641" s="290"/>
      <c r="H641" s="290"/>
      <c r="I641" s="290"/>
      <c r="J641" s="290"/>
      <c r="K641" s="290"/>
      <c r="L641" s="290"/>
      <c r="M641" s="293"/>
      <c r="N641" s="290"/>
      <c r="O641" s="290"/>
      <c r="P641" s="290"/>
      <c r="Q641" s="290"/>
      <c r="R641" s="290"/>
      <c r="S641" s="290"/>
      <c r="T641" s="290"/>
      <c r="U641" s="294"/>
      <c r="V641" s="290"/>
      <c r="W641" s="290"/>
      <c r="X641" s="291"/>
      <c r="Y641" s="295">
        <v>600</v>
      </c>
      <c r="Z641" s="295"/>
      <c r="AA641" s="296"/>
      <c r="AB641" s="296"/>
      <c r="AC641" s="291"/>
      <c r="AD641" s="291"/>
      <c r="AE641" s="291"/>
      <c r="AF641" s="291"/>
      <c r="AG641" s="291"/>
      <c r="AH641" s="291"/>
      <c r="AI641" s="291"/>
      <c r="AJ641" s="291"/>
      <c r="AK641" s="290"/>
      <c r="AL641" s="290"/>
      <c r="AM641" s="290"/>
      <c r="AN641" s="290"/>
      <c r="AO641" s="290"/>
      <c r="AP641" s="290"/>
      <c r="AQ641" s="290"/>
      <c r="AR641" s="290"/>
      <c r="AS641" s="290"/>
      <c r="AT641" s="290"/>
      <c r="AU641" s="290"/>
      <c r="AV641" s="290"/>
      <c r="AW641" s="290"/>
      <c r="AX641" s="290"/>
      <c r="AY641" s="290"/>
      <c r="AZ641" s="290"/>
      <c r="BA641" s="290"/>
      <c r="BG641" s="307"/>
      <c r="BH641" s="307"/>
      <c r="BI641" s="307"/>
      <c r="BK641" s="300"/>
    </row>
    <row r="642" spans="1:63" s="298" customFormat="1" hidden="1" x14ac:dyDescent="0.25">
      <c r="A642" s="290"/>
      <c r="B642" s="291"/>
      <c r="C642" s="290"/>
      <c r="D642" s="290"/>
      <c r="E642" s="290"/>
      <c r="F642" s="292"/>
      <c r="G642" s="290"/>
      <c r="H642" s="290"/>
      <c r="I642" s="290"/>
      <c r="J642" s="290"/>
      <c r="K642" s="290"/>
      <c r="L642" s="290"/>
      <c r="M642" s="293"/>
      <c r="N642" s="290"/>
      <c r="O642" s="290"/>
      <c r="P642" s="290"/>
      <c r="Q642" s="290"/>
      <c r="R642" s="290"/>
      <c r="S642" s="290"/>
      <c r="T642" s="290"/>
      <c r="U642" s="294"/>
      <c r="V642" s="290"/>
      <c r="W642" s="290"/>
      <c r="X642" s="291"/>
      <c r="Y642" s="295">
        <v>600</v>
      </c>
      <c r="Z642" s="295"/>
      <c r="AA642" s="296"/>
      <c r="AB642" s="296"/>
      <c r="AC642" s="291"/>
      <c r="AD642" s="291"/>
      <c r="AE642" s="291"/>
      <c r="AF642" s="291"/>
      <c r="AG642" s="291"/>
      <c r="AH642" s="291"/>
      <c r="AI642" s="291"/>
      <c r="AJ642" s="291"/>
      <c r="AK642" s="290"/>
      <c r="AL642" s="290"/>
      <c r="AM642" s="290"/>
      <c r="AN642" s="290"/>
      <c r="AO642" s="290"/>
      <c r="AP642" s="290"/>
      <c r="AQ642" s="290"/>
      <c r="AR642" s="290"/>
      <c r="AS642" s="290"/>
      <c r="AT642" s="290"/>
      <c r="AU642" s="290"/>
      <c r="AV642" s="290"/>
      <c r="AW642" s="290"/>
      <c r="AX642" s="290"/>
      <c r="AY642" s="290"/>
      <c r="AZ642" s="290"/>
      <c r="BA642" s="290"/>
      <c r="BG642" s="307"/>
      <c r="BH642" s="307"/>
      <c r="BI642" s="307"/>
      <c r="BK642" s="300"/>
    </row>
    <row r="643" spans="1:63" s="298" customFormat="1" hidden="1" x14ac:dyDescent="0.25">
      <c r="A643" s="290"/>
      <c r="B643" s="291"/>
      <c r="C643" s="290"/>
      <c r="D643" s="290"/>
      <c r="E643" s="290"/>
      <c r="F643" s="290"/>
      <c r="G643" s="290"/>
      <c r="H643" s="290"/>
      <c r="I643" s="290"/>
      <c r="J643" s="290"/>
      <c r="K643" s="290"/>
      <c r="L643" s="290"/>
      <c r="M643" s="308"/>
      <c r="N643" s="290"/>
      <c r="O643" s="290"/>
      <c r="P643" s="290"/>
      <c r="Q643" s="290"/>
      <c r="R643" s="290"/>
      <c r="S643" s="290"/>
      <c r="T643" s="290"/>
      <c r="U643" s="294"/>
      <c r="V643" s="290"/>
      <c r="W643" s="290"/>
      <c r="X643" s="291"/>
      <c r="Y643" s="295">
        <v>450</v>
      </c>
      <c r="Z643" s="295"/>
      <c r="AA643" s="296"/>
      <c r="AB643" s="296"/>
      <c r="AC643" s="291"/>
      <c r="AD643" s="291"/>
      <c r="AE643" s="291"/>
      <c r="AF643" s="291"/>
      <c r="AG643" s="291"/>
      <c r="AH643" s="291"/>
      <c r="AI643" s="291"/>
      <c r="AJ643" s="291"/>
      <c r="AK643" s="290"/>
      <c r="AL643" s="290"/>
      <c r="AM643" s="290"/>
      <c r="AN643" s="290"/>
      <c r="AO643" s="290"/>
      <c r="AP643" s="290"/>
      <c r="AQ643" s="290"/>
      <c r="AR643" s="290"/>
      <c r="AS643" s="290"/>
      <c r="AT643" s="290"/>
      <c r="AU643" s="290"/>
      <c r="AV643" s="290"/>
      <c r="AW643" s="290"/>
      <c r="AX643" s="290"/>
      <c r="AY643" s="290"/>
      <c r="AZ643" s="290"/>
      <c r="BA643" s="290"/>
      <c r="BG643" s="307"/>
      <c r="BH643" s="307"/>
      <c r="BI643" s="307"/>
      <c r="BK643" s="300"/>
    </row>
    <row r="644" spans="1:63" s="298" customFormat="1" hidden="1" x14ac:dyDescent="0.25">
      <c r="A644" s="290"/>
      <c r="B644" s="291"/>
      <c r="C644" s="290"/>
      <c r="D644" s="290"/>
      <c r="E644" s="290"/>
      <c r="F644" s="290"/>
      <c r="G644" s="290"/>
      <c r="H644" s="290"/>
      <c r="I644" s="290"/>
      <c r="J644" s="290"/>
      <c r="K644" s="290"/>
      <c r="L644" s="290"/>
      <c r="M644" s="308"/>
      <c r="N644" s="290"/>
      <c r="O644" s="290"/>
      <c r="P644" s="290"/>
      <c r="Q644" s="290"/>
      <c r="R644" s="290"/>
      <c r="S644" s="290"/>
      <c r="T644" s="290"/>
      <c r="U644" s="294"/>
      <c r="V644" s="290"/>
      <c r="W644" s="290"/>
      <c r="X644" s="291"/>
      <c r="Y644" s="295">
        <v>437.5</v>
      </c>
      <c r="Z644" s="295"/>
      <c r="AA644" s="296"/>
      <c r="AB644" s="296"/>
      <c r="AC644" s="291"/>
      <c r="AD644" s="291"/>
      <c r="AE644" s="291"/>
      <c r="AF644" s="291"/>
      <c r="AG644" s="291"/>
      <c r="AH644" s="291"/>
      <c r="AI644" s="291"/>
      <c r="AJ644" s="291"/>
      <c r="AK644" s="290"/>
      <c r="AL644" s="290"/>
      <c r="AM644" s="290"/>
      <c r="AN644" s="290"/>
      <c r="AO644" s="290"/>
      <c r="AP644" s="290"/>
      <c r="AQ644" s="290"/>
      <c r="AR644" s="290"/>
      <c r="AS644" s="290"/>
      <c r="AT644" s="290"/>
      <c r="AU644" s="290"/>
      <c r="AV644" s="290"/>
      <c r="AW644" s="290"/>
      <c r="AX644" s="290"/>
      <c r="AY644" s="290"/>
      <c r="AZ644" s="290"/>
      <c r="BA644" s="290"/>
      <c r="BG644" s="307"/>
      <c r="BH644" s="307"/>
      <c r="BI644" s="307"/>
      <c r="BK644" s="300"/>
    </row>
    <row r="645" spans="1:63" s="298" customFormat="1" hidden="1" x14ac:dyDescent="0.25">
      <c r="A645" s="290"/>
      <c r="B645" s="291"/>
      <c r="C645" s="290"/>
      <c r="D645" s="290"/>
      <c r="E645" s="290"/>
      <c r="F645" s="290"/>
      <c r="G645" s="290"/>
      <c r="H645" s="290"/>
      <c r="I645" s="290"/>
      <c r="J645" s="290"/>
      <c r="K645" s="290"/>
      <c r="L645" s="290"/>
      <c r="M645" s="308"/>
      <c r="N645" s="290"/>
      <c r="O645" s="290"/>
      <c r="P645" s="290"/>
      <c r="Q645" s="290"/>
      <c r="R645" s="290"/>
      <c r="S645" s="290"/>
      <c r="T645" s="290"/>
      <c r="U645" s="294"/>
      <c r="V645" s="290"/>
      <c r="W645" s="290"/>
      <c r="X645" s="291"/>
      <c r="Y645" s="295">
        <v>475</v>
      </c>
      <c r="Z645" s="295"/>
      <c r="AA645" s="296"/>
      <c r="AB645" s="296"/>
      <c r="AC645" s="291"/>
      <c r="AD645" s="291"/>
      <c r="AE645" s="291"/>
      <c r="AF645" s="291"/>
      <c r="AG645" s="291"/>
      <c r="AH645" s="291"/>
      <c r="AI645" s="291"/>
      <c r="AJ645" s="291"/>
      <c r="AK645" s="290"/>
      <c r="AL645" s="290"/>
      <c r="AM645" s="290"/>
      <c r="AN645" s="290"/>
      <c r="AO645" s="290"/>
      <c r="AP645" s="290"/>
      <c r="AQ645" s="290"/>
      <c r="AR645" s="290"/>
      <c r="AS645" s="290"/>
      <c r="AT645" s="290"/>
      <c r="AU645" s="290"/>
      <c r="AV645" s="290"/>
      <c r="AW645" s="290"/>
      <c r="AX645" s="290"/>
      <c r="AY645" s="290"/>
      <c r="AZ645" s="290"/>
      <c r="BA645" s="290"/>
      <c r="BG645" s="307"/>
      <c r="BH645" s="307"/>
      <c r="BI645" s="307"/>
      <c r="BK645" s="300"/>
    </row>
    <row r="646" spans="1:63" s="298" customFormat="1" hidden="1" x14ac:dyDescent="0.25">
      <c r="A646" s="290"/>
      <c r="B646" s="291"/>
      <c r="C646" s="290"/>
      <c r="D646" s="290"/>
      <c r="E646" s="290"/>
      <c r="F646" s="290"/>
      <c r="G646" s="290"/>
      <c r="H646" s="290"/>
      <c r="I646" s="290"/>
      <c r="J646" s="290"/>
      <c r="K646" s="290"/>
      <c r="L646" s="290"/>
      <c r="M646" s="308"/>
      <c r="N646" s="290"/>
      <c r="O646" s="290"/>
      <c r="P646" s="290"/>
      <c r="Q646" s="290"/>
      <c r="R646" s="290"/>
      <c r="S646" s="290"/>
      <c r="T646" s="290"/>
      <c r="U646" s="294"/>
      <c r="V646" s="290"/>
      <c r="W646" s="290"/>
      <c r="X646" s="291"/>
      <c r="Y646" s="295">
        <v>617</v>
      </c>
      <c r="Z646" s="295"/>
      <c r="AA646" s="296"/>
      <c r="AB646" s="296"/>
      <c r="AC646" s="291"/>
      <c r="AD646" s="291"/>
      <c r="AE646" s="291"/>
      <c r="AF646" s="291"/>
      <c r="AG646" s="291"/>
      <c r="AH646" s="291"/>
      <c r="AI646" s="291"/>
      <c r="AJ646" s="291"/>
      <c r="AK646" s="290"/>
      <c r="AL646" s="290"/>
      <c r="AM646" s="290"/>
      <c r="AN646" s="290"/>
      <c r="AO646" s="290"/>
      <c r="AP646" s="290"/>
      <c r="AQ646" s="290"/>
      <c r="AR646" s="290"/>
      <c r="AS646" s="290"/>
      <c r="AT646" s="290"/>
      <c r="AU646" s="290"/>
      <c r="AV646" s="290"/>
      <c r="AW646" s="290"/>
      <c r="AX646" s="290"/>
      <c r="AY646" s="290"/>
      <c r="AZ646" s="290"/>
      <c r="BA646" s="290"/>
      <c r="BG646" s="307"/>
      <c r="BH646" s="307"/>
      <c r="BI646" s="307"/>
      <c r="BK646" s="300"/>
    </row>
    <row r="647" spans="1:63" s="298" customFormat="1" hidden="1" x14ac:dyDescent="0.25">
      <c r="A647" s="290"/>
      <c r="B647" s="291"/>
      <c r="C647" s="290"/>
      <c r="D647" s="290"/>
      <c r="E647" s="290"/>
      <c r="F647" s="290"/>
      <c r="G647" s="290"/>
      <c r="H647" s="290"/>
      <c r="I647" s="290"/>
      <c r="J647" s="290"/>
      <c r="K647" s="290"/>
      <c r="L647" s="290"/>
      <c r="M647" s="308"/>
      <c r="N647" s="290"/>
      <c r="O647" s="290"/>
      <c r="P647" s="290"/>
      <c r="Q647" s="290"/>
      <c r="R647" s="290"/>
      <c r="S647" s="290"/>
      <c r="T647" s="290"/>
      <c r="U647" s="294"/>
      <c r="V647" s="290"/>
      <c r="W647" s="290"/>
      <c r="X647" s="291"/>
      <c r="Y647" s="295">
        <v>616.66666666666663</v>
      </c>
      <c r="Z647" s="295"/>
      <c r="AA647" s="296"/>
      <c r="AB647" s="296"/>
      <c r="AC647" s="291"/>
      <c r="AD647" s="291"/>
      <c r="AE647" s="291"/>
      <c r="AF647" s="291"/>
      <c r="AG647" s="291"/>
      <c r="AH647" s="291"/>
      <c r="AI647" s="291"/>
      <c r="AJ647" s="291"/>
      <c r="AK647" s="290"/>
      <c r="AL647" s="290"/>
      <c r="AM647" s="290"/>
      <c r="AN647" s="290"/>
      <c r="AO647" s="290"/>
      <c r="AP647" s="290"/>
      <c r="AQ647" s="290"/>
      <c r="AR647" s="290"/>
      <c r="AS647" s="290"/>
      <c r="AT647" s="290"/>
      <c r="AU647" s="290"/>
      <c r="AV647" s="290"/>
      <c r="AW647" s="290"/>
      <c r="AX647" s="290"/>
      <c r="AY647" s="290"/>
      <c r="AZ647" s="290"/>
      <c r="BA647" s="290"/>
      <c r="BG647" s="307"/>
      <c r="BH647" s="307"/>
      <c r="BI647" s="307"/>
      <c r="BK647" s="300"/>
    </row>
    <row r="648" spans="1:63" s="298" customFormat="1" hidden="1" x14ac:dyDescent="0.25">
      <c r="A648" s="290"/>
      <c r="B648" s="291"/>
      <c r="C648" s="290"/>
      <c r="D648" s="290"/>
      <c r="E648" s="290"/>
      <c r="F648" s="290"/>
      <c r="G648" s="290"/>
      <c r="H648" s="290"/>
      <c r="I648" s="290"/>
      <c r="J648" s="290"/>
      <c r="K648" s="290"/>
      <c r="L648" s="290"/>
      <c r="M648" s="308"/>
      <c r="N648" s="290"/>
      <c r="O648" s="290"/>
      <c r="P648" s="290"/>
      <c r="Q648" s="290"/>
      <c r="R648" s="290"/>
      <c r="S648" s="290"/>
      <c r="T648" s="290"/>
      <c r="U648" s="294"/>
      <c r="V648" s="290"/>
      <c r="W648" s="290"/>
      <c r="X648" s="291"/>
      <c r="Y648" s="295">
        <v>617</v>
      </c>
      <c r="Z648" s="295"/>
      <c r="AA648" s="296"/>
      <c r="AB648" s="296"/>
      <c r="AC648" s="291"/>
      <c r="AD648" s="291"/>
      <c r="AE648" s="291"/>
      <c r="AF648" s="291"/>
      <c r="AG648" s="291"/>
      <c r="AH648" s="291"/>
      <c r="AI648" s="291"/>
      <c r="AJ648" s="291"/>
      <c r="AK648" s="290"/>
      <c r="AL648" s="290"/>
      <c r="AM648" s="290"/>
      <c r="AN648" s="290"/>
      <c r="AO648" s="290"/>
      <c r="AP648" s="290"/>
      <c r="AQ648" s="290"/>
      <c r="AR648" s="290"/>
      <c r="AS648" s="290"/>
      <c r="AT648" s="290"/>
      <c r="AU648" s="290"/>
      <c r="AV648" s="290"/>
      <c r="AW648" s="290"/>
      <c r="AX648" s="290"/>
      <c r="AY648" s="290"/>
      <c r="AZ648" s="290"/>
      <c r="BA648" s="290"/>
      <c r="BG648" s="307"/>
      <c r="BH648" s="307"/>
      <c r="BI648" s="307"/>
      <c r="BK648" s="300"/>
    </row>
    <row r="649" spans="1:63" s="298" customFormat="1" hidden="1" x14ac:dyDescent="0.25">
      <c r="A649" s="290"/>
      <c r="B649" s="291"/>
      <c r="C649" s="290"/>
      <c r="D649" s="290"/>
      <c r="E649" s="290"/>
      <c r="F649" s="290"/>
      <c r="G649" s="290"/>
      <c r="H649" s="290"/>
      <c r="I649" s="290"/>
      <c r="J649" s="290"/>
      <c r="K649" s="290"/>
      <c r="L649" s="290"/>
      <c r="M649" s="308"/>
      <c r="N649" s="290"/>
      <c r="O649" s="290"/>
      <c r="P649" s="290"/>
      <c r="Q649" s="290"/>
      <c r="R649" s="290"/>
      <c r="S649" s="290"/>
      <c r="T649" s="290"/>
      <c r="U649" s="294"/>
      <c r="V649" s="290"/>
      <c r="W649" s="290"/>
      <c r="X649" s="291"/>
      <c r="Y649" s="295">
        <v>1100</v>
      </c>
      <c r="Z649" s="295"/>
      <c r="AA649" s="296"/>
      <c r="AB649" s="296"/>
      <c r="AC649" s="291"/>
      <c r="AD649" s="291"/>
      <c r="AE649" s="291"/>
      <c r="AF649" s="291"/>
      <c r="AG649" s="291"/>
      <c r="AH649" s="291"/>
      <c r="AI649" s="291"/>
      <c r="AJ649" s="291"/>
      <c r="AK649" s="290"/>
      <c r="AL649" s="290"/>
      <c r="AM649" s="290"/>
      <c r="AN649" s="290"/>
      <c r="AO649" s="290"/>
      <c r="AP649" s="290"/>
      <c r="AQ649" s="290"/>
      <c r="AR649" s="290"/>
      <c r="AS649" s="290"/>
      <c r="AT649" s="290"/>
      <c r="AU649" s="290"/>
      <c r="AV649" s="290"/>
      <c r="AW649" s="290"/>
      <c r="AX649" s="290"/>
      <c r="AY649" s="290"/>
      <c r="AZ649" s="290"/>
      <c r="BA649" s="290"/>
      <c r="BG649" s="307"/>
      <c r="BH649" s="307"/>
      <c r="BI649" s="307"/>
      <c r="BK649" s="300"/>
    </row>
    <row r="650" spans="1:63" s="298" customFormat="1" hidden="1" x14ac:dyDescent="0.25">
      <c r="A650" s="290"/>
      <c r="B650" s="291"/>
      <c r="C650" s="290"/>
      <c r="D650" s="290"/>
      <c r="E650" s="290"/>
      <c r="F650" s="290"/>
      <c r="G650" s="290"/>
      <c r="H650" s="290"/>
      <c r="I650" s="290"/>
      <c r="J650" s="290"/>
      <c r="K650" s="290"/>
      <c r="L650" s="290"/>
      <c r="M650" s="308"/>
      <c r="N650" s="290"/>
      <c r="O650" s="290"/>
      <c r="P650" s="290"/>
      <c r="Q650" s="290"/>
      <c r="R650" s="290"/>
      <c r="S650" s="290"/>
      <c r="T650" s="290"/>
      <c r="U650" s="294"/>
      <c r="V650" s="290"/>
      <c r="W650" s="290"/>
      <c r="X650" s="291"/>
      <c r="Y650" s="295">
        <v>1100</v>
      </c>
      <c r="Z650" s="295"/>
      <c r="AA650" s="296"/>
      <c r="AB650" s="296"/>
      <c r="AC650" s="291"/>
      <c r="AD650" s="291"/>
      <c r="AE650" s="291"/>
      <c r="AF650" s="291"/>
      <c r="AG650" s="291"/>
      <c r="AH650" s="291"/>
      <c r="AI650" s="291"/>
      <c r="AJ650" s="291"/>
      <c r="AK650" s="290"/>
      <c r="AL650" s="290"/>
      <c r="AM650" s="290"/>
      <c r="AN650" s="290"/>
      <c r="AO650" s="290"/>
      <c r="AP650" s="290"/>
      <c r="AQ650" s="290"/>
      <c r="AR650" s="290"/>
      <c r="AS650" s="290"/>
      <c r="AT650" s="290"/>
      <c r="AU650" s="290"/>
      <c r="AV650" s="290"/>
      <c r="AW650" s="290"/>
      <c r="AX650" s="290"/>
      <c r="AY650" s="290"/>
      <c r="AZ650" s="290"/>
      <c r="BA650" s="290"/>
      <c r="BG650" s="307"/>
      <c r="BH650" s="307"/>
      <c r="BI650" s="307"/>
      <c r="BK650" s="300"/>
    </row>
    <row r="651" spans="1:63" s="298" customFormat="1" hidden="1" x14ac:dyDescent="0.25">
      <c r="A651" s="290"/>
      <c r="B651" s="291"/>
      <c r="C651" s="290"/>
      <c r="D651" s="290"/>
      <c r="E651" s="290"/>
      <c r="F651" s="290"/>
      <c r="G651" s="290"/>
      <c r="H651" s="290" t="s">
        <v>133</v>
      </c>
      <c r="I651" s="290"/>
      <c r="J651" s="290"/>
      <c r="K651" s="290"/>
      <c r="L651" s="290"/>
      <c r="M651" s="308"/>
      <c r="N651" s="290"/>
      <c r="O651" s="290"/>
      <c r="P651" s="290"/>
      <c r="Q651" s="290"/>
      <c r="R651" s="290"/>
      <c r="S651" s="290"/>
      <c r="T651" s="290"/>
      <c r="U651" s="294"/>
      <c r="V651" s="290"/>
      <c r="W651" s="290"/>
      <c r="X651" s="291"/>
      <c r="Y651" s="295">
        <v>1100</v>
      </c>
      <c r="Z651" s="295"/>
      <c r="AA651" s="296"/>
      <c r="AB651" s="296"/>
      <c r="AC651" s="291"/>
      <c r="AD651" s="291"/>
      <c r="AE651" s="291"/>
      <c r="AF651" s="291"/>
      <c r="AG651" s="291"/>
      <c r="AH651" s="291"/>
      <c r="AI651" s="291"/>
      <c r="AJ651" s="291"/>
      <c r="AK651" s="290"/>
      <c r="AL651" s="290"/>
      <c r="AM651" s="290"/>
      <c r="AN651" s="290"/>
      <c r="AO651" s="290"/>
      <c r="AP651" s="290"/>
      <c r="AQ651" s="290"/>
      <c r="AR651" s="290"/>
      <c r="AS651" s="290"/>
      <c r="AT651" s="290"/>
      <c r="AU651" s="290"/>
      <c r="AV651" s="290"/>
      <c r="AW651" s="290"/>
      <c r="AX651" s="290"/>
      <c r="AY651" s="290"/>
      <c r="AZ651" s="290"/>
      <c r="BA651" s="290"/>
      <c r="BG651" s="307"/>
      <c r="BH651" s="307"/>
      <c r="BI651" s="307"/>
      <c r="BK651" s="300"/>
    </row>
    <row r="652" spans="1:63" s="298" customFormat="1" hidden="1" x14ac:dyDescent="0.25">
      <c r="A652" s="290"/>
      <c r="B652" s="291"/>
      <c r="C652" s="290"/>
      <c r="D652" s="290"/>
      <c r="E652" s="290"/>
      <c r="F652" s="290"/>
      <c r="G652" s="290"/>
      <c r="H652" s="290" t="s">
        <v>131</v>
      </c>
      <c r="I652" s="290"/>
      <c r="J652" s="290"/>
      <c r="K652" s="290"/>
      <c r="L652" s="290"/>
      <c r="M652" s="308"/>
      <c r="N652" s="290"/>
      <c r="O652" s="290"/>
      <c r="P652" s="290"/>
      <c r="Q652" s="290"/>
      <c r="R652" s="290"/>
      <c r="S652" s="290"/>
      <c r="T652" s="290"/>
      <c r="U652" s="294"/>
      <c r="V652" s="290"/>
      <c r="W652" s="290"/>
      <c r="X652" s="291"/>
      <c r="Y652" s="295">
        <v>1100</v>
      </c>
      <c r="Z652" s="295"/>
      <c r="AA652" s="296"/>
      <c r="AB652" s="296"/>
      <c r="AC652" s="291"/>
      <c r="AD652" s="291"/>
      <c r="AE652" s="291"/>
      <c r="AF652" s="291"/>
      <c r="AG652" s="291"/>
      <c r="AH652" s="291"/>
      <c r="AI652" s="291"/>
      <c r="AJ652" s="291"/>
      <c r="AK652" s="290"/>
      <c r="AL652" s="290"/>
      <c r="AM652" s="290"/>
      <c r="AN652" s="290"/>
      <c r="AO652" s="290"/>
      <c r="AP652" s="290"/>
      <c r="AQ652" s="290"/>
      <c r="AR652" s="290"/>
      <c r="AS652" s="290"/>
      <c r="AT652" s="290"/>
      <c r="AU652" s="290"/>
      <c r="AV652" s="290"/>
      <c r="AW652" s="290"/>
      <c r="AX652" s="290"/>
      <c r="AY652" s="290"/>
      <c r="AZ652" s="290"/>
      <c r="BA652" s="290"/>
      <c r="BG652" s="307"/>
      <c r="BH652" s="307"/>
      <c r="BI652" s="307"/>
      <c r="BK652" s="300"/>
    </row>
    <row r="653" spans="1:63" s="298" customFormat="1" hidden="1" x14ac:dyDescent="0.25">
      <c r="A653" s="290"/>
      <c r="B653" s="291"/>
      <c r="C653" s="290"/>
      <c r="D653" s="290"/>
      <c r="E653" s="290"/>
      <c r="F653" s="290"/>
      <c r="G653" s="290"/>
      <c r="H653" s="290" t="s">
        <v>120</v>
      </c>
      <c r="I653" s="290"/>
      <c r="J653" s="290"/>
      <c r="K653" s="290"/>
      <c r="L653" s="290"/>
      <c r="M653" s="308"/>
      <c r="N653" s="290"/>
      <c r="O653" s="290"/>
      <c r="P653" s="290"/>
      <c r="Q653" s="290"/>
      <c r="R653" s="290"/>
      <c r="S653" s="290"/>
      <c r="T653" s="290"/>
      <c r="U653" s="294"/>
      <c r="V653" s="290"/>
      <c r="W653" s="290"/>
      <c r="X653" s="291"/>
      <c r="Y653" s="295">
        <v>1100</v>
      </c>
      <c r="Z653" s="295"/>
      <c r="AA653" s="296"/>
      <c r="AB653" s="296"/>
      <c r="AC653" s="291"/>
      <c r="AD653" s="291"/>
      <c r="AE653" s="291"/>
      <c r="AF653" s="291"/>
      <c r="AG653" s="291"/>
      <c r="AH653" s="291"/>
      <c r="AI653" s="291"/>
      <c r="AJ653" s="291"/>
      <c r="AK653" s="290"/>
      <c r="AL653" s="290"/>
      <c r="AM653" s="290"/>
      <c r="AN653" s="290"/>
      <c r="AO653" s="290"/>
      <c r="AP653" s="290"/>
      <c r="AQ653" s="290"/>
      <c r="AR653" s="290"/>
      <c r="AS653" s="290"/>
      <c r="AT653" s="290"/>
      <c r="AU653" s="290"/>
      <c r="AV653" s="290"/>
      <c r="AW653" s="290"/>
      <c r="AX653" s="290"/>
      <c r="AY653" s="290"/>
      <c r="AZ653" s="290"/>
      <c r="BA653" s="290"/>
      <c r="BG653" s="307"/>
      <c r="BH653" s="307"/>
      <c r="BI653" s="307"/>
      <c r="BK653" s="300"/>
    </row>
    <row r="654" spans="1:63" s="298" customFormat="1" hidden="1" x14ac:dyDescent="0.25">
      <c r="A654" s="290"/>
      <c r="B654" s="291"/>
      <c r="C654" s="290"/>
      <c r="D654" s="290"/>
      <c r="E654" s="290"/>
      <c r="F654" s="290"/>
      <c r="G654" s="290"/>
      <c r="H654" s="290" t="s">
        <v>115</v>
      </c>
      <c r="I654" s="290"/>
      <c r="J654" s="290"/>
      <c r="K654" s="290"/>
      <c r="L654" s="290"/>
      <c r="M654" s="308"/>
      <c r="N654" s="290"/>
      <c r="O654" s="290"/>
      <c r="P654" s="290"/>
      <c r="Q654" s="290"/>
      <c r="R654" s="290"/>
      <c r="S654" s="290"/>
      <c r="T654" s="290"/>
      <c r="U654" s="294"/>
      <c r="V654" s="290"/>
      <c r="W654" s="290"/>
      <c r="X654" s="291"/>
      <c r="Y654" s="295">
        <v>1100</v>
      </c>
      <c r="Z654" s="295"/>
      <c r="AA654" s="296"/>
      <c r="AB654" s="296"/>
      <c r="AC654" s="291"/>
      <c r="AD654" s="291"/>
      <c r="AE654" s="291"/>
      <c r="AF654" s="291"/>
      <c r="AG654" s="291"/>
      <c r="AH654" s="291"/>
      <c r="AI654" s="291"/>
      <c r="AJ654" s="291"/>
      <c r="AK654" s="290"/>
      <c r="AL654" s="290"/>
      <c r="AM654" s="290"/>
      <c r="AN654" s="290"/>
      <c r="AO654" s="290"/>
      <c r="AP654" s="290"/>
      <c r="AQ654" s="290"/>
      <c r="AR654" s="290"/>
      <c r="AS654" s="290"/>
      <c r="AT654" s="290"/>
      <c r="AU654" s="290"/>
      <c r="AV654" s="290"/>
      <c r="AW654" s="290"/>
      <c r="AX654" s="290"/>
      <c r="AY654" s="290"/>
      <c r="AZ654" s="290"/>
      <c r="BA654" s="290"/>
      <c r="BG654" s="307"/>
      <c r="BH654" s="307"/>
      <c r="BI654" s="307"/>
      <c r="BK654" s="300"/>
    </row>
    <row r="655" spans="1:63" s="298" customFormat="1" hidden="1" x14ac:dyDescent="0.25">
      <c r="A655" s="290"/>
      <c r="B655" s="291"/>
      <c r="C655" s="290"/>
      <c r="D655" s="290"/>
      <c r="E655" s="290"/>
      <c r="F655" s="290"/>
      <c r="G655" s="290"/>
      <c r="H655" s="290"/>
      <c r="I655" s="290"/>
      <c r="J655" s="290"/>
      <c r="K655" s="290"/>
      <c r="L655" s="290"/>
      <c r="M655" s="308"/>
      <c r="N655" s="290"/>
      <c r="O655" s="290"/>
      <c r="P655" s="290"/>
      <c r="Q655" s="290"/>
      <c r="R655" s="290"/>
      <c r="S655" s="290"/>
      <c r="T655" s="290"/>
      <c r="U655" s="294"/>
      <c r="V655" s="290"/>
      <c r="W655" s="290"/>
      <c r="X655" s="291"/>
      <c r="Y655" s="295">
        <v>1100</v>
      </c>
      <c r="Z655" s="295"/>
      <c r="AA655" s="296"/>
      <c r="AB655" s="296"/>
      <c r="AC655" s="291"/>
      <c r="AD655" s="291"/>
      <c r="AE655" s="291"/>
      <c r="AF655" s="291"/>
      <c r="AG655" s="291"/>
      <c r="AH655" s="291"/>
      <c r="AI655" s="291"/>
      <c r="AJ655" s="291"/>
      <c r="AK655" s="290"/>
      <c r="AL655" s="290"/>
      <c r="AM655" s="290"/>
      <c r="AN655" s="290"/>
      <c r="AO655" s="290"/>
      <c r="AP655" s="290"/>
      <c r="AQ655" s="290"/>
      <c r="AR655" s="290"/>
      <c r="AS655" s="290"/>
      <c r="AT655" s="290"/>
      <c r="AU655" s="290"/>
      <c r="AV655" s="290"/>
      <c r="AW655" s="290"/>
      <c r="AX655" s="290"/>
      <c r="AY655" s="290"/>
      <c r="AZ655" s="290"/>
      <c r="BA655" s="290"/>
      <c r="BG655" s="307"/>
      <c r="BH655" s="307"/>
      <c r="BI655" s="307"/>
      <c r="BK655" s="300"/>
    </row>
    <row r="656" spans="1:63" s="298" customFormat="1" hidden="1" x14ac:dyDescent="0.25">
      <c r="A656" s="290"/>
      <c r="B656" s="291"/>
      <c r="C656" s="290"/>
      <c r="D656" s="290"/>
      <c r="E656" s="290"/>
      <c r="F656" s="290"/>
      <c r="G656" s="290"/>
      <c r="H656" s="290"/>
      <c r="I656" s="290"/>
      <c r="J656" s="290"/>
      <c r="K656" s="290"/>
      <c r="L656" s="290"/>
      <c r="M656" s="308"/>
      <c r="N656" s="290"/>
      <c r="O656" s="290"/>
      <c r="P656" s="290"/>
      <c r="Q656" s="290"/>
      <c r="R656" s="290"/>
      <c r="S656" s="290"/>
      <c r="T656" s="290"/>
      <c r="U656" s="294"/>
      <c r="V656" s="290"/>
      <c r="W656" s="290"/>
      <c r="X656" s="291"/>
      <c r="Y656" s="295">
        <v>1100</v>
      </c>
      <c r="Z656" s="295"/>
      <c r="AA656" s="296"/>
      <c r="AB656" s="296"/>
      <c r="AC656" s="291"/>
      <c r="AD656" s="291"/>
      <c r="AE656" s="291"/>
      <c r="AF656" s="291"/>
      <c r="AG656" s="291"/>
      <c r="AH656" s="291"/>
      <c r="AI656" s="291"/>
      <c r="AJ656" s="291"/>
      <c r="AK656" s="290"/>
      <c r="AL656" s="290"/>
      <c r="AM656" s="290"/>
      <c r="AN656" s="290"/>
      <c r="AO656" s="290"/>
      <c r="AP656" s="290"/>
      <c r="AQ656" s="290"/>
      <c r="AR656" s="290"/>
      <c r="AS656" s="290"/>
      <c r="AT656" s="290"/>
      <c r="AU656" s="290"/>
      <c r="AV656" s="290"/>
      <c r="AW656" s="290"/>
      <c r="AX656" s="290"/>
      <c r="AY656" s="290"/>
      <c r="AZ656" s="290"/>
      <c r="BA656" s="290"/>
      <c r="BG656" s="307"/>
      <c r="BH656" s="307"/>
      <c r="BI656" s="307"/>
      <c r="BK656" s="300"/>
    </row>
    <row r="657" spans="1:63" s="298" customFormat="1" hidden="1" x14ac:dyDescent="0.25">
      <c r="A657" s="290"/>
      <c r="B657" s="291"/>
      <c r="C657" s="290"/>
      <c r="D657" s="290"/>
      <c r="E657" s="290"/>
      <c r="F657" s="290"/>
      <c r="G657" s="290"/>
      <c r="H657" s="290"/>
      <c r="I657" s="290"/>
      <c r="J657" s="290"/>
      <c r="K657" s="290"/>
      <c r="L657" s="290"/>
      <c r="M657" s="308"/>
      <c r="N657" s="290"/>
      <c r="O657" s="290"/>
      <c r="P657" s="290"/>
      <c r="Q657" s="290"/>
      <c r="R657" s="290"/>
      <c r="S657" s="290"/>
      <c r="T657" s="290"/>
      <c r="U657" s="294"/>
      <c r="V657" s="290"/>
      <c r="W657" s="290"/>
      <c r="X657" s="291"/>
      <c r="Y657" s="295">
        <v>1100</v>
      </c>
      <c r="Z657" s="295"/>
      <c r="AA657" s="296"/>
      <c r="AB657" s="296"/>
      <c r="AC657" s="291"/>
      <c r="AD657" s="291"/>
      <c r="AE657" s="291"/>
      <c r="AF657" s="291"/>
      <c r="AG657" s="291"/>
      <c r="AH657" s="291"/>
      <c r="AI657" s="291"/>
      <c r="AJ657" s="291"/>
      <c r="AK657" s="290"/>
      <c r="AL657" s="290"/>
      <c r="AM657" s="290"/>
      <c r="AN657" s="290"/>
      <c r="AO657" s="290"/>
      <c r="AP657" s="290"/>
      <c r="AQ657" s="290"/>
      <c r="AR657" s="290"/>
      <c r="AS657" s="290"/>
      <c r="AT657" s="290"/>
      <c r="AU657" s="290"/>
      <c r="AV657" s="290"/>
      <c r="AW657" s="290"/>
      <c r="AX657" s="290"/>
      <c r="AY657" s="290"/>
      <c r="AZ657" s="290"/>
      <c r="BA657" s="290"/>
      <c r="BG657" s="307"/>
      <c r="BH657" s="307"/>
      <c r="BI657" s="307"/>
      <c r="BK657" s="300"/>
    </row>
    <row r="658" spans="1:63" s="298" customFormat="1" hidden="1" x14ac:dyDescent="0.25">
      <c r="A658" s="290"/>
      <c r="B658" s="291"/>
      <c r="C658" s="290"/>
      <c r="D658" s="290"/>
      <c r="E658" s="290"/>
      <c r="F658" s="290"/>
      <c r="G658" s="290"/>
      <c r="H658" s="290"/>
      <c r="I658" s="290"/>
      <c r="J658" s="290"/>
      <c r="K658" s="290"/>
      <c r="L658" s="290"/>
      <c r="M658" s="308"/>
      <c r="N658" s="290"/>
      <c r="O658" s="290"/>
      <c r="P658" s="290"/>
      <c r="Q658" s="290"/>
      <c r="R658" s="290"/>
      <c r="S658" s="290"/>
      <c r="T658" s="290"/>
      <c r="U658" s="294"/>
      <c r="V658" s="290"/>
      <c r="W658" s="290"/>
      <c r="X658" s="291"/>
      <c r="Y658" s="295">
        <v>1333.3333333333333</v>
      </c>
      <c r="Z658" s="295"/>
      <c r="AA658" s="296"/>
      <c r="AB658" s="296"/>
      <c r="AC658" s="291"/>
      <c r="AD658" s="291"/>
      <c r="AE658" s="291"/>
      <c r="AF658" s="291"/>
      <c r="AG658" s="291"/>
      <c r="AH658" s="291"/>
      <c r="AI658" s="291"/>
      <c r="AJ658" s="291"/>
      <c r="AK658" s="290"/>
      <c r="AL658" s="290"/>
      <c r="AM658" s="290"/>
      <c r="AN658" s="290"/>
      <c r="AO658" s="290"/>
      <c r="AP658" s="290"/>
      <c r="AQ658" s="290"/>
      <c r="AR658" s="290"/>
      <c r="AS658" s="290"/>
      <c r="AT658" s="290"/>
      <c r="AU658" s="290"/>
      <c r="AV658" s="290"/>
      <c r="AW658" s="290"/>
      <c r="AX658" s="290"/>
      <c r="AY658" s="290"/>
      <c r="AZ658" s="290"/>
      <c r="BA658" s="290"/>
      <c r="BG658" s="307"/>
      <c r="BH658" s="307"/>
      <c r="BI658" s="307"/>
      <c r="BK658" s="300"/>
    </row>
    <row r="659" spans="1:63" s="298" customFormat="1" hidden="1" x14ac:dyDescent="0.25">
      <c r="A659" s="290"/>
      <c r="B659" s="291"/>
      <c r="C659" s="290"/>
      <c r="D659" s="290"/>
      <c r="E659" s="290"/>
      <c r="F659" s="290"/>
      <c r="G659" s="290"/>
      <c r="H659" s="290"/>
      <c r="I659" s="290"/>
      <c r="J659" s="290"/>
      <c r="K659" s="290"/>
      <c r="L659" s="290"/>
      <c r="M659" s="308"/>
      <c r="N659" s="290"/>
      <c r="O659" s="290"/>
      <c r="P659" s="290"/>
      <c r="Q659" s="290"/>
      <c r="R659" s="290"/>
      <c r="S659" s="290"/>
      <c r="T659" s="290"/>
      <c r="U659" s="294"/>
      <c r="V659" s="290"/>
      <c r="W659" s="290"/>
      <c r="X659" s="291"/>
      <c r="Y659" s="295">
        <v>800</v>
      </c>
      <c r="Z659" s="295"/>
      <c r="AA659" s="296"/>
      <c r="AB659" s="296"/>
      <c r="AC659" s="291"/>
      <c r="AD659" s="291"/>
      <c r="AE659" s="291"/>
      <c r="AF659" s="291"/>
      <c r="AG659" s="291"/>
      <c r="AH659" s="291"/>
      <c r="AI659" s="291"/>
      <c r="AJ659" s="291"/>
      <c r="AK659" s="290"/>
      <c r="AL659" s="290"/>
      <c r="AM659" s="290"/>
      <c r="AN659" s="290"/>
      <c r="AO659" s="290"/>
      <c r="AP659" s="290"/>
      <c r="AQ659" s="290"/>
      <c r="AR659" s="290"/>
      <c r="AS659" s="290"/>
      <c r="AT659" s="290"/>
      <c r="AU659" s="290"/>
      <c r="AV659" s="290"/>
      <c r="AW659" s="290"/>
      <c r="AX659" s="290"/>
      <c r="AY659" s="290"/>
      <c r="AZ659" s="290"/>
      <c r="BA659" s="290"/>
      <c r="BG659" s="307"/>
      <c r="BH659" s="307"/>
      <c r="BI659" s="307"/>
      <c r="BK659" s="300"/>
    </row>
    <row r="660" spans="1:63" s="298" customFormat="1" hidden="1" x14ac:dyDescent="0.25">
      <c r="A660" s="290"/>
      <c r="B660" s="291"/>
      <c r="C660" s="290"/>
      <c r="D660" s="290"/>
      <c r="E660" s="290"/>
      <c r="F660" s="290"/>
      <c r="G660" s="290"/>
      <c r="H660" s="290"/>
      <c r="I660" s="290"/>
      <c r="J660" s="290"/>
      <c r="K660" s="290"/>
      <c r="L660" s="290"/>
      <c r="M660" s="308"/>
      <c r="N660" s="290"/>
      <c r="O660" s="290"/>
      <c r="P660" s="290"/>
      <c r="Q660" s="290"/>
      <c r="R660" s="290"/>
      <c r="S660" s="290"/>
      <c r="T660" s="290"/>
      <c r="U660" s="294"/>
      <c r="V660" s="290"/>
      <c r="W660" s="290"/>
      <c r="X660" s="291"/>
      <c r="Y660" s="295">
        <v>533.33333333333337</v>
      </c>
      <c r="Z660" s="295"/>
      <c r="AA660" s="296"/>
      <c r="AB660" s="296"/>
      <c r="AC660" s="291"/>
      <c r="AD660" s="291"/>
      <c r="AE660" s="291"/>
      <c r="AF660" s="291"/>
      <c r="AG660" s="291"/>
      <c r="AH660" s="291"/>
      <c r="AI660" s="291"/>
      <c r="AJ660" s="291"/>
      <c r="AK660" s="290"/>
      <c r="AL660" s="290"/>
      <c r="AM660" s="290"/>
      <c r="AN660" s="290"/>
      <c r="AO660" s="290"/>
      <c r="AP660" s="290"/>
      <c r="AQ660" s="290"/>
      <c r="AR660" s="290"/>
      <c r="AS660" s="290"/>
      <c r="AT660" s="290"/>
      <c r="AU660" s="290"/>
      <c r="AV660" s="290"/>
      <c r="AW660" s="290"/>
      <c r="AX660" s="290"/>
      <c r="AY660" s="290"/>
      <c r="AZ660" s="290"/>
      <c r="BA660" s="290"/>
      <c r="BG660" s="307"/>
      <c r="BH660" s="307"/>
      <c r="BI660" s="307"/>
      <c r="BK660" s="300"/>
    </row>
    <row r="661" spans="1:63" s="298" customFormat="1" hidden="1" x14ac:dyDescent="0.25">
      <c r="A661" s="290"/>
      <c r="B661" s="291"/>
      <c r="C661" s="290"/>
      <c r="D661" s="290"/>
      <c r="E661" s="290"/>
      <c r="F661" s="290"/>
      <c r="G661" s="290"/>
      <c r="H661" s="290"/>
      <c r="I661" s="290"/>
      <c r="J661" s="290"/>
      <c r="K661" s="290"/>
      <c r="L661" s="290"/>
      <c r="M661" s="308"/>
      <c r="N661" s="290"/>
      <c r="O661" s="290"/>
      <c r="P661" s="290"/>
      <c r="Q661" s="290"/>
      <c r="R661" s="290"/>
      <c r="S661" s="290"/>
      <c r="T661" s="290"/>
      <c r="U661" s="294"/>
      <c r="V661" s="290"/>
      <c r="W661" s="290"/>
      <c r="X661" s="291"/>
      <c r="Y661" s="295">
        <v>800</v>
      </c>
      <c r="Z661" s="295"/>
      <c r="AA661" s="296"/>
      <c r="AB661" s="296"/>
      <c r="AC661" s="291"/>
      <c r="AD661" s="291"/>
      <c r="AE661" s="291"/>
      <c r="AF661" s="291"/>
      <c r="AG661" s="291"/>
      <c r="AH661" s="291"/>
      <c r="AI661" s="291"/>
      <c r="AJ661" s="291"/>
      <c r="AK661" s="290"/>
      <c r="AL661" s="290"/>
      <c r="AM661" s="290"/>
      <c r="AN661" s="290"/>
      <c r="AO661" s="290"/>
      <c r="AP661" s="290"/>
      <c r="AQ661" s="290"/>
      <c r="AR661" s="290"/>
      <c r="AS661" s="290"/>
      <c r="AT661" s="290"/>
      <c r="AU661" s="290"/>
      <c r="AV661" s="290"/>
      <c r="AW661" s="290"/>
      <c r="AX661" s="290"/>
      <c r="AY661" s="290"/>
      <c r="AZ661" s="290"/>
      <c r="BA661" s="290"/>
      <c r="BG661" s="307"/>
      <c r="BH661" s="307"/>
      <c r="BI661" s="307"/>
      <c r="BK661" s="300"/>
    </row>
    <row r="662" spans="1:63" s="298" customFormat="1" hidden="1" x14ac:dyDescent="0.25">
      <c r="A662" s="290"/>
      <c r="B662" s="291"/>
      <c r="C662" s="290"/>
      <c r="D662" s="290"/>
      <c r="E662" s="290"/>
      <c r="F662" s="290"/>
      <c r="G662" s="290"/>
      <c r="H662" s="290"/>
      <c r="I662" s="290"/>
      <c r="J662" s="290"/>
      <c r="K662" s="290"/>
      <c r="L662" s="290"/>
      <c r="M662" s="308"/>
      <c r="N662" s="290"/>
      <c r="O662" s="290"/>
      <c r="P662" s="290"/>
      <c r="Q662" s="290"/>
      <c r="R662" s="290"/>
      <c r="S662" s="290"/>
      <c r="T662" s="290"/>
      <c r="U662" s="294"/>
      <c r="V662" s="290"/>
      <c r="W662" s="290"/>
      <c r="X662" s="291"/>
      <c r="Y662" s="295">
        <v>500</v>
      </c>
      <c r="Z662" s="295"/>
      <c r="AA662" s="296"/>
      <c r="AB662" s="296"/>
      <c r="AC662" s="291"/>
      <c r="AD662" s="291"/>
      <c r="AE662" s="291"/>
      <c r="AF662" s="291"/>
      <c r="AG662" s="291"/>
      <c r="AH662" s="291"/>
      <c r="AI662" s="291"/>
      <c r="AJ662" s="291"/>
      <c r="AK662" s="290"/>
      <c r="AL662" s="290"/>
      <c r="AM662" s="290"/>
      <c r="AN662" s="290"/>
      <c r="AO662" s="290"/>
      <c r="AP662" s="290"/>
      <c r="AQ662" s="290"/>
      <c r="AR662" s="290"/>
      <c r="AS662" s="290"/>
      <c r="AT662" s="290"/>
      <c r="AU662" s="290"/>
      <c r="AV662" s="290"/>
      <c r="AW662" s="290"/>
      <c r="AX662" s="290"/>
      <c r="AY662" s="290"/>
      <c r="AZ662" s="290"/>
      <c r="BA662" s="290"/>
      <c r="BG662" s="307"/>
      <c r="BH662" s="307"/>
      <c r="BI662" s="307"/>
      <c r="BK662" s="300"/>
    </row>
    <row r="663" spans="1:63" s="298" customFormat="1" hidden="1" x14ac:dyDescent="0.25">
      <c r="A663" s="290"/>
      <c r="B663" s="291"/>
      <c r="C663" s="290"/>
      <c r="D663" s="290"/>
      <c r="E663" s="290"/>
      <c r="F663" s="290"/>
      <c r="G663" s="290"/>
      <c r="H663" s="290"/>
      <c r="I663" s="290"/>
      <c r="J663" s="290"/>
      <c r="K663" s="290"/>
      <c r="L663" s="290"/>
      <c r="M663" s="308"/>
      <c r="N663" s="290"/>
      <c r="O663" s="290"/>
      <c r="P663" s="290"/>
      <c r="Q663" s="290"/>
      <c r="R663" s="290"/>
      <c r="S663" s="290"/>
      <c r="T663" s="290"/>
      <c r="U663" s="294"/>
      <c r="V663" s="290"/>
      <c r="W663" s="290"/>
      <c r="X663" s="291"/>
      <c r="Y663" s="295">
        <v>90.213333333333324</v>
      </c>
      <c r="Z663" s="295"/>
      <c r="AA663" s="296"/>
      <c r="AB663" s="296"/>
      <c r="AC663" s="291"/>
      <c r="AD663" s="291"/>
      <c r="AE663" s="291"/>
      <c r="AF663" s="291"/>
      <c r="AG663" s="291"/>
      <c r="AH663" s="291"/>
      <c r="AI663" s="291"/>
      <c r="AJ663" s="291"/>
      <c r="AK663" s="290"/>
      <c r="AL663" s="290"/>
      <c r="AM663" s="290"/>
      <c r="AN663" s="290"/>
      <c r="AO663" s="290"/>
      <c r="AP663" s="290"/>
      <c r="AQ663" s="290"/>
      <c r="AR663" s="290"/>
      <c r="AS663" s="290"/>
      <c r="AT663" s="290"/>
      <c r="AU663" s="290"/>
      <c r="AV663" s="290"/>
      <c r="AW663" s="290"/>
      <c r="AX663" s="290"/>
      <c r="AY663" s="290"/>
      <c r="AZ663" s="290"/>
      <c r="BA663" s="290"/>
      <c r="BG663" s="307"/>
      <c r="BH663" s="307"/>
      <c r="BI663" s="307"/>
      <c r="BK663" s="300"/>
    </row>
    <row r="664" spans="1:63" s="298" customFormat="1" hidden="1" x14ac:dyDescent="0.25">
      <c r="A664" s="290"/>
      <c r="B664" s="291"/>
      <c r="C664" s="290"/>
      <c r="D664" s="290"/>
      <c r="E664" s="290"/>
      <c r="F664" s="290"/>
      <c r="G664" s="290"/>
      <c r="H664" s="290"/>
      <c r="I664" s="290"/>
      <c r="J664" s="290"/>
      <c r="K664" s="290"/>
      <c r="L664" s="290"/>
      <c r="M664" s="308"/>
      <c r="N664" s="290"/>
      <c r="O664" s="290"/>
      <c r="P664" s="290"/>
      <c r="Q664" s="290"/>
      <c r="R664" s="290"/>
      <c r="S664" s="290"/>
      <c r="T664" s="290"/>
      <c r="U664" s="294"/>
      <c r="V664" s="290"/>
      <c r="W664" s="290"/>
      <c r="X664" s="291"/>
      <c r="Y664" s="295">
        <v>10</v>
      </c>
      <c r="Z664" s="295"/>
      <c r="AA664" s="296"/>
      <c r="AB664" s="296"/>
      <c r="AC664" s="291"/>
      <c r="AD664" s="291"/>
      <c r="AE664" s="291"/>
      <c r="AF664" s="291"/>
      <c r="AG664" s="291"/>
      <c r="AH664" s="291"/>
      <c r="AI664" s="291"/>
      <c r="AJ664" s="291"/>
      <c r="AK664" s="290"/>
      <c r="AL664" s="290"/>
      <c r="AM664" s="290"/>
      <c r="AN664" s="290"/>
      <c r="AO664" s="290"/>
      <c r="AP664" s="290"/>
      <c r="AQ664" s="290"/>
      <c r="AR664" s="290"/>
      <c r="AS664" s="290"/>
      <c r="AT664" s="290"/>
      <c r="AU664" s="290"/>
      <c r="AV664" s="290"/>
      <c r="AW664" s="290"/>
      <c r="AX664" s="290"/>
      <c r="AY664" s="290"/>
      <c r="AZ664" s="290"/>
      <c r="BA664" s="290"/>
      <c r="BG664" s="307"/>
      <c r="BH664" s="307"/>
      <c r="BI664" s="307"/>
      <c r="BK664" s="300"/>
    </row>
    <row r="665" spans="1:63" s="298" customFormat="1" hidden="1" x14ac:dyDescent="0.25">
      <c r="A665" s="290"/>
      <c r="B665" s="291"/>
      <c r="C665" s="290"/>
      <c r="D665" s="290"/>
      <c r="E665" s="290"/>
      <c r="F665" s="290"/>
      <c r="G665" s="290"/>
      <c r="H665" s="290" t="s">
        <v>133</v>
      </c>
      <c r="I665" s="290"/>
      <c r="J665" s="290"/>
      <c r="K665" s="290"/>
      <c r="L665" s="290"/>
      <c r="M665" s="308"/>
      <c r="N665" s="290"/>
      <c r="O665" s="290"/>
      <c r="P665" s="290"/>
      <c r="Q665" s="290"/>
      <c r="R665" s="290"/>
      <c r="S665" s="290"/>
      <c r="T665" s="290"/>
      <c r="U665" s="294"/>
      <c r="V665" s="290"/>
      <c r="W665" s="290"/>
      <c r="X665" s="291"/>
      <c r="Y665" s="295">
        <v>10</v>
      </c>
      <c r="Z665" s="295"/>
      <c r="AA665" s="296"/>
      <c r="AB665" s="296"/>
      <c r="AC665" s="291"/>
      <c r="AD665" s="291"/>
      <c r="AE665" s="291"/>
      <c r="AF665" s="291"/>
      <c r="AG665" s="291"/>
      <c r="AH665" s="291"/>
      <c r="AI665" s="291"/>
      <c r="AJ665" s="291"/>
      <c r="AK665" s="290"/>
      <c r="AL665" s="290"/>
      <c r="AM665" s="290"/>
      <c r="AN665" s="290"/>
      <c r="AO665" s="290"/>
      <c r="AP665" s="290"/>
      <c r="AQ665" s="290"/>
      <c r="AR665" s="290"/>
      <c r="AS665" s="290"/>
      <c r="AT665" s="290"/>
      <c r="AU665" s="290"/>
      <c r="AV665" s="290"/>
      <c r="AW665" s="290"/>
      <c r="AX665" s="290"/>
      <c r="AY665" s="290"/>
      <c r="AZ665" s="290"/>
      <c r="BA665" s="290"/>
      <c r="BG665" s="307"/>
      <c r="BH665" s="307"/>
      <c r="BI665" s="307"/>
      <c r="BK665" s="300"/>
    </row>
    <row r="666" spans="1:63" s="298" customFormat="1" hidden="1" x14ac:dyDescent="0.25">
      <c r="A666" s="290"/>
      <c r="B666" s="291"/>
      <c r="C666" s="290"/>
      <c r="D666" s="290"/>
      <c r="E666" s="290"/>
      <c r="F666" s="290"/>
      <c r="G666" s="290"/>
      <c r="H666" s="290"/>
      <c r="I666" s="290"/>
      <c r="J666" s="290"/>
      <c r="K666" s="290"/>
      <c r="L666" s="290"/>
      <c r="M666" s="308"/>
      <c r="N666" s="290"/>
      <c r="O666" s="290"/>
      <c r="P666" s="290"/>
      <c r="Q666" s="290"/>
      <c r="R666" s="290"/>
      <c r="S666" s="290"/>
      <c r="T666" s="290"/>
      <c r="U666" s="294"/>
      <c r="V666" s="290"/>
      <c r="W666" s="290"/>
      <c r="X666" s="291"/>
      <c r="Y666" s="295">
        <v>17</v>
      </c>
      <c r="Z666" s="295"/>
      <c r="AA666" s="296"/>
      <c r="AB666" s="296"/>
      <c r="AC666" s="291"/>
      <c r="AD666" s="291"/>
      <c r="AE666" s="291"/>
      <c r="AF666" s="291"/>
      <c r="AG666" s="291"/>
      <c r="AH666" s="291"/>
      <c r="AI666" s="291"/>
      <c r="AJ666" s="291"/>
      <c r="AK666" s="290"/>
      <c r="AL666" s="290"/>
      <c r="AM666" s="290"/>
      <c r="AN666" s="290"/>
      <c r="AO666" s="290"/>
      <c r="AP666" s="290"/>
      <c r="AQ666" s="290"/>
      <c r="AR666" s="290"/>
      <c r="AS666" s="290"/>
      <c r="AT666" s="290"/>
      <c r="AU666" s="290"/>
      <c r="AV666" s="290"/>
      <c r="AW666" s="290"/>
      <c r="AX666" s="290"/>
      <c r="AY666" s="290"/>
      <c r="AZ666" s="290"/>
      <c r="BA666" s="290"/>
      <c r="BG666" s="307"/>
      <c r="BH666" s="307"/>
      <c r="BI666" s="307"/>
      <c r="BK666" s="300"/>
    </row>
    <row r="667" spans="1:63" s="298" customFormat="1" hidden="1" x14ac:dyDescent="0.25">
      <c r="A667" s="290"/>
      <c r="B667" s="291"/>
      <c r="C667" s="290"/>
      <c r="D667" s="290"/>
      <c r="E667" s="290"/>
      <c r="F667" s="290"/>
      <c r="G667" s="290"/>
      <c r="H667" s="290"/>
      <c r="I667" s="290"/>
      <c r="J667" s="290"/>
      <c r="K667" s="290"/>
      <c r="L667" s="290"/>
      <c r="M667" s="308"/>
      <c r="N667" s="290"/>
      <c r="O667" s="290"/>
      <c r="P667" s="290"/>
      <c r="Q667" s="290"/>
      <c r="R667" s="290"/>
      <c r="S667" s="290"/>
      <c r="T667" s="290"/>
      <c r="U667" s="294"/>
      <c r="V667" s="290"/>
      <c r="W667" s="290"/>
      <c r="X667" s="291"/>
      <c r="Y667" s="295">
        <v>145.98857142857142</v>
      </c>
      <c r="Z667" s="295"/>
      <c r="AA667" s="296"/>
      <c r="AB667" s="296"/>
      <c r="AC667" s="291"/>
      <c r="AD667" s="291"/>
      <c r="AE667" s="291"/>
      <c r="AF667" s="291"/>
      <c r="AG667" s="291"/>
      <c r="AH667" s="291"/>
      <c r="AI667" s="291"/>
      <c r="AJ667" s="291"/>
      <c r="AK667" s="290"/>
      <c r="AL667" s="290"/>
      <c r="AM667" s="290"/>
      <c r="AN667" s="290"/>
      <c r="AO667" s="290"/>
      <c r="AP667" s="290"/>
      <c r="AQ667" s="290"/>
      <c r="AR667" s="290"/>
      <c r="AS667" s="290"/>
      <c r="AT667" s="290"/>
      <c r="AU667" s="290"/>
      <c r="AV667" s="290"/>
      <c r="AW667" s="290"/>
      <c r="AX667" s="290"/>
      <c r="AY667" s="290"/>
      <c r="AZ667" s="290"/>
      <c r="BA667" s="290"/>
      <c r="BG667" s="307"/>
      <c r="BH667" s="307"/>
      <c r="BI667" s="307"/>
      <c r="BK667" s="300"/>
    </row>
    <row r="668" spans="1:63" s="298" customFormat="1" hidden="1" x14ac:dyDescent="0.25">
      <c r="A668" s="290"/>
      <c r="B668" s="291"/>
      <c r="C668" s="290"/>
      <c r="D668" s="290"/>
      <c r="E668" s="290"/>
      <c r="F668" s="290"/>
      <c r="G668" s="290"/>
      <c r="H668" s="290"/>
      <c r="I668" s="290"/>
      <c r="J668" s="290"/>
      <c r="K668" s="290"/>
      <c r="L668" s="290"/>
      <c r="M668" s="308"/>
      <c r="N668" s="290"/>
      <c r="O668" s="290"/>
      <c r="P668" s="290"/>
      <c r="Q668" s="290"/>
      <c r="R668" s="290"/>
      <c r="S668" s="290"/>
      <c r="T668" s="290"/>
      <c r="U668" s="294"/>
      <c r="V668" s="290"/>
      <c r="W668" s="290"/>
      <c r="X668" s="291"/>
      <c r="Y668" s="295">
        <v>76.5</v>
      </c>
      <c r="Z668" s="295"/>
      <c r="AA668" s="296"/>
      <c r="AB668" s="296"/>
      <c r="AC668" s="291"/>
      <c r="AD668" s="291"/>
      <c r="AE668" s="291"/>
      <c r="AF668" s="291"/>
      <c r="AG668" s="291"/>
      <c r="AH668" s="291"/>
      <c r="AI668" s="291"/>
      <c r="AJ668" s="291"/>
      <c r="AK668" s="290"/>
      <c r="AL668" s="290"/>
      <c r="AM668" s="290"/>
      <c r="AN668" s="290"/>
      <c r="AO668" s="290"/>
      <c r="AP668" s="290"/>
      <c r="AQ668" s="290"/>
      <c r="AR668" s="290"/>
      <c r="AS668" s="290"/>
      <c r="AT668" s="290"/>
      <c r="AU668" s="290"/>
      <c r="AV668" s="290"/>
      <c r="AW668" s="290"/>
      <c r="AX668" s="290"/>
      <c r="AY668" s="290"/>
      <c r="AZ668" s="290"/>
      <c r="BA668" s="290"/>
      <c r="BG668" s="307"/>
      <c r="BH668" s="307"/>
      <c r="BI668" s="307"/>
      <c r="BK668" s="300"/>
    </row>
    <row r="669" spans="1:63" s="298" customFormat="1" hidden="1" x14ac:dyDescent="0.25">
      <c r="A669" s="290"/>
      <c r="B669" s="291"/>
      <c r="C669" s="290"/>
      <c r="D669" s="290"/>
      <c r="E669" s="290"/>
      <c r="F669" s="290"/>
      <c r="G669" s="290"/>
      <c r="H669" s="290"/>
      <c r="I669" s="290"/>
      <c r="J669" s="290"/>
      <c r="K669" s="290"/>
      <c r="L669" s="290"/>
      <c r="M669" s="308"/>
      <c r="N669" s="290"/>
      <c r="O669" s="290"/>
      <c r="P669" s="290"/>
      <c r="Q669" s="290"/>
      <c r="R669" s="290"/>
      <c r="S669" s="290"/>
      <c r="T669" s="290"/>
      <c r="U669" s="294"/>
      <c r="V669" s="290"/>
      <c r="W669" s="290"/>
      <c r="X669" s="291"/>
      <c r="Y669" s="295">
        <v>59.625</v>
      </c>
      <c r="Z669" s="295"/>
      <c r="AA669" s="296"/>
      <c r="AB669" s="296"/>
      <c r="AC669" s="291"/>
      <c r="AD669" s="291"/>
      <c r="AE669" s="291"/>
      <c r="AF669" s="291"/>
      <c r="AG669" s="291"/>
      <c r="AH669" s="291"/>
      <c r="AI669" s="291"/>
      <c r="AJ669" s="291"/>
      <c r="AK669" s="290"/>
      <c r="AL669" s="290"/>
      <c r="AM669" s="290"/>
      <c r="AN669" s="290"/>
      <c r="AO669" s="290"/>
      <c r="AP669" s="290"/>
      <c r="AQ669" s="290"/>
      <c r="AR669" s="290"/>
      <c r="AS669" s="290"/>
      <c r="AT669" s="290"/>
      <c r="AU669" s="290"/>
      <c r="AV669" s="290"/>
      <c r="AW669" s="290"/>
      <c r="AX669" s="290"/>
      <c r="AY669" s="290"/>
      <c r="AZ669" s="290"/>
      <c r="BA669" s="290"/>
      <c r="BG669" s="307"/>
      <c r="BH669" s="307"/>
      <c r="BI669" s="307"/>
      <c r="BK669" s="300"/>
    </row>
    <row r="670" spans="1:63" s="298" customFormat="1" hidden="1" x14ac:dyDescent="0.25">
      <c r="A670" s="290"/>
      <c r="B670" s="291"/>
      <c r="C670" s="290"/>
      <c r="D670" s="290"/>
      <c r="E670" s="290"/>
      <c r="F670" s="290"/>
      <c r="G670" s="290"/>
      <c r="H670" s="290"/>
      <c r="I670" s="290"/>
      <c r="J670" s="290"/>
      <c r="K670" s="290"/>
      <c r="L670" s="290"/>
      <c r="M670" s="308"/>
      <c r="N670" s="290"/>
      <c r="O670" s="290"/>
      <c r="P670" s="290"/>
      <c r="Q670" s="290"/>
      <c r="R670" s="290"/>
      <c r="S670" s="290"/>
      <c r="T670" s="290"/>
      <c r="U670" s="294"/>
      <c r="V670" s="290"/>
      <c r="W670" s="290"/>
      <c r="X670" s="291"/>
      <c r="Y670" s="295">
        <v>47.333333333333336</v>
      </c>
      <c r="Z670" s="295"/>
      <c r="AA670" s="296"/>
      <c r="AB670" s="296"/>
      <c r="AC670" s="291"/>
      <c r="AD670" s="291"/>
      <c r="AE670" s="291"/>
      <c r="AF670" s="291"/>
      <c r="AG670" s="291"/>
      <c r="AH670" s="291"/>
      <c r="AI670" s="291"/>
      <c r="AJ670" s="291"/>
      <c r="AK670" s="290"/>
      <c r="AL670" s="290"/>
      <c r="AM670" s="290"/>
      <c r="AN670" s="290"/>
      <c r="AO670" s="290"/>
      <c r="AP670" s="290"/>
      <c r="AQ670" s="290"/>
      <c r="AR670" s="290"/>
      <c r="AS670" s="290"/>
      <c r="AT670" s="290"/>
      <c r="AU670" s="290"/>
      <c r="AV670" s="290"/>
      <c r="AW670" s="290"/>
      <c r="AX670" s="290"/>
      <c r="AY670" s="290"/>
      <c r="AZ670" s="290"/>
      <c r="BA670" s="290"/>
      <c r="BG670" s="307"/>
      <c r="BH670" s="307"/>
      <c r="BI670" s="307"/>
      <c r="BK670" s="300"/>
    </row>
    <row r="671" spans="1:63" s="298" customFormat="1" hidden="1" x14ac:dyDescent="0.25">
      <c r="A671" s="290"/>
      <c r="B671" s="291"/>
      <c r="C671" s="290"/>
      <c r="D671" s="290"/>
      <c r="E671" s="290"/>
      <c r="F671" s="290"/>
      <c r="G671" s="290"/>
      <c r="H671" s="290"/>
      <c r="I671" s="290"/>
      <c r="J671" s="290"/>
      <c r="K671" s="290"/>
      <c r="L671" s="290"/>
      <c r="M671" s="308"/>
      <c r="N671" s="290"/>
      <c r="O671" s="290"/>
      <c r="P671" s="290"/>
      <c r="Q671" s="290"/>
      <c r="R671" s="290"/>
      <c r="S671" s="290"/>
      <c r="T671" s="290"/>
      <c r="U671" s="294"/>
      <c r="V671" s="290"/>
      <c r="W671" s="290"/>
      <c r="X671" s="291"/>
      <c r="Y671" s="295">
        <v>36</v>
      </c>
      <c r="Z671" s="295"/>
      <c r="AA671" s="296"/>
      <c r="AB671" s="296"/>
      <c r="AC671" s="291"/>
      <c r="AD671" s="291"/>
      <c r="AE671" s="291"/>
      <c r="AF671" s="291"/>
      <c r="AG671" s="291"/>
      <c r="AH671" s="291"/>
      <c r="AI671" s="291"/>
      <c r="AJ671" s="291"/>
      <c r="AK671" s="290"/>
      <c r="AL671" s="290"/>
      <c r="AM671" s="290"/>
      <c r="AN671" s="290"/>
      <c r="AO671" s="290"/>
      <c r="AP671" s="290"/>
      <c r="AQ671" s="290"/>
      <c r="AR671" s="290"/>
      <c r="AS671" s="290"/>
      <c r="AT671" s="290"/>
      <c r="AU671" s="290"/>
      <c r="AV671" s="290"/>
      <c r="AW671" s="290"/>
      <c r="AX671" s="290"/>
      <c r="AY671" s="290"/>
      <c r="AZ671" s="290"/>
      <c r="BA671" s="290"/>
      <c r="BG671" s="307"/>
      <c r="BH671" s="307"/>
      <c r="BI671" s="307"/>
      <c r="BK671" s="300"/>
    </row>
    <row r="672" spans="1:63" s="298" customFormat="1" hidden="1" x14ac:dyDescent="0.25">
      <c r="A672" s="290"/>
      <c r="B672" s="291"/>
      <c r="C672" s="290"/>
      <c r="D672" s="290"/>
      <c r="E672" s="290"/>
      <c r="F672" s="290"/>
      <c r="G672" s="290"/>
      <c r="H672" s="290"/>
      <c r="I672" s="290"/>
      <c r="J672" s="290"/>
      <c r="K672" s="290"/>
      <c r="L672" s="290"/>
      <c r="M672" s="308"/>
      <c r="N672" s="290"/>
      <c r="O672" s="290"/>
      <c r="P672" s="290"/>
      <c r="Q672" s="290"/>
      <c r="R672" s="290"/>
      <c r="S672" s="290"/>
      <c r="T672" s="290"/>
      <c r="U672" s="294"/>
      <c r="V672" s="290"/>
      <c r="W672" s="290"/>
      <c r="X672" s="291"/>
      <c r="Y672" s="295">
        <v>58</v>
      </c>
      <c r="Z672" s="295"/>
      <c r="AA672" s="296"/>
      <c r="AB672" s="296"/>
      <c r="AC672" s="291"/>
      <c r="AD672" s="291"/>
      <c r="AE672" s="291"/>
      <c r="AF672" s="291"/>
      <c r="AG672" s="291"/>
      <c r="AH672" s="291"/>
      <c r="AI672" s="291"/>
      <c r="AJ672" s="291"/>
      <c r="AK672" s="290"/>
      <c r="AL672" s="290"/>
      <c r="AM672" s="290"/>
      <c r="AN672" s="290"/>
      <c r="AO672" s="290"/>
      <c r="AP672" s="290"/>
      <c r="AQ672" s="290"/>
      <c r="AR672" s="290"/>
      <c r="AS672" s="290"/>
      <c r="AT672" s="290"/>
      <c r="AU672" s="290"/>
      <c r="AV672" s="290"/>
      <c r="AW672" s="290"/>
      <c r="AX672" s="290"/>
      <c r="AY672" s="290"/>
      <c r="AZ672" s="290"/>
      <c r="BA672" s="290"/>
      <c r="BG672" s="307"/>
      <c r="BH672" s="307"/>
      <c r="BI672" s="307"/>
      <c r="BK672" s="300"/>
    </row>
    <row r="673" spans="1:63" s="298" customFormat="1" hidden="1" x14ac:dyDescent="0.25">
      <c r="A673" s="290"/>
      <c r="B673" s="291"/>
      <c r="C673" s="290"/>
      <c r="D673" s="290"/>
      <c r="E673" s="290"/>
      <c r="F673" s="290"/>
      <c r="G673" s="290"/>
      <c r="H673" s="290"/>
      <c r="I673" s="290"/>
      <c r="J673" s="290"/>
      <c r="K673" s="290"/>
      <c r="L673" s="290"/>
      <c r="M673" s="308"/>
      <c r="N673" s="290"/>
      <c r="O673" s="290"/>
      <c r="P673" s="290"/>
      <c r="Q673" s="290"/>
      <c r="R673" s="290"/>
      <c r="S673" s="290"/>
      <c r="T673" s="290"/>
      <c r="U673" s="294"/>
      <c r="V673" s="290"/>
      <c r="W673" s="290"/>
      <c r="X673" s="291"/>
      <c r="Y673" s="295">
        <v>48</v>
      </c>
      <c r="Z673" s="295"/>
      <c r="AA673" s="296"/>
      <c r="AB673" s="296"/>
      <c r="AC673" s="291"/>
      <c r="AD673" s="291"/>
      <c r="AE673" s="291"/>
      <c r="AF673" s="291"/>
      <c r="AG673" s="291"/>
      <c r="AH673" s="291"/>
      <c r="AI673" s="291"/>
      <c r="AJ673" s="291"/>
      <c r="AK673" s="290"/>
      <c r="AL673" s="290"/>
      <c r="AM673" s="290"/>
      <c r="AN673" s="290"/>
      <c r="AO673" s="290"/>
      <c r="AP673" s="290"/>
      <c r="AQ673" s="290"/>
      <c r="AR673" s="290"/>
      <c r="AS673" s="290"/>
      <c r="AT673" s="290"/>
      <c r="AU673" s="290"/>
      <c r="AV673" s="290"/>
      <c r="AW673" s="290"/>
      <c r="AX673" s="290"/>
      <c r="AY673" s="290"/>
      <c r="AZ673" s="290"/>
      <c r="BA673" s="290"/>
      <c r="BG673" s="307"/>
      <c r="BH673" s="307"/>
      <c r="BI673" s="307"/>
      <c r="BK673" s="300"/>
    </row>
    <row r="674" spans="1:63" s="298" customFormat="1" hidden="1" x14ac:dyDescent="0.25">
      <c r="A674" s="290"/>
      <c r="B674" s="291"/>
      <c r="C674" s="290"/>
      <c r="D674" s="290"/>
      <c r="E674" s="290"/>
      <c r="F674" s="290"/>
      <c r="G674" s="290"/>
      <c r="H674" s="290"/>
      <c r="I674" s="290"/>
      <c r="J674" s="290"/>
      <c r="K674" s="290"/>
      <c r="L674" s="290"/>
      <c r="M674" s="308"/>
      <c r="N674" s="290"/>
      <c r="O674" s="290"/>
      <c r="P674" s="290"/>
      <c r="Q674" s="290"/>
      <c r="R674" s="290"/>
      <c r="S674" s="290"/>
      <c r="T674" s="290"/>
      <c r="U674" s="294"/>
      <c r="V674" s="290"/>
      <c r="W674" s="290"/>
      <c r="X674" s="291"/>
      <c r="Y674" s="295">
        <v>98</v>
      </c>
      <c r="Z674" s="295"/>
      <c r="AA674" s="296"/>
      <c r="AB674" s="296"/>
      <c r="AC674" s="291"/>
      <c r="AD674" s="291"/>
      <c r="AE674" s="291"/>
      <c r="AF674" s="291"/>
      <c r="AG674" s="291"/>
      <c r="AH674" s="291"/>
      <c r="AI674" s="291"/>
      <c r="AJ674" s="291"/>
      <c r="AK674" s="290"/>
      <c r="AL674" s="290"/>
      <c r="AM674" s="290"/>
      <c r="AN674" s="290"/>
      <c r="AO674" s="290"/>
      <c r="AP674" s="290"/>
      <c r="AQ674" s="290"/>
      <c r="AR674" s="290"/>
      <c r="AS674" s="290"/>
      <c r="AT674" s="290"/>
      <c r="AU674" s="290"/>
      <c r="AV674" s="290"/>
      <c r="AW674" s="290"/>
      <c r="AX674" s="290"/>
      <c r="AY674" s="290"/>
      <c r="AZ674" s="290"/>
      <c r="BA674" s="290"/>
      <c r="BG674" s="307"/>
      <c r="BH674" s="307"/>
      <c r="BI674" s="307"/>
      <c r="BK674" s="300"/>
    </row>
    <row r="675" spans="1:63" s="298" customFormat="1" hidden="1" x14ac:dyDescent="0.25">
      <c r="A675" s="290"/>
      <c r="B675" s="291"/>
      <c r="C675" s="290"/>
      <c r="D675" s="290"/>
      <c r="E675" s="290"/>
      <c r="F675" s="290"/>
      <c r="G675" s="290"/>
      <c r="H675" s="290"/>
      <c r="I675" s="290"/>
      <c r="J675" s="290"/>
      <c r="K675" s="290"/>
      <c r="L675" s="290"/>
      <c r="M675" s="308"/>
      <c r="N675" s="290"/>
      <c r="O675" s="290"/>
      <c r="P675" s="290"/>
      <c r="Q675" s="290"/>
      <c r="R675" s="290"/>
      <c r="S675" s="290"/>
      <c r="T675" s="290"/>
      <c r="U675" s="294"/>
      <c r="V675" s="290"/>
      <c r="W675" s="290"/>
      <c r="X675" s="291"/>
      <c r="Y675" s="295">
        <v>57</v>
      </c>
      <c r="Z675" s="295"/>
      <c r="AA675" s="296"/>
      <c r="AB675" s="296"/>
      <c r="AC675" s="291"/>
      <c r="AD675" s="291"/>
      <c r="AE675" s="291"/>
      <c r="AF675" s="291"/>
      <c r="AG675" s="291"/>
      <c r="AH675" s="291"/>
      <c r="AI675" s="291"/>
      <c r="AJ675" s="291"/>
      <c r="AK675" s="290"/>
      <c r="AL675" s="290"/>
      <c r="AM675" s="290"/>
      <c r="AN675" s="290"/>
      <c r="AO675" s="290"/>
      <c r="AP675" s="290"/>
      <c r="AQ675" s="290"/>
      <c r="AR675" s="290"/>
      <c r="AS675" s="290"/>
      <c r="AT675" s="290"/>
      <c r="AU675" s="290"/>
      <c r="AV675" s="290"/>
      <c r="AW675" s="290"/>
      <c r="AX675" s="290"/>
      <c r="AY675" s="290"/>
      <c r="AZ675" s="290"/>
      <c r="BA675" s="290"/>
      <c r="BG675" s="307"/>
      <c r="BH675" s="307"/>
      <c r="BI675" s="307"/>
      <c r="BK675" s="300"/>
    </row>
    <row r="676" spans="1:63" s="298" customFormat="1" hidden="1" x14ac:dyDescent="0.25">
      <c r="A676" s="290"/>
      <c r="B676" s="291"/>
      <c r="C676" s="290"/>
      <c r="D676" s="290"/>
      <c r="E676" s="290"/>
      <c r="F676" s="290"/>
      <c r="G676" s="290"/>
      <c r="H676" s="290"/>
      <c r="I676" s="290"/>
      <c r="J676" s="290"/>
      <c r="K676" s="290"/>
      <c r="L676" s="290"/>
      <c r="M676" s="308"/>
      <c r="N676" s="290"/>
      <c r="O676" s="290"/>
      <c r="P676" s="290"/>
      <c r="Q676" s="290"/>
      <c r="R676" s="290"/>
      <c r="S676" s="290"/>
      <c r="T676" s="290"/>
      <c r="U676" s="294"/>
      <c r="V676" s="290"/>
      <c r="W676" s="290"/>
      <c r="X676" s="291"/>
      <c r="Y676" s="295">
        <v>57</v>
      </c>
      <c r="Z676" s="295"/>
      <c r="AA676" s="296"/>
      <c r="AB676" s="296"/>
      <c r="AC676" s="291"/>
      <c r="AD676" s="291"/>
      <c r="AE676" s="291"/>
      <c r="AF676" s="291"/>
      <c r="AG676" s="291"/>
      <c r="AH676" s="291"/>
      <c r="AI676" s="291"/>
      <c r="AJ676" s="291"/>
      <c r="AK676" s="290"/>
      <c r="AL676" s="290"/>
      <c r="AM676" s="290"/>
      <c r="AN676" s="290"/>
      <c r="AO676" s="290"/>
      <c r="AP676" s="290"/>
      <c r="AQ676" s="290"/>
      <c r="AR676" s="290"/>
      <c r="AS676" s="290"/>
      <c r="AT676" s="290"/>
      <c r="AU676" s="290"/>
      <c r="AV676" s="290"/>
      <c r="AW676" s="290"/>
      <c r="AX676" s="290"/>
      <c r="AY676" s="290"/>
      <c r="AZ676" s="290"/>
      <c r="BA676" s="290"/>
      <c r="BG676" s="307"/>
      <c r="BH676" s="307"/>
      <c r="BI676" s="307"/>
      <c r="BK676" s="300"/>
    </row>
    <row r="677" spans="1:63" s="298" customFormat="1" hidden="1" x14ac:dyDescent="0.25">
      <c r="A677" s="290"/>
      <c r="B677" s="291"/>
      <c r="C677" s="290"/>
      <c r="D677" s="290"/>
      <c r="E677" s="290"/>
      <c r="F677" s="290"/>
      <c r="G677" s="290"/>
      <c r="H677" s="290"/>
      <c r="I677" s="290"/>
      <c r="J677" s="290"/>
      <c r="K677" s="290"/>
      <c r="L677" s="290"/>
      <c r="M677" s="308"/>
      <c r="N677" s="290"/>
      <c r="O677" s="290"/>
      <c r="P677" s="290"/>
      <c r="Q677" s="290"/>
      <c r="R677" s="290"/>
      <c r="S677" s="290"/>
      <c r="T677" s="290"/>
      <c r="U677" s="294"/>
      <c r="V677" s="290"/>
      <c r="W677" s="290"/>
      <c r="X677" s="291"/>
      <c r="Y677" s="295">
        <v>140.21333333333334</v>
      </c>
      <c r="Z677" s="295"/>
      <c r="AA677" s="296"/>
      <c r="AB677" s="296"/>
      <c r="AC677" s="291"/>
      <c r="AD677" s="291"/>
      <c r="AE677" s="291"/>
      <c r="AF677" s="291"/>
      <c r="AG677" s="291"/>
      <c r="AH677" s="291"/>
      <c r="AI677" s="291"/>
      <c r="AJ677" s="291"/>
      <c r="AK677" s="290"/>
      <c r="AL677" s="290"/>
      <c r="AM677" s="290"/>
      <c r="AN677" s="290"/>
      <c r="AO677" s="290"/>
      <c r="AP677" s="290"/>
      <c r="AQ677" s="290"/>
      <c r="AR677" s="290"/>
      <c r="AS677" s="290"/>
      <c r="AT677" s="290"/>
      <c r="AU677" s="290"/>
      <c r="AV677" s="290"/>
      <c r="AW677" s="290"/>
      <c r="AX677" s="290"/>
      <c r="AY677" s="290"/>
      <c r="AZ677" s="290"/>
      <c r="BA677" s="290"/>
      <c r="BG677" s="307"/>
      <c r="BH677" s="307"/>
      <c r="BI677" s="307"/>
      <c r="BK677" s="300"/>
    </row>
    <row r="678" spans="1:63" s="298" customFormat="1" hidden="1" x14ac:dyDescent="0.25">
      <c r="A678" s="290"/>
      <c r="B678" s="291"/>
      <c r="C678" s="290"/>
      <c r="D678" s="290"/>
      <c r="E678" s="290"/>
      <c r="F678" s="290"/>
      <c r="G678" s="290"/>
      <c r="H678" s="290"/>
      <c r="I678" s="290"/>
      <c r="J678" s="290"/>
      <c r="K678" s="290"/>
      <c r="L678" s="290"/>
      <c r="M678" s="308"/>
      <c r="N678" s="290"/>
      <c r="O678" s="290"/>
      <c r="P678" s="290"/>
      <c r="Q678" s="290"/>
      <c r="R678" s="290"/>
      <c r="S678" s="290"/>
      <c r="T678" s="290"/>
      <c r="U678" s="294"/>
      <c r="V678" s="290"/>
      <c r="W678" s="290"/>
      <c r="X678" s="291"/>
      <c r="Y678" s="295">
        <v>73.1875</v>
      </c>
      <c r="Z678" s="295"/>
      <c r="AA678" s="296"/>
      <c r="AB678" s="296"/>
      <c r="AC678" s="291"/>
      <c r="AD678" s="291"/>
      <c r="AE678" s="291"/>
      <c r="AF678" s="291"/>
      <c r="AG678" s="291"/>
      <c r="AH678" s="291"/>
      <c r="AI678" s="291"/>
      <c r="AJ678" s="291"/>
      <c r="AK678" s="290"/>
      <c r="AL678" s="290"/>
      <c r="AM678" s="290"/>
      <c r="AN678" s="290"/>
      <c r="AO678" s="290"/>
      <c r="AP678" s="290"/>
      <c r="AQ678" s="290"/>
      <c r="AR678" s="290"/>
      <c r="AS678" s="290"/>
      <c r="AT678" s="290"/>
      <c r="AU678" s="290"/>
      <c r="AV678" s="290"/>
      <c r="AW678" s="290"/>
      <c r="AX678" s="290"/>
      <c r="AY678" s="290"/>
      <c r="AZ678" s="290"/>
      <c r="BA678" s="290"/>
      <c r="BG678" s="307"/>
      <c r="BH678" s="307"/>
      <c r="BI678" s="307"/>
      <c r="BK678" s="300"/>
    </row>
    <row r="679" spans="1:63" s="298" customFormat="1" hidden="1" x14ac:dyDescent="0.25">
      <c r="A679" s="290"/>
      <c r="B679" s="291"/>
      <c r="C679" s="290"/>
      <c r="D679" s="290"/>
      <c r="E679" s="290"/>
      <c r="F679" s="290"/>
      <c r="G679" s="290"/>
      <c r="H679" s="290"/>
      <c r="I679" s="290"/>
      <c r="J679" s="290"/>
      <c r="K679" s="290"/>
      <c r="L679" s="290"/>
      <c r="M679" s="308"/>
      <c r="N679" s="290"/>
      <c r="O679" s="290"/>
      <c r="P679" s="290"/>
      <c r="Q679" s="290"/>
      <c r="R679" s="290"/>
      <c r="S679" s="290"/>
      <c r="T679" s="290"/>
      <c r="U679" s="294"/>
      <c r="V679" s="290"/>
      <c r="W679" s="290"/>
      <c r="X679" s="291"/>
      <c r="Y679" s="295">
        <v>100</v>
      </c>
      <c r="Z679" s="295"/>
      <c r="AA679" s="296"/>
      <c r="AB679" s="296"/>
      <c r="AC679" s="291"/>
      <c r="AD679" s="291"/>
      <c r="AE679" s="291"/>
      <c r="AF679" s="291"/>
      <c r="AG679" s="291"/>
      <c r="AH679" s="291"/>
      <c r="AI679" s="291"/>
      <c r="AJ679" s="291"/>
      <c r="AK679" s="290"/>
      <c r="AL679" s="290"/>
      <c r="AM679" s="290"/>
      <c r="AN679" s="290"/>
      <c r="AO679" s="290"/>
      <c r="AP679" s="290"/>
      <c r="AQ679" s="290"/>
      <c r="AR679" s="290"/>
      <c r="AS679" s="290"/>
      <c r="AT679" s="290"/>
      <c r="AU679" s="290"/>
      <c r="AV679" s="290"/>
      <c r="AW679" s="290"/>
      <c r="AX679" s="290"/>
      <c r="AY679" s="290"/>
      <c r="AZ679" s="290"/>
      <c r="BA679" s="290"/>
      <c r="BG679" s="307"/>
      <c r="BH679" s="307"/>
      <c r="BI679" s="307"/>
      <c r="BK679" s="300"/>
    </row>
    <row r="680" spans="1:63" s="298" customFormat="1" hidden="1" x14ac:dyDescent="0.25">
      <c r="A680" s="290"/>
      <c r="B680" s="291"/>
      <c r="C680" s="290"/>
      <c r="D680" s="290"/>
      <c r="E680" s="290"/>
      <c r="F680" s="290"/>
      <c r="G680" s="290"/>
      <c r="H680" s="290"/>
      <c r="I680" s="290"/>
      <c r="J680" s="290"/>
      <c r="K680" s="290"/>
      <c r="L680" s="290"/>
      <c r="M680" s="308"/>
      <c r="N680" s="290"/>
      <c r="O680" s="290"/>
      <c r="P680" s="290"/>
      <c r="Q680" s="290"/>
      <c r="R680" s="290"/>
      <c r="S680" s="290"/>
      <c r="T680" s="290"/>
      <c r="U680" s="294"/>
      <c r="V680" s="290"/>
      <c r="W680" s="290"/>
      <c r="X680" s="291"/>
      <c r="Y680" s="295">
        <v>100</v>
      </c>
      <c r="Z680" s="295"/>
      <c r="AA680" s="296"/>
      <c r="AB680" s="296"/>
      <c r="AC680" s="291"/>
      <c r="AD680" s="291"/>
      <c r="AE680" s="291"/>
      <c r="AF680" s="291"/>
      <c r="AG680" s="291"/>
      <c r="AH680" s="291"/>
      <c r="AI680" s="291"/>
      <c r="AJ680" s="291"/>
      <c r="AK680" s="290"/>
      <c r="AL680" s="290"/>
      <c r="AM680" s="290"/>
      <c r="AN680" s="290"/>
      <c r="AO680" s="290"/>
      <c r="AP680" s="290"/>
      <c r="AQ680" s="290"/>
      <c r="AR680" s="290"/>
      <c r="AS680" s="290"/>
      <c r="AT680" s="290"/>
      <c r="AU680" s="290"/>
      <c r="AV680" s="290"/>
      <c r="AW680" s="290"/>
      <c r="AX680" s="290"/>
      <c r="AY680" s="290"/>
      <c r="AZ680" s="290"/>
      <c r="BA680" s="290"/>
      <c r="BG680" s="307"/>
      <c r="BH680" s="307"/>
      <c r="BI680" s="307"/>
      <c r="BK680" s="300"/>
    </row>
    <row r="681" spans="1:63" s="298" customFormat="1" hidden="1" x14ac:dyDescent="0.25">
      <c r="A681" s="290"/>
      <c r="B681" s="291"/>
      <c r="C681" s="290"/>
      <c r="D681" s="290"/>
      <c r="E681" s="290"/>
      <c r="F681" s="290"/>
      <c r="G681" s="290"/>
      <c r="H681" s="290"/>
      <c r="I681" s="290"/>
      <c r="J681" s="290"/>
      <c r="K681" s="290"/>
      <c r="L681" s="290"/>
      <c r="M681" s="308"/>
      <c r="N681" s="290"/>
      <c r="O681" s="290"/>
      <c r="P681" s="290"/>
      <c r="Q681" s="290"/>
      <c r="R681" s="290"/>
      <c r="S681" s="290"/>
      <c r="T681" s="290"/>
      <c r="U681" s="294"/>
      <c r="V681" s="290"/>
      <c r="W681" s="290"/>
      <c r="X681" s="291"/>
      <c r="Y681" s="295">
        <v>106.66666666666667</v>
      </c>
      <c r="Z681" s="295"/>
      <c r="AA681" s="296"/>
      <c r="AB681" s="296"/>
      <c r="AC681" s="291"/>
      <c r="AD681" s="291"/>
      <c r="AE681" s="291"/>
      <c r="AF681" s="291"/>
      <c r="AG681" s="291"/>
      <c r="AH681" s="291"/>
      <c r="AI681" s="291"/>
      <c r="AJ681" s="291"/>
      <c r="AK681" s="290"/>
      <c r="AL681" s="290"/>
      <c r="AM681" s="290"/>
      <c r="AN681" s="290"/>
      <c r="AO681" s="290"/>
      <c r="AP681" s="290"/>
      <c r="AQ681" s="290"/>
      <c r="AR681" s="290"/>
      <c r="AS681" s="290"/>
      <c r="AT681" s="290"/>
      <c r="AU681" s="290"/>
      <c r="AV681" s="290"/>
      <c r="AW681" s="290"/>
      <c r="AX681" s="290"/>
      <c r="AY681" s="290"/>
      <c r="AZ681" s="290"/>
      <c r="BA681" s="290"/>
      <c r="BG681" s="307"/>
      <c r="BH681" s="307"/>
      <c r="BI681" s="307"/>
      <c r="BK681" s="300"/>
    </row>
    <row r="682" spans="1:63" s="298" customFormat="1" hidden="1" x14ac:dyDescent="0.25">
      <c r="A682" s="290"/>
      <c r="B682" s="291"/>
      <c r="C682" s="290"/>
      <c r="D682" s="290"/>
      <c r="E682" s="290"/>
      <c r="F682" s="290"/>
      <c r="G682" s="290"/>
      <c r="H682" s="290"/>
      <c r="I682" s="290"/>
      <c r="J682" s="290"/>
      <c r="K682" s="290"/>
      <c r="L682" s="290"/>
      <c r="M682" s="308"/>
      <c r="N682" s="290"/>
      <c r="O682" s="290"/>
      <c r="P682" s="290"/>
      <c r="Q682" s="290"/>
      <c r="R682" s="290"/>
      <c r="S682" s="290"/>
      <c r="T682" s="290"/>
      <c r="U682" s="294"/>
      <c r="V682" s="290"/>
      <c r="W682" s="290"/>
      <c r="X682" s="291"/>
      <c r="Y682" s="295">
        <v>6</v>
      </c>
      <c r="Z682" s="295"/>
      <c r="AA682" s="296"/>
      <c r="AB682" s="296"/>
      <c r="AC682" s="291"/>
      <c r="AD682" s="291"/>
      <c r="AE682" s="291"/>
      <c r="AF682" s="291"/>
      <c r="AG682" s="291"/>
      <c r="AH682" s="291"/>
      <c r="AI682" s="291"/>
      <c r="AJ682" s="291"/>
      <c r="AK682" s="290"/>
      <c r="AL682" s="290"/>
      <c r="AM682" s="290"/>
      <c r="AN682" s="290"/>
      <c r="AO682" s="290"/>
      <c r="AP682" s="290"/>
      <c r="AQ682" s="290"/>
      <c r="AR682" s="290"/>
      <c r="AS682" s="290"/>
      <c r="AT682" s="290"/>
      <c r="AU682" s="290"/>
      <c r="AV682" s="290"/>
      <c r="AW682" s="290"/>
      <c r="AX682" s="290"/>
      <c r="AY682" s="290"/>
      <c r="AZ682" s="290"/>
      <c r="BA682" s="290"/>
      <c r="BG682" s="307"/>
      <c r="BH682" s="307"/>
      <c r="BI682" s="307"/>
      <c r="BK682" s="300"/>
    </row>
    <row r="683" spans="1:63" s="298" customFormat="1" hidden="1" x14ac:dyDescent="0.25">
      <c r="A683" s="290"/>
      <c r="B683" s="291"/>
      <c r="C683" s="290"/>
      <c r="D683" s="290"/>
      <c r="E683" s="290"/>
      <c r="F683" s="290"/>
      <c r="G683" s="290"/>
      <c r="H683" s="290"/>
      <c r="I683" s="290"/>
      <c r="J683" s="290"/>
      <c r="K683" s="290"/>
      <c r="L683" s="290"/>
      <c r="M683" s="308"/>
      <c r="N683" s="290"/>
      <c r="O683" s="290"/>
      <c r="P683" s="290"/>
      <c r="Q683" s="290"/>
      <c r="R683" s="290"/>
      <c r="S683" s="290"/>
      <c r="T683" s="290"/>
      <c r="U683" s="294"/>
      <c r="V683" s="290"/>
      <c r="W683" s="290"/>
      <c r="X683" s="291"/>
      <c r="Y683" s="295">
        <v>390</v>
      </c>
      <c r="Z683" s="295"/>
      <c r="AA683" s="296"/>
      <c r="AB683" s="296"/>
      <c r="AC683" s="291"/>
      <c r="AD683" s="291"/>
      <c r="AE683" s="291"/>
      <c r="AF683" s="291"/>
      <c r="AG683" s="291"/>
      <c r="AH683" s="291"/>
      <c r="AI683" s="291"/>
      <c r="AJ683" s="291"/>
      <c r="AK683" s="290"/>
      <c r="AL683" s="290"/>
      <c r="AM683" s="290"/>
      <c r="AN683" s="290"/>
      <c r="AO683" s="290"/>
      <c r="AP683" s="290"/>
      <c r="AQ683" s="290"/>
      <c r="AR683" s="290"/>
      <c r="AS683" s="290"/>
      <c r="AT683" s="290"/>
      <c r="AU683" s="290"/>
      <c r="AV683" s="290"/>
      <c r="AW683" s="290"/>
      <c r="AX683" s="290"/>
      <c r="AY683" s="290"/>
      <c r="AZ683" s="290"/>
      <c r="BA683" s="290"/>
      <c r="BG683" s="307"/>
      <c r="BH683" s="307"/>
      <c r="BI683" s="307"/>
      <c r="BK683" s="300"/>
    </row>
    <row r="684" spans="1:63" s="298" customFormat="1" hidden="1" x14ac:dyDescent="0.25">
      <c r="A684" s="290"/>
      <c r="B684" s="291"/>
      <c r="C684" s="290"/>
      <c r="D684" s="290"/>
      <c r="E684" s="290"/>
      <c r="F684" s="290"/>
      <c r="G684" s="290"/>
      <c r="H684" s="290"/>
      <c r="I684" s="290"/>
      <c r="J684" s="290"/>
      <c r="K684" s="290"/>
      <c r="L684" s="290"/>
      <c r="M684" s="308"/>
      <c r="N684" s="290"/>
      <c r="O684" s="290"/>
      <c r="P684" s="290"/>
      <c r="Q684" s="290"/>
      <c r="R684" s="290"/>
      <c r="S684" s="290"/>
      <c r="T684" s="290"/>
      <c r="U684" s="294"/>
      <c r="V684" s="290"/>
      <c r="W684" s="290"/>
      <c r="X684" s="291"/>
      <c r="Y684" s="295">
        <v>578.57142857142856</v>
      </c>
      <c r="Z684" s="295"/>
      <c r="AA684" s="296"/>
      <c r="AB684" s="296"/>
      <c r="AC684" s="291"/>
      <c r="AD684" s="291"/>
      <c r="AE684" s="291"/>
      <c r="AF684" s="291"/>
      <c r="AG684" s="291"/>
      <c r="AH684" s="291"/>
      <c r="AI684" s="291"/>
      <c r="AJ684" s="291"/>
      <c r="AK684" s="290"/>
      <c r="AL684" s="290"/>
      <c r="AM684" s="290"/>
      <c r="AN684" s="290"/>
      <c r="AO684" s="290"/>
      <c r="AP684" s="290"/>
      <c r="AQ684" s="290"/>
      <c r="AR684" s="290"/>
      <c r="AS684" s="290"/>
      <c r="AT684" s="290"/>
      <c r="AU684" s="290"/>
      <c r="AV684" s="290"/>
      <c r="AW684" s="290"/>
      <c r="AX684" s="290"/>
      <c r="AY684" s="290"/>
      <c r="AZ684" s="290"/>
      <c r="BA684" s="290"/>
      <c r="BG684" s="307"/>
      <c r="BH684" s="307"/>
      <c r="BI684" s="307"/>
      <c r="BK684" s="300"/>
    </row>
    <row r="685" spans="1:63" s="298" customFormat="1" hidden="1" x14ac:dyDescent="0.25">
      <c r="A685" s="290"/>
      <c r="B685" s="291"/>
      <c r="C685" s="290"/>
      <c r="D685" s="290"/>
      <c r="E685" s="290"/>
      <c r="F685" s="290"/>
      <c r="G685" s="290"/>
      <c r="H685" s="290"/>
      <c r="I685" s="290"/>
      <c r="J685" s="290"/>
      <c r="K685" s="290"/>
      <c r="L685" s="290"/>
      <c r="M685" s="308"/>
      <c r="N685" s="290"/>
      <c r="O685" s="290"/>
      <c r="P685" s="290"/>
      <c r="Q685" s="290"/>
      <c r="R685" s="290"/>
      <c r="S685" s="290"/>
      <c r="T685" s="290"/>
      <c r="U685" s="294"/>
      <c r="V685" s="290"/>
      <c r="W685" s="290"/>
      <c r="X685" s="291"/>
      <c r="Y685" s="295">
        <v>579</v>
      </c>
      <c r="Z685" s="295"/>
      <c r="AA685" s="296"/>
      <c r="AB685" s="296"/>
      <c r="AC685" s="291"/>
      <c r="AD685" s="291"/>
      <c r="AE685" s="291"/>
      <c r="AF685" s="291"/>
      <c r="AG685" s="291"/>
      <c r="AH685" s="291"/>
      <c r="AI685" s="291"/>
      <c r="AJ685" s="291"/>
      <c r="AK685" s="290"/>
      <c r="AL685" s="290"/>
      <c r="AM685" s="290"/>
      <c r="AN685" s="290"/>
      <c r="AO685" s="290"/>
      <c r="AP685" s="290"/>
      <c r="AQ685" s="290"/>
      <c r="AR685" s="290"/>
      <c r="AS685" s="290"/>
      <c r="AT685" s="290"/>
      <c r="AU685" s="290"/>
      <c r="AV685" s="290"/>
      <c r="AW685" s="290"/>
      <c r="AX685" s="290"/>
      <c r="AY685" s="290"/>
      <c r="AZ685" s="290"/>
      <c r="BA685" s="290"/>
      <c r="BG685" s="307"/>
      <c r="BH685" s="307"/>
      <c r="BI685" s="307"/>
      <c r="BK685" s="300"/>
    </row>
    <row r="686" spans="1:63" s="298" customFormat="1" hidden="1" x14ac:dyDescent="0.25">
      <c r="A686" s="290"/>
      <c r="B686" s="291"/>
      <c r="C686" s="290"/>
      <c r="D686" s="290"/>
      <c r="E686" s="290"/>
      <c r="F686" s="290"/>
      <c r="G686" s="290"/>
      <c r="H686" s="290"/>
      <c r="I686" s="290"/>
      <c r="J686" s="290"/>
      <c r="K686" s="290"/>
      <c r="L686" s="290"/>
      <c r="M686" s="308"/>
      <c r="N686" s="290"/>
      <c r="O686" s="290"/>
      <c r="P686" s="290"/>
      <c r="Q686" s="290"/>
      <c r="R686" s="290"/>
      <c r="S686" s="290"/>
      <c r="T686" s="290"/>
      <c r="U686" s="294"/>
      <c r="V686" s="290"/>
      <c r="W686" s="290"/>
      <c r="X686" s="291"/>
      <c r="Y686" s="295">
        <v>1</v>
      </c>
      <c r="Z686" s="295"/>
      <c r="AA686" s="296"/>
      <c r="AB686" s="296"/>
      <c r="AC686" s="291"/>
      <c r="AD686" s="291"/>
      <c r="AE686" s="291"/>
      <c r="AF686" s="291"/>
      <c r="AG686" s="291"/>
      <c r="AH686" s="291"/>
      <c r="AI686" s="291"/>
      <c r="AJ686" s="291"/>
      <c r="AK686" s="290"/>
      <c r="AL686" s="290"/>
      <c r="AM686" s="290"/>
      <c r="AN686" s="290"/>
      <c r="AO686" s="290"/>
      <c r="AP686" s="290"/>
      <c r="AQ686" s="290"/>
      <c r="AR686" s="290"/>
      <c r="AS686" s="290"/>
      <c r="AT686" s="290"/>
      <c r="AU686" s="290"/>
      <c r="AV686" s="290"/>
      <c r="AW686" s="290"/>
      <c r="AX686" s="290"/>
      <c r="AY686" s="290"/>
      <c r="AZ686" s="290"/>
      <c r="BA686" s="290"/>
      <c r="BG686" s="307"/>
      <c r="BH686" s="307"/>
      <c r="BI686" s="307"/>
      <c r="BK686" s="300"/>
    </row>
    <row r="687" spans="1:63" s="298" customFormat="1" hidden="1" x14ac:dyDescent="0.25">
      <c r="A687" s="290"/>
      <c r="B687" s="291"/>
      <c r="C687" s="290"/>
      <c r="D687" s="290"/>
      <c r="E687" s="290"/>
      <c r="F687" s="290"/>
      <c r="G687" s="290"/>
      <c r="H687" s="290"/>
      <c r="I687" s="290"/>
      <c r="J687" s="290"/>
      <c r="K687" s="290"/>
      <c r="L687" s="290"/>
      <c r="M687" s="308"/>
      <c r="N687" s="290"/>
      <c r="O687" s="290"/>
      <c r="P687" s="290"/>
      <c r="Q687" s="290"/>
      <c r="R687" s="290"/>
      <c r="S687" s="290"/>
      <c r="T687" s="290"/>
      <c r="U687" s="294"/>
      <c r="V687" s="290"/>
      <c r="W687" s="290"/>
      <c r="X687" s="291"/>
      <c r="Y687" s="295">
        <v>5</v>
      </c>
      <c r="Z687" s="295"/>
      <c r="AA687" s="296"/>
      <c r="AB687" s="296"/>
      <c r="AC687" s="291"/>
      <c r="AD687" s="291"/>
      <c r="AE687" s="291"/>
      <c r="AF687" s="291"/>
      <c r="AG687" s="291"/>
      <c r="AH687" s="291"/>
      <c r="AI687" s="291"/>
      <c r="AJ687" s="291"/>
      <c r="AK687" s="290"/>
      <c r="AL687" s="290"/>
      <c r="AM687" s="290"/>
      <c r="AN687" s="290"/>
      <c r="AO687" s="290"/>
      <c r="AP687" s="290"/>
      <c r="AQ687" s="290"/>
      <c r="AR687" s="290"/>
      <c r="AS687" s="290"/>
      <c r="AT687" s="290"/>
      <c r="AU687" s="290"/>
      <c r="AV687" s="290"/>
      <c r="AW687" s="290"/>
      <c r="AX687" s="290"/>
      <c r="AY687" s="290"/>
      <c r="AZ687" s="290"/>
      <c r="BA687" s="290"/>
      <c r="BG687" s="307"/>
      <c r="BH687" s="307"/>
      <c r="BI687" s="307"/>
      <c r="BK687" s="300"/>
    </row>
    <row r="688" spans="1:63" s="298" customFormat="1" hidden="1" x14ac:dyDescent="0.25">
      <c r="A688" s="290"/>
      <c r="B688" s="291"/>
      <c r="C688" s="290"/>
      <c r="D688" s="290"/>
      <c r="E688" s="290"/>
      <c r="F688" s="290"/>
      <c r="G688" s="290"/>
      <c r="H688" s="290"/>
      <c r="I688" s="290"/>
      <c r="J688" s="290"/>
      <c r="K688" s="290"/>
      <c r="L688" s="290"/>
      <c r="M688" s="308"/>
      <c r="N688" s="290"/>
      <c r="O688" s="290"/>
      <c r="P688" s="290"/>
      <c r="Q688" s="290"/>
      <c r="R688" s="290"/>
      <c r="S688" s="290"/>
      <c r="T688" s="290"/>
      <c r="U688" s="294"/>
      <c r="V688" s="290"/>
      <c r="W688" s="290"/>
      <c r="X688" s="291"/>
      <c r="Y688" s="295">
        <v>5</v>
      </c>
      <c r="Z688" s="295"/>
      <c r="AA688" s="296"/>
      <c r="AB688" s="296"/>
      <c r="AC688" s="291"/>
      <c r="AD688" s="291"/>
      <c r="AE688" s="291"/>
      <c r="AF688" s="291"/>
      <c r="AG688" s="291"/>
      <c r="AH688" s="291"/>
      <c r="AI688" s="291"/>
      <c r="AJ688" s="291"/>
      <c r="AK688" s="290"/>
      <c r="AL688" s="290"/>
      <c r="AM688" s="290"/>
      <c r="AN688" s="290"/>
      <c r="AO688" s="290"/>
      <c r="AP688" s="290"/>
      <c r="AQ688" s="290"/>
      <c r="AR688" s="290"/>
      <c r="AS688" s="290"/>
      <c r="AT688" s="290"/>
      <c r="AU688" s="290"/>
      <c r="AV688" s="290"/>
      <c r="AW688" s="290"/>
      <c r="AX688" s="290"/>
      <c r="AY688" s="290"/>
      <c r="AZ688" s="290"/>
      <c r="BA688" s="290"/>
      <c r="BG688" s="307"/>
      <c r="BH688" s="307"/>
      <c r="BI688" s="307"/>
      <c r="BK688" s="300"/>
    </row>
    <row r="689" spans="1:63" s="298" customFormat="1" hidden="1" x14ac:dyDescent="0.25">
      <c r="A689" s="290"/>
      <c r="B689" s="291"/>
      <c r="C689" s="290"/>
      <c r="D689" s="290"/>
      <c r="E689" s="290"/>
      <c r="F689" s="290"/>
      <c r="G689" s="290"/>
      <c r="H689" s="290"/>
      <c r="I689" s="290"/>
      <c r="J689" s="290"/>
      <c r="K689" s="290"/>
      <c r="L689" s="290"/>
      <c r="M689" s="308"/>
      <c r="N689" s="290"/>
      <c r="O689" s="290"/>
      <c r="P689" s="290"/>
      <c r="Q689" s="290"/>
      <c r="R689" s="290"/>
      <c r="S689" s="290"/>
      <c r="T689" s="290"/>
      <c r="U689" s="294"/>
      <c r="V689" s="290"/>
      <c r="W689" s="290"/>
      <c r="X689" s="291"/>
      <c r="Y689" s="295">
        <v>3.5</v>
      </c>
      <c r="Z689" s="295"/>
      <c r="AA689" s="296"/>
      <c r="AB689" s="296"/>
      <c r="AC689" s="291"/>
      <c r="AD689" s="291"/>
      <c r="AE689" s="291"/>
      <c r="AF689" s="291"/>
      <c r="AG689" s="291"/>
      <c r="AH689" s="291"/>
      <c r="AI689" s="291"/>
      <c r="AJ689" s="291"/>
      <c r="AK689" s="290"/>
      <c r="AL689" s="290"/>
      <c r="AM689" s="290"/>
      <c r="AN689" s="290"/>
      <c r="AO689" s="290"/>
      <c r="AP689" s="290"/>
      <c r="AQ689" s="290"/>
      <c r="AR689" s="290"/>
      <c r="AS689" s="290"/>
      <c r="AT689" s="290"/>
      <c r="AU689" s="290"/>
      <c r="AV689" s="290"/>
      <c r="AW689" s="290"/>
      <c r="AX689" s="290"/>
      <c r="AY689" s="290"/>
      <c r="AZ689" s="290"/>
      <c r="BA689" s="290"/>
      <c r="BG689" s="307"/>
      <c r="BH689" s="307"/>
      <c r="BI689" s="307"/>
      <c r="BK689" s="300"/>
    </row>
    <row r="690" spans="1:63" s="298" customFormat="1" hidden="1" x14ac:dyDescent="0.25">
      <c r="A690" s="290"/>
      <c r="B690" s="291"/>
      <c r="C690" s="290"/>
      <c r="D690" s="290"/>
      <c r="E690" s="290"/>
      <c r="F690" s="290"/>
      <c r="G690" s="290"/>
      <c r="H690" s="290"/>
      <c r="I690" s="290"/>
      <c r="J690" s="290"/>
      <c r="K690" s="290"/>
      <c r="L690" s="290"/>
      <c r="M690" s="308"/>
      <c r="N690" s="290"/>
      <c r="O690" s="290"/>
      <c r="P690" s="290"/>
      <c r="Q690" s="290"/>
      <c r="R690" s="290"/>
      <c r="S690" s="290"/>
      <c r="T690" s="290"/>
      <c r="U690" s="294"/>
      <c r="V690" s="290"/>
      <c r="W690" s="290"/>
      <c r="X690" s="291"/>
      <c r="Y690" s="295">
        <v>3</v>
      </c>
      <c r="Z690" s="295"/>
      <c r="AA690" s="296"/>
      <c r="AB690" s="296"/>
      <c r="AC690" s="291"/>
      <c r="AD690" s="291"/>
      <c r="AE690" s="291"/>
      <c r="AF690" s="291"/>
      <c r="AG690" s="291"/>
      <c r="AH690" s="291"/>
      <c r="AI690" s="291"/>
      <c r="AJ690" s="291"/>
      <c r="AK690" s="290"/>
      <c r="AL690" s="290"/>
      <c r="AM690" s="290"/>
      <c r="AN690" s="290"/>
      <c r="AO690" s="290"/>
      <c r="AP690" s="290"/>
      <c r="AQ690" s="290"/>
      <c r="AR690" s="290"/>
      <c r="AS690" s="290"/>
      <c r="AT690" s="290"/>
      <c r="AU690" s="290"/>
      <c r="AV690" s="290"/>
      <c r="AW690" s="290"/>
      <c r="AX690" s="290"/>
      <c r="AY690" s="290"/>
      <c r="AZ690" s="290"/>
      <c r="BA690" s="290"/>
      <c r="BG690" s="307"/>
      <c r="BH690" s="307"/>
      <c r="BI690" s="307"/>
      <c r="BK690" s="300"/>
    </row>
    <row r="691" spans="1:63" s="298" customFormat="1" hidden="1" x14ac:dyDescent="0.25">
      <c r="A691" s="290"/>
      <c r="B691" s="291"/>
      <c r="C691" s="290"/>
      <c r="D691" s="290"/>
      <c r="E691" s="290"/>
      <c r="F691" s="290"/>
      <c r="G691" s="290"/>
      <c r="H691" s="290"/>
      <c r="I691" s="290"/>
      <c r="J691" s="290"/>
      <c r="K691" s="290"/>
      <c r="L691" s="290"/>
      <c r="M691" s="308"/>
      <c r="N691" s="290"/>
      <c r="O691" s="290"/>
      <c r="P691" s="290"/>
      <c r="Q691" s="290"/>
      <c r="R691" s="290"/>
      <c r="S691" s="290"/>
      <c r="T691" s="290"/>
      <c r="U691" s="294"/>
      <c r="V691" s="290"/>
      <c r="W691" s="290"/>
      <c r="X691" s="291"/>
      <c r="Y691" s="295">
        <v>4</v>
      </c>
      <c r="Z691" s="295"/>
      <c r="AA691" s="296"/>
      <c r="AB691" s="296"/>
      <c r="AC691" s="291"/>
      <c r="AD691" s="291"/>
      <c r="AE691" s="291"/>
      <c r="AF691" s="291"/>
      <c r="AG691" s="291"/>
      <c r="AH691" s="291"/>
      <c r="AI691" s="291"/>
      <c r="AJ691" s="291"/>
      <c r="AK691" s="290"/>
      <c r="AL691" s="290"/>
      <c r="AM691" s="290"/>
      <c r="AN691" s="290"/>
      <c r="AO691" s="290"/>
      <c r="AP691" s="290"/>
      <c r="AQ691" s="290"/>
      <c r="AR691" s="290"/>
      <c r="AS691" s="290"/>
      <c r="AT691" s="290"/>
      <c r="AU691" s="290"/>
      <c r="AV691" s="290"/>
      <c r="AW691" s="290"/>
      <c r="AX691" s="290"/>
      <c r="AY691" s="290"/>
      <c r="AZ691" s="290"/>
      <c r="BA691" s="290"/>
      <c r="BG691" s="307"/>
      <c r="BH691" s="307"/>
      <c r="BI691" s="307"/>
      <c r="BK691" s="300"/>
    </row>
    <row r="692" spans="1:63" s="298" customFormat="1" hidden="1" x14ac:dyDescent="0.25">
      <c r="A692" s="290"/>
      <c r="B692" s="291"/>
      <c r="C692" s="290"/>
      <c r="D692" s="290"/>
      <c r="E692" s="290"/>
      <c r="F692" s="290"/>
      <c r="G692" s="290"/>
      <c r="H692" s="290"/>
      <c r="I692" s="290"/>
      <c r="J692" s="290"/>
      <c r="K692" s="290"/>
      <c r="L692" s="290"/>
      <c r="M692" s="308"/>
      <c r="N692" s="290"/>
      <c r="O692" s="290"/>
      <c r="P692" s="290"/>
      <c r="Q692" s="290"/>
      <c r="R692" s="290"/>
      <c r="S692" s="290"/>
      <c r="T692" s="290"/>
      <c r="U692" s="294"/>
      <c r="V692" s="290"/>
      <c r="W692" s="290"/>
      <c r="X692" s="291"/>
      <c r="Y692" s="295">
        <v>6</v>
      </c>
      <c r="Z692" s="295"/>
      <c r="AA692" s="296"/>
      <c r="AB692" s="296"/>
      <c r="AC692" s="291"/>
      <c r="AD692" s="291"/>
      <c r="AE692" s="291"/>
      <c r="AF692" s="291"/>
      <c r="AG692" s="291"/>
      <c r="AH692" s="291"/>
      <c r="AI692" s="291"/>
      <c r="AJ692" s="291"/>
      <c r="AK692" s="290"/>
      <c r="AL692" s="290"/>
      <c r="AM692" s="290"/>
      <c r="AN692" s="290"/>
      <c r="AO692" s="290"/>
      <c r="AP692" s="290"/>
      <c r="AQ692" s="290"/>
      <c r="AR692" s="290"/>
      <c r="AS692" s="290"/>
      <c r="AT692" s="290"/>
      <c r="AU692" s="290"/>
      <c r="AV692" s="290"/>
      <c r="AW692" s="290"/>
      <c r="AX692" s="290"/>
      <c r="AY692" s="290"/>
      <c r="AZ692" s="290"/>
      <c r="BA692" s="290"/>
      <c r="BG692" s="307"/>
      <c r="BH692" s="307"/>
      <c r="BI692" s="307"/>
      <c r="BK692" s="300"/>
    </row>
    <row r="693" spans="1:63" s="298" customFormat="1" hidden="1" x14ac:dyDescent="0.25">
      <c r="A693" s="290"/>
      <c r="B693" s="291"/>
      <c r="C693" s="290"/>
      <c r="D693" s="290"/>
      <c r="E693" s="290"/>
      <c r="F693" s="290"/>
      <c r="G693" s="290"/>
      <c r="H693" s="290"/>
      <c r="I693" s="290"/>
      <c r="J693" s="290"/>
      <c r="K693" s="290"/>
      <c r="L693" s="290"/>
      <c r="M693" s="308"/>
      <c r="N693" s="290"/>
      <c r="O693" s="290"/>
      <c r="P693" s="290"/>
      <c r="Q693" s="290"/>
      <c r="R693" s="290"/>
      <c r="S693" s="290"/>
      <c r="T693" s="290"/>
      <c r="U693" s="294"/>
      <c r="V693" s="290"/>
      <c r="W693" s="290"/>
      <c r="X693" s="291"/>
      <c r="Y693" s="295">
        <v>6</v>
      </c>
      <c r="Z693" s="295"/>
      <c r="AA693" s="296"/>
      <c r="AB693" s="296"/>
      <c r="AC693" s="291"/>
      <c r="AD693" s="291"/>
      <c r="AE693" s="291"/>
      <c r="AF693" s="291"/>
      <c r="AG693" s="291"/>
      <c r="AH693" s="291"/>
      <c r="AI693" s="291"/>
      <c r="AJ693" s="291"/>
      <c r="AK693" s="290"/>
      <c r="AL693" s="290"/>
      <c r="AM693" s="290"/>
      <c r="AN693" s="290"/>
      <c r="AO693" s="290"/>
      <c r="AP693" s="290"/>
      <c r="AQ693" s="290"/>
      <c r="AR693" s="290"/>
      <c r="AS693" s="290"/>
      <c r="AT693" s="290"/>
      <c r="AU693" s="290"/>
      <c r="AV693" s="290"/>
      <c r="AW693" s="290"/>
      <c r="AX693" s="290"/>
      <c r="AY693" s="290"/>
      <c r="AZ693" s="290"/>
      <c r="BA693" s="290"/>
      <c r="BG693" s="307"/>
      <c r="BH693" s="307"/>
      <c r="BI693" s="307"/>
      <c r="BK693" s="300"/>
    </row>
    <row r="694" spans="1:63" s="298" customFormat="1" hidden="1" x14ac:dyDescent="0.25">
      <c r="A694" s="290"/>
      <c r="B694" s="291"/>
      <c r="C694" s="290"/>
      <c r="D694" s="290"/>
      <c r="E694" s="290"/>
      <c r="F694" s="290"/>
      <c r="G694" s="290"/>
      <c r="H694" s="290"/>
      <c r="I694" s="290"/>
      <c r="J694" s="290"/>
      <c r="K694" s="290"/>
      <c r="L694" s="290"/>
      <c r="M694" s="308"/>
      <c r="N694" s="290"/>
      <c r="O694" s="290"/>
      <c r="P694" s="290"/>
      <c r="Q694" s="290"/>
      <c r="R694" s="290"/>
      <c r="S694" s="290"/>
      <c r="T694" s="290"/>
      <c r="U694" s="294"/>
      <c r="V694" s="290"/>
      <c r="W694" s="290"/>
      <c r="X694" s="291"/>
      <c r="Y694" s="295">
        <v>4</v>
      </c>
      <c r="Z694" s="295"/>
      <c r="AA694" s="296"/>
      <c r="AB694" s="296"/>
      <c r="AC694" s="291"/>
      <c r="AD694" s="291"/>
      <c r="AE694" s="291"/>
      <c r="AF694" s="291"/>
      <c r="AG694" s="291"/>
      <c r="AH694" s="291"/>
      <c r="AI694" s="291"/>
      <c r="AJ694" s="291"/>
      <c r="AK694" s="290"/>
      <c r="AL694" s="290"/>
      <c r="AM694" s="290"/>
      <c r="AN694" s="290"/>
      <c r="AO694" s="290"/>
      <c r="AP694" s="290"/>
      <c r="AQ694" s="290"/>
      <c r="AR694" s="290"/>
      <c r="AS694" s="290"/>
      <c r="AT694" s="290"/>
      <c r="AU694" s="290"/>
      <c r="AV694" s="290"/>
      <c r="AW694" s="290"/>
      <c r="AX694" s="290"/>
      <c r="AY694" s="290"/>
      <c r="AZ694" s="290"/>
      <c r="BA694" s="290"/>
      <c r="BG694" s="307"/>
      <c r="BH694" s="307"/>
      <c r="BI694" s="307"/>
      <c r="BK694" s="300"/>
    </row>
    <row r="695" spans="1:63" s="298" customFormat="1" hidden="1" x14ac:dyDescent="0.25">
      <c r="A695" s="290"/>
      <c r="B695" s="291"/>
      <c r="C695" s="290"/>
      <c r="D695" s="290"/>
      <c r="E695" s="290"/>
      <c r="F695" s="290"/>
      <c r="G695" s="290"/>
      <c r="H695" s="290"/>
      <c r="I695" s="290"/>
      <c r="J695" s="290"/>
      <c r="K695" s="290"/>
      <c r="L695" s="290"/>
      <c r="M695" s="308"/>
      <c r="N695" s="290"/>
      <c r="O695" s="290"/>
      <c r="P695" s="290"/>
      <c r="Q695" s="290"/>
      <c r="R695" s="290"/>
      <c r="S695" s="290"/>
      <c r="T695" s="290"/>
      <c r="U695" s="294"/>
      <c r="V695" s="290"/>
      <c r="W695" s="290"/>
      <c r="X695" s="291"/>
      <c r="Y695" s="295">
        <v>90</v>
      </c>
      <c r="Z695" s="295"/>
      <c r="AA695" s="296"/>
      <c r="AB695" s="296"/>
      <c r="AC695" s="291"/>
      <c r="AD695" s="291"/>
      <c r="AE695" s="291"/>
      <c r="AF695" s="291"/>
      <c r="AG695" s="291"/>
      <c r="AH695" s="291"/>
      <c r="AI695" s="291"/>
      <c r="AJ695" s="291"/>
      <c r="AK695" s="290"/>
      <c r="AL695" s="290"/>
      <c r="AM695" s="290"/>
      <c r="AN695" s="290"/>
      <c r="AO695" s="290"/>
      <c r="AP695" s="290"/>
      <c r="AQ695" s="290"/>
      <c r="AR695" s="290"/>
      <c r="AS695" s="290"/>
      <c r="AT695" s="290"/>
      <c r="AU695" s="290"/>
      <c r="AV695" s="290"/>
      <c r="AW695" s="290"/>
      <c r="AX695" s="290"/>
      <c r="AY695" s="290"/>
      <c r="AZ695" s="290"/>
      <c r="BA695" s="290"/>
      <c r="BG695" s="307"/>
      <c r="BH695" s="307"/>
      <c r="BI695" s="307"/>
      <c r="BK695" s="300"/>
    </row>
    <row r="696" spans="1:63" s="298" customFormat="1" hidden="1" x14ac:dyDescent="0.25">
      <c r="A696" s="290"/>
      <c r="B696" s="291"/>
      <c r="C696" s="290"/>
      <c r="D696" s="290"/>
      <c r="E696" s="290"/>
      <c r="F696" s="290"/>
      <c r="G696" s="290"/>
      <c r="H696" s="290"/>
      <c r="I696" s="290"/>
      <c r="J696" s="290"/>
      <c r="K696" s="290"/>
      <c r="L696" s="290"/>
      <c r="M696" s="308"/>
      <c r="N696" s="290"/>
      <c r="O696" s="290"/>
      <c r="P696" s="290"/>
      <c r="Q696" s="290"/>
      <c r="R696" s="290"/>
      <c r="S696" s="290"/>
      <c r="T696" s="290"/>
      <c r="U696" s="294"/>
      <c r="V696" s="290"/>
      <c r="W696" s="290"/>
      <c r="X696" s="291"/>
      <c r="Y696" s="295">
        <v>13</v>
      </c>
      <c r="Z696" s="295"/>
      <c r="AA696" s="296"/>
      <c r="AB696" s="296"/>
      <c r="AC696" s="291"/>
      <c r="AD696" s="291"/>
      <c r="AE696" s="291"/>
      <c r="AF696" s="291"/>
      <c r="AG696" s="291"/>
      <c r="AH696" s="291"/>
      <c r="AI696" s="291"/>
      <c r="AJ696" s="291"/>
      <c r="AK696" s="290"/>
      <c r="AL696" s="290"/>
      <c r="AM696" s="290"/>
      <c r="AN696" s="290"/>
      <c r="AO696" s="290"/>
      <c r="AP696" s="290"/>
      <c r="AQ696" s="290"/>
      <c r="AR696" s="290"/>
      <c r="AS696" s="290"/>
      <c r="AT696" s="290"/>
      <c r="AU696" s="290"/>
      <c r="AV696" s="290"/>
      <c r="AW696" s="290"/>
      <c r="AX696" s="290"/>
      <c r="AY696" s="290"/>
      <c r="AZ696" s="290"/>
      <c r="BA696" s="290"/>
      <c r="BG696" s="307"/>
      <c r="BH696" s="307"/>
      <c r="BI696" s="307"/>
      <c r="BK696" s="300"/>
    </row>
    <row r="697" spans="1:63" s="298" customFormat="1" hidden="1" x14ac:dyDescent="0.25">
      <c r="A697" s="290"/>
      <c r="B697" s="291"/>
      <c r="C697" s="290"/>
      <c r="D697" s="290"/>
      <c r="E697" s="290"/>
      <c r="F697" s="290"/>
      <c r="G697" s="290"/>
      <c r="H697" s="290"/>
      <c r="I697" s="290"/>
      <c r="J697" s="290"/>
      <c r="K697" s="290"/>
      <c r="L697" s="290"/>
      <c r="M697" s="308"/>
      <c r="N697" s="290"/>
      <c r="O697" s="290"/>
      <c r="P697" s="290"/>
      <c r="Q697" s="290"/>
      <c r="R697" s="290"/>
      <c r="S697" s="290"/>
      <c r="T697" s="290"/>
      <c r="U697" s="294"/>
      <c r="V697" s="290"/>
      <c r="W697" s="290"/>
      <c r="X697" s="291"/>
      <c r="Y697" s="295">
        <v>13.428571428571429</v>
      </c>
      <c r="Z697" s="295"/>
      <c r="AA697" s="296"/>
      <c r="AB697" s="296"/>
      <c r="AC697" s="291"/>
      <c r="AD697" s="291"/>
      <c r="AE697" s="291"/>
      <c r="AF697" s="291"/>
      <c r="AG697" s="291"/>
      <c r="AH697" s="291"/>
      <c r="AI697" s="291"/>
      <c r="AJ697" s="291"/>
      <c r="AK697" s="290"/>
      <c r="AL697" s="290"/>
      <c r="AM697" s="290"/>
      <c r="AN697" s="290"/>
      <c r="AO697" s="290"/>
      <c r="AP697" s="290"/>
      <c r="AQ697" s="290"/>
      <c r="AR697" s="290"/>
      <c r="AS697" s="290"/>
      <c r="AT697" s="290"/>
      <c r="AU697" s="290"/>
      <c r="AV697" s="290"/>
      <c r="AW697" s="290"/>
      <c r="AX697" s="290"/>
      <c r="AY697" s="290"/>
      <c r="AZ697" s="290"/>
      <c r="BA697" s="290"/>
      <c r="BG697" s="307"/>
      <c r="BH697" s="307"/>
      <c r="BI697" s="307"/>
      <c r="BK697" s="300"/>
    </row>
    <row r="698" spans="1:63" s="298" customFormat="1" hidden="1" x14ac:dyDescent="0.25">
      <c r="A698" s="290"/>
      <c r="B698" s="291"/>
      <c r="C698" s="290"/>
      <c r="D698" s="290"/>
      <c r="E698" s="290"/>
      <c r="F698" s="290"/>
      <c r="G698" s="290"/>
      <c r="H698" s="290"/>
      <c r="I698" s="290"/>
      <c r="J698" s="290"/>
      <c r="K698" s="290"/>
      <c r="L698" s="290"/>
      <c r="M698" s="308"/>
      <c r="N698" s="290"/>
      <c r="O698" s="290"/>
      <c r="P698" s="290"/>
      <c r="Q698" s="290"/>
      <c r="R698" s="290"/>
      <c r="S698" s="290"/>
      <c r="T698" s="290"/>
      <c r="U698" s="294"/>
      <c r="V698" s="290"/>
      <c r="W698" s="290"/>
      <c r="X698" s="291"/>
      <c r="Y698" s="295">
        <v>13</v>
      </c>
      <c r="Z698" s="295"/>
      <c r="AA698" s="296"/>
      <c r="AB698" s="296"/>
      <c r="AC698" s="291"/>
      <c r="AD698" s="291"/>
      <c r="AE698" s="291"/>
      <c r="AF698" s="291"/>
      <c r="AG698" s="291"/>
      <c r="AH698" s="291"/>
      <c r="AI698" s="291"/>
      <c r="AJ698" s="291"/>
      <c r="AK698" s="290"/>
      <c r="AL698" s="290"/>
      <c r="AM698" s="290"/>
      <c r="AN698" s="290"/>
      <c r="AO698" s="290"/>
      <c r="AP698" s="290"/>
      <c r="AQ698" s="290"/>
      <c r="AR698" s="290"/>
      <c r="AS698" s="290"/>
      <c r="AT698" s="290"/>
      <c r="AU698" s="290"/>
      <c r="AV698" s="290"/>
      <c r="AW698" s="290"/>
      <c r="AX698" s="290"/>
      <c r="AY698" s="290"/>
      <c r="AZ698" s="290"/>
      <c r="BA698" s="290"/>
      <c r="BG698" s="307"/>
      <c r="BH698" s="307"/>
      <c r="BI698" s="307"/>
      <c r="BK698" s="300"/>
    </row>
    <row r="699" spans="1:63" s="298" customFormat="1" hidden="1" x14ac:dyDescent="0.25">
      <c r="A699" s="290"/>
      <c r="B699" s="291"/>
      <c r="C699" s="290"/>
      <c r="D699" s="290"/>
      <c r="E699" s="290"/>
      <c r="F699" s="290"/>
      <c r="G699" s="290"/>
      <c r="H699" s="290"/>
      <c r="I699" s="290"/>
      <c r="J699" s="290"/>
      <c r="K699" s="290"/>
      <c r="L699" s="290"/>
      <c r="M699" s="308"/>
      <c r="N699" s="290"/>
      <c r="O699" s="290"/>
      <c r="P699" s="290"/>
      <c r="Q699" s="290"/>
      <c r="R699" s="290"/>
      <c r="S699" s="290"/>
      <c r="T699" s="290"/>
      <c r="U699" s="294"/>
      <c r="V699" s="290"/>
      <c r="W699" s="290"/>
      <c r="X699" s="291"/>
      <c r="Y699" s="295">
        <v>10</v>
      </c>
      <c r="Z699" s="295"/>
      <c r="AA699" s="296"/>
      <c r="AB699" s="296"/>
      <c r="AC699" s="291"/>
      <c r="AD699" s="291"/>
      <c r="AE699" s="291"/>
      <c r="AF699" s="291"/>
      <c r="AG699" s="291"/>
      <c r="AH699" s="291"/>
      <c r="AI699" s="291"/>
      <c r="AJ699" s="291"/>
      <c r="AK699" s="290"/>
      <c r="AL699" s="290"/>
      <c r="AM699" s="290"/>
      <c r="AN699" s="290"/>
      <c r="AO699" s="290"/>
      <c r="AP699" s="290"/>
      <c r="AQ699" s="290"/>
      <c r="AR699" s="290"/>
      <c r="AS699" s="290"/>
      <c r="AT699" s="290"/>
      <c r="AU699" s="290"/>
      <c r="AV699" s="290"/>
      <c r="AW699" s="290"/>
      <c r="AX699" s="290"/>
      <c r="AY699" s="290"/>
      <c r="AZ699" s="290"/>
      <c r="BA699" s="290"/>
      <c r="BG699" s="307"/>
      <c r="BH699" s="307"/>
      <c r="BI699" s="307"/>
      <c r="BK699" s="300"/>
    </row>
    <row r="700" spans="1:63" s="298" customFormat="1" hidden="1" x14ac:dyDescent="0.25">
      <c r="A700" s="290"/>
      <c r="B700" s="291"/>
      <c r="C700" s="290"/>
      <c r="D700" s="290"/>
      <c r="E700" s="290"/>
      <c r="F700" s="290"/>
      <c r="G700" s="290"/>
      <c r="H700" s="309" t="s">
        <v>247</v>
      </c>
      <c r="I700" s="290"/>
      <c r="J700" s="290"/>
      <c r="K700" s="290"/>
      <c r="L700" s="290"/>
      <c r="M700" s="308"/>
      <c r="N700" s="290"/>
      <c r="O700" s="290"/>
      <c r="P700" s="290"/>
      <c r="Q700" s="290"/>
      <c r="R700" s="290"/>
      <c r="S700" s="290"/>
      <c r="T700" s="290"/>
      <c r="U700" s="294"/>
      <c r="V700" s="290"/>
      <c r="W700" s="290"/>
      <c r="X700" s="291"/>
      <c r="Y700" s="295">
        <v>10</v>
      </c>
      <c r="Z700" s="295"/>
      <c r="AA700" s="296"/>
      <c r="AB700" s="296"/>
      <c r="AC700" s="291"/>
      <c r="AD700" s="291"/>
      <c r="AE700" s="291"/>
      <c r="AF700" s="291"/>
      <c r="AG700" s="291"/>
      <c r="AH700" s="291"/>
      <c r="AI700" s="291"/>
      <c r="AJ700" s="291"/>
      <c r="AK700" s="290"/>
      <c r="AL700" s="290"/>
      <c r="AM700" s="290"/>
      <c r="AN700" s="290"/>
      <c r="AO700" s="290"/>
      <c r="AP700" s="290"/>
      <c r="AQ700" s="290"/>
      <c r="AR700" s="290"/>
      <c r="AS700" s="290"/>
      <c r="AT700" s="290"/>
      <c r="AU700" s="290"/>
      <c r="AV700" s="290"/>
      <c r="AW700" s="290"/>
      <c r="AX700" s="290"/>
      <c r="AY700" s="290"/>
      <c r="AZ700" s="290"/>
      <c r="BA700" s="290"/>
      <c r="BG700" s="307"/>
      <c r="BH700" s="307"/>
      <c r="BI700" s="307"/>
      <c r="BK700" s="300"/>
    </row>
    <row r="701" spans="1:63" s="298" customFormat="1" hidden="1" x14ac:dyDescent="0.25">
      <c r="A701" s="290"/>
      <c r="B701" s="291"/>
      <c r="C701" s="290"/>
      <c r="D701" s="290"/>
      <c r="E701" s="290"/>
      <c r="F701" s="290"/>
      <c r="G701" s="290"/>
      <c r="H701" s="310" t="s">
        <v>270</v>
      </c>
      <c r="I701" s="290"/>
      <c r="J701" s="290"/>
      <c r="K701" s="290"/>
      <c r="L701" s="290"/>
      <c r="M701" s="308"/>
      <c r="N701" s="290"/>
      <c r="O701" s="290"/>
      <c r="P701" s="290"/>
      <c r="Q701" s="290"/>
      <c r="R701" s="290"/>
      <c r="S701" s="290"/>
      <c r="T701" s="290"/>
      <c r="U701" s="294"/>
      <c r="V701" s="290"/>
      <c r="W701" s="290"/>
      <c r="X701" s="291"/>
      <c r="Y701" s="295">
        <v>13</v>
      </c>
      <c r="Z701" s="295"/>
      <c r="AA701" s="296"/>
      <c r="AB701" s="296"/>
      <c r="AC701" s="291"/>
      <c r="AD701" s="291"/>
      <c r="AE701" s="291"/>
      <c r="AF701" s="291"/>
      <c r="AG701" s="291"/>
      <c r="AH701" s="291"/>
      <c r="AI701" s="291"/>
      <c r="AJ701" s="291"/>
      <c r="AK701" s="290"/>
      <c r="AL701" s="290"/>
      <c r="AM701" s="290"/>
      <c r="AN701" s="290"/>
      <c r="AO701" s="290"/>
      <c r="AP701" s="290"/>
      <c r="AQ701" s="290"/>
      <c r="AR701" s="290"/>
      <c r="AS701" s="290"/>
      <c r="AT701" s="290"/>
      <c r="AU701" s="290"/>
      <c r="AV701" s="290"/>
      <c r="AW701" s="290"/>
      <c r="AX701" s="290"/>
      <c r="AY701" s="290"/>
      <c r="AZ701" s="290"/>
      <c r="BA701" s="290"/>
      <c r="BG701" s="307"/>
      <c r="BH701" s="307"/>
      <c r="BI701" s="307"/>
      <c r="BK701" s="300"/>
    </row>
    <row r="702" spans="1:63" s="298" customFormat="1" hidden="1" x14ac:dyDescent="0.25">
      <c r="A702" s="290"/>
      <c r="B702" s="291"/>
      <c r="C702" s="290"/>
      <c r="D702" s="290"/>
      <c r="E702" s="290"/>
      <c r="F702" s="290"/>
      <c r="G702" s="290"/>
      <c r="H702" s="310" t="s">
        <v>154</v>
      </c>
      <c r="I702" s="290"/>
      <c r="J702" s="290"/>
      <c r="K702" s="290"/>
      <c r="L702" s="290"/>
      <c r="M702" s="308"/>
      <c r="N702" s="290"/>
      <c r="O702" s="290"/>
      <c r="P702" s="290"/>
      <c r="Q702" s="290"/>
      <c r="R702" s="290"/>
      <c r="S702" s="290"/>
      <c r="T702" s="290"/>
      <c r="U702" s="294"/>
      <c r="V702" s="290"/>
      <c r="W702" s="290"/>
      <c r="X702" s="291"/>
      <c r="Y702" s="295">
        <v>13</v>
      </c>
      <c r="Z702" s="295"/>
      <c r="AA702" s="296"/>
      <c r="AB702" s="296"/>
      <c r="AC702" s="291"/>
      <c r="AD702" s="291"/>
      <c r="AE702" s="291"/>
      <c r="AF702" s="291"/>
      <c r="AG702" s="291"/>
      <c r="AH702" s="291"/>
      <c r="AI702" s="291"/>
      <c r="AJ702" s="291"/>
      <c r="AK702" s="290"/>
      <c r="AL702" s="290"/>
      <c r="AM702" s="290"/>
      <c r="AN702" s="290"/>
      <c r="AO702" s="290"/>
      <c r="AP702" s="290"/>
      <c r="AQ702" s="290"/>
      <c r="AR702" s="290"/>
      <c r="AS702" s="290"/>
      <c r="AT702" s="290"/>
      <c r="AU702" s="290"/>
      <c r="AV702" s="290"/>
      <c r="AW702" s="290"/>
      <c r="AX702" s="290"/>
      <c r="AY702" s="290"/>
      <c r="AZ702" s="290"/>
      <c r="BA702" s="290"/>
      <c r="BG702" s="307"/>
      <c r="BH702" s="307"/>
      <c r="BI702" s="307"/>
      <c r="BK702" s="300"/>
    </row>
    <row r="703" spans="1:63" s="298" customFormat="1" hidden="1" x14ac:dyDescent="0.25">
      <c r="A703" s="290"/>
      <c r="B703" s="291"/>
      <c r="C703" s="290"/>
      <c r="D703" s="290"/>
      <c r="E703" s="290"/>
      <c r="F703" s="290"/>
      <c r="G703" s="290"/>
      <c r="H703" s="309" t="s">
        <v>144</v>
      </c>
      <c r="I703" s="290"/>
      <c r="J703" s="290"/>
      <c r="K703" s="290"/>
      <c r="L703" s="290"/>
      <c r="M703" s="308"/>
      <c r="N703" s="290"/>
      <c r="O703" s="290"/>
      <c r="P703" s="290"/>
      <c r="Q703" s="290"/>
      <c r="R703" s="290"/>
      <c r="S703" s="290"/>
      <c r="T703" s="290"/>
      <c r="U703" s="294"/>
      <c r="V703" s="290"/>
      <c r="W703" s="290"/>
      <c r="X703" s="291"/>
      <c r="Y703" s="295">
        <v>3.6363636363636362</v>
      </c>
      <c r="Z703" s="295"/>
      <c r="AA703" s="296"/>
      <c r="AB703" s="296"/>
      <c r="AC703" s="291"/>
      <c r="AD703" s="291"/>
      <c r="AE703" s="291"/>
      <c r="AF703" s="291"/>
      <c r="AG703" s="291"/>
      <c r="AH703" s="291"/>
      <c r="AI703" s="291"/>
      <c r="AJ703" s="291"/>
      <c r="AK703" s="290"/>
      <c r="AL703" s="290"/>
      <c r="AM703" s="290"/>
      <c r="AN703" s="290"/>
      <c r="AO703" s="290"/>
      <c r="AP703" s="290"/>
      <c r="AQ703" s="290"/>
      <c r="AR703" s="290"/>
      <c r="AS703" s="290"/>
      <c r="AT703" s="290"/>
      <c r="AU703" s="290"/>
      <c r="AV703" s="290"/>
      <c r="AW703" s="290"/>
      <c r="AX703" s="290"/>
      <c r="AY703" s="290"/>
      <c r="AZ703" s="290"/>
      <c r="BA703" s="290"/>
      <c r="BG703" s="307"/>
      <c r="BH703" s="307"/>
      <c r="BI703" s="307"/>
      <c r="BK703" s="300"/>
    </row>
    <row r="704" spans="1:63" s="298" customFormat="1" hidden="1" x14ac:dyDescent="0.25">
      <c r="A704" s="290"/>
      <c r="B704" s="291"/>
      <c r="C704" s="290"/>
      <c r="D704" s="290"/>
      <c r="E704" s="290"/>
      <c r="F704" s="290"/>
      <c r="G704" s="290"/>
      <c r="H704" s="310" t="s">
        <v>271</v>
      </c>
      <c r="I704" s="290"/>
      <c r="J704" s="290"/>
      <c r="K704" s="290"/>
      <c r="L704" s="290"/>
      <c r="M704" s="308"/>
      <c r="N704" s="290"/>
      <c r="O704" s="290"/>
      <c r="P704" s="290"/>
      <c r="Q704" s="290"/>
      <c r="R704" s="290"/>
      <c r="S704" s="290"/>
      <c r="T704" s="290"/>
      <c r="U704" s="294"/>
      <c r="V704" s="290"/>
      <c r="W704" s="290"/>
      <c r="X704" s="291"/>
      <c r="Y704" s="295">
        <v>2.25</v>
      </c>
      <c r="Z704" s="295"/>
      <c r="AA704" s="296"/>
      <c r="AB704" s="296"/>
      <c r="AC704" s="291"/>
      <c r="AD704" s="291"/>
      <c r="AE704" s="291"/>
      <c r="AF704" s="291"/>
      <c r="AG704" s="291"/>
      <c r="AH704" s="291"/>
      <c r="AI704" s="291"/>
      <c r="AJ704" s="291"/>
      <c r="AK704" s="290"/>
      <c r="AL704" s="290"/>
      <c r="AM704" s="290"/>
      <c r="AN704" s="290"/>
      <c r="AO704" s="290"/>
      <c r="AP704" s="290"/>
      <c r="AQ704" s="290"/>
      <c r="AR704" s="290"/>
      <c r="AS704" s="290"/>
      <c r="AT704" s="290"/>
      <c r="AU704" s="290"/>
      <c r="AV704" s="290"/>
      <c r="AW704" s="290"/>
      <c r="AX704" s="290"/>
      <c r="AY704" s="290"/>
      <c r="AZ704" s="290"/>
      <c r="BA704" s="290"/>
      <c r="BG704" s="307"/>
      <c r="BH704" s="307"/>
      <c r="BI704" s="307"/>
      <c r="BK704" s="300"/>
    </row>
    <row r="705" spans="1:63" s="298" customFormat="1" hidden="1" x14ac:dyDescent="0.25">
      <c r="A705" s="290"/>
      <c r="B705" s="291"/>
      <c r="C705" s="290"/>
      <c r="D705" s="290"/>
      <c r="E705" s="290"/>
      <c r="F705" s="290"/>
      <c r="G705" s="290"/>
      <c r="H705" s="309" t="s">
        <v>215</v>
      </c>
      <c r="I705" s="290"/>
      <c r="J705" s="290"/>
      <c r="K705" s="290"/>
      <c r="L705" s="290"/>
      <c r="M705" s="308"/>
      <c r="N705" s="290"/>
      <c r="O705" s="290"/>
      <c r="P705" s="290"/>
      <c r="Q705" s="290"/>
      <c r="R705" s="290"/>
      <c r="S705" s="290"/>
      <c r="T705" s="290"/>
      <c r="U705" s="294"/>
      <c r="V705" s="290"/>
      <c r="W705" s="290"/>
      <c r="X705" s="291"/>
      <c r="Y705" s="295">
        <v>1</v>
      </c>
      <c r="Z705" s="295"/>
      <c r="AA705" s="296"/>
      <c r="AB705" s="296"/>
      <c r="AC705" s="291"/>
      <c r="AD705" s="291"/>
      <c r="AE705" s="291"/>
      <c r="AF705" s="291"/>
      <c r="AG705" s="291"/>
      <c r="AH705" s="291"/>
      <c r="AI705" s="291"/>
      <c r="AJ705" s="291"/>
      <c r="AK705" s="290"/>
      <c r="AL705" s="290"/>
      <c r="AM705" s="290"/>
      <c r="AN705" s="290"/>
      <c r="AO705" s="290"/>
      <c r="AP705" s="290"/>
      <c r="AQ705" s="290"/>
      <c r="AR705" s="290"/>
      <c r="AS705" s="290"/>
      <c r="AT705" s="290"/>
      <c r="AU705" s="290"/>
      <c r="AV705" s="290"/>
      <c r="AW705" s="290"/>
      <c r="AX705" s="290"/>
      <c r="AY705" s="290"/>
      <c r="AZ705" s="290"/>
      <c r="BA705" s="290"/>
      <c r="BG705" s="307"/>
      <c r="BH705" s="307"/>
      <c r="BI705" s="307"/>
      <c r="BK705" s="300"/>
    </row>
    <row r="706" spans="1:63" s="298" customFormat="1" hidden="1" x14ac:dyDescent="0.25">
      <c r="A706" s="290"/>
      <c r="B706" s="291"/>
      <c r="C706" s="290"/>
      <c r="D706" s="290"/>
      <c r="E706" s="290"/>
      <c r="F706" s="290"/>
      <c r="G706" s="290"/>
      <c r="H706" s="310" t="s">
        <v>198</v>
      </c>
      <c r="I706" s="290"/>
      <c r="J706" s="290"/>
      <c r="K706" s="290"/>
      <c r="L706" s="290"/>
      <c r="M706" s="308"/>
      <c r="N706" s="290"/>
      <c r="O706" s="290"/>
      <c r="P706" s="290"/>
      <c r="Q706" s="290"/>
      <c r="R706" s="290"/>
      <c r="S706" s="290"/>
      <c r="T706" s="290"/>
      <c r="U706" s="294"/>
      <c r="V706" s="290"/>
      <c r="W706" s="290"/>
      <c r="X706" s="291"/>
      <c r="Y706" s="295">
        <v>17.5</v>
      </c>
      <c r="Z706" s="295"/>
      <c r="AA706" s="296"/>
      <c r="AB706" s="296"/>
      <c r="AC706" s="291"/>
      <c r="AD706" s="291"/>
      <c r="AE706" s="291"/>
      <c r="AF706" s="291"/>
      <c r="AG706" s="291"/>
      <c r="AH706" s="291"/>
      <c r="AI706" s="291"/>
      <c r="AJ706" s="291"/>
      <c r="AK706" s="290"/>
      <c r="AL706" s="290"/>
      <c r="AM706" s="290"/>
      <c r="AN706" s="290"/>
      <c r="AO706" s="290"/>
      <c r="AP706" s="290"/>
      <c r="AQ706" s="290"/>
      <c r="AR706" s="290"/>
      <c r="AS706" s="290"/>
      <c r="AT706" s="290"/>
      <c r="AU706" s="290"/>
      <c r="AV706" s="290"/>
      <c r="AW706" s="290"/>
      <c r="AX706" s="290"/>
      <c r="AY706" s="290"/>
      <c r="AZ706" s="290"/>
      <c r="BA706" s="290"/>
      <c r="BG706" s="307"/>
      <c r="BH706" s="307"/>
      <c r="BI706" s="307"/>
      <c r="BK706" s="300"/>
    </row>
    <row r="707" spans="1:63" s="298" customFormat="1" hidden="1" x14ac:dyDescent="0.25">
      <c r="A707" s="290"/>
      <c r="B707" s="291"/>
      <c r="C707" s="290"/>
      <c r="D707" s="290"/>
      <c r="E707" s="290"/>
      <c r="F707" s="290"/>
      <c r="G707" s="290"/>
      <c r="H707" s="309" t="s">
        <v>229</v>
      </c>
      <c r="I707" s="290"/>
      <c r="J707" s="290"/>
      <c r="K707" s="290"/>
      <c r="L707" s="290"/>
      <c r="M707" s="308"/>
      <c r="N707" s="290"/>
      <c r="O707" s="290"/>
      <c r="P707" s="290"/>
      <c r="Q707" s="290"/>
      <c r="R707" s="290"/>
      <c r="S707" s="290"/>
      <c r="T707" s="290"/>
      <c r="U707" s="294"/>
      <c r="V707" s="290"/>
      <c r="W707" s="290"/>
      <c r="X707" s="291"/>
      <c r="Y707" s="295">
        <v>13</v>
      </c>
      <c r="Z707" s="295"/>
      <c r="AA707" s="296"/>
      <c r="AB707" s="296"/>
      <c r="AC707" s="291"/>
      <c r="AD707" s="291"/>
      <c r="AE707" s="291"/>
      <c r="AF707" s="291"/>
      <c r="AG707" s="291"/>
      <c r="AH707" s="291"/>
      <c r="AI707" s="291"/>
      <c r="AJ707" s="291"/>
      <c r="AK707" s="290"/>
      <c r="AL707" s="290"/>
      <c r="AM707" s="290"/>
      <c r="AN707" s="290"/>
      <c r="AO707" s="290"/>
      <c r="AP707" s="290"/>
      <c r="AQ707" s="290"/>
      <c r="AR707" s="290"/>
      <c r="AS707" s="290"/>
      <c r="AT707" s="290"/>
      <c r="AU707" s="290"/>
      <c r="AV707" s="290"/>
      <c r="AW707" s="290"/>
      <c r="AX707" s="290"/>
      <c r="AY707" s="290"/>
      <c r="AZ707" s="290"/>
      <c r="BA707" s="290"/>
      <c r="BG707" s="307"/>
      <c r="BH707" s="307"/>
      <c r="BI707" s="307"/>
      <c r="BK707" s="300"/>
    </row>
    <row r="708" spans="1:63" s="298" customFormat="1" hidden="1" x14ac:dyDescent="0.25">
      <c r="A708" s="290"/>
      <c r="B708" s="291"/>
      <c r="C708" s="290"/>
      <c r="D708" s="290"/>
      <c r="E708" s="290"/>
      <c r="F708" s="290"/>
      <c r="G708" s="290"/>
      <c r="H708" s="309" t="s">
        <v>272</v>
      </c>
      <c r="I708" s="290"/>
      <c r="J708" s="290"/>
      <c r="K708" s="290"/>
      <c r="L708" s="290"/>
      <c r="M708" s="308"/>
      <c r="N708" s="290"/>
      <c r="O708" s="290"/>
      <c r="P708" s="290"/>
      <c r="Q708" s="290"/>
      <c r="R708" s="290"/>
      <c r="S708" s="290"/>
      <c r="T708" s="290"/>
      <c r="U708" s="294"/>
      <c r="V708" s="290"/>
      <c r="W708" s="290"/>
      <c r="X708" s="291"/>
      <c r="Y708" s="295">
        <v>13</v>
      </c>
      <c r="Z708" s="295"/>
      <c r="AA708" s="296"/>
      <c r="AB708" s="296"/>
      <c r="AC708" s="291"/>
      <c r="AD708" s="291"/>
      <c r="AE708" s="291"/>
      <c r="AF708" s="291"/>
      <c r="AG708" s="291"/>
      <c r="AH708" s="291"/>
      <c r="AI708" s="291"/>
      <c r="AJ708" s="291"/>
      <c r="AK708" s="290"/>
      <c r="AL708" s="290"/>
      <c r="AM708" s="290"/>
      <c r="AN708" s="290"/>
      <c r="AO708" s="290"/>
      <c r="AP708" s="290"/>
      <c r="AQ708" s="290"/>
      <c r="AR708" s="290"/>
      <c r="AS708" s="290"/>
      <c r="AT708" s="290"/>
      <c r="AU708" s="290"/>
      <c r="AV708" s="290"/>
      <c r="AW708" s="290"/>
      <c r="AX708" s="290"/>
      <c r="AY708" s="290"/>
      <c r="AZ708" s="290"/>
      <c r="BA708" s="290"/>
      <c r="BG708" s="307"/>
      <c r="BH708" s="307"/>
      <c r="BI708" s="307"/>
      <c r="BK708" s="300"/>
    </row>
    <row r="709" spans="1:63" s="298" customFormat="1" hidden="1" x14ac:dyDescent="0.25">
      <c r="A709" s="290"/>
      <c r="B709" s="291"/>
      <c r="C709" s="290"/>
      <c r="D709" s="290"/>
      <c r="E709" s="290"/>
      <c r="F709" s="290"/>
      <c r="G709" s="290"/>
      <c r="H709" s="309" t="s">
        <v>204</v>
      </c>
      <c r="I709" s="290"/>
      <c r="J709" s="290"/>
      <c r="K709" s="290"/>
      <c r="L709" s="290"/>
      <c r="M709" s="308"/>
      <c r="N709" s="290"/>
      <c r="O709" s="290"/>
      <c r="P709" s="290"/>
      <c r="Q709" s="290"/>
      <c r="R709" s="290"/>
      <c r="S709" s="290"/>
      <c r="T709" s="290"/>
      <c r="U709" s="294"/>
      <c r="V709" s="290"/>
      <c r="W709" s="290"/>
      <c r="X709" s="291"/>
      <c r="Y709" s="295">
        <v>13</v>
      </c>
      <c r="Z709" s="295"/>
      <c r="AA709" s="296"/>
      <c r="AB709" s="296"/>
      <c r="AC709" s="291"/>
      <c r="AD709" s="291"/>
      <c r="AE709" s="291"/>
      <c r="AF709" s="291"/>
      <c r="AG709" s="291"/>
      <c r="AH709" s="291"/>
      <c r="AI709" s="291"/>
      <c r="AJ709" s="291"/>
      <c r="AK709" s="290"/>
      <c r="AL709" s="290"/>
      <c r="AM709" s="290"/>
      <c r="AN709" s="290"/>
      <c r="AO709" s="290"/>
      <c r="AP709" s="290"/>
      <c r="AQ709" s="290"/>
      <c r="AR709" s="290"/>
      <c r="AS709" s="290"/>
      <c r="AT709" s="290"/>
      <c r="AU709" s="290"/>
      <c r="AV709" s="290"/>
      <c r="AW709" s="290"/>
      <c r="AX709" s="290"/>
      <c r="AY709" s="290"/>
      <c r="AZ709" s="290"/>
      <c r="BA709" s="290"/>
      <c r="BG709" s="307"/>
      <c r="BH709" s="307"/>
      <c r="BI709" s="307"/>
      <c r="BK709" s="300"/>
    </row>
    <row r="710" spans="1:63" s="298" customFormat="1" hidden="1" x14ac:dyDescent="0.25">
      <c r="A710" s="290"/>
      <c r="B710" s="291"/>
      <c r="C710" s="290"/>
      <c r="D710" s="290"/>
      <c r="E710" s="290"/>
      <c r="F710" s="290"/>
      <c r="G710" s="290"/>
      <c r="H710" s="310" t="s">
        <v>127</v>
      </c>
      <c r="I710" s="290"/>
      <c r="J710" s="290"/>
      <c r="K710" s="290"/>
      <c r="L710" s="290"/>
      <c r="M710" s="308"/>
      <c r="N710" s="290"/>
      <c r="O710" s="290"/>
      <c r="P710" s="290"/>
      <c r="Q710" s="290"/>
      <c r="R710" s="290"/>
      <c r="S710" s="290"/>
      <c r="T710" s="290"/>
      <c r="U710" s="294"/>
      <c r="V710" s="290"/>
      <c r="W710" s="290"/>
      <c r="X710" s="291"/>
      <c r="Y710" s="295">
        <v>13</v>
      </c>
      <c r="Z710" s="295"/>
      <c r="AA710" s="296"/>
      <c r="AB710" s="296"/>
      <c r="AC710" s="291"/>
      <c r="AD710" s="291"/>
      <c r="AE710" s="291"/>
      <c r="AF710" s="291"/>
      <c r="AG710" s="291"/>
      <c r="AH710" s="291"/>
      <c r="AI710" s="291"/>
      <c r="AJ710" s="291"/>
      <c r="AK710" s="290"/>
      <c r="AL710" s="290"/>
      <c r="AM710" s="290"/>
      <c r="AN710" s="290"/>
      <c r="AO710" s="290"/>
      <c r="AP710" s="290"/>
      <c r="AQ710" s="290"/>
      <c r="AR710" s="290"/>
      <c r="AS710" s="290"/>
      <c r="AT710" s="290"/>
      <c r="AU710" s="290"/>
      <c r="AV710" s="290"/>
      <c r="AW710" s="290"/>
      <c r="AX710" s="290"/>
      <c r="AY710" s="290"/>
      <c r="AZ710" s="290"/>
      <c r="BA710" s="290"/>
      <c r="BG710" s="307"/>
      <c r="BH710" s="307"/>
      <c r="BI710" s="307"/>
      <c r="BK710" s="300"/>
    </row>
    <row r="711" spans="1:63" s="298" customFormat="1" hidden="1" x14ac:dyDescent="0.25">
      <c r="A711" s="290"/>
      <c r="B711" s="291"/>
      <c r="C711" s="290"/>
      <c r="D711" s="290"/>
      <c r="E711" s="290"/>
      <c r="F711" s="290"/>
      <c r="G711" s="290"/>
      <c r="H711" s="309" t="s">
        <v>273</v>
      </c>
      <c r="I711" s="290"/>
      <c r="J711" s="290"/>
      <c r="K711" s="290"/>
      <c r="L711" s="290"/>
      <c r="M711" s="308"/>
      <c r="N711" s="290"/>
      <c r="O711" s="290"/>
      <c r="P711" s="290"/>
      <c r="Q711" s="290"/>
      <c r="R711" s="290"/>
      <c r="S711" s="290"/>
      <c r="T711" s="290"/>
      <c r="U711" s="294"/>
      <c r="V711" s="290"/>
      <c r="W711" s="290"/>
      <c r="X711" s="291"/>
      <c r="Y711" s="295">
        <v>13</v>
      </c>
      <c r="Z711" s="295"/>
      <c r="AA711" s="296"/>
      <c r="AB711" s="296"/>
      <c r="AC711" s="291"/>
      <c r="AD711" s="291"/>
      <c r="AE711" s="291"/>
      <c r="AF711" s="291"/>
      <c r="AG711" s="291"/>
      <c r="AH711" s="291"/>
      <c r="AI711" s="291"/>
      <c r="AJ711" s="291"/>
      <c r="AK711" s="290"/>
      <c r="AL711" s="290"/>
      <c r="AM711" s="290"/>
      <c r="AN711" s="290"/>
      <c r="AO711" s="290"/>
      <c r="AP711" s="290"/>
      <c r="AQ711" s="290"/>
      <c r="AR711" s="290"/>
      <c r="AS711" s="290"/>
      <c r="AT711" s="290"/>
      <c r="AU711" s="290"/>
      <c r="AV711" s="290"/>
      <c r="AW711" s="290"/>
      <c r="AX711" s="290"/>
      <c r="AY711" s="290"/>
      <c r="AZ711" s="290"/>
      <c r="BA711" s="290"/>
      <c r="BG711" s="307"/>
      <c r="BH711" s="307"/>
      <c r="BI711" s="307"/>
      <c r="BK711" s="300"/>
    </row>
    <row r="712" spans="1:63" s="298" customFormat="1" hidden="1" x14ac:dyDescent="0.25">
      <c r="A712" s="290"/>
      <c r="B712" s="291"/>
      <c r="C712" s="290"/>
      <c r="D712" s="290"/>
      <c r="E712" s="290"/>
      <c r="F712" s="290"/>
      <c r="G712" s="290"/>
      <c r="H712" s="311" t="s">
        <v>184</v>
      </c>
      <c r="I712" s="290"/>
      <c r="J712" s="290"/>
      <c r="K712" s="290"/>
      <c r="L712" s="290"/>
      <c r="M712" s="308"/>
      <c r="N712" s="290"/>
      <c r="O712" s="290"/>
      <c r="P712" s="290"/>
      <c r="Q712" s="290"/>
      <c r="R712" s="290"/>
      <c r="S712" s="290"/>
      <c r="T712" s="290"/>
      <c r="U712" s="294"/>
      <c r="V712" s="290"/>
      <c r="W712" s="290"/>
      <c r="X712" s="291"/>
      <c r="Y712" s="295">
        <v>13</v>
      </c>
      <c r="Z712" s="295"/>
      <c r="AA712" s="296"/>
      <c r="AB712" s="296"/>
      <c r="AC712" s="291"/>
      <c r="AD712" s="291"/>
      <c r="AE712" s="291"/>
      <c r="AF712" s="291"/>
      <c r="AG712" s="291"/>
      <c r="AH712" s="291"/>
      <c r="AI712" s="291"/>
      <c r="AJ712" s="291"/>
      <c r="AK712" s="290"/>
      <c r="AL712" s="290"/>
      <c r="AM712" s="290"/>
      <c r="AN712" s="290"/>
      <c r="AO712" s="290"/>
      <c r="AP712" s="290"/>
      <c r="AQ712" s="290"/>
      <c r="AR712" s="290"/>
      <c r="AS712" s="290"/>
      <c r="AT712" s="290"/>
      <c r="AU712" s="290"/>
      <c r="AV712" s="290"/>
      <c r="AW712" s="290"/>
      <c r="AX712" s="290"/>
      <c r="AY712" s="290"/>
      <c r="AZ712" s="290"/>
      <c r="BA712" s="290"/>
      <c r="BG712" s="307"/>
      <c r="BH712" s="307"/>
      <c r="BI712" s="307"/>
      <c r="BK712" s="300"/>
    </row>
    <row r="713" spans="1:63" s="298" customFormat="1" hidden="1" x14ac:dyDescent="0.25">
      <c r="A713" s="290"/>
      <c r="B713" s="291"/>
      <c r="C713" s="290"/>
      <c r="D713" s="290"/>
      <c r="E713" s="290"/>
      <c r="F713" s="290"/>
      <c r="G713" s="290"/>
      <c r="H713" s="311" t="s">
        <v>181</v>
      </c>
      <c r="I713" s="290"/>
      <c r="J713" s="290"/>
      <c r="K713" s="290"/>
      <c r="L713" s="290"/>
      <c r="M713" s="308"/>
      <c r="N713" s="290"/>
      <c r="O713" s="290"/>
      <c r="P713" s="290"/>
      <c r="Q713" s="290"/>
      <c r="R713" s="290"/>
      <c r="S713" s="290"/>
      <c r="T713" s="290"/>
      <c r="U713" s="294"/>
      <c r="V713" s="290"/>
      <c r="W713" s="290"/>
      <c r="X713" s="291"/>
      <c r="Y713" s="295">
        <v>20</v>
      </c>
      <c r="Z713" s="295"/>
      <c r="AA713" s="296"/>
      <c r="AB713" s="296"/>
      <c r="AC713" s="291"/>
      <c r="AD713" s="291"/>
      <c r="AE713" s="291"/>
      <c r="AF713" s="291"/>
      <c r="AG713" s="291"/>
      <c r="AH713" s="291"/>
      <c r="AI713" s="291"/>
      <c r="AJ713" s="291"/>
      <c r="AK713" s="290"/>
      <c r="AL713" s="290"/>
      <c r="AM713" s="290"/>
      <c r="AN713" s="290"/>
      <c r="AO713" s="290"/>
      <c r="AP713" s="290"/>
      <c r="AQ713" s="290"/>
      <c r="AR713" s="290"/>
      <c r="AS713" s="290"/>
      <c r="AT713" s="290"/>
      <c r="AU713" s="290"/>
      <c r="AV713" s="290"/>
      <c r="AW713" s="290"/>
      <c r="AX713" s="290"/>
      <c r="AY713" s="290"/>
      <c r="AZ713" s="290"/>
      <c r="BA713" s="290"/>
      <c r="BG713" s="307"/>
      <c r="BH713" s="307"/>
      <c r="BI713" s="307"/>
      <c r="BK713" s="300"/>
    </row>
    <row r="714" spans="1:63" s="298" customFormat="1" hidden="1" x14ac:dyDescent="0.25">
      <c r="A714" s="290"/>
      <c r="B714" s="291"/>
      <c r="C714" s="290"/>
      <c r="D714" s="290"/>
      <c r="E714" s="290"/>
      <c r="F714" s="290"/>
      <c r="G714" s="290"/>
      <c r="H714" s="310" t="s">
        <v>274</v>
      </c>
      <c r="I714" s="290"/>
      <c r="J714" s="290"/>
      <c r="K714" s="290"/>
      <c r="L714" s="290"/>
      <c r="M714" s="308"/>
      <c r="N714" s="290"/>
      <c r="O714" s="290"/>
      <c r="P714" s="290"/>
      <c r="Q714" s="290"/>
      <c r="R714" s="290"/>
      <c r="S714" s="290"/>
      <c r="T714" s="290"/>
      <c r="U714" s="294"/>
      <c r="V714" s="290"/>
      <c r="W714" s="290"/>
      <c r="X714" s="291"/>
      <c r="Y714" s="295">
        <v>19.5</v>
      </c>
      <c r="Z714" s="295"/>
      <c r="AA714" s="296"/>
      <c r="AB714" s="296"/>
      <c r="AC714" s="291"/>
      <c r="AD714" s="291"/>
      <c r="AE714" s="291"/>
      <c r="AF714" s="291"/>
      <c r="AG714" s="291"/>
      <c r="AH714" s="291"/>
      <c r="AI714" s="291"/>
      <c r="AJ714" s="291"/>
      <c r="AK714" s="290"/>
      <c r="AL714" s="290"/>
      <c r="AM714" s="290"/>
      <c r="AN714" s="290"/>
      <c r="AO714" s="290"/>
      <c r="AP714" s="290"/>
      <c r="AQ714" s="290"/>
      <c r="AR714" s="290"/>
      <c r="AS714" s="290"/>
      <c r="AT714" s="290"/>
      <c r="AU714" s="290"/>
      <c r="AV714" s="290"/>
      <c r="AW714" s="290"/>
      <c r="AX714" s="290"/>
      <c r="AY714" s="290"/>
      <c r="AZ714" s="290"/>
      <c r="BA714" s="290"/>
      <c r="BG714" s="307"/>
      <c r="BH714" s="307"/>
      <c r="BI714" s="307"/>
      <c r="BK714" s="300"/>
    </row>
    <row r="715" spans="1:63" s="298" customFormat="1" hidden="1" x14ac:dyDescent="0.25">
      <c r="A715" s="290"/>
      <c r="B715" s="291"/>
      <c r="C715" s="290"/>
      <c r="D715" s="290"/>
      <c r="E715" s="290"/>
      <c r="F715" s="290"/>
      <c r="G715" s="290"/>
      <c r="H715" s="309" t="s">
        <v>161</v>
      </c>
      <c r="I715" s="290"/>
      <c r="J715" s="290"/>
      <c r="K715" s="290"/>
      <c r="L715" s="290"/>
      <c r="M715" s="308"/>
      <c r="N715" s="290"/>
      <c r="O715" s="290"/>
      <c r="P715" s="290"/>
      <c r="Q715" s="290"/>
      <c r="R715" s="290"/>
      <c r="S715" s="290"/>
      <c r="T715" s="290"/>
      <c r="U715" s="294"/>
      <c r="V715" s="290"/>
      <c r="W715" s="290"/>
      <c r="X715" s="291"/>
      <c r="Y715" s="295">
        <v>24</v>
      </c>
      <c r="Z715" s="295"/>
      <c r="AA715" s="296"/>
      <c r="AB715" s="296"/>
      <c r="AC715" s="291"/>
      <c r="AD715" s="291"/>
      <c r="AE715" s="291"/>
      <c r="AF715" s="291"/>
      <c r="AG715" s="291"/>
      <c r="AH715" s="291"/>
      <c r="AI715" s="291"/>
      <c r="AJ715" s="291"/>
      <c r="AK715" s="290"/>
      <c r="AL715" s="290"/>
      <c r="AM715" s="290"/>
      <c r="AN715" s="290"/>
      <c r="AO715" s="290"/>
      <c r="AP715" s="290"/>
      <c r="AQ715" s="290"/>
      <c r="AR715" s="290"/>
      <c r="AS715" s="290"/>
      <c r="AT715" s="290"/>
      <c r="AU715" s="290"/>
      <c r="AV715" s="290"/>
      <c r="AW715" s="290"/>
      <c r="AX715" s="290"/>
      <c r="AY715" s="290"/>
      <c r="AZ715" s="290"/>
      <c r="BA715" s="290"/>
      <c r="BG715" s="307"/>
      <c r="BH715" s="307"/>
      <c r="BI715" s="307"/>
      <c r="BK715" s="300"/>
    </row>
    <row r="716" spans="1:63" s="298" customFormat="1" hidden="1" x14ac:dyDescent="0.25">
      <c r="A716" s="290"/>
      <c r="B716" s="291"/>
      <c r="C716" s="290"/>
      <c r="D716" s="290"/>
      <c r="E716" s="290"/>
      <c r="F716" s="290"/>
      <c r="G716" s="290"/>
      <c r="H716" s="310" t="s">
        <v>275</v>
      </c>
      <c r="I716" s="290"/>
      <c r="J716" s="290"/>
      <c r="K716" s="290"/>
      <c r="L716" s="290"/>
      <c r="M716" s="308"/>
      <c r="N716" s="290"/>
      <c r="O716" s="290"/>
      <c r="P716" s="290"/>
      <c r="Q716" s="290"/>
      <c r="R716" s="290"/>
      <c r="S716" s="290"/>
      <c r="T716" s="290"/>
      <c r="U716" s="294"/>
      <c r="V716" s="290"/>
      <c r="W716" s="290"/>
      <c r="X716" s="291"/>
      <c r="Y716" s="295">
        <v>26.5</v>
      </c>
      <c r="Z716" s="295"/>
      <c r="AA716" s="296"/>
      <c r="AB716" s="296"/>
      <c r="AC716" s="291"/>
      <c r="AD716" s="291"/>
      <c r="AE716" s="291"/>
      <c r="AF716" s="291"/>
      <c r="AG716" s="291"/>
      <c r="AH716" s="291"/>
      <c r="AI716" s="291"/>
      <c r="AJ716" s="291"/>
      <c r="AK716" s="290"/>
      <c r="AL716" s="290"/>
      <c r="AM716" s="290"/>
      <c r="AN716" s="290"/>
      <c r="AO716" s="290"/>
      <c r="AP716" s="290"/>
      <c r="AQ716" s="290"/>
      <c r="AR716" s="290"/>
      <c r="AS716" s="290"/>
      <c r="AT716" s="290"/>
      <c r="AU716" s="290"/>
      <c r="AV716" s="290"/>
      <c r="AW716" s="290"/>
      <c r="AX716" s="290"/>
      <c r="AY716" s="290"/>
      <c r="AZ716" s="290"/>
      <c r="BA716" s="290"/>
      <c r="BG716" s="307"/>
      <c r="BH716" s="307"/>
      <c r="BI716" s="307"/>
      <c r="BK716" s="300"/>
    </row>
    <row r="717" spans="1:63" s="298" customFormat="1" hidden="1" x14ac:dyDescent="0.25">
      <c r="A717" s="290"/>
      <c r="B717" s="291"/>
      <c r="C717" s="290"/>
      <c r="D717" s="290"/>
      <c r="E717" s="290"/>
      <c r="F717" s="290"/>
      <c r="G717" s="290"/>
      <c r="H717" s="309" t="s">
        <v>118</v>
      </c>
      <c r="I717" s="290"/>
      <c r="J717" s="290"/>
      <c r="K717" s="290"/>
      <c r="L717" s="290"/>
      <c r="M717" s="308"/>
      <c r="N717" s="290"/>
      <c r="O717" s="290"/>
      <c r="P717" s="290"/>
      <c r="Q717" s="290"/>
      <c r="R717" s="290"/>
      <c r="S717" s="290"/>
      <c r="T717" s="290"/>
      <c r="U717" s="294"/>
      <c r="V717" s="290"/>
      <c r="W717" s="290"/>
      <c r="X717" s="291"/>
      <c r="Y717" s="295">
        <v>26.5</v>
      </c>
      <c r="Z717" s="295"/>
      <c r="AA717" s="296"/>
      <c r="AB717" s="296"/>
      <c r="AC717" s="291"/>
      <c r="AD717" s="291"/>
      <c r="AE717" s="291"/>
      <c r="AF717" s="291"/>
      <c r="AG717" s="291"/>
      <c r="AH717" s="291"/>
      <c r="AI717" s="291"/>
      <c r="AJ717" s="291"/>
      <c r="AK717" s="290"/>
      <c r="AL717" s="290"/>
      <c r="AM717" s="290"/>
      <c r="AN717" s="290"/>
      <c r="AO717" s="290"/>
      <c r="AP717" s="290"/>
      <c r="AQ717" s="290"/>
      <c r="AR717" s="290"/>
      <c r="AS717" s="290"/>
      <c r="AT717" s="290"/>
      <c r="AU717" s="290"/>
      <c r="AV717" s="290"/>
      <c r="AW717" s="290"/>
      <c r="AX717" s="290"/>
      <c r="AY717" s="290"/>
      <c r="AZ717" s="290"/>
      <c r="BA717" s="290"/>
      <c r="BG717" s="307"/>
      <c r="BH717" s="307"/>
      <c r="BI717" s="307"/>
      <c r="BK717" s="300"/>
    </row>
    <row r="718" spans="1:63" s="298" customFormat="1" hidden="1" x14ac:dyDescent="0.25">
      <c r="A718" s="290"/>
      <c r="B718" s="291"/>
      <c r="C718" s="290"/>
      <c r="D718" s="290"/>
      <c r="E718" s="290"/>
      <c r="F718" s="290"/>
      <c r="G718" s="290"/>
      <c r="H718" s="310" t="s">
        <v>276</v>
      </c>
      <c r="I718" s="290"/>
      <c r="J718" s="290"/>
      <c r="K718" s="290"/>
      <c r="L718" s="290"/>
      <c r="M718" s="308"/>
      <c r="N718" s="290"/>
      <c r="O718" s="290"/>
      <c r="P718" s="290"/>
      <c r="Q718" s="290"/>
      <c r="R718" s="290"/>
      <c r="S718" s="290"/>
      <c r="T718" s="290"/>
      <c r="U718" s="294"/>
      <c r="V718" s="290"/>
      <c r="W718" s="290"/>
      <c r="X718" s="291"/>
      <c r="Y718" s="295">
        <v>1</v>
      </c>
      <c r="Z718" s="295"/>
      <c r="AA718" s="296"/>
      <c r="AB718" s="296"/>
      <c r="AC718" s="291"/>
      <c r="AD718" s="291"/>
      <c r="AE718" s="291"/>
      <c r="AF718" s="291"/>
      <c r="AG718" s="291"/>
      <c r="AH718" s="291"/>
      <c r="AI718" s="291"/>
      <c r="AJ718" s="291"/>
      <c r="AK718" s="290"/>
      <c r="AL718" s="290"/>
      <c r="AM718" s="290"/>
      <c r="AN718" s="290"/>
      <c r="AO718" s="290"/>
      <c r="AP718" s="290"/>
      <c r="AQ718" s="290"/>
      <c r="AR718" s="290"/>
      <c r="AS718" s="290"/>
      <c r="AT718" s="290"/>
      <c r="AU718" s="290"/>
      <c r="AV718" s="290"/>
      <c r="AW718" s="290"/>
      <c r="AX718" s="290"/>
      <c r="AY718" s="290"/>
      <c r="AZ718" s="290"/>
      <c r="BA718" s="290"/>
      <c r="BG718" s="307"/>
      <c r="BH718" s="307"/>
      <c r="BI718" s="307"/>
      <c r="BK718" s="300"/>
    </row>
    <row r="719" spans="1:63" s="298" customFormat="1" hidden="1" x14ac:dyDescent="0.25">
      <c r="A719" s="290"/>
      <c r="B719" s="291"/>
      <c r="C719" s="290"/>
      <c r="D719" s="290"/>
      <c r="E719" s="290"/>
      <c r="F719" s="290"/>
      <c r="G719" s="290"/>
      <c r="H719" s="310" t="s">
        <v>277</v>
      </c>
      <c r="I719" s="290"/>
      <c r="J719" s="290"/>
      <c r="K719" s="290"/>
      <c r="L719" s="290"/>
      <c r="M719" s="308"/>
      <c r="N719" s="290"/>
      <c r="O719" s="290"/>
      <c r="P719" s="290"/>
      <c r="Q719" s="290"/>
      <c r="R719" s="290"/>
      <c r="S719" s="290"/>
      <c r="T719" s="290"/>
      <c r="U719" s="294"/>
      <c r="V719" s="290"/>
      <c r="W719" s="290"/>
      <c r="X719" s="291"/>
      <c r="Y719" s="295">
        <v>13.625</v>
      </c>
      <c r="Z719" s="295"/>
      <c r="AA719" s="296"/>
      <c r="AB719" s="296"/>
      <c r="AC719" s="291"/>
      <c r="AD719" s="291"/>
      <c r="AE719" s="291"/>
      <c r="AF719" s="291"/>
      <c r="AG719" s="291"/>
      <c r="AH719" s="291"/>
      <c r="AI719" s="291"/>
      <c r="AJ719" s="291"/>
      <c r="AK719" s="290"/>
      <c r="AL719" s="290"/>
      <c r="AM719" s="290"/>
      <c r="AN719" s="290"/>
      <c r="AO719" s="290"/>
      <c r="AP719" s="290"/>
      <c r="AQ719" s="290"/>
      <c r="AR719" s="290"/>
      <c r="AS719" s="290"/>
      <c r="AT719" s="290"/>
      <c r="AU719" s="290"/>
      <c r="AV719" s="290"/>
      <c r="AW719" s="290"/>
      <c r="AX719" s="290"/>
      <c r="AY719" s="290"/>
      <c r="AZ719" s="290"/>
      <c r="BA719" s="290"/>
      <c r="BG719" s="307"/>
      <c r="BH719" s="307"/>
      <c r="BI719" s="307"/>
      <c r="BK719" s="300"/>
    </row>
    <row r="720" spans="1:63" s="298" customFormat="1" hidden="1" x14ac:dyDescent="0.25">
      <c r="A720" s="290"/>
      <c r="B720" s="291"/>
      <c r="C720" s="290"/>
      <c r="D720" s="290"/>
      <c r="E720" s="290"/>
      <c r="F720" s="290"/>
      <c r="G720" s="290"/>
      <c r="H720" s="309" t="s">
        <v>231</v>
      </c>
      <c r="I720" s="290"/>
      <c r="J720" s="290"/>
      <c r="K720" s="290"/>
      <c r="L720" s="290"/>
      <c r="M720" s="308"/>
      <c r="N720" s="290"/>
      <c r="O720" s="290"/>
      <c r="P720" s="290"/>
      <c r="Q720" s="290"/>
      <c r="R720" s="290"/>
      <c r="S720" s="290"/>
      <c r="T720" s="290"/>
      <c r="U720" s="294"/>
      <c r="V720" s="290"/>
      <c r="W720" s="290"/>
      <c r="X720" s="291"/>
      <c r="Y720" s="295">
        <v>40</v>
      </c>
      <c r="Z720" s="295"/>
      <c r="AA720" s="296"/>
      <c r="AB720" s="296"/>
      <c r="AC720" s="291"/>
      <c r="AD720" s="291"/>
      <c r="AE720" s="291"/>
      <c r="AF720" s="291"/>
      <c r="AG720" s="291"/>
      <c r="AH720" s="291"/>
      <c r="AI720" s="291"/>
      <c r="AJ720" s="291"/>
      <c r="AK720" s="290"/>
      <c r="AL720" s="290"/>
      <c r="AM720" s="290"/>
      <c r="AN720" s="290"/>
      <c r="AO720" s="290"/>
      <c r="AP720" s="290"/>
      <c r="AQ720" s="290"/>
      <c r="AR720" s="290"/>
      <c r="AS720" s="290"/>
      <c r="AT720" s="290"/>
      <c r="AU720" s="290"/>
      <c r="AV720" s="290"/>
      <c r="AW720" s="290"/>
      <c r="AX720" s="290"/>
      <c r="AY720" s="290"/>
      <c r="AZ720" s="290"/>
      <c r="BA720" s="290"/>
      <c r="BG720" s="307"/>
      <c r="BH720" s="307"/>
      <c r="BI720" s="307"/>
      <c r="BK720" s="300"/>
    </row>
    <row r="721" spans="1:63" s="298" customFormat="1" hidden="1" x14ac:dyDescent="0.25">
      <c r="A721" s="290"/>
      <c r="B721" s="291"/>
      <c r="C721" s="290"/>
      <c r="D721" s="290"/>
      <c r="E721" s="290"/>
      <c r="F721" s="290"/>
      <c r="G721" s="290"/>
      <c r="H721" s="310" t="s">
        <v>278</v>
      </c>
      <c r="I721" s="290"/>
      <c r="J721" s="290"/>
      <c r="K721" s="290"/>
      <c r="L721" s="290"/>
      <c r="M721" s="308"/>
      <c r="N721" s="290"/>
      <c r="O721" s="290"/>
      <c r="P721" s="290"/>
      <c r="Q721" s="290"/>
      <c r="R721" s="290"/>
      <c r="S721" s="290"/>
      <c r="T721" s="290"/>
      <c r="U721" s="294"/>
      <c r="V721" s="290"/>
      <c r="W721" s="290"/>
      <c r="X721" s="291"/>
      <c r="Y721" s="295">
        <v>13</v>
      </c>
      <c r="Z721" s="295"/>
      <c r="AA721" s="296"/>
      <c r="AB721" s="296"/>
      <c r="AC721" s="291"/>
      <c r="AD721" s="291"/>
      <c r="AE721" s="291"/>
      <c r="AF721" s="291"/>
      <c r="AG721" s="291"/>
      <c r="AH721" s="291"/>
      <c r="AI721" s="291"/>
      <c r="AJ721" s="291"/>
      <c r="AK721" s="290"/>
      <c r="AL721" s="290"/>
      <c r="AM721" s="290"/>
      <c r="AN721" s="290"/>
      <c r="AO721" s="290"/>
      <c r="AP721" s="290"/>
      <c r="AQ721" s="290"/>
      <c r="AR721" s="290"/>
      <c r="AS721" s="290"/>
      <c r="AT721" s="290"/>
      <c r="AU721" s="290"/>
      <c r="AV721" s="290"/>
      <c r="AW721" s="290"/>
      <c r="AX721" s="290"/>
      <c r="AY721" s="290"/>
      <c r="AZ721" s="290"/>
      <c r="BA721" s="290"/>
      <c r="BG721" s="307"/>
      <c r="BH721" s="307"/>
      <c r="BI721" s="307"/>
      <c r="BK721" s="300"/>
    </row>
    <row r="722" spans="1:63" s="298" customFormat="1" hidden="1" x14ac:dyDescent="0.25">
      <c r="A722" s="290"/>
      <c r="B722" s="291"/>
      <c r="C722" s="290"/>
      <c r="D722" s="290"/>
      <c r="E722" s="290"/>
      <c r="F722" s="290"/>
      <c r="G722" s="290"/>
      <c r="H722" s="310" t="s">
        <v>279</v>
      </c>
      <c r="I722" s="290"/>
      <c r="J722" s="290"/>
      <c r="K722" s="290"/>
      <c r="L722" s="290"/>
      <c r="M722" s="308"/>
      <c r="N722" s="290"/>
      <c r="O722" s="290"/>
      <c r="P722" s="290"/>
      <c r="Q722" s="290"/>
      <c r="R722" s="290"/>
      <c r="S722" s="290"/>
      <c r="T722" s="290"/>
      <c r="U722" s="294"/>
      <c r="V722" s="290"/>
      <c r="W722" s="290"/>
      <c r="X722" s="291"/>
      <c r="Y722" s="295">
        <v>13</v>
      </c>
      <c r="Z722" s="295"/>
      <c r="AA722" s="296"/>
      <c r="AB722" s="296"/>
      <c r="AC722" s="291"/>
      <c r="AD722" s="291"/>
      <c r="AE722" s="291"/>
      <c r="AF722" s="291"/>
      <c r="AG722" s="291"/>
      <c r="AH722" s="291"/>
      <c r="AI722" s="291"/>
      <c r="AJ722" s="291"/>
      <c r="AK722" s="290"/>
      <c r="AL722" s="290"/>
      <c r="AM722" s="290"/>
      <c r="AN722" s="290"/>
      <c r="AO722" s="290"/>
      <c r="AP722" s="290"/>
      <c r="AQ722" s="290"/>
      <c r="AR722" s="290"/>
      <c r="AS722" s="290"/>
      <c r="AT722" s="290"/>
      <c r="AU722" s="290"/>
      <c r="AV722" s="290"/>
      <c r="AW722" s="290"/>
      <c r="AX722" s="290"/>
      <c r="AY722" s="290"/>
      <c r="AZ722" s="290"/>
      <c r="BA722" s="290"/>
      <c r="BG722" s="307"/>
      <c r="BH722" s="307"/>
      <c r="BI722" s="307"/>
      <c r="BK722" s="300"/>
    </row>
    <row r="723" spans="1:63" s="298" customFormat="1" hidden="1" x14ac:dyDescent="0.25">
      <c r="A723" s="290"/>
      <c r="B723" s="291"/>
      <c r="C723" s="290"/>
      <c r="D723" s="290"/>
      <c r="E723" s="290"/>
      <c r="F723" s="290"/>
      <c r="G723" s="290"/>
      <c r="H723" s="310" t="s">
        <v>280</v>
      </c>
      <c r="I723" s="290"/>
      <c r="J723" s="290"/>
      <c r="K723" s="290"/>
      <c r="L723" s="290"/>
      <c r="M723" s="308"/>
      <c r="N723" s="290"/>
      <c r="O723" s="290"/>
      <c r="P723" s="290"/>
      <c r="Q723" s="290"/>
      <c r="R723" s="290"/>
      <c r="S723" s="290"/>
      <c r="T723" s="290"/>
      <c r="U723" s="294"/>
      <c r="V723" s="290"/>
      <c r="W723" s="290"/>
      <c r="X723" s="291"/>
      <c r="Y723" s="295">
        <v>21.363636363636363</v>
      </c>
      <c r="Z723" s="295"/>
      <c r="AA723" s="296"/>
      <c r="AB723" s="296"/>
      <c r="AC723" s="291"/>
      <c r="AD723" s="291"/>
      <c r="AE723" s="291"/>
      <c r="AF723" s="291"/>
      <c r="AG723" s="291"/>
      <c r="AH723" s="291"/>
      <c r="AI723" s="291"/>
      <c r="AJ723" s="291"/>
      <c r="AK723" s="290"/>
      <c r="AL723" s="290"/>
      <c r="AM723" s="290"/>
      <c r="AN723" s="290"/>
      <c r="AO723" s="290"/>
      <c r="AP723" s="290"/>
      <c r="AQ723" s="290"/>
      <c r="AR723" s="290"/>
      <c r="AS723" s="290"/>
      <c r="AT723" s="290"/>
      <c r="AU723" s="290"/>
      <c r="AV723" s="290"/>
      <c r="AW723" s="290"/>
      <c r="AX723" s="290"/>
      <c r="AY723" s="290"/>
      <c r="AZ723" s="290"/>
      <c r="BA723" s="290"/>
      <c r="BG723" s="307"/>
      <c r="BH723" s="307"/>
      <c r="BI723" s="307"/>
      <c r="BK723" s="300"/>
    </row>
    <row r="724" spans="1:63" s="298" customFormat="1" hidden="1" x14ac:dyDescent="0.25">
      <c r="A724" s="290"/>
      <c r="B724" s="291"/>
      <c r="C724" s="290"/>
      <c r="D724" s="290"/>
      <c r="E724" s="290"/>
      <c r="F724" s="290"/>
      <c r="G724" s="290"/>
      <c r="H724" s="310" t="s">
        <v>225</v>
      </c>
      <c r="I724" s="290"/>
      <c r="J724" s="290"/>
      <c r="K724" s="290"/>
      <c r="L724" s="290"/>
      <c r="M724" s="308"/>
      <c r="N724" s="290"/>
      <c r="O724" s="290"/>
      <c r="P724" s="290"/>
      <c r="Q724" s="290"/>
      <c r="R724" s="290"/>
      <c r="S724" s="290"/>
      <c r="T724" s="290"/>
      <c r="U724" s="294"/>
      <c r="V724" s="290"/>
      <c r="W724" s="290"/>
      <c r="X724" s="291"/>
      <c r="Y724" s="295">
        <v>23</v>
      </c>
      <c r="Z724" s="295"/>
      <c r="AA724" s="296"/>
      <c r="AB724" s="296"/>
      <c r="AC724" s="291"/>
      <c r="AD724" s="291"/>
      <c r="AE724" s="291"/>
      <c r="AF724" s="291"/>
      <c r="AG724" s="291"/>
      <c r="AH724" s="291"/>
      <c r="AI724" s="291"/>
      <c r="AJ724" s="291"/>
      <c r="AK724" s="290"/>
      <c r="AL724" s="290"/>
      <c r="AM724" s="290"/>
      <c r="AN724" s="290"/>
      <c r="AO724" s="290"/>
      <c r="AP724" s="290"/>
      <c r="AQ724" s="290"/>
      <c r="AR724" s="290"/>
      <c r="AS724" s="290"/>
      <c r="AT724" s="290"/>
      <c r="AU724" s="290"/>
      <c r="AV724" s="290"/>
      <c r="AW724" s="290"/>
      <c r="AX724" s="290"/>
      <c r="AY724" s="290"/>
      <c r="AZ724" s="290"/>
      <c r="BA724" s="290"/>
      <c r="BG724" s="307"/>
      <c r="BH724" s="307"/>
      <c r="BI724" s="307"/>
      <c r="BK724" s="300"/>
    </row>
    <row r="725" spans="1:63" s="298" customFormat="1" hidden="1" x14ac:dyDescent="0.25">
      <c r="A725" s="290"/>
      <c r="B725" s="291"/>
      <c r="C725" s="290"/>
      <c r="D725" s="290"/>
      <c r="E725" s="290"/>
      <c r="F725" s="290"/>
      <c r="G725" s="290"/>
      <c r="H725" s="290"/>
      <c r="I725" s="290"/>
      <c r="J725" s="290"/>
      <c r="K725" s="290"/>
      <c r="L725" s="290"/>
      <c r="M725" s="308"/>
      <c r="N725" s="290"/>
      <c r="O725" s="290"/>
      <c r="P725" s="290"/>
      <c r="Q725" s="290"/>
      <c r="R725" s="290"/>
      <c r="S725" s="290"/>
      <c r="T725" s="290"/>
      <c r="U725" s="294"/>
      <c r="V725" s="290"/>
      <c r="W725" s="290"/>
      <c r="X725" s="291"/>
      <c r="Y725" s="295">
        <v>19.399999999999999</v>
      </c>
      <c r="Z725" s="295"/>
      <c r="AA725" s="296"/>
      <c r="AB725" s="296"/>
      <c r="AC725" s="291"/>
      <c r="AD725" s="291"/>
      <c r="AE725" s="291"/>
      <c r="AF725" s="291"/>
      <c r="AG725" s="291"/>
      <c r="AH725" s="291"/>
      <c r="AI725" s="291"/>
      <c r="AJ725" s="291"/>
      <c r="AK725" s="290"/>
      <c r="AL725" s="290"/>
      <c r="AM725" s="290"/>
      <c r="AN725" s="290"/>
      <c r="AO725" s="290"/>
      <c r="AP725" s="290"/>
      <c r="AQ725" s="290"/>
      <c r="AR725" s="290"/>
      <c r="AS725" s="290"/>
      <c r="AT725" s="290"/>
      <c r="AU725" s="290"/>
      <c r="AV725" s="290"/>
      <c r="AW725" s="290"/>
      <c r="AX725" s="290"/>
      <c r="AY725" s="290"/>
      <c r="AZ725" s="290"/>
      <c r="BA725" s="290"/>
      <c r="BG725" s="307"/>
      <c r="BH725" s="307"/>
      <c r="BI725" s="307"/>
      <c r="BK725" s="300"/>
    </row>
    <row r="726" spans="1:63" s="298" customFormat="1" hidden="1" x14ac:dyDescent="0.25">
      <c r="A726" s="290"/>
      <c r="B726" s="291"/>
      <c r="C726" s="290"/>
      <c r="D726" s="290"/>
      <c r="E726" s="290"/>
      <c r="F726" s="290"/>
      <c r="G726" s="290"/>
      <c r="H726" s="290"/>
      <c r="I726" s="290"/>
      <c r="J726" s="290"/>
      <c r="K726" s="290"/>
      <c r="L726" s="290"/>
      <c r="M726" s="308"/>
      <c r="N726" s="290"/>
      <c r="O726" s="290"/>
      <c r="P726" s="290"/>
      <c r="Q726" s="290"/>
      <c r="R726" s="290"/>
      <c r="S726" s="290"/>
      <c r="T726" s="290"/>
      <c r="U726" s="294"/>
      <c r="V726" s="290"/>
      <c r="W726" s="290"/>
      <c r="X726" s="291"/>
      <c r="Y726" s="295">
        <v>19</v>
      </c>
      <c r="Z726" s="295"/>
      <c r="AA726" s="296"/>
      <c r="AB726" s="296"/>
      <c r="AC726" s="291"/>
      <c r="AD726" s="291"/>
      <c r="AE726" s="291"/>
      <c r="AF726" s="291"/>
      <c r="AG726" s="291"/>
      <c r="AH726" s="291"/>
      <c r="AI726" s="291"/>
      <c r="AJ726" s="291"/>
      <c r="AK726" s="290"/>
      <c r="AL726" s="290"/>
      <c r="AM726" s="290"/>
      <c r="AN726" s="290"/>
      <c r="AO726" s="290"/>
      <c r="AP726" s="290"/>
      <c r="AQ726" s="290"/>
      <c r="AR726" s="290"/>
      <c r="AS726" s="290"/>
      <c r="AT726" s="290"/>
      <c r="AU726" s="290"/>
      <c r="AV726" s="290"/>
      <c r="AW726" s="290"/>
      <c r="AX726" s="290"/>
      <c r="AY726" s="290"/>
      <c r="AZ726" s="290"/>
      <c r="BA726" s="290"/>
      <c r="BG726" s="307"/>
      <c r="BH726" s="307"/>
      <c r="BI726" s="307"/>
      <c r="BK726" s="300"/>
    </row>
    <row r="727" spans="1:63" s="298" customFormat="1" hidden="1" x14ac:dyDescent="0.25">
      <c r="A727" s="290"/>
      <c r="B727" s="291"/>
      <c r="C727" s="290"/>
      <c r="D727" s="290"/>
      <c r="E727" s="290"/>
      <c r="F727" s="290"/>
      <c r="G727" s="290"/>
      <c r="H727" s="290"/>
      <c r="I727" s="290"/>
      <c r="J727" s="290"/>
      <c r="K727" s="290"/>
      <c r="L727" s="290"/>
      <c r="M727" s="308"/>
      <c r="N727" s="290"/>
      <c r="O727" s="290"/>
      <c r="P727" s="290"/>
      <c r="Q727" s="290"/>
      <c r="R727" s="290"/>
      <c r="S727" s="290"/>
      <c r="T727" s="290"/>
      <c r="U727" s="294"/>
      <c r="V727" s="290"/>
      <c r="W727" s="290"/>
      <c r="X727" s="291"/>
      <c r="Y727" s="295">
        <v>20.2</v>
      </c>
      <c r="Z727" s="295"/>
      <c r="AA727" s="296"/>
      <c r="AB727" s="296"/>
      <c r="AC727" s="291"/>
      <c r="AD727" s="291"/>
      <c r="AE727" s="291"/>
      <c r="AF727" s="291"/>
      <c r="AG727" s="291"/>
      <c r="AH727" s="291"/>
      <c r="AI727" s="291"/>
      <c r="AJ727" s="291"/>
      <c r="AK727" s="290"/>
      <c r="AL727" s="290"/>
      <c r="AM727" s="290"/>
      <c r="AN727" s="290"/>
      <c r="AO727" s="290"/>
      <c r="AP727" s="290"/>
      <c r="AQ727" s="290"/>
      <c r="AR727" s="290"/>
      <c r="AS727" s="290"/>
      <c r="AT727" s="290"/>
      <c r="AU727" s="290"/>
      <c r="AV727" s="290"/>
      <c r="AW727" s="290"/>
      <c r="AX727" s="290"/>
      <c r="AY727" s="290"/>
      <c r="AZ727" s="290"/>
      <c r="BA727" s="290"/>
      <c r="BG727" s="307"/>
      <c r="BH727" s="307"/>
      <c r="BI727" s="307"/>
      <c r="BK727" s="300"/>
    </row>
    <row r="728" spans="1:63" s="298" customFormat="1" hidden="1" x14ac:dyDescent="0.25">
      <c r="A728" s="290"/>
      <c r="B728" s="291"/>
      <c r="C728" s="290"/>
      <c r="D728" s="290"/>
      <c r="E728" s="290"/>
      <c r="F728" s="290"/>
      <c r="G728" s="290"/>
      <c r="H728" s="290"/>
      <c r="I728" s="290"/>
      <c r="J728" s="290"/>
      <c r="K728" s="290"/>
      <c r="L728" s="290"/>
      <c r="M728" s="308"/>
      <c r="N728" s="290"/>
      <c r="O728" s="290"/>
      <c r="P728" s="290"/>
      <c r="Q728" s="290"/>
      <c r="R728" s="290"/>
      <c r="S728" s="290"/>
      <c r="T728" s="290"/>
      <c r="U728" s="294"/>
      <c r="V728" s="290"/>
      <c r="W728" s="290"/>
      <c r="X728" s="291"/>
      <c r="Y728" s="295">
        <v>5</v>
      </c>
      <c r="Z728" s="295"/>
      <c r="AA728" s="296"/>
      <c r="AB728" s="296"/>
      <c r="AC728" s="291"/>
      <c r="AD728" s="291"/>
      <c r="AE728" s="291"/>
      <c r="AF728" s="291"/>
      <c r="AG728" s="291"/>
      <c r="AH728" s="291"/>
      <c r="AI728" s="291"/>
      <c r="AJ728" s="291"/>
      <c r="AK728" s="290"/>
      <c r="AL728" s="290"/>
      <c r="AM728" s="290"/>
      <c r="AN728" s="290"/>
      <c r="AO728" s="290"/>
      <c r="AP728" s="290"/>
      <c r="AQ728" s="290"/>
      <c r="AR728" s="290"/>
      <c r="AS728" s="290"/>
      <c r="AT728" s="290"/>
      <c r="AU728" s="290"/>
      <c r="AV728" s="290"/>
      <c r="AW728" s="290"/>
      <c r="AX728" s="290"/>
      <c r="AY728" s="290"/>
      <c r="AZ728" s="290"/>
      <c r="BA728" s="290"/>
      <c r="BG728" s="307"/>
      <c r="BH728" s="307"/>
      <c r="BI728" s="307"/>
      <c r="BK728" s="300"/>
    </row>
    <row r="729" spans="1:63" s="298" customFormat="1" hidden="1" x14ac:dyDescent="0.25">
      <c r="A729" s="290"/>
      <c r="B729" s="291"/>
      <c r="C729" s="290"/>
      <c r="D729" s="290"/>
      <c r="E729" s="290"/>
      <c r="F729" s="290"/>
      <c r="G729" s="290"/>
      <c r="H729" s="290"/>
      <c r="I729" s="290"/>
      <c r="J729" s="290"/>
      <c r="K729" s="290"/>
      <c r="L729" s="290"/>
      <c r="M729" s="308"/>
      <c r="N729" s="290"/>
      <c r="O729" s="290"/>
      <c r="P729" s="290"/>
      <c r="Q729" s="290"/>
      <c r="R729" s="290"/>
      <c r="S729" s="290"/>
      <c r="T729" s="290"/>
      <c r="U729" s="294"/>
      <c r="V729" s="290"/>
      <c r="W729" s="290"/>
      <c r="X729" s="291"/>
      <c r="Y729" s="295">
        <v>5</v>
      </c>
      <c r="Z729" s="295"/>
      <c r="AA729" s="296"/>
      <c r="AB729" s="296"/>
      <c r="AC729" s="291"/>
      <c r="AD729" s="291"/>
      <c r="AE729" s="291"/>
      <c r="AF729" s="291"/>
      <c r="AG729" s="291"/>
      <c r="AH729" s="291"/>
      <c r="AI729" s="291"/>
      <c r="AJ729" s="291"/>
      <c r="AK729" s="290"/>
      <c r="AL729" s="290"/>
      <c r="AM729" s="290"/>
      <c r="AN729" s="290"/>
      <c r="AO729" s="290"/>
      <c r="AP729" s="290"/>
      <c r="AQ729" s="290"/>
      <c r="AR729" s="290"/>
      <c r="AS729" s="290"/>
      <c r="AT729" s="290"/>
      <c r="AU729" s="290"/>
      <c r="AV729" s="290"/>
      <c r="AW729" s="290"/>
      <c r="AX729" s="290"/>
      <c r="AY729" s="290"/>
      <c r="AZ729" s="290"/>
      <c r="BA729" s="290"/>
      <c r="BG729" s="307"/>
      <c r="BH729" s="307"/>
      <c r="BI729" s="307"/>
      <c r="BK729" s="300"/>
    </row>
    <row r="730" spans="1:63" s="298" customFormat="1" hidden="1" x14ac:dyDescent="0.25">
      <c r="A730" s="290"/>
      <c r="B730" s="291"/>
      <c r="C730" s="290"/>
      <c r="D730" s="290"/>
      <c r="E730" s="290"/>
      <c r="F730" s="290"/>
      <c r="G730" s="290"/>
      <c r="H730" s="290"/>
      <c r="I730" s="290"/>
      <c r="J730" s="290"/>
      <c r="K730" s="290"/>
      <c r="L730" s="290"/>
      <c r="M730" s="308"/>
      <c r="N730" s="290"/>
      <c r="O730" s="290"/>
      <c r="P730" s="290"/>
      <c r="Q730" s="290"/>
      <c r="R730" s="290"/>
      <c r="S730" s="290"/>
      <c r="T730" s="290"/>
      <c r="U730" s="294"/>
      <c r="V730" s="290"/>
      <c r="W730" s="290"/>
      <c r="X730" s="291"/>
      <c r="Y730" s="295">
        <v>11</v>
      </c>
      <c r="Z730" s="295"/>
      <c r="AA730" s="296"/>
      <c r="AB730" s="296"/>
      <c r="AC730" s="291"/>
      <c r="AD730" s="291"/>
      <c r="AE730" s="291"/>
      <c r="AF730" s="291"/>
      <c r="AG730" s="291"/>
      <c r="AH730" s="291"/>
      <c r="AI730" s="291"/>
      <c r="AJ730" s="291"/>
      <c r="AK730" s="290"/>
      <c r="AL730" s="290"/>
      <c r="AM730" s="290"/>
      <c r="AN730" s="290"/>
      <c r="AO730" s="290"/>
      <c r="AP730" s="290"/>
      <c r="AQ730" s="290"/>
      <c r="AR730" s="290"/>
      <c r="AS730" s="290"/>
      <c r="AT730" s="290"/>
      <c r="AU730" s="290"/>
      <c r="AV730" s="290"/>
      <c r="AW730" s="290"/>
      <c r="AX730" s="290"/>
      <c r="AY730" s="290"/>
      <c r="AZ730" s="290"/>
      <c r="BA730" s="290"/>
      <c r="BG730" s="307"/>
      <c r="BH730" s="307"/>
      <c r="BI730" s="307"/>
      <c r="BK730" s="300"/>
    </row>
    <row r="731" spans="1:63" s="298" customFormat="1" hidden="1" x14ac:dyDescent="0.25">
      <c r="A731" s="290"/>
      <c r="B731" s="291"/>
      <c r="C731" s="290"/>
      <c r="D731" s="290"/>
      <c r="E731" s="290"/>
      <c r="F731" s="290"/>
      <c r="G731" s="290"/>
      <c r="H731" s="290"/>
      <c r="I731" s="290"/>
      <c r="J731" s="290"/>
      <c r="K731" s="290"/>
      <c r="L731" s="290"/>
      <c r="M731" s="308"/>
      <c r="N731" s="290"/>
      <c r="O731" s="290"/>
      <c r="P731" s="290"/>
      <c r="Q731" s="290"/>
      <c r="R731" s="290"/>
      <c r="S731" s="290"/>
      <c r="T731" s="290"/>
      <c r="U731" s="294"/>
      <c r="V731" s="290"/>
      <c r="W731" s="290"/>
      <c r="X731" s="291"/>
      <c r="Y731" s="295">
        <v>13</v>
      </c>
      <c r="Z731" s="295"/>
      <c r="AA731" s="296"/>
      <c r="AB731" s="296"/>
      <c r="AC731" s="291"/>
      <c r="AD731" s="291"/>
      <c r="AE731" s="291"/>
      <c r="AF731" s="291"/>
      <c r="AG731" s="291"/>
      <c r="AH731" s="291"/>
      <c r="AI731" s="291"/>
      <c r="AJ731" s="291"/>
      <c r="AK731" s="290"/>
      <c r="AL731" s="290"/>
      <c r="AM731" s="290"/>
      <c r="AN731" s="290"/>
      <c r="AO731" s="290"/>
      <c r="AP731" s="290"/>
      <c r="AQ731" s="290"/>
      <c r="AR731" s="290"/>
      <c r="AS731" s="290"/>
      <c r="AT731" s="290"/>
      <c r="AU731" s="290"/>
      <c r="AV731" s="290"/>
      <c r="AW731" s="290"/>
      <c r="AX731" s="290"/>
      <c r="AY731" s="290"/>
      <c r="AZ731" s="290"/>
      <c r="BA731" s="290"/>
      <c r="BG731" s="307"/>
      <c r="BH731" s="307"/>
      <c r="BI731" s="307"/>
      <c r="BK731" s="300"/>
    </row>
    <row r="732" spans="1:63" s="298" customFormat="1" hidden="1" x14ac:dyDescent="0.25">
      <c r="A732" s="290"/>
      <c r="B732" s="291"/>
      <c r="C732" s="290"/>
      <c r="D732" s="290"/>
      <c r="E732" s="290"/>
      <c r="F732" s="290"/>
      <c r="G732" s="290"/>
      <c r="H732" s="290"/>
      <c r="I732" s="290"/>
      <c r="J732" s="290"/>
      <c r="K732" s="290"/>
      <c r="L732" s="290"/>
      <c r="M732" s="308"/>
      <c r="N732" s="290"/>
      <c r="O732" s="290"/>
      <c r="P732" s="290"/>
      <c r="Q732" s="290"/>
      <c r="R732" s="290"/>
      <c r="S732" s="290"/>
      <c r="T732" s="290"/>
      <c r="U732" s="294"/>
      <c r="V732" s="290"/>
      <c r="W732" s="290"/>
      <c r="X732" s="291"/>
      <c r="Y732" s="295">
        <v>13</v>
      </c>
      <c r="Z732" s="295"/>
      <c r="AA732" s="296"/>
      <c r="AB732" s="296"/>
      <c r="AC732" s="291"/>
      <c r="AD732" s="291"/>
      <c r="AE732" s="291"/>
      <c r="AF732" s="291"/>
      <c r="AG732" s="291"/>
      <c r="AH732" s="291"/>
      <c r="AI732" s="291"/>
      <c r="AJ732" s="291"/>
      <c r="AK732" s="290"/>
      <c r="AL732" s="290"/>
      <c r="AM732" s="290"/>
      <c r="AN732" s="290"/>
      <c r="AO732" s="290"/>
      <c r="AP732" s="290"/>
      <c r="AQ732" s="290"/>
      <c r="AR732" s="290"/>
      <c r="AS732" s="290"/>
      <c r="AT732" s="290"/>
      <c r="AU732" s="290"/>
      <c r="AV732" s="290"/>
      <c r="AW732" s="290"/>
      <c r="AX732" s="290"/>
      <c r="AY732" s="290"/>
      <c r="AZ732" s="290"/>
      <c r="BA732" s="290"/>
      <c r="BG732" s="307"/>
      <c r="BH732" s="307"/>
      <c r="BI732" s="307"/>
      <c r="BK732" s="300"/>
    </row>
    <row r="733" spans="1:63" s="298" customFormat="1" hidden="1" x14ac:dyDescent="0.25">
      <c r="A733" s="290"/>
      <c r="B733" s="291"/>
      <c r="C733" s="290"/>
      <c r="D733" s="290"/>
      <c r="E733" s="290"/>
      <c r="F733" s="290"/>
      <c r="G733" s="290"/>
      <c r="H733" s="290"/>
      <c r="I733" s="290"/>
      <c r="J733" s="290"/>
      <c r="K733" s="290"/>
      <c r="L733" s="290"/>
      <c r="M733" s="308"/>
      <c r="N733" s="290"/>
      <c r="O733" s="290"/>
      <c r="P733" s="290"/>
      <c r="Q733" s="290"/>
      <c r="R733" s="290"/>
      <c r="S733" s="290"/>
      <c r="T733" s="290"/>
      <c r="U733" s="294"/>
      <c r="V733" s="290"/>
      <c r="W733" s="290"/>
      <c r="X733" s="291"/>
      <c r="Y733" s="295">
        <v>30</v>
      </c>
      <c r="Z733" s="295"/>
      <c r="AA733" s="296"/>
      <c r="AB733" s="296"/>
      <c r="AC733" s="291"/>
      <c r="AD733" s="291"/>
      <c r="AE733" s="291"/>
      <c r="AF733" s="291"/>
      <c r="AG733" s="291"/>
      <c r="AH733" s="291"/>
      <c r="AI733" s="291"/>
      <c r="AJ733" s="291"/>
      <c r="AK733" s="290"/>
      <c r="AL733" s="290"/>
      <c r="AM733" s="290"/>
      <c r="AN733" s="290"/>
      <c r="AO733" s="290"/>
      <c r="AP733" s="290"/>
      <c r="AQ733" s="290"/>
      <c r="AR733" s="290"/>
      <c r="AS733" s="290"/>
      <c r="AT733" s="290"/>
      <c r="AU733" s="290"/>
      <c r="AV733" s="290"/>
      <c r="AW733" s="290"/>
      <c r="AX733" s="290"/>
      <c r="AY733" s="290"/>
      <c r="AZ733" s="290"/>
      <c r="BA733" s="290"/>
      <c r="BG733" s="307"/>
      <c r="BH733" s="307"/>
      <c r="BI733" s="307"/>
      <c r="BK733" s="300"/>
    </row>
    <row r="734" spans="1:63" s="298" customFormat="1" hidden="1" x14ac:dyDescent="0.25">
      <c r="A734" s="290"/>
      <c r="B734" s="291"/>
      <c r="C734" s="290"/>
      <c r="D734" s="290"/>
      <c r="E734" s="290"/>
      <c r="F734" s="290"/>
      <c r="G734" s="290"/>
      <c r="H734" s="290"/>
      <c r="I734" s="290"/>
      <c r="J734" s="290"/>
      <c r="K734" s="290"/>
      <c r="L734" s="290"/>
      <c r="M734" s="308"/>
      <c r="N734" s="290"/>
      <c r="O734" s="290"/>
      <c r="P734" s="290"/>
      <c r="Q734" s="290"/>
      <c r="R734" s="290"/>
      <c r="S734" s="290"/>
      <c r="T734" s="290"/>
      <c r="U734" s="294"/>
      <c r="V734" s="290"/>
      <c r="W734" s="290"/>
      <c r="X734" s="291"/>
      <c r="Y734" s="295">
        <v>33.875</v>
      </c>
      <c r="Z734" s="295"/>
      <c r="AA734" s="296"/>
      <c r="AB734" s="296"/>
      <c r="AC734" s="291"/>
      <c r="AD734" s="291"/>
      <c r="AE734" s="291"/>
      <c r="AF734" s="291"/>
      <c r="AG734" s="291"/>
      <c r="AH734" s="291"/>
      <c r="AI734" s="291"/>
      <c r="AJ734" s="291"/>
      <c r="AK734" s="290"/>
      <c r="AL734" s="290"/>
      <c r="AM734" s="290"/>
      <c r="AN734" s="290"/>
      <c r="AO734" s="290"/>
      <c r="AP734" s="290"/>
      <c r="AQ734" s="290"/>
      <c r="AR734" s="290"/>
      <c r="AS734" s="290"/>
      <c r="AT734" s="290"/>
      <c r="AU734" s="290"/>
      <c r="AV734" s="290"/>
      <c r="AW734" s="290"/>
      <c r="AX734" s="290"/>
      <c r="AY734" s="290"/>
      <c r="AZ734" s="290"/>
      <c r="BA734" s="290"/>
      <c r="BG734" s="307"/>
      <c r="BH734" s="307"/>
      <c r="BI734" s="307"/>
      <c r="BK734" s="300"/>
    </row>
    <row r="735" spans="1:63" s="298" customFormat="1" hidden="1" x14ac:dyDescent="0.25">
      <c r="A735" s="290"/>
      <c r="B735" s="291"/>
      <c r="C735" s="290"/>
      <c r="D735" s="290"/>
      <c r="E735" s="290"/>
      <c r="F735" s="290"/>
      <c r="G735" s="290"/>
      <c r="H735" s="302"/>
      <c r="I735" s="290"/>
      <c r="J735" s="290"/>
      <c r="K735" s="290"/>
      <c r="L735" s="290"/>
      <c r="M735" s="308"/>
      <c r="N735" s="290"/>
      <c r="O735" s="290"/>
      <c r="P735" s="290"/>
      <c r="Q735" s="290"/>
      <c r="R735" s="290"/>
      <c r="S735" s="290"/>
      <c r="T735" s="290"/>
      <c r="U735" s="294"/>
      <c r="V735" s="290"/>
      <c r="W735" s="290"/>
      <c r="X735" s="291"/>
      <c r="Y735" s="295">
        <v>14.444444444444445</v>
      </c>
      <c r="Z735" s="295"/>
      <c r="AA735" s="296"/>
      <c r="AB735" s="296"/>
      <c r="AC735" s="291"/>
      <c r="AD735" s="291"/>
      <c r="AE735" s="291"/>
      <c r="AF735" s="291"/>
      <c r="AG735" s="291"/>
      <c r="AH735" s="291"/>
      <c r="AI735" s="291"/>
      <c r="AJ735" s="291"/>
      <c r="AK735" s="290"/>
      <c r="AL735" s="290"/>
      <c r="AM735" s="290"/>
      <c r="AN735" s="290"/>
      <c r="AO735" s="290"/>
      <c r="AP735" s="290"/>
      <c r="AQ735" s="290"/>
      <c r="AR735" s="290"/>
      <c r="AS735" s="290"/>
      <c r="AT735" s="290"/>
      <c r="AU735" s="290"/>
      <c r="AV735" s="290"/>
      <c r="AW735" s="290"/>
      <c r="AX735" s="290"/>
      <c r="AY735" s="290"/>
      <c r="AZ735" s="290"/>
      <c r="BA735" s="290"/>
      <c r="BG735" s="307"/>
      <c r="BH735" s="307"/>
      <c r="BI735" s="307"/>
      <c r="BK735" s="300"/>
    </row>
    <row r="736" spans="1:63" s="298" customFormat="1" hidden="1" x14ac:dyDescent="0.25">
      <c r="A736" s="290"/>
      <c r="B736" s="291"/>
      <c r="C736" s="290"/>
      <c r="D736" s="290"/>
      <c r="E736" s="290"/>
      <c r="F736" s="290"/>
      <c r="G736" s="290"/>
      <c r="H736" s="302"/>
      <c r="I736" s="290"/>
      <c r="J736" s="290"/>
      <c r="K736" s="290"/>
      <c r="L736" s="290"/>
      <c r="M736" s="308"/>
      <c r="N736" s="290"/>
      <c r="O736" s="290"/>
      <c r="P736" s="290"/>
      <c r="Q736" s="290"/>
      <c r="R736" s="290"/>
      <c r="S736" s="290"/>
      <c r="T736" s="290"/>
      <c r="U736" s="294"/>
      <c r="V736" s="290"/>
      <c r="W736" s="290"/>
      <c r="X736" s="291"/>
      <c r="Y736" s="295">
        <v>6</v>
      </c>
      <c r="Z736" s="295"/>
      <c r="AA736" s="296"/>
      <c r="AB736" s="296"/>
      <c r="AC736" s="291"/>
      <c r="AD736" s="291"/>
      <c r="AE736" s="291"/>
      <c r="AF736" s="291"/>
      <c r="AG736" s="291"/>
      <c r="AH736" s="291"/>
      <c r="AI736" s="291"/>
      <c r="AJ736" s="291"/>
      <c r="AK736" s="290"/>
      <c r="AL736" s="290"/>
      <c r="AM736" s="290"/>
      <c r="AN736" s="290"/>
      <c r="AO736" s="290"/>
      <c r="AP736" s="290"/>
      <c r="AQ736" s="290"/>
      <c r="AR736" s="290"/>
      <c r="AS736" s="290"/>
      <c r="AT736" s="290"/>
      <c r="AU736" s="290"/>
      <c r="AV736" s="290"/>
      <c r="AW736" s="290"/>
      <c r="AX736" s="290"/>
      <c r="AY736" s="290"/>
      <c r="AZ736" s="290"/>
      <c r="BA736" s="290"/>
      <c r="BG736" s="307"/>
      <c r="BH736" s="307"/>
      <c r="BI736" s="307"/>
      <c r="BK736" s="300"/>
    </row>
    <row r="737" spans="1:63" s="298" customFormat="1" hidden="1" x14ac:dyDescent="0.25">
      <c r="A737" s="290"/>
      <c r="B737" s="291"/>
      <c r="C737" s="290"/>
      <c r="D737" s="290"/>
      <c r="E737" s="290"/>
      <c r="F737" s="290"/>
      <c r="G737" s="290"/>
      <c r="H737" s="302"/>
      <c r="I737" s="290"/>
      <c r="J737" s="290"/>
      <c r="K737" s="290"/>
      <c r="L737" s="290"/>
      <c r="M737" s="308"/>
      <c r="N737" s="290"/>
      <c r="O737" s="290"/>
      <c r="P737" s="290"/>
      <c r="Q737" s="290"/>
      <c r="R737" s="290"/>
      <c r="S737" s="290"/>
      <c r="T737" s="290"/>
      <c r="U737" s="294"/>
      <c r="V737" s="290"/>
      <c r="W737" s="290"/>
      <c r="X737" s="291"/>
      <c r="Y737" s="295">
        <v>25</v>
      </c>
      <c r="Z737" s="295"/>
      <c r="AA737" s="296"/>
      <c r="AB737" s="296"/>
      <c r="AC737" s="291"/>
      <c r="AD737" s="291"/>
      <c r="AE737" s="291"/>
      <c r="AF737" s="291"/>
      <c r="AG737" s="291"/>
      <c r="AH737" s="291"/>
      <c r="AI737" s="291"/>
      <c r="AJ737" s="291"/>
      <c r="AK737" s="290"/>
      <c r="AL737" s="290"/>
      <c r="AM737" s="290"/>
      <c r="AN737" s="290"/>
      <c r="AO737" s="290"/>
      <c r="AP737" s="290"/>
      <c r="AQ737" s="290"/>
      <c r="AR737" s="290"/>
      <c r="AS737" s="290"/>
      <c r="AT737" s="290"/>
      <c r="AU737" s="290"/>
      <c r="AV737" s="290"/>
      <c r="AW737" s="290"/>
      <c r="AX737" s="290"/>
      <c r="AY737" s="290"/>
      <c r="AZ737" s="290"/>
      <c r="BA737" s="290"/>
      <c r="BG737" s="307"/>
      <c r="BH737" s="307"/>
      <c r="BI737" s="307"/>
      <c r="BK737" s="300"/>
    </row>
    <row r="738" spans="1:63" s="298" customFormat="1" hidden="1" x14ac:dyDescent="0.25">
      <c r="A738" s="290"/>
      <c r="B738" s="291"/>
      <c r="C738" s="290"/>
      <c r="D738" s="290"/>
      <c r="E738" s="290"/>
      <c r="F738" s="290"/>
      <c r="G738" s="290"/>
      <c r="H738" s="302" t="s">
        <v>281</v>
      </c>
      <c r="I738" s="290"/>
      <c r="J738" s="290"/>
      <c r="K738" s="290"/>
      <c r="L738" s="290"/>
      <c r="M738" s="308"/>
      <c r="N738" s="290"/>
      <c r="O738" s="290"/>
      <c r="P738" s="290"/>
      <c r="Q738" s="290"/>
      <c r="R738" s="290"/>
      <c r="S738" s="290"/>
      <c r="T738" s="290"/>
      <c r="U738" s="294"/>
      <c r="V738" s="290"/>
      <c r="W738" s="290"/>
      <c r="X738" s="291"/>
      <c r="Y738" s="295">
        <v>25</v>
      </c>
      <c r="Z738" s="295"/>
      <c r="AA738" s="296"/>
      <c r="AB738" s="296"/>
      <c r="AC738" s="291"/>
      <c r="AD738" s="291"/>
      <c r="AE738" s="291"/>
      <c r="AF738" s="291"/>
      <c r="AG738" s="291"/>
      <c r="AH738" s="291"/>
      <c r="AI738" s="291"/>
      <c r="AJ738" s="291"/>
      <c r="AK738" s="290"/>
      <c r="AL738" s="290"/>
      <c r="AM738" s="290"/>
      <c r="AN738" s="290"/>
      <c r="AO738" s="290"/>
      <c r="AP738" s="290"/>
      <c r="AQ738" s="290"/>
      <c r="AR738" s="290"/>
      <c r="AS738" s="290"/>
      <c r="AT738" s="290"/>
      <c r="AU738" s="290"/>
      <c r="AV738" s="290"/>
      <c r="AW738" s="290"/>
      <c r="AX738" s="290"/>
      <c r="AY738" s="290"/>
      <c r="AZ738" s="290"/>
      <c r="BA738" s="290"/>
      <c r="BG738" s="307"/>
      <c r="BH738" s="307"/>
      <c r="BI738" s="307"/>
      <c r="BK738" s="300"/>
    </row>
    <row r="739" spans="1:63" s="298" customFormat="1" hidden="1" x14ac:dyDescent="0.25">
      <c r="A739" s="290"/>
      <c r="B739" s="291"/>
      <c r="C739" s="290"/>
      <c r="D739" s="290"/>
      <c r="E739" s="290"/>
      <c r="F739" s="290"/>
      <c r="G739" s="290"/>
      <c r="H739" s="302" t="s">
        <v>282</v>
      </c>
      <c r="I739" s="290"/>
      <c r="J739" s="290"/>
      <c r="K739" s="290"/>
      <c r="L739" s="290"/>
      <c r="M739" s="308"/>
      <c r="N739" s="290"/>
      <c r="O739" s="290"/>
      <c r="P739" s="290"/>
      <c r="Q739" s="290"/>
      <c r="R739" s="290"/>
      <c r="S739" s="290"/>
      <c r="T739" s="290"/>
      <c r="U739" s="294"/>
      <c r="V739" s="290"/>
      <c r="W739" s="290"/>
      <c r="X739" s="291"/>
      <c r="Y739" s="295">
        <v>40</v>
      </c>
      <c r="Z739" s="295"/>
      <c r="AA739" s="296"/>
      <c r="AB739" s="296"/>
      <c r="AC739" s="291"/>
      <c r="AD739" s="291"/>
      <c r="AE739" s="291"/>
      <c r="AF739" s="291"/>
      <c r="AG739" s="291"/>
      <c r="AH739" s="291"/>
      <c r="AI739" s="291"/>
      <c r="AJ739" s="291"/>
      <c r="AK739" s="290"/>
      <c r="AL739" s="290"/>
      <c r="AM739" s="290"/>
      <c r="AN739" s="290"/>
      <c r="AO739" s="290"/>
      <c r="AP739" s="290"/>
      <c r="AQ739" s="290"/>
      <c r="AR739" s="290"/>
      <c r="AS739" s="290"/>
      <c r="AT739" s="290"/>
      <c r="AU739" s="290"/>
      <c r="AV739" s="290"/>
      <c r="AW739" s="290"/>
      <c r="AX739" s="290"/>
      <c r="AY739" s="290"/>
      <c r="AZ739" s="290"/>
      <c r="BA739" s="290"/>
      <c r="BG739" s="307"/>
      <c r="BH739" s="307"/>
      <c r="BI739" s="307"/>
      <c r="BK739" s="300"/>
    </row>
    <row r="740" spans="1:63" s="298" customFormat="1" hidden="1" x14ac:dyDescent="0.25">
      <c r="A740" s="290"/>
      <c r="B740" s="291"/>
      <c r="C740" s="290"/>
      <c r="D740" s="290"/>
      <c r="E740" s="290"/>
      <c r="F740" s="290"/>
      <c r="G740" s="290"/>
      <c r="H740" s="302" t="s">
        <v>124</v>
      </c>
      <c r="I740" s="290"/>
      <c r="J740" s="290"/>
      <c r="K740" s="290"/>
      <c r="L740" s="290"/>
      <c r="M740" s="308"/>
      <c r="N740" s="290"/>
      <c r="O740" s="290"/>
      <c r="P740" s="290"/>
      <c r="Q740" s="290"/>
      <c r="R740" s="290"/>
      <c r="S740" s="290"/>
      <c r="T740" s="290"/>
      <c r="U740" s="294"/>
      <c r="V740" s="290"/>
      <c r="W740" s="290"/>
      <c r="X740" s="291"/>
      <c r="Y740" s="295">
        <v>60</v>
      </c>
      <c r="Z740" s="295"/>
      <c r="AA740" s="296"/>
      <c r="AB740" s="296"/>
      <c r="AC740" s="291"/>
      <c r="AD740" s="291"/>
      <c r="AE740" s="291"/>
      <c r="AF740" s="291"/>
      <c r="AG740" s="291"/>
      <c r="AH740" s="291"/>
      <c r="AI740" s="291"/>
      <c r="AJ740" s="291"/>
      <c r="AK740" s="290"/>
      <c r="AL740" s="290"/>
      <c r="AM740" s="290"/>
      <c r="AN740" s="290"/>
      <c r="AO740" s="290"/>
      <c r="AP740" s="290"/>
      <c r="AQ740" s="290"/>
      <c r="AR740" s="290"/>
      <c r="AS740" s="290"/>
      <c r="AT740" s="290"/>
      <c r="AU740" s="290"/>
      <c r="AV740" s="290"/>
      <c r="AW740" s="290"/>
      <c r="AX740" s="290"/>
      <c r="AY740" s="290"/>
      <c r="AZ740" s="290"/>
      <c r="BA740" s="290"/>
      <c r="BG740" s="307"/>
      <c r="BH740" s="307"/>
      <c r="BI740" s="307"/>
      <c r="BK740" s="300"/>
    </row>
    <row r="741" spans="1:63" s="298" customFormat="1" hidden="1" x14ac:dyDescent="0.25">
      <c r="A741" s="290"/>
      <c r="B741" s="291"/>
      <c r="C741" s="290"/>
      <c r="D741" s="290"/>
      <c r="E741" s="290"/>
      <c r="F741" s="290"/>
      <c r="G741" s="290"/>
      <c r="H741" s="302" t="s">
        <v>283</v>
      </c>
      <c r="I741" s="290"/>
      <c r="J741" s="290"/>
      <c r="K741" s="290"/>
      <c r="L741" s="290"/>
      <c r="M741" s="308"/>
      <c r="N741" s="290"/>
      <c r="O741" s="290"/>
      <c r="P741" s="290"/>
      <c r="Q741" s="290"/>
      <c r="R741" s="290"/>
      <c r="S741" s="290"/>
      <c r="T741" s="290"/>
      <c r="U741" s="294"/>
      <c r="V741" s="290"/>
      <c r="W741" s="290"/>
      <c r="X741" s="291"/>
      <c r="Y741" s="295">
        <v>60</v>
      </c>
      <c r="Z741" s="295"/>
      <c r="AA741" s="296"/>
      <c r="AB741" s="296"/>
      <c r="AC741" s="291"/>
      <c r="AD741" s="291"/>
      <c r="AE741" s="291"/>
      <c r="AF741" s="291"/>
      <c r="AG741" s="291"/>
      <c r="AH741" s="291"/>
      <c r="AI741" s="291"/>
      <c r="AJ741" s="291"/>
      <c r="AK741" s="290"/>
      <c r="AL741" s="290"/>
      <c r="AM741" s="290"/>
      <c r="AN741" s="290"/>
      <c r="AO741" s="290"/>
      <c r="AP741" s="290"/>
      <c r="AQ741" s="290"/>
      <c r="AR741" s="290"/>
      <c r="AS741" s="290"/>
      <c r="AT741" s="290"/>
      <c r="AU741" s="290"/>
      <c r="AV741" s="290"/>
      <c r="AW741" s="290"/>
      <c r="AX741" s="290"/>
      <c r="AY741" s="290"/>
      <c r="AZ741" s="290"/>
      <c r="BA741" s="290"/>
      <c r="BG741" s="307"/>
      <c r="BH741" s="307"/>
      <c r="BI741" s="307"/>
      <c r="BK741" s="300"/>
    </row>
    <row r="742" spans="1:63" s="298" customFormat="1" hidden="1" x14ac:dyDescent="0.25">
      <c r="A742" s="290"/>
      <c r="B742" s="291"/>
      <c r="C742" s="290"/>
      <c r="D742" s="290"/>
      <c r="E742" s="290"/>
      <c r="F742" s="290"/>
      <c r="G742" s="290"/>
      <c r="H742" s="302" t="s">
        <v>131</v>
      </c>
      <c r="I742" s="290"/>
      <c r="J742" s="290"/>
      <c r="K742" s="290"/>
      <c r="L742" s="290"/>
      <c r="M742" s="308"/>
      <c r="N742" s="290"/>
      <c r="O742" s="290"/>
      <c r="P742" s="290"/>
      <c r="Q742" s="290"/>
      <c r="R742" s="290"/>
      <c r="S742" s="290"/>
      <c r="T742" s="290"/>
      <c r="U742" s="294"/>
      <c r="V742" s="290"/>
      <c r="W742" s="290"/>
      <c r="X742" s="291"/>
      <c r="Y742" s="295">
        <v>48</v>
      </c>
      <c r="Z742" s="295"/>
      <c r="AA742" s="296"/>
      <c r="AB742" s="296"/>
      <c r="AC742" s="291"/>
      <c r="AD742" s="291"/>
      <c r="AE742" s="291"/>
      <c r="AF742" s="291"/>
      <c r="AG742" s="291"/>
      <c r="AH742" s="291"/>
      <c r="AI742" s="291"/>
      <c r="AJ742" s="291"/>
      <c r="AK742" s="290"/>
      <c r="AL742" s="290"/>
      <c r="AM742" s="290"/>
      <c r="AN742" s="290"/>
      <c r="AO742" s="290"/>
      <c r="AP742" s="290"/>
      <c r="AQ742" s="290"/>
      <c r="AR742" s="290"/>
      <c r="AS742" s="290"/>
      <c r="AT742" s="290"/>
      <c r="AU742" s="290"/>
      <c r="AV742" s="290"/>
      <c r="AW742" s="290"/>
      <c r="AX742" s="290"/>
      <c r="AY742" s="290"/>
      <c r="AZ742" s="290"/>
      <c r="BA742" s="290"/>
      <c r="BG742" s="307"/>
      <c r="BH742" s="307"/>
      <c r="BI742" s="307"/>
      <c r="BK742" s="300"/>
    </row>
    <row r="743" spans="1:63" s="298" customFormat="1" hidden="1" x14ac:dyDescent="0.25">
      <c r="A743" s="290"/>
      <c r="B743" s="291"/>
      <c r="C743" s="290"/>
      <c r="D743" s="290"/>
      <c r="E743" s="290"/>
      <c r="F743" s="290"/>
      <c r="G743" s="290"/>
      <c r="H743" s="302" t="s">
        <v>149</v>
      </c>
      <c r="I743" s="290"/>
      <c r="J743" s="290"/>
      <c r="K743" s="290"/>
      <c r="L743" s="290"/>
      <c r="M743" s="308"/>
      <c r="N743" s="290"/>
      <c r="O743" s="290"/>
      <c r="P743" s="290"/>
      <c r="Q743" s="290"/>
      <c r="R743" s="290"/>
      <c r="S743" s="290"/>
      <c r="T743" s="290"/>
      <c r="U743" s="294"/>
      <c r="V743" s="290"/>
      <c r="W743" s="290"/>
      <c r="X743" s="291"/>
      <c r="Y743" s="295">
        <v>15</v>
      </c>
      <c r="Z743" s="295"/>
      <c r="AA743" s="296"/>
      <c r="AB743" s="296"/>
      <c r="AC743" s="291"/>
      <c r="AD743" s="291"/>
      <c r="AE743" s="291"/>
      <c r="AF743" s="291"/>
      <c r="AG743" s="291"/>
      <c r="AH743" s="291"/>
      <c r="AI743" s="291"/>
      <c r="AJ743" s="291"/>
      <c r="AK743" s="290"/>
      <c r="AL743" s="290"/>
      <c r="AM743" s="290"/>
      <c r="AN743" s="290"/>
      <c r="AO743" s="290"/>
      <c r="AP743" s="290"/>
      <c r="AQ743" s="290"/>
      <c r="AR743" s="290"/>
      <c r="AS743" s="290"/>
      <c r="AT743" s="290"/>
      <c r="AU743" s="290"/>
      <c r="AV743" s="290"/>
      <c r="AW743" s="290"/>
      <c r="AX743" s="290"/>
      <c r="AY743" s="290"/>
      <c r="AZ743" s="290"/>
      <c r="BA743" s="290"/>
      <c r="BG743" s="307"/>
      <c r="BH743" s="307"/>
      <c r="BI743" s="307"/>
      <c r="BK743" s="300"/>
    </row>
    <row r="744" spans="1:63" s="298" customFormat="1" hidden="1" x14ac:dyDescent="0.25">
      <c r="A744" s="290"/>
      <c r="B744" s="291"/>
      <c r="C744" s="290"/>
      <c r="D744" s="290"/>
      <c r="E744" s="290"/>
      <c r="F744" s="290"/>
      <c r="G744" s="290"/>
      <c r="H744" s="302" t="s">
        <v>284</v>
      </c>
      <c r="I744" s="290"/>
      <c r="J744" s="290"/>
      <c r="K744" s="290"/>
      <c r="L744" s="290"/>
      <c r="M744" s="308"/>
      <c r="N744" s="290"/>
      <c r="O744" s="290"/>
      <c r="P744" s="290"/>
      <c r="Q744" s="290"/>
      <c r="R744" s="290"/>
      <c r="S744" s="290"/>
      <c r="T744" s="290"/>
      <c r="U744" s="294"/>
      <c r="V744" s="290"/>
      <c r="W744" s="290"/>
      <c r="X744" s="291"/>
      <c r="Y744" s="295">
        <v>15</v>
      </c>
      <c r="Z744" s="295"/>
      <c r="AA744" s="296"/>
      <c r="AB744" s="296"/>
      <c r="AC744" s="291"/>
      <c r="AD744" s="291"/>
      <c r="AE744" s="291"/>
      <c r="AF744" s="291"/>
      <c r="AG744" s="291"/>
      <c r="AH744" s="291"/>
      <c r="AI744" s="291"/>
      <c r="AJ744" s="291"/>
      <c r="AK744" s="290"/>
      <c r="AL744" s="290"/>
      <c r="AM744" s="290"/>
      <c r="AN744" s="290"/>
      <c r="AO744" s="290"/>
      <c r="AP744" s="290"/>
      <c r="AQ744" s="290"/>
      <c r="AR744" s="290"/>
      <c r="AS744" s="290"/>
      <c r="AT744" s="290"/>
      <c r="AU744" s="290"/>
      <c r="AV744" s="290"/>
      <c r="AW744" s="290"/>
      <c r="AX744" s="290"/>
      <c r="AY744" s="290"/>
      <c r="AZ744" s="290"/>
      <c r="BA744" s="290"/>
      <c r="BG744" s="307"/>
      <c r="BH744" s="307"/>
      <c r="BI744" s="307"/>
      <c r="BK744" s="300"/>
    </row>
    <row r="745" spans="1:63" s="298" customFormat="1" hidden="1" x14ac:dyDescent="0.25">
      <c r="A745" s="290"/>
      <c r="B745" s="291"/>
      <c r="C745" s="290"/>
      <c r="D745" s="290"/>
      <c r="E745" s="290"/>
      <c r="F745" s="290"/>
      <c r="G745" s="290"/>
      <c r="H745" s="302" t="s">
        <v>285</v>
      </c>
      <c r="I745" s="290"/>
      <c r="J745" s="290"/>
      <c r="K745" s="290"/>
      <c r="L745" s="290"/>
      <c r="M745" s="308"/>
      <c r="N745" s="290"/>
      <c r="O745" s="290"/>
      <c r="P745" s="290"/>
      <c r="Q745" s="290"/>
      <c r="R745" s="290"/>
      <c r="S745" s="290"/>
      <c r="T745" s="290"/>
      <c r="U745" s="294"/>
      <c r="V745" s="290"/>
      <c r="W745" s="290"/>
      <c r="X745" s="291"/>
      <c r="Y745" s="295">
        <v>15</v>
      </c>
      <c r="Z745" s="295"/>
      <c r="AA745" s="296"/>
      <c r="AB745" s="296"/>
      <c r="AC745" s="291"/>
      <c r="AD745" s="291"/>
      <c r="AE745" s="291"/>
      <c r="AF745" s="291"/>
      <c r="AG745" s="291"/>
      <c r="AH745" s="291"/>
      <c r="AI745" s="291"/>
      <c r="AJ745" s="291"/>
      <c r="AK745" s="290"/>
      <c r="AL745" s="290"/>
      <c r="AM745" s="290"/>
      <c r="AN745" s="290"/>
      <c r="AO745" s="290"/>
      <c r="AP745" s="290"/>
      <c r="AQ745" s="290"/>
      <c r="AR745" s="290"/>
      <c r="AS745" s="290"/>
      <c r="AT745" s="290"/>
      <c r="AU745" s="290"/>
      <c r="AV745" s="290"/>
      <c r="AW745" s="290"/>
      <c r="AX745" s="290"/>
      <c r="AY745" s="290"/>
      <c r="AZ745" s="290"/>
      <c r="BA745" s="290"/>
      <c r="BG745" s="307"/>
      <c r="BH745" s="307"/>
      <c r="BI745" s="307"/>
      <c r="BK745" s="300"/>
    </row>
    <row r="746" spans="1:63" s="298" customFormat="1" hidden="1" x14ac:dyDescent="0.25">
      <c r="A746" s="290"/>
      <c r="B746" s="291"/>
      <c r="C746" s="290"/>
      <c r="D746" s="290"/>
      <c r="E746" s="290"/>
      <c r="F746" s="290"/>
      <c r="G746" s="290"/>
      <c r="H746" s="302" t="s">
        <v>237</v>
      </c>
      <c r="I746" s="290"/>
      <c r="J746" s="290"/>
      <c r="K746" s="290"/>
      <c r="L746" s="290"/>
      <c r="M746" s="308"/>
      <c r="N746" s="290"/>
      <c r="O746" s="290"/>
      <c r="P746" s="290"/>
      <c r="Q746" s="290"/>
      <c r="R746" s="290"/>
      <c r="S746" s="290"/>
      <c r="T746" s="290"/>
      <c r="U746" s="294"/>
      <c r="V746" s="290"/>
      <c r="W746" s="290"/>
      <c r="X746" s="291"/>
      <c r="Y746" s="295">
        <v>15.5</v>
      </c>
      <c r="Z746" s="295"/>
      <c r="AA746" s="296"/>
      <c r="AB746" s="296"/>
      <c r="AC746" s="291"/>
      <c r="AD746" s="291"/>
      <c r="AE746" s="291"/>
      <c r="AF746" s="291"/>
      <c r="AG746" s="291"/>
      <c r="AH746" s="291"/>
      <c r="AI746" s="291"/>
      <c r="AJ746" s="291"/>
      <c r="AK746" s="290"/>
      <c r="AL746" s="290"/>
      <c r="AM746" s="290"/>
      <c r="AN746" s="290"/>
      <c r="AO746" s="290"/>
      <c r="AP746" s="290"/>
      <c r="AQ746" s="290"/>
      <c r="AR746" s="290"/>
      <c r="AS746" s="290"/>
      <c r="AT746" s="290"/>
      <c r="AU746" s="290"/>
      <c r="AV746" s="290"/>
      <c r="AW746" s="290"/>
      <c r="AX746" s="290"/>
      <c r="AY746" s="290"/>
      <c r="AZ746" s="290"/>
      <c r="BA746" s="290"/>
      <c r="BG746" s="307"/>
      <c r="BH746" s="307"/>
      <c r="BI746" s="307"/>
      <c r="BK746" s="300"/>
    </row>
    <row r="747" spans="1:63" s="298" customFormat="1" hidden="1" x14ac:dyDescent="0.25">
      <c r="A747" s="290"/>
      <c r="B747" s="291"/>
      <c r="C747" s="290"/>
      <c r="D747" s="290"/>
      <c r="E747" s="290"/>
      <c r="F747" s="290"/>
      <c r="G747" s="290"/>
      <c r="H747" s="302" t="s">
        <v>286</v>
      </c>
      <c r="I747" s="290"/>
      <c r="J747" s="290"/>
      <c r="K747" s="290"/>
      <c r="L747" s="290"/>
      <c r="M747" s="308"/>
      <c r="N747" s="290"/>
      <c r="O747" s="290"/>
      <c r="P747" s="290"/>
      <c r="Q747" s="290"/>
      <c r="R747" s="290"/>
      <c r="S747" s="290"/>
      <c r="T747" s="290"/>
      <c r="U747" s="294"/>
      <c r="V747" s="290"/>
      <c r="W747" s="290"/>
      <c r="X747" s="291"/>
      <c r="Y747" s="295"/>
      <c r="Z747" s="295"/>
      <c r="AA747" s="296"/>
      <c r="AB747" s="296"/>
      <c r="AC747" s="291"/>
      <c r="AD747" s="291"/>
      <c r="AE747" s="291"/>
      <c r="AF747" s="291"/>
      <c r="AG747" s="291"/>
      <c r="AH747" s="291"/>
      <c r="AI747" s="291"/>
      <c r="AJ747" s="291"/>
      <c r="AK747" s="290"/>
      <c r="AL747" s="290"/>
      <c r="AM747" s="290"/>
      <c r="AN747" s="290"/>
      <c r="AO747" s="290"/>
      <c r="AP747" s="290"/>
      <c r="AQ747" s="290"/>
      <c r="AR747" s="290"/>
      <c r="AS747" s="290"/>
      <c r="AT747" s="290"/>
      <c r="AU747" s="290"/>
      <c r="AV747" s="290"/>
      <c r="AW747" s="290"/>
      <c r="AX747" s="290"/>
      <c r="AY747" s="290"/>
      <c r="AZ747" s="290"/>
      <c r="BA747" s="290"/>
      <c r="BG747" s="307"/>
      <c r="BH747" s="307"/>
      <c r="BI747" s="307"/>
      <c r="BK747" s="300"/>
    </row>
    <row r="748" spans="1:63" s="298" customFormat="1" hidden="1" x14ac:dyDescent="0.25">
      <c r="A748" s="290"/>
      <c r="B748" s="291"/>
      <c r="C748" s="290"/>
      <c r="D748" s="290"/>
      <c r="E748" s="290"/>
      <c r="F748" s="290"/>
      <c r="G748" s="290"/>
      <c r="H748" s="302" t="s">
        <v>287</v>
      </c>
      <c r="I748" s="290"/>
      <c r="J748" s="290"/>
      <c r="K748" s="290"/>
      <c r="L748" s="290"/>
      <c r="M748" s="308"/>
      <c r="N748" s="290"/>
      <c r="O748" s="290"/>
      <c r="P748" s="290"/>
      <c r="Q748" s="290"/>
      <c r="R748" s="290"/>
      <c r="S748" s="290"/>
      <c r="T748" s="290"/>
      <c r="U748" s="294"/>
      <c r="V748" s="290"/>
      <c r="W748" s="290"/>
      <c r="X748" s="291"/>
      <c r="Y748" s="295"/>
      <c r="Z748" s="295"/>
      <c r="AA748" s="296"/>
      <c r="AB748" s="296"/>
      <c r="AC748" s="291"/>
      <c r="AD748" s="291"/>
      <c r="AE748" s="291"/>
      <c r="AF748" s="291"/>
      <c r="AG748" s="291"/>
      <c r="AH748" s="291"/>
      <c r="AI748" s="291"/>
      <c r="AJ748" s="291"/>
      <c r="AK748" s="290"/>
      <c r="AL748" s="290"/>
      <c r="AM748" s="290"/>
      <c r="AN748" s="290"/>
      <c r="AO748" s="290"/>
      <c r="AP748" s="290"/>
      <c r="AQ748" s="290"/>
      <c r="AR748" s="290"/>
      <c r="AS748" s="290"/>
      <c r="AT748" s="290"/>
      <c r="AU748" s="290"/>
      <c r="AV748" s="290"/>
      <c r="AW748" s="290"/>
      <c r="AX748" s="290"/>
      <c r="AY748" s="290"/>
      <c r="AZ748" s="290"/>
      <c r="BA748" s="290"/>
      <c r="BG748" s="307"/>
      <c r="BH748" s="307"/>
      <c r="BI748" s="307"/>
      <c r="BK748" s="300"/>
    </row>
    <row r="749" spans="1:63" s="298" customFormat="1" hidden="1" x14ac:dyDescent="0.25">
      <c r="A749" s="290"/>
      <c r="B749" s="291"/>
      <c r="C749" s="290"/>
      <c r="D749" s="290"/>
      <c r="E749" s="290"/>
      <c r="F749" s="290"/>
      <c r="G749" s="290"/>
      <c r="H749" s="302" t="s">
        <v>288</v>
      </c>
      <c r="I749" s="290"/>
      <c r="J749" s="290"/>
      <c r="K749" s="290"/>
      <c r="L749" s="290"/>
      <c r="M749" s="308"/>
      <c r="N749" s="290"/>
      <c r="O749" s="290"/>
      <c r="P749" s="290"/>
      <c r="Q749" s="290"/>
      <c r="R749" s="290"/>
      <c r="S749" s="290"/>
      <c r="T749" s="290"/>
      <c r="U749" s="294"/>
      <c r="V749" s="290"/>
      <c r="W749" s="290"/>
      <c r="X749" s="291"/>
      <c r="Y749" s="295"/>
      <c r="Z749" s="295"/>
      <c r="AA749" s="296"/>
      <c r="AB749" s="296"/>
      <c r="AC749" s="291"/>
      <c r="AD749" s="291"/>
      <c r="AE749" s="291"/>
      <c r="AF749" s="291"/>
      <c r="AG749" s="291"/>
      <c r="AH749" s="291"/>
      <c r="AI749" s="291"/>
      <c r="AJ749" s="291"/>
      <c r="AK749" s="290"/>
      <c r="AL749" s="290"/>
      <c r="AM749" s="290"/>
      <c r="AN749" s="290"/>
      <c r="AO749" s="290"/>
      <c r="AP749" s="290"/>
      <c r="AQ749" s="290"/>
      <c r="AR749" s="290"/>
      <c r="AS749" s="290"/>
      <c r="AT749" s="290"/>
      <c r="AU749" s="290"/>
      <c r="AV749" s="290"/>
      <c r="AW749" s="290"/>
      <c r="AX749" s="290"/>
      <c r="AY749" s="290"/>
      <c r="AZ749" s="290"/>
      <c r="BA749" s="290"/>
      <c r="BG749" s="307"/>
      <c r="BH749" s="307"/>
      <c r="BI749" s="307"/>
      <c r="BK749" s="300"/>
    </row>
    <row r="750" spans="1:63" s="298" customFormat="1" hidden="1" x14ac:dyDescent="0.25">
      <c r="A750" s="290"/>
      <c r="B750" s="291"/>
      <c r="C750" s="290"/>
      <c r="D750" s="290"/>
      <c r="E750" s="290"/>
      <c r="F750" s="290"/>
      <c r="G750" s="290"/>
      <c r="H750" s="302" t="s">
        <v>289</v>
      </c>
      <c r="I750" s="290"/>
      <c r="J750" s="290"/>
      <c r="K750" s="290"/>
      <c r="L750" s="290"/>
      <c r="M750" s="308"/>
      <c r="N750" s="290"/>
      <c r="O750" s="290"/>
      <c r="P750" s="290"/>
      <c r="Q750" s="290"/>
      <c r="R750" s="290"/>
      <c r="S750" s="290"/>
      <c r="T750" s="290"/>
      <c r="U750" s="294"/>
      <c r="V750" s="290"/>
      <c r="W750" s="290"/>
      <c r="X750" s="291"/>
      <c r="Y750" s="295"/>
      <c r="Z750" s="295"/>
      <c r="AA750" s="296"/>
      <c r="AB750" s="296"/>
      <c r="AC750" s="291"/>
      <c r="AD750" s="291"/>
      <c r="AE750" s="291"/>
      <c r="AF750" s="291"/>
      <c r="AG750" s="291"/>
      <c r="AH750" s="291"/>
      <c r="AI750" s="291"/>
      <c r="AJ750" s="291"/>
      <c r="AK750" s="290"/>
      <c r="AL750" s="290"/>
      <c r="AM750" s="290"/>
      <c r="AN750" s="290"/>
      <c r="AO750" s="290"/>
      <c r="AP750" s="290"/>
      <c r="AQ750" s="290"/>
      <c r="AR750" s="290"/>
      <c r="AS750" s="290"/>
      <c r="AT750" s="290"/>
      <c r="AU750" s="290"/>
      <c r="AV750" s="290"/>
      <c r="AW750" s="290"/>
      <c r="AX750" s="290"/>
      <c r="AY750" s="290"/>
      <c r="AZ750" s="290"/>
      <c r="BA750" s="290"/>
      <c r="BG750" s="307"/>
      <c r="BH750" s="307"/>
      <c r="BI750" s="307"/>
      <c r="BK750" s="300"/>
    </row>
    <row r="751" spans="1:63" s="298" customFormat="1" hidden="1" x14ac:dyDescent="0.25">
      <c r="A751" s="290"/>
      <c r="B751" s="291"/>
      <c r="C751" s="290"/>
      <c r="D751" s="290"/>
      <c r="E751" s="290"/>
      <c r="F751" s="290"/>
      <c r="G751" s="290"/>
      <c r="H751" s="302" t="s">
        <v>115</v>
      </c>
      <c r="I751" s="290"/>
      <c r="J751" s="290"/>
      <c r="K751" s="290"/>
      <c r="L751" s="290"/>
      <c r="M751" s="308"/>
      <c r="N751" s="290"/>
      <c r="O751" s="290"/>
      <c r="P751" s="290"/>
      <c r="Q751" s="290"/>
      <c r="R751" s="290"/>
      <c r="S751" s="290"/>
      <c r="T751" s="290"/>
      <c r="U751" s="294"/>
      <c r="V751" s="290"/>
      <c r="W751" s="290"/>
      <c r="X751" s="291"/>
      <c r="Y751" s="295"/>
      <c r="Z751" s="295"/>
      <c r="AA751" s="296"/>
      <c r="AB751" s="296"/>
      <c r="AC751" s="291"/>
      <c r="AD751" s="291"/>
      <c r="AE751" s="291"/>
      <c r="AF751" s="291"/>
      <c r="AG751" s="291"/>
      <c r="AH751" s="291"/>
      <c r="AI751" s="291"/>
      <c r="AJ751" s="291"/>
      <c r="AK751" s="290"/>
      <c r="AL751" s="290"/>
      <c r="AM751" s="290"/>
      <c r="AN751" s="290"/>
      <c r="AO751" s="290"/>
      <c r="AP751" s="290"/>
      <c r="AQ751" s="290"/>
      <c r="AR751" s="290"/>
      <c r="AS751" s="290"/>
      <c r="AT751" s="290"/>
      <c r="AU751" s="290"/>
      <c r="AV751" s="290"/>
      <c r="AW751" s="290"/>
      <c r="AX751" s="290"/>
      <c r="AY751" s="290"/>
      <c r="AZ751" s="290"/>
      <c r="BA751" s="290"/>
      <c r="BG751" s="307"/>
      <c r="BH751" s="307"/>
      <c r="BI751" s="307"/>
      <c r="BK751" s="300"/>
    </row>
    <row r="752" spans="1:63" s="298" customFormat="1" ht="14.25" hidden="1" customHeight="1" x14ac:dyDescent="0.25">
      <c r="A752" s="290"/>
      <c r="B752" s="291"/>
      <c r="C752" s="290"/>
      <c r="D752" s="290"/>
      <c r="E752" s="290"/>
      <c r="F752" s="290"/>
      <c r="G752" s="290"/>
      <c r="H752" s="302" t="s">
        <v>290</v>
      </c>
      <c r="I752" s="290"/>
      <c r="J752" s="290"/>
      <c r="K752" s="290"/>
      <c r="L752" s="290"/>
      <c r="M752" s="308"/>
      <c r="N752" s="290"/>
      <c r="O752" s="290"/>
      <c r="P752" s="290"/>
      <c r="Q752" s="290"/>
      <c r="R752" s="290"/>
      <c r="S752" s="290"/>
      <c r="T752" s="290"/>
      <c r="U752" s="294"/>
      <c r="V752" s="290"/>
      <c r="W752" s="290"/>
      <c r="X752" s="291"/>
      <c r="Y752" s="295"/>
      <c r="Z752" s="295"/>
      <c r="AA752" s="296"/>
      <c r="AB752" s="296"/>
      <c r="AC752" s="291"/>
      <c r="AD752" s="291"/>
      <c r="AE752" s="291"/>
      <c r="AF752" s="291"/>
      <c r="AG752" s="291"/>
      <c r="AH752" s="291"/>
      <c r="AI752" s="291"/>
      <c r="AJ752" s="291"/>
      <c r="AK752" s="290"/>
      <c r="AL752" s="290"/>
      <c r="AM752" s="290"/>
      <c r="AN752" s="290"/>
      <c r="AO752" s="290"/>
      <c r="AP752" s="290"/>
      <c r="AQ752" s="290"/>
      <c r="AR752" s="290"/>
      <c r="AS752" s="290"/>
      <c r="AT752" s="290"/>
      <c r="AU752" s="290"/>
      <c r="AV752" s="290"/>
      <c r="AW752" s="290"/>
      <c r="AX752" s="290"/>
      <c r="AY752" s="290"/>
      <c r="AZ752" s="290"/>
      <c r="BA752" s="290"/>
      <c r="BG752" s="307"/>
      <c r="BH752" s="307"/>
      <c r="BI752" s="307"/>
      <c r="BK752" s="300"/>
    </row>
    <row r="753" spans="1:63" s="298" customFormat="1" ht="14.25" hidden="1" customHeight="1" x14ac:dyDescent="0.15">
      <c r="A753" s="290"/>
      <c r="B753" s="291"/>
      <c r="C753" s="290"/>
      <c r="D753" s="290"/>
      <c r="E753" s="290"/>
      <c r="F753" s="290"/>
      <c r="G753" s="290"/>
      <c r="H753" s="312" t="s">
        <v>246</v>
      </c>
      <c r="I753" s="290"/>
      <c r="J753" s="290"/>
      <c r="K753" s="290"/>
      <c r="L753" s="290"/>
      <c r="M753" s="308"/>
      <c r="N753" s="290"/>
      <c r="O753" s="290"/>
      <c r="P753" s="290"/>
      <c r="Q753" s="290"/>
      <c r="R753" s="290"/>
      <c r="S753" s="290"/>
      <c r="T753" s="290"/>
      <c r="U753" s="294"/>
      <c r="V753" s="290"/>
      <c r="W753" s="290"/>
      <c r="X753" s="291"/>
      <c r="Y753" s="295"/>
      <c r="Z753" s="295"/>
      <c r="AA753" s="296"/>
      <c r="AB753" s="296"/>
      <c r="AC753" s="291"/>
      <c r="AD753" s="291"/>
      <c r="AE753" s="291"/>
      <c r="AF753" s="291"/>
      <c r="AG753" s="291"/>
      <c r="AH753" s="291"/>
      <c r="AI753" s="291"/>
      <c r="AJ753" s="291"/>
      <c r="AK753" s="290"/>
      <c r="AL753" s="290"/>
      <c r="AM753" s="290"/>
      <c r="AN753" s="290"/>
      <c r="AO753" s="290"/>
      <c r="AP753" s="290"/>
      <c r="AQ753" s="290"/>
      <c r="AR753" s="290"/>
      <c r="AS753" s="290"/>
      <c r="AT753" s="290"/>
      <c r="AU753" s="290"/>
      <c r="AV753" s="290"/>
      <c r="AW753" s="290"/>
      <c r="AX753" s="290"/>
      <c r="AY753" s="290"/>
      <c r="AZ753" s="290"/>
      <c r="BA753" s="290"/>
      <c r="BG753" s="307"/>
      <c r="BH753" s="307"/>
      <c r="BI753" s="307"/>
      <c r="BK753" s="300"/>
    </row>
    <row r="754" spans="1:63" s="298" customFormat="1" hidden="1" x14ac:dyDescent="0.25">
      <c r="A754" s="290"/>
      <c r="B754" s="291"/>
      <c r="C754" s="290"/>
      <c r="D754" s="290"/>
      <c r="E754" s="290"/>
      <c r="F754" s="290"/>
      <c r="G754" s="290"/>
      <c r="H754" s="302" t="s">
        <v>291</v>
      </c>
      <c r="I754" s="290"/>
      <c r="J754" s="290"/>
      <c r="K754" s="290"/>
      <c r="L754" s="290"/>
      <c r="M754" s="308"/>
      <c r="N754" s="290"/>
      <c r="O754" s="290"/>
      <c r="P754" s="290"/>
      <c r="Q754" s="290"/>
      <c r="R754" s="290"/>
      <c r="S754" s="290"/>
      <c r="T754" s="290"/>
      <c r="U754" s="294"/>
      <c r="V754" s="290"/>
      <c r="W754" s="290"/>
      <c r="X754" s="291"/>
      <c r="Y754" s="295"/>
      <c r="Z754" s="295"/>
      <c r="AA754" s="296"/>
      <c r="AB754" s="296"/>
      <c r="AC754" s="291"/>
      <c r="AD754" s="291"/>
      <c r="AE754" s="291"/>
      <c r="AF754" s="291"/>
      <c r="AG754" s="291"/>
      <c r="AH754" s="291"/>
      <c r="AI754" s="291"/>
      <c r="AJ754" s="291"/>
      <c r="AK754" s="290"/>
      <c r="AL754" s="290"/>
      <c r="AM754" s="290"/>
      <c r="AN754" s="290"/>
      <c r="AO754" s="290"/>
      <c r="AP754" s="290"/>
      <c r="AQ754" s="290"/>
      <c r="AR754" s="290"/>
      <c r="AS754" s="290"/>
      <c r="AT754" s="290"/>
      <c r="AU754" s="290"/>
      <c r="AV754" s="290"/>
      <c r="AW754" s="290"/>
      <c r="AX754" s="290"/>
      <c r="AY754" s="290"/>
      <c r="AZ754" s="290"/>
      <c r="BA754" s="290"/>
      <c r="BG754" s="307"/>
      <c r="BH754" s="307"/>
      <c r="BI754" s="307"/>
      <c r="BK754" s="300"/>
    </row>
    <row r="755" spans="1:63" s="298" customFormat="1" hidden="1" x14ac:dyDescent="0.25">
      <c r="A755" s="290"/>
      <c r="B755" s="291"/>
      <c r="C755" s="290"/>
      <c r="D755" s="290"/>
      <c r="E755" s="290"/>
      <c r="F755" s="290"/>
      <c r="G755" s="290"/>
      <c r="H755" s="302" t="s">
        <v>292</v>
      </c>
      <c r="I755" s="290"/>
      <c r="J755" s="290"/>
      <c r="K755" s="290"/>
      <c r="L755" s="290"/>
      <c r="M755" s="308"/>
      <c r="N755" s="290"/>
      <c r="O755" s="290"/>
      <c r="P755" s="290"/>
      <c r="Q755" s="290"/>
      <c r="R755" s="290"/>
      <c r="S755" s="290"/>
      <c r="T755" s="290"/>
      <c r="U755" s="294"/>
      <c r="V755" s="290"/>
      <c r="W755" s="290"/>
      <c r="X755" s="291"/>
      <c r="Y755" s="295"/>
      <c r="Z755" s="295"/>
      <c r="AA755" s="296"/>
      <c r="AB755" s="296"/>
      <c r="AC755" s="291"/>
      <c r="AD755" s="291"/>
      <c r="AE755" s="291"/>
      <c r="AF755" s="291"/>
      <c r="AG755" s="291"/>
      <c r="AH755" s="291"/>
      <c r="AI755" s="291"/>
      <c r="AJ755" s="291"/>
      <c r="AK755" s="290"/>
      <c r="AL755" s="290"/>
      <c r="AM755" s="290"/>
      <c r="AN755" s="290"/>
      <c r="AO755" s="290"/>
      <c r="AP755" s="290"/>
      <c r="AQ755" s="290"/>
      <c r="AR755" s="290"/>
      <c r="AS755" s="290"/>
      <c r="AT755" s="290"/>
      <c r="AU755" s="290"/>
      <c r="AV755" s="290"/>
      <c r="AW755" s="290"/>
      <c r="AX755" s="290"/>
      <c r="AY755" s="290"/>
      <c r="AZ755" s="290"/>
      <c r="BA755" s="290"/>
      <c r="BG755" s="307"/>
      <c r="BH755" s="307"/>
      <c r="BI755" s="307"/>
      <c r="BK755" s="300"/>
    </row>
    <row r="756" spans="1:63" s="298" customFormat="1" hidden="1" x14ac:dyDescent="0.25">
      <c r="A756" s="290"/>
      <c r="B756" s="291"/>
      <c r="C756" s="290"/>
      <c r="D756" s="290"/>
      <c r="E756" s="290"/>
      <c r="F756" s="290"/>
      <c r="G756" s="290"/>
      <c r="H756" s="302" t="s">
        <v>293</v>
      </c>
      <c r="I756" s="290"/>
      <c r="J756" s="290"/>
      <c r="K756" s="290"/>
      <c r="L756" s="290"/>
      <c r="M756" s="308"/>
      <c r="N756" s="290"/>
      <c r="O756" s="290"/>
      <c r="P756" s="290"/>
      <c r="Q756" s="290"/>
      <c r="R756" s="290"/>
      <c r="S756" s="290"/>
      <c r="T756" s="290"/>
      <c r="U756" s="294"/>
      <c r="V756" s="290"/>
      <c r="W756" s="290"/>
      <c r="X756" s="291"/>
      <c r="Y756" s="295"/>
      <c r="Z756" s="295"/>
      <c r="AA756" s="296"/>
      <c r="AB756" s="296"/>
      <c r="AC756" s="291"/>
      <c r="AD756" s="291"/>
      <c r="AE756" s="291"/>
      <c r="AF756" s="291"/>
      <c r="AG756" s="291"/>
      <c r="AH756" s="291"/>
      <c r="AI756" s="291"/>
      <c r="AJ756" s="291"/>
      <c r="AK756" s="290"/>
      <c r="AL756" s="290"/>
      <c r="AM756" s="290"/>
      <c r="AN756" s="290"/>
      <c r="AO756" s="290"/>
      <c r="AP756" s="290"/>
      <c r="AQ756" s="290"/>
      <c r="AR756" s="290"/>
      <c r="AS756" s="290"/>
      <c r="AT756" s="290"/>
      <c r="AU756" s="290"/>
      <c r="AV756" s="290"/>
      <c r="AW756" s="290"/>
      <c r="AX756" s="290"/>
      <c r="AY756" s="290"/>
      <c r="AZ756" s="290"/>
      <c r="BA756" s="290"/>
      <c r="BG756" s="307"/>
      <c r="BH756" s="307"/>
      <c r="BI756" s="307"/>
      <c r="BK756" s="300"/>
    </row>
    <row r="757" spans="1:63" s="298" customFormat="1" hidden="1" x14ac:dyDescent="0.25">
      <c r="A757" s="290"/>
      <c r="B757" s="291"/>
      <c r="C757" s="290"/>
      <c r="D757" s="290"/>
      <c r="E757" s="290"/>
      <c r="F757" s="290"/>
      <c r="G757" s="290"/>
      <c r="H757" s="302" t="s">
        <v>133</v>
      </c>
      <c r="I757" s="290"/>
      <c r="J757" s="290"/>
      <c r="K757" s="290"/>
      <c r="L757" s="290"/>
      <c r="M757" s="308"/>
      <c r="N757" s="290"/>
      <c r="O757" s="290"/>
      <c r="P757" s="290"/>
      <c r="Q757" s="290"/>
      <c r="R757" s="290"/>
      <c r="S757" s="290"/>
      <c r="T757" s="290"/>
      <c r="U757" s="294"/>
      <c r="V757" s="290"/>
      <c r="W757" s="290"/>
      <c r="X757" s="291"/>
      <c r="Y757" s="295"/>
      <c r="Z757" s="295"/>
      <c r="AA757" s="296"/>
      <c r="AB757" s="296"/>
      <c r="AC757" s="291"/>
      <c r="AD757" s="291"/>
      <c r="AE757" s="291"/>
      <c r="AF757" s="291"/>
      <c r="AG757" s="291"/>
      <c r="AH757" s="291"/>
      <c r="AI757" s="291"/>
      <c r="AJ757" s="291"/>
      <c r="AK757" s="290"/>
      <c r="AL757" s="290"/>
      <c r="AM757" s="290"/>
      <c r="AN757" s="290"/>
      <c r="AO757" s="290"/>
      <c r="AP757" s="290"/>
      <c r="AQ757" s="290"/>
      <c r="AR757" s="290"/>
      <c r="AS757" s="290"/>
      <c r="AT757" s="290"/>
      <c r="AU757" s="290"/>
      <c r="AV757" s="290"/>
      <c r="AW757" s="290"/>
      <c r="AX757" s="290"/>
      <c r="AY757" s="290"/>
      <c r="AZ757" s="290"/>
      <c r="BA757" s="290"/>
      <c r="BG757" s="307"/>
      <c r="BH757" s="307"/>
      <c r="BI757" s="307"/>
      <c r="BK757" s="300"/>
    </row>
    <row r="758" spans="1:63" s="298" customFormat="1" hidden="1" x14ac:dyDescent="0.25">
      <c r="A758" s="290"/>
      <c r="B758" s="291"/>
      <c r="C758" s="290"/>
      <c r="D758" s="290"/>
      <c r="E758" s="290"/>
      <c r="F758" s="290"/>
      <c r="G758" s="290"/>
      <c r="H758" s="302" t="s">
        <v>294</v>
      </c>
      <c r="I758" s="290"/>
      <c r="J758" s="290"/>
      <c r="K758" s="290"/>
      <c r="L758" s="290"/>
      <c r="M758" s="308"/>
      <c r="N758" s="290"/>
      <c r="O758" s="290"/>
      <c r="P758" s="290"/>
      <c r="Q758" s="290"/>
      <c r="R758" s="290"/>
      <c r="S758" s="290"/>
      <c r="T758" s="290"/>
      <c r="U758" s="294"/>
      <c r="V758" s="290"/>
      <c r="W758" s="290"/>
      <c r="X758" s="291"/>
      <c r="Y758" s="295"/>
      <c r="Z758" s="295"/>
      <c r="AA758" s="296"/>
      <c r="AB758" s="296"/>
      <c r="AC758" s="291"/>
      <c r="AD758" s="291"/>
      <c r="AE758" s="291"/>
      <c r="AF758" s="291"/>
      <c r="AG758" s="291"/>
      <c r="AH758" s="291"/>
      <c r="AI758" s="291"/>
      <c r="AJ758" s="291"/>
      <c r="AK758" s="290"/>
      <c r="AL758" s="290"/>
      <c r="AM758" s="290"/>
      <c r="AN758" s="290"/>
      <c r="AO758" s="290"/>
      <c r="AP758" s="290"/>
      <c r="AQ758" s="290"/>
      <c r="AR758" s="290"/>
      <c r="AS758" s="290"/>
      <c r="AT758" s="290"/>
      <c r="AU758" s="290"/>
      <c r="AV758" s="290"/>
      <c r="AW758" s="290"/>
      <c r="AX758" s="290"/>
      <c r="AY758" s="290"/>
      <c r="AZ758" s="290"/>
      <c r="BA758" s="290"/>
      <c r="BG758" s="307"/>
      <c r="BH758" s="307"/>
      <c r="BI758" s="307"/>
      <c r="BK758" s="300"/>
    </row>
    <row r="759" spans="1:63" s="298" customFormat="1" hidden="1" x14ac:dyDescent="0.25">
      <c r="A759" s="290"/>
      <c r="B759" s="291"/>
      <c r="C759" s="290"/>
      <c r="D759" s="290"/>
      <c r="E759" s="290"/>
      <c r="F759" s="290"/>
      <c r="G759" s="290"/>
      <c r="H759" s="302" t="s">
        <v>189</v>
      </c>
      <c r="I759" s="290"/>
      <c r="J759" s="290"/>
      <c r="K759" s="290"/>
      <c r="L759" s="290"/>
      <c r="M759" s="308"/>
      <c r="N759" s="290"/>
      <c r="O759" s="290"/>
      <c r="P759" s="290"/>
      <c r="Q759" s="290"/>
      <c r="R759" s="290"/>
      <c r="S759" s="290"/>
      <c r="T759" s="290"/>
      <c r="U759" s="294"/>
      <c r="V759" s="290"/>
      <c r="W759" s="290"/>
      <c r="X759" s="291"/>
      <c r="Y759" s="295"/>
      <c r="Z759" s="295"/>
      <c r="AA759" s="296"/>
      <c r="AB759" s="296"/>
      <c r="AC759" s="291"/>
      <c r="AD759" s="291"/>
      <c r="AE759" s="291"/>
      <c r="AF759" s="291"/>
      <c r="AG759" s="291"/>
      <c r="AH759" s="291"/>
      <c r="AI759" s="291"/>
      <c r="AJ759" s="291"/>
      <c r="AK759" s="290"/>
      <c r="AL759" s="290"/>
      <c r="AM759" s="290"/>
      <c r="AN759" s="290"/>
      <c r="AO759" s="290"/>
      <c r="AP759" s="290"/>
      <c r="AQ759" s="290"/>
      <c r="AR759" s="290"/>
      <c r="AS759" s="290"/>
      <c r="AT759" s="290"/>
      <c r="AU759" s="290"/>
      <c r="AV759" s="290"/>
      <c r="AW759" s="290"/>
      <c r="AX759" s="290"/>
      <c r="AY759" s="290"/>
      <c r="AZ759" s="290"/>
      <c r="BA759" s="290"/>
      <c r="BG759" s="307"/>
      <c r="BH759" s="307"/>
      <c r="BI759" s="307"/>
      <c r="BK759" s="300"/>
    </row>
    <row r="760" spans="1:63" s="298" customFormat="1" hidden="1" x14ac:dyDescent="0.25">
      <c r="A760" s="290"/>
      <c r="B760" s="291"/>
      <c r="C760" s="290"/>
      <c r="D760" s="290"/>
      <c r="E760" s="290"/>
      <c r="F760" s="290"/>
      <c r="G760" s="290"/>
      <c r="H760" s="302" t="s">
        <v>295</v>
      </c>
      <c r="I760" s="290"/>
      <c r="J760" s="290"/>
      <c r="K760" s="290"/>
      <c r="L760" s="290"/>
      <c r="M760" s="308"/>
      <c r="N760" s="290"/>
      <c r="O760" s="290"/>
      <c r="P760" s="290"/>
      <c r="Q760" s="290"/>
      <c r="R760" s="290"/>
      <c r="S760" s="290"/>
      <c r="T760" s="290"/>
      <c r="U760" s="294"/>
      <c r="V760" s="290"/>
      <c r="W760" s="290"/>
      <c r="X760" s="291"/>
      <c r="Y760" s="295"/>
      <c r="Z760" s="295"/>
      <c r="AA760" s="296"/>
      <c r="AB760" s="296"/>
      <c r="AC760" s="291"/>
      <c r="AD760" s="291"/>
      <c r="AE760" s="291"/>
      <c r="AF760" s="291"/>
      <c r="AG760" s="291"/>
      <c r="AH760" s="291"/>
      <c r="AI760" s="291"/>
      <c r="AJ760" s="291"/>
      <c r="AK760" s="290"/>
      <c r="AL760" s="290"/>
      <c r="AM760" s="290"/>
      <c r="AN760" s="290"/>
      <c r="AO760" s="290"/>
      <c r="AP760" s="290"/>
      <c r="AQ760" s="290"/>
      <c r="AR760" s="290"/>
      <c r="AS760" s="290"/>
      <c r="AT760" s="290"/>
      <c r="AU760" s="290"/>
      <c r="AV760" s="290"/>
      <c r="AW760" s="290"/>
      <c r="AX760" s="290"/>
      <c r="AY760" s="290"/>
      <c r="AZ760" s="290"/>
      <c r="BA760" s="290"/>
      <c r="BG760" s="307"/>
      <c r="BH760" s="307"/>
      <c r="BI760" s="307"/>
      <c r="BK760" s="300"/>
    </row>
    <row r="761" spans="1:63" s="298" customFormat="1" hidden="1" x14ac:dyDescent="0.25">
      <c r="A761" s="290"/>
      <c r="B761" s="291"/>
      <c r="C761" s="290"/>
      <c r="D761" s="290"/>
      <c r="E761" s="290"/>
      <c r="F761" s="290"/>
      <c r="G761" s="290"/>
      <c r="H761" s="302" t="s">
        <v>296</v>
      </c>
      <c r="I761" s="290"/>
      <c r="J761" s="290"/>
      <c r="K761" s="290"/>
      <c r="L761" s="290"/>
      <c r="M761" s="308"/>
      <c r="N761" s="290"/>
      <c r="O761" s="290"/>
      <c r="P761" s="290"/>
      <c r="Q761" s="290"/>
      <c r="R761" s="290"/>
      <c r="S761" s="290"/>
      <c r="T761" s="290"/>
      <c r="U761" s="294"/>
      <c r="V761" s="290"/>
      <c r="W761" s="290"/>
      <c r="X761" s="291"/>
      <c r="Y761" s="295"/>
      <c r="Z761" s="295"/>
      <c r="AA761" s="296"/>
      <c r="AB761" s="296"/>
      <c r="AC761" s="291"/>
      <c r="AD761" s="291"/>
      <c r="AE761" s="291"/>
      <c r="AF761" s="291"/>
      <c r="AG761" s="291"/>
      <c r="AH761" s="291"/>
      <c r="AI761" s="291"/>
      <c r="AJ761" s="291"/>
      <c r="AK761" s="290"/>
      <c r="AL761" s="290"/>
      <c r="AM761" s="290"/>
      <c r="AN761" s="290"/>
      <c r="AO761" s="290"/>
      <c r="AP761" s="290"/>
      <c r="AQ761" s="290"/>
      <c r="AR761" s="290"/>
      <c r="AS761" s="290"/>
      <c r="AT761" s="290"/>
      <c r="AU761" s="290"/>
      <c r="AV761" s="290"/>
      <c r="AW761" s="290"/>
      <c r="AX761" s="290"/>
      <c r="AY761" s="290"/>
      <c r="AZ761" s="290"/>
      <c r="BA761" s="290"/>
      <c r="BG761" s="307"/>
      <c r="BH761" s="307"/>
      <c r="BI761" s="307"/>
      <c r="BK761" s="300"/>
    </row>
    <row r="762" spans="1:63" s="298" customFormat="1" hidden="1" x14ac:dyDescent="0.25">
      <c r="A762" s="290"/>
      <c r="B762" s="291"/>
      <c r="C762" s="290"/>
      <c r="D762" s="290"/>
      <c r="E762" s="290"/>
      <c r="F762" s="290"/>
      <c r="G762" s="290"/>
      <c r="H762" s="302" t="s">
        <v>297</v>
      </c>
      <c r="I762" s="290"/>
      <c r="J762" s="290"/>
      <c r="K762" s="290"/>
      <c r="L762" s="290"/>
      <c r="M762" s="308"/>
      <c r="N762" s="290"/>
      <c r="O762" s="290"/>
      <c r="P762" s="290"/>
      <c r="Q762" s="290"/>
      <c r="R762" s="290"/>
      <c r="S762" s="290"/>
      <c r="T762" s="290"/>
      <c r="U762" s="294"/>
      <c r="V762" s="290"/>
      <c r="W762" s="290"/>
      <c r="X762" s="291"/>
      <c r="Y762" s="295"/>
      <c r="Z762" s="295"/>
      <c r="AA762" s="296"/>
      <c r="AB762" s="296"/>
      <c r="AC762" s="291"/>
      <c r="AD762" s="291"/>
      <c r="AE762" s="291"/>
      <c r="AF762" s="291"/>
      <c r="AG762" s="291"/>
      <c r="AH762" s="291"/>
      <c r="AI762" s="291"/>
      <c r="AJ762" s="291"/>
      <c r="AK762" s="290"/>
      <c r="AL762" s="290"/>
      <c r="AM762" s="290"/>
      <c r="AN762" s="290"/>
      <c r="AO762" s="290"/>
      <c r="AP762" s="290"/>
      <c r="AQ762" s="290"/>
      <c r="AR762" s="290"/>
      <c r="AS762" s="290"/>
      <c r="AT762" s="290"/>
      <c r="AU762" s="290"/>
      <c r="AV762" s="290"/>
      <c r="AW762" s="290"/>
      <c r="AX762" s="290"/>
      <c r="AY762" s="290"/>
      <c r="AZ762" s="290"/>
      <c r="BA762" s="290"/>
      <c r="BG762" s="307"/>
      <c r="BH762" s="307"/>
      <c r="BI762" s="307"/>
      <c r="BK762" s="300"/>
    </row>
    <row r="763" spans="1:63" s="298" customFormat="1" hidden="1" x14ac:dyDescent="0.25">
      <c r="A763" s="290"/>
      <c r="B763" s="291"/>
      <c r="C763" s="290"/>
      <c r="D763" s="290"/>
      <c r="E763" s="290"/>
      <c r="F763" s="290"/>
      <c r="G763" s="290"/>
      <c r="H763" s="302" t="s">
        <v>298</v>
      </c>
      <c r="I763" s="290"/>
      <c r="J763" s="290"/>
      <c r="K763" s="290"/>
      <c r="L763" s="290"/>
      <c r="M763" s="308"/>
      <c r="N763" s="290"/>
      <c r="O763" s="290"/>
      <c r="P763" s="290"/>
      <c r="Q763" s="290"/>
      <c r="R763" s="290"/>
      <c r="S763" s="290"/>
      <c r="T763" s="290"/>
      <c r="U763" s="294"/>
      <c r="V763" s="290"/>
      <c r="W763" s="290"/>
      <c r="X763" s="291"/>
      <c r="Y763" s="295"/>
      <c r="Z763" s="295"/>
      <c r="AA763" s="296"/>
      <c r="AB763" s="296"/>
      <c r="AC763" s="291"/>
      <c r="AD763" s="291"/>
      <c r="AE763" s="291"/>
      <c r="AF763" s="291"/>
      <c r="AG763" s="291"/>
      <c r="AH763" s="291"/>
      <c r="AI763" s="291"/>
      <c r="AJ763" s="291"/>
      <c r="AK763" s="290"/>
      <c r="AL763" s="290"/>
      <c r="AM763" s="290"/>
      <c r="AN763" s="290"/>
      <c r="AO763" s="290"/>
      <c r="AP763" s="290"/>
      <c r="AQ763" s="290"/>
      <c r="AR763" s="290"/>
      <c r="AS763" s="290"/>
      <c r="AT763" s="290"/>
      <c r="AU763" s="290"/>
      <c r="AV763" s="290"/>
      <c r="AW763" s="290"/>
      <c r="AX763" s="290"/>
      <c r="AY763" s="290"/>
      <c r="AZ763" s="290"/>
      <c r="BA763" s="290"/>
      <c r="BG763" s="307"/>
      <c r="BH763" s="307"/>
      <c r="BI763" s="307"/>
      <c r="BK763" s="300"/>
    </row>
    <row r="764" spans="1:63" s="298" customFormat="1" hidden="1" x14ac:dyDescent="0.25">
      <c r="A764" s="290"/>
      <c r="B764" s="291"/>
      <c r="C764" s="290"/>
      <c r="D764" s="290"/>
      <c r="E764" s="290"/>
      <c r="F764" s="290"/>
      <c r="G764" s="290"/>
      <c r="H764" s="302" t="s">
        <v>299</v>
      </c>
      <c r="I764" s="290"/>
      <c r="J764" s="290"/>
      <c r="K764" s="290"/>
      <c r="L764" s="290"/>
      <c r="M764" s="308"/>
      <c r="N764" s="290"/>
      <c r="O764" s="290"/>
      <c r="P764" s="290"/>
      <c r="Q764" s="290"/>
      <c r="R764" s="290"/>
      <c r="S764" s="290"/>
      <c r="T764" s="290"/>
      <c r="U764" s="294"/>
      <c r="V764" s="290"/>
      <c r="W764" s="290"/>
      <c r="X764" s="291"/>
      <c r="Y764" s="295"/>
      <c r="Z764" s="295"/>
      <c r="AA764" s="296"/>
      <c r="AB764" s="296"/>
      <c r="AC764" s="291"/>
      <c r="AD764" s="291"/>
      <c r="AE764" s="291"/>
      <c r="AF764" s="291"/>
      <c r="AG764" s="291"/>
      <c r="AH764" s="291"/>
      <c r="AI764" s="291"/>
      <c r="AJ764" s="291"/>
      <c r="AK764" s="290"/>
      <c r="AL764" s="290"/>
      <c r="AM764" s="290"/>
      <c r="AN764" s="290"/>
      <c r="AO764" s="290"/>
      <c r="AP764" s="290"/>
      <c r="AQ764" s="290"/>
      <c r="AR764" s="290"/>
      <c r="AS764" s="290"/>
      <c r="AT764" s="290"/>
      <c r="AU764" s="290"/>
      <c r="AV764" s="290"/>
      <c r="AW764" s="290"/>
      <c r="AX764" s="290"/>
      <c r="AY764" s="290"/>
      <c r="AZ764" s="290"/>
      <c r="BA764" s="290"/>
      <c r="BG764" s="307"/>
      <c r="BH764" s="307"/>
      <c r="BI764" s="307"/>
      <c r="BK764" s="300"/>
    </row>
    <row r="765" spans="1:63" s="298" customFormat="1" hidden="1" x14ac:dyDescent="0.25">
      <c r="A765" s="290"/>
      <c r="B765" s="291"/>
      <c r="C765" s="290"/>
      <c r="D765" s="290"/>
      <c r="E765" s="290"/>
      <c r="F765" s="290"/>
      <c r="G765" s="290"/>
      <c r="H765" s="302" t="s">
        <v>300</v>
      </c>
      <c r="I765" s="290"/>
      <c r="J765" s="290"/>
      <c r="K765" s="290"/>
      <c r="L765" s="290"/>
      <c r="M765" s="308"/>
      <c r="N765" s="290"/>
      <c r="O765" s="290"/>
      <c r="P765" s="290"/>
      <c r="Q765" s="290"/>
      <c r="R765" s="290"/>
      <c r="S765" s="290"/>
      <c r="T765" s="290"/>
      <c r="U765" s="294"/>
      <c r="V765" s="290"/>
      <c r="W765" s="290"/>
      <c r="X765" s="291"/>
      <c r="Y765" s="295"/>
      <c r="Z765" s="295"/>
      <c r="AA765" s="296"/>
      <c r="AB765" s="296"/>
      <c r="AC765" s="291"/>
      <c r="AD765" s="291"/>
      <c r="AE765" s="291"/>
      <c r="AF765" s="291"/>
      <c r="AG765" s="291"/>
      <c r="AH765" s="291"/>
      <c r="AI765" s="291"/>
      <c r="AJ765" s="291"/>
      <c r="AK765" s="290"/>
      <c r="AL765" s="290"/>
      <c r="AM765" s="290"/>
      <c r="AN765" s="290"/>
      <c r="AO765" s="290"/>
      <c r="AP765" s="290"/>
      <c r="AQ765" s="290"/>
      <c r="AR765" s="290"/>
      <c r="AS765" s="290"/>
      <c r="AT765" s="290"/>
      <c r="AU765" s="290"/>
      <c r="AV765" s="290"/>
      <c r="AW765" s="290"/>
      <c r="AX765" s="290"/>
      <c r="AY765" s="290"/>
      <c r="AZ765" s="290"/>
      <c r="BA765" s="290"/>
      <c r="BG765" s="307"/>
      <c r="BH765" s="307"/>
      <c r="BI765" s="307"/>
      <c r="BK765" s="300"/>
    </row>
    <row r="766" spans="1:63" s="298" customFormat="1" hidden="1" x14ac:dyDescent="0.25">
      <c r="A766" s="290"/>
      <c r="B766" s="291"/>
      <c r="C766" s="290"/>
      <c r="D766" s="290"/>
      <c r="E766" s="290"/>
      <c r="F766" s="290"/>
      <c r="G766" s="290"/>
      <c r="H766" s="302" t="s">
        <v>207</v>
      </c>
      <c r="I766" s="290"/>
      <c r="J766" s="290"/>
      <c r="K766" s="290"/>
      <c r="L766" s="290"/>
      <c r="M766" s="308"/>
      <c r="N766" s="290"/>
      <c r="O766" s="290"/>
      <c r="P766" s="290"/>
      <c r="Q766" s="290"/>
      <c r="R766" s="290"/>
      <c r="S766" s="290"/>
      <c r="T766" s="290"/>
      <c r="U766" s="294"/>
      <c r="V766" s="290"/>
      <c r="W766" s="290"/>
      <c r="X766" s="291"/>
      <c r="Y766" s="295"/>
      <c r="Z766" s="295"/>
      <c r="AA766" s="296"/>
      <c r="AB766" s="296"/>
      <c r="AC766" s="291"/>
      <c r="AD766" s="291"/>
      <c r="AE766" s="291"/>
      <c r="AF766" s="291"/>
      <c r="AG766" s="291"/>
      <c r="AH766" s="291"/>
      <c r="AI766" s="291"/>
      <c r="AJ766" s="291"/>
      <c r="AK766" s="290"/>
      <c r="AL766" s="290"/>
      <c r="AM766" s="290"/>
      <c r="AN766" s="290"/>
      <c r="AO766" s="290"/>
      <c r="AP766" s="290"/>
      <c r="AQ766" s="290"/>
      <c r="AR766" s="290"/>
      <c r="AS766" s="290"/>
      <c r="AT766" s="290"/>
      <c r="AU766" s="290"/>
      <c r="AV766" s="290"/>
      <c r="AW766" s="290"/>
      <c r="AX766" s="290"/>
      <c r="AY766" s="290"/>
      <c r="AZ766" s="290"/>
      <c r="BA766" s="290"/>
      <c r="BG766" s="307"/>
      <c r="BH766" s="307"/>
      <c r="BI766" s="307"/>
      <c r="BK766" s="300"/>
    </row>
    <row r="767" spans="1:63" s="298" customFormat="1" hidden="1" x14ac:dyDescent="0.25">
      <c r="A767" s="290"/>
      <c r="B767" s="291"/>
      <c r="C767" s="290"/>
      <c r="D767" s="290"/>
      <c r="E767" s="290"/>
      <c r="F767" s="290"/>
      <c r="G767" s="290"/>
      <c r="H767" s="302" t="s">
        <v>301</v>
      </c>
      <c r="I767" s="290"/>
      <c r="J767" s="290"/>
      <c r="K767" s="290"/>
      <c r="L767" s="290"/>
      <c r="M767" s="308"/>
      <c r="N767" s="290"/>
      <c r="O767" s="290"/>
      <c r="P767" s="290"/>
      <c r="Q767" s="290"/>
      <c r="R767" s="290"/>
      <c r="S767" s="290"/>
      <c r="T767" s="290"/>
      <c r="U767" s="294"/>
      <c r="V767" s="290"/>
      <c r="W767" s="290"/>
      <c r="X767" s="291"/>
      <c r="Y767" s="295"/>
      <c r="Z767" s="295"/>
      <c r="AA767" s="296"/>
      <c r="AB767" s="296"/>
      <c r="AC767" s="291"/>
      <c r="AD767" s="291"/>
      <c r="AE767" s="291"/>
      <c r="AF767" s="291"/>
      <c r="AG767" s="291"/>
      <c r="AH767" s="291"/>
      <c r="AI767" s="291"/>
      <c r="AJ767" s="291"/>
      <c r="AK767" s="290"/>
      <c r="AL767" s="290"/>
      <c r="AM767" s="290"/>
      <c r="AN767" s="290"/>
      <c r="AO767" s="290"/>
      <c r="AP767" s="290"/>
      <c r="AQ767" s="290"/>
      <c r="AR767" s="290"/>
      <c r="AS767" s="290"/>
      <c r="AT767" s="290"/>
      <c r="AU767" s="290"/>
      <c r="AV767" s="290"/>
      <c r="AW767" s="290"/>
      <c r="AX767" s="290"/>
      <c r="AY767" s="290"/>
      <c r="AZ767" s="290"/>
      <c r="BA767" s="290"/>
      <c r="BG767" s="307"/>
      <c r="BH767" s="307"/>
      <c r="BI767" s="307"/>
      <c r="BK767" s="300"/>
    </row>
    <row r="768" spans="1:63" s="298" customFormat="1" ht="14.25" hidden="1" customHeight="1" x14ac:dyDescent="0.25">
      <c r="A768" s="290"/>
      <c r="B768" s="291"/>
      <c r="C768" s="290"/>
      <c r="D768" s="290"/>
      <c r="E768" s="290"/>
      <c r="F768" s="290"/>
      <c r="G768" s="290"/>
      <c r="H768" s="302" t="s">
        <v>120</v>
      </c>
      <c r="I768" s="290"/>
      <c r="J768" s="290"/>
      <c r="K768" s="290"/>
      <c r="L768" s="290"/>
      <c r="M768" s="308"/>
      <c r="N768" s="290"/>
      <c r="O768" s="290"/>
      <c r="P768" s="290"/>
      <c r="Q768" s="290"/>
      <c r="R768" s="290"/>
      <c r="S768" s="290"/>
      <c r="T768" s="290"/>
      <c r="U768" s="294"/>
      <c r="V768" s="290"/>
      <c r="W768" s="290"/>
      <c r="X768" s="291"/>
      <c r="Y768" s="295"/>
      <c r="Z768" s="295"/>
      <c r="AA768" s="296"/>
      <c r="AB768" s="296"/>
      <c r="AC768" s="291"/>
      <c r="AD768" s="291"/>
      <c r="AE768" s="291"/>
      <c r="AF768" s="291"/>
      <c r="AG768" s="291"/>
      <c r="AH768" s="291"/>
      <c r="AI768" s="291"/>
      <c r="AJ768" s="291"/>
      <c r="AK768" s="290"/>
      <c r="AL768" s="290"/>
      <c r="AM768" s="290"/>
      <c r="AN768" s="290"/>
      <c r="AO768" s="290"/>
      <c r="AP768" s="290"/>
      <c r="AQ768" s="290"/>
      <c r="AR768" s="290"/>
      <c r="AS768" s="290"/>
      <c r="AT768" s="290"/>
      <c r="AU768" s="290"/>
      <c r="AV768" s="290"/>
      <c r="AW768" s="290"/>
      <c r="AX768" s="290"/>
      <c r="AY768" s="290"/>
      <c r="AZ768" s="290"/>
      <c r="BA768" s="290"/>
      <c r="BG768" s="307"/>
      <c r="BH768" s="307"/>
      <c r="BI768" s="307"/>
      <c r="BK768" s="300"/>
    </row>
    <row r="769" spans="1:63" s="298" customFormat="1" ht="14.25" hidden="1" customHeight="1" x14ac:dyDescent="0.15">
      <c r="A769" s="290"/>
      <c r="B769" s="291"/>
      <c r="C769" s="290"/>
      <c r="D769" s="290"/>
      <c r="E769" s="290"/>
      <c r="F769" s="290"/>
      <c r="G769" s="290"/>
      <c r="H769" s="312" t="s">
        <v>302</v>
      </c>
      <c r="I769" s="290"/>
      <c r="J769" s="290"/>
      <c r="K769" s="290"/>
      <c r="L769" s="290"/>
      <c r="M769" s="308"/>
      <c r="N769" s="290"/>
      <c r="O769" s="290"/>
      <c r="P769" s="290"/>
      <c r="Q769" s="290"/>
      <c r="R769" s="290"/>
      <c r="S769" s="290"/>
      <c r="T769" s="290"/>
      <c r="U769" s="294"/>
      <c r="V769" s="290"/>
      <c r="W769" s="290"/>
      <c r="X769" s="291"/>
      <c r="Y769" s="295"/>
      <c r="Z769" s="295"/>
      <c r="AA769" s="296"/>
      <c r="AB769" s="296"/>
      <c r="AC769" s="291"/>
      <c r="AD769" s="291"/>
      <c r="AE769" s="291"/>
      <c r="AF769" s="291"/>
      <c r="AG769" s="291"/>
      <c r="AH769" s="291"/>
      <c r="AI769" s="291"/>
      <c r="AJ769" s="291"/>
      <c r="AK769" s="290"/>
      <c r="AL769" s="290"/>
      <c r="AM769" s="290"/>
      <c r="AN769" s="290"/>
      <c r="AO769" s="290"/>
      <c r="AP769" s="290"/>
      <c r="AQ769" s="290"/>
      <c r="AR769" s="290"/>
      <c r="AS769" s="290"/>
      <c r="AT769" s="290"/>
      <c r="AU769" s="290"/>
      <c r="AV769" s="290"/>
      <c r="AW769" s="290"/>
      <c r="AX769" s="290"/>
      <c r="AY769" s="290"/>
      <c r="AZ769" s="290"/>
      <c r="BA769" s="290"/>
      <c r="BG769" s="307"/>
      <c r="BH769" s="307"/>
      <c r="BI769" s="307"/>
      <c r="BK769" s="300"/>
    </row>
    <row r="770" spans="1:63" s="298" customFormat="1" hidden="1" x14ac:dyDescent="0.25">
      <c r="A770" s="290"/>
      <c r="B770" s="291"/>
      <c r="C770" s="290"/>
      <c r="D770" s="290"/>
      <c r="E770" s="290"/>
      <c r="F770" s="290"/>
      <c r="G770" s="290"/>
      <c r="H770" s="302" t="s">
        <v>303</v>
      </c>
      <c r="I770" s="290"/>
      <c r="J770" s="290"/>
      <c r="K770" s="290"/>
      <c r="L770" s="290"/>
      <c r="M770" s="308"/>
      <c r="N770" s="290"/>
      <c r="O770" s="290"/>
      <c r="P770" s="290"/>
      <c r="Q770" s="290"/>
      <c r="R770" s="290"/>
      <c r="S770" s="290"/>
      <c r="T770" s="290"/>
      <c r="U770" s="294"/>
      <c r="V770" s="290"/>
      <c r="W770" s="290"/>
      <c r="X770" s="291"/>
      <c r="Y770" s="295"/>
      <c r="Z770" s="295"/>
      <c r="AA770" s="296"/>
      <c r="AB770" s="296"/>
      <c r="AC770" s="291"/>
      <c r="AD770" s="291"/>
      <c r="AE770" s="291"/>
      <c r="AF770" s="291"/>
      <c r="AG770" s="291"/>
      <c r="AH770" s="291"/>
      <c r="AI770" s="291"/>
      <c r="AJ770" s="291"/>
      <c r="AK770" s="290"/>
      <c r="AL770" s="290"/>
      <c r="AM770" s="290"/>
      <c r="AN770" s="290"/>
      <c r="AO770" s="290"/>
      <c r="AP770" s="290"/>
      <c r="AQ770" s="290"/>
      <c r="AR770" s="290"/>
      <c r="AS770" s="290"/>
      <c r="AT770" s="290"/>
      <c r="AU770" s="290"/>
      <c r="AV770" s="290"/>
      <c r="AW770" s="290"/>
      <c r="AX770" s="290"/>
      <c r="AY770" s="290"/>
      <c r="AZ770" s="290"/>
      <c r="BA770" s="290"/>
      <c r="BG770" s="307"/>
      <c r="BH770" s="307"/>
      <c r="BI770" s="307"/>
      <c r="BK770" s="300"/>
    </row>
    <row r="771" spans="1:63" s="298" customFormat="1" hidden="1" x14ac:dyDescent="0.25">
      <c r="A771" s="290"/>
      <c r="B771" s="291"/>
      <c r="C771" s="290"/>
      <c r="D771" s="290"/>
      <c r="E771" s="290"/>
      <c r="F771" s="290"/>
      <c r="G771" s="290"/>
      <c r="H771" s="302" t="s">
        <v>304</v>
      </c>
      <c r="I771" s="290"/>
      <c r="J771" s="290"/>
      <c r="K771" s="290"/>
      <c r="L771" s="290"/>
      <c r="M771" s="308"/>
      <c r="N771" s="290"/>
      <c r="O771" s="290"/>
      <c r="P771" s="290"/>
      <c r="Q771" s="290"/>
      <c r="R771" s="290"/>
      <c r="S771" s="290"/>
      <c r="T771" s="290"/>
      <c r="U771" s="294"/>
      <c r="V771" s="290"/>
      <c r="W771" s="290"/>
      <c r="X771" s="291"/>
      <c r="Y771" s="295"/>
      <c r="Z771" s="295"/>
      <c r="AA771" s="296"/>
      <c r="AB771" s="296"/>
      <c r="AC771" s="291"/>
      <c r="AD771" s="291"/>
      <c r="AE771" s="291"/>
      <c r="AF771" s="291"/>
      <c r="AG771" s="291"/>
      <c r="AH771" s="291"/>
      <c r="AI771" s="291"/>
      <c r="AJ771" s="291"/>
      <c r="AK771" s="290"/>
      <c r="AL771" s="290"/>
      <c r="AM771" s="290"/>
      <c r="AN771" s="290"/>
      <c r="AO771" s="290"/>
      <c r="AP771" s="290"/>
      <c r="AQ771" s="290"/>
      <c r="AR771" s="290"/>
      <c r="AS771" s="290"/>
      <c r="AT771" s="290"/>
      <c r="AU771" s="290"/>
      <c r="AV771" s="290"/>
      <c r="AW771" s="290"/>
      <c r="AX771" s="290"/>
      <c r="AY771" s="290"/>
      <c r="AZ771" s="290"/>
      <c r="BA771" s="290"/>
      <c r="BG771" s="307"/>
      <c r="BH771" s="307"/>
      <c r="BI771" s="307"/>
      <c r="BK771" s="300"/>
    </row>
    <row r="772" spans="1:63" s="298" customFormat="1" hidden="1" x14ac:dyDescent="0.25">
      <c r="A772" s="290"/>
      <c r="B772" s="291"/>
      <c r="C772" s="290"/>
      <c r="D772" s="290"/>
      <c r="E772" s="290"/>
      <c r="F772" s="290"/>
      <c r="G772" s="290"/>
      <c r="H772" s="302" t="s">
        <v>305</v>
      </c>
      <c r="I772" s="290"/>
      <c r="J772" s="290"/>
      <c r="K772" s="290"/>
      <c r="L772" s="290"/>
      <c r="M772" s="308"/>
      <c r="N772" s="290"/>
      <c r="O772" s="290"/>
      <c r="P772" s="290"/>
      <c r="Q772" s="290"/>
      <c r="R772" s="290"/>
      <c r="S772" s="290"/>
      <c r="T772" s="290"/>
      <c r="U772" s="294"/>
      <c r="V772" s="290"/>
      <c r="W772" s="290"/>
      <c r="X772" s="291"/>
      <c r="Y772" s="295"/>
      <c r="Z772" s="295"/>
      <c r="AA772" s="296"/>
      <c r="AB772" s="296"/>
      <c r="AC772" s="291"/>
      <c r="AD772" s="291"/>
      <c r="AE772" s="291"/>
      <c r="AF772" s="291"/>
      <c r="AG772" s="291"/>
      <c r="AH772" s="291"/>
      <c r="AI772" s="291"/>
      <c r="AJ772" s="291"/>
      <c r="AK772" s="290"/>
      <c r="AL772" s="290"/>
      <c r="AM772" s="290"/>
      <c r="AN772" s="290"/>
      <c r="AO772" s="290"/>
      <c r="AP772" s="290"/>
      <c r="AQ772" s="290"/>
      <c r="AR772" s="290"/>
      <c r="AS772" s="290"/>
      <c r="AT772" s="290"/>
      <c r="AU772" s="290"/>
      <c r="AV772" s="290"/>
      <c r="AW772" s="290"/>
      <c r="AX772" s="290"/>
      <c r="AY772" s="290"/>
      <c r="AZ772" s="290"/>
      <c r="BA772" s="290"/>
      <c r="BG772" s="307"/>
      <c r="BH772" s="307"/>
      <c r="BI772" s="307"/>
      <c r="BK772" s="300"/>
    </row>
    <row r="773" spans="1:63" s="298" customFormat="1" hidden="1" x14ac:dyDescent="0.25">
      <c r="A773" s="290"/>
      <c r="B773" s="291"/>
      <c r="C773" s="290"/>
      <c r="D773" s="290"/>
      <c r="E773" s="290"/>
      <c r="F773" s="290"/>
      <c r="G773" s="290"/>
      <c r="H773" s="302" t="s">
        <v>306</v>
      </c>
      <c r="I773" s="290"/>
      <c r="J773" s="290"/>
      <c r="K773" s="290"/>
      <c r="L773" s="290"/>
      <c r="M773" s="308"/>
      <c r="N773" s="290"/>
      <c r="O773" s="290"/>
      <c r="P773" s="290"/>
      <c r="Q773" s="290"/>
      <c r="R773" s="290"/>
      <c r="S773" s="290"/>
      <c r="T773" s="290"/>
      <c r="U773" s="294"/>
      <c r="V773" s="290"/>
      <c r="W773" s="290"/>
      <c r="X773" s="291"/>
      <c r="Y773" s="295"/>
      <c r="Z773" s="295"/>
      <c r="AA773" s="296"/>
      <c r="AB773" s="296"/>
      <c r="AC773" s="291"/>
      <c r="AD773" s="291"/>
      <c r="AE773" s="291"/>
      <c r="AF773" s="291"/>
      <c r="AG773" s="291"/>
      <c r="AH773" s="291"/>
      <c r="AI773" s="291"/>
      <c r="AJ773" s="291"/>
      <c r="AK773" s="290"/>
      <c r="AL773" s="290"/>
      <c r="AM773" s="290"/>
      <c r="AN773" s="290"/>
      <c r="AO773" s="290"/>
      <c r="AP773" s="290"/>
      <c r="AQ773" s="290"/>
      <c r="AR773" s="290"/>
      <c r="AS773" s="290"/>
      <c r="AT773" s="290"/>
      <c r="AU773" s="290"/>
      <c r="AV773" s="290"/>
      <c r="AW773" s="290"/>
      <c r="AX773" s="290"/>
      <c r="AY773" s="290"/>
      <c r="AZ773" s="290"/>
      <c r="BA773" s="290"/>
      <c r="BG773" s="307"/>
      <c r="BH773" s="307"/>
      <c r="BI773" s="307"/>
      <c r="BK773" s="300"/>
    </row>
    <row r="774" spans="1:63" s="298" customFormat="1" ht="14.25" hidden="1" customHeight="1" x14ac:dyDescent="0.25">
      <c r="A774" s="290"/>
      <c r="B774" s="291"/>
      <c r="C774" s="290"/>
      <c r="D774" s="290"/>
      <c r="E774" s="290"/>
      <c r="F774" s="290"/>
      <c r="G774" s="290"/>
      <c r="H774" s="302" t="s">
        <v>307</v>
      </c>
      <c r="I774" s="290"/>
      <c r="J774" s="290"/>
      <c r="K774" s="290"/>
      <c r="L774" s="290"/>
      <c r="M774" s="308"/>
      <c r="N774" s="290"/>
      <c r="O774" s="290"/>
      <c r="P774" s="290"/>
      <c r="Q774" s="290"/>
      <c r="R774" s="290"/>
      <c r="S774" s="290"/>
      <c r="T774" s="290"/>
      <c r="U774" s="294"/>
      <c r="V774" s="290"/>
      <c r="W774" s="290"/>
      <c r="X774" s="291"/>
      <c r="Y774" s="295"/>
      <c r="Z774" s="295"/>
      <c r="AA774" s="296"/>
      <c r="AB774" s="296"/>
      <c r="AC774" s="291"/>
      <c r="AD774" s="291"/>
      <c r="AE774" s="291"/>
      <c r="AF774" s="291"/>
      <c r="AG774" s="291"/>
      <c r="AH774" s="291"/>
      <c r="AI774" s="291"/>
      <c r="AJ774" s="291"/>
      <c r="AK774" s="290"/>
      <c r="AL774" s="290"/>
      <c r="AM774" s="290"/>
      <c r="AN774" s="290"/>
      <c r="AO774" s="290"/>
      <c r="AP774" s="290"/>
      <c r="AQ774" s="290"/>
      <c r="AR774" s="290"/>
      <c r="AS774" s="290"/>
      <c r="AT774" s="290"/>
      <c r="AU774" s="290"/>
      <c r="AV774" s="290"/>
      <c r="AW774" s="290"/>
      <c r="AX774" s="290"/>
      <c r="AY774" s="290"/>
      <c r="AZ774" s="290"/>
      <c r="BA774" s="290"/>
      <c r="BG774" s="307"/>
      <c r="BH774" s="307"/>
      <c r="BI774" s="307"/>
      <c r="BK774" s="300"/>
    </row>
    <row r="775" spans="1:63" s="298" customFormat="1" ht="14.25" hidden="1" customHeight="1" x14ac:dyDescent="0.15">
      <c r="A775" s="290"/>
      <c r="B775" s="291"/>
      <c r="C775" s="290"/>
      <c r="D775" s="290"/>
      <c r="E775" s="290"/>
      <c r="F775" s="290"/>
      <c r="G775" s="290"/>
      <c r="H775" s="312" t="s">
        <v>308</v>
      </c>
      <c r="I775" s="290"/>
      <c r="J775" s="290"/>
      <c r="K775" s="290"/>
      <c r="L775" s="290"/>
      <c r="M775" s="308"/>
      <c r="N775" s="290"/>
      <c r="O775" s="290"/>
      <c r="P775" s="290"/>
      <c r="Q775" s="290"/>
      <c r="R775" s="290"/>
      <c r="S775" s="290"/>
      <c r="T775" s="290"/>
      <c r="U775" s="294"/>
      <c r="V775" s="290"/>
      <c r="W775" s="290"/>
      <c r="X775" s="291"/>
      <c r="Y775" s="295"/>
      <c r="Z775" s="295"/>
      <c r="AA775" s="296"/>
      <c r="AB775" s="296"/>
      <c r="AC775" s="291"/>
      <c r="AD775" s="291"/>
      <c r="AE775" s="291"/>
      <c r="AF775" s="291"/>
      <c r="AG775" s="291"/>
      <c r="AH775" s="291"/>
      <c r="AI775" s="291"/>
      <c r="AJ775" s="291"/>
      <c r="AK775" s="290"/>
      <c r="AL775" s="290"/>
      <c r="AM775" s="290"/>
      <c r="AN775" s="290"/>
      <c r="AO775" s="290"/>
      <c r="AP775" s="290"/>
      <c r="AQ775" s="290"/>
      <c r="AR775" s="290"/>
      <c r="AS775" s="290"/>
      <c r="AT775" s="290"/>
      <c r="AU775" s="290"/>
      <c r="AV775" s="290"/>
      <c r="AW775" s="290"/>
      <c r="AX775" s="290"/>
      <c r="AY775" s="290"/>
      <c r="AZ775" s="290"/>
      <c r="BA775" s="290"/>
      <c r="BG775" s="307"/>
      <c r="BH775" s="307"/>
      <c r="BI775" s="307"/>
      <c r="BK775" s="300"/>
    </row>
    <row r="776" spans="1:63" s="298" customFormat="1" hidden="1" x14ac:dyDescent="0.25">
      <c r="A776" s="290"/>
      <c r="B776" s="291"/>
      <c r="C776" s="290"/>
      <c r="D776" s="290"/>
      <c r="E776" s="290"/>
      <c r="F776" s="290"/>
      <c r="G776" s="290"/>
      <c r="H776" s="302" t="s">
        <v>309</v>
      </c>
      <c r="I776" s="290"/>
      <c r="J776" s="290"/>
      <c r="K776" s="290"/>
      <c r="L776" s="290"/>
      <c r="M776" s="308"/>
      <c r="N776" s="290"/>
      <c r="O776" s="290"/>
      <c r="P776" s="290"/>
      <c r="Q776" s="290"/>
      <c r="R776" s="290"/>
      <c r="S776" s="290"/>
      <c r="T776" s="290"/>
      <c r="U776" s="294"/>
      <c r="V776" s="290"/>
      <c r="W776" s="290"/>
      <c r="X776" s="291"/>
      <c r="Y776" s="295"/>
      <c r="Z776" s="295"/>
      <c r="AA776" s="296"/>
      <c r="AB776" s="296"/>
      <c r="AC776" s="291"/>
      <c r="AD776" s="291"/>
      <c r="AE776" s="291"/>
      <c r="AF776" s="291"/>
      <c r="AG776" s="291"/>
      <c r="AH776" s="291"/>
      <c r="AI776" s="291"/>
      <c r="AJ776" s="291"/>
      <c r="AK776" s="290"/>
      <c r="AL776" s="290"/>
      <c r="AM776" s="290"/>
      <c r="AN776" s="290"/>
      <c r="AO776" s="290"/>
      <c r="AP776" s="290"/>
      <c r="AQ776" s="290"/>
      <c r="AR776" s="290"/>
      <c r="AS776" s="290"/>
      <c r="AT776" s="290"/>
      <c r="AU776" s="290"/>
      <c r="AV776" s="290"/>
      <c r="AW776" s="290"/>
      <c r="AX776" s="290"/>
      <c r="AY776" s="290"/>
      <c r="AZ776" s="290"/>
      <c r="BA776" s="290"/>
      <c r="BG776" s="307"/>
      <c r="BH776" s="307"/>
      <c r="BI776" s="307"/>
      <c r="BK776" s="300"/>
    </row>
    <row r="777" spans="1:63" s="298" customFormat="1" hidden="1" x14ac:dyDescent="0.25">
      <c r="A777" s="290"/>
      <c r="B777" s="291"/>
      <c r="C777" s="290"/>
      <c r="D777" s="290"/>
      <c r="E777" s="290"/>
      <c r="F777" s="290"/>
      <c r="G777" s="290"/>
      <c r="H777" s="302"/>
      <c r="I777" s="290"/>
      <c r="J777" s="290"/>
      <c r="K777" s="290"/>
      <c r="L777" s="290"/>
      <c r="M777" s="308"/>
      <c r="N777" s="290"/>
      <c r="O777" s="290"/>
      <c r="P777" s="290"/>
      <c r="Q777" s="290"/>
      <c r="R777" s="290"/>
      <c r="S777" s="290"/>
      <c r="T777" s="290"/>
      <c r="U777" s="294"/>
      <c r="V777" s="290"/>
      <c r="W777" s="290"/>
      <c r="X777" s="291"/>
      <c r="Y777" s="295"/>
      <c r="Z777" s="295"/>
      <c r="AA777" s="296"/>
      <c r="AB777" s="296"/>
      <c r="AC777" s="291"/>
      <c r="AD777" s="291"/>
      <c r="AE777" s="291"/>
      <c r="AF777" s="291"/>
      <c r="AG777" s="291"/>
      <c r="AH777" s="291"/>
      <c r="AI777" s="291"/>
      <c r="AJ777" s="291"/>
      <c r="AK777" s="290"/>
      <c r="AL777" s="290"/>
      <c r="AM777" s="290"/>
      <c r="AN777" s="290"/>
      <c r="AO777" s="290"/>
      <c r="AP777" s="290"/>
      <c r="AQ777" s="290"/>
      <c r="AR777" s="290"/>
      <c r="AS777" s="290"/>
      <c r="AT777" s="290"/>
      <c r="AU777" s="290"/>
      <c r="AV777" s="290"/>
      <c r="AW777" s="290"/>
      <c r="AX777" s="290"/>
      <c r="AY777" s="290"/>
      <c r="AZ777" s="290"/>
      <c r="BA777" s="290"/>
      <c r="BG777" s="307"/>
      <c r="BH777" s="307"/>
      <c r="BI777" s="307"/>
      <c r="BK777" s="300"/>
    </row>
    <row r="778" spans="1:63" s="298" customFormat="1" hidden="1" x14ac:dyDescent="0.25">
      <c r="A778" s="290"/>
      <c r="B778" s="291"/>
      <c r="C778" s="290"/>
      <c r="D778" s="290"/>
      <c r="E778" s="290"/>
      <c r="F778" s="290"/>
      <c r="G778" s="290"/>
      <c r="H778" s="302"/>
      <c r="I778" s="290"/>
      <c r="J778" s="290"/>
      <c r="K778" s="290"/>
      <c r="L778" s="290"/>
      <c r="M778" s="308"/>
      <c r="N778" s="290"/>
      <c r="O778" s="290"/>
      <c r="P778" s="290"/>
      <c r="Q778" s="290"/>
      <c r="R778" s="290"/>
      <c r="S778" s="290"/>
      <c r="T778" s="290"/>
      <c r="U778" s="294"/>
      <c r="V778" s="290"/>
      <c r="W778" s="290"/>
      <c r="X778" s="291"/>
      <c r="Y778" s="295"/>
      <c r="Z778" s="295"/>
      <c r="AA778" s="296"/>
      <c r="AB778" s="296"/>
      <c r="AC778" s="291"/>
      <c r="AD778" s="291"/>
      <c r="AE778" s="291"/>
      <c r="AF778" s="291"/>
      <c r="AG778" s="291"/>
      <c r="AH778" s="291"/>
      <c r="AI778" s="291"/>
      <c r="AJ778" s="291"/>
      <c r="AK778" s="290"/>
      <c r="AL778" s="290"/>
      <c r="AM778" s="290"/>
      <c r="AN778" s="290"/>
      <c r="AO778" s="290"/>
      <c r="AP778" s="290"/>
      <c r="AQ778" s="290"/>
      <c r="AR778" s="290"/>
      <c r="AS778" s="290"/>
      <c r="AT778" s="290"/>
      <c r="AU778" s="290"/>
      <c r="AV778" s="290"/>
      <c r="AW778" s="290"/>
      <c r="AX778" s="290"/>
      <c r="AY778" s="290"/>
      <c r="AZ778" s="290"/>
      <c r="BA778" s="290"/>
      <c r="BG778" s="307"/>
      <c r="BH778" s="307"/>
      <c r="BI778" s="307"/>
      <c r="BK778" s="300"/>
    </row>
    <row r="779" spans="1:63" s="298" customFormat="1" hidden="1" x14ac:dyDescent="0.25">
      <c r="A779" s="290"/>
      <c r="B779" s="291"/>
      <c r="C779" s="290"/>
      <c r="D779" s="290"/>
      <c r="E779" s="290"/>
      <c r="F779" s="290"/>
      <c r="G779" s="290"/>
      <c r="H779" s="302"/>
      <c r="I779" s="290"/>
      <c r="J779" s="290"/>
      <c r="K779" s="290"/>
      <c r="L779" s="290"/>
      <c r="M779" s="308"/>
      <c r="N779" s="290"/>
      <c r="O779" s="290"/>
      <c r="P779" s="290"/>
      <c r="Q779" s="290"/>
      <c r="R779" s="290"/>
      <c r="S779" s="290"/>
      <c r="T779" s="290"/>
      <c r="U779" s="294"/>
      <c r="V779" s="290"/>
      <c r="W779" s="290"/>
      <c r="X779" s="291"/>
      <c r="Y779" s="295"/>
      <c r="Z779" s="295"/>
      <c r="AA779" s="296"/>
      <c r="AB779" s="296"/>
      <c r="AC779" s="291"/>
      <c r="AD779" s="291"/>
      <c r="AE779" s="291"/>
      <c r="AF779" s="291"/>
      <c r="AG779" s="291"/>
      <c r="AH779" s="291"/>
      <c r="AI779" s="291"/>
      <c r="AJ779" s="291"/>
      <c r="AK779" s="290"/>
      <c r="AL779" s="290"/>
      <c r="AM779" s="290"/>
      <c r="AN779" s="290"/>
      <c r="AO779" s="290"/>
      <c r="AP779" s="290"/>
      <c r="AQ779" s="290"/>
      <c r="AR779" s="290"/>
      <c r="AS779" s="290"/>
      <c r="AT779" s="290"/>
      <c r="AU779" s="290"/>
      <c r="AV779" s="290"/>
      <c r="AW779" s="290"/>
      <c r="AX779" s="290"/>
      <c r="AY779" s="290"/>
      <c r="AZ779" s="290"/>
      <c r="BA779" s="290"/>
      <c r="BG779" s="307"/>
      <c r="BH779" s="307"/>
      <c r="BI779" s="307"/>
      <c r="BK779" s="300"/>
    </row>
    <row r="780" spans="1:63" s="298" customFormat="1" hidden="1" x14ac:dyDescent="0.25">
      <c r="A780" s="290"/>
      <c r="B780" s="291"/>
      <c r="C780" s="290"/>
      <c r="D780" s="290"/>
      <c r="E780" s="290"/>
      <c r="F780" s="290"/>
      <c r="G780" s="290"/>
      <c r="H780" s="302"/>
      <c r="I780" s="290"/>
      <c r="J780" s="290"/>
      <c r="K780" s="290"/>
      <c r="L780" s="290"/>
      <c r="M780" s="308"/>
      <c r="N780" s="290"/>
      <c r="O780" s="290"/>
      <c r="P780" s="290"/>
      <c r="Q780" s="290"/>
      <c r="R780" s="290"/>
      <c r="S780" s="290"/>
      <c r="T780" s="290"/>
      <c r="U780" s="294"/>
      <c r="V780" s="290"/>
      <c r="W780" s="290"/>
      <c r="X780" s="291"/>
      <c r="Y780" s="295"/>
      <c r="Z780" s="295"/>
      <c r="AA780" s="296"/>
      <c r="AB780" s="296"/>
      <c r="AC780" s="291"/>
      <c r="AD780" s="291"/>
      <c r="AE780" s="291"/>
      <c r="AF780" s="291"/>
      <c r="AG780" s="291"/>
      <c r="AH780" s="291"/>
      <c r="AI780" s="291"/>
      <c r="AJ780" s="291"/>
      <c r="AK780" s="290"/>
      <c r="AL780" s="290"/>
      <c r="AM780" s="290"/>
      <c r="AN780" s="290"/>
      <c r="AO780" s="290"/>
      <c r="AP780" s="290"/>
      <c r="AQ780" s="290"/>
      <c r="AR780" s="290"/>
      <c r="AS780" s="290"/>
      <c r="AT780" s="290"/>
      <c r="AU780" s="290"/>
      <c r="AV780" s="290"/>
      <c r="AW780" s="290"/>
      <c r="AX780" s="290"/>
      <c r="AY780" s="290"/>
      <c r="AZ780" s="290"/>
      <c r="BA780" s="290"/>
      <c r="BG780" s="307"/>
      <c r="BH780" s="307"/>
      <c r="BI780" s="307"/>
      <c r="BK780" s="300"/>
    </row>
    <row r="781" spans="1:63" s="298" customFormat="1" hidden="1" x14ac:dyDescent="0.25">
      <c r="A781" s="290"/>
      <c r="B781" s="291"/>
      <c r="C781" s="290"/>
      <c r="D781" s="290"/>
      <c r="E781" s="290"/>
      <c r="F781" s="290"/>
      <c r="G781" s="290"/>
      <c r="H781" s="302"/>
      <c r="I781" s="290"/>
      <c r="J781" s="290"/>
      <c r="K781" s="290"/>
      <c r="L781" s="290"/>
      <c r="M781" s="308"/>
      <c r="N781" s="290"/>
      <c r="O781" s="290"/>
      <c r="P781" s="290"/>
      <c r="Q781" s="290"/>
      <c r="R781" s="290"/>
      <c r="S781" s="290"/>
      <c r="T781" s="290"/>
      <c r="U781" s="294"/>
      <c r="V781" s="290"/>
      <c r="W781" s="290"/>
      <c r="X781" s="291"/>
      <c r="Y781" s="295"/>
      <c r="Z781" s="295"/>
      <c r="AA781" s="296"/>
      <c r="AB781" s="296"/>
      <c r="AC781" s="291"/>
      <c r="AD781" s="291"/>
      <c r="AE781" s="291"/>
      <c r="AF781" s="291"/>
      <c r="AG781" s="291"/>
      <c r="AH781" s="291"/>
      <c r="AI781" s="291"/>
      <c r="AJ781" s="291"/>
      <c r="AK781" s="290"/>
      <c r="AL781" s="290"/>
      <c r="AM781" s="290"/>
      <c r="AN781" s="290"/>
      <c r="AO781" s="290"/>
      <c r="AP781" s="290"/>
      <c r="AQ781" s="290"/>
      <c r="AR781" s="290"/>
      <c r="AS781" s="290"/>
      <c r="AT781" s="290"/>
      <c r="AU781" s="290"/>
      <c r="AV781" s="290"/>
      <c r="AW781" s="290"/>
      <c r="AX781" s="290"/>
      <c r="AY781" s="290"/>
      <c r="AZ781" s="290"/>
      <c r="BA781" s="290"/>
      <c r="BG781" s="307"/>
      <c r="BH781" s="307"/>
      <c r="BI781" s="307"/>
      <c r="BK781" s="300"/>
    </row>
    <row r="782" spans="1:63" s="298" customFormat="1" hidden="1" x14ac:dyDescent="0.25">
      <c r="A782" s="290"/>
      <c r="B782" s="291"/>
      <c r="C782" s="290"/>
      <c r="D782" s="290"/>
      <c r="E782" s="290"/>
      <c r="F782" s="290"/>
      <c r="G782" s="290"/>
      <c r="H782" s="302"/>
      <c r="I782" s="290"/>
      <c r="J782" s="290"/>
      <c r="K782" s="290"/>
      <c r="L782" s="290"/>
      <c r="M782" s="308"/>
      <c r="N782" s="290"/>
      <c r="O782" s="290"/>
      <c r="P782" s="290"/>
      <c r="Q782" s="290"/>
      <c r="R782" s="290"/>
      <c r="S782" s="290"/>
      <c r="T782" s="290"/>
      <c r="U782" s="294"/>
      <c r="V782" s="290"/>
      <c r="W782" s="290"/>
      <c r="X782" s="291"/>
      <c r="Y782" s="295"/>
      <c r="Z782" s="295"/>
      <c r="AA782" s="296"/>
      <c r="AB782" s="296"/>
      <c r="AC782" s="291"/>
      <c r="AD782" s="291"/>
      <c r="AE782" s="291"/>
      <c r="AF782" s="291"/>
      <c r="AG782" s="291"/>
      <c r="AH782" s="291"/>
      <c r="AI782" s="291"/>
      <c r="AJ782" s="291"/>
      <c r="AK782" s="290"/>
      <c r="AL782" s="290"/>
      <c r="AM782" s="290"/>
      <c r="AN782" s="290"/>
      <c r="AO782" s="290"/>
      <c r="AP782" s="290"/>
      <c r="AQ782" s="290"/>
      <c r="AR782" s="290"/>
      <c r="AS782" s="290"/>
      <c r="AT782" s="290"/>
      <c r="AU782" s="290"/>
      <c r="AV782" s="290"/>
      <c r="AW782" s="290"/>
      <c r="AX782" s="290"/>
      <c r="AY782" s="290"/>
      <c r="AZ782" s="290"/>
      <c r="BA782" s="290"/>
      <c r="BG782" s="307"/>
      <c r="BH782" s="307"/>
      <c r="BI782" s="307"/>
      <c r="BK782" s="300"/>
    </row>
    <row r="783" spans="1:63" s="298" customFormat="1" hidden="1" x14ac:dyDescent="0.25">
      <c r="A783" s="290"/>
      <c r="B783" s="291"/>
      <c r="C783" s="290"/>
      <c r="D783" s="290"/>
      <c r="E783" s="290"/>
      <c r="F783" s="290"/>
      <c r="G783" s="290"/>
      <c r="H783" s="302"/>
      <c r="I783" s="290"/>
      <c r="J783" s="290"/>
      <c r="K783" s="290"/>
      <c r="L783" s="290"/>
      <c r="M783" s="308"/>
      <c r="N783" s="290"/>
      <c r="O783" s="290"/>
      <c r="P783" s="290"/>
      <c r="Q783" s="290"/>
      <c r="R783" s="290"/>
      <c r="S783" s="290"/>
      <c r="T783" s="290"/>
      <c r="U783" s="294"/>
      <c r="V783" s="290"/>
      <c r="W783" s="290"/>
      <c r="X783" s="291"/>
      <c r="Y783" s="295"/>
      <c r="Z783" s="295"/>
      <c r="AA783" s="296"/>
      <c r="AB783" s="296"/>
      <c r="AC783" s="291"/>
      <c r="AD783" s="291"/>
      <c r="AE783" s="291"/>
      <c r="AF783" s="291"/>
      <c r="AG783" s="291"/>
      <c r="AH783" s="291"/>
      <c r="AI783" s="291"/>
      <c r="AJ783" s="291"/>
      <c r="AK783" s="290"/>
      <c r="AL783" s="290"/>
      <c r="AM783" s="290"/>
      <c r="AN783" s="290"/>
      <c r="AO783" s="290"/>
      <c r="AP783" s="290"/>
      <c r="AQ783" s="290"/>
      <c r="AR783" s="290"/>
      <c r="AS783" s="290"/>
      <c r="AT783" s="290"/>
      <c r="AU783" s="290"/>
      <c r="AV783" s="290"/>
      <c r="AW783" s="290"/>
      <c r="AX783" s="290"/>
      <c r="AY783" s="290"/>
      <c r="AZ783" s="290"/>
      <c r="BA783" s="290"/>
      <c r="BG783" s="307"/>
      <c r="BH783" s="307"/>
      <c r="BI783" s="307"/>
      <c r="BK783" s="300"/>
    </row>
    <row r="784" spans="1:63" s="298" customFormat="1" hidden="1" x14ac:dyDescent="0.25">
      <c r="A784" s="290"/>
      <c r="B784" s="291"/>
      <c r="C784" s="290"/>
      <c r="D784" s="290"/>
      <c r="E784" s="290"/>
      <c r="F784" s="290"/>
      <c r="G784" s="290"/>
      <c r="H784" s="302"/>
      <c r="I784" s="290"/>
      <c r="J784" s="290"/>
      <c r="K784" s="290"/>
      <c r="L784" s="290"/>
      <c r="M784" s="308"/>
      <c r="N784" s="290"/>
      <c r="O784" s="290"/>
      <c r="P784" s="290"/>
      <c r="Q784" s="290"/>
      <c r="R784" s="290"/>
      <c r="S784" s="290"/>
      <c r="T784" s="290"/>
      <c r="U784" s="294"/>
      <c r="V784" s="290"/>
      <c r="W784" s="290"/>
      <c r="X784" s="291"/>
      <c r="Y784" s="295"/>
      <c r="Z784" s="295"/>
      <c r="AA784" s="296"/>
      <c r="AB784" s="296"/>
      <c r="AC784" s="291"/>
      <c r="AD784" s="291"/>
      <c r="AE784" s="291"/>
      <c r="AF784" s="291"/>
      <c r="AG784" s="291"/>
      <c r="AH784" s="291"/>
      <c r="AI784" s="291"/>
      <c r="AJ784" s="291"/>
      <c r="AK784" s="290"/>
      <c r="AL784" s="290"/>
      <c r="AM784" s="290"/>
      <c r="AN784" s="290"/>
      <c r="AO784" s="290"/>
      <c r="AP784" s="290"/>
      <c r="AQ784" s="290"/>
      <c r="AR784" s="290"/>
      <c r="AS784" s="290"/>
      <c r="AT784" s="290"/>
      <c r="AU784" s="290"/>
      <c r="AV784" s="290"/>
      <c r="AW784" s="290"/>
      <c r="AX784" s="290"/>
      <c r="AY784" s="290"/>
      <c r="AZ784" s="290"/>
      <c r="BA784" s="290"/>
      <c r="BG784" s="307"/>
      <c r="BH784" s="307"/>
      <c r="BI784" s="307"/>
      <c r="BK784" s="300"/>
    </row>
    <row r="785" spans="1:63" s="298" customFormat="1" hidden="1" x14ac:dyDescent="0.25">
      <c r="A785" s="290"/>
      <c r="B785" s="291"/>
      <c r="C785" s="290"/>
      <c r="D785" s="290"/>
      <c r="E785" s="290"/>
      <c r="F785" s="290"/>
      <c r="G785" s="290"/>
      <c r="H785" s="302"/>
      <c r="I785" s="290"/>
      <c r="J785" s="290"/>
      <c r="K785" s="290"/>
      <c r="L785" s="290"/>
      <c r="M785" s="308"/>
      <c r="N785" s="290"/>
      <c r="O785" s="290"/>
      <c r="P785" s="290"/>
      <c r="Q785" s="290"/>
      <c r="R785" s="290"/>
      <c r="S785" s="290"/>
      <c r="T785" s="290"/>
      <c r="U785" s="294"/>
      <c r="V785" s="290"/>
      <c r="W785" s="290"/>
      <c r="X785" s="291"/>
      <c r="Y785" s="295"/>
      <c r="Z785" s="295"/>
      <c r="AA785" s="296"/>
      <c r="AB785" s="296"/>
      <c r="AC785" s="291"/>
      <c r="AD785" s="291"/>
      <c r="AE785" s="291"/>
      <c r="AF785" s="291"/>
      <c r="AG785" s="291"/>
      <c r="AH785" s="291"/>
      <c r="AI785" s="291"/>
      <c r="AJ785" s="291"/>
      <c r="AK785" s="290"/>
      <c r="AL785" s="290"/>
      <c r="AM785" s="290"/>
      <c r="AN785" s="290"/>
      <c r="AO785" s="290"/>
      <c r="AP785" s="290"/>
      <c r="AQ785" s="290"/>
      <c r="AR785" s="290"/>
      <c r="AS785" s="290"/>
      <c r="AT785" s="290"/>
      <c r="AU785" s="290"/>
      <c r="AV785" s="290"/>
      <c r="AW785" s="290"/>
      <c r="AX785" s="290"/>
      <c r="AY785" s="290"/>
      <c r="AZ785" s="290"/>
      <c r="BA785" s="290"/>
      <c r="BG785" s="307"/>
      <c r="BH785" s="307"/>
      <c r="BI785" s="307"/>
      <c r="BK785" s="300"/>
    </row>
    <row r="786" spans="1:63" s="298" customFormat="1" hidden="1" x14ac:dyDescent="0.25">
      <c r="A786" s="290"/>
      <c r="B786" s="291"/>
      <c r="C786" s="290"/>
      <c r="D786" s="290"/>
      <c r="E786" s="290"/>
      <c r="F786" s="290"/>
      <c r="G786" s="290"/>
      <c r="H786" s="302"/>
      <c r="I786" s="290"/>
      <c r="J786" s="290"/>
      <c r="K786" s="290"/>
      <c r="L786" s="290"/>
      <c r="M786" s="308"/>
      <c r="N786" s="290"/>
      <c r="O786" s="290"/>
      <c r="P786" s="290"/>
      <c r="Q786" s="290"/>
      <c r="R786" s="290"/>
      <c r="S786" s="290"/>
      <c r="T786" s="290"/>
      <c r="U786" s="294"/>
      <c r="V786" s="290"/>
      <c r="W786" s="290"/>
      <c r="X786" s="291"/>
      <c r="Y786" s="295"/>
      <c r="Z786" s="295"/>
      <c r="AA786" s="296"/>
      <c r="AB786" s="296"/>
      <c r="AC786" s="291"/>
      <c r="AD786" s="291"/>
      <c r="AE786" s="291"/>
      <c r="AF786" s="291"/>
      <c r="AG786" s="291"/>
      <c r="AH786" s="291"/>
      <c r="AI786" s="291"/>
      <c r="AJ786" s="291"/>
      <c r="AK786" s="290"/>
      <c r="AL786" s="290"/>
      <c r="AM786" s="290"/>
      <c r="AN786" s="290"/>
      <c r="AO786" s="290"/>
      <c r="AP786" s="290"/>
      <c r="AQ786" s="290"/>
      <c r="AR786" s="290"/>
      <c r="AS786" s="290"/>
      <c r="AT786" s="290"/>
      <c r="AU786" s="290"/>
      <c r="AV786" s="290"/>
      <c r="AW786" s="290"/>
      <c r="AX786" s="290"/>
      <c r="AY786" s="290"/>
      <c r="AZ786" s="290"/>
      <c r="BA786" s="290"/>
      <c r="BG786" s="307"/>
      <c r="BH786" s="307"/>
      <c r="BI786" s="307"/>
      <c r="BK786" s="300"/>
    </row>
    <row r="787" spans="1:63" s="298" customFormat="1" hidden="1" x14ac:dyDescent="0.25">
      <c r="A787" s="290"/>
      <c r="B787" s="291"/>
      <c r="C787" s="290"/>
      <c r="D787" s="290"/>
      <c r="E787" s="290"/>
      <c r="F787" s="290"/>
      <c r="G787" s="290"/>
      <c r="H787" s="302"/>
      <c r="I787" s="290"/>
      <c r="J787" s="290"/>
      <c r="K787" s="290"/>
      <c r="L787" s="290"/>
      <c r="M787" s="308"/>
      <c r="N787" s="290"/>
      <c r="O787" s="290"/>
      <c r="P787" s="290"/>
      <c r="Q787" s="290"/>
      <c r="R787" s="290"/>
      <c r="S787" s="290"/>
      <c r="T787" s="290"/>
      <c r="U787" s="294"/>
      <c r="V787" s="290"/>
      <c r="W787" s="290"/>
      <c r="X787" s="291"/>
      <c r="Y787" s="295"/>
      <c r="Z787" s="295"/>
      <c r="AA787" s="296"/>
      <c r="AB787" s="296"/>
      <c r="AC787" s="291"/>
      <c r="AD787" s="291"/>
      <c r="AE787" s="291"/>
      <c r="AF787" s="291"/>
      <c r="AG787" s="291"/>
      <c r="AH787" s="291"/>
      <c r="AI787" s="291"/>
      <c r="AJ787" s="291"/>
      <c r="AK787" s="290"/>
      <c r="AL787" s="290"/>
      <c r="AM787" s="290"/>
      <c r="AN787" s="290"/>
      <c r="AO787" s="290"/>
      <c r="AP787" s="290"/>
      <c r="AQ787" s="290"/>
      <c r="AR787" s="290"/>
      <c r="AS787" s="290"/>
      <c r="AT787" s="290"/>
      <c r="AU787" s="290"/>
      <c r="AV787" s="290"/>
      <c r="AW787" s="290"/>
      <c r="AX787" s="290"/>
      <c r="AY787" s="290"/>
      <c r="AZ787" s="290"/>
      <c r="BA787" s="290"/>
      <c r="BG787" s="307"/>
      <c r="BH787" s="307"/>
      <c r="BI787" s="307"/>
      <c r="BK787" s="300"/>
    </row>
    <row r="788" spans="1:63" s="298" customFormat="1" hidden="1" x14ac:dyDescent="0.25">
      <c r="A788" s="290"/>
      <c r="B788" s="291"/>
      <c r="C788" s="290"/>
      <c r="D788" s="290"/>
      <c r="E788" s="290"/>
      <c r="F788" s="290" t="s">
        <v>310</v>
      </c>
      <c r="G788" s="290"/>
      <c r="H788" s="313"/>
      <c r="I788" s="290"/>
      <c r="J788" s="290"/>
      <c r="K788" s="290"/>
      <c r="L788" s="290"/>
      <c r="M788" s="308"/>
      <c r="N788" s="290"/>
      <c r="O788" s="290"/>
      <c r="P788" s="290"/>
      <c r="Q788" s="290"/>
      <c r="R788" s="290"/>
      <c r="S788" s="290"/>
      <c r="T788" s="290"/>
      <c r="U788" s="294"/>
      <c r="V788" s="290"/>
      <c r="W788" s="290"/>
      <c r="X788" s="291"/>
      <c r="Y788" s="295"/>
      <c r="Z788" s="295"/>
      <c r="AA788" s="296"/>
      <c r="AB788" s="296"/>
      <c r="AC788" s="291"/>
      <c r="AD788" s="291"/>
      <c r="AE788" s="291"/>
      <c r="AF788" s="291"/>
      <c r="AG788" s="291"/>
      <c r="AH788" s="291"/>
      <c r="AI788" s="291"/>
      <c r="AJ788" s="291"/>
      <c r="AK788" s="290"/>
      <c r="AL788" s="290"/>
      <c r="AM788" s="290"/>
      <c r="AN788" s="290"/>
      <c r="AO788" s="290"/>
      <c r="AP788" s="290"/>
      <c r="AQ788" s="290"/>
      <c r="AR788" s="290"/>
      <c r="AS788" s="290"/>
      <c r="AT788" s="290"/>
      <c r="AU788" s="290"/>
      <c r="AV788" s="290"/>
      <c r="AW788" s="290"/>
      <c r="AX788" s="290"/>
      <c r="AY788" s="290"/>
      <c r="AZ788" s="290"/>
      <c r="BA788" s="290"/>
      <c r="BG788" s="307"/>
      <c r="BH788" s="307"/>
      <c r="BI788" s="307"/>
      <c r="BK788" s="300"/>
    </row>
    <row r="789" spans="1:63" s="298" customFormat="1" hidden="1" x14ac:dyDescent="0.25">
      <c r="A789" s="290"/>
      <c r="B789" s="291"/>
      <c r="C789" s="290"/>
      <c r="D789" s="290"/>
      <c r="E789" s="290"/>
      <c r="F789" s="290" t="s">
        <v>311</v>
      </c>
      <c r="G789" s="290"/>
      <c r="H789" s="301"/>
      <c r="I789" s="290"/>
      <c r="J789" s="290"/>
      <c r="K789" s="290"/>
      <c r="L789" s="290"/>
      <c r="M789" s="308"/>
      <c r="N789" s="290"/>
      <c r="O789" s="290"/>
      <c r="P789" s="290"/>
      <c r="Q789" s="290"/>
      <c r="R789" s="290"/>
      <c r="S789" s="290"/>
      <c r="T789" s="290"/>
      <c r="U789" s="294"/>
      <c r="V789" s="290"/>
      <c r="W789" s="290"/>
      <c r="X789" s="291"/>
      <c r="Y789" s="295"/>
      <c r="Z789" s="295"/>
      <c r="AA789" s="296"/>
      <c r="AB789" s="296"/>
      <c r="AC789" s="291"/>
      <c r="AD789" s="291"/>
      <c r="AE789" s="291"/>
      <c r="AF789" s="291"/>
      <c r="AG789" s="291"/>
      <c r="AH789" s="291"/>
      <c r="AI789" s="291"/>
      <c r="AJ789" s="291"/>
      <c r="AK789" s="290"/>
      <c r="AL789" s="290"/>
      <c r="AM789" s="290"/>
      <c r="AN789" s="290"/>
      <c r="AO789" s="290"/>
      <c r="AP789" s="290"/>
      <c r="AQ789" s="290"/>
      <c r="AR789" s="290"/>
      <c r="AS789" s="290"/>
      <c r="AT789" s="290"/>
      <c r="AU789" s="290"/>
      <c r="AV789" s="290"/>
      <c r="AW789" s="290"/>
      <c r="AX789" s="290"/>
      <c r="AY789" s="290"/>
      <c r="AZ789" s="290"/>
      <c r="BA789" s="290"/>
      <c r="BG789" s="307"/>
      <c r="BH789" s="307"/>
      <c r="BI789" s="307"/>
      <c r="BK789" s="300"/>
    </row>
    <row r="790" spans="1:63" s="298" customFormat="1" hidden="1" x14ac:dyDescent="0.25">
      <c r="A790" s="290"/>
      <c r="B790" s="291"/>
      <c r="C790" s="290"/>
      <c r="D790" s="290"/>
      <c r="E790" s="290"/>
      <c r="F790" s="290" t="s">
        <v>312</v>
      </c>
      <c r="G790" s="290"/>
      <c r="H790" s="301"/>
      <c r="I790" s="290"/>
      <c r="J790" s="290"/>
      <c r="K790" s="290"/>
      <c r="L790" s="290"/>
      <c r="M790" s="308"/>
      <c r="N790" s="290"/>
      <c r="O790" s="290"/>
      <c r="P790" s="290"/>
      <c r="Q790" s="290"/>
      <c r="R790" s="290"/>
      <c r="S790" s="290"/>
      <c r="T790" s="290"/>
      <c r="U790" s="294"/>
      <c r="V790" s="290"/>
      <c r="W790" s="290"/>
      <c r="X790" s="291"/>
      <c r="Y790" s="295"/>
      <c r="Z790" s="295"/>
      <c r="AA790" s="296"/>
      <c r="AB790" s="296"/>
      <c r="AC790" s="291"/>
      <c r="AD790" s="291"/>
      <c r="AE790" s="291"/>
      <c r="AF790" s="291"/>
      <c r="AG790" s="291"/>
      <c r="AH790" s="291"/>
      <c r="AI790" s="291"/>
      <c r="AJ790" s="291"/>
      <c r="AK790" s="290"/>
      <c r="AL790" s="290"/>
      <c r="AM790" s="290"/>
      <c r="AN790" s="290"/>
      <c r="AO790" s="290"/>
      <c r="AP790" s="290"/>
      <c r="AQ790" s="290"/>
      <c r="AR790" s="290"/>
      <c r="AS790" s="290"/>
      <c r="AT790" s="290"/>
      <c r="AU790" s="290"/>
      <c r="AV790" s="290"/>
      <c r="AW790" s="290"/>
      <c r="AX790" s="290"/>
      <c r="AY790" s="290"/>
      <c r="AZ790" s="290"/>
      <c r="BA790" s="290"/>
      <c r="BG790" s="307"/>
      <c r="BH790" s="307"/>
      <c r="BI790" s="307"/>
      <c r="BK790" s="300"/>
    </row>
    <row r="791" spans="1:63" s="298" customFormat="1" hidden="1" x14ac:dyDescent="0.25">
      <c r="A791" s="290"/>
      <c r="B791" s="291"/>
      <c r="C791" s="290"/>
      <c r="D791" s="290"/>
      <c r="E791" s="290"/>
      <c r="F791" s="290" t="s">
        <v>313</v>
      </c>
      <c r="G791" s="290"/>
      <c r="H791" s="301"/>
      <c r="I791" s="290"/>
      <c r="J791" s="290"/>
      <c r="K791" s="290"/>
      <c r="L791" s="290"/>
      <c r="M791" s="308"/>
      <c r="N791" s="290"/>
      <c r="O791" s="290"/>
      <c r="P791" s="290"/>
      <c r="Q791" s="290"/>
      <c r="R791" s="290"/>
      <c r="S791" s="290"/>
      <c r="T791" s="290"/>
      <c r="U791" s="294"/>
      <c r="V791" s="290"/>
      <c r="W791" s="290"/>
      <c r="X791" s="291"/>
      <c r="Y791" s="295"/>
      <c r="Z791" s="295"/>
      <c r="AA791" s="296"/>
      <c r="AB791" s="296"/>
      <c r="AC791" s="291"/>
      <c r="AD791" s="291"/>
      <c r="AE791" s="291"/>
      <c r="AF791" s="291"/>
      <c r="AG791" s="291"/>
      <c r="AH791" s="291"/>
      <c r="AI791" s="291"/>
      <c r="AJ791" s="291"/>
      <c r="AK791" s="290"/>
      <c r="AL791" s="290"/>
      <c r="AM791" s="290"/>
      <c r="AN791" s="290"/>
      <c r="AO791" s="290"/>
      <c r="AP791" s="290"/>
      <c r="AQ791" s="290"/>
      <c r="AR791" s="290"/>
      <c r="AS791" s="290"/>
      <c r="AT791" s="290"/>
      <c r="AU791" s="290"/>
      <c r="AV791" s="290"/>
      <c r="AW791" s="290"/>
      <c r="AX791" s="290"/>
      <c r="AY791" s="290"/>
      <c r="AZ791" s="290"/>
      <c r="BA791" s="290"/>
      <c r="BG791" s="307"/>
      <c r="BH791" s="307"/>
      <c r="BI791" s="307"/>
      <c r="BK791" s="300"/>
    </row>
    <row r="792" spans="1:63" s="298" customFormat="1" hidden="1" x14ac:dyDescent="0.25">
      <c r="A792" s="290"/>
      <c r="B792" s="291"/>
      <c r="C792" s="290"/>
      <c r="D792" s="290"/>
      <c r="E792" s="290"/>
      <c r="F792" s="290" t="s">
        <v>314</v>
      </c>
      <c r="G792" s="290"/>
      <c r="H792" s="301"/>
      <c r="I792" s="290"/>
      <c r="J792" s="290"/>
      <c r="K792" s="290"/>
      <c r="L792" s="290"/>
      <c r="M792" s="308"/>
      <c r="N792" s="290"/>
      <c r="O792" s="290"/>
      <c r="P792" s="290"/>
      <c r="Q792" s="290"/>
      <c r="R792" s="290"/>
      <c r="S792" s="290"/>
      <c r="T792" s="290"/>
      <c r="U792" s="294"/>
      <c r="V792" s="290"/>
      <c r="W792" s="290"/>
      <c r="X792" s="291"/>
      <c r="Y792" s="295"/>
      <c r="Z792" s="295"/>
      <c r="AA792" s="296"/>
      <c r="AB792" s="296"/>
      <c r="AC792" s="291"/>
      <c r="AD792" s="291"/>
      <c r="AE792" s="291"/>
      <c r="AF792" s="291"/>
      <c r="AG792" s="291"/>
      <c r="AH792" s="291"/>
      <c r="AI792" s="291"/>
      <c r="AJ792" s="291"/>
      <c r="AK792" s="290"/>
      <c r="AL792" s="290"/>
      <c r="AM792" s="290"/>
      <c r="AN792" s="290"/>
      <c r="AO792" s="290"/>
      <c r="AP792" s="290"/>
      <c r="AQ792" s="290"/>
      <c r="AR792" s="290"/>
      <c r="AS792" s="290"/>
      <c r="AT792" s="290"/>
      <c r="AU792" s="290"/>
      <c r="AV792" s="290"/>
      <c r="AW792" s="290"/>
      <c r="AX792" s="290"/>
      <c r="AY792" s="290"/>
      <c r="AZ792" s="290"/>
      <c r="BA792" s="290"/>
      <c r="BG792" s="307"/>
      <c r="BH792" s="307"/>
      <c r="BI792" s="307"/>
      <c r="BK792" s="300"/>
    </row>
    <row r="793" spans="1:63" s="298" customFormat="1" hidden="1" x14ac:dyDescent="0.25">
      <c r="A793" s="290"/>
      <c r="B793" s="291"/>
      <c r="C793" s="290"/>
      <c r="D793" s="290"/>
      <c r="E793" s="290"/>
      <c r="F793" s="290" t="s">
        <v>315</v>
      </c>
      <c r="G793" s="290"/>
      <c r="H793" s="301"/>
      <c r="I793" s="290"/>
      <c r="J793" s="290"/>
      <c r="K793" s="290"/>
      <c r="L793" s="290"/>
      <c r="M793" s="308"/>
      <c r="N793" s="290"/>
      <c r="O793" s="290"/>
      <c r="P793" s="290"/>
      <c r="Q793" s="290"/>
      <c r="R793" s="290"/>
      <c r="S793" s="290"/>
      <c r="T793" s="290"/>
      <c r="U793" s="294"/>
      <c r="V793" s="290"/>
      <c r="W793" s="290"/>
      <c r="X793" s="291"/>
      <c r="Y793" s="295"/>
      <c r="Z793" s="295"/>
      <c r="AA793" s="296"/>
      <c r="AB793" s="296"/>
      <c r="AC793" s="291"/>
      <c r="AD793" s="291"/>
      <c r="AE793" s="291"/>
      <c r="AF793" s="291"/>
      <c r="AG793" s="291"/>
      <c r="AH793" s="291"/>
      <c r="AI793" s="291"/>
      <c r="AJ793" s="291"/>
      <c r="AK793" s="290"/>
      <c r="AL793" s="290"/>
      <c r="AM793" s="290"/>
      <c r="AN793" s="290"/>
      <c r="AO793" s="290"/>
      <c r="AP793" s="290"/>
      <c r="AQ793" s="290"/>
      <c r="AR793" s="290"/>
      <c r="AS793" s="290"/>
      <c r="AT793" s="290"/>
      <c r="AU793" s="290"/>
      <c r="AV793" s="290"/>
      <c r="AW793" s="290"/>
      <c r="AX793" s="290"/>
      <c r="AY793" s="290"/>
      <c r="AZ793" s="290"/>
      <c r="BA793" s="290"/>
      <c r="BG793" s="307"/>
      <c r="BH793" s="307"/>
      <c r="BI793" s="307"/>
      <c r="BK793" s="300"/>
    </row>
    <row r="794" spans="1:63" s="298" customFormat="1" hidden="1" x14ac:dyDescent="0.25">
      <c r="A794" s="290"/>
      <c r="B794" s="291"/>
      <c r="C794" s="290"/>
      <c r="D794" s="290"/>
      <c r="E794" s="290"/>
      <c r="F794" s="290" t="s">
        <v>316</v>
      </c>
      <c r="G794" s="290"/>
      <c r="H794" s="301"/>
      <c r="I794" s="290"/>
      <c r="J794" s="290"/>
      <c r="K794" s="290"/>
      <c r="L794" s="290"/>
      <c r="M794" s="308"/>
      <c r="N794" s="290"/>
      <c r="O794" s="290"/>
      <c r="P794" s="290"/>
      <c r="Q794" s="290"/>
      <c r="R794" s="290"/>
      <c r="S794" s="290"/>
      <c r="T794" s="290"/>
      <c r="U794" s="294"/>
      <c r="V794" s="290"/>
      <c r="W794" s="290"/>
      <c r="X794" s="291"/>
      <c r="Y794" s="295"/>
      <c r="Z794" s="295"/>
      <c r="AA794" s="296"/>
      <c r="AB794" s="296"/>
      <c r="AC794" s="291"/>
      <c r="AD794" s="291"/>
      <c r="AE794" s="291"/>
      <c r="AF794" s="291"/>
      <c r="AG794" s="291"/>
      <c r="AH794" s="291"/>
      <c r="AI794" s="291"/>
      <c r="AJ794" s="291"/>
      <c r="AK794" s="290"/>
      <c r="AL794" s="290"/>
      <c r="AM794" s="290"/>
      <c r="AN794" s="290"/>
      <c r="AO794" s="290"/>
      <c r="AP794" s="290"/>
      <c r="AQ794" s="290"/>
      <c r="AR794" s="290"/>
      <c r="AS794" s="290"/>
      <c r="AT794" s="290"/>
      <c r="AU794" s="290"/>
      <c r="AV794" s="290"/>
      <c r="AW794" s="290"/>
      <c r="AX794" s="290"/>
      <c r="AY794" s="290"/>
      <c r="AZ794" s="290"/>
      <c r="BA794" s="290"/>
      <c r="BG794" s="307"/>
      <c r="BH794" s="307"/>
      <c r="BI794" s="307"/>
      <c r="BK794" s="300"/>
    </row>
    <row r="795" spans="1:63" s="298" customFormat="1" hidden="1" x14ac:dyDescent="0.25">
      <c r="A795" s="290"/>
      <c r="B795" s="291"/>
      <c r="C795" s="290"/>
      <c r="D795" s="290"/>
      <c r="E795" s="290"/>
      <c r="F795" s="290" t="s">
        <v>317</v>
      </c>
      <c r="G795" s="290"/>
      <c r="H795" s="301"/>
      <c r="I795" s="290"/>
      <c r="J795" s="290"/>
      <c r="K795" s="290"/>
      <c r="L795" s="290"/>
      <c r="M795" s="308"/>
      <c r="N795" s="290"/>
      <c r="O795" s="290"/>
      <c r="P795" s="290"/>
      <c r="Q795" s="290"/>
      <c r="R795" s="290"/>
      <c r="S795" s="290"/>
      <c r="T795" s="290"/>
      <c r="U795" s="294"/>
      <c r="V795" s="290"/>
      <c r="W795" s="290"/>
      <c r="X795" s="291"/>
      <c r="Y795" s="295"/>
      <c r="Z795" s="295"/>
      <c r="AA795" s="296"/>
      <c r="AB795" s="296"/>
      <c r="AC795" s="291"/>
      <c r="AD795" s="291"/>
      <c r="AE795" s="291"/>
      <c r="AF795" s="291"/>
      <c r="AG795" s="291"/>
      <c r="AH795" s="291"/>
      <c r="AI795" s="291"/>
      <c r="AJ795" s="291"/>
      <c r="AK795" s="290"/>
      <c r="AL795" s="290"/>
      <c r="AM795" s="290"/>
      <c r="AN795" s="290"/>
      <c r="AO795" s="290"/>
      <c r="AP795" s="290"/>
      <c r="AQ795" s="290"/>
      <c r="AR795" s="290"/>
      <c r="AS795" s="290"/>
      <c r="AT795" s="290"/>
      <c r="AU795" s="290"/>
      <c r="AV795" s="290"/>
      <c r="AW795" s="290"/>
      <c r="AX795" s="290"/>
      <c r="AY795" s="290"/>
      <c r="AZ795" s="290"/>
      <c r="BA795" s="290"/>
      <c r="BG795" s="307"/>
      <c r="BH795" s="307"/>
      <c r="BI795" s="307"/>
      <c r="BK795" s="300"/>
    </row>
    <row r="796" spans="1:63" s="298" customFormat="1" hidden="1" x14ac:dyDescent="0.25">
      <c r="A796" s="290"/>
      <c r="B796" s="291"/>
      <c r="C796" s="290"/>
      <c r="D796" s="290"/>
      <c r="E796" s="290"/>
      <c r="F796" s="290" t="s">
        <v>318</v>
      </c>
      <c r="G796" s="290"/>
      <c r="H796" s="301"/>
      <c r="I796" s="290"/>
      <c r="J796" s="290"/>
      <c r="K796" s="290"/>
      <c r="L796" s="290"/>
      <c r="M796" s="308"/>
      <c r="N796" s="290"/>
      <c r="O796" s="290"/>
      <c r="P796" s="290"/>
      <c r="Q796" s="290"/>
      <c r="R796" s="290"/>
      <c r="S796" s="290"/>
      <c r="T796" s="290"/>
      <c r="U796" s="294"/>
      <c r="V796" s="290"/>
      <c r="W796" s="290"/>
      <c r="X796" s="291"/>
      <c r="Y796" s="295"/>
      <c r="Z796" s="295"/>
      <c r="AA796" s="296"/>
      <c r="AB796" s="296"/>
      <c r="AC796" s="291"/>
      <c r="AD796" s="291"/>
      <c r="AE796" s="291"/>
      <c r="AF796" s="291"/>
      <c r="AG796" s="291"/>
      <c r="AH796" s="291"/>
      <c r="AI796" s="291"/>
      <c r="AJ796" s="291"/>
      <c r="AK796" s="290"/>
      <c r="AL796" s="290"/>
      <c r="AM796" s="290"/>
      <c r="AN796" s="290"/>
      <c r="AO796" s="290"/>
      <c r="AP796" s="290"/>
      <c r="AQ796" s="290"/>
      <c r="AR796" s="290"/>
      <c r="AS796" s="290"/>
      <c r="AT796" s="290"/>
      <c r="AU796" s="290"/>
      <c r="AV796" s="290"/>
      <c r="AW796" s="290"/>
      <c r="AX796" s="290"/>
      <c r="AY796" s="290"/>
      <c r="AZ796" s="290"/>
      <c r="BA796" s="290"/>
      <c r="BG796" s="307"/>
      <c r="BH796" s="307"/>
      <c r="BI796" s="307"/>
      <c r="BK796" s="300"/>
    </row>
    <row r="797" spans="1:63" s="298" customFormat="1" hidden="1" x14ac:dyDescent="0.15">
      <c r="A797" s="290"/>
      <c r="B797" s="291"/>
      <c r="C797" s="290"/>
      <c r="D797" s="290"/>
      <c r="E797" s="290"/>
      <c r="F797" s="290" t="s">
        <v>319</v>
      </c>
      <c r="G797" s="290"/>
      <c r="H797" s="314"/>
      <c r="I797" s="290"/>
      <c r="J797" s="290"/>
      <c r="K797" s="290"/>
      <c r="L797" s="290"/>
      <c r="M797" s="308"/>
      <c r="N797" s="290"/>
      <c r="O797" s="290"/>
      <c r="P797" s="290"/>
      <c r="Q797" s="290"/>
      <c r="R797" s="290"/>
      <c r="S797" s="290"/>
      <c r="T797" s="290"/>
      <c r="U797" s="294"/>
      <c r="V797" s="290"/>
      <c r="W797" s="290"/>
      <c r="X797" s="291"/>
      <c r="Y797" s="295"/>
      <c r="Z797" s="295"/>
      <c r="AA797" s="296"/>
      <c r="AB797" s="296"/>
      <c r="AC797" s="291"/>
      <c r="AD797" s="291"/>
      <c r="AE797" s="291"/>
      <c r="AF797" s="291"/>
      <c r="AG797" s="291"/>
      <c r="AH797" s="291"/>
      <c r="AI797" s="291"/>
      <c r="AJ797" s="291"/>
      <c r="AK797" s="290"/>
      <c r="AL797" s="290"/>
      <c r="AM797" s="290"/>
      <c r="AN797" s="290"/>
      <c r="AO797" s="290"/>
      <c r="AP797" s="290"/>
      <c r="AQ797" s="290"/>
      <c r="AR797" s="290"/>
      <c r="AS797" s="290"/>
      <c r="AT797" s="290"/>
      <c r="AU797" s="290"/>
      <c r="AV797" s="290"/>
      <c r="AW797" s="290"/>
      <c r="AX797" s="290"/>
      <c r="AY797" s="290"/>
      <c r="AZ797" s="290"/>
      <c r="BA797" s="290"/>
      <c r="BG797" s="307"/>
      <c r="BH797" s="307"/>
      <c r="BI797" s="307"/>
      <c r="BK797" s="300"/>
    </row>
    <row r="798" spans="1:63" s="298" customFormat="1" ht="15.75" hidden="1" x14ac:dyDescent="0.25">
      <c r="A798" s="290"/>
      <c r="B798" s="291"/>
      <c r="C798" s="290"/>
      <c r="D798" s="290"/>
      <c r="E798" s="290"/>
      <c r="F798" s="290" t="s">
        <v>320</v>
      </c>
      <c r="G798" s="290"/>
      <c r="H798" s="315"/>
      <c r="I798" s="290"/>
      <c r="J798" s="290"/>
      <c r="K798" s="290"/>
      <c r="L798" s="290"/>
      <c r="M798" s="308"/>
      <c r="N798" s="290"/>
      <c r="O798" s="290"/>
      <c r="P798" s="290"/>
      <c r="Q798" s="290"/>
      <c r="R798" s="290"/>
      <c r="S798" s="290"/>
      <c r="T798" s="290"/>
      <c r="U798" s="294"/>
      <c r="V798" s="290"/>
      <c r="W798" s="290"/>
      <c r="X798" s="291"/>
      <c r="Y798" s="295"/>
      <c r="Z798" s="295"/>
      <c r="AA798" s="296"/>
      <c r="AB798" s="296"/>
      <c r="AC798" s="291"/>
      <c r="AD798" s="291"/>
      <c r="AE798" s="291"/>
      <c r="AF798" s="291"/>
      <c r="AG798" s="291"/>
      <c r="AH798" s="291"/>
      <c r="AI798" s="291"/>
      <c r="AJ798" s="291"/>
      <c r="AK798" s="290"/>
      <c r="AL798" s="290"/>
      <c r="AM798" s="290"/>
      <c r="AN798" s="290"/>
      <c r="AO798" s="290"/>
      <c r="AP798" s="290"/>
      <c r="AQ798" s="290"/>
      <c r="AR798" s="290"/>
      <c r="AS798" s="290"/>
      <c r="AT798" s="290"/>
      <c r="AU798" s="290"/>
      <c r="AV798" s="290"/>
      <c r="AW798" s="290"/>
      <c r="AX798" s="290"/>
      <c r="AY798" s="290"/>
      <c r="AZ798" s="290"/>
      <c r="BA798" s="290"/>
      <c r="BG798" s="307"/>
      <c r="BH798" s="307"/>
      <c r="BI798" s="307"/>
      <c r="BK798" s="300"/>
    </row>
    <row r="799" spans="1:63" s="298" customFormat="1" ht="15" hidden="1" x14ac:dyDescent="0.25">
      <c r="A799" s="290"/>
      <c r="B799" s="291"/>
      <c r="C799" s="290"/>
      <c r="D799" s="290"/>
      <c r="E799" s="290"/>
      <c r="F799" s="290" t="s">
        <v>321</v>
      </c>
      <c r="G799" s="290"/>
      <c r="H799" s="316"/>
      <c r="I799" s="290"/>
      <c r="J799" s="290"/>
      <c r="K799" s="290"/>
      <c r="L799" s="290"/>
      <c r="M799" s="308"/>
      <c r="N799" s="290"/>
      <c r="O799" s="290"/>
      <c r="P799" s="290"/>
      <c r="Q799" s="290"/>
      <c r="R799" s="290"/>
      <c r="S799" s="290"/>
      <c r="T799" s="290"/>
      <c r="U799" s="294"/>
      <c r="V799" s="290"/>
      <c r="W799" s="290"/>
      <c r="X799" s="291"/>
      <c r="Y799" s="295"/>
      <c r="Z799" s="295"/>
      <c r="AA799" s="296"/>
      <c r="AB799" s="296"/>
      <c r="AC799" s="291"/>
      <c r="AD799" s="291"/>
      <c r="AE799" s="291"/>
      <c r="AF799" s="291"/>
      <c r="AG799" s="291"/>
      <c r="AH799" s="291"/>
      <c r="AI799" s="291"/>
      <c r="AJ799" s="291"/>
      <c r="AK799" s="290"/>
      <c r="AL799" s="290"/>
      <c r="AM799" s="290"/>
      <c r="AN799" s="290"/>
      <c r="AO799" s="290"/>
      <c r="AP799" s="290"/>
      <c r="AQ799" s="290"/>
      <c r="AR799" s="290"/>
      <c r="AS799" s="290"/>
      <c r="AT799" s="290"/>
      <c r="AU799" s="290"/>
      <c r="AV799" s="290"/>
      <c r="AW799" s="290"/>
      <c r="AX799" s="290"/>
      <c r="AY799" s="290"/>
      <c r="AZ799" s="290"/>
      <c r="BA799" s="290"/>
      <c r="BG799" s="307"/>
      <c r="BH799" s="307"/>
      <c r="BI799" s="307"/>
      <c r="BK799" s="300"/>
    </row>
    <row r="800" spans="1:63" s="298" customFormat="1" ht="15" hidden="1" x14ac:dyDescent="0.25">
      <c r="A800" s="290"/>
      <c r="B800" s="291"/>
      <c r="C800" s="290"/>
      <c r="D800" s="290"/>
      <c r="E800" s="290"/>
      <c r="F800" s="290" t="s">
        <v>322</v>
      </c>
      <c r="G800" s="290"/>
      <c r="H800" s="316"/>
      <c r="I800" s="290"/>
      <c r="J800" s="290"/>
      <c r="K800" s="290"/>
      <c r="L800" s="290"/>
      <c r="M800" s="308"/>
      <c r="N800" s="290"/>
      <c r="O800" s="290"/>
      <c r="P800" s="290"/>
      <c r="Q800" s="290"/>
      <c r="R800" s="290"/>
      <c r="S800" s="290"/>
      <c r="T800" s="290"/>
      <c r="U800" s="294"/>
      <c r="V800" s="290"/>
      <c r="W800" s="290"/>
      <c r="X800" s="291"/>
      <c r="Y800" s="295"/>
      <c r="Z800" s="295"/>
      <c r="AA800" s="296"/>
      <c r="AB800" s="296"/>
      <c r="AC800" s="291"/>
      <c r="AD800" s="291"/>
      <c r="AE800" s="291"/>
      <c r="AF800" s="291"/>
      <c r="AG800" s="291"/>
      <c r="AH800" s="291"/>
      <c r="AI800" s="291"/>
      <c r="AJ800" s="291"/>
      <c r="AK800" s="290"/>
      <c r="AL800" s="290"/>
      <c r="AM800" s="290"/>
      <c r="AN800" s="290"/>
      <c r="AO800" s="290"/>
      <c r="AP800" s="290"/>
      <c r="AQ800" s="290"/>
      <c r="AR800" s="290"/>
      <c r="AS800" s="290"/>
      <c r="AT800" s="290"/>
      <c r="AU800" s="290"/>
      <c r="AV800" s="290"/>
      <c r="AW800" s="290"/>
      <c r="AX800" s="290"/>
      <c r="AY800" s="290"/>
      <c r="AZ800" s="290"/>
      <c r="BA800" s="290"/>
      <c r="BG800" s="307"/>
      <c r="BH800" s="307"/>
      <c r="BI800" s="307"/>
      <c r="BK800" s="300"/>
    </row>
    <row r="801" spans="1:63" s="298" customFormat="1" ht="15" hidden="1" x14ac:dyDescent="0.25">
      <c r="A801" s="290"/>
      <c r="B801" s="291"/>
      <c r="C801" s="290"/>
      <c r="D801" s="290"/>
      <c r="E801" s="290"/>
      <c r="F801" s="290" t="s">
        <v>323</v>
      </c>
      <c r="G801" s="290"/>
      <c r="H801" s="316"/>
      <c r="I801" s="290"/>
      <c r="J801" s="290"/>
      <c r="K801" s="290"/>
      <c r="L801" s="290"/>
      <c r="M801" s="308"/>
      <c r="N801" s="290"/>
      <c r="O801" s="290"/>
      <c r="P801" s="290"/>
      <c r="Q801" s="290"/>
      <c r="R801" s="290"/>
      <c r="S801" s="290"/>
      <c r="T801" s="290"/>
      <c r="U801" s="294"/>
      <c r="V801" s="290"/>
      <c r="W801" s="290"/>
      <c r="X801" s="291"/>
      <c r="Y801" s="295"/>
      <c r="Z801" s="295"/>
      <c r="AA801" s="296"/>
      <c r="AB801" s="296"/>
      <c r="AC801" s="291"/>
      <c r="AD801" s="291"/>
      <c r="AE801" s="291"/>
      <c r="AF801" s="291"/>
      <c r="AG801" s="291"/>
      <c r="AH801" s="291"/>
      <c r="AI801" s="291"/>
      <c r="AJ801" s="291"/>
      <c r="AK801" s="290"/>
      <c r="AL801" s="290"/>
      <c r="AM801" s="290"/>
      <c r="AN801" s="290"/>
      <c r="AO801" s="290"/>
      <c r="AP801" s="290"/>
      <c r="AQ801" s="290"/>
      <c r="AR801" s="290"/>
      <c r="AS801" s="290"/>
      <c r="AT801" s="290"/>
      <c r="AU801" s="290"/>
      <c r="AV801" s="290"/>
      <c r="AW801" s="290"/>
      <c r="AX801" s="290"/>
      <c r="AY801" s="290"/>
      <c r="AZ801" s="290"/>
      <c r="BA801" s="290"/>
      <c r="BG801" s="307"/>
      <c r="BH801" s="307"/>
      <c r="BI801" s="307"/>
      <c r="BK801" s="300"/>
    </row>
    <row r="802" spans="1:63" s="298" customFormat="1" ht="15" hidden="1" x14ac:dyDescent="0.25">
      <c r="A802" s="290"/>
      <c r="B802" s="291"/>
      <c r="C802" s="290"/>
      <c r="D802" s="290"/>
      <c r="E802" s="290"/>
      <c r="F802" s="290" t="s">
        <v>324</v>
      </c>
      <c r="G802" s="290"/>
      <c r="H802" s="316"/>
      <c r="I802" s="290"/>
      <c r="J802" s="290"/>
      <c r="K802" s="290"/>
      <c r="L802" s="290"/>
      <c r="M802" s="308"/>
      <c r="N802" s="290"/>
      <c r="O802" s="290"/>
      <c r="P802" s="290"/>
      <c r="Q802" s="290"/>
      <c r="R802" s="290"/>
      <c r="S802" s="290"/>
      <c r="T802" s="290"/>
      <c r="U802" s="294"/>
      <c r="V802" s="290"/>
      <c r="W802" s="290"/>
      <c r="X802" s="291"/>
      <c r="Y802" s="295"/>
      <c r="Z802" s="295"/>
      <c r="AA802" s="296"/>
      <c r="AB802" s="296"/>
      <c r="AC802" s="291"/>
      <c r="AD802" s="291"/>
      <c r="AE802" s="291"/>
      <c r="AF802" s="291"/>
      <c r="AG802" s="291"/>
      <c r="AH802" s="291"/>
      <c r="AI802" s="291"/>
      <c r="AJ802" s="291"/>
      <c r="AK802" s="290"/>
      <c r="AL802" s="290"/>
      <c r="AM802" s="290"/>
      <c r="AN802" s="290"/>
      <c r="AO802" s="290"/>
      <c r="AP802" s="290"/>
      <c r="AQ802" s="290"/>
      <c r="AR802" s="290"/>
      <c r="AS802" s="290"/>
      <c r="AT802" s="290"/>
      <c r="AU802" s="290"/>
      <c r="AV802" s="290"/>
      <c r="AW802" s="290"/>
      <c r="AX802" s="290"/>
      <c r="AY802" s="290"/>
      <c r="AZ802" s="290"/>
      <c r="BA802" s="290"/>
      <c r="BG802" s="307"/>
      <c r="BH802" s="307"/>
      <c r="BI802" s="307"/>
      <c r="BK802" s="300"/>
    </row>
    <row r="803" spans="1:63" s="298" customFormat="1" ht="15" hidden="1" x14ac:dyDescent="0.25">
      <c r="A803" s="290"/>
      <c r="B803" s="291"/>
      <c r="C803" s="290"/>
      <c r="D803" s="290"/>
      <c r="E803" s="290"/>
      <c r="F803" s="290" t="s">
        <v>325</v>
      </c>
      <c r="G803" s="290"/>
      <c r="H803" s="316"/>
      <c r="I803" s="290"/>
      <c r="J803" s="290"/>
      <c r="K803" s="290"/>
      <c r="L803" s="290"/>
      <c r="M803" s="308"/>
      <c r="N803" s="290"/>
      <c r="O803" s="290"/>
      <c r="P803" s="290"/>
      <c r="Q803" s="290"/>
      <c r="R803" s="290"/>
      <c r="S803" s="290"/>
      <c r="T803" s="290"/>
      <c r="U803" s="294"/>
      <c r="V803" s="290"/>
      <c r="W803" s="290"/>
      <c r="X803" s="291"/>
      <c r="Y803" s="295"/>
      <c r="Z803" s="295"/>
      <c r="AA803" s="296"/>
      <c r="AB803" s="296"/>
      <c r="AC803" s="291"/>
      <c r="AD803" s="291"/>
      <c r="AE803" s="291"/>
      <c r="AF803" s="291"/>
      <c r="AG803" s="291"/>
      <c r="AH803" s="291"/>
      <c r="AI803" s="291"/>
      <c r="AJ803" s="291"/>
      <c r="AK803" s="290"/>
      <c r="AL803" s="290"/>
      <c r="AM803" s="290"/>
      <c r="AN803" s="290"/>
      <c r="AO803" s="290"/>
      <c r="AP803" s="290"/>
      <c r="AQ803" s="290"/>
      <c r="AR803" s="290"/>
      <c r="AS803" s="290"/>
      <c r="AT803" s="290"/>
      <c r="AU803" s="290"/>
      <c r="AV803" s="290"/>
      <c r="AW803" s="290"/>
      <c r="AX803" s="290"/>
      <c r="AY803" s="290"/>
      <c r="AZ803" s="290"/>
      <c r="BA803" s="290"/>
      <c r="BG803" s="307"/>
      <c r="BH803" s="307"/>
      <c r="BI803" s="307"/>
      <c r="BK803" s="300"/>
    </row>
    <row r="804" spans="1:63" s="298" customFormat="1" ht="15" hidden="1" x14ac:dyDescent="0.25">
      <c r="A804" s="290"/>
      <c r="B804" s="291"/>
      <c r="C804" s="290"/>
      <c r="D804" s="290"/>
      <c r="E804" s="290"/>
      <c r="F804" s="290" t="s">
        <v>326</v>
      </c>
      <c r="G804" s="290"/>
      <c r="H804" s="316"/>
      <c r="I804" s="290"/>
      <c r="J804" s="290"/>
      <c r="K804" s="290"/>
      <c r="L804" s="290"/>
      <c r="M804" s="308"/>
      <c r="N804" s="290"/>
      <c r="O804" s="290"/>
      <c r="P804" s="290"/>
      <c r="Q804" s="290"/>
      <c r="R804" s="290"/>
      <c r="S804" s="290"/>
      <c r="T804" s="290"/>
      <c r="U804" s="294"/>
      <c r="V804" s="290"/>
      <c r="W804" s="290"/>
      <c r="X804" s="291"/>
      <c r="Y804" s="295"/>
      <c r="Z804" s="295"/>
      <c r="AA804" s="296"/>
      <c r="AB804" s="296"/>
      <c r="AC804" s="291"/>
      <c r="AD804" s="291"/>
      <c r="AE804" s="291"/>
      <c r="AF804" s="291"/>
      <c r="AG804" s="291"/>
      <c r="AH804" s="291"/>
      <c r="AI804" s="291"/>
      <c r="AJ804" s="291"/>
      <c r="AK804" s="290"/>
      <c r="AL804" s="290"/>
      <c r="AM804" s="290"/>
      <c r="AN804" s="290"/>
      <c r="AO804" s="290"/>
      <c r="AP804" s="290"/>
      <c r="AQ804" s="290"/>
      <c r="AR804" s="290"/>
      <c r="AS804" s="290"/>
      <c r="AT804" s="290"/>
      <c r="AU804" s="290"/>
      <c r="AV804" s="290"/>
      <c r="AW804" s="290"/>
      <c r="AX804" s="290"/>
      <c r="AY804" s="290"/>
      <c r="AZ804" s="290"/>
      <c r="BA804" s="290"/>
      <c r="BG804" s="307"/>
      <c r="BH804" s="307"/>
      <c r="BI804" s="307"/>
      <c r="BK804" s="300"/>
    </row>
    <row r="805" spans="1:63" s="298" customFormat="1" ht="15" hidden="1" x14ac:dyDescent="0.25">
      <c r="A805" s="290"/>
      <c r="B805" s="291"/>
      <c r="C805" s="290"/>
      <c r="D805" s="290"/>
      <c r="E805" s="290"/>
      <c r="F805" s="290" t="s">
        <v>327</v>
      </c>
      <c r="G805" s="290"/>
      <c r="H805" s="317"/>
      <c r="I805" s="290"/>
      <c r="J805" s="290"/>
      <c r="K805" s="290"/>
      <c r="L805" s="290"/>
      <c r="M805" s="308"/>
      <c r="N805" s="290"/>
      <c r="O805" s="290"/>
      <c r="P805" s="290"/>
      <c r="Q805" s="290"/>
      <c r="R805" s="290"/>
      <c r="S805" s="290"/>
      <c r="T805" s="290"/>
      <c r="U805" s="294"/>
      <c r="V805" s="290"/>
      <c r="W805" s="290"/>
      <c r="X805" s="291"/>
      <c r="Y805" s="295"/>
      <c r="Z805" s="295"/>
      <c r="AA805" s="296"/>
      <c r="AB805" s="296"/>
      <c r="AC805" s="291"/>
      <c r="AD805" s="291"/>
      <c r="AE805" s="291"/>
      <c r="AF805" s="291"/>
      <c r="AG805" s="291"/>
      <c r="AH805" s="291"/>
      <c r="AI805" s="291"/>
      <c r="AJ805" s="291"/>
      <c r="AK805" s="290"/>
      <c r="AL805" s="290"/>
      <c r="AM805" s="290"/>
      <c r="AN805" s="290"/>
      <c r="AO805" s="290"/>
      <c r="AP805" s="290"/>
      <c r="AQ805" s="290"/>
      <c r="AR805" s="290"/>
      <c r="AS805" s="290"/>
      <c r="AT805" s="290"/>
      <c r="AU805" s="290"/>
      <c r="AV805" s="290"/>
      <c r="AW805" s="290"/>
      <c r="AX805" s="290"/>
      <c r="AY805" s="290"/>
      <c r="AZ805" s="290"/>
      <c r="BA805" s="290"/>
      <c r="BG805" s="307"/>
      <c r="BH805" s="307"/>
      <c r="BI805" s="307"/>
      <c r="BK805" s="300"/>
    </row>
    <row r="806" spans="1:63" s="298" customFormat="1" ht="15.75" hidden="1" x14ac:dyDescent="0.25">
      <c r="A806" s="290"/>
      <c r="B806" s="291"/>
      <c r="C806" s="290"/>
      <c r="D806" s="290"/>
      <c r="E806" s="290"/>
      <c r="F806" s="290" t="s">
        <v>328</v>
      </c>
      <c r="G806" s="290"/>
      <c r="H806" s="315"/>
      <c r="I806" s="290"/>
      <c r="J806" s="290"/>
      <c r="K806" s="290"/>
      <c r="L806" s="290"/>
      <c r="M806" s="308"/>
      <c r="N806" s="290"/>
      <c r="O806" s="290"/>
      <c r="P806" s="290"/>
      <c r="Q806" s="290"/>
      <c r="R806" s="290"/>
      <c r="S806" s="290"/>
      <c r="T806" s="290"/>
      <c r="U806" s="294"/>
      <c r="V806" s="290"/>
      <c r="W806" s="290"/>
      <c r="X806" s="291"/>
      <c r="Y806" s="295"/>
      <c r="Z806" s="295"/>
      <c r="AA806" s="296"/>
      <c r="AB806" s="296"/>
      <c r="AC806" s="291"/>
      <c r="AD806" s="291"/>
      <c r="AE806" s="291"/>
      <c r="AF806" s="291"/>
      <c r="AG806" s="291"/>
      <c r="AH806" s="291"/>
      <c r="AI806" s="291"/>
      <c r="AJ806" s="291"/>
      <c r="AK806" s="290"/>
      <c r="AL806" s="290"/>
      <c r="AM806" s="290"/>
      <c r="AN806" s="290"/>
      <c r="AO806" s="290"/>
      <c r="AP806" s="290"/>
      <c r="AQ806" s="290"/>
      <c r="AR806" s="290"/>
      <c r="AS806" s="290"/>
      <c r="AT806" s="290"/>
      <c r="AU806" s="290"/>
      <c r="AV806" s="290"/>
      <c r="AW806" s="290"/>
      <c r="AX806" s="290"/>
      <c r="AY806" s="290"/>
      <c r="AZ806" s="290"/>
      <c r="BA806" s="290"/>
      <c r="BG806" s="307"/>
      <c r="BH806" s="307"/>
      <c r="BI806" s="307"/>
      <c r="BK806" s="300"/>
    </row>
    <row r="807" spans="1:63" s="298" customFormat="1" ht="15" hidden="1" x14ac:dyDescent="0.25">
      <c r="A807" s="290"/>
      <c r="B807" s="291"/>
      <c r="C807" s="290"/>
      <c r="D807" s="290"/>
      <c r="E807" s="290"/>
      <c r="F807" s="290" t="s">
        <v>329</v>
      </c>
      <c r="G807" s="290"/>
      <c r="H807" s="316"/>
      <c r="I807" s="290"/>
      <c r="J807" s="290"/>
      <c r="K807" s="290"/>
      <c r="L807" s="290"/>
      <c r="M807" s="308"/>
      <c r="N807" s="290"/>
      <c r="O807" s="290"/>
      <c r="P807" s="290"/>
      <c r="Q807" s="290"/>
      <c r="R807" s="290"/>
      <c r="S807" s="290"/>
      <c r="T807" s="290"/>
      <c r="U807" s="294"/>
      <c r="V807" s="290"/>
      <c r="W807" s="290"/>
      <c r="X807" s="291"/>
      <c r="Y807" s="295"/>
      <c r="Z807" s="295"/>
      <c r="AA807" s="296"/>
      <c r="AB807" s="296"/>
      <c r="AC807" s="291"/>
      <c r="AD807" s="291"/>
      <c r="AE807" s="291"/>
      <c r="AF807" s="291"/>
      <c r="AG807" s="291"/>
      <c r="AH807" s="291"/>
      <c r="AI807" s="291"/>
      <c r="AJ807" s="291"/>
      <c r="AK807" s="290"/>
      <c r="AL807" s="290"/>
      <c r="AM807" s="290"/>
      <c r="AN807" s="290"/>
      <c r="AO807" s="290"/>
      <c r="AP807" s="290"/>
      <c r="AQ807" s="290"/>
      <c r="AR807" s="290"/>
      <c r="AS807" s="290"/>
      <c r="AT807" s="290"/>
      <c r="AU807" s="290"/>
      <c r="AV807" s="290"/>
      <c r="AW807" s="290"/>
      <c r="AX807" s="290"/>
      <c r="AY807" s="290"/>
      <c r="AZ807" s="290"/>
      <c r="BA807" s="290"/>
      <c r="BG807" s="307"/>
      <c r="BH807" s="307"/>
      <c r="BI807" s="307"/>
      <c r="BK807" s="300"/>
    </row>
    <row r="808" spans="1:63" s="298" customFormat="1" ht="15" hidden="1" x14ac:dyDescent="0.25">
      <c r="A808" s="290"/>
      <c r="B808" s="291"/>
      <c r="C808" s="290"/>
      <c r="D808" s="290"/>
      <c r="E808" s="290"/>
      <c r="F808" s="290" t="s">
        <v>330</v>
      </c>
      <c r="G808" s="290"/>
      <c r="H808" s="316"/>
      <c r="I808" s="290"/>
      <c r="J808" s="290"/>
      <c r="K808" s="290"/>
      <c r="L808" s="290"/>
      <c r="M808" s="308"/>
      <c r="N808" s="290"/>
      <c r="O808" s="290"/>
      <c r="P808" s="290"/>
      <c r="Q808" s="290"/>
      <c r="R808" s="290"/>
      <c r="S808" s="290"/>
      <c r="T808" s="290"/>
      <c r="U808" s="294"/>
      <c r="V808" s="290"/>
      <c r="W808" s="290"/>
      <c r="X808" s="291"/>
      <c r="Y808" s="295"/>
      <c r="Z808" s="295"/>
      <c r="AA808" s="296"/>
      <c r="AB808" s="296"/>
      <c r="AC808" s="291"/>
      <c r="AD808" s="291"/>
      <c r="AE808" s="291"/>
      <c r="AF808" s="291"/>
      <c r="AG808" s="291"/>
      <c r="AH808" s="291"/>
      <c r="AI808" s="291"/>
      <c r="AJ808" s="291"/>
      <c r="AK808" s="290"/>
      <c r="AL808" s="290"/>
      <c r="AM808" s="290"/>
      <c r="AN808" s="290"/>
      <c r="AO808" s="290"/>
      <c r="AP808" s="290"/>
      <c r="AQ808" s="290"/>
      <c r="AR808" s="290"/>
      <c r="AS808" s="290"/>
      <c r="AT808" s="290"/>
      <c r="AU808" s="290"/>
      <c r="AV808" s="290"/>
      <c r="AW808" s="290"/>
      <c r="AX808" s="290"/>
      <c r="AY808" s="290"/>
      <c r="AZ808" s="290"/>
      <c r="BA808" s="290"/>
      <c r="BG808" s="307"/>
      <c r="BH808" s="307"/>
      <c r="BI808" s="307"/>
      <c r="BK808" s="300"/>
    </row>
    <row r="809" spans="1:63" s="298" customFormat="1" ht="15" hidden="1" x14ac:dyDescent="0.25">
      <c r="A809" s="290"/>
      <c r="B809" s="291"/>
      <c r="C809" s="290"/>
      <c r="D809" s="290"/>
      <c r="E809" s="290"/>
      <c r="F809" s="290" t="s">
        <v>331</v>
      </c>
      <c r="G809" s="290"/>
      <c r="H809" s="316"/>
      <c r="I809" s="290"/>
      <c r="J809" s="290"/>
      <c r="K809" s="290"/>
      <c r="L809" s="290"/>
      <c r="M809" s="308"/>
      <c r="N809" s="290"/>
      <c r="O809" s="290"/>
      <c r="P809" s="290"/>
      <c r="Q809" s="290"/>
      <c r="R809" s="290"/>
      <c r="S809" s="290"/>
      <c r="T809" s="290"/>
      <c r="U809" s="294"/>
      <c r="V809" s="290"/>
      <c r="W809" s="290"/>
      <c r="X809" s="291"/>
      <c r="Y809" s="295"/>
      <c r="Z809" s="295"/>
      <c r="AA809" s="296"/>
      <c r="AB809" s="296"/>
      <c r="AC809" s="291"/>
      <c r="AD809" s="291"/>
      <c r="AE809" s="291"/>
      <c r="AF809" s="291"/>
      <c r="AG809" s="291"/>
      <c r="AH809" s="291"/>
      <c r="AI809" s="291"/>
      <c r="AJ809" s="291"/>
      <c r="AK809" s="290"/>
      <c r="AL809" s="290"/>
      <c r="AM809" s="290"/>
      <c r="AN809" s="290"/>
      <c r="AO809" s="290"/>
      <c r="AP809" s="290"/>
      <c r="AQ809" s="290"/>
      <c r="AR809" s="290"/>
      <c r="AS809" s="290"/>
      <c r="AT809" s="290"/>
      <c r="AU809" s="290"/>
      <c r="AV809" s="290"/>
      <c r="AW809" s="290"/>
      <c r="AX809" s="290"/>
      <c r="AY809" s="290"/>
      <c r="AZ809" s="290"/>
      <c r="BA809" s="290"/>
      <c r="BG809" s="307"/>
      <c r="BH809" s="307"/>
      <c r="BI809" s="307"/>
      <c r="BK809" s="300"/>
    </row>
    <row r="810" spans="1:63" s="298" customFormat="1" ht="15" hidden="1" x14ac:dyDescent="0.25">
      <c r="A810" s="290"/>
      <c r="B810" s="291"/>
      <c r="C810" s="290"/>
      <c r="D810" s="290"/>
      <c r="E810" s="290"/>
      <c r="F810" s="290"/>
      <c r="G810" s="290"/>
      <c r="H810" s="316"/>
      <c r="I810" s="290"/>
      <c r="J810" s="290"/>
      <c r="K810" s="290"/>
      <c r="L810" s="290"/>
      <c r="M810" s="308"/>
      <c r="N810" s="290"/>
      <c r="O810" s="290"/>
      <c r="P810" s="290"/>
      <c r="Q810" s="290"/>
      <c r="R810" s="290"/>
      <c r="S810" s="290"/>
      <c r="T810" s="290"/>
      <c r="U810" s="294"/>
      <c r="V810" s="290"/>
      <c r="W810" s="290"/>
      <c r="X810" s="291"/>
      <c r="Y810" s="295"/>
      <c r="Z810" s="295"/>
      <c r="AA810" s="296"/>
      <c r="AB810" s="296"/>
      <c r="AC810" s="291"/>
      <c r="AD810" s="291"/>
      <c r="AE810" s="291"/>
      <c r="AF810" s="291"/>
      <c r="AG810" s="291"/>
      <c r="AH810" s="291"/>
      <c r="AI810" s="291"/>
      <c r="AJ810" s="291"/>
      <c r="AK810" s="290"/>
      <c r="AL810" s="290"/>
      <c r="AM810" s="290"/>
      <c r="AN810" s="290"/>
      <c r="AO810" s="290"/>
      <c r="AP810" s="290"/>
      <c r="AQ810" s="290"/>
      <c r="AR810" s="290"/>
      <c r="AS810" s="290"/>
      <c r="AT810" s="290"/>
      <c r="AU810" s="290"/>
      <c r="AV810" s="290"/>
      <c r="AW810" s="290"/>
      <c r="AX810" s="290"/>
      <c r="AY810" s="290"/>
      <c r="AZ810" s="290"/>
      <c r="BA810" s="290"/>
      <c r="BG810" s="307"/>
      <c r="BH810" s="307"/>
      <c r="BI810" s="307"/>
      <c r="BK810" s="300"/>
    </row>
    <row r="811" spans="1:63" s="298" customFormat="1" ht="15" hidden="1" x14ac:dyDescent="0.25">
      <c r="A811" s="290"/>
      <c r="B811" s="291"/>
      <c r="C811" s="290"/>
      <c r="D811" s="290"/>
      <c r="E811" s="290"/>
      <c r="F811" s="290"/>
      <c r="G811" s="290"/>
      <c r="H811" s="316"/>
      <c r="I811" s="290"/>
      <c r="J811" s="290"/>
      <c r="K811" s="290"/>
      <c r="L811" s="290"/>
      <c r="M811" s="308"/>
      <c r="N811" s="290"/>
      <c r="O811" s="290"/>
      <c r="P811" s="290"/>
      <c r="Q811" s="290"/>
      <c r="R811" s="290"/>
      <c r="S811" s="290"/>
      <c r="T811" s="290"/>
      <c r="U811" s="294"/>
      <c r="V811" s="290"/>
      <c r="W811" s="290"/>
      <c r="X811" s="291"/>
      <c r="Y811" s="295"/>
      <c r="Z811" s="295"/>
      <c r="AA811" s="296"/>
      <c r="AB811" s="296"/>
      <c r="AC811" s="291"/>
      <c r="AD811" s="291"/>
      <c r="AE811" s="291"/>
      <c r="AF811" s="291"/>
      <c r="AG811" s="291"/>
      <c r="AH811" s="291"/>
      <c r="AI811" s="291"/>
      <c r="AJ811" s="291"/>
      <c r="AK811" s="290"/>
      <c r="AL811" s="290"/>
      <c r="AM811" s="290"/>
      <c r="AN811" s="290"/>
      <c r="AO811" s="290"/>
      <c r="AP811" s="290"/>
      <c r="AQ811" s="290"/>
      <c r="AR811" s="290"/>
      <c r="AS811" s="290"/>
      <c r="AT811" s="290"/>
      <c r="AU811" s="290"/>
      <c r="AV811" s="290"/>
      <c r="AW811" s="290"/>
      <c r="AX811" s="290"/>
      <c r="AY811" s="290"/>
      <c r="AZ811" s="290"/>
      <c r="BA811" s="290"/>
      <c r="BG811" s="307"/>
      <c r="BH811" s="307"/>
      <c r="BI811" s="307"/>
      <c r="BK811" s="300"/>
    </row>
    <row r="812" spans="1:63" s="298" customFormat="1" ht="15" hidden="1" x14ac:dyDescent="0.25">
      <c r="A812" s="290"/>
      <c r="B812" s="291"/>
      <c r="C812" s="290"/>
      <c r="D812" s="290"/>
      <c r="E812" s="290"/>
      <c r="F812" s="290"/>
      <c r="G812" s="290"/>
      <c r="H812" s="316"/>
      <c r="I812" s="290"/>
      <c r="J812" s="290"/>
      <c r="K812" s="290"/>
      <c r="L812" s="290"/>
      <c r="M812" s="308"/>
      <c r="N812" s="290"/>
      <c r="O812" s="290"/>
      <c r="P812" s="290"/>
      <c r="Q812" s="290"/>
      <c r="R812" s="290"/>
      <c r="S812" s="290"/>
      <c r="T812" s="290"/>
      <c r="U812" s="294"/>
      <c r="V812" s="290"/>
      <c r="W812" s="290"/>
      <c r="X812" s="291"/>
      <c r="Y812" s="295"/>
      <c r="Z812" s="295"/>
      <c r="AA812" s="296"/>
      <c r="AB812" s="296"/>
      <c r="AC812" s="291"/>
      <c r="AD812" s="291"/>
      <c r="AE812" s="291"/>
      <c r="AF812" s="291"/>
      <c r="AG812" s="291"/>
      <c r="AH812" s="291"/>
      <c r="AI812" s="291"/>
      <c r="AJ812" s="291"/>
      <c r="AK812" s="290"/>
      <c r="AL812" s="290"/>
      <c r="AM812" s="290"/>
      <c r="AN812" s="290"/>
      <c r="AO812" s="290"/>
      <c r="AP812" s="290"/>
      <c r="AQ812" s="290"/>
      <c r="AR812" s="290"/>
      <c r="AS812" s="290"/>
      <c r="AT812" s="290"/>
      <c r="AU812" s="290"/>
      <c r="AV812" s="290"/>
      <c r="AW812" s="290"/>
      <c r="AX812" s="290"/>
      <c r="AY812" s="290"/>
      <c r="AZ812" s="290"/>
      <c r="BA812" s="290"/>
      <c r="BG812" s="307"/>
      <c r="BH812" s="307"/>
      <c r="BI812" s="307"/>
      <c r="BK812" s="300"/>
    </row>
    <row r="813" spans="1:63" s="298" customFormat="1" ht="15" hidden="1" x14ac:dyDescent="0.25">
      <c r="A813" s="290"/>
      <c r="B813" s="291"/>
      <c r="C813" s="290"/>
      <c r="D813" s="290"/>
      <c r="E813" s="290"/>
      <c r="F813" s="290"/>
      <c r="G813" s="290"/>
      <c r="H813" s="317"/>
      <c r="I813" s="290"/>
      <c r="J813" s="290"/>
      <c r="K813" s="290"/>
      <c r="L813" s="290"/>
      <c r="M813" s="308"/>
      <c r="N813" s="290"/>
      <c r="O813" s="290"/>
      <c r="P813" s="290"/>
      <c r="Q813" s="290"/>
      <c r="R813" s="290"/>
      <c r="S813" s="290"/>
      <c r="T813" s="290"/>
      <c r="U813" s="294"/>
      <c r="V813" s="290"/>
      <c r="W813" s="290"/>
      <c r="X813" s="291"/>
      <c r="Y813" s="295"/>
      <c r="Z813" s="295"/>
      <c r="AA813" s="296"/>
      <c r="AB813" s="296"/>
      <c r="AC813" s="291"/>
      <c r="AD813" s="291"/>
      <c r="AE813" s="291"/>
      <c r="AF813" s="291"/>
      <c r="AG813" s="291"/>
      <c r="AH813" s="291"/>
      <c r="AI813" s="291"/>
      <c r="AJ813" s="291"/>
      <c r="AK813" s="290"/>
      <c r="AL813" s="290"/>
      <c r="AM813" s="290"/>
      <c r="AN813" s="290"/>
      <c r="AO813" s="290"/>
      <c r="AP813" s="290"/>
      <c r="AQ813" s="290"/>
      <c r="AR813" s="290"/>
      <c r="AS813" s="290"/>
      <c r="AT813" s="290"/>
      <c r="AU813" s="290"/>
      <c r="AV813" s="290"/>
      <c r="AW813" s="290"/>
      <c r="AX813" s="290"/>
      <c r="AY813" s="290"/>
      <c r="AZ813" s="290"/>
      <c r="BA813" s="290"/>
      <c r="BG813" s="307"/>
      <c r="BH813" s="307"/>
      <c r="BI813" s="307"/>
      <c r="BK813" s="300"/>
    </row>
    <row r="814" spans="1:63" s="298" customFormat="1" ht="15.75" hidden="1" x14ac:dyDescent="0.25">
      <c r="A814" s="290"/>
      <c r="B814" s="291"/>
      <c r="C814" s="290"/>
      <c r="D814" s="290"/>
      <c r="E814" s="290"/>
      <c r="F814" s="290"/>
      <c r="G814" s="290"/>
      <c r="H814" s="315"/>
      <c r="I814" s="290"/>
      <c r="J814" s="290"/>
      <c r="K814" s="290"/>
      <c r="L814" s="290"/>
      <c r="M814" s="308"/>
      <c r="N814" s="290"/>
      <c r="O814" s="290"/>
      <c r="P814" s="290"/>
      <c r="Q814" s="290"/>
      <c r="R814" s="290"/>
      <c r="S814" s="290"/>
      <c r="T814" s="290"/>
      <c r="U814" s="294"/>
      <c r="V814" s="290"/>
      <c r="W814" s="290"/>
      <c r="X814" s="291"/>
      <c r="Y814" s="295"/>
      <c r="Z814" s="295"/>
      <c r="AA814" s="296"/>
      <c r="AB814" s="296"/>
      <c r="AC814" s="291"/>
      <c r="AD814" s="291"/>
      <c r="AE814" s="291"/>
      <c r="AF814" s="291"/>
      <c r="AG814" s="291"/>
      <c r="AH814" s="291"/>
      <c r="AI814" s="291"/>
      <c r="AJ814" s="291"/>
      <c r="AK814" s="290"/>
      <c r="AL814" s="290"/>
      <c r="AM814" s="290"/>
      <c r="AN814" s="290"/>
      <c r="AO814" s="290"/>
      <c r="AP814" s="290"/>
      <c r="AQ814" s="290"/>
      <c r="AR814" s="290"/>
      <c r="AS814" s="290"/>
      <c r="AT814" s="290"/>
      <c r="AU814" s="290"/>
      <c r="AV814" s="290"/>
      <c r="AW814" s="290"/>
      <c r="AX814" s="290"/>
      <c r="AY814" s="290"/>
      <c r="AZ814" s="290"/>
      <c r="BA814" s="290"/>
      <c r="BG814" s="307"/>
      <c r="BH814" s="307"/>
      <c r="BI814" s="307"/>
      <c r="BK814" s="300"/>
    </row>
    <row r="815" spans="1:63" s="298" customFormat="1" ht="15" hidden="1" x14ac:dyDescent="0.25">
      <c r="A815" s="290"/>
      <c r="B815" s="291"/>
      <c r="C815" s="290"/>
      <c r="D815" s="290"/>
      <c r="E815" s="290"/>
      <c r="F815" s="290"/>
      <c r="G815" s="290"/>
      <c r="H815" s="316"/>
      <c r="I815" s="290"/>
      <c r="J815" s="290"/>
      <c r="K815" s="290"/>
      <c r="L815" s="290"/>
      <c r="M815" s="308"/>
      <c r="N815" s="290"/>
      <c r="O815" s="290"/>
      <c r="P815" s="290"/>
      <c r="Q815" s="290"/>
      <c r="R815" s="290"/>
      <c r="S815" s="290"/>
      <c r="T815" s="290"/>
      <c r="U815" s="294"/>
      <c r="V815" s="290"/>
      <c r="W815" s="290"/>
      <c r="X815" s="291"/>
      <c r="Y815" s="295"/>
      <c r="Z815" s="295"/>
      <c r="AA815" s="296"/>
      <c r="AB815" s="296"/>
      <c r="AC815" s="291"/>
      <c r="AD815" s="291"/>
      <c r="AE815" s="291"/>
      <c r="AF815" s="291"/>
      <c r="AG815" s="291"/>
      <c r="AH815" s="291"/>
      <c r="AI815" s="291"/>
      <c r="AJ815" s="291"/>
      <c r="AK815" s="290"/>
      <c r="AL815" s="290"/>
      <c r="AM815" s="290"/>
      <c r="AN815" s="290"/>
      <c r="AO815" s="290"/>
      <c r="AP815" s="290"/>
      <c r="AQ815" s="290"/>
      <c r="AR815" s="290"/>
      <c r="AS815" s="290"/>
      <c r="AT815" s="290"/>
      <c r="AU815" s="290"/>
      <c r="AV815" s="290"/>
      <c r="AW815" s="290"/>
      <c r="AX815" s="290"/>
      <c r="AY815" s="290"/>
      <c r="AZ815" s="290"/>
      <c r="BA815" s="290"/>
      <c r="BG815" s="307"/>
      <c r="BH815" s="307"/>
      <c r="BI815" s="307"/>
      <c r="BK815" s="300"/>
    </row>
    <row r="816" spans="1:63" s="298" customFormat="1" ht="15" hidden="1" x14ac:dyDescent="0.25">
      <c r="A816" s="290"/>
      <c r="B816" s="291"/>
      <c r="C816" s="290"/>
      <c r="D816" s="290"/>
      <c r="E816" s="290"/>
      <c r="F816" s="290"/>
      <c r="G816" s="290"/>
      <c r="H816" s="316"/>
      <c r="I816" s="290"/>
      <c r="J816" s="290"/>
      <c r="K816" s="290"/>
      <c r="L816" s="290"/>
      <c r="M816" s="308"/>
      <c r="N816" s="290"/>
      <c r="O816" s="290"/>
      <c r="P816" s="290"/>
      <c r="Q816" s="290"/>
      <c r="R816" s="290"/>
      <c r="S816" s="290"/>
      <c r="T816" s="290"/>
      <c r="U816" s="294"/>
      <c r="V816" s="290"/>
      <c r="W816" s="290"/>
      <c r="X816" s="291"/>
      <c r="Y816" s="295"/>
      <c r="Z816" s="295"/>
      <c r="AA816" s="296"/>
      <c r="AB816" s="296"/>
      <c r="AC816" s="291"/>
      <c r="AD816" s="291"/>
      <c r="AE816" s="291"/>
      <c r="AF816" s="291"/>
      <c r="AG816" s="291"/>
      <c r="AH816" s="291"/>
      <c r="AI816" s="291"/>
      <c r="AJ816" s="291"/>
      <c r="AK816" s="290"/>
      <c r="AL816" s="290"/>
      <c r="AM816" s="290"/>
      <c r="AN816" s="290"/>
      <c r="AO816" s="290"/>
      <c r="AP816" s="290"/>
      <c r="AQ816" s="290"/>
      <c r="AR816" s="290"/>
      <c r="AS816" s="290"/>
      <c r="AT816" s="290"/>
      <c r="AU816" s="290"/>
      <c r="AV816" s="290"/>
      <c r="AW816" s="290"/>
      <c r="AX816" s="290"/>
      <c r="AY816" s="290"/>
      <c r="AZ816" s="290"/>
      <c r="BA816" s="290"/>
      <c r="BG816" s="307"/>
      <c r="BH816" s="307"/>
      <c r="BI816" s="307"/>
      <c r="BK816" s="300"/>
    </row>
    <row r="817" spans="1:63" s="298" customFormat="1" ht="15" hidden="1" x14ac:dyDescent="0.25">
      <c r="A817" s="290"/>
      <c r="B817" s="291"/>
      <c r="C817" s="290"/>
      <c r="D817" s="290"/>
      <c r="E817" s="290"/>
      <c r="F817" s="290"/>
      <c r="G817" s="290"/>
      <c r="H817" s="316"/>
      <c r="I817" s="290"/>
      <c r="J817" s="290"/>
      <c r="K817" s="290"/>
      <c r="L817" s="290"/>
      <c r="M817" s="308"/>
      <c r="N817" s="290"/>
      <c r="O817" s="290"/>
      <c r="P817" s="290"/>
      <c r="Q817" s="290"/>
      <c r="R817" s="290"/>
      <c r="S817" s="290"/>
      <c r="T817" s="290"/>
      <c r="U817" s="294"/>
      <c r="V817" s="290"/>
      <c r="W817" s="290"/>
      <c r="X817" s="291"/>
      <c r="Y817" s="295"/>
      <c r="Z817" s="295"/>
      <c r="AA817" s="296"/>
      <c r="AB817" s="296"/>
      <c r="AC817" s="291"/>
      <c r="AD817" s="291"/>
      <c r="AE817" s="291"/>
      <c r="AF817" s="291"/>
      <c r="AG817" s="291"/>
      <c r="AH817" s="291"/>
      <c r="AI817" s="291"/>
      <c r="AJ817" s="291"/>
      <c r="AK817" s="290"/>
      <c r="AL817" s="290"/>
      <c r="AM817" s="290"/>
      <c r="AN817" s="290"/>
      <c r="AO817" s="290"/>
      <c r="AP817" s="290"/>
      <c r="AQ817" s="290"/>
      <c r="AR817" s="290"/>
      <c r="AS817" s="290"/>
      <c r="AT817" s="290"/>
      <c r="AU817" s="290"/>
      <c r="AV817" s="290"/>
      <c r="AW817" s="290"/>
      <c r="AX817" s="290"/>
      <c r="AY817" s="290"/>
      <c r="AZ817" s="290"/>
      <c r="BA817" s="290"/>
      <c r="BG817" s="307"/>
      <c r="BH817" s="307"/>
      <c r="BI817" s="307"/>
      <c r="BK817" s="300"/>
    </row>
    <row r="818" spans="1:63" s="298" customFormat="1" ht="15" hidden="1" x14ac:dyDescent="0.25">
      <c r="A818" s="290"/>
      <c r="B818" s="291"/>
      <c r="C818" s="290"/>
      <c r="D818" s="290"/>
      <c r="E818" s="290"/>
      <c r="F818" s="290"/>
      <c r="G818" s="290"/>
      <c r="H818" s="316"/>
      <c r="I818" s="290"/>
      <c r="J818" s="290"/>
      <c r="K818" s="290"/>
      <c r="L818" s="290"/>
      <c r="M818" s="308"/>
      <c r="N818" s="290"/>
      <c r="O818" s="290"/>
      <c r="P818" s="290"/>
      <c r="Q818" s="290"/>
      <c r="R818" s="290"/>
      <c r="S818" s="290"/>
      <c r="T818" s="290"/>
      <c r="U818" s="294"/>
      <c r="V818" s="290"/>
      <c r="W818" s="290"/>
      <c r="X818" s="291"/>
      <c r="Y818" s="295"/>
      <c r="Z818" s="295"/>
      <c r="AA818" s="296"/>
      <c r="AB818" s="296"/>
      <c r="AC818" s="291"/>
      <c r="AD818" s="291"/>
      <c r="AE818" s="291"/>
      <c r="AF818" s="291"/>
      <c r="AG818" s="291"/>
      <c r="AH818" s="291"/>
      <c r="AI818" s="291"/>
      <c r="AJ818" s="291"/>
      <c r="AK818" s="290"/>
      <c r="AL818" s="290"/>
      <c r="AM818" s="290"/>
      <c r="AN818" s="290"/>
      <c r="AO818" s="290"/>
      <c r="AP818" s="290"/>
      <c r="AQ818" s="290"/>
      <c r="AR818" s="290"/>
      <c r="AS818" s="290"/>
      <c r="AT818" s="290"/>
      <c r="AU818" s="290"/>
      <c r="AV818" s="290"/>
      <c r="AW818" s="290"/>
      <c r="AX818" s="290"/>
      <c r="AY818" s="290"/>
      <c r="AZ818" s="290"/>
      <c r="BA818" s="290"/>
      <c r="BG818" s="307"/>
      <c r="BH818" s="307"/>
      <c r="BI818" s="307"/>
      <c r="BK818" s="300"/>
    </row>
    <row r="819" spans="1:63" s="298" customFormat="1" ht="15" hidden="1" x14ac:dyDescent="0.25">
      <c r="A819" s="290"/>
      <c r="B819" s="291"/>
      <c r="C819" s="290"/>
      <c r="D819" s="290"/>
      <c r="E819" s="290"/>
      <c r="F819" s="290"/>
      <c r="G819" s="290"/>
      <c r="H819" s="316"/>
      <c r="I819" s="290"/>
      <c r="J819" s="290"/>
      <c r="K819" s="290"/>
      <c r="L819" s="290"/>
      <c r="M819" s="308"/>
      <c r="N819" s="290"/>
      <c r="O819" s="290"/>
      <c r="P819" s="290"/>
      <c r="Q819" s="290"/>
      <c r="R819" s="290"/>
      <c r="S819" s="290"/>
      <c r="T819" s="290"/>
      <c r="U819" s="294"/>
      <c r="V819" s="290"/>
      <c r="W819" s="290"/>
      <c r="X819" s="291"/>
      <c r="Y819" s="295"/>
      <c r="Z819" s="295"/>
      <c r="AA819" s="296"/>
      <c r="AB819" s="296"/>
      <c r="AC819" s="291"/>
      <c r="AD819" s="291"/>
      <c r="AE819" s="291"/>
      <c r="AF819" s="291"/>
      <c r="AG819" s="291"/>
      <c r="AH819" s="291"/>
      <c r="AI819" s="291"/>
      <c r="AJ819" s="291"/>
      <c r="AK819" s="290"/>
      <c r="AL819" s="290"/>
      <c r="AM819" s="290"/>
      <c r="AN819" s="290"/>
      <c r="AO819" s="290"/>
      <c r="AP819" s="290"/>
      <c r="AQ819" s="290"/>
      <c r="AR819" s="290"/>
      <c r="AS819" s="290"/>
      <c r="AT819" s="290"/>
      <c r="AU819" s="290"/>
      <c r="AV819" s="290"/>
      <c r="AW819" s="290"/>
      <c r="AX819" s="290"/>
      <c r="AY819" s="290"/>
      <c r="AZ819" s="290"/>
      <c r="BA819" s="290"/>
      <c r="BG819" s="307"/>
      <c r="BH819" s="307"/>
      <c r="BI819" s="307"/>
      <c r="BK819" s="300"/>
    </row>
    <row r="820" spans="1:63" s="298" customFormat="1" ht="15" hidden="1" x14ac:dyDescent="0.25">
      <c r="A820" s="290"/>
      <c r="B820" s="291"/>
      <c r="C820" s="290"/>
      <c r="D820" s="290"/>
      <c r="E820" s="290"/>
      <c r="F820" s="290"/>
      <c r="G820" s="290"/>
      <c r="H820" s="316"/>
      <c r="I820" s="290"/>
      <c r="J820" s="290"/>
      <c r="K820" s="290"/>
      <c r="L820" s="290"/>
      <c r="M820" s="308"/>
      <c r="N820" s="290"/>
      <c r="O820" s="290"/>
      <c r="P820" s="290"/>
      <c r="Q820" s="290"/>
      <c r="R820" s="290"/>
      <c r="S820" s="290"/>
      <c r="T820" s="290"/>
      <c r="U820" s="294"/>
      <c r="V820" s="290"/>
      <c r="W820" s="290"/>
      <c r="X820" s="291"/>
      <c r="Y820" s="295"/>
      <c r="Z820" s="295"/>
      <c r="AA820" s="296"/>
      <c r="AB820" s="296"/>
      <c r="AC820" s="291"/>
      <c r="AD820" s="291"/>
      <c r="AE820" s="291"/>
      <c r="AF820" s="291"/>
      <c r="AG820" s="291"/>
      <c r="AH820" s="291"/>
      <c r="AI820" s="291"/>
      <c r="AJ820" s="291"/>
      <c r="AK820" s="290"/>
      <c r="AL820" s="290"/>
      <c r="AM820" s="290"/>
      <c r="AN820" s="290"/>
      <c r="AO820" s="290"/>
      <c r="AP820" s="290"/>
      <c r="AQ820" s="290"/>
      <c r="AR820" s="290"/>
      <c r="AS820" s="290"/>
      <c r="AT820" s="290"/>
      <c r="AU820" s="290"/>
      <c r="AV820" s="290"/>
      <c r="AW820" s="290"/>
      <c r="AX820" s="290"/>
      <c r="AY820" s="290"/>
      <c r="AZ820" s="290"/>
      <c r="BA820" s="290"/>
      <c r="BG820" s="307"/>
      <c r="BH820" s="307"/>
      <c r="BI820" s="307"/>
      <c r="BK820" s="300"/>
    </row>
    <row r="821" spans="1:63" s="298" customFormat="1" ht="15" hidden="1" x14ac:dyDescent="0.25">
      <c r="A821" s="290"/>
      <c r="B821" s="291"/>
      <c r="C821" s="290"/>
      <c r="D821" s="290"/>
      <c r="E821" s="290"/>
      <c r="F821" s="290"/>
      <c r="G821" s="290"/>
      <c r="H821" s="316"/>
      <c r="I821" s="290"/>
      <c r="J821" s="290"/>
      <c r="K821" s="290"/>
      <c r="L821" s="290"/>
      <c r="M821" s="308"/>
      <c r="N821" s="290"/>
      <c r="O821" s="290"/>
      <c r="P821" s="290"/>
      <c r="Q821" s="290"/>
      <c r="R821" s="290"/>
      <c r="S821" s="290"/>
      <c r="T821" s="290"/>
      <c r="U821" s="294"/>
      <c r="V821" s="290"/>
      <c r="W821" s="290"/>
      <c r="X821" s="291"/>
      <c r="Y821" s="295"/>
      <c r="Z821" s="295"/>
      <c r="AA821" s="296"/>
      <c r="AB821" s="296"/>
      <c r="AC821" s="291"/>
      <c r="AD821" s="291"/>
      <c r="AE821" s="291"/>
      <c r="AF821" s="291"/>
      <c r="AG821" s="291"/>
      <c r="AH821" s="291"/>
      <c r="AI821" s="291"/>
      <c r="AJ821" s="291"/>
      <c r="AK821" s="290"/>
      <c r="AL821" s="290"/>
      <c r="AM821" s="290"/>
      <c r="AN821" s="290"/>
      <c r="AO821" s="290"/>
      <c r="AP821" s="290"/>
      <c r="AQ821" s="290"/>
      <c r="AR821" s="290"/>
      <c r="AS821" s="290"/>
      <c r="AT821" s="290"/>
      <c r="AU821" s="290"/>
      <c r="AV821" s="290"/>
      <c r="AW821" s="290"/>
      <c r="AX821" s="290"/>
      <c r="AY821" s="290"/>
      <c r="AZ821" s="290"/>
      <c r="BA821" s="290"/>
      <c r="BG821" s="307"/>
      <c r="BH821" s="307"/>
      <c r="BI821" s="307"/>
      <c r="BK821" s="300"/>
    </row>
    <row r="822" spans="1:63" s="298" customFormat="1" ht="15" hidden="1" x14ac:dyDescent="0.25">
      <c r="A822" s="290"/>
      <c r="B822" s="291"/>
      <c r="C822" s="290"/>
      <c r="D822" s="290"/>
      <c r="E822" s="290"/>
      <c r="F822" s="290"/>
      <c r="G822" s="290"/>
      <c r="H822" s="316"/>
      <c r="I822" s="290"/>
      <c r="J822" s="290"/>
      <c r="K822" s="290"/>
      <c r="L822" s="290"/>
      <c r="M822" s="308"/>
      <c r="N822" s="290"/>
      <c r="O822" s="290"/>
      <c r="P822" s="290"/>
      <c r="Q822" s="290"/>
      <c r="R822" s="290"/>
      <c r="S822" s="290"/>
      <c r="T822" s="290"/>
      <c r="U822" s="294"/>
      <c r="V822" s="290"/>
      <c r="W822" s="290"/>
      <c r="X822" s="291"/>
      <c r="Y822" s="295"/>
      <c r="Z822" s="295"/>
      <c r="AA822" s="296"/>
      <c r="AB822" s="296"/>
      <c r="AC822" s="291"/>
      <c r="AD822" s="291"/>
      <c r="AE822" s="291"/>
      <c r="AF822" s="291"/>
      <c r="AG822" s="291"/>
      <c r="AH822" s="291"/>
      <c r="AI822" s="291"/>
      <c r="AJ822" s="291"/>
      <c r="AK822" s="290"/>
      <c r="AL822" s="290"/>
      <c r="AM822" s="290"/>
      <c r="AN822" s="290"/>
      <c r="AO822" s="290"/>
      <c r="AP822" s="290"/>
      <c r="AQ822" s="290"/>
      <c r="AR822" s="290"/>
      <c r="AS822" s="290"/>
      <c r="AT822" s="290"/>
      <c r="AU822" s="290"/>
      <c r="AV822" s="290"/>
      <c r="AW822" s="290"/>
      <c r="AX822" s="290"/>
      <c r="AY822" s="290"/>
      <c r="AZ822" s="290"/>
      <c r="BA822" s="290"/>
      <c r="BG822" s="307"/>
      <c r="BH822" s="307"/>
      <c r="BI822" s="307"/>
      <c r="BK822" s="300"/>
    </row>
    <row r="823" spans="1:63" s="298" customFormat="1" ht="15" hidden="1" x14ac:dyDescent="0.25">
      <c r="A823" s="290"/>
      <c r="B823" s="291"/>
      <c r="C823" s="290"/>
      <c r="D823" s="290"/>
      <c r="E823" s="290"/>
      <c r="F823" s="290"/>
      <c r="G823" s="290"/>
      <c r="H823" s="317"/>
      <c r="I823" s="290"/>
      <c r="J823" s="290"/>
      <c r="K823" s="290"/>
      <c r="L823" s="290"/>
      <c r="M823" s="308"/>
      <c r="N823" s="290"/>
      <c r="O823" s="290"/>
      <c r="P823" s="290"/>
      <c r="Q823" s="290"/>
      <c r="R823" s="290"/>
      <c r="S823" s="290"/>
      <c r="T823" s="290"/>
      <c r="U823" s="294"/>
      <c r="V823" s="290"/>
      <c r="W823" s="290"/>
      <c r="X823" s="291"/>
      <c r="Y823" s="295"/>
      <c r="Z823" s="295"/>
      <c r="AA823" s="296"/>
      <c r="AB823" s="296"/>
      <c r="AC823" s="291"/>
      <c r="AD823" s="291"/>
      <c r="AE823" s="291"/>
      <c r="AF823" s="291"/>
      <c r="AG823" s="291"/>
      <c r="AH823" s="291"/>
      <c r="AI823" s="291"/>
      <c r="AJ823" s="291"/>
      <c r="AK823" s="290"/>
      <c r="AL823" s="290"/>
      <c r="AM823" s="290"/>
      <c r="AN823" s="290"/>
      <c r="AO823" s="290"/>
      <c r="AP823" s="290"/>
      <c r="AQ823" s="290"/>
      <c r="AR823" s="290"/>
      <c r="AS823" s="290"/>
      <c r="AT823" s="290"/>
      <c r="AU823" s="290"/>
      <c r="AV823" s="290"/>
      <c r="AW823" s="290"/>
      <c r="AX823" s="290"/>
      <c r="AY823" s="290"/>
      <c r="AZ823" s="290"/>
      <c r="BA823" s="290"/>
      <c r="BG823" s="307"/>
      <c r="BH823" s="307"/>
      <c r="BI823" s="307"/>
      <c r="BK823" s="300"/>
    </row>
    <row r="824" spans="1:63" s="298" customFormat="1" ht="15.75" hidden="1" x14ac:dyDescent="0.25">
      <c r="A824" s="290"/>
      <c r="B824" s="291"/>
      <c r="C824" s="290"/>
      <c r="D824" s="290"/>
      <c r="E824" s="290"/>
      <c r="F824" s="290"/>
      <c r="G824" s="290"/>
      <c r="H824" s="315"/>
      <c r="I824" s="290"/>
      <c r="J824" s="290"/>
      <c r="K824" s="290"/>
      <c r="L824" s="290"/>
      <c r="M824" s="308"/>
      <c r="N824" s="290"/>
      <c r="O824" s="290"/>
      <c r="P824" s="290"/>
      <c r="Q824" s="290"/>
      <c r="R824" s="290"/>
      <c r="S824" s="290"/>
      <c r="T824" s="290"/>
      <c r="U824" s="294"/>
      <c r="V824" s="290"/>
      <c r="W824" s="290"/>
      <c r="X824" s="291"/>
      <c r="Y824" s="295"/>
      <c r="Z824" s="295"/>
      <c r="AA824" s="296"/>
      <c r="AB824" s="296"/>
      <c r="AC824" s="291"/>
      <c r="AD824" s="291"/>
      <c r="AE824" s="291"/>
      <c r="AF824" s="291"/>
      <c r="AG824" s="291"/>
      <c r="AH824" s="291"/>
      <c r="AI824" s="291"/>
      <c r="AJ824" s="291"/>
      <c r="AK824" s="290"/>
      <c r="AL824" s="290"/>
      <c r="AM824" s="290"/>
      <c r="AN824" s="290"/>
      <c r="AO824" s="290"/>
      <c r="AP824" s="290"/>
      <c r="AQ824" s="290"/>
      <c r="AR824" s="290"/>
      <c r="AS824" s="290"/>
      <c r="AT824" s="290"/>
      <c r="AU824" s="290"/>
      <c r="AV824" s="290"/>
      <c r="AW824" s="290"/>
      <c r="AX824" s="290"/>
      <c r="AY824" s="290"/>
      <c r="AZ824" s="290"/>
      <c r="BA824" s="290"/>
      <c r="BG824" s="307"/>
      <c r="BH824" s="307"/>
      <c r="BI824" s="307"/>
      <c r="BK824" s="300"/>
    </row>
    <row r="825" spans="1:63" s="298" customFormat="1" ht="15" hidden="1" x14ac:dyDescent="0.25">
      <c r="A825" s="290"/>
      <c r="B825" s="291"/>
      <c r="C825" s="290"/>
      <c r="D825" s="290"/>
      <c r="E825" s="290"/>
      <c r="F825" s="290"/>
      <c r="G825" s="290"/>
      <c r="H825" s="316"/>
      <c r="I825" s="290"/>
      <c r="J825" s="290"/>
      <c r="K825" s="290"/>
      <c r="L825" s="290"/>
      <c r="M825" s="308"/>
      <c r="N825" s="290"/>
      <c r="O825" s="290"/>
      <c r="P825" s="290"/>
      <c r="Q825" s="290"/>
      <c r="R825" s="290"/>
      <c r="S825" s="290"/>
      <c r="T825" s="290"/>
      <c r="U825" s="294"/>
      <c r="V825" s="290"/>
      <c r="W825" s="290"/>
      <c r="X825" s="291"/>
      <c r="Y825" s="295"/>
      <c r="Z825" s="295"/>
      <c r="AA825" s="296"/>
      <c r="AB825" s="296"/>
      <c r="AC825" s="291"/>
      <c r="AD825" s="291"/>
      <c r="AE825" s="291"/>
      <c r="AF825" s="291"/>
      <c r="AG825" s="291"/>
      <c r="AH825" s="291"/>
      <c r="AI825" s="291"/>
      <c r="AJ825" s="291"/>
      <c r="AK825" s="290"/>
      <c r="AL825" s="290"/>
      <c r="AM825" s="290"/>
      <c r="AN825" s="290"/>
      <c r="AO825" s="290"/>
      <c r="AP825" s="290"/>
      <c r="AQ825" s="290"/>
      <c r="AR825" s="290"/>
      <c r="AS825" s="290"/>
      <c r="AT825" s="290"/>
      <c r="AU825" s="290"/>
      <c r="AV825" s="290"/>
      <c r="AW825" s="290"/>
      <c r="AX825" s="290"/>
      <c r="AY825" s="290"/>
      <c r="AZ825" s="290"/>
      <c r="BA825" s="290"/>
      <c r="BG825" s="307"/>
      <c r="BH825" s="307"/>
      <c r="BI825" s="307"/>
      <c r="BK825" s="300"/>
    </row>
    <row r="826" spans="1:63" s="298" customFormat="1" ht="15" hidden="1" x14ac:dyDescent="0.25">
      <c r="A826" s="290"/>
      <c r="B826" s="291"/>
      <c r="C826" s="290"/>
      <c r="D826" s="290"/>
      <c r="E826" s="290"/>
      <c r="F826" s="290"/>
      <c r="G826" s="290"/>
      <c r="H826" s="316"/>
      <c r="I826" s="290"/>
      <c r="J826" s="290"/>
      <c r="K826" s="290"/>
      <c r="L826" s="290"/>
      <c r="M826" s="308"/>
      <c r="N826" s="290"/>
      <c r="O826" s="290"/>
      <c r="P826" s="290"/>
      <c r="Q826" s="290"/>
      <c r="R826" s="290"/>
      <c r="S826" s="290"/>
      <c r="T826" s="290"/>
      <c r="U826" s="294"/>
      <c r="V826" s="290"/>
      <c r="W826" s="290"/>
      <c r="X826" s="291"/>
      <c r="Y826" s="295"/>
      <c r="Z826" s="295"/>
      <c r="AA826" s="296"/>
      <c r="AB826" s="296"/>
      <c r="AC826" s="291"/>
      <c r="AD826" s="291"/>
      <c r="AE826" s="291"/>
      <c r="AF826" s="291"/>
      <c r="AG826" s="291"/>
      <c r="AH826" s="291"/>
      <c r="AI826" s="291"/>
      <c r="AJ826" s="291"/>
      <c r="AK826" s="290"/>
      <c r="AL826" s="290"/>
      <c r="AM826" s="290"/>
      <c r="AN826" s="290"/>
      <c r="AO826" s="290"/>
      <c r="AP826" s="290"/>
      <c r="AQ826" s="290"/>
      <c r="AR826" s="290"/>
      <c r="AS826" s="290"/>
      <c r="AT826" s="290"/>
      <c r="AU826" s="290"/>
      <c r="AV826" s="290"/>
      <c r="AW826" s="290"/>
      <c r="AX826" s="290"/>
      <c r="AY826" s="290"/>
      <c r="AZ826" s="290"/>
      <c r="BA826" s="290"/>
      <c r="BG826" s="307"/>
      <c r="BH826" s="307"/>
      <c r="BI826" s="307"/>
      <c r="BK826" s="300"/>
    </row>
    <row r="827" spans="1:63" s="298" customFormat="1" ht="15" hidden="1" x14ac:dyDescent="0.25">
      <c r="A827" s="290"/>
      <c r="B827" s="291"/>
      <c r="C827" s="290"/>
      <c r="D827" s="290"/>
      <c r="E827" s="290"/>
      <c r="F827" s="290"/>
      <c r="G827" s="290"/>
      <c r="H827" s="316"/>
      <c r="I827" s="290"/>
      <c r="J827" s="290"/>
      <c r="K827" s="290"/>
      <c r="L827" s="290"/>
      <c r="M827" s="308"/>
      <c r="N827" s="290"/>
      <c r="O827" s="290"/>
      <c r="P827" s="290"/>
      <c r="Q827" s="290"/>
      <c r="R827" s="290"/>
      <c r="S827" s="290"/>
      <c r="T827" s="290"/>
      <c r="U827" s="294"/>
      <c r="V827" s="290"/>
      <c r="W827" s="290"/>
      <c r="X827" s="291"/>
      <c r="Y827" s="295"/>
      <c r="Z827" s="295"/>
      <c r="AA827" s="296"/>
      <c r="AB827" s="296"/>
      <c r="AC827" s="291"/>
      <c r="AD827" s="291"/>
      <c r="AE827" s="291"/>
      <c r="AF827" s="291"/>
      <c r="AG827" s="291"/>
      <c r="AH827" s="291"/>
      <c r="AI827" s="291"/>
      <c r="AJ827" s="291"/>
      <c r="AK827" s="290"/>
      <c r="AL827" s="290"/>
      <c r="AM827" s="290"/>
      <c r="AN827" s="290"/>
      <c r="AO827" s="290"/>
      <c r="AP827" s="290"/>
      <c r="AQ827" s="290"/>
      <c r="AR827" s="290"/>
      <c r="AS827" s="290"/>
      <c r="AT827" s="290"/>
      <c r="AU827" s="290"/>
      <c r="AV827" s="290"/>
      <c r="AW827" s="290"/>
      <c r="AX827" s="290"/>
      <c r="AY827" s="290"/>
      <c r="AZ827" s="290"/>
      <c r="BA827" s="290"/>
      <c r="BG827" s="307"/>
      <c r="BH827" s="307"/>
      <c r="BI827" s="307"/>
      <c r="BK827" s="300"/>
    </row>
    <row r="828" spans="1:63" s="298" customFormat="1" ht="15" hidden="1" x14ac:dyDescent="0.25">
      <c r="A828" s="290"/>
      <c r="B828" s="291"/>
      <c r="C828" s="290"/>
      <c r="D828" s="290"/>
      <c r="E828" s="290"/>
      <c r="F828" s="290"/>
      <c r="G828" s="290"/>
      <c r="H828" s="316"/>
      <c r="I828" s="290"/>
      <c r="J828" s="290"/>
      <c r="K828" s="290"/>
      <c r="L828" s="290"/>
      <c r="M828" s="308"/>
      <c r="N828" s="290"/>
      <c r="O828" s="290"/>
      <c r="P828" s="290"/>
      <c r="Q828" s="290"/>
      <c r="R828" s="290"/>
      <c r="S828" s="290"/>
      <c r="T828" s="290"/>
      <c r="U828" s="294"/>
      <c r="V828" s="290"/>
      <c r="W828" s="290"/>
      <c r="X828" s="291"/>
      <c r="Y828" s="295"/>
      <c r="Z828" s="295"/>
      <c r="AA828" s="296"/>
      <c r="AB828" s="296"/>
      <c r="AC828" s="291"/>
      <c r="AD828" s="291"/>
      <c r="AE828" s="291"/>
      <c r="AF828" s="291"/>
      <c r="AG828" s="291"/>
      <c r="AH828" s="291"/>
      <c r="AI828" s="291"/>
      <c r="AJ828" s="291"/>
      <c r="AK828" s="290"/>
      <c r="AL828" s="290"/>
      <c r="AM828" s="290"/>
      <c r="AN828" s="290"/>
      <c r="AO828" s="290"/>
      <c r="AP828" s="290"/>
      <c r="AQ828" s="290"/>
      <c r="AR828" s="290"/>
      <c r="AS828" s="290"/>
      <c r="AT828" s="290"/>
      <c r="AU828" s="290"/>
      <c r="AV828" s="290"/>
      <c r="AW828" s="290"/>
      <c r="AX828" s="290"/>
      <c r="AY828" s="290"/>
      <c r="AZ828" s="290"/>
      <c r="BA828" s="290"/>
      <c r="BG828" s="307"/>
      <c r="BH828" s="307"/>
      <c r="BI828" s="307"/>
      <c r="BK828" s="300"/>
    </row>
    <row r="829" spans="1:63" s="298" customFormat="1" ht="15" hidden="1" x14ac:dyDescent="0.25">
      <c r="A829" s="290"/>
      <c r="B829" s="291"/>
      <c r="C829" s="290"/>
      <c r="D829" s="290"/>
      <c r="E829" s="290"/>
      <c r="F829" s="290"/>
      <c r="G829" s="290"/>
      <c r="H829" s="316"/>
      <c r="I829" s="290"/>
      <c r="J829" s="290"/>
      <c r="K829" s="290"/>
      <c r="L829" s="290"/>
      <c r="M829" s="308"/>
      <c r="N829" s="290"/>
      <c r="O829" s="290"/>
      <c r="P829" s="290"/>
      <c r="Q829" s="290"/>
      <c r="R829" s="290"/>
      <c r="S829" s="290"/>
      <c r="T829" s="290"/>
      <c r="U829" s="294"/>
      <c r="V829" s="290"/>
      <c r="W829" s="290"/>
      <c r="X829" s="291"/>
      <c r="Y829" s="295"/>
      <c r="Z829" s="295"/>
      <c r="AA829" s="296"/>
      <c r="AB829" s="296"/>
      <c r="AC829" s="291"/>
      <c r="AD829" s="291"/>
      <c r="AE829" s="291"/>
      <c r="AF829" s="291"/>
      <c r="AG829" s="291"/>
      <c r="AH829" s="291"/>
      <c r="AI829" s="291"/>
      <c r="AJ829" s="291"/>
      <c r="AK829" s="290"/>
      <c r="AL829" s="290"/>
      <c r="AM829" s="290"/>
      <c r="AN829" s="290"/>
      <c r="AO829" s="290"/>
      <c r="AP829" s="290"/>
      <c r="AQ829" s="290"/>
      <c r="AR829" s="290"/>
      <c r="AS829" s="290"/>
      <c r="AT829" s="290"/>
      <c r="AU829" s="290"/>
      <c r="AV829" s="290"/>
      <c r="AW829" s="290"/>
      <c r="AX829" s="290"/>
      <c r="AY829" s="290"/>
      <c r="AZ829" s="290"/>
      <c r="BA829" s="290"/>
      <c r="BG829" s="307"/>
      <c r="BH829" s="307"/>
      <c r="BI829" s="307"/>
      <c r="BK829" s="300"/>
    </row>
    <row r="830" spans="1:63" s="298" customFormat="1" ht="15" hidden="1" x14ac:dyDescent="0.25">
      <c r="A830" s="290"/>
      <c r="B830" s="291"/>
      <c r="C830" s="290"/>
      <c r="D830" s="290"/>
      <c r="E830" s="290"/>
      <c r="F830" s="290"/>
      <c r="G830" s="290"/>
      <c r="H830" s="316"/>
      <c r="I830" s="290"/>
      <c r="J830" s="290"/>
      <c r="K830" s="290"/>
      <c r="L830" s="290"/>
      <c r="M830" s="308"/>
      <c r="N830" s="290"/>
      <c r="O830" s="290"/>
      <c r="P830" s="290"/>
      <c r="Q830" s="290"/>
      <c r="R830" s="290"/>
      <c r="S830" s="290"/>
      <c r="T830" s="290"/>
      <c r="U830" s="294"/>
      <c r="V830" s="290"/>
      <c r="W830" s="290"/>
      <c r="X830" s="291"/>
      <c r="Y830" s="295"/>
      <c r="Z830" s="295"/>
      <c r="AA830" s="296"/>
      <c r="AB830" s="296"/>
      <c r="AC830" s="291"/>
      <c r="AD830" s="291"/>
      <c r="AE830" s="291"/>
      <c r="AF830" s="291"/>
      <c r="AG830" s="291"/>
      <c r="AH830" s="291"/>
      <c r="AI830" s="291"/>
      <c r="AJ830" s="291"/>
      <c r="AK830" s="290"/>
      <c r="AL830" s="290"/>
      <c r="AM830" s="290"/>
      <c r="AN830" s="290"/>
      <c r="AO830" s="290"/>
      <c r="AP830" s="290"/>
      <c r="AQ830" s="290"/>
      <c r="AR830" s="290"/>
      <c r="AS830" s="290"/>
      <c r="AT830" s="290"/>
      <c r="AU830" s="290"/>
      <c r="AV830" s="290"/>
      <c r="AW830" s="290"/>
      <c r="AX830" s="290"/>
      <c r="AY830" s="290"/>
      <c r="AZ830" s="290"/>
      <c r="BA830" s="290"/>
      <c r="BG830" s="307"/>
      <c r="BH830" s="307"/>
      <c r="BI830" s="307"/>
      <c r="BK830" s="300"/>
    </row>
    <row r="831" spans="1:63" s="298" customFormat="1" ht="15" hidden="1" x14ac:dyDescent="0.25">
      <c r="A831" s="290"/>
      <c r="B831" s="291"/>
      <c r="C831" s="290"/>
      <c r="D831" s="290"/>
      <c r="E831" s="290"/>
      <c r="F831" s="290"/>
      <c r="G831" s="290"/>
      <c r="H831" s="317"/>
      <c r="I831" s="290"/>
      <c r="J831" s="290"/>
      <c r="K831" s="290"/>
      <c r="L831" s="290"/>
      <c r="M831" s="308"/>
      <c r="N831" s="290"/>
      <c r="O831" s="290"/>
      <c r="P831" s="290"/>
      <c r="Q831" s="290"/>
      <c r="R831" s="290"/>
      <c r="S831" s="290"/>
      <c r="T831" s="290"/>
      <c r="U831" s="294"/>
      <c r="V831" s="290"/>
      <c r="W831" s="290"/>
      <c r="X831" s="291"/>
      <c r="Y831" s="295"/>
      <c r="Z831" s="295"/>
      <c r="AA831" s="296"/>
      <c r="AB831" s="296"/>
      <c r="AC831" s="291"/>
      <c r="AD831" s="291"/>
      <c r="AE831" s="291"/>
      <c r="AF831" s="291"/>
      <c r="AG831" s="291"/>
      <c r="AH831" s="291"/>
      <c r="AI831" s="291"/>
      <c r="AJ831" s="291"/>
      <c r="AK831" s="290"/>
      <c r="AL831" s="290"/>
      <c r="AM831" s="290"/>
      <c r="AN831" s="290"/>
      <c r="AO831" s="290"/>
      <c r="AP831" s="290"/>
      <c r="AQ831" s="290"/>
      <c r="AR831" s="290"/>
      <c r="AS831" s="290"/>
      <c r="AT831" s="290"/>
      <c r="AU831" s="290"/>
      <c r="AV831" s="290"/>
      <c r="AW831" s="290"/>
      <c r="AX831" s="290"/>
      <c r="AY831" s="290"/>
      <c r="AZ831" s="290"/>
      <c r="BA831" s="290"/>
      <c r="BG831" s="307"/>
      <c r="BH831" s="307"/>
      <c r="BI831" s="307"/>
      <c r="BK831" s="300"/>
    </row>
    <row r="832" spans="1:63" s="298" customFormat="1" ht="15.75" hidden="1" x14ac:dyDescent="0.25">
      <c r="A832" s="290"/>
      <c r="B832" s="291"/>
      <c r="C832" s="290"/>
      <c r="D832" s="290"/>
      <c r="E832" s="290"/>
      <c r="F832" s="290"/>
      <c r="G832" s="290"/>
      <c r="H832" s="315"/>
      <c r="I832" s="290"/>
      <c r="J832" s="290"/>
      <c r="K832" s="290"/>
      <c r="L832" s="290"/>
      <c r="M832" s="308"/>
      <c r="N832" s="290"/>
      <c r="O832" s="290"/>
      <c r="P832" s="290"/>
      <c r="Q832" s="290"/>
      <c r="R832" s="290"/>
      <c r="S832" s="290"/>
      <c r="T832" s="290"/>
      <c r="U832" s="294"/>
      <c r="V832" s="290"/>
      <c r="W832" s="290"/>
      <c r="X832" s="291"/>
      <c r="Y832" s="295"/>
      <c r="Z832" s="295"/>
      <c r="AA832" s="296"/>
      <c r="AB832" s="296"/>
      <c r="AC832" s="291"/>
      <c r="AD832" s="291"/>
      <c r="AE832" s="291"/>
      <c r="AF832" s="291"/>
      <c r="AG832" s="291"/>
      <c r="AH832" s="291"/>
      <c r="AI832" s="291"/>
      <c r="AJ832" s="291"/>
      <c r="AK832" s="290"/>
      <c r="AL832" s="290"/>
      <c r="AM832" s="290"/>
      <c r="AN832" s="290"/>
      <c r="AO832" s="290"/>
      <c r="AP832" s="290"/>
      <c r="AQ832" s="290"/>
      <c r="AR832" s="290"/>
      <c r="AS832" s="290"/>
      <c r="AT832" s="290"/>
      <c r="AU832" s="290"/>
      <c r="AV832" s="290"/>
      <c r="AW832" s="290"/>
      <c r="AX832" s="290"/>
      <c r="AY832" s="290"/>
      <c r="AZ832" s="290"/>
      <c r="BA832" s="290"/>
      <c r="BG832" s="307"/>
      <c r="BH832" s="307"/>
      <c r="BI832" s="307"/>
      <c r="BK832" s="300"/>
    </row>
    <row r="833" spans="1:63" s="298" customFormat="1" ht="15" hidden="1" x14ac:dyDescent="0.25">
      <c r="A833" s="290"/>
      <c r="B833" s="291"/>
      <c r="C833" s="290"/>
      <c r="D833" s="290"/>
      <c r="E833" s="290"/>
      <c r="F833" s="290"/>
      <c r="G833" s="290"/>
      <c r="H833" s="316"/>
      <c r="I833" s="290"/>
      <c r="J833" s="290"/>
      <c r="K833" s="290"/>
      <c r="L833" s="290"/>
      <c r="M833" s="308"/>
      <c r="N833" s="290"/>
      <c r="O833" s="290"/>
      <c r="P833" s="290"/>
      <c r="Q833" s="290"/>
      <c r="R833" s="290"/>
      <c r="S833" s="290"/>
      <c r="T833" s="290"/>
      <c r="U833" s="294"/>
      <c r="V833" s="290"/>
      <c r="W833" s="290"/>
      <c r="X833" s="291"/>
      <c r="Y833" s="295"/>
      <c r="Z833" s="295"/>
      <c r="AA833" s="296"/>
      <c r="AB833" s="296"/>
      <c r="AC833" s="291"/>
      <c r="AD833" s="291"/>
      <c r="AE833" s="291"/>
      <c r="AF833" s="291"/>
      <c r="AG833" s="291"/>
      <c r="AH833" s="291"/>
      <c r="AI833" s="291"/>
      <c r="AJ833" s="291"/>
      <c r="AK833" s="290"/>
      <c r="AL833" s="290"/>
      <c r="AM833" s="290"/>
      <c r="AN833" s="290"/>
      <c r="AO833" s="290"/>
      <c r="AP833" s="290"/>
      <c r="AQ833" s="290"/>
      <c r="AR833" s="290"/>
      <c r="AS833" s="290"/>
      <c r="AT833" s="290"/>
      <c r="AU833" s="290"/>
      <c r="AV833" s="290"/>
      <c r="AW833" s="290"/>
      <c r="AX833" s="290"/>
      <c r="AY833" s="290"/>
      <c r="AZ833" s="290"/>
      <c r="BA833" s="290"/>
      <c r="BG833" s="307"/>
      <c r="BH833" s="307"/>
      <c r="BI833" s="307"/>
      <c r="BK833" s="300"/>
    </row>
    <row r="834" spans="1:63" s="298" customFormat="1" ht="15" hidden="1" x14ac:dyDescent="0.25">
      <c r="A834" s="290"/>
      <c r="B834" s="291"/>
      <c r="C834" s="290"/>
      <c r="D834" s="290"/>
      <c r="E834" s="290"/>
      <c r="F834" s="290"/>
      <c r="G834" s="290"/>
      <c r="H834" s="316"/>
      <c r="I834" s="290"/>
      <c r="J834" s="290"/>
      <c r="K834" s="290"/>
      <c r="L834" s="290"/>
      <c r="M834" s="308"/>
      <c r="N834" s="290"/>
      <c r="O834" s="290"/>
      <c r="P834" s="290"/>
      <c r="Q834" s="290"/>
      <c r="R834" s="290"/>
      <c r="S834" s="290"/>
      <c r="T834" s="290"/>
      <c r="U834" s="294"/>
      <c r="V834" s="290"/>
      <c r="W834" s="290"/>
      <c r="X834" s="291"/>
      <c r="Y834" s="295"/>
      <c r="Z834" s="295"/>
      <c r="AA834" s="296"/>
      <c r="AB834" s="296"/>
      <c r="AC834" s="291"/>
      <c r="AD834" s="291"/>
      <c r="AE834" s="291"/>
      <c r="AF834" s="291"/>
      <c r="AG834" s="291"/>
      <c r="AH834" s="291"/>
      <c r="AI834" s="291"/>
      <c r="AJ834" s="291"/>
      <c r="AK834" s="290"/>
      <c r="AL834" s="290"/>
      <c r="AM834" s="290"/>
      <c r="AN834" s="290"/>
      <c r="AO834" s="290"/>
      <c r="AP834" s="290"/>
      <c r="AQ834" s="290"/>
      <c r="AR834" s="290"/>
      <c r="AS834" s="290"/>
      <c r="AT834" s="290"/>
      <c r="AU834" s="290"/>
      <c r="AV834" s="290"/>
      <c r="AW834" s="290"/>
      <c r="AX834" s="290"/>
      <c r="AY834" s="290"/>
      <c r="AZ834" s="290"/>
      <c r="BA834" s="290"/>
      <c r="BG834" s="307"/>
      <c r="BH834" s="307"/>
      <c r="BI834" s="307"/>
      <c r="BK834" s="300"/>
    </row>
    <row r="835" spans="1:63" s="298" customFormat="1" ht="15" hidden="1" x14ac:dyDescent="0.25">
      <c r="A835" s="290"/>
      <c r="B835" s="291"/>
      <c r="C835" s="290"/>
      <c r="D835" s="290"/>
      <c r="E835" s="290"/>
      <c r="F835" s="290"/>
      <c r="G835" s="290"/>
      <c r="H835" s="316"/>
      <c r="I835" s="290"/>
      <c r="J835" s="290"/>
      <c r="K835" s="290"/>
      <c r="L835" s="290"/>
      <c r="M835" s="308"/>
      <c r="N835" s="290"/>
      <c r="O835" s="290"/>
      <c r="P835" s="290"/>
      <c r="Q835" s="290"/>
      <c r="R835" s="290"/>
      <c r="S835" s="290"/>
      <c r="T835" s="290"/>
      <c r="U835" s="294"/>
      <c r="V835" s="290"/>
      <c r="W835" s="290"/>
      <c r="X835" s="291"/>
      <c r="Y835" s="295"/>
      <c r="Z835" s="295"/>
      <c r="AA835" s="296"/>
      <c r="AB835" s="296"/>
      <c r="AC835" s="291"/>
      <c r="AD835" s="291"/>
      <c r="AE835" s="291"/>
      <c r="AF835" s="291"/>
      <c r="AG835" s="291"/>
      <c r="AH835" s="291"/>
      <c r="AI835" s="291"/>
      <c r="AJ835" s="291"/>
      <c r="AK835" s="290"/>
      <c r="AL835" s="290"/>
      <c r="AM835" s="290"/>
      <c r="AN835" s="290"/>
      <c r="AO835" s="290"/>
      <c r="AP835" s="290"/>
      <c r="AQ835" s="290"/>
      <c r="AR835" s="290"/>
      <c r="AS835" s="290"/>
      <c r="AT835" s="290"/>
      <c r="AU835" s="290"/>
      <c r="AV835" s="290"/>
      <c r="AW835" s="290"/>
      <c r="AX835" s="290"/>
      <c r="AY835" s="290"/>
      <c r="AZ835" s="290"/>
      <c r="BA835" s="290"/>
      <c r="BG835" s="307"/>
      <c r="BH835" s="307"/>
      <c r="BI835" s="307"/>
      <c r="BK835" s="300"/>
    </row>
    <row r="836" spans="1:63" s="298" customFormat="1" ht="15" hidden="1" x14ac:dyDescent="0.25">
      <c r="A836" s="290"/>
      <c r="B836" s="291"/>
      <c r="C836" s="290"/>
      <c r="D836" s="290"/>
      <c r="E836" s="290"/>
      <c r="F836" s="290"/>
      <c r="G836" s="290"/>
      <c r="H836" s="316"/>
      <c r="I836" s="290"/>
      <c r="J836" s="290"/>
      <c r="K836" s="290"/>
      <c r="L836" s="290"/>
      <c r="M836" s="308"/>
      <c r="N836" s="290"/>
      <c r="O836" s="290"/>
      <c r="P836" s="290"/>
      <c r="Q836" s="290"/>
      <c r="R836" s="290"/>
      <c r="S836" s="290"/>
      <c r="T836" s="290"/>
      <c r="U836" s="294"/>
      <c r="V836" s="290"/>
      <c r="W836" s="290"/>
      <c r="X836" s="291"/>
      <c r="Y836" s="295"/>
      <c r="Z836" s="295"/>
      <c r="AA836" s="296"/>
      <c r="AB836" s="296"/>
      <c r="AC836" s="291"/>
      <c r="AD836" s="291"/>
      <c r="AE836" s="291"/>
      <c r="AF836" s="291"/>
      <c r="AG836" s="291"/>
      <c r="AH836" s="291"/>
      <c r="AI836" s="291"/>
      <c r="AJ836" s="291"/>
      <c r="AK836" s="290"/>
      <c r="AL836" s="290"/>
      <c r="AM836" s="290"/>
      <c r="AN836" s="290"/>
      <c r="AO836" s="290"/>
      <c r="AP836" s="290"/>
      <c r="AQ836" s="290"/>
      <c r="AR836" s="290"/>
      <c r="AS836" s="290"/>
      <c r="AT836" s="290"/>
      <c r="AU836" s="290"/>
      <c r="AV836" s="290"/>
      <c r="AW836" s="290"/>
      <c r="AX836" s="290"/>
      <c r="AY836" s="290"/>
      <c r="AZ836" s="290"/>
      <c r="BA836" s="290"/>
      <c r="BG836" s="307"/>
      <c r="BH836" s="307"/>
      <c r="BI836" s="307"/>
      <c r="BK836" s="300"/>
    </row>
    <row r="837" spans="1:63" s="298" customFormat="1" ht="15" hidden="1" x14ac:dyDescent="0.25">
      <c r="A837" s="290"/>
      <c r="B837" s="291"/>
      <c r="C837" s="290"/>
      <c r="D837" s="290"/>
      <c r="E837" s="290"/>
      <c r="F837" s="290"/>
      <c r="G837" s="290"/>
      <c r="H837" s="316"/>
      <c r="I837" s="290"/>
      <c r="J837" s="290"/>
      <c r="K837" s="290"/>
      <c r="L837" s="290"/>
      <c r="M837" s="308"/>
      <c r="N837" s="290"/>
      <c r="O837" s="290"/>
      <c r="P837" s="290"/>
      <c r="Q837" s="290"/>
      <c r="R837" s="290"/>
      <c r="S837" s="290"/>
      <c r="T837" s="290"/>
      <c r="U837" s="294"/>
      <c r="V837" s="290"/>
      <c r="W837" s="290"/>
      <c r="X837" s="291"/>
      <c r="Y837" s="295"/>
      <c r="Z837" s="295"/>
      <c r="AA837" s="296"/>
      <c r="AB837" s="296"/>
      <c r="AC837" s="291"/>
      <c r="AD837" s="291"/>
      <c r="AE837" s="291"/>
      <c r="AF837" s="291"/>
      <c r="AG837" s="291"/>
      <c r="AH837" s="291"/>
      <c r="AI837" s="291"/>
      <c r="AJ837" s="291"/>
      <c r="AK837" s="290"/>
      <c r="AL837" s="290"/>
      <c r="AM837" s="290"/>
      <c r="AN837" s="290"/>
      <c r="AO837" s="290"/>
      <c r="AP837" s="290"/>
      <c r="AQ837" s="290"/>
      <c r="AR837" s="290"/>
      <c r="AS837" s="290"/>
      <c r="AT837" s="290"/>
      <c r="AU837" s="290"/>
      <c r="AV837" s="290"/>
      <c r="AW837" s="290"/>
      <c r="AX837" s="290"/>
      <c r="AY837" s="290"/>
      <c r="AZ837" s="290"/>
      <c r="BA837" s="290"/>
      <c r="BG837" s="307"/>
      <c r="BH837" s="307"/>
      <c r="BI837" s="307"/>
      <c r="BK837" s="300"/>
    </row>
    <row r="838" spans="1:63" s="298" customFormat="1" ht="15" hidden="1" x14ac:dyDescent="0.25">
      <c r="A838" s="290"/>
      <c r="B838" s="291"/>
      <c r="C838" s="290"/>
      <c r="D838" s="290"/>
      <c r="E838" s="290"/>
      <c r="F838" s="290"/>
      <c r="G838" s="290"/>
      <c r="H838" s="316"/>
      <c r="I838" s="290"/>
      <c r="J838" s="290"/>
      <c r="K838" s="290"/>
      <c r="L838" s="290"/>
      <c r="M838" s="308"/>
      <c r="N838" s="290"/>
      <c r="O838" s="290"/>
      <c r="P838" s="290"/>
      <c r="Q838" s="290"/>
      <c r="R838" s="290"/>
      <c r="S838" s="290"/>
      <c r="T838" s="290"/>
      <c r="U838" s="294"/>
      <c r="V838" s="290"/>
      <c r="W838" s="290"/>
      <c r="X838" s="291"/>
      <c r="Y838" s="295"/>
      <c r="Z838" s="295"/>
      <c r="AA838" s="296"/>
      <c r="AB838" s="296"/>
      <c r="AC838" s="291"/>
      <c r="AD838" s="291"/>
      <c r="AE838" s="291"/>
      <c r="AF838" s="291"/>
      <c r="AG838" s="291"/>
      <c r="AH838" s="291"/>
      <c r="AI838" s="291"/>
      <c r="AJ838" s="291"/>
      <c r="AK838" s="290"/>
      <c r="AL838" s="290"/>
      <c r="AM838" s="290"/>
      <c r="AN838" s="290"/>
      <c r="AO838" s="290"/>
      <c r="AP838" s="290"/>
      <c r="AQ838" s="290"/>
      <c r="AR838" s="290"/>
      <c r="AS838" s="290"/>
      <c r="AT838" s="290"/>
      <c r="AU838" s="290"/>
      <c r="AV838" s="290"/>
      <c r="AW838" s="290"/>
      <c r="AX838" s="290"/>
      <c r="AY838" s="290"/>
      <c r="AZ838" s="290"/>
      <c r="BA838" s="290"/>
      <c r="BG838" s="307"/>
      <c r="BH838" s="307"/>
      <c r="BI838" s="307"/>
      <c r="BK838" s="300"/>
    </row>
    <row r="839" spans="1:63" s="298" customFormat="1" ht="15" hidden="1" x14ac:dyDescent="0.25">
      <c r="A839" s="290"/>
      <c r="B839" s="291"/>
      <c r="C839" s="290"/>
      <c r="D839" s="290"/>
      <c r="E839" s="290"/>
      <c r="F839" s="290"/>
      <c r="G839" s="290"/>
      <c r="H839" s="317"/>
      <c r="I839" s="290"/>
      <c r="J839" s="290"/>
      <c r="K839" s="290"/>
      <c r="L839" s="290"/>
      <c r="M839" s="308"/>
      <c r="N839" s="290"/>
      <c r="O839" s="290"/>
      <c r="P839" s="290"/>
      <c r="Q839" s="290"/>
      <c r="R839" s="290"/>
      <c r="S839" s="290"/>
      <c r="T839" s="290"/>
      <c r="U839" s="294"/>
      <c r="V839" s="290"/>
      <c r="W839" s="290"/>
      <c r="X839" s="291"/>
      <c r="Y839" s="295"/>
      <c r="Z839" s="295"/>
      <c r="AA839" s="296"/>
      <c r="AB839" s="296"/>
      <c r="AC839" s="291"/>
      <c r="AD839" s="291"/>
      <c r="AE839" s="291"/>
      <c r="AF839" s="291"/>
      <c r="AG839" s="291"/>
      <c r="AH839" s="291"/>
      <c r="AI839" s="291"/>
      <c r="AJ839" s="291"/>
      <c r="AK839" s="290"/>
      <c r="AL839" s="290"/>
      <c r="AM839" s="290"/>
      <c r="AN839" s="290"/>
      <c r="AO839" s="290"/>
      <c r="AP839" s="290"/>
      <c r="AQ839" s="290"/>
      <c r="AR839" s="290"/>
      <c r="AS839" s="290"/>
      <c r="AT839" s="290"/>
      <c r="AU839" s="290"/>
      <c r="AV839" s="290"/>
      <c r="AW839" s="290"/>
      <c r="AX839" s="290"/>
      <c r="AY839" s="290"/>
      <c r="AZ839" s="290"/>
      <c r="BA839" s="290"/>
      <c r="BG839" s="307"/>
      <c r="BH839" s="307"/>
      <c r="BI839" s="307"/>
      <c r="BK839" s="300"/>
    </row>
    <row r="840" spans="1:63" s="298" customFormat="1" ht="15.75" hidden="1" x14ac:dyDescent="0.25">
      <c r="A840" s="290"/>
      <c r="B840" s="291"/>
      <c r="C840" s="290"/>
      <c r="D840" s="290"/>
      <c r="E840" s="290"/>
      <c r="F840" s="290"/>
      <c r="G840" s="290"/>
      <c r="H840" s="315"/>
      <c r="I840" s="290"/>
      <c r="J840" s="290"/>
      <c r="K840" s="290"/>
      <c r="L840" s="290"/>
      <c r="M840" s="308"/>
      <c r="N840" s="290"/>
      <c r="O840" s="290"/>
      <c r="P840" s="290"/>
      <c r="Q840" s="290"/>
      <c r="R840" s="290"/>
      <c r="S840" s="290"/>
      <c r="T840" s="290"/>
      <c r="U840" s="294"/>
      <c r="V840" s="290"/>
      <c r="W840" s="290"/>
      <c r="X840" s="291"/>
      <c r="Y840" s="295"/>
      <c r="Z840" s="295"/>
      <c r="AA840" s="296"/>
      <c r="AB840" s="296"/>
      <c r="AC840" s="291"/>
      <c r="AD840" s="291"/>
      <c r="AE840" s="291"/>
      <c r="AF840" s="291"/>
      <c r="AG840" s="291"/>
      <c r="AH840" s="291"/>
      <c r="AI840" s="291"/>
      <c r="AJ840" s="291"/>
      <c r="AK840" s="290"/>
      <c r="AL840" s="290"/>
      <c r="AM840" s="290"/>
      <c r="AN840" s="290"/>
      <c r="AO840" s="290"/>
      <c r="AP840" s="290"/>
      <c r="AQ840" s="290"/>
      <c r="AR840" s="290"/>
      <c r="AS840" s="290"/>
      <c r="AT840" s="290"/>
      <c r="AU840" s="290"/>
      <c r="AV840" s="290"/>
      <c r="AW840" s="290"/>
      <c r="AX840" s="290"/>
      <c r="AY840" s="290"/>
      <c r="AZ840" s="290"/>
      <c r="BA840" s="290"/>
      <c r="BG840" s="307"/>
      <c r="BH840" s="307"/>
      <c r="BI840" s="307"/>
      <c r="BK840" s="300"/>
    </row>
    <row r="841" spans="1:63" s="298" customFormat="1" ht="15" hidden="1" x14ac:dyDescent="0.25">
      <c r="A841" s="290"/>
      <c r="B841" s="291"/>
      <c r="C841" s="290"/>
      <c r="D841" s="290"/>
      <c r="E841" s="290"/>
      <c r="F841" s="290"/>
      <c r="G841" s="290"/>
      <c r="H841" s="316"/>
      <c r="I841" s="290"/>
      <c r="J841" s="290"/>
      <c r="K841" s="290"/>
      <c r="L841" s="290"/>
      <c r="M841" s="308"/>
      <c r="N841" s="290"/>
      <c r="O841" s="290"/>
      <c r="P841" s="290"/>
      <c r="Q841" s="290"/>
      <c r="R841" s="290"/>
      <c r="S841" s="290"/>
      <c r="T841" s="290"/>
      <c r="U841" s="294"/>
      <c r="V841" s="290"/>
      <c r="W841" s="290"/>
      <c r="X841" s="291"/>
      <c r="Y841" s="295"/>
      <c r="Z841" s="295"/>
      <c r="AA841" s="296"/>
      <c r="AB841" s="296"/>
      <c r="AC841" s="291"/>
      <c r="AD841" s="291"/>
      <c r="AE841" s="291"/>
      <c r="AF841" s="291"/>
      <c r="AG841" s="291"/>
      <c r="AH841" s="291"/>
      <c r="AI841" s="291"/>
      <c r="AJ841" s="291"/>
      <c r="AK841" s="290"/>
      <c r="AL841" s="290"/>
      <c r="AM841" s="290"/>
      <c r="AN841" s="290"/>
      <c r="AO841" s="290"/>
      <c r="AP841" s="290"/>
      <c r="AQ841" s="290"/>
      <c r="AR841" s="290"/>
      <c r="AS841" s="290"/>
      <c r="AT841" s="290"/>
      <c r="AU841" s="290"/>
      <c r="AV841" s="290"/>
      <c r="AW841" s="290"/>
      <c r="AX841" s="290"/>
      <c r="AY841" s="290"/>
      <c r="AZ841" s="290"/>
      <c r="BA841" s="290"/>
      <c r="BG841" s="307"/>
      <c r="BH841" s="307"/>
      <c r="BI841" s="307"/>
      <c r="BK841" s="300"/>
    </row>
    <row r="842" spans="1:63" s="298" customFormat="1" ht="15" hidden="1" x14ac:dyDescent="0.25">
      <c r="A842" s="290"/>
      <c r="B842" s="291"/>
      <c r="C842" s="290"/>
      <c r="D842" s="290"/>
      <c r="E842" s="290"/>
      <c r="F842" s="290"/>
      <c r="G842" s="290"/>
      <c r="H842" s="316"/>
      <c r="I842" s="290"/>
      <c r="J842" s="290"/>
      <c r="K842" s="290"/>
      <c r="L842" s="290"/>
      <c r="M842" s="308"/>
      <c r="N842" s="290"/>
      <c r="O842" s="290"/>
      <c r="P842" s="290"/>
      <c r="Q842" s="290"/>
      <c r="R842" s="290"/>
      <c r="S842" s="290"/>
      <c r="T842" s="290"/>
      <c r="U842" s="294"/>
      <c r="V842" s="290"/>
      <c r="W842" s="290"/>
      <c r="X842" s="291"/>
      <c r="Y842" s="295"/>
      <c r="Z842" s="295"/>
      <c r="AA842" s="296"/>
      <c r="AB842" s="296"/>
      <c r="AC842" s="291"/>
      <c r="AD842" s="291"/>
      <c r="AE842" s="291"/>
      <c r="AF842" s="291"/>
      <c r="AG842" s="291"/>
      <c r="AH842" s="291"/>
      <c r="AI842" s="291"/>
      <c r="AJ842" s="291"/>
      <c r="AK842" s="290"/>
      <c r="AL842" s="290"/>
      <c r="AM842" s="290"/>
      <c r="AN842" s="290"/>
      <c r="AO842" s="290"/>
      <c r="AP842" s="290"/>
      <c r="AQ842" s="290"/>
      <c r="AR842" s="290"/>
      <c r="AS842" s="290"/>
      <c r="AT842" s="290"/>
      <c r="AU842" s="290"/>
      <c r="AV842" s="290"/>
      <c r="AW842" s="290"/>
      <c r="AX842" s="290"/>
      <c r="AY842" s="290"/>
      <c r="AZ842" s="290"/>
      <c r="BA842" s="290"/>
      <c r="BG842" s="307"/>
      <c r="BH842" s="307"/>
      <c r="BI842" s="307"/>
      <c r="BK842" s="300"/>
    </row>
    <row r="843" spans="1:63" s="298" customFormat="1" ht="15" hidden="1" x14ac:dyDescent="0.25">
      <c r="A843" s="290"/>
      <c r="B843" s="291"/>
      <c r="C843" s="290"/>
      <c r="D843" s="290"/>
      <c r="E843" s="290"/>
      <c r="F843" s="290"/>
      <c r="G843" s="290"/>
      <c r="H843" s="316"/>
      <c r="I843" s="290"/>
      <c r="J843" s="290"/>
      <c r="K843" s="290"/>
      <c r="L843" s="290"/>
      <c r="M843" s="308"/>
      <c r="N843" s="290"/>
      <c r="O843" s="290"/>
      <c r="P843" s="290"/>
      <c r="Q843" s="290"/>
      <c r="R843" s="290"/>
      <c r="S843" s="290"/>
      <c r="T843" s="290"/>
      <c r="U843" s="294"/>
      <c r="V843" s="290"/>
      <c r="W843" s="290"/>
      <c r="X843" s="291"/>
      <c r="Y843" s="295"/>
      <c r="Z843" s="295"/>
      <c r="AA843" s="296"/>
      <c r="AB843" s="296"/>
      <c r="AC843" s="291"/>
      <c r="AD843" s="291"/>
      <c r="AE843" s="291"/>
      <c r="AF843" s="291"/>
      <c r="AG843" s="291"/>
      <c r="AH843" s="291"/>
      <c r="AI843" s="291"/>
      <c r="AJ843" s="291"/>
      <c r="AK843" s="290"/>
      <c r="AL843" s="290"/>
      <c r="AM843" s="290"/>
      <c r="AN843" s="290"/>
      <c r="AO843" s="290"/>
      <c r="AP843" s="290"/>
      <c r="AQ843" s="290"/>
      <c r="AR843" s="290"/>
      <c r="AS843" s="290"/>
      <c r="AT843" s="290"/>
      <c r="AU843" s="290"/>
      <c r="AV843" s="290"/>
      <c r="AW843" s="290"/>
      <c r="AX843" s="290"/>
      <c r="AY843" s="290"/>
      <c r="AZ843" s="290"/>
      <c r="BA843" s="290"/>
      <c r="BG843" s="307"/>
      <c r="BH843" s="307"/>
      <c r="BI843" s="307"/>
      <c r="BK843" s="300"/>
    </row>
    <row r="844" spans="1:63" s="298" customFormat="1" ht="15" hidden="1" x14ac:dyDescent="0.25">
      <c r="A844" s="290"/>
      <c r="B844" s="291"/>
      <c r="C844" s="290"/>
      <c r="D844" s="290"/>
      <c r="E844" s="290"/>
      <c r="F844" s="290"/>
      <c r="G844" s="290"/>
      <c r="H844" s="316"/>
      <c r="I844" s="290"/>
      <c r="J844" s="290"/>
      <c r="K844" s="290"/>
      <c r="L844" s="290"/>
      <c r="M844" s="308"/>
      <c r="N844" s="290"/>
      <c r="O844" s="290"/>
      <c r="P844" s="290"/>
      <c r="Q844" s="290"/>
      <c r="R844" s="290"/>
      <c r="S844" s="290"/>
      <c r="T844" s="290"/>
      <c r="U844" s="294"/>
      <c r="V844" s="290"/>
      <c r="W844" s="290"/>
      <c r="X844" s="291"/>
      <c r="Y844" s="295"/>
      <c r="Z844" s="295"/>
      <c r="AA844" s="296"/>
      <c r="AB844" s="296"/>
      <c r="AC844" s="291"/>
      <c r="AD844" s="291"/>
      <c r="AE844" s="291"/>
      <c r="AF844" s="291"/>
      <c r="AG844" s="291"/>
      <c r="AH844" s="291"/>
      <c r="AI844" s="291"/>
      <c r="AJ844" s="291"/>
      <c r="AK844" s="290"/>
      <c r="AL844" s="290"/>
      <c r="AM844" s="290"/>
      <c r="AN844" s="290"/>
      <c r="AO844" s="290"/>
      <c r="AP844" s="290"/>
      <c r="AQ844" s="290"/>
      <c r="AR844" s="290"/>
      <c r="AS844" s="290"/>
      <c r="AT844" s="290"/>
      <c r="AU844" s="290"/>
      <c r="AV844" s="290"/>
      <c r="AW844" s="290"/>
      <c r="AX844" s="290"/>
      <c r="AY844" s="290"/>
      <c r="AZ844" s="290"/>
      <c r="BA844" s="290"/>
      <c r="BG844" s="307"/>
      <c r="BH844" s="307"/>
      <c r="BI844" s="307"/>
      <c r="BK844" s="300"/>
    </row>
    <row r="845" spans="1:63" s="298" customFormat="1" ht="15" hidden="1" x14ac:dyDescent="0.25">
      <c r="A845" s="290"/>
      <c r="B845" s="291"/>
      <c r="C845" s="290"/>
      <c r="D845" s="290"/>
      <c r="E845" s="290"/>
      <c r="F845" s="290"/>
      <c r="G845" s="290"/>
      <c r="H845" s="316"/>
      <c r="I845" s="290"/>
      <c r="J845" s="290"/>
      <c r="K845" s="290"/>
      <c r="L845" s="290"/>
      <c r="M845" s="308"/>
      <c r="N845" s="290"/>
      <c r="O845" s="290"/>
      <c r="P845" s="290"/>
      <c r="Q845" s="290"/>
      <c r="R845" s="290"/>
      <c r="S845" s="290"/>
      <c r="T845" s="290"/>
      <c r="U845" s="294"/>
      <c r="V845" s="290"/>
      <c r="W845" s="290"/>
      <c r="X845" s="291"/>
      <c r="Y845" s="295"/>
      <c r="Z845" s="295"/>
      <c r="AA845" s="296"/>
      <c r="AB845" s="296"/>
      <c r="AC845" s="291"/>
      <c r="AD845" s="291"/>
      <c r="AE845" s="291"/>
      <c r="AF845" s="291"/>
      <c r="AG845" s="291"/>
      <c r="AH845" s="291"/>
      <c r="AI845" s="291"/>
      <c r="AJ845" s="291"/>
      <c r="AK845" s="290"/>
      <c r="AL845" s="290"/>
      <c r="AM845" s="290"/>
      <c r="AN845" s="290"/>
      <c r="AO845" s="290"/>
      <c r="AP845" s="290"/>
      <c r="AQ845" s="290"/>
      <c r="AR845" s="290"/>
      <c r="AS845" s="290"/>
      <c r="AT845" s="290"/>
      <c r="AU845" s="290"/>
      <c r="AV845" s="290"/>
      <c r="AW845" s="290"/>
      <c r="AX845" s="290"/>
      <c r="AY845" s="290"/>
      <c r="AZ845" s="290"/>
      <c r="BA845" s="290"/>
      <c r="BG845" s="307"/>
      <c r="BH845" s="307"/>
      <c r="BI845" s="307"/>
      <c r="BK845" s="300"/>
    </row>
    <row r="846" spans="1:63" s="298" customFormat="1" ht="15" hidden="1" x14ac:dyDescent="0.25">
      <c r="A846" s="290"/>
      <c r="B846" s="291"/>
      <c r="C846" s="290"/>
      <c r="D846" s="290"/>
      <c r="E846" s="290"/>
      <c r="F846" s="290"/>
      <c r="G846" s="290"/>
      <c r="H846" s="316"/>
      <c r="I846" s="290"/>
      <c r="J846" s="290"/>
      <c r="K846" s="290"/>
      <c r="L846" s="290"/>
      <c r="M846" s="308"/>
      <c r="N846" s="290"/>
      <c r="O846" s="290"/>
      <c r="P846" s="290"/>
      <c r="Q846" s="290"/>
      <c r="R846" s="290"/>
      <c r="S846" s="290"/>
      <c r="T846" s="290"/>
      <c r="U846" s="294"/>
      <c r="V846" s="290"/>
      <c r="W846" s="290"/>
      <c r="X846" s="291"/>
      <c r="Y846" s="295"/>
      <c r="Z846" s="295"/>
      <c r="AA846" s="296"/>
      <c r="AB846" s="296"/>
      <c r="AC846" s="291"/>
      <c r="AD846" s="291"/>
      <c r="AE846" s="291"/>
      <c r="AF846" s="291"/>
      <c r="AG846" s="291"/>
      <c r="AH846" s="291"/>
      <c r="AI846" s="291"/>
      <c r="AJ846" s="291"/>
      <c r="AK846" s="290"/>
      <c r="AL846" s="290"/>
      <c r="AM846" s="290"/>
      <c r="AN846" s="290"/>
      <c r="AO846" s="290"/>
      <c r="AP846" s="290"/>
      <c r="AQ846" s="290"/>
      <c r="AR846" s="290"/>
      <c r="AS846" s="290"/>
      <c r="AT846" s="290"/>
      <c r="AU846" s="290"/>
      <c r="AV846" s="290"/>
      <c r="AW846" s="290"/>
      <c r="AX846" s="290"/>
      <c r="AY846" s="290"/>
      <c r="AZ846" s="290"/>
      <c r="BA846" s="290"/>
      <c r="BG846" s="307"/>
      <c r="BH846" s="307"/>
      <c r="BI846" s="307"/>
      <c r="BK846" s="300"/>
    </row>
    <row r="847" spans="1:63" s="298" customFormat="1" hidden="1" x14ac:dyDescent="0.25">
      <c r="A847" s="290"/>
      <c r="B847" s="291"/>
      <c r="C847" s="290"/>
      <c r="D847" s="290"/>
      <c r="E847" s="290"/>
      <c r="F847" s="290"/>
      <c r="G847" s="290"/>
      <c r="H847" s="290"/>
      <c r="I847" s="290"/>
      <c r="J847" s="290"/>
      <c r="K847" s="290"/>
      <c r="L847" s="290"/>
      <c r="M847" s="308"/>
      <c r="N847" s="290"/>
      <c r="O847" s="290"/>
      <c r="P847" s="290"/>
      <c r="Q847" s="290"/>
      <c r="R847" s="290"/>
      <c r="S847" s="290"/>
      <c r="T847" s="290"/>
      <c r="U847" s="294"/>
      <c r="V847" s="290"/>
      <c r="W847" s="290"/>
      <c r="X847" s="291"/>
      <c r="Y847" s="295"/>
      <c r="Z847" s="295"/>
      <c r="AA847" s="296"/>
      <c r="AB847" s="296"/>
      <c r="AC847" s="291"/>
      <c r="AD847" s="291"/>
      <c r="AE847" s="291"/>
      <c r="AF847" s="291"/>
      <c r="AG847" s="291"/>
      <c r="AH847" s="291"/>
      <c r="AI847" s="291"/>
      <c r="AJ847" s="291"/>
      <c r="AK847" s="290"/>
      <c r="AL847" s="290"/>
      <c r="AM847" s="290"/>
      <c r="AN847" s="290"/>
      <c r="AO847" s="290"/>
      <c r="AP847" s="290"/>
      <c r="AQ847" s="290"/>
      <c r="AR847" s="290"/>
      <c r="AS847" s="290"/>
      <c r="AT847" s="290"/>
      <c r="AU847" s="290"/>
      <c r="AV847" s="290"/>
      <c r="AW847" s="290"/>
      <c r="AX847" s="290"/>
      <c r="AY847" s="290"/>
      <c r="AZ847" s="290"/>
      <c r="BA847" s="290"/>
      <c r="BG847" s="307"/>
      <c r="BH847" s="307"/>
      <c r="BI847" s="307"/>
      <c r="BK847" s="300"/>
    </row>
    <row r="848" spans="1:63" s="298" customFormat="1" hidden="1" x14ac:dyDescent="0.25">
      <c r="A848" s="290"/>
      <c r="B848" s="291"/>
      <c r="C848" s="290"/>
      <c r="D848" s="290"/>
      <c r="E848" s="290"/>
      <c r="F848" s="290"/>
      <c r="G848" s="290"/>
      <c r="H848" s="290"/>
      <c r="I848" s="290"/>
      <c r="J848" s="290"/>
      <c r="K848" s="290"/>
      <c r="L848" s="290"/>
      <c r="M848" s="308"/>
      <c r="N848" s="290"/>
      <c r="O848" s="290"/>
      <c r="P848" s="290"/>
      <c r="Q848" s="290"/>
      <c r="R848" s="290"/>
      <c r="S848" s="290"/>
      <c r="T848" s="290"/>
      <c r="U848" s="294"/>
      <c r="V848" s="290"/>
      <c r="W848" s="290"/>
      <c r="X848" s="291"/>
      <c r="Y848" s="295"/>
      <c r="Z848" s="295"/>
      <c r="AA848" s="296"/>
      <c r="AB848" s="296"/>
      <c r="AC848" s="291"/>
      <c r="AD848" s="291"/>
      <c r="AE848" s="291"/>
      <c r="AF848" s="291"/>
      <c r="AG848" s="291"/>
      <c r="AH848" s="291"/>
      <c r="AI848" s="291"/>
      <c r="AJ848" s="291"/>
      <c r="AK848" s="290"/>
      <c r="AL848" s="290"/>
      <c r="AM848" s="290"/>
      <c r="AN848" s="290"/>
      <c r="AO848" s="290"/>
      <c r="AP848" s="290"/>
      <c r="AQ848" s="290"/>
      <c r="AR848" s="290"/>
      <c r="AS848" s="290"/>
      <c r="AT848" s="290"/>
      <c r="AU848" s="290"/>
      <c r="AV848" s="290"/>
      <c r="AW848" s="290"/>
      <c r="AX848" s="290"/>
      <c r="AY848" s="290"/>
      <c r="AZ848" s="290"/>
      <c r="BA848" s="290"/>
      <c r="BG848" s="307"/>
      <c r="BH848" s="307"/>
      <c r="BI848" s="307"/>
      <c r="BK848" s="300"/>
    </row>
    <row r="849" spans="1:63" s="298" customFormat="1" hidden="1" x14ac:dyDescent="0.25">
      <c r="A849" s="290"/>
      <c r="B849" s="291"/>
      <c r="C849" s="290"/>
      <c r="D849" s="290"/>
      <c r="E849" s="290"/>
      <c r="F849" s="290"/>
      <c r="G849" s="290"/>
      <c r="H849" s="290"/>
      <c r="I849" s="290"/>
      <c r="J849" s="290"/>
      <c r="K849" s="290"/>
      <c r="L849" s="290"/>
      <c r="M849" s="308"/>
      <c r="N849" s="290"/>
      <c r="O849" s="290"/>
      <c r="P849" s="290"/>
      <c r="Q849" s="290"/>
      <c r="R849" s="290"/>
      <c r="S849" s="290"/>
      <c r="T849" s="290"/>
      <c r="U849" s="294"/>
      <c r="V849" s="290"/>
      <c r="W849" s="290"/>
      <c r="X849" s="291"/>
      <c r="Y849" s="295"/>
      <c r="Z849" s="295"/>
      <c r="AA849" s="296"/>
      <c r="AB849" s="296"/>
      <c r="AC849" s="291"/>
      <c r="AD849" s="291"/>
      <c r="AE849" s="291"/>
      <c r="AF849" s="291"/>
      <c r="AG849" s="291"/>
      <c r="AH849" s="291"/>
      <c r="AI849" s="291"/>
      <c r="AJ849" s="291"/>
      <c r="AK849" s="290"/>
      <c r="AL849" s="290"/>
      <c r="AM849" s="290"/>
      <c r="AN849" s="290"/>
      <c r="AO849" s="290"/>
      <c r="AP849" s="290"/>
      <c r="AQ849" s="290"/>
      <c r="AR849" s="290"/>
      <c r="AS849" s="290"/>
      <c r="AT849" s="290"/>
      <c r="AU849" s="290"/>
      <c r="AV849" s="290"/>
      <c r="AW849" s="290"/>
      <c r="AX849" s="290"/>
      <c r="AY849" s="290"/>
      <c r="AZ849" s="290"/>
      <c r="BA849" s="290"/>
      <c r="BG849" s="307"/>
      <c r="BH849" s="307"/>
      <c r="BI849" s="307"/>
      <c r="BK849" s="300"/>
    </row>
    <row r="850" spans="1:63" s="298" customFormat="1" hidden="1" x14ac:dyDescent="0.25">
      <c r="A850" s="290"/>
      <c r="B850" s="291"/>
      <c r="C850" s="290"/>
      <c r="D850" s="290"/>
      <c r="E850" s="290"/>
      <c r="F850" s="290"/>
      <c r="G850" s="290"/>
      <c r="H850" s="290"/>
      <c r="I850" s="290"/>
      <c r="J850" s="290"/>
      <c r="K850" s="290"/>
      <c r="L850" s="290"/>
      <c r="M850" s="308"/>
      <c r="N850" s="290"/>
      <c r="O850" s="290"/>
      <c r="P850" s="290"/>
      <c r="Q850" s="290"/>
      <c r="R850" s="290"/>
      <c r="S850" s="290"/>
      <c r="T850" s="290"/>
      <c r="U850" s="294"/>
      <c r="V850" s="290"/>
      <c r="W850" s="290"/>
      <c r="X850" s="291"/>
      <c r="Y850" s="295"/>
      <c r="Z850" s="295"/>
      <c r="AA850" s="296"/>
      <c r="AB850" s="296"/>
      <c r="AC850" s="291"/>
      <c r="AD850" s="291"/>
      <c r="AE850" s="291"/>
      <c r="AF850" s="291"/>
      <c r="AG850" s="291"/>
      <c r="AH850" s="291"/>
      <c r="AI850" s="291"/>
      <c r="AJ850" s="291"/>
      <c r="AK850" s="290"/>
      <c r="AL850" s="290"/>
      <c r="AM850" s="290"/>
      <c r="AN850" s="290"/>
      <c r="AO850" s="290"/>
      <c r="AP850" s="290"/>
      <c r="AQ850" s="290"/>
      <c r="AR850" s="290"/>
      <c r="AS850" s="290"/>
      <c r="AT850" s="290"/>
      <c r="AU850" s="290"/>
      <c r="AV850" s="290"/>
      <c r="AW850" s="290"/>
      <c r="AX850" s="290"/>
      <c r="AY850" s="290"/>
      <c r="AZ850" s="290"/>
      <c r="BA850" s="290"/>
      <c r="BG850" s="307"/>
      <c r="BH850" s="307"/>
      <c r="BI850" s="307"/>
      <c r="BK850" s="300"/>
    </row>
    <row r="851" spans="1:63" s="298" customFormat="1" hidden="1" x14ac:dyDescent="0.25">
      <c r="A851" s="290"/>
      <c r="B851" s="291"/>
      <c r="C851" s="290"/>
      <c r="D851" s="290"/>
      <c r="E851" s="290"/>
      <c r="F851" s="290"/>
      <c r="G851" s="290"/>
      <c r="H851" s="290"/>
      <c r="I851" s="290"/>
      <c r="J851" s="290"/>
      <c r="K851" s="290"/>
      <c r="L851" s="290"/>
      <c r="M851" s="308"/>
      <c r="N851" s="290"/>
      <c r="O851" s="290"/>
      <c r="P851" s="290"/>
      <c r="Q851" s="290"/>
      <c r="R851" s="290"/>
      <c r="S851" s="290"/>
      <c r="T851" s="290"/>
      <c r="U851" s="294"/>
      <c r="V851" s="290"/>
      <c r="W851" s="290"/>
      <c r="X851" s="291"/>
      <c r="Y851" s="295"/>
      <c r="Z851" s="295"/>
      <c r="AA851" s="296"/>
      <c r="AB851" s="296"/>
      <c r="AC851" s="291"/>
      <c r="AD851" s="291"/>
      <c r="AE851" s="291"/>
      <c r="AF851" s="291"/>
      <c r="AG851" s="291"/>
      <c r="AH851" s="291"/>
      <c r="AI851" s="291"/>
      <c r="AJ851" s="291"/>
      <c r="AK851" s="290"/>
      <c r="AL851" s="290"/>
      <c r="AM851" s="290"/>
      <c r="AN851" s="290"/>
      <c r="AO851" s="290"/>
      <c r="AP851" s="290"/>
      <c r="AQ851" s="290"/>
      <c r="AR851" s="290"/>
      <c r="AS851" s="290"/>
      <c r="AT851" s="290"/>
      <c r="AU851" s="290"/>
      <c r="AV851" s="290"/>
      <c r="AW851" s="290"/>
      <c r="AX851" s="290"/>
      <c r="AY851" s="290"/>
      <c r="AZ851" s="290"/>
      <c r="BA851" s="290"/>
      <c r="BG851" s="307"/>
      <c r="BH851" s="307"/>
      <c r="BI851" s="307"/>
      <c r="BK851" s="300"/>
    </row>
    <row r="852" spans="1:63" s="298" customFormat="1" hidden="1" x14ac:dyDescent="0.25">
      <c r="A852" s="290"/>
      <c r="B852" s="291"/>
      <c r="C852" s="290"/>
      <c r="D852" s="290"/>
      <c r="E852" s="290"/>
      <c r="F852" s="290"/>
      <c r="G852" s="290"/>
      <c r="H852" s="290"/>
      <c r="I852" s="290"/>
      <c r="J852" s="290"/>
      <c r="K852" s="290"/>
      <c r="L852" s="290"/>
      <c r="M852" s="308"/>
      <c r="N852" s="290"/>
      <c r="O852" s="290"/>
      <c r="P852" s="290"/>
      <c r="Q852" s="290"/>
      <c r="R852" s="290"/>
      <c r="S852" s="290"/>
      <c r="T852" s="290"/>
      <c r="U852" s="294"/>
      <c r="V852" s="290"/>
      <c r="W852" s="290"/>
      <c r="X852" s="291"/>
      <c r="Y852" s="295"/>
      <c r="Z852" s="295"/>
      <c r="AA852" s="296"/>
      <c r="AB852" s="296"/>
      <c r="AC852" s="291"/>
      <c r="AD852" s="291"/>
      <c r="AE852" s="291"/>
      <c r="AF852" s="291"/>
      <c r="AG852" s="291"/>
      <c r="AH852" s="291"/>
      <c r="AI852" s="291"/>
      <c r="AJ852" s="291"/>
      <c r="AK852" s="290"/>
      <c r="AL852" s="290"/>
      <c r="AM852" s="290"/>
      <c r="AN852" s="290"/>
      <c r="AO852" s="290"/>
      <c r="AP852" s="290"/>
      <c r="AQ852" s="290"/>
      <c r="AR852" s="290"/>
      <c r="AS852" s="290"/>
      <c r="AT852" s="290"/>
      <c r="AU852" s="290"/>
      <c r="AV852" s="290"/>
      <c r="AW852" s="290"/>
      <c r="AX852" s="290"/>
      <c r="AY852" s="290"/>
      <c r="AZ852" s="290"/>
      <c r="BA852" s="290"/>
      <c r="BG852" s="307"/>
      <c r="BH852" s="307"/>
      <c r="BI852" s="307"/>
      <c r="BK852" s="300"/>
    </row>
    <row r="853" spans="1:63" s="298" customFormat="1" ht="18" hidden="1" x14ac:dyDescent="0.25">
      <c r="A853" s="290"/>
      <c r="B853" s="291"/>
      <c r="C853" s="290"/>
      <c r="D853" s="290"/>
      <c r="E853" s="290"/>
      <c r="F853" s="290"/>
      <c r="G853" s="290"/>
      <c r="H853" s="318"/>
      <c r="I853" s="290"/>
      <c r="J853" s="290"/>
      <c r="K853" s="290"/>
      <c r="L853" s="290"/>
      <c r="M853" s="308"/>
      <c r="N853" s="290"/>
      <c r="O853" s="290"/>
      <c r="P853" s="290"/>
      <c r="Q853" s="290"/>
      <c r="R853" s="290"/>
      <c r="S853" s="290"/>
      <c r="T853" s="290"/>
      <c r="U853" s="294"/>
      <c r="V853" s="290"/>
      <c r="W853" s="290"/>
      <c r="X853" s="291"/>
      <c r="Y853" s="295"/>
      <c r="Z853" s="295"/>
      <c r="AA853" s="296"/>
      <c r="AB853" s="296"/>
      <c r="AC853" s="291"/>
      <c r="AD853" s="291"/>
      <c r="AE853" s="291"/>
      <c r="AF853" s="291"/>
      <c r="AG853" s="291"/>
      <c r="AH853" s="291"/>
      <c r="AI853" s="291"/>
      <c r="AJ853" s="291"/>
      <c r="AK853" s="290"/>
      <c r="AL853" s="290"/>
      <c r="AM853" s="290"/>
      <c r="AN853" s="290"/>
      <c r="AO853" s="290"/>
      <c r="AP853" s="290"/>
      <c r="AQ853" s="290"/>
      <c r="AR853" s="290"/>
      <c r="AS853" s="290"/>
      <c r="AT853" s="290"/>
      <c r="AU853" s="290"/>
      <c r="AV853" s="290"/>
      <c r="AW853" s="290"/>
      <c r="AX853" s="290"/>
      <c r="AY853" s="290"/>
      <c r="AZ853" s="290"/>
      <c r="BA853" s="290"/>
      <c r="BG853" s="307"/>
      <c r="BH853" s="307"/>
      <c r="BI853" s="307"/>
      <c r="BK853" s="300"/>
    </row>
    <row r="854" spans="1:63" s="298" customFormat="1" ht="15" hidden="1" x14ac:dyDescent="0.25">
      <c r="A854" s="290"/>
      <c r="B854" s="291"/>
      <c r="C854" s="290"/>
      <c r="D854" s="290"/>
      <c r="E854" s="290"/>
      <c r="F854" s="290"/>
      <c r="G854" s="290"/>
      <c r="H854" s="316"/>
      <c r="I854" s="290"/>
      <c r="J854" s="290"/>
      <c r="K854" s="290"/>
      <c r="L854" s="290"/>
      <c r="M854" s="308"/>
      <c r="N854" s="290"/>
      <c r="O854" s="290"/>
      <c r="P854" s="290"/>
      <c r="Q854" s="290"/>
      <c r="R854" s="290"/>
      <c r="S854" s="290"/>
      <c r="T854" s="290"/>
      <c r="U854" s="294"/>
      <c r="V854" s="290"/>
      <c r="W854" s="290"/>
      <c r="X854" s="291"/>
      <c r="Y854" s="295"/>
      <c r="Z854" s="295"/>
      <c r="AA854" s="296"/>
      <c r="AB854" s="296"/>
      <c r="AC854" s="291"/>
      <c r="AD854" s="291"/>
      <c r="AE854" s="291"/>
      <c r="AF854" s="291"/>
      <c r="AG854" s="291"/>
      <c r="AH854" s="291"/>
      <c r="AI854" s="291"/>
      <c r="AJ854" s="291"/>
      <c r="AK854" s="290"/>
      <c r="AL854" s="290"/>
      <c r="AM854" s="290"/>
      <c r="AN854" s="290"/>
      <c r="AO854" s="290"/>
      <c r="AP854" s="290"/>
      <c r="AQ854" s="290"/>
      <c r="AR854" s="290"/>
      <c r="AS854" s="290"/>
      <c r="AT854" s="290"/>
      <c r="AU854" s="290"/>
      <c r="AV854" s="290"/>
      <c r="AW854" s="290"/>
      <c r="AX854" s="290"/>
      <c r="AY854" s="290"/>
      <c r="AZ854" s="290"/>
      <c r="BA854" s="290"/>
      <c r="BG854" s="307"/>
      <c r="BH854" s="307"/>
      <c r="BI854" s="307"/>
      <c r="BK854" s="300"/>
    </row>
    <row r="855" spans="1:63" s="298" customFormat="1" ht="15" hidden="1" x14ac:dyDescent="0.25">
      <c r="A855" s="290"/>
      <c r="B855" s="291"/>
      <c r="C855" s="290"/>
      <c r="D855" s="290"/>
      <c r="E855" s="290"/>
      <c r="F855" s="290"/>
      <c r="G855" s="290"/>
      <c r="H855" s="316"/>
      <c r="I855" s="290"/>
      <c r="J855" s="290"/>
      <c r="K855" s="290"/>
      <c r="L855" s="290"/>
      <c r="M855" s="308"/>
      <c r="N855" s="290"/>
      <c r="O855" s="290"/>
      <c r="P855" s="290"/>
      <c r="Q855" s="290"/>
      <c r="R855" s="290"/>
      <c r="S855" s="290"/>
      <c r="T855" s="290"/>
      <c r="U855" s="294"/>
      <c r="V855" s="290"/>
      <c r="W855" s="290"/>
      <c r="X855" s="291"/>
      <c r="Y855" s="295"/>
      <c r="Z855" s="295"/>
      <c r="AA855" s="296"/>
      <c r="AB855" s="296"/>
      <c r="AC855" s="291"/>
      <c r="AD855" s="291"/>
      <c r="AE855" s="291"/>
      <c r="AF855" s="291"/>
      <c r="AG855" s="291"/>
      <c r="AH855" s="291"/>
      <c r="AI855" s="291"/>
      <c r="AJ855" s="291"/>
      <c r="AK855" s="290"/>
      <c r="AL855" s="290"/>
      <c r="AM855" s="290"/>
      <c r="AN855" s="290"/>
      <c r="AO855" s="290"/>
      <c r="AP855" s="290"/>
      <c r="AQ855" s="290"/>
      <c r="AR855" s="290"/>
      <c r="AS855" s="290"/>
      <c r="AT855" s="290"/>
      <c r="AU855" s="290"/>
      <c r="AV855" s="290"/>
      <c r="AW855" s="290"/>
      <c r="AX855" s="290"/>
      <c r="AY855" s="290"/>
      <c r="AZ855" s="290"/>
      <c r="BA855" s="290"/>
      <c r="BG855" s="307"/>
      <c r="BH855" s="307"/>
      <c r="BI855" s="307"/>
      <c r="BK855" s="300"/>
    </row>
    <row r="856" spans="1:63" s="298" customFormat="1" ht="15" hidden="1" x14ac:dyDescent="0.25">
      <c r="A856" s="290"/>
      <c r="B856" s="291"/>
      <c r="C856" s="290"/>
      <c r="D856" s="290"/>
      <c r="E856" s="290"/>
      <c r="F856" s="290"/>
      <c r="G856" s="290"/>
      <c r="H856" s="316"/>
      <c r="I856" s="290"/>
      <c r="J856" s="290"/>
      <c r="K856" s="290"/>
      <c r="L856" s="290"/>
      <c r="M856" s="308"/>
      <c r="N856" s="290"/>
      <c r="O856" s="290"/>
      <c r="P856" s="290"/>
      <c r="Q856" s="290"/>
      <c r="R856" s="290"/>
      <c r="S856" s="290"/>
      <c r="T856" s="290"/>
      <c r="U856" s="294"/>
      <c r="V856" s="290"/>
      <c r="W856" s="290"/>
      <c r="X856" s="291"/>
      <c r="Y856" s="295"/>
      <c r="Z856" s="295"/>
      <c r="AA856" s="296"/>
      <c r="AB856" s="296"/>
      <c r="AC856" s="291"/>
      <c r="AD856" s="291"/>
      <c r="AE856" s="291"/>
      <c r="AF856" s="291"/>
      <c r="AG856" s="291"/>
      <c r="AH856" s="291"/>
      <c r="AI856" s="291"/>
      <c r="AJ856" s="291"/>
      <c r="AK856" s="290"/>
      <c r="AL856" s="290"/>
      <c r="AM856" s="290"/>
      <c r="AN856" s="290"/>
      <c r="AO856" s="290"/>
      <c r="AP856" s="290"/>
      <c r="AQ856" s="290"/>
      <c r="AR856" s="290"/>
      <c r="AS856" s="290"/>
      <c r="AT856" s="290"/>
      <c r="AU856" s="290"/>
      <c r="AV856" s="290"/>
      <c r="AW856" s="290"/>
      <c r="AX856" s="290"/>
      <c r="AY856" s="290"/>
      <c r="AZ856" s="290"/>
      <c r="BA856" s="290"/>
      <c r="BG856" s="307"/>
      <c r="BH856" s="307"/>
      <c r="BI856" s="307"/>
      <c r="BK856" s="300"/>
    </row>
    <row r="857" spans="1:63" s="298" customFormat="1" ht="15" hidden="1" x14ac:dyDescent="0.25">
      <c r="A857" s="290"/>
      <c r="B857" s="291"/>
      <c r="C857" s="290"/>
      <c r="D857" s="290"/>
      <c r="E857" s="290"/>
      <c r="F857" s="290"/>
      <c r="G857" s="290"/>
      <c r="H857" s="316"/>
      <c r="I857" s="290"/>
      <c r="J857" s="290"/>
      <c r="K857" s="290"/>
      <c r="L857" s="290"/>
      <c r="M857" s="308"/>
      <c r="N857" s="290"/>
      <c r="O857" s="290"/>
      <c r="P857" s="290"/>
      <c r="Q857" s="290"/>
      <c r="R857" s="290"/>
      <c r="S857" s="290"/>
      <c r="T857" s="290"/>
      <c r="U857" s="294"/>
      <c r="V857" s="290"/>
      <c r="W857" s="290"/>
      <c r="X857" s="291"/>
      <c r="Y857" s="295"/>
      <c r="Z857" s="295"/>
      <c r="AA857" s="296"/>
      <c r="AB857" s="296"/>
      <c r="AC857" s="291"/>
      <c r="AD857" s="291"/>
      <c r="AE857" s="291"/>
      <c r="AF857" s="291"/>
      <c r="AG857" s="291"/>
      <c r="AH857" s="291"/>
      <c r="AI857" s="291"/>
      <c r="AJ857" s="291"/>
      <c r="AK857" s="290"/>
      <c r="AL857" s="290"/>
      <c r="AM857" s="290"/>
      <c r="AN857" s="290"/>
      <c r="AO857" s="290"/>
      <c r="AP857" s="290"/>
      <c r="AQ857" s="290"/>
      <c r="AR857" s="290"/>
      <c r="AS857" s="290"/>
      <c r="AT857" s="290"/>
      <c r="AU857" s="290"/>
      <c r="AV857" s="290"/>
      <c r="AW857" s="290"/>
      <c r="AX857" s="290"/>
      <c r="AY857" s="290"/>
      <c r="AZ857" s="290"/>
      <c r="BA857" s="290"/>
      <c r="BG857" s="307"/>
      <c r="BH857" s="307"/>
      <c r="BI857" s="307"/>
      <c r="BK857" s="300"/>
    </row>
    <row r="858" spans="1:63" s="298" customFormat="1" ht="15" hidden="1" x14ac:dyDescent="0.25">
      <c r="A858" s="290"/>
      <c r="B858" s="291"/>
      <c r="C858" s="290"/>
      <c r="D858" s="290"/>
      <c r="E858" s="290"/>
      <c r="F858" s="290"/>
      <c r="G858" s="290"/>
      <c r="H858" s="316"/>
      <c r="I858" s="290"/>
      <c r="J858" s="290"/>
      <c r="K858" s="290"/>
      <c r="L858" s="290"/>
      <c r="M858" s="308"/>
      <c r="N858" s="290"/>
      <c r="O858" s="290"/>
      <c r="P858" s="290"/>
      <c r="Q858" s="290"/>
      <c r="R858" s="290"/>
      <c r="S858" s="290"/>
      <c r="T858" s="290"/>
      <c r="U858" s="294"/>
      <c r="V858" s="290"/>
      <c r="W858" s="290"/>
      <c r="X858" s="291"/>
      <c r="Y858" s="295"/>
      <c r="Z858" s="295"/>
      <c r="AA858" s="296"/>
      <c r="AB858" s="296"/>
      <c r="AC858" s="291"/>
      <c r="AD858" s="291"/>
      <c r="AE858" s="291"/>
      <c r="AF858" s="291"/>
      <c r="AG858" s="291"/>
      <c r="AH858" s="291"/>
      <c r="AI858" s="291"/>
      <c r="AJ858" s="291"/>
      <c r="AK858" s="290"/>
      <c r="AL858" s="290"/>
      <c r="AM858" s="290"/>
      <c r="AN858" s="290"/>
      <c r="AO858" s="290"/>
      <c r="AP858" s="290"/>
      <c r="AQ858" s="290"/>
      <c r="AR858" s="290"/>
      <c r="AS858" s="290"/>
      <c r="AT858" s="290"/>
      <c r="AU858" s="290"/>
      <c r="AV858" s="290"/>
      <c r="AW858" s="290"/>
      <c r="AX858" s="290"/>
      <c r="AY858" s="290"/>
      <c r="AZ858" s="290"/>
      <c r="BA858" s="290"/>
      <c r="BG858" s="307"/>
      <c r="BH858" s="307"/>
      <c r="BI858" s="307"/>
      <c r="BK858" s="300"/>
    </row>
    <row r="859" spans="1:63" s="298" customFormat="1" ht="15" hidden="1" x14ac:dyDescent="0.25">
      <c r="A859" s="290"/>
      <c r="B859" s="291"/>
      <c r="C859" s="290"/>
      <c r="D859" s="290"/>
      <c r="E859" s="290"/>
      <c r="F859" s="290"/>
      <c r="G859" s="290"/>
      <c r="H859" s="316"/>
      <c r="I859" s="290"/>
      <c r="J859" s="290"/>
      <c r="K859" s="290"/>
      <c r="L859" s="290"/>
      <c r="M859" s="308"/>
      <c r="N859" s="290"/>
      <c r="O859" s="290"/>
      <c r="P859" s="290"/>
      <c r="Q859" s="290"/>
      <c r="R859" s="290"/>
      <c r="S859" s="290"/>
      <c r="T859" s="290"/>
      <c r="U859" s="294"/>
      <c r="V859" s="290"/>
      <c r="W859" s="290"/>
      <c r="X859" s="291"/>
      <c r="Y859" s="295"/>
      <c r="Z859" s="295"/>
      <c r="AA859" s="296"/>
      <c r="AB859" s="296"/>
      <c r="AC859" s="291"/>
      <c r="AD859" s="291"/>
      <c r="AE859" s="291"/>
      <c r="AF859" s="291"/>
      <c r="AG859" s="291"/>
      <c r="AH859" s="291"/>
      <c r="AI859" s="291"/>
      <c r="AJ859" s="291"/>
      <c r="AK859" s="290"/>
      <c r="AL859" s="290"/>
      <c r="AM859" s="290"/>
      <c r="AN859" s="290"/>
      <c r="AO859" s="290"/>
      <c r="AP859" s="290"/>
      <c r="AQ859" s="290"/>
      <c r="AR859" s="290"/>
      <c r="AS859" s="290"/>
      <c r="AT859" s="290"/>
      <c r="AU859" s="290"/>
      <c r="AV859" s="290"/>
      <c r="AW859" s="290"/>
      <c r="AX859" s="290"/>
      <c r="AY859" s="290"/>
      <c r="AZ859" s="290"/>
      <c r="BA859" s="290"/>
      <c r="BG859" s="307"/>
      <c r="BH859" s="307"/>
      <c r="BI859" s="307"/>
      <c r="BK859" s="300"/>
    </row>
    <row r="860" spans="1:63" s="298" customFormat="1" ht="15" hidden="1" x14ac:dyDescent="0.25">
      <c r="A860" s="290"/>
      <c r="B860" s="291"/>
      <c r="C860" s="290"/>
      <c r="D860" s="290"/>
      <c r="E860" s="290"/>
      <c r="F860" s="290"/>
      <c r="G860" s="290"/>
      <c r="H860" s="316"/>
      <c r="I860" s="290"/>
      <c r="J860" s="290"/>
      <c r="K860" s="290"/>
      <c r="L860" s="290"/>
      <c r="M860" s="308"/>
      <c r="N860" s="290"/>
      <c r="O860" s="290"/>
      <c r="P860" s="290"/>
      <c r="Q860" s="290"/>
      <c r="R860" s="290"/>
      <c r="S860" s="290"/>
      <c r="T860" s="290"/>
      <c r="U860" s="294"/>
      <c r="V860" s="290"/>
      <c r="W860" s="290"/>
      <c r="X860" s="291"/>
      <c r="Y860" s="295"/>
      <c r="Z860" s="295"/>
      <c r="AA860" s="296"/>
      <c r="AB860" s="296"/>
      <c r="AC860" s="291"/>
      <c r="AD860" s="291"/>
      <c r="AE860" s="291"/>
      <c r="AF860" s="291"/>
      <c r="AG860" s="291"/>
      <c r="AH860" s="291"/>
      <c r="AI860" s="291"/>
      <c r="AJ860" s="291"/>
      <c r="AK860" s="290"/>
      <c r="AL860" s="290"/>
      <c r="AM860" s="290"/>
      <c r="AN860" s="290"/>
      <c r="AO860" s="290"/>
      <c r="AP860" s="290"/>
      <c r="AQ860" s="290"/>
      <c r="AR860" s="290"/>
      <c r="AS860" s="290"/>
      <c r="AT860" s="290"/>
      <c r="AU860" s="290"/>
      <c r="AV860" s="290"/>
      <c r="AW860" s="290"/>
      <c r="AX860" s="290"/>
      <c r="AY860" s="290"/>
      <c r="AZ860" s="290"/>
      <c r="BA860" s="290"/>
      <c r="BG860" s="307"/>
      <c r="BH860" s="307"/>
      <c r="BI860" s="307"/>
      <c r="BK860" s="300"/>
    </row>
    <row r="861" spans="1:63" s="298" customFormat="1" hidden="1" x14ac:dyDescent="0.25">
      <c r="A861" s="290"/>
      <c r="B861" s="291"/>
      <c r="C861" s="290"/>
      <c r="D861" s="290"/>
      <c r="E861" s="290"/>
      <c r="F861" s="290"/>
      <c r="G861" s="290"/>
      <c r="H861" s="290"/>
      <c r="I861" s="290"/>
      <c r="J861" s="290"/>
      <c r="K861" s="290"/>
      <c r="L861" s="290"/>
      <c r="M861" s="308"/>
      <c r="N861" s="290"/>
      <c r="O861" s="290"/>
      <c r="P861" s="290"/>
      <c r="Q861" s="290"/>
      <c r="R861" s="290"/>
      <c r="S861" s="290"/>
      <c r="T861" s="290"/>
      <c r="U861" s="294"/>
      <c r="V861" s="290"/>
      <c r="W861" s="290"/>
      <c r="X861" s="291"/>
      <c r="Y861" s="295"/>
      <c r="Z861" s="295"/>
      <c r="AA861" s="296"/>
      <c r="AB861" s="296"/>
      <c r="AC861" s="291"/>
      <c r="AD861" s="291"/>
      <c r="AE861" s="291"/>
      <c r="AF861" s="291"/>
      <c r="AG861" s="291"/>
      <c r="AH861" s="291"/>
      <c r="AI861" s="291"/>
      <c r="AJ861" s="291"/>
      <c r="AK861" s="290"/>
      <c r="AL861" s="290"/>
      <c r="AM861" s="290"/>
      <c r="AN861" s="290"/>
      <c r="AO861" s="290"/>
      <c r="AP861" s="290"/>
      <c r="AQ861" s="290"/>
      <c r="AR861" s="290"/>
      <c r="AS861" s="290"/>
      <c r="AT861" s="290"/>
      <c r="AU861" s="290"/>
      <c r="AV861" s="290"/>
      <c r="AW861" s="290"/>
      <c r="AX861" s="290"/>
      <c r="AY861" s="290"/>
      <c r="AZ861" s="290"/>
      <c r="BA861" s="290"/>
      <c r="BG861" s="307"/>
      <c r="BH861" s="307"/>
      <c r="BI861" s="307"/>
      <c r="BK861" s="300"/>
    </row>
    <row r="862" spans="1:63" s="298" customFormat="1" hidden="1" x14ac:dyDescent="0.25">
      <c r="A862" s="290"/>
      <c r="B862" s="291"/>
      <c r="C862" s="290"/>
      <c r="D862" s="290"/>
      <c r="E862" s="290"/>
      <c r="F862" s="290"/>
      <c r="G862" s="290"/>
      <c r="H862" s="290"/>
      <c r="I862" s="290"/>
      <c r="J862" s="290"/>
      <c r="K862" s="290"/>
      <c r="L862" s="290"/>
      <c r="M862" s="308"/>
      <c r="N862" s="290"/>
      <c r="O862" s="290"/>
      <c r="P862" s="290"/>
      <c r="Q862" s="290"/>
      <c r="R862" s="290"/>
      <c r="S862" s="290"/>
      <c r="T862" s="290"/>
      <c r="U862" s="294"/>
      <c r="V862" s="290"/>
      <c r="W862" s="290"/>
      <c r="X862" s="291"/>
      <c r="Y862" s="295"/>
      <c r="Z862" s="295"/>
      <c r="AA862" s="296"/>
      <c r="AB862" s="296"/>
      <c r="AC862" s="291"/>
      <c r="AD862" s="291"/>
      <c r="AE862" s="291"/>
      <c r="AF862" s="291"/>
      <c r="AG862" s="291"/>
      <c r="AH862" s="291"/>
      <c r="AI862" s="291"/>
      <c r="AJ862" s="291"/>
      <c r="AK862" s="290"/>
      <c r="AL862" s="290"/>
      <c r="AM862" s="290"/>
      <c r="AN862" s="290"/>
      <c r="AO862" s="290"/>
      <c r="AP862" s="290"/>
      <c r="AQ862" s="290"/>
      <c r="AR862" s="290"/>
      <c r="AS862" s="290"/>
      <c r="AT862" s="290"/>
      <c r="AU862" s="290"/>
      <c r="AV862" s="290"/>
      <c r="AW862" s="290"/>
      <c r="AX862" s="290"/>
      <c r="AY862" s="290"/>
      <c r="AZ862" s="290"/>
      <c r="BA862" s="290"/>
      <c r="BG862" s="307"/>
      <c r="BH862" s="307"/>
      <c r="BI862" s="307"/>
      <c r="BK862" s="300"/>
    </row>
    <row r="863" spans="1:63" s="298" customFormat="1" hidden="1" x14ac:dyDescent="0.25">
      <c r="A863" s="290"/>
      <c r="B863" s="291"/>
      <c r="C863" s="290"/>
      <c r="D863" s="290"/>
      <c r="E863" s="290"/>
      <c r="F863" s="290"/>
      <c r="G863" s="290"/>
      <c r="H863" s="290"/>
      <c r="I863" s="290"/>
      <c r="J863" s="290"/>
      <c r="K863" s="290"/>
      <c r="L863" s="290"/>
      <c r="M863" s="308"/>
      <c r="N863" s="290"/>
      <c r="O863" s="290"/>
      <c r="P863" s="290"/>
      <c r="Q863" s="290"/>
      <c r="R863" s="290"/>
      <c r="S863" s="290"/>
      <c r="T863" s="290"/>
      <c r="U863" s="294"/>
      <c r="V863" s="290"/>
      <c r="W863" s="290"/>
      <c r="X863" s="291"/>
      <c r="Y863" s="295"/>
      <c r="Z863" s="295"/>
      <c r="AA863" s="296"/>
      <c r="AB863" s="296"/>
      <c r="AC863" s="291"/>
      <c r="AD863" s="291"/>
      <c r="AE863" s="291"/>
      <c r="AF863" s="291"/>
      <c r="AG863" s="291"/>
      <c r="AH863" s="291"/>
      <c r="AI863" s="291"/>
      <c r="AJ863" s="291"/>
      <c r="AK863" s="290"/>
      <c r="AL863" s="290"/>
      <c r="AM863" s="290"/>
      <c r="AN863" s="290"/>
      <c r="AO863" s="290"/>
      <c r="AP863" s="290"/>
      <c r="AQ863" s="290"/>
      <c r="AR863" s="290"/>
      <c r="AS863" s="290"/>
      <c r="AT863" s="290"/>
      <c r="AU863" s="290"/>
      <c r="AV863" s="290"/>
      <c r="AW863" s="290"/>
      <c r="AX863" s="290"/>
      <c r="AY863" s="290"/>
      <c r="AZ863" s="290"/>
      <c r="BA863" s="290"/>
      <c r="BG863" s="307"/>
      <c r="BH863" s="307"/>
      <c r="BI863" s="307"/>
      <c r="BK863" s="300"/>
    </row>
    <row r="864" spans="1:63" s="298" customFormat="1" hidden="1" x14ac:dyDescent="0.25">
      <c r="A864" s="290"/>
      <c r="B864" s="291"/>
      <c r="C864" s="290"/>
      <c r="D864" s="290"/>
      <c r="E864" s="290"/>
      <c r="F864" s="290"/>
      <c r="G864" s="290"/>
      <c r="H864" s="290"/>
      <c r="I864" s="290"/>
      <c r="J864" s="290"/>
      <c r="K864" s="290"/>
      <c r="L864" s="290"/>
      <c r="M864" s="308"/>
      <c r="N864" s="290"/>
      <c r="O864" s="290"/>
      <c r="P864" s="290"/>
      <c r="Q864" s="290"/>
      <c r="R864" s="290"/>
      <c r="S864" s="290"/>
      <c r="T864" s="290"/>
      <c r="U864" s="294"/>
      <c r="V864" s="290"/>
      <c r="W864" s="290"/>
      <c r="X864" s="291"/>
      <c r="Y864" s="295"/>
      <c r="Z864" s="295"/>
      <c r="AA864" s="296"/>
      <c r="AB864" s="296"/>
      <c r="AC864" s="291"/>
      <c r="AD864" s="291"/>
      <c r="AE864" s="291"/>
      <c r="AF864" s="291"/>
      <c r="AG864" s="291"/>
      <c r="AH864" s="291"/>
      <c r="AI864" s="291"/>
      <c r="AJ864" s="291"/>
      <c r="AK864" s="290"/>
      <c r="AL864" s="290"/>
      <c r="AM864" s="290"/>
      <c r="AN864" s="290"/>
      <c r="AO864" s="290"/>
      <c r="AP864" s="290"/>
      <c r="AQ864" s="290"/>
      <c r="AR864" s="290"/>
      <c r="AS864" s="290"/>
      <c r="AT864" s="290"/>
      <c r="AU864" s="290"/>
      <c r="AV864" s="290"/>
      <c r="AW864" s="290"/>
      <c r="AX864" s="290"/>
      <c r="AY864" s="290"/>
      <c r="AZ864" s="290"/>
      <c r="BA864" s="290"/>
      <c r="BG864" s="307"/>
      <c r="BH864" s="307"/>
      <c r="BI864" s="307"/>
      <c r="BK864" s="300"/>
    </row>
    <row r="865" spans="1:63" s="298" customFormat="1" hidden="1" x14ac:dyDescent="0.25">
      <c r="A865" s="290"/>
      <c r="B865" s="291"/>
      <c r="C865" s="290"/>
      <c r="D865" s="290"/>
      <c r="E865" s="290"/>
      <c r="F865" s="290"/>
      <c r="G865" s="290"/>
      <c r="H865" s="290"/>
      <c r="I865" s="290"/>
      <c r="J865" s="290"/>
      <c r="K865" s="290"/>
      <c r="L865" s="290"/>
      <c r="M865" s="308"/>
      <c r="N865" s="290"/>
      <c r="O865" s="290"/>
      <c r="P865" s="290"/>
      <c r="Q865" s="290"/>
      <c r="R865" s="290"/>
      <c r="S865" s="290"/>
      <c r="T865" s="290"/>
      <c r="U865" s="294"/>
      <c r="V865" s="290"/>
      <c r="W865" s="290"/>
      <c r="X865" s="291"/>
      <c r="Y865" s="295"/>
      <c r="Z865" s="295"/>
      <c r="AA865" s="296"/>
      <c r="AB865" s="296"/>
      <c r="AC865" s="291"/>
      <c r="AD865" s="291"/>
      <c r="AE865" s="291"/>
      <c r="AF865" s="291"/>
      <c r="AG865" s="291"/>
      <c r="AH865" s="291"/>
      <c r="AI865" s="291"/>
      <c r="AJ865" s="291"/>
      <c r="AK865" s="290"/>
      <c r="AL865" s="290"/>
      <c r="AM865" s="290"/>
      <c r="AN865" s="290"/>
      <c r="AO865" s="290"/>
      <c r="AP865" s="290"/>
      <c r="AQ865" s="290"/>
      <c r="AR865" s="290"/>
      <c r="AS865" s="290"/>
      <c r="AT865" s="290"/>
      <c r="AU865" s="290"/>
      <c r="AV865" s="290"/>
      <c r="AW865" s="290"/>
      <c r="AX865" s="290"/>
      <c r="AY865" s="290"/>
      <c r="AZ865" s="290"/>
      <c r="BA865" s="290"/>
      <c r="BG865" s="307"/>
      <c r="BH865" s="307"/>
      <c r="BI865" s="307"/>
      <c r="BK865" s="300"/>
    </row>
    <row r="866" spans="1:63" s="298" customFormat="1" hidden="1" x14ac:dyDescent="0.25">
      <c r="A866" s="290"/>
      <c r="B866" s="291"/>
      <c r="C866" s="290"/>
      <c r="D866" s="290"/>
      <c r="E866" s="290"/>
      <c r="F866" s="290"/>
      <c r="G866" s="290"/>
      <c r="H866" s="290"/>
      <c r="I866" s="290"/>
      <c r="J866" s="290"/>
      <c r="K866" s="290"/>
      <c r="L866" s="290"/>
      <c r="M866" s="308"/>
      <c r="N866" s="290"/>
      <c r="O866" s="290"/>
      <c r="P866" s="290"/>
      <c r="Q866" s="290"/>
      <c r="R866" s="290"/>
      <c r="S866" s="290"/>
      <c r="T866" s="290"/>
      <c r="U866" s="294"/>
      <c r="V866" s="290"/>
      <c r="W866" s="290"/>
      <c r="X866" s="291"/>
      <c r="Y866" s="295"/>
      <c r="Z866" s="295"/>
      <c r="AA866" s="296"/>
      <c r="AB866" s="296"/>
      <c r="AC866" s="291"/>
      <c r="AD866" s="291"/>
      <c r="AE866" s="291"/>
      <c r="AF866" s="291"/>
      <c r="AG866" s="291"/>
      <c r="AH866" s="291"/>
      <c r="AI866" s="291"/>
      <c r="AJ866" s="291"/>
      <c r="AK866" s="290"/>
      <c r="AL866" s="290"/>
      <c r="AM866" s="290"/>
      <c r="AN866" s="290"/>
      <c r="AO866" s="290"/>
      <c r="AP866" s="290"/>
      <c r="AQ866" s="290"/>
      <c r="AR866" s="290"/>
      <c r="AS866" s="290"/>
      <c r="AT866" s="290"/>
      <c r="AU866" s="290"/>
      <c r="AV866" s="290"/>
      <c r="AW866" s="290"/>
      <c r="AX866" s="290"/>
      <c r="AY866" s="290"/>
      <c r="AZ866" s="290"/>
      <c r="BA866" s="290"/>
      <c r="BG866" s="307"/>
      <c r="BH866" s="307"/>
      <c r="BI866" s="307"/>
      <c r="BK866" s="300"/>
    </row>
    <row r="867" spans="1:63" s="298" customFormat="1" hidden="1" x14ac:dyDescent="0.25">
      <c r="A867" s="290"/>
      <c r="B867" s="291"/>
      <c r="C867" s="290"/>
      <c r="D867" s="290"/>
      <c r="E867" s="290"/>
      <c r="F867" s="290"/>
      <c r="G867" s="290"/>
      <c r="H867" s="290"/>
      <c r="I867" s="290"/>
      <c r="J867" s="290"/>
      <c r="K867" s="290"/>
      <c r="L867" s="290"/>
      <c r="M867" s="308"/>
      <c r="N867" s="290"/>
      <c r="O867" s="290"/>
      <c r="P867" s="290"/>
      <c r="Q867" s="290"/>
      <c r="R867" s="290"/>
      <c r="S867" s="290"/>
      <c r="T867" s="290"/>
      <c r="U867" s="294"/>
      <c r="V867" s="290"/>
      <c r="W867" s="290"/>
      <c r="X867" s="291"/>
      <c r="Y867" s="295"/>
      <c r="Z867" s="295"/>
      <c r="AA867" s="296"/>
      <c r="AB867" s="296"/>
      <c r="AC867" s="291"/>
      <c r="AD867" s="291"/>
      <c r="AE867" s="291"/>
      <c r="AF867" s="291"/>
      <c r="AG867" s="291"/>
      <c r="AH867" s="291"/>
      <c r="AI867" s="291"/>
      <c r="AJ867" s="291"/>
      <c r="AK867" s="290"/>
      <c r="AL867" s="290"/>
      <c r="AM867" s="290"/>
      <c r="AN867" s="290"/>
      <c r="AO867" s="290"/>
      <c r="AP867" s="290"/>
      <c r="AQ867" s="290"/>
      <c r="AR867" s="290"/>
      <c r="AS867" s="290"/>
      <c r="AT867" s="290"/>
      <c r="AU867" s="290"/>
      <c r="AV867" s="290"/>
      <c r="AW867" s="290"/>
      <c r="AX867" s="290"/>
      <c r="AY867" s="290"/>
      <c r="AZ867" s="290"/>
      <c r="BA867" s="290"/>
      <c r="BG867" s="307"/>
      <c r="BH867" s="307"/>
      <c r="BI867" s="307"/>
      <c r="BK867" s="300"/>
    </row>
    <row r="868" spans="1:63" s="298" customFormat="1" hidden="1" x14ac:dyDescent="0.25">
      <c r="A868" s="290"/>
      <c r="B868" s="291"/>
      <c r="C868" s="290"/>
      <c r="D868" s="290"/>
      <c r="E868" s="290"/>
      <c r="F868" s="290"/>
      <c r="G868" s="290"/>
      <c r="H868" s="290"/>
      <c r="I868" s="290"/>
      <c r="J868" s="290"/>
      <c r="K868" s="290"/>
      <c r="L868" s="290"/>
      <c r="M868" s="308"/>
      <c r="N868" s="290"/>
      <c r="O868" s="290"/>
      <c r="P868" s="290"/>
      <c r="Q868" s="290"/>
      <c r="R868" s="290"/>
      <c r="S868" s="290"/>
      <c r="T868" s="290"/>
      <c r="U868" s="294"/>
      <c r="V868" s="290"/>
      <c r="W868" s="290"/>
      <c r="X868" s="291"/>
      <c r="Y868" s="295"/>
      <c r="Z868" s="295"/>
      <c r="AA868" s="296"/>
      <c r="AB868" s="296"/>
      <c r="AC868" s="291"/>
      <c r="AD868" s="291"/>
      <c r="AE868" s="291"/>
      <c r="AF868" s="291"/>
      <c r="AG868" s="291"/>
      <c r="AH868" s="291"/>
      <c r="AI868" s="291"/>
      <c r="AJ868" s="291"/>
      <c r="AK868" s="290"/>
      <c r="AL868" s="290"/>
      <c r="AM868" s="290"/>
      <c r="AN868" s="290"/>
      <c r="AO868" s="290"/>
      <c r="AP868" s="290"/>
      <c r="AQ868" s="290"/>
      <c r="AR868" s="290"/>
      <c r="AS868" s="290"/>
      <c r="AT868" s="290"/>
      <c r="AU868" s="290"/>
      <c r="AV868" s="290"/>
      <c r="AW868" s="290"/>
      <c r="AX868" s="290"/>
      <c r="AY868" s="290"/>
      <c r="AZ868" s="290"/>
      <c r="BA868" s="290"/>
      <c r="BG868" s="307"/>
      <c r="BH868" s="307"/>
      <c r="BI868" s="307"/>
      <c r="BK868" s="300"/>
    </row>
    <row r="869" spans="1:63" s="298" customFormat="1" hidden="1" x14ac:dyDescent="0.25">
      <c r="A869" s="290"/>
      <c r="B869" s="291"/>
      <c r="C869" s="290"/>
      <c r="D869" s="290"/>
      <c r="E869" s="290"/>
      <c r="F869" s="290"/>
      <c r="G869" s="290"/>
      <c r="H869" s="290"/>
      <c r="I869" s="290"/>
      <c r="J869" s="290"/>
      <c r="K869" s="290"/>
      <c r="L869" s="290"/>
      <c r="M869" s="308"/>
      <c r="N869" s="290"/>
      <c r="O869" s="290"/>
      <c r="P869" s="290"/>
      <c r="Q869" s="290"/>
      <c r="R869" s="290"/>
      <c r="S869" s="290"/>
      <c r="T869" s="290"/>
      <c r="U869" s="294"/>
      <c r="V869" s="290"/>
      <c r="W869" s="290"/>
      <c r="X869" s="291"/>
      <c r="Y869" s="295"/>
      <c r="Z869" s="295"/>
      <c r="AA869" s="296"/>
      <c r="AB869" s="296"/>
      <c r="AC869" s="291"/>
      <c r="AD869" s="291"/>
      <c r="AE869" s="291"/>
      <c r="AF869" s="291"/>
      <c r="AG869" s="291"/>
      <c r="AH869" s="291"/>
      <c r="AI869" s="291"/>
      <c r="AJ869" s="291"/>
      <c r="AK869" s="290"/>
      <c r="AL869" s="290"/>
      <c r="AM869" s="290"/>
      <c r="AN869" s="290"/>
      <c r="AO869" s="290"/>
      <c r="AP869" s="290"/>
      <c r="AQ869" s="290"/>
      <c r="AR869" s="290"/>
      <c r="AS869" s="290"/>
      <c r="AT869" s="290"/>
      <c r="AU869" s="290"/>
      <c r="AV869" s="290"/>
      <c r="AW869" s="290"/>
      <c r="AX869" s="290"/>
      <c r="AY869" s="290"/>
      <c r="AZ869" s="290"/>
      <c r="BA869" s="290"/>
      <c r="BG869" s="307"/>
      <c r="BH869" s="307"/>
      <c r="BI869" s="307"/>
      <c r="BK869" s="300"/>
    </row>
    <row r="870" spans="1:63" s="298" customFormat="1" hidden="1" x14ac:dyDescent="0.25">
      <c r="A870" s="290"/>
      <c r="B870" s="291"/>
      <c r="C870" s="290"/>
      <c r="D870" s="290"/>
      <c r="E870" s="290"/>
      <c r="F870" s="290"/>
      <c r="G870" s="290"/>
      <c r="H870" s="290"/>
      <c r="I870" s="290"/>
      <c r="J870" s="290"/>
      <c r="K870" s="290"/>
      <c r="L870" s="290"/>
      <c r="M870" s="308"/>
      <c r="N870" s="290"/>
      <c r="O870" s="290"/>
      <c r="P870" s="290"/>
      <c r="Q870" s="290"/>
      <c r="R870" s="290"/>
      <c r="S870" s="290"/>
      <c r="T870" s="290"/>
      <c r="U870" s="294"/>
      <c r="V870" s="290"/>
      <c r="W870" s="290"/>
      <c r="X870" s="291"/>
      <c r="Y870" s="295"/>
      <c r="Z870" s="295"/>
      <c r="AA870" s="296"/>
      <c r="AB870" s="296"/>
      <c r="AC870" s="291"/>
      <c r="AD870" s="291"/>
      <c r="AE870" s="291"/>
      <c r="AF870" s="291"/>
      <c r="AG870" s="291"/>
      <c r="AH870" s="291"/>
      <c r="AI870" s="291"/>
      <c r="AJ870" s="291"/>
      <c r="AK870" s="290"/>
      <c r="AL870" s="290"/>
      <c r="AM870" s="290"/>
      <c r="AN870" s="290"/>
      <c r="AO870" s="290"/>
      <c r="AP870" s="290"/>
      <c r="AQ870" s="290"/>
      <c r="AR870" s="290"/>
      <c r="AS870" s="290"/>
      <c r="AT870" s="290"/>
      <c r="AU870" s="290"/>
      <c r="AV870" s="290"/>
      <c r="AW870" s="290"/>
      <c r="AX870" s="290"/>
      <c r="AY870" s="290"/>
      <c r="AZ870" s="290"/>
      <c r="BA870" s="290"/>
      <c r="BG870" s="307"/>
      <c r="BH870" s="307"/>
      <c r="BI870" s="307"/>
      <c r="BK870" s="300"/>
    </row>
    <row r="871" spans="1:63" s="298" customFormat="1" hidden="1" x14ac:dyDescent="0.25">
      <c r="A871" s="290"/>
      <c r="B871" s="291"/>
      <c r="C871" s="290"/>
      <c r="D871" s="290"/>
      <c r="E871" s="290"/>
      <c r="F871" s="290"/>
      <c r="G871" s="290"/>
      <c r="H871" s="290"/>
      <c r="I871" s="290"/>
      <c r="J871" s="290"/>
      <c r="K871" s="290"/>
      <c r="L871" s="290"/>
      <c r="M871" s="308"/>
      <c r="N871" s="290"/>
      <c r="O871" s="290"/>
      <c r="P871" s="290"/>
      <c r="Q871" s="290"/>
      <c r="R871" s="290"/>
      <c r="S871" s="290"/>
      <c r="T871" s="290"/>
      <c r="U871" s="294"/>
      <c r="V871" s="290"/>
      <c r="W871" s="290"/>
      <c r="X871" s="291"/>
      <c r="Y871" s="295"/>
      <c r="Z871" s="295"/>
      <c r="AA871" s="296"/>
      <c r="AB871" s="296"/>
      <c r="AC871" s="291"/>
      <c r="AD871" s="291"/>
      <c r="AE871" s="291"/>
      <c r="AF871" s="291"/>
      <c r="AG871" s="291"/>
      <c r="AH871" s="291"/>
      <c r="AI871" s="291"/>
      <c r="AJ871" s="291"/>
      <c r="AK871" s="290"/>
      <c r="AL871" s="290"/>
      <c r="AM871" s="290"/>
      <c r="AN871" s="290"/>
      <c r="AO871" s="290"/>
      <c r="AP871" s="290"/>
      <c r="AQ871" s="290"/>
      <c r="AR871" s="290"/>
      <c r="AS871" s="290"/>
      <c r="AT871" s="290"/>
      <c r="AU871" s="290"/>
      <c r="AV871" s="290"/>
      <c r="AW871" s="290"/>
      <c r="AX871" s="290"/>
      <c r="AY871" s="290"/>
      <c r="AZ871" s="290"/>
      <c r="BA871" s="290"/>
      <c r="BG871" s="307"/>
      <c r="BH871" s="307"/>
      <c r="BI871" s="307"/>
      <c r="BK871" s="300"/>
    </row>
    <row r="872" spans="1:63" s="298" customFormat="1" ht="15" hidden="1" x14ac:dyDescent="0.25">
      <c r="A872" s="290"/>
      <c r="B872" s="291"/>
      <c r="C872" s="290"/>
      <c r="D872" s="290"/>
      <c r="E872" s="290"/>
      <c r="F872" s="290"/>
      <c r="G872" s="290"/>
      <c r="H872" s="316"/>
      <c r="I872" s="290"/>
      <c r="J872" s="290"/>
      <c r="K872" s="290"/>
      <c r="L872" s="290"/>
      <c r="M872" s="308"/>
      <c r="N872" s="290"/>
      <c r="O872" s="290"/>
      <c r="P872" s="290"/>
      <c r="Q872" s="290"/>
      <c r="R872" s="290"/>
      <c r="S872" s="290"/>
      <c r="T872" s="290"/>
      <c r="U872" s="294"/>
      <c r="V872" s="290"/>
      <c r="W872" s="290"/>
      <c r="X872" s="291"/>
      <c r="Y872" s="295"/>
      <c r="Z872" s="295"/>
      <c r="AA872" s="296"/>
      <c r="AB872" s="296"/>
      <c r="AC872" s="291"/>
      <c r="AD872" s="291"/>
      <c r="AE872" s="291"/>
      <c r="AF872" s="291"/>
      <c r="AG872" s="291"/>
      <c r="AH872" s="291"/>
      <c r="AI872" s="291"/>
      <c r="AJ872" s="291"/>
      <c r="AK872" s="290"/>
      <c r="AL872" s="290"/>
      <c r="AM872" s="290"/>
      <c r="AN872" s="290"/>
      <c r="AO872" s="290"/>
      <c r="AP872" s="290"/>
      <c r="AQ872" s="290"/>
      <c r="AR872" s="290"/>
      <c r="AS872" s="290"/>
      <c r="AT872" s="290"/>
      <c r="AU872" s="290"/>
      <c r="AV872" s="290"/>
      <c r="AW872" s="290"/>
      <c r="AX872" s="290"/>
      <c r="AY872" s="290"/>
      <c r="AZ872" s="290"/>
      <c r="BA872" s="290"/>
      <c r="BG872" s="307"/>
      <c r="BH872" s="307"/>
      <c r="BI872" s="307"/>
      <c r="BK872" s="300"/>
    </row>
    <row r="873" spans="1:63" s="298" customFormat="1" ht="15" hidden="1" x14ac:dyDescent="0.25">
      <c r="A873" s="290"/>
      <c r="B873" s="291"/>
      <c r="C873" s="290"/>
      <c r="D873" s="290"/>
      <c r="E873" s="290"/>
      <c r="F873" s="290"/>
      <c r="G873" s="290"/>
      <c r="H873" s="316"/>
      <c r="I873" s="290"/>
      <c r="J873" s="290"/>
      <c r="K873" s="290"/>
      <c r="L873" s="290"/>
      <c r="M873" s="308"/>
      <c r="N873" s="290"/>
      <c r="O873" s="290"/>
      <c r="P873" s="290"/>
      <c r="Q873" s="290"/>
      <c r="R873" s="290"/>
      <c r="S873" s="290"/>
      <c r="T873" s="290"/>
      <c r="U873" s="294"/>
      <c r="V873" s="290"/>
      <c r="W873" s="290"/>
      <c r="X873" s="291"/>
      <c r="Y873" s="295"/>
      <c r="Z873" s="295"/>
      <c r="AA873" s="296"/>
      <c r="AB873" s="296"/>
      <c r="AC873" s="291"/>
      <c r="AD873" s="291"/>
      <c r="AE873" s="291"/>
      <c r="AF873" s="291"/>
      <c r="AG873" s="291"/>
      <c r="AH873" s="291"/>
      <c r="AI873" s="291"/>
      <c r="AJ873" s="291"/>
      <c r="AK873" s="290"/>
      <c r="AL873" s="290"/>
      <c r="AM873" s="290"/>
      <c r="AN873" s="290"/>
      <c r="AO873" s="290"/>
      <c r="AP873" s="290"/>
      <c r="AQ873" s="290"/>
      <c r="AR873" s="290"/>
      <c r="AS873" s="290"/>
      <c r="AT873" s="290"/>
      <c r="AU873" s="290"/>
      <c r="AV873" s="290"/>
      <c r="AW873" s="290"/>
      <c r="AX873" s="290"/>
      <c r="AY873" s="290"/>
      <c r="AZ873" s="290"/>
      <c r="BA873" s="290"/>
      <c r="BG873" s="307"/>
      <c r="BH873" s="307"/>
      <c r="BI873" s="307"/>
      <c r="BK873" s="300"/>
    </row>
    <row r="874" spans="1:63" s="298" customFormat="1" ht="15" hidden="1" x14ac:dyDescent="0.25">
      <c r="A874" s="290"/>
      <c r="B874" s="291"/>
      <c r="C874" s="290"/>
      <c r="D874" s="290"/>
      <c r="E874" s="290"/>
      <c r="F874" s="290"/>
      <c r="G874" s="290"/>
      <c r="H874" s="316"/>
      <c r="I874" s="290"/>
      <c r="J874" s="290"/>
      <c r="K874" s="290"/>
      <c r="L874" s="290"/>
      <c r="M874" s="308"/>
      <c r="N874" s="290"/>
      <c r="O874" s="290"/>
      <c r="P874" s="290"/>
      <c r="Q874" s="290"/>
      <c r="R874" s="290"/>
      <c r="S874" s="290"/>
      <c r="T874" s="290"/>
      <c r="U874" s="294"/>
      <c r="V874" s="290"/>
      <c r="W874" s="290"/>
      <c r="X874" s="291"/>
      <c r="Y874" s="295"/>
      <c r="Z874" s="295"/>
      <c r="AA874" s="296"/>
      <c r="AB874" s="296"/>
      <c r="AC874" s="291"/>
      <c r="AD874" s="291"/>
      <c r="AE874" s="291"/>
      <c r="AF874" s="291"/>
      <c r="AG874" s="291"/>
      <c r="AH874" s="291"/>
      <c r="AI874" s="291"/>
      <c r="AJ874" s="291"/>
      <c r="AK874" s="290"/>
      <c r="AL874" s="290"/>
      <c r="AM874" s="290"/>
      <c r="AN874" s="290"/>
      <c r="AO874" s="290"/>
      <c r="AP874" s="290"/>
      <c r="AQ874" s="290"/>
      <c r="AR874" s="290"/>
      <c r="AS874" s="290"/>
      <c r="AT874" s="290"/>
      <c r="AU874" s="290"/>
      <c r="AV874" s="290"/>
      <c r="AW874" s="290"/>
      <c r="AX874" s="290"/>
      <c r="AY874" s="290"/>
      <c r="AZ874" s="290"/>
      <c r="BA874" s="290"/>
      <c r="BG874" s="307"/>
      <c r="BH874" s="307"/>
      <c r="BI874" s="307"/>
      <c r="BK874" s="300"/>
    </row>
    <row r="875" spans="1:63" s="298" customFormat="1" ht="15" hidden="1" x14ac:dyDescent="0.25">
      <c r="A875" s="290"/>
      <c r="B875" s="291"/>
      <c r="C875" s="290"/>
      <c r="D875" s="290"/>
      <c r="E875" s="290"/>
      <c r="F875" s="290"/>
      <c r="G875" s="290"/>
      <c r="H875" s="316"/>
      <c r="I875" s="290"/>
      <c r="J875" s="290"/>
      <c r="K875" s="290"/>
      <c r="L875" s="290"/>
      <c r="M875" s="308"/>
      <c r="N875" s="290"/>
      <c r="O875" s="290"/>
      <c r="P875" s="290"/>
      <c r="Q875" s="290"/>
      <c r="R875" s="290"/>
      <c r="S875" s="290"/>
      <c r="T875" s="290"/>
      <c r="U875" s="294"/>
      <c r="V875" s="290"/>
      <c r="W875" s="290"/>
      <c r="X875" s="291"/>
      <c r="Y875" s="295"/>
      <c r="Z875" s="295"/>
      <c r="AA875" s="296"/>
      <c r="AB875" s="296"/>
      <c r="AC875" s="291"/>
      <c r="AD875" s="291"/>
      <c r="AE875" s="291"/>
      <c r="AF875" s="291"/>
      <c r="AG875" s="291"/>
      <c r="AH875" s="291"/>
      <c r="AI875" s="291"/>
      <c r="AJ875" s="291"/>
      <c r="AK875" s="290"/>
      <c r="AL875" s="290"/>
      <c r="AM875" s="290"/>
      <c r="AN875" s="290"/>
      <c r="AO875" s="290"/>
      <c r="AP875" s="290"/>
      <c r="AQ875" s="290"/>
      <c r="AR875" s="290"/>
      <c r="AS875" s="290"/>
      <c r="AT875" s="290"/>
      <c r="AU875" s="290"/>
      <c r="AV875" s="290"/>
      <c r="AW875" s="290"/>
      <c r="AX875" s="290"/>
      <c r="AY875" s="290"/>
      <c r="AZ875" s="290"/>
      <c r="BA875" s="290"/>
      <c r="BG875" s="307"/>
      <c r="BH875" s="307"/>
      <c r="BI875" s="307"/>
      <c r="BK875" s="300"/>
    </row>
    <row r="876" spans="1:63" s="298" customFormat="1" ht="15" hidden="1" x14ac:dyDescent="0.25">
      <c r="A876" s="290"/>
      <c r="B876" s="291"/>
      <c r="C876" s="290"/>
      <c r="D876" s="290"/>
      <c r="E876" s="290"/>
      <c r="F876" s="290"/>
      <c r="G876" s="290"/>
      <c r="H876" s="317"/>
      <c r="I876" s="290"/>
      <c r="J876" s="290"/>
      <c r="K876" s="290"/>
      <c r="L876" s="290"/>
      <c r="M876" s="308"/>
      <c r="N876" s="290"/>
      <c r="O876" s="290"/>
      <c r="P876" s="290"/>
      <c r="Q876" s="290"/>
      <c r="R876" s="290"/>
      <c r="S876" s="290"/>
      <c r="T876" s="290"/>
      <c r="U876" s="294"/>
      <c r="V876" s="290"/>
      <c r="W876" s="290"/>
      <c r="X876" s="291"/>
      <c r="Y876" s="295"/>
      <c r="Z876" s="295"/>
      <c r="AA876" s="296"/>
      <c r="AB876" s="296"/>
      <c r="AC876" s="291"/>
      <c r="AD876" s="291"/>
      <c r="AE876" s="291"/>
      <c r="AF876" s="291"/>
      <c r="AG876" s="291"/>
      <c r="AH876" s="291"/>
      <c r="AI876" s="291"/>
      <c r="AJ876" s="291"/>
      <c r="AK876" s="290"/>
      <c r="AL876" s="290"/>
      <c r="AM876" s="290"/>
      <c r="AN876" s="290"/>
      <c r="AO876" s="290"/>
      <c r="AP876" s="290"/>
      <c r="AQ876" s="290"/>
      <c r="AR876" s="290"/>
      <c r="AS876" s="290"/>
      <c r="AT876" s="290"/>
      <c r="AU876" s="290"/>
      <c r="AV876" s="290"/>
      <c r="AW876" s="290"/>
      <c r="AX876" s="290"/>
      <c r="AY876" s="290"/>
      <c r="AZ876" s="290"/>
      <c r="BA876" s="290"/>
      <c r="BG876" s="307"/>
      <c r="BH876" s="307"/>
      <c r="BI876" s="307"/>
      <c r="BK876" s="300"/>
    </row>
    <row r="877" spans="1:63" s="298" customFormat="1" ht="18" hidden="1" x14ac:dyDescent="0.25">
      <c r="A877" s="290"/>
      <c r="B877" s="291"/>
      <c r="C877" s="290"/>
      <c r="D877" s="290"/>
      <c r="E877" s="290"/>
      <c r="F877" s="290"/>
      <c r="G877" s="290"/>
      <c r="H877" s="318"/>
      <c r="I877" s="290"/>
      <c r="J877" s="290"/>
      <c r="K877" s="290"/>
      <c r="L877" s="290"/>
      <c r="M877" s="308"/>
      <c r="N877" s="290"/>
      <c r="O877" s="290"/>
      <c r="P877" s="290"/>
      <c r="Q877" s="290"/>
      <c r="R877" s="290"/>
      <c r="S877" s="290"/>
      <c r="T877" s="290"/>
      <c r="U877" s="294"/>
      <c r="V877" s="290"/>
      <c r="W877" s="290"/>
      <c r="X877" s="291"/>
      <c r="Y877" s="295"/>
      <c r="Z877" s="295"/>
      <c r="AA877" s="296"/>
      <c r="AB877" s="296"/>
      <c r="AC877" s="291"/>
      <c r="AD877" s="291"/>
      <c r="AE877" s="291"/>
      <c r="AF877" s="291"/>
      <c r="AG877" s="291"/>
      <c r="AH877" s="291"/>
      <c r="AI877" s="291"/>
      <c r="AJ877" s="291"/>
      <c r="AK877" s="290"/>
      <c r="AL877" s="290"/>
      <c r="AM877" s="290"/>
      <c r="AN877" s="290"/>
      <c r="AO877" s="290"/>
      <c r="AP877" s="290"/>
      <c r="AQ877" s="290"/>
      <c r="AR877" s="290"/>
      <c r="AS877" s="290"/>
      <c r="AT877" s="290"/>
      <c r="AU877" s="290"/>
      <c r="AV877" s="290"/>
      <c r="AW877" s="290"/>
      <c r="AX877" s="290"/>
      <c r="AY877" s="290"/>
      <c r="AZ877" s="290"/>
      <c r="BA877" s="290"/>
      <c r="BG877" s="307"/>
      <c r="BH877" s="307"/>
      <c r="BI877" s="307"/>
      <c r="BK877" s="300"/>
    </row>
    <row r="878" spans="1:63" s="298" customFormat="1" ht="15" hidden="1" x14ac:dyDescent="0.25">
      <c r="A878" s="290"/>
      <c r="B878" s="291"/>
      <c r="C878" s="290"/>
      <c r="D878" s="290"/>
      <c r="E878" s="290"/>
      <c r="F878" s="290"/>
      <c r="G878" s="290"/>
      <c r="H878" s="316"/>
      <c r="I878" s="290"/>
      <c r="J878" s="290"/>
      <c r="K878" s="290"/>
      <c r="L878" s="290"/>
      <c r="M878" s="308"/>
      <c r="N878" s="290"/>
      <c r="O878" s="290"/>
      <c r="P878" s="290"/>
      <c r="Q878" s="290"/>
      <c r="R878" s="290"/>
      <c r="S878" s="290"/>
      <c r="T878" s="290"/>
      <c r="U878" s="294"/>
      <c r="V878" s="290"/>
      <c r="W878" s="290"/>
      <c r="X878" s="291"/>
      <c r="Y878" s="295"/>
      <c r="Z878" s="295"/>
      <c r="AA878" s="296"/>
      <c r="AB878" s="296"/>
      <c r="AC878" s="291"/>
      <c r="AD878" s="291"/>
      <c r="AE878" s="291"/>
      <c r="AF878" s="291"/>
      <c r="AG878" s="291"/>
      <c r="AH878" s="291"/>
      <c r="AI878" s="291"/>
      <c r="AJ878" s="291"/>
      <c r="AK878" s="290"/>
      <c r="AL878" s="290"/>
      <c r="AM878" s="290"/>
      <c r="AN878" s="290"/>
      <c r="AO878" s="290"/>
      <c r="AP878" s="290"/>
      <c r="AQ878" s="290"/>
      <c r="AR878" s="290"/>
      <c r="AS878" s="290"/>
      <c r="AT878" s="290"/>
      <c r="AU878" s="290"/>
      <c r="AV878" s="290"/>
      <c r="AW878" s="290"/>
      <c r="AX878" s="290"/>
      <c r="AY878" s="290"/>
      <c r="AZ878" s="290"/>
      <c r="BA878" s="290"/>
      <c r="BG878" s="307"/>
      <c r="BH878" s="307"/>
      <c r="BI878" s="307"/>
      <c r="BK878" s="300"/>
    </row>
    <row r="879" spans="1:63" s="298" customFormat="1" ht="15" hidden="1" x14ac:dyDescent="0.25">
      <c r="A879" s="290"/>
      <c r="B879" s="291"/>
      <c r="C879" s="290"/>
      <c r="D879" s="290"/>
      <c r="E879" s="290"/>
      <c r="F879" s="290"/>
      <c r="G879" s="290"/>
      <c r="H879" s="316"/>
      <c r="I879" s="290"/>
      <c r="J879" s="290"/>
      <c r="K879" s="290"/>
      <c r="L879" s="290"/>
      <c r="M879" s="308"/>
      <c r="N879" s="290"/>
      <c r="O879" s="290"/>
      <c r="P879" s="290"/>
      <c r="Q879" s="290"/>
      <c r="R879" s="290"/>
      <c r="S879" s="290"/>
      <c r="T879" s="290"/>
      <c r="U879" s="294"/>
      <c r="V879" s="290"/>
      <c r="W879" s="290"/>
      <c r="X879" s="291"/>
      <c r="Y879" s="295"/>
      <c r="Z879" s="295"/>
      <c r="AA879" s="296"/>
      <c r="AB879" s="296"/>
      <c r="AC879" s="291"/>
      <c r="AD879" s="291"/>
      <c r="AE879" s="291"/>
      <c r="AF879" s="291"/>
      <c r="AG879" s="291"/>
      <c r="AH879" s="291"/>
      <c r="AI879" s="291"/>
      <c r="AJ879" s="291"/>
      <c r="AK879" s="290"/>
      <c r="AL879" s="290"/>
      <c r="AM879" s="290"/>
      <c r="AN879" s="290"/>
      <c r="AO879" s="290"/>
      <c r="AP879" s="290"/>
      <c r="AQ879" s="290"/>
      <c r="AR879" s="290"/>
      <c r="AS879" s="290"/>
      <c r="AT879" s="290"/>
      <c r="AU879" s="290"/>
      <c r="AV879" s="290"/>
      <c r="AW879" s="290"/>
      <c r="AX879" s="290"/>
      <c r="AY879" s="290"/>
      <c r="AZ879" s="290"/>
      <c r="BA879" s="290"/>
      <c r="BG879" s="307"/>
      <c r="BH879" s="307"/>
      <c r="BI879" s="307"/>
      <c r="BK879" s="300"/>
    </row>
    <row r="880" spans="1:63" s="298" customFormat="1" ht="15" hidden="1" x14ac:dyDescent="0.25">
      <c r="A880" s="290"/>
      <c r="B880" s="291"/>
      <c r="C880" s="290"/>
      <c r="D880" s="290"/>
      <c r="E880" s="290"/>
      <c r="F880" s="290"/>
      <c r="G880" s="290"/>
      <c r="H880" s="316"/>
      <c r="I880" s="290"/>
      <c r="J880" s="290"/>
      <c r="K880" s="290"/>
      <c r="L880" s="290"/>
      <c r="M880" s="308"/>
      <c r="N880" s="290"/>
      <c r="O880" s="290"/>
      <c r="P880" s="290"/>
      <c r="Q880" s="290"/>
      <c r="R880" s="290"/>
      <c r="S880" s="290"/>
      <c r="T880" s="290"/>
      <c r="U880" s="294"/>
      <c r="V880" s="290"/>
      <c r="W880" s="290"/>
      <c r="X880" s="291"/>
      <c r="Y880" s="295"/>
      <c r="Z880" s="295"/>
      <c r="AA880" s="296"/>
      <c r="AB880" s="296"/>
      <c r="AC880" s="291"/>
      <c r="AD880" s="291"/>
      <c r="AE880" s="291"/>
      <c r="AF880" s="291"/>
      <c r="AG880" s="291"/>
      <c r="AH880" s="291"/>
      <c r="AI880" s="291"/>
      <c r="AJ880" s="291"/>
      <c r="AK880" s="290"/>
      <c r="AL880" s="290"/>
      <c r="AM880" s="290"/>
      <c r="AN880" s="290"/>
      <c r="AO880" s="290"/>
      <c r="AP880" s="290"/>
      <c r="AQ880" s="290"/>
      <c r="AR880" s="290"/>
      <c r="AS880" s="290"/>
      <c r="AT880" s="290"/>
      <c r="AU880" s="290"/>
      <c r="AV880" s="290"/>
      <c r="AW880" s="290"/>
      <c r="AX880" s="290"/>
      <c r="AY880" s="290"/>
      <c r="AZ880" s="290"/>
      <c r="BA880" s="290"/>
      <c r="BG880" s="307"/>
      <c r="BH880" s="307"/>
      <c r="BI880" s="307"/>
      <c r="BK880" s="300"/>
    </row>
    <row r="881" spans="1:63" s="298" customFormat="1" ht="15" hidden="1" x14ac:dyDescent="0.25">
      <c r="A881" s="290"/>
      <c r="B881" s="291"/>
      <c r="C881" s="290"/>
      <c r="D881" s="290"/>
      <c r="E881" s="290"/>
      <c r="F881" s="290"/>
      <c r="G881" s="290"/>
      <c r="H881" s="316"/>
      <c r="I881" s="290"/>
      <c r="J881" s="290"/>
      <c r="K881" s="290"/>
      <c r="L881" s="290"/>
      <c r="M881" s="308"/>
      <c r="N881" s="290"/>
      <c r="O881" s="290"/>
      <c r="P881" s="290"/>
      <c r="Q881" s="290"/>
      <c r="R881" s="290"/>
      <c r="S881" s="290"/>
      <c r="T881" s="290"/>
      <c r="U881" s="294"/>
      <c r="V881" s="290"/>
      <c r="W881" s="290"/>
      <c r="X881" s="291"/>
      <c r="Y881" s="295"/>
      <c r="Z881" s="295"/>
      <c r="AA881" s="296"/>
      <c r="AB881" s="296"/>
      <c r="AC881" s="291"/>
      <c r="AD881" s="291"/>
      <c r="AE881" s="291"/>
      <c r="AF881" s="291"/>
      <c r="AG881" s="291"/>
      <c r="AH881" s="291"/>
      <c r="AI881" s="291"/>
      <c r="AJ881" s="291"/>
      <c r="AK881" s="290"/>
      <c r="AL881" s="290"/>
      <c r="AM881" s="290"/>
      <c r="AN881" s="290"/>
      <c r="AO881" s="290"/>
      <c r="AP881" s="290"/>
      <c r="AQ881" s="290"/>
      <c r="AR881" s="290"/>
      <c r="AS881" s="290"/>
      <c r="AT881" s="290"/>
      <c r="AU881" s="290"/>
      <c r="AV881" s="290"/>
      <c r="AW881" s="290"/>
      <c r="AX881" s="290"/>
      <c r="AY881" s="290"/>
      <c r="AZ881" s="290"/>
      <c r="BA881" s="290"/>
      <c r="BG881" s="307"/>
      <c r="BH881" s="307"/>
      <c r="BI881" s="307"/>
      <c r="BK881" s="300"/>
    </row>
    <row r="882" spans="1:63" s="298" customFormat="1" ht="15" hidden="1" x14ac:dyDescent="0.25">
      <c r="A882" s="290"/>
      <c r="B882" s="291"/>
      <c r="C882" s="290"/>
      <c r="D882" s="290"/>
      <c r="E882" s="290"/>
      <c r="F882" s="290"/>
      <c r="G882" s="290"/>
      <c r="H882" s="316"/>
      <c r="I882" s="290"/>
      <c r="J882" s="290"/>
      <c r="K882" s="290"/>
      <c r="L882" s="290"/>
      <c r="M882" s="308"/>
      <c r="N882" s="290"/>
      <c r="O882" s="290"/>
      <c r="P882" s="290"/>
      <c r="Q882" s="290"/>
      <c r="R882" s="290"/>
      <c r="S882" s="290"/>
      <c r="T882" s="290"/>
      <c r="U882" s="294"/>
      <c r="V882" s="290"/>
      <c r="W882" s="290"/>
      <c r="X882" s="291"/>
      <c r="Y882" s="295"/>
      <c r="Z882" s="295"/>
      <c r="AA882" s="296"/>
      <c r="AB882" s="296"/>
      <c r="AC882" s="291"/>
      <c r="AD882" s="291"/>
      <c r="AE882" s="291"/>
      <c r="AF882" s="291"/>
      <c r="AG882" s="291"/>
      <c r="AH882" s="291"/>
      <c r="AI882" s="291"/>
      <c r="AJ882" s="291"/>
      <c r="AK882" s="290"/>
      <c r="AL882" s="290"/>
      <c r="AM882" s="290"/>
      <c r="AN882" s="290"/>
      <c r="AO882" s="290"/>
      <c r="AP882" s="290"/>
      <c r="AQ882" s="290"/>
      <c r="AR882" s="290"/>
      <c r="AS882" s="290"/>
      <c r="AT882" s="290"/>
      <c r="AU882" s="290"/>
      <c r="AV882" s="290"/>
      <c r="AW882" s="290"/>
      <c r="AX882" s="290"/>
      <c r="AY882" s="290"/>
      <c r="AZ882" s="290"/>
      <c r="BA882" s="290"/>
      <c r="BG882" s="307"/>
      <c r="BH882" s="307"/>
      <c r="BI882" s="307"/>
      <c r="BK882" s="300"/>
    </row>
    <row r="883" spans="1:63" s="298" customFormat="1" ht="15" hidden="1" x14ac:dyDescent="0.25">
      <c r="A883" s="290"/>
      <c r="B883" s="291"/>
      <c r="C883" s="290"/>
      <c r="D883" s="290"/>
      <c r="E883" s="290"/>
      <c r="F883" s="290"/>
      <c r="G883" s="290"/>
      <c r="H883" s="316"/>
      <c r="I883" s="290"/>
      <c r="J883" s="290"/>
      <c r="K883" s="290"/>
      <c r="L883" s="290"/>
      <c r="M883" s="308"/>
      <c r="N883" s="290"/>
      <c r="O883" s="290"/>
      <c r="P883" s="290"/>
      <c r="Q883" s="290"/>
      <c r="R883" s="290"/>
      <c r="S883" s="290"/>
      <c r="T883" s="290"/>
      <c r="U883" s="294"/>
      <c r="V883" s="290"/>
      <c r="W883" s="290"/>
      <c r="X883" s="291"/>
      <c r="Y883" s="295"/>
      <c r="Z883" s="295"/>
      <c r="AA883" s="296"/>
      <c r="AB883" s="296"/>
      <c r="AC883" s="291"/>
      <c r="AD883" s="291"/>
      <c r="AE883" s="291"/>
      <c r="AF883" s="291"/>
      <c r="AG883" s="291"/>
      <c r="AH883" s="291"/>
      <c r="AI883" s="291"/>
      <c r="AJ883" s="291"/>
      <c r="AK883" s="290"/>
      <c r="AL883" s="290"/>
      <c r="AM883" s="290"/>
      <c r="AN883" s="290"/>
      <c r="AO883" s="290"/>
      <c r="AP883" s="290"/>
      <c r="AQ883" s="290"/>
      <c r="AR883" s="290"/>
      <c r="AS883" s="290"/>
      <c r="AT883" s="290"/>
      <c r="AU883" s="290"/>
      <c r="AV883" s="290"/>
      <c r="AW883" s="290"/>
      <c r="AX883" s="290"/>
      <c r="AY883" s="290"/>
      <c r="AZ883" s="290"/>
      <c r="BA883" s="290"/>
      <c r="BG883" s="307"/>
      <c r="BH883" s="307"/>
      <c r="BI883" s="307"/>
      <c r="BK883" s="300"/>
    </row>
    <row r="884" spans="1:63" s="298" customFormat="1" ht="15" hidden="1" x14ac:dyDescent="0.25">
      <c r="A884" s="290"/>
      <c r="B884" s="291"/>
      <c r="C884" s="290"/>
      <c r="D884" s="290"/>
      <c r="E884" s="290"/>
      <c r="F884" s="290"/>
      <c r="G884" s="290"/>
      <c r="H884" s="316"/>
      <c r="I884" s="290"/>
      <c r="J884" s="290"/>
      <c r="K884" s="290"/>
      <c r="L884" s="290"/>
      <c r="M884" s="308"/>
      <c r="N884" s="290"/>
      <c r="O884" s="290"/>
      <c r="P884" s="290"/>
      <c r="Q884" s="290"/>
      <c r="R884" s="290"/>
      <c r="S884" s="290"/>
      <c r="T884" s="290"/>
      <c r="U884" s="294"/>
      <c r="V884" s="290"/>
      <c r="W884" s="290"/>
      <c r="X884" s="291"/>
      <c r="Y884" s="295"/>
      <c r="Z884" s="295"/>
      <c r="AA884" s="296"/>
      <c r="AB884" s="296"/>
      <c r="AC884" s="291"/>
      <c r="AD884" s="291"/>
      <c r="AE884" s="291"/>
      <c r="AF884" s="291"/>
      <c r="AG884" s="291"/>
      <c r="AH884" s="291"/>
      <c r="AI884" s="291"/>
      <c r="AJ884" s="291"/>
      <c r="AK884" s="290"/>
      <c r="AL884" s="290"/>
      <c r="AM884" s="290"/>
      <c r="AN884" s="290"/>
      <c r="AO884" s="290"/>
      <c r="AP884" s="290"/>
      <c r="AQ884" s="290"/>
      <c r="AR884" s="290"/>
      <c r="AS884" s="290"/>
      <c r="AT884" s="290"/>
      <c r="AU884" s="290"/>
      <c r="AV884" s="290"/>
      <c r="AW884" s="290"/>
      <c r="AX884" s="290"/>
      <c r="AY884" s="290"/>
      <c r="AZ884" s="290"/>
      <c r="BA884" s="290"/>
      <c r="BG884" s="307"/>
      <c r="BH884" s="307"/>
      <c r="BI884" s="307"/>
      <c r="BK884" s="300"/>
    </row>
    <row r="885" spans="1:63" s="298" customFormat="1" ht="15" hidden="1" x14ac:dyDescent="0.25">
      <c r="A885" s="290"/>
      <c r="B885" s="291"/>
      <c r="C885" s="290"/>
      <c r="D885" s="290"/>
      <c r="E885" s="290"/>
      <c r="F885" s="290"/>
      <c r="G885" s="290"/>
      <c r="H885" s="316"/>
      <c r="I885" s="290"/>
      <c r="J885" s="290"/>
      <c r="K885" s="290"/>
      <c r="L885" s="290"/>
      <c r="M885" s="308"/>
      <c r="N885" s="290"/>
      <c r="O885" s="290"/>
      <c r="P885" s="290"/>
      <c r="Q885" s="290"/>
      <c r="R885" s="290"/>
      <c r="S885" s="290"/>
      <c r="T885" s="290"/>
      <c r="U885" s="294"/>
      <c r="V885" s="290"/>
      <c r="W885" s="290"/>
      <c r="X885" s="291"/>
      <c r="Y885" s="295"/>
      <c r="Z885" s="295"/>
      <c r="AA885" s="296"/>
      <c r="AB885" s="296"/>
      <c r="AC885" s="291"/>
      <c r="AD885" s="291"/>
      <c r="AE885" s="291"/>
      <c r="AF885" s="291"/>
      <c r="AG885" s="291"/>
      <c r="AH885" s="291"/>
      <c r="AI885" s="291"/>
      <c r="AJ885" s="291"/>
      <c r="AK885" s="290"/>
      <c r="AL885" s="290"/>
      <c r="AM885" s="290"/>
      <c r="AN885" s="290"/>
      <c r="AO885" s="290"/>
      <c r="AP885" s="290"/>
      <c r="AQ885" s="290"/>
      <c r="AR885" s="290"/>
      <c r="AS885" s="290"/>
      <c r="AT885" s="290"/>
      <c r="AU885" s="290"/>
      <c r="AV885" s="290"/>
      <c r="AW885" s="290"/>
      <c r="AX885" s="290"/>
      <c r="AY885" s="290"/>
      <c r="AZ885" s="290"/>
      <c r="BA885" s="290"/>
      <c r="BG885" s="307"/>
      <c r="BH885" s="307"/>
      <c r="BI885" s="307"/>
      <c r="BK885" s="300"/>
    </row>
    <row r="886" spans="1:63" s="298" customFormat="1" ht="15" hidden="1" x14ac:dyDescent="0.25">
      <c r="A886" s="290"/>
      <c r="B886" s="291"/>
      <c r="C886" s="290"/>
      <c r="D886" s="290"/>
      <c r="E886" s="290"/>
      <c r="F886" s="290"/>
      <c r="G886" s="290"/>
      <c r="H886" s="316"/>
      <c r="I886" s="290"/>
      <c r="J886" s="290"/>
      <c r="K886" s="290"/>
      <c r="L886" s="290"/>
      <c r="M886" s="308"/>
      <c r="N886" s="290"/>
      <c r="O886" s="290"/>
      <c r="P886" s="290"/>
      <c r="Q886" s="290"/>
      <c r="R886" s="290"/>
      <c r="S886" s="290"/>
      <c r="T886" s="290"/>
      <c r="U886" s="294"/>
      <c r="V886" s="290"/>
      <c r="W886" s="290"/>
      <c r="X886" s="291"/>
      <c r="Y886" s="295"/>
      <c r="Z886" s="295"/>
      <c r="AA886" s="296"/>
      <c r="AB886" s="296"/>
      <c r="AC886" s="291"/>
      <c r="AD886" s="291"/>
      <c r="AE886" s="291"/>
      <c r="AF886" s="291"/>
      <c r="AG886" s="291"/>
      <c r="AH886" s="291"/>
      <c r="AI886" s="291"/>
      <c r="AJ886" s="291"/>
      <c r="AK886" s="290"/>
      <c r="AL886" s="290"/>
      <c r="AM886" s="290"/>
      <c r="AN886" s="290"/>
      <c r="AO886" s="290"/>
      <c r="AP886" s="290"/>
      <c r="AQ886" s="290"/>
      <c r="AR886" s="290"/>
      <c r="AS886" s="290"/>
      <c r="AT886" s="290"/>
      <c r="AU886" s="290"/>
      <c r="AV886" s="290"/>
      <c r="AW886" s="290"/>
      <c r="AX886" s="290"/>
      <c r="AY886" s="290"/>
      <c r="AZ886" s="290"/>
      <c r="BA886" s="290"/>
      <c r="BG886" s="307"/>
      <c r="BH886" s="307"/>
      <c r="BI886" s="307"/>
      <c r="BK886" s="300"/>
    </row>
    <row r="887" spans="1:63" s="298" customFormat="1" ht="15" hidden="1" x14ac:dyDescent="0.25">
      <c r="A887" s="290"/>
      <c r="B887" s="291"/>
      <c r="C887" s="290"/>
      <c r="D887" s="290"/>
      <c r="E887" s="290"/>
      <c r="F887" s="290"/>
      <c r="G887" s="290"/>
      <c r="H887" s="316"/>
      <c r="I887" s="290"/>
      <c r="J887" s="290"/>
      <c r="K887" s="290"/>
      <c r="L887" s="290"/>
      <c r="M887" s="308"/>
      <c r="N887" s="290"/>
      <c r="O887" s="290"/>
      <c r="P887" s="290"/>
      <c r="Q887" s="290"/>
      <c r="R887" s="290"/>
      <c r="S887" s="290"/>
      <c r="T887" s="290"/>
      <c r="U887" s="294"/>
      <c r="V887" s="290"/>
      <c r="W887" s="290"/>
      <c r="X887" s="291"/>
      <c r="Y887" s="295"/>
      <c r="Z887" s="295"/>
      <c r="AA887" s="296"/>
      <c r="AB887" s="296"/>
      <c r="AC887" s="291"/>
      <c r="AD887" s="291"/>
      <c r="AE887" s="291"/>
      <c r="AF887" s="291"/>
      <c r="AG887" s="291"/>
      <c r="AH887" s="291"/>
      <c r="AI887" s="291"/>
      <c r="AJ887" s="291"/>
      <c r="AK887" s="290"/>
      <c r="AL887" s="290"/>
      <c r="AM887" s="290"/>
      <c r="AN887" s="290"/>
      <c r="AO887" s="290"/>
      <c r="AP887" s="290"/>
      <c r="AQ887" s="290"/>
      <c r="AR887" s="290"/>
      <c r="AS887" s="290"/>
      <c r="AT887" s="290"/>
      <c r="AU887" s="290"/>
      <c r="AV887" s="290"/>
      <c r="AW887" s="290"/>
      <c r="AX887" s="290"/>
      <c r="AY887" s="290"/>
      <c r="AZ887" s="290"/>
      <c r="BA887" s="290"/>
      <c r="BG887" s="307"/>
      <c r="BH887" s="307"/>
      <c r="BI887" s="307"/>
      <c r="BK887" s="300"/>
    </row>
    <row r="888" spans="1:63" s="298" customFormat="1" ht="15" hidden="1" x14ac:dyDescent="0.25">
      <c r="A888" s="290"/>
      <c r="B888" s="291"/>
      <c r="C888" s="290"/>
      <c r="D888" s="290"/>
      <c r="E888" s="290"/>
      <c r="F888" s="290"/>
      <c r="G888" s="290"/>
      <c r="H888" s="317"/>
      <c r="I888" s="290"/>
      <c r="J888" s="290"/>
      <c r="K888" s="290"/>
      <c r="L888" s="290"/>
      <c r="M888" s="308"/>
      <c r="N888" s="290"/>
      <c r="O888" s="290"/>
      <c r="P888" s="290"/>
      <c r="Q888" s="290"/>
      <c r="R888" s="290"/>
      <c r="S888" s="290"/>
      <c r="T888" s="290"/>
      <c r="U888" s="294"/>
      <c r="V888" s="290"/>
      <c r="W888" s="290"/>
      <c r="X888" s="291"/>
      <c r="Y888" s="295"/>
      <c r="Z888" s="295"/>
      <c r="AA888" s="296"/>
      <c r="AB888" s="296"/>
      <c r="AC888" s="291"/>
      <c r="AD888" s="291"/>
      <c r="AE888" s="291"/>
      <c r="AF888" s="291"/>
      <c r="AG888" s="291"/>
      <c r="AH888" s="291"/>
      <c r="AI888" s="291"/>
      <c r="AJ888" s="291"/>
      <c r="AK888" s="290"/>
      <c r="AL888" s="290"/>
      <c r="AM888" s="290"/>
      <c r="AN888" s="290"/>
      <c r="AO888" s="290"/>
      <c r="AP888" s="290"/>
      <c r="AQ888" s="290"/>
      <c r="AR888" s="290"/>
      <c r="AS888" s="290"/>
      <c r="AT888" s="290"/>
      <c r="AU888" s="290"/>
      <c r="AV888" s="290"/>
      <c r="AW888" s="290"/>
      <c r="AX888" s="290"/>
      <c r="AY888" s="290"/>
      <c r="AZ888" s="290"/>
      <c r="BA888" s="290"/>
      <c r="BG888" s="307"/>
      <c r="BH888" s="307"/>
      <c r="BI888" s="307"/>
      <c r="BK888" s="300"/>
    </row>
    <row r="889" spans="1:63" s="298" customFormat="1" ht="18" hidden="1" x14ac:dyDescent="0.25">
      <c r="A889" s="290"/>
      <c r="B889" s="291"/>
      <c r="C889" s="290"/>
      <c r="D889" s="290"/>
      <c r="E889" s="290"/>
      <c r="F889" s="290"/>
      <c r="G889" s="290"/>
      <c r="H889" s="318"/>
      <c r="I889" s="290"/>
      <c r="J889" s="290"/>
      <c r="K889" s="290"/>
      <c r="L889" s="290"/>
      <c r="M889" s="308"/>
      <c r="N889" s="290"/>
      <c r="O889" s="290"/>
      <c r="P889" s="290"/>
      <c r="Q889" s="290"/>
      <c r="R889" s="290"/>
      <c r="S889" s="290"/>
      <c r="T889" s="290"/>
      <c r="U889" s="294"/>
      <c r="V889" s="290"/>
      <c r="W889" s="290"/>
      <c r="X889" s="291"/>
      <c r="Y889" s="295"/>
      <c r="Z889" s="295"/>
      <c r="AA889" s="296"/>
      <c r="AB889" s="296"/>
      <c r="AC889" s="291"/>
      <c r="AD889" s="291"/>
      <c r="AE889" s="291"/>
      <c r="AF889" s="291"/>
      <c r="AG889" s="291"/>
      <c r="AH889" s="291"/>
      <c r="AI889" s="291"/>
      <c r="AJ889" s="291"/>
      <c r="AK889" s="290"/>
      <c r="AL889" s="290"/>
      <c r="AM889" s="290"/>
      <c r="AN889" s="290"/>
      <c r="AO889" s="290"/>
      <c r="AP889" s="290"/>
      <c r="AQ889" s="290"/>
      <c r="AR889" s="290"/>
      <c r="AS889" s="290"/>
      <c r="AT889" s="290"/>
      <c r="AU889" s="290"/>
      <c r="AV889" s="290"/>
      <c r="AW889" s="290"/>
      <c r="AX889" s="290"/>
      <c r="AY889" s="290"/>
      <c r="AZ889" s="290"/>
      <c r="BA889" s="290"/>
      <c r="BG889" s="307"/>
      <c r="BH889" s="307"/>
      <c r="BI889" s="307"/>
      <c r="BK889" s="300"/>
    </row>
    <row r="890" spans="1:63" s="298" customFormat="1" ht="15" hidden="1" x14ac:dyDescent="0.25">
      <c r="A890" s="290"/>
      <c r="B890" s="291"/>
      <c r="C890" s="290"/>
      <c r="D890" s="290"/>
      <c r="E890" s="290"/>
      <c r="F890" s="290"/>
      <c r="G890" s="290"/>
      <c r="H890" s="316"/>
      <c r="I890" s="290"/>
      <c r="J890" s="290"/>
      <c r="K890" s="290"/>
      <c r="L890" s="290"/>
      <c r="M890" s="308"/>
      <c r="N890" s="290"/>
      <c r="O890" s="290"/>
      <c r="P890" s="290"/>
      <c r="Q890" s="290"/>
      <c r="R890" s="290"/>
      <c r="S890" s="290"/>
      <c r="T890" s="290"/>
      <c r="U890" s="294"/>
      <c r="V890" s="290"/>
      <c r="W890" s="290"/>
      <c r="X890" s="291"/>
      <c r="Y890" s="295"/>
      <c r="Z890" s="295"/>
      <c r="AA890" s="296"/>
      <c r="AB890" s="296"/>
      <c r="AC890" s="291"/>
      <c r="AD890" s="291"/>
      <c r="AE890" s="291"/>
      <c r="AF890" s="291"/>
      <c r="AG890" s="291"/>
      <c r="AH890" s="291"/>
      <c r="AI890" s="291"/>
      <c r="AJ890" s="291"/>
      <c r="AK890" s="290"/>
      <c r="AL890" s="290"/>
      <c r="AM890" s="290"/>
      <c r="AN890" s="290"/>
      <c r="AO890" s="290"/>
      <c r="AP890" s="290"/>
      <c r="AQ890" s="290"/>
      <c r="AR890" s="290"/>
      <c r="AS890" s="290"/>
      <c r="AT890" s="290"/>
      <c r="AU890" s="290"/>
      <c r="AV890" s="290"/>
      <c r="AW890" s="290"/>
      <c r="AX890" s="290"/>
      <c r="AY890" s="290"/>
      <c r="AZ890" s="290"/>
      <c r="BA890" s="290"/>
      <c r="BG890" s="307"/>
      <c r="BH890" s="307"/>
      <c r="BI890" s="307"/>
      <c r="BK890" s="300"/>
    </row>
    <row r="891" spans="1:63" s="298" customFormat="1" ht="15" hidden="1" x14ac:dyDescent="0.25">
      <c r="A891" s="290"/>
      <c r="B891" s="291"/>
      <c r="C891" s="290"/>
      <c r="D891" s="290"/>
      <c r="E891" s="290"/>
      <c r="F891" s="290"/>
      <c r="G891" s="290"/>
      <c r="H891" s="316"/>
      <c r="I891" s="290"/>
      <c r="J891" s="290"/>
      <c r="K891" s="290"/>
      <c r="L891" s="290"/>
      <c r="M891" s="308"/>
      <c r="N891" s="290"/>
      <c r="O891" s="290"/>
      <c r="P891" s="290"/>
      <c r="Q891" s="290"/>
      <c r="R891" s="290"/>
      <c r="S891" s="290"/>
      <c r="T891" s="290"/>
      <c r="U891" s="294"/>
      <c r="V891" s="290"/>
      <c r="W891" s="290"/>
      <c r="X891" s="291"/>
      <c r="Y891" s="295"/>
      <c r="Z891" s="295"/>
      <c r="AA891" s="296"/>
      <c r="AB891" s="296"/>
      <c r="AC891" s="291"/>
      <c r="AD891" s="291"/>
      <c r="AE891" s="291"/>
      <c r="AF891" s="291"/>
      <c r="AG891" s="291"/>
      <c r="AH891" s="291"/>
      <c r="AI891" s="291"/>
      <c r="AJ891" s="291"/>
      <c r="AK891" s="290"/>
      <c r="AL891" s="290"/>
      <c r="AM891" s="290"/>
      <c r="AN891" s="290"/>
      <c r="AO891" s="290"/>
      <c r="AP891" s="290"/>
      <c r="AQ891" s="290"/>
      <c r="AR891" s="290"/>
      <c r="AS891" s="290"/>
      <c r="AT891" s="290"/>
      <c r="AU891" s="290"/>
      <c r="AV891" s="290"/>
      <c r="AW891" s="290"/>
      <c r="AX891" s="290"/>
      <c r="AY891" s="290"/>
      <c r="AZ891" s="290"/>
      <c r="BA891" s="290"/>
      <c r="BG891" s="307"/>
      <c r="BH891" s="307"/>
      <c r="BI891" s="307"/>
      <c r="BK891" s="300"/>
    </row>
    <row r="892" spans="1:63" s="298" customFormat="1" ht="15" hidden="1" x14ac:dyDescent="0.25">
      <c r="A892" s="290"/>
      <c r="B892" s="291"/>
      <c r="C892" s="290"/>
      <c r="D892" s="290"/>
      <c r="E892" s="290"/>
      <c r="F892" s="290"/>
      <c r="G892" s="290"/>
      <c r="H892" s="316"/>
      <c r="I892" s="290"/>
      <c r="J892" s="290"/>
      <c r="K892" s="290"/>
      <c r="L892" s="290"/>
      <c r="M892" s="308"/>
      <c r="N892" s="290"/>
      <c r="O892" s="290"/>
      <c r="P892" s="290"/>
      <c r="Q892" s="290"/>
      <c r="R892" s="290"/>
      <c r="S892" s="290"/>
      <c r="T892" s="290"/>
      <c r="U892" s="294"/>
      <c r="V892" s="290"/>
      <c r="W892" s="290"/>
      <c r="X892" s="291"/>
      <c r="Y892" s="295"/>
      <c r="Z892" s="295"/>
      <c r="AA892" s="296"/>
      <c r="AB892" s="296"/>
      <c r="AC892" s="291"/>
      <c r="AD892" s="291"/>
      <c r="AE892" s="291"/>
      <c r="AF892" s="291"/>
      <c r="AG892" s="291"/>
      <c r="AH892" s="291"/>
      <c r="AI892" s="291"/>
      <c r="AJ892" s="291"/>
      <c r="AK892" s="290"/>
      <c r="AL892" s="290"/>
      <c r="AM892" s="290"/>
      <c r="AN892" s="290"/>
      <c r="AO892" s="290"/>
      <c r="AP892" s="290"/>
      <c r="AQ892" s="290"/>
      <c r="AR892" s="290"/>
      <c r="AS892" s="290"/>
      <c r="AT892" s="290"/>
      <c r="AU892" s="290"/>
      <c r="AV892" s="290"/>
      <c r="AW892" s="290"/>
      <c r="AX892" s="290"/>
      <c r="AY892" s="290"/>
      <c r="AZ892" s="290"/>
      <c r="BA892" s="290"/>
      <c r="BG892" s="307"/>
      <c r="BH892" s="307"/>
      <c r="BI892" s="307"/>
      <c r="BK892" s="300"/>
    </row>
    <row r="893" spans="1:63" s="298" customFormat="1" ht="15" hidden="1" x14ac:dyDescent="0.25">
      <c r="A893" s="290"/>
      <c r="B893" s="291"/>
      <c r="C893" s="290"/>
      <c r="D893" s="290"/>
      <c r="E893" s="290"/>
      <c r="F893" s="290"/>
      <c r="G893" s="290"/>
      <c r="H893" s="316"/>
      <c r="I893" s="290"/>
      <c r="J893" s="290"/>
      <c r="K893" s="290"/>
      <c r="L893" s="290"/>
      <c r="M893" s="308"/>
      <c r="N893" s="290"/>
      <c r="O893" s="290"/>
      <c r="P893" s="290"/>
      <c r="Q893" s="290"/>
      <c r="R893" s="290"/>
      <c r="S893" s="290"/>
      <c r="T893" s="290"/>
      <c r="U893" s="294"/>
      <c r="V893" s="290"/>
      <c r="W893" s="290"/>
      <c r="X893" s="291"/>
      <c r="Y893" s="295"/>
      <c r="Z893" s="295"/>
      <c r="AA893" s="296"/>
      <c r="AB893" s="296"/>
      <c r="AC893" s="291"/>
      <c r="AD893" s="291"/>
      <c r="AE893" s="291"/>
      <c r="AF893" s="291"/>
      <c r="AG893" s="291"/>
      <c r="AH893" s="291"/>
      <c r="AI893" s="291"/>
      <c r="AJ893" s="291"/>
      <c r="AK893" s="290"/>
      <c r="AL893" s="290"/>
      <c r="AM893" s="290"/>
      <c r="AN893" s="290"/>
      <c r="AO893" s="290"/>
      <c r="AP893" s="290"/>
      <c r="AQ893" s="290"/>
      <c r="AR893" s="290"/>
      <c r="AS893" s="290"/>
      <c r="AT893" s="290"/>
      <c r="AU893" s="290"/>
      <c r="AV893" s="290"/>
      <c r="AW893" s="290"/>
      <c r="AX893" s="290"/>
      <c r="AY893" s="290"/>
      <c r="AZ893" s="290"/>
      <c r="BA893" s="290"/>
      <c r="BG893" s="307"/>
      <c r="BH893" s="307"/>
      <c r="BI893" s="307"/>
      <c r="BK893" s="300"/>
    </row>
    <row r="894" spans="1:63" s="298" customFormat="1" ht="15" hidden="1" x14ac:dyDescent="0.25">
      <c r="A894" s="290"/>
      <c r="B894" s="291"/>
      <c r="C894" s="290"/>
      <c r="D894" s="290"/>
      <c r="E894" s="290"/>
      <c r="F894" s="290"/>
      <c r="G894" s="290"/>
      <c r="H894" s="316"/>
      <c r="I894" s="290"/>
      <c r="J894" s="290"/>
      <c r="K894" s="290"/>
      <c r="L894" s="290"/>
      <c r="M894" s="308"/>
      <c r="N894" s="290"/>
      <c r="O894" s="290"/>
      <c r="P894" s="290"/>
      <c r="Q894" s="290"/>
      <c r="R894" s="290"/>
      <c r="S894" s="290"/>
      <c r="T894" s="290"/>
      <c r="U894" s="294"/>
      <c r="V894" s="290"/>
      <c r="W894" s="290"/>
      <c r="X894" s="291"/>
      <c r="Y894" s="295"/>
      <c r="Z894" s="295"/>
      <c r="AA894" s="296"/>
      <c r="AB894" s="296"/>
      <c r="AC894" s="291"/>
      <c r="AD894" s="291"/>
      <c r="AE894" s="291"/>
      <c r="AF894" s="291"/>
      <c r="AG894" s="291"/>
      <c r="AH894" s="291"/>
      <c r="AI894" s="291"/>
      <c r="AJ894" s="291"/>
      <c r="AK894" s="290"/>
      <c r="AL894" s="290"/>
      <c r="AM894" s="290"/>
      <c r="AN894" s="290"/>
      <c r="AO894" s="290"/>
      <c r="AP894" s="290"/>
      <c r="AQ894" s="290"/>
      <c r="AR894" s="290"/>
      <c r="AS894" s="290"/>
      <c r="AT894" s="290"/>
      <c r="AU894" s="290"/>
      <c r="AV894" s="290"/>
      <c r="AW894" s="290"/>
      <c r="AX894" s="290"/>
      <c r="AY894" s="290"/>
      <c r="AZ894" s="290"/>
      <c r="BA894" s="290"/>
      <c r="BG894" s="307"/>
      <c r="BH894" s="307"/>
      <c r="BI894" s="307"/>
      <c r="BK894" s="300"/>
    </row>
    <row r="895" spans="1:63" s="298" customFormat="1" ht="15" hidden="1" x14ac:dyDescent="0.25">
      <c r="A895" s="290"/>
      <c r="B895" s="291"/>
      <c r="C895" s="290"/>
      <c r="D895" s="290"/>
      <c r="E895" s="290"/>
      <c r="F895" s="290"/>
      <c r="G895" s="290"/>
      <c r="H895" s="316"/>
      <c r="I895" s="290"/>
      <c r="J895" s="290"/>
      <c r="K895" s="290"/>
      <c r="L895" s="290"/>
      <c r="M895" s="308"/>
      <c r="N895" s="290"/>
      <c r="O895" s="290"/>
      <c r="P895" s="290"/>
      <c r="Q895" s="290"/>
      <c r="R895" s="290"/>
      <c r="S895" s="290"/>
      <c r="T895" s="290"/>
      <c r="U895" s="294"/>
      <c r="V895" s="290"/>
      <c r="W895" s="290"/>
      <c r="X895" s="291"/>
      <c r="Y895" s="295"/>
      <c r="Z895" s="295"/>
      <c r="AA895" s="296"/>
      <c r="AB895" s="296"/>
      <c r="AC895" s="291"/>
      <c r="AD895" s="291"/>
      <c r="AE895" s="291"/>
      <c r="AF895" s="291"/>
      <c r="AG895" s="291"/>
      <c r="AH895" s="291"/>
      <c r="AI895" s="291"/>
      <c r="AJ895" s="291"/>
      <c r="AK895" s="290"/>
      <c r="AL895" s="290"/>
      <c r="AM895" s="290"/>
      <c r="AN895" s="290"/>
      <c r="AO895" s="290"/>
      <c r="AP895" s="290"/>
      <c r="AQ895" s="290"/>
      <c r="AR895" s="290"/>
      <c r="AS895" s="290"/>
      <c r="AT895" s="290"/>
      <c r="AU895" s="290"/>
      <c r="AV895" s="290"/>
      <c r="AW895" s="290"/>
      <c r="AX895" s="290"/>
      <c r="AY895" s="290"/>
      <c r="AZ895" s="290"/>
      <c r="BA895" s="290"/>
      <c r="BG895" s="307"/>
      <c r="BH895" s="307"/>
      <c r="BI895" s="307"/>
      <c r="BK895" s="300"/>
    </row>
    <row r="896" spans="1:63" s="298" customFormat="1" ht="15" hidden="1" x14ac:dyDescent="0.25">
      <c r="A896" s="290"/>
      <c r="B896" s="291"/>
      <c r="C896" s="290"/>
      <c r="D896" s="290"/>
      <c r="E896" s="290"/>
      <c r="F896" s="290"/>
      <c r="G896" s="290"/>
      <c r="H896" s="316"/>
      <c r="I896" s="290"/>
      <c r="J896" s="290"/>
      <c r="K896" s="290"/>
      <c r="L896" s="290"/>
      <c r="M896" s="308"/>
      <c r="N896" s="290"/>
      <c r="O896" s="290"/>
      <c r="P896" s="290"/>
      <c r="Q896" s="290"/>
      <c r="R896" s="290"/>
      <c r="S896" s="290"/>
      <c r="T896" s="290"/>
      <c r="U896" s="294"/>
      <c r="V896" s="290"/>
      <c r="W896" s="290"/>
      <c r="X896" s="291"/>
      <c r="Y896" s="295"/>
      <c r="Z896" s="295"/>
      <c r="AA896" s="296"/>
      <c r="AB896" s="296"/>
      <c r="AC896" s="291"/>
      <c r="AD896" s="291"/>
      <c r="AE896" s="291"/>
      <c r="AF896" s="291"/>
      <c r="AG896" s="291"/>
      <c r="AH896" s="291"/>
      <c r="AI896" s="291"/>
      <c r="AJ896" s="291"/>
      <c r="AK896" s="290"/>
      <c r="AL896" s="290"/>
      <c r="AM896" s="290"/>
      <c r="AN896" s="290"/>
      <c r="AO896" s="290"/>
      <c r="AP896" s="290"/>
      <c r="AQ896" s="290"/>
      <c r="AR896" s="290"/>
      <c r="AS896" s="290"/>
      <c r="AT896" s="290"/>
      <c r="AU896" s="290"/>
      <c r="AV896" s="290"/>
      <c r="AW896" s="290"/>
      <c r="AX896" s="290"/>
      <c r="AY896" s="290"/>
      <c r="AZ896" s="290"/>
      <c r="BA896" s="290"/>
      <c r="BG896" s="307"/>
      <c r="BH896" s="307"/>
      <c r="BI896" s="307"/>
      <c r="BK896" s="300"/>
    </row>
    <row r="897" spans="1:63" s="298" customFormat="1" ht="15" hidden="1" x14ac:dyDescent="0.25">
      <c r="A897" s="290"/>
      <c r="B897" s="291"/>
      <c r="C897" s="290"/>
      <c r="D897" s="290"/>
      <c r="E897" s="290"/>
      <c r="F897" s="290"/>
      <c r="G897" s="290"/>
      <c r="H897" s="316"/>
      <c r="I897" s="290"/>
      <c r="J897" s="290"/>
      <c r="K897" s="290"/>
      <c r="L897" s="290"/>
      <c r="M897" s="308"/>
      <c r="N897" s="290"/>
      <c r="O897" s="290"/>
      <c r="P897" s="290"/>
      <c r="Q897" s="290"/>
      <c r="R897" s="290"/>
      <c r="S897" s="290"/>
      <c r="T897" s="290"/>
      <c r="U897" s="294"/>
      <c r="V897" s="290"/>
      <c r="W897" s="290"/>
      <c r="X897" s="291"/>
      <c r="Y897" s="295"/>
      <c r="Z897" s="295"/>
      <c r="AA897" s="296"/>
      <c r="AB897" s="296"/>
      <c r="AC897" s="291"/>
      <c r="AD897" s="291"/>
      <c r="AE897" s="291"/>
      <c r="AF897" s="291"/>
      <c r="AG897" s="291"/>
      <c r="AH897" s="291"/>
      <c r="AI897" s="291"/>
      <c r="AJ897" s="291"/>
      <c r="AK897" s="290"/>
      <c r="AL897" s="290"/>
      <c r="AM897" s="290"/>
      <c r="AN897" s="290"/>
      <c r="AO897" s="290"/>
      <c r="AP897" s="290"/>
      <c r="AQ897" s="290"/>
      <c r="AR897" s="290"/>
      <c r="AS897" s="290"/>
      <c r="AT897" s="290"/>
      <c r="AU897" s="290"/>
      <c r="AV897" s="290"/>
      <c r="AW897" s="290"/>
      <c r="AX897" s="290"/>
      <c r="AY897" s="290"/>
      <c r="AZ897" s="290"/>
      <c r="BA897" s="290"/>
      <c r="BG897" s="307"/>
      <c r="BH897" s="307"/>
      <c r="BI897" s="307"/>
      <c r="BK897" s="300"/>
    </row>
    <row r="898" spans="1:63" s="298" customFormat="1" ht="15" hidden="1" x14ac:dyDescent="0.25">
      <c r="A898" s="290"/>
      <c r="B898" s="291"/>
      <c r="C898" s="290"/>
      <c r="D898" s="290"/>
      <c r="E898" s="290"/>
      <c r="F898" s="290"/>
      <c r="G898" s="290"/>
      <c r="H898" s="317"/>
      <c r="I898" s="290"/>
      <c r="J898" s="290"/>
      <c r="K898" s="290"/>
      <c r="L898" s="290"/>
      <c r="M898" s="308"/>
      <c r="N898" s="290"/>
      <c r="O898" s="290"/>
      <c r="P898" s="290"/>
      <c r="Q898" s="290"/>
      <c r="R898" s="290"/>
      <c r="S898" s="290"/>
      <c r="T898" s="290"/>
      <c r="U898" s="294"/>
      <c r="V898" s="290"/>
      <c r="W898" s="290"/>
      <c r="X898" s="291"/>
      <c r="Y898" s="295"/>
      <c r="Z898" s="295"/>
      <c r="AA898" s="296"/>
      <c r="AB898" s="296"/>
      <c r="AC898" s="291"/>
      <c r="AD898" s="291"/>
      <c r="AE898" s="291"/>
      <c r="AF898" s="291"/>
      <c r="AG898" s="291"/>
      <c r="AH898" s="291"/>
      <c r="AI898" s="291"/>
      <c r="AJ898" s="291"/>
      <c r="AK898" s="290"/>
      <c r="AL898" s="290"/>
      <c r="AM898" s="290"/>
      <c r="AN898" s="290"/>
      <c r="AO898" s="290"/>
      <c r="AP898" s="290"/>
      <c r="AQ898" s="290"/>
      <c r="AR898" s="290"/>
      <c r="AS898" s="290"/>
      <c r="AT898" s="290"/>
      <c r="AU898" s="290"/>
      <c r="AV898" s="290"/>
      <c r="AW898" s="290"/>
      <c r="AX898" s="290"/>
      <c r="AY898" s="290"/>
      <c r="AZ898" s="290"/>
      <c r="BA898" s="290"/>
      <c r="BG898" s="307"/>
      <c r="BH898" s="307"/>
      <c r="BI898" s="307"/>
      <c r="BK898" s="300"/>
    </row>
    <row r="899" spans="1:63" s="298" customFormat="1" ht="15" hidden="1" x14ac:dyDescent="0.25">
      <c r="A899" s="290"/>
      <c r="B899" s="291"/>
      <c r="C899" s="290"/>
      <c r="D899" s="290"/>
      <c r="E899" s="290"/>
      <c r="F899" s="290"/>
      <c r="G899" s="290"/>
      <c r="H899" s="317"/>
      <c r="I899" s="290"/>
      <c r="J899" s="290"/>
      <c r="K899" s="290"/>
      <c r="L899" s="290"/>
      <c r="M899" s="308"/>
      <c r="N899" s="290"/>
      <c r="O899" s="290"/>
      <c r="P899" s="290"/>
      <c r="Q899" s="290"/>
      <c r="R899" s="290"/>
      <c r="S899" s="290"/>
      <c r="T899" s="290"/>
      <c r="U899" s="294"/>
      <c r="V899" s="290"/>
      <c r="W899" s="290"/>
      <c r="X899" s="291"/>
      <c r="Y899" s="295"/>
      <c r="Z899" s="295"/>
      <c r="AA899" s="296"/>
      <c r="AB899" s="296"/>
      <c r="AC899" s="291"/>
      <c r="AD899" s="291"/>
      <c r="AE899" s="291"/>
      <c r="AF899" s="291"/>
      <c r="AG899" s="291"/>
      <c r="AH899" s="291"/>
      <c r="AI899" s="291"/>
      <c r="AJ899" s="291"/>
      <c r="AK899" s="290"/>
      <c r="AL899" s="290"/>
      <c r="AM899" s="290"/>
      <c r="AN899" s="290"/>
      <c r="AO899" s="290"/>
      <c r="AP899" s="290"/>
      <c r="AQ899" s="290"/>
      <c r="AR899" s="290"/>
      <c r="AS899" s="290"/>
      <c r="AT899" s="290"/>
      <c r="AU899" s="290"/>
      <c r="AV899" s="290"/>
      <c r="AW899" s="290"/>
      <c r="AX899" s="290"/>
      <c r="AY899" s="290"/>
      <c r="AZ899" s="290"/>
      <c r="BA899" s="290"/>
      <c r="BG899" s="307"/>
      <c r="BH899" s="307"/>
      <c r="BI899" s="307"/>
      <c r="BK899" s="300"/>
    </row>
    <row r="900" spans="1:63" s="298" customFormat="1" ht="15" hidden="1" x14ac:dyDescent="0.25">
      <c r="A900" s="290"/>
      <c r="B900" s="291"/>
      <c r="C900" s="290"/>
      <c r="D900" s="290"/>
      <c r="E900" s="290"/>
      <c r="F900" s="290"/>
      <c r="G900" s="290"/>
      <c r="H900" s="317"/>
      <c r="I900" s="290"/>
      <c r="J900" s="290"/>
      <c r="K900" s="290"/>
      <c r="L900" s="290"/>
      <c r="M900" s="308"/>
      <c r="N900" s="290"/>
      <c r="O900" s="290"/>
      <c r="P900" s="290"/>
      <c r="Q900" s="290"/>
      <c r="R900" s="290"/>
      <c r="S900" s="290"/>
      <c r="T900" s="290"/>
      <c r="U900" s="294"/>
      <c r="V900" s="290"/>
      <c r="W900" s="290"/>
      <c r="X900" s="291"/>
      <c r="Y900" s="295"/>
      <c r="Z900" s="295"/>
      <c r="AA900" s="296"/>
      <c r="AB900" s="296"/>
      <c r="AC900" s="291"/>
      <c r="AD900" s="291"/>
      <c r="AE900" s="291"/>
      <c r="AF900" s="291"/>
      <c r="AG900" s="291"/>
      <c r="AH900" s="291"/>
      <c r="AI900" s="291"/>
      <c r="AJ900" s="291"/>
      <c r="AK900" s="290"/>
      <c r="AL900" s="290"/>
      <c r="AM900" s="290"/>
      <c r="AN900" s="290"/>
      <c r="AO900" s="290"/>
      <c r="AP900" s="290"/>
      <c r="AQ900" s="290"/>
      <c r="AR900" s="290"/>
      <c r="AS900" s="290"/>
      <c r="AT900" s="290"/>
      <c r="AU900" s="290"/>
      <c r="AV900" s="290"/>
      <c r="AW900" s="290"/>
      <c r="AX900" s="290"/>
      <c r="AY900" s="290"/>
      <c r="AZ900" s="290"/>
      <c r="BA900" s="290"/>
      <c r="BG900" s="307"/>
      <c r="BH900" s="307"/>
      <c r="BI900" s="307"/>
      <c r="BK900" s="300"/>
    </row>
    <row r="901" spans="1:63" s="298" customFormat="1" ht="23.25" hidden="1" x14ac:dyDescent="0.25">
      <c r="A901" s="290"/>
      <c r="B901" s="291"/>
      <c r="C901" s="290"/>
      <c r="D901" s="290"/>
      <c r="E901" s="290"/>
      <c r="F901" s="290"/>
      <c r="G901" s="290"/>
      <c r="H901" s="319"/>
      <c r="I901" s="290"/>
      <c r="J901" s="290"/>
      <c r="K901" s="290"/>
      <c r="L901" s="290"/>
      <c r="M901" s="308"/>
      <c r="N901" s="290"/>
      <c r="O901" s="290"/>
      <c r="P901" s="290"/>
      <c r="Q901" s="290"/>
      <c r="R901" s="290"/>
      <c r="S901" s="290"/>
      <c r="T901" s="290"/>
      <c r="U901" s="294"/>
      <c r="V901" s="290"/>
      <c r="W901" s="290"/>
      <c r="X901" s="291"/>
      <c r="Y901" s="295"/>
      <c r="Z901" s="295"/>
      <c r="AA901" s="296"/>
      <c r="AB901" s="296"/>
      <c r="AC901" s="291"/>
      <c r="AD901" s="291"/>
      <c r="AE901" s="291"/>
      <c r="AF901" s="291"/>
      <c r="AG901" s="291"/>
      <c r="AH901" s="291"/>
      <c r="AI901" s="291"/>
      <c r="AJ901" s="291"/>
      <c r="AK901" s="290"/>
      <c r="AL901" s="290"/>
      <c r="AM901" s="290"/>
      <c r="AN901" s="290"/>
      <c r="AO901" s="290"/>
      <c r="AP901" s="290"/>
      <c r="AQ901" s="290"/>
      <c r="AR901" s="290"/>
      <c r="AS901" s="290"/>
      <c r="AT901" s="290"/>
      <c r="AU901" s="290"/>
      <c r="AV901" s="290"/>
      <c r="AW901" s="290"/>
      <c r="AX901" s="290"/>
      <c r="AY901" s="290"/>
      <c r="AZ901" s="290"/>
      <c r="BA901" s="290"/>
      <c r="BG901" s="307"/>
      <c r="BH901" s="307"/>
      <c r="BI901" s="307"/>
      <c r="BK901" s="300"/>
    </row>
    <row r="902" spans="1:63" s="298" customFormat="1" ht="15" hidden="1" x14ac:dyDescent="0.25">
      <c r="A902" s="290"/>
      <c r="B902" s="291"/>
      <c r="C902" s="290"/>
      <c r="D902" s="290"/>
      <c r="E902" s="290"/>
      <c r="F902" s="290"/>
      <c r="G902" s="290"/>
      <c r="H902" s="317"/>
      <c r="I902" s="290"/>
      <c r="J902" s="290"/>
      <c r="K902" s="290"/>
      <c r="L902" s="290"/>
      <c r="M902" s="308"/>
      <c r="N902" s="290"/>
      <c r="O902" s="290"/>
      <c r="P902" s="290"/>
      <c r="Q902" s="290"/>
      <c r="R902" s="290"/>
      <c r="S902" s="290"/>
      <c r="T902" s="290"/>
      <c r="U902" s="294"/>
      <c r="V902" s="290"/>
      <c r="W902" s="290"/>
      <c r="X902" s="291"/>
      <c r="Y902" s="295"/>
      <c r="Z902" s="295"/>
      <c r="AA902" s="296"/>
      <c r="AB902" s="296"/>
      <c r="AC902" s="291"/>
      <c r="AD902" s="291"/>
      <c r="AE902" s="291"/>
      <c r="AF902" s="291"/>
      <c r="AG902" s="291"/>
      <c r="AH902" s="291"/>
      <c r="AI902" s="291"/>
      <c r="AJ902" s="291"/>
      <c r="AK902" s="290"/>
      <c r="AL902" s="290"/>
      <c r="AM902" s="290"/>
      <c r="AN902" s="290"/>
      <c r="AO902" s="290"/>
      <c r="AP902" s="290"/>
      <c r="AQ902" s="290"/>
      <c r="AR902" s="290"/>
      <c r="AS902" s="290"/>
      <c r="AT902" s="290"/>
      <c r="AU902" s="290"/>
      <c r="AV902" s="290"/>
      <c r="AW902" s="290"/>
      <c r="AX902" s="290"/>
      <c r="AY902" s="290"/>
      <c r="AZ902" s="290"/>
      <c r="BA902" s="290"/>
      <c r="BG902" s="307"/>
      <c r="BH902" s="307"/>
      <c r="BI902" s="307"/>
      <c r="BK902" s="300"/>
    </row>
    <row r="903" spans="1:63" s="298" customFormat="1" ht="18" hidden="1" x14ac:dyDescent="0.25">
      <c r="A903" s="290"/>
      <c r="B903" s="291"/>
      <c r="C903" s="290"/>
      <c r="D903" s="290"/>
      <c r="E903" s="290"/>
      <c r="F903" s="290"/>
      <c r="G903" s="290"/>
      <c r="H903" s="318"/>
      <c r="I903" s="290"/>
      <c r="J903" s="290"/>
      <c r="K903" s="290"/>
      <c r="L903" s="290"/>
      <c r="M903" s="308"/>
      <c r="N903" s="290"/>
      <c r="O903" s="290"/>
      <c r="P903" s="290"/>
      <c r="Q903" s="290"/>
      <c r="R903" s="290"/>
      <c r="S903" s="290"/>
      <c r="T903" s="290"/>
      <c r="U903" s="294"/>
      <c r="V903" s="290"/>
      <c r="W903" s="290"/>
      <c r="X903" s="291"/>
      <c r="Y903" s="295"/>
      <c r="Z903" s="295"/>
      <c r="AA903" s="296"/>
      <c r="AB903" s="296"/>
      <c r="AC903" s="291"/>
      <c r="AD903" s="291"/>
      <c r="AE903" s="291"/>
      <c r="AF903" s="291"/>
      <c r="AG903" s="291"/>
      <c r="AH903" s="291"/>
      <c r="AI903" s="291"/>
      <c r="AJ903" s="291"/>
      <c r="AK903" s="290"/>
      <c r="AL903" s="290"/>
      <c r="AM903" s="290"/>
      <c r="AN903" s="290"/>
      <c r="AO903" s="290"/>
      <c r="AP903" s="290"/>
      <c r="AQ903" s="290"/>
      <c r="AR903" s="290"/>
      <c r="AS903" s="290"/>
      <c r="AT903" s="290"/>
      <c r="AU903" s="290"/>
      <c r="AV903" s="290"/>
      <c r="AW903" s="290"/>
      <c r="AX903" s="290"/>
      <c r="AY903" s="290"/>
      <c r="AZ903" s="290"/>
      <c r="BA903" s="290"/>
      <c r="BG903" s="307"/>
      <c r="BH903" s="307"/>
      <c r="BI903" s="307"/>
      <c r="BK903" s="300"/>
    </row>
    <row r="904" spans="1:63" s="298" customFormat="1" ht="15" hidden="1" x14ac:dyDescent="0.25">
      <c r="A904" s="290"/>
      <c r="B904" s="291"/>
      <c r="C904" s="290"/>
      <c r="D904" s="290"/>
      <c r="E904" s="290"/>
      <c r="F904" s="290"/>
      <c r="G904" s="290"/>
      <c r="H904" s="316"/>
      <c r="I904" s="290"/>
      <c r="J904" s="290"/>
      <c r="K904" s="290"/>
      <c r="L904" s="290"/>
      <c r="M904" s="308"/>
      <c r="N904" s="290"/>
      <c r="O904" s="290"/>
      <c r="P904" s="290"/>
      <c r="Q904" s="290"/>
      <c r="R904" s="290"/>
      <c r="S904" s="290"/>
      <c r="T904" s="290"/>
      <c r="U904" s="294"/>
      <c r="V904" s="290"/>
      <c r="W904" s="290"/>
      <c r="X904" s="291"/>
      <c r="Y904" s="295"/>
      <c r="Z904" s="295"/>
      <c r="AA904" s="296"/>
      <c r="AB904" s="296"/>
      <c r="AC904" s="291"/>
      <c r="AD904" s="291"/>
      <c r="AE904" s="291"/>
      <c r="AF904" s="291"/>
      <c r="AG904" s="291"/>
      <c r="AH904" s="291"/>
      <c r="AI904" s="291"/>
      <c r="AJ904" s="291"/>
      <c r="AK904" s="290"/>
      <c r="AL904" s="290"/>
      <c r="AM904" s="290"/>
      <c r="AN904" s="290"/>
      <c r="AO904" s="290"/>
      <c r="AP904" s="290"/>
      <c r="AQ904" s="290"/>
      <c r="AR904" s="290"/>
      <c r="AS904" s="290"/>
      <c r="AT904" s="290"/>
      <c r="AU904" s="290"/>
      <c r="AV904" s="290"/>
      <c r="AW904" s="290"/>
      <c r="AX904" s="290"/>
      <c r="AY904" s="290"/>
      <c r="AZ904" s="290"/>
      <c r="BA904" s="290"/>
      <c r="BG904" s="307"/>
      <c r="BH904" s="307"/>
      <c r="BI904" s="307"/>
      <c r="BK904" s="300"/>
    </row>
    <row r="905" spans="1:63" s="298" customFormat="1" ht="15" hidden="1" x14ac:dyDescent="0.25">
      <c r="A905" s="290"/>
      <c r="B905" s="291"/>
      <c r="C905" s="290"/>
      <c r="D905" s="290"/>
      <c r="E905" s="290"/>
      <c r="F905" s="290"/>
      <c r="G905" s="290"/>
      <c r="H905" s="316"/>
      <c r="I905" s="290"/>
      <c r="J905" s="290"/>
      <c r="K905" s="290"/>
      <c r="L905" s="290"/>
      <c r="M905" s="308"/>
      <c r="N905" s="290"/>
      <c r="O905" s="290"/>
      <c r="P905" s="290"/>
      <c r="Q905" s="290"/>
      <c r="R905" s="290"/>
      <c r="S905" s="290"/>
      <c r="T905" s="290"/>
      <c r="U905" s="294"/>
      <c r="V905" s="290"/>
      <c r="W905" s="290"/>
      <c r="X905" s="291"/>
      <c r="Y905" s="295"/>
      <c r="Z905" s="295"/>
      <c r="AA905" s="296"/>
      <c r="AB905" s="296"/>
      <c r="AC905" s="291"/>
      <c r="AD905" s="291"/>
      <c r="AE905" s="291"/>
      <c r="AF905" s="291"/>
      <c r="AG905" s="291"/>
      <c r="AH905" s="291"/>
      <c r="AI905" s="291"/>
      <c r="AJ905" s="291"/>
      <c r="AK905" s="290"/>
      <c r="AL905" s="290"/>
      <c r="AM905" s="290"/>
      <c r="AN905" s="290"/>
      <c r="AO905" s="290"/>
      <c r="AP905" s="290"/>
      <c r="AQ905" s="290"/>
      <c r="AR905" s="290"/>
      <c r="AS905" s="290"/>
      <c r="AT905" s="290"/>
      <c r="AU905" s="290"/>
      <c r="AV905" s="290"/>
      <c r="AW905" s="290"/>
      <c r="AX905" s="290"/>
      <c r="AY905" s="290"/>
      <c r="AZ905" s="290"/>
      <c r="BA905" s="290"/>
      <c r="BG905" s="307"/>
      <c r="BH905" s="307"/>
      <c r="BI905" s="307"/>
      <c r="BK905" s="300"/>
    </row>
    <row r="906" spans="1:63" s="298" customFormat="1" ht="15" hidden="1" x14ac:dyDescent="0.25">
      <c r="A906" s="290"/>
      <c r="B906" s="291"/>
      <c r="C906" s="290"/>
      <c r="D906" s="290"/>
      <c r="E906" s="290"/>
      <c r="F906" s="290"/>
      <c r="G906" s="290"/>
      <c r="H906" s="316"/>
      <c r="I906" s="290"/>
      <c r="J906" s="290"/>
      <c r="K906" s="290"/>
      <c r="L906" s="290"/>
      <c r="M906" s="308"/>
      <c r="N906" s="290"/>
      <c r="O906" s="290"/>
      <c r="P906" s="290"/>
      <c r="Q906" s="290"/>
      <c r="R906" s="290"/>
      <c r="S906" s="290"/>
      <c r="T906" s="290"/>
      <c r="U906" s="294"/>
      <c r="V906" s="290"/>
      <c r="W906" s="290"/>
      <c r="X906" s="291"/>
      <c r="Y906" s="295"/>
      <c r="Z906" s="295"/>
      <c r="AA906" s="296"/>
      <c r="AB906" s="296"/>
      <c r="AC906" s="291"/>
      <c r="AD906" s="291"/>
      <c r="AE906" s="291"/>
      <c r="AF906" s="291"/>
      <c r="AG906" s="291"/>
      <c r="AH906" s="291"/>
      <c r="AI906" s="291"/>
      <c r="AJ906" s="291"/>
      <c r="AK906" s="290"/>
      <c r="AL906" s="290"/>
      <c r="AM906" s="290"/>
      <c r="AN906" s="290"/>
      <c r="AO906" s="290"/>
      <c r="AP906" s="290"/>
      <c r="AQ906" s="290"/>
      <c r="AR906" s="290"/>
      <c r="AS906" s="290"/>
      <c r="AT906" s="290"/>
      <c r="AU906" s="290"/>
      <c r="AV906" s="290"/>
      <c r="AW906" s="290"/>
      <c r="AX906" s="290"/>
      <c r="AY906" s="290"/>
      <c r="AZ906" s="290"/>
      <c r="BA906" s="290"/>
      <c r="BG906" s="307"/>
      <c r="BH906" s="307"/>
      <c r="BI906" s="307"/>
      <c r="BK906" s="300"/>
    </row>
    <row r="907" spans="1:63" s="298" customFormat="1" ht="15" hidden="1" x14ac:dyDescent="0.25">
      <c r="A907" s="290"/>
      <c r="B907" s="291"/>
      <c r="C907" s="290"/>
      <c r="D907" s="290"/>
      <c r="E907" s="290"/>
      <c r="F907" s="290"/>
      <c r="G907" s="290"/>
      <c r="H907" s="316"/>
      <c r="I907" s="290"/>
      <c r="J907" s="290"/>
      <c r="K907" s="290"/>
      <c r="L907" s="290"/>
      <c r="M907" s="308"/>
      <c r="N907" s="290"/>
      <c r="O907" s="290"/>
      <c r="P907" s="290"/>
      <c r="Q907" s="290"/>
      <c r="R907" s="290"/>
      <c r="S907" s="290"/>
      <c r="T907" s="290"/>
      <c r="U907" s="294"/>
      <c r="V907" s="290"/>
      <c r="W907" s="290"/>
      <c r="X907" s="291"/>
      <c r="Y907" s="295"/>
      <c r="Z907" s="295"/>
      <c r="AA907" s="296"/>
      <c r="AB907" s="296"/>
      <c r="AC907" s="291"/>
      <c r="AD907" s="291"/>
      <c r="AE907" s="291"/>
      <c r="AF907" s="291"/>
      <c r="AG907" s="291"/>
      <c r="AH907" s="291"/>
      <c r="AI907" s="291"/>
      <c r="AJ907" s="291"/>
      <c r="AK907" s="290"/>
      <c r="AL907" s="290"/>
      <c r="AM907" s="290"/>
      <c r="AN907" s="290"/>
      <c r="AO907" s="290"/>
      <c r="AP907" s="290"/>
      <c r="AQ907" s="290"/>
      <c r="AR907" s="290"/>
      <c r="AS907" s="290"/>
      <c r="AT907" s="290"/>
      <c r="AU907" s="290"/>
      <c r="AV907" s="290"/>
      <c r="AW907" s="290"/>
      <c r="AX907" s="290"/>
      <c r="AY907" s="290"/>
      <c r="AZ907" s="290"/>
      <c r="BA907" s="290"/>
      <c r="BG907" s="307"/>
      <c r="BH907" s="307"/>
      <c r="BI907" s="307"/>
      <c r="BK907" s="300"/>
    </row>
    <row r="908" spans="1:63" s="298" customFormat="1" ht="15" hidden="1" x14ac:dyDescent="0.25">
      <c r="A908" s="290"/>
      <c r="B908" s="291"/>
      <c r="C908" s="290"/>
      <c r="D908" s="290"/>
      <c r="E908" s="290"/>
      <c r="F908" s="290"/>
      <c r="G908" s="290"/>
      <c r="H908" s="316"/>
      <c r="I908" s="290"/>
      <c r="J908" s="290"/>
      <c r="K908" s="290"/>
      <c r="L908" s="290"/>
      <c r="M908" s="308"/>
      <c r="N908" s="290"/>
      <c r="O908" s="290"/>
      <c r="P908" s="290"/>
      <c r="Q908" s="290"/>
      <c r="R908" s="290"/>
      <c r="S908" s="290"/>
      <c r="T908" s="290"/>
      <c r="U908" s="294"/>
      <c r="V908" s="290"/>
      <c r="W908" s="290"/>
      <c r="X908" s="291"/>
      <c r="Y908" s="295"/>
      <c r="Z908" s="295"/>
      <c r="AA908" s="296"/>
      <c r="AB908" s="296"/>
      <c r="AC908" s="291"/>
      <c r="AD908" s="291"/>
      <c r="AE908" s="291"/>
      <c r="AF908" s="291"/>
      <c r="AG908" s="291"/>
      <c r="AH908" s="291"/>
      <c r="AI908" s="291"/>
      <c r="AJ908" s="291"/>
      <c r="AK908" s="290"/>
      <c r="AL908" s="290"/>
      <c r="AM908" s="290"/>
      <c r="AN908" s="290"/>
      <c r="AO908" s="290"/>
      <c r="AP908" s="290"/>
      <c r="AQ908" s="290"/>
      <c r="AR908" s="290"/>
      <c r="AS908" s="290"/>
      <c r="AT908" s="290"/>
      <c r="AU908" s="290"/>
      <c r="AV908" s="290"/>
      <c r="AW908" s="290"/>
      <c r="AX908" s="290"/>
      <c r="AY908" s="290"/>
      <c r="AZ908" s="290"/>
      <c r="BA908" s="290"/>
      <c r="BG908" s="307"/>
      <c r="BH908" s="307"/>
      <c r="BI908" s="307"/>
      <c r="BK908" s="300"/>
    </row>
    <row r="909" spans="1:63" s="298" customFormat="1" ht="15" hidden="1" x14ac:dyDescent="0.25">
      <c r="A909" s="290"/>
      <c r="B909" s="291"/>
      <c r="C909" s="290"/>
      <c r="D909" s="290"/>
      <c r="E909" s="290"/>
      <c r="F909" s="290"/>
      <c r="G909" s="290"/>
      <c r="H909" s="316"/>
      <c r="I909" s="290"/>
      <c r="J909" s="290"/>
      <c r="K909" s="290"/>
      <c r="L909" s="290"/>
      <c r="M909" s="308"/>
      <c r="N909" s="290"/>
      <c r="O909" s="290"/>
      <c r="P909" s="290"/>
      <c r="Q909" s="290"/>
      <c r="R909" s="290"/>
      <c r="S909" s="290"/>
      <c r="T909" s="290"/>
      <c r="U909" s="294"/>
      <c r="V909" s="290"/>
      <c r="W909" s="290"/>
      <c r="X909" s="291"/>
      <c r="Y909" s="295"/>
      <c r="Z909" s="295"/>
      <c r="AA909" s="296"/>
      <c r="AB909" s="296"/>
      <c r="AC909" s="291"/>
      <c r="AD909" s="291"/>
      <c r="AE909" s="291"/>
      <c r="AF909" s="291"/>
      <c r="AG909" s="291"/>
      <c r="AH909" s="291"/>
      <c r="AI909" s="291"/>
      <c r="AJ909" s="291"/>
      <c r="AK909" s="290"/>
      <c r="AL909" s="290"/>
      <c r="AM909" s="290"/>
      <c r="AN909" s="290"/>
      <c r="AO909" s="290"/>
      <c r="AP909" s="290"/>
      <c r="AQ909" s="290"/>
      <c r="AR909" s="290"/>
      <c r="AS909" s="290"/>
      <c r="AT909" s="290"/>
      <c r="AU909" s="290"/>
      <c r="AV909" s="290"/>
      <c r="AW909" s="290"/>
      <c r="AX909" s="290"/>
      <c r="AY909" s="290"/>
      <c r="AZ909" s="290"/>
      <c r="BA909" s="290"/>
      <c r="BG909" s="307"/>
      <c r="BH909" s="307"/>
      <c r="BI909" s="307"/>
      <c r="BK909" s="300"/>
    </row>
    <row r="910" spans="1:63" s="298" customFormat="1" ht="15" hidden="1" x14ac:dyDescent="0.25">
      <c r="A910" s="290"/>
      <c r="B910" s="291"/>
      <c r="C910" s="290"/>
      <c r="D910" s="290"/>
      <c r="E910" s="290"/>
      <c r="F910" s="290"/>
      <c r="G910" s="290"/>
      <c r="H910" s="316"/>
      <c r="I910" s="290"/>
      <c r="J910" s="290"/>
      <c r="K910" s="290"/>
      <c r="L910" s="290"/>
      <c r="M910" s="308"/>
      <c r="N910" s="290"/>
      <c r="O910" s="290"/>
      <c r="P910" s="290"/>
      <c r="Q910" s="290"/>
      <c r="R910" s="290"/>
      <c r="S910" s="290"/>
      <c r="T910" s="290"/>
      <c r="U910" s="294"/>
      <c r="V910" s="290"/>
      <c r="W910" s="290"/>
      <c r="X910" s="291"/>
      <c r="Y910" s="295"/>
      <c r="Z910" s="295"/>
      <c r="AA910" s="296"/>
      <c r="AB910" s="296"/>
      <c r="AC910" s="291"/>
      <c r="AD910" s="291"/>
      <c r="AE910" s="291"/>
      <c r="AF910" s="291"/>
      <c r="AG910" s="291"/>
      <c r="AH910" s="291"/>
      <c r="AI910" s="291"/>
      <c r="AJ910" s="291"/>
      <c r="AK910" s="290"/>
      <c r="AL910" s="290"/>
      <c r="AM910" s="290"/>
      <c r="AN910" s="290"/>
      <c r="AO910" s="290"/>
      <c r="AP910" s="290"/>
      <c r="AQ910" s="290"/>
      <c r="AR910" s="290"/>
      <c r="AS910" s="290"/>
      <c r="AT910" s="290"/>
      <c r="AU910" s="290"/>
      <c r="AV910" s="290"/>
      <c r="AW910" s="290"/>
      <c r="AX910" s="290"/>
      <c r="AY910" s="290"/>
      <c r="AZ910" s="290"/>
      <c r="BA910" s="290"/>
      <c r="BG910" s="307"/>
      <c r="BH910" s="307"/>
      <c r="BI910" s="307"/>
      <c r="BK910" s="300"/>
    </row>
    <row r="911" spans="1:63" s="298" customFormat="1" ht="15" hidden="1" x14ac:dyDescent="0.25">
      <c r="A911" s="290"/>
      <c r="B911" s="291"/>
      <c r="C911" s="290"/>
      <c r="D911" s="290"/>
      <c r="E911" s="290"/>
      <c r="F911" s="290"/>
      <c r="G911" s="290"/>
      <c r="H911" s="316"/>
      <c r="I911" s="290"/>
      <c r="J911" s="290"/>
      <c r="K911" s="290"/>
      <c r="L911" s="290"/>
      <c r="M911" s="308"/>
      <c r="N911" s="290"/>
      <c r="O911" s="290"/>
      <c r="P911" s="290"/>
      <c r="Q911" s="290"/>
      <c r="R911" s="290"/>
      <c r="S911" s="290"/>
      <c r="T911" s="290"/>
      <c r="U911" s="294"/>
      <c r="V911" s="290"/>
      <c r="W911" s="290"/>
      <c r="X911" s="291"/>
      <c r="Y911" s="295"/>
      <c r="Z911" s="295"/>
      <c r="AA911" s="296"/>
      <c r="AB911" s="296"/>
      <c r="AC911" s="291"/>
      <c r="AD911" s="291"/>
      <c r="AE911" s="291"/>
      <c r="AF911" s="291"/>
      <c r="AG911" s="291"/>
      <c r="AH911" s="291"/>
      <c r="AI911" s="291"/>
      <c r="AJ911" s="291"/>
      <c r="AK911" s="290"/>
      <c r="AL911" s="290"/>
      <c r="AM911" s="290"/>
      <c r="AN911" s="290"/>
      <c r="AO911" s="290"/>
      <c r="AP911" s="290"/>
      <c r="AQ911" s="290"/>
      <c r="AR911" s="290"/>
      <c r="AS911" s="290"/>
      <c r="AT911" s="290"/>
      <c r="AU911" s="290"/>
      <c r="AV911" s="290"/>
      <c r="AW911" s="290"/>
      <c r="AX911" s="290"/>
      <c r="AY911" s="290"/>
      <c r="AZ911" s="290"/>
      <c r="BA911" s="290"/>
      <c r="BG911" s="307"/>
      <c r="BH911" s="307"/>
      <c r="BI911" s="307"/>
      <c r="BK911" s="300"/>
    </row>
    <row r="912" spans="1:63" s="298" customFormat="1" ht="15" hidden="1" x14ac:dyDescent="0.25">
      <c r="A912" s="290"/>
      <c r="B912" s="291"/>
      <c r="C912" s="290"/>
      <c r="D912" s="290"/>
      <c r="E912" s="290"/>
      <c r="F912" s="290"/>
      <c r="G912" s="290"/>
      <c r="H912" s="316"/>
      <c r="I912" s="290"/>
      <c r="J912" s="290"/>
      <c r="K912" s="290"/>
      <c r="L912" s="290"/>
      <c r="M912" s="308"/>
      <c r="N912" s="290"/>
      <c r="O912" s="290"/>
      <c r="P912" s="290"/>
      <c r="Q912" s="290"/>
      <c r="R912" s="290"/>
      <c r="S912" s="290"/>
      <c r="T912" s="290"/>
      <c r="U912" s="294"/>
      <c r="V912" s="290"/>
      <c r="W912" s="290"/>
      <c r="X912" s="291"/>
      <c r="Y912" s="295"/>
      <c r="Z912" s="295"/>
      <c r="AA912" s="296"/>
      <c r="AB912" s="296"/>
      <c r="AC912" s="291"/>
      <c r="AD912" s="291"/>
      <c r="AE912" s="291"/>
      <c r="AF912" s="291"/>
      <c r="AG912" s="291"/>
      <c r="AH912" s="291"/>
      <c r="AI912" s="291"/>
      <c r="AJ912" s="291"/>
      <c r="AK912" s="290"/>
      <c r="AL912" s="290"/>
      <c r="AM912" s="290"/>
      <c r="AN912" s="290"/>
      <c r="AO912" s="290"/>
      <c r="AP912" s="290"/>
      <c r="AQ912" s="290"/>
      <c r="AR912" s="290"/>
      <c r="AS912" s="290"/>
      <c r="AT912" s="290"/>
      <c r="AU912" s="290"/>
      <c r="AV912" s="290"/>
      <c r="AW912" s="290"/>
      <c r="AX912" s="290"/>
      <c r="AY912" s="290"/>
      <c r="AZ912" s="290"/>
      <c r="BA912" s="290"/>
      <c r="BG912" s="307"/>
      <c r="BH912" s="307"/>
      <c r="BI912" s="307"/>
      <c r="BK912" s="300"/>
    </row>
    <row r="913" spans="1:63" s="298" customFormat="1" ht="15" hidden="1" x14ac:dyDescent="0.25">
      <c r="A913" s="290"/>
      <c r="B913" s="291"/>
      <c r="C913" s="290"/>
      <c r="D913" s="290"/>
      <c r="E913" s="290"/>
      <c r="F913" s="290"/>
      <c r="G913" s="290"/>
      <c r="H913" s="316"/>
      <c r="I913" s="290"/>
      <c r="J913" s="290"/>
      <c r="K913" s="290"/>
      <c r="L913" s="290"/>
      <c r="M913" s="308"/>
      <c r="N913" s="290"/>
      <c r="O913" s="290"/>
      <c r="P913" s="290"/>
      <c r="Q913" s="290"/>
      <c r="R913" s="290"/>
      <c r="S913" s="290"/>
      <c r="T913" s="290"/>
      <c r="U913" s="294"/>
      <c r="V913" s="290"/>
      <c r="W913" s="290"/>
      <c r="X913" s="291"/>
      <c r="Y913" s="295"/>
      <c r="Z913" s="295"/>
      <c r="AA913" s="296"/>
      <c r="AB913" s="296"/>
      <c r="AC913" s="291"/>
      <c r="AD913" s="291"/>
      <c r="AE913" s="291"/>
      <c r="AF913" s="291"/>
      <c r="AG913" s="291"/>
      <c r="AH913" s="291"/>
      <c r="AI913" s="291"/>
      <c r="AJ913" s="291"/>
      <c r="AK913" s="290"/>
      <c r="AL913" s="290"/>
      <c r="AM913" s="290"/>
      <c r="AN913" s="290"/>
      <c r="AO913" s="290"/>
      <c r="AP913" s="290"/>
      <c r="AQ913" s="290"/>
      <c r="AR913" s="290"/>
      <c r="AS913" s="290"/>
      <c r="AT913" s="290"/>
      <c r="AU913" s="290"/>
      <c r="AV913" s="290"/>
      <c r="AW913" s="290"/>
      <c r="AX913" s="290"/>
      <c r="AY913" s="290"/>
      <c r="AZ913" s="290"/>
      <c r="BA913" s="290"/>
      <c r="BG913" s="307"/>
      <c r="BH913" s="307"/>
      <c r="BI913" s="307"/>
      <c r="BK913" s="300"/>
    </row>
    <row r="914" spans="1:63" s="298" customFormat="1" ht="15" hidden="1" x14ac:dyDescent="0.25">
      <c r="A914" s="290"/>
      <c r="B914" s="291"/>
      <c r="C914" s="290"/>
      <c r="D914" s="290"/>
      <c r="E914" s="290"/>
      <c r="F914" s="290"/>
      <c r="G914" s="290"/>
      <c r="H914" s="317"/>
      <c r="I914" s="290"/>
      <c r="J914" s="290"/>
      <c r="K914" s="290"/>
      <c r="L914" s="290"/>
      <c r="M914" s="308"/>
      <c r="N914" s="290"/>
      <c r="O914" s="290"/>
      <c r="P914" s="290"/>
      <c r="Q914" s="290"/>
      <c r="R914" s="290"/>
      <c r="S914" s="290"/>
      <c r="T914" s="290"/>
      <c r="U914" s="294"/>
      <c r="V914" s="290"/>
      <c r="W914" s="290"/>
      <c r="X914" s="291"/>
      <c r="Y914" s="295"/>
      <c r="Z914" s="295"/>
      <c r="AA914" s="296"/>
      <c r="AB914" s="296"/>
      <c r="AC914" s="291"/>
      <c r="AD914" s="291"/>
      <c r="AE914" s="291"/>
      <c r="AF914" s="291"/>
      <c r="AG914" s="291"/>
      <c r="AH914" s="291"/>
      <c r="AI914" s="291"/>
      <c r="AJ914" s="291"/>
      <c r="AK914" s="290"/>
      <c r="AL914" s="290"/>
      <c r="AM914" s="290"/>
      <c r="AN914" s="290"/>
      <c r="AO914" s="290"/>
      <c r="AP914" s="290"/>
      <c r="AQ914" s="290"/>
      <c r="AR914" s="290"/>
      <c r="AS914" s="290"/>
      <c r="AT914" s="290"/>
      <c r="AU914" s="290"/>
      <c r="AV914" s="290"/>
      <c r="AW914" s="290"/>
      <c r="AX914" s="290"/>
      <c r="AY914" s="290"/>
      <c r="AZ914" s="290"/>
      <c r="BA914" s="290"/>
      <c r="BG914" s="307"/>
      <c r="BH914" s="307"/>
      <c r="BI914" s="307"/>
      <c r="BK914" s="300"/>
    </row>
    <row r="915" spans="1:63" s="298" customFormat="1" ht="18" hidden="1" x14ac:dyDescent="0.25">
      <c r="A915" s="290"/>
      <c r="B915" s="291"/>
      <c r="C915" s="290"/>
      <c r="D915" s="290"/>
      <c r="E915" s="290"/>
      <c r="F915" s="290"/>
      <c r="G915" s="290"/>
      <c r="H915" s="318"/>
      <c r="I915" s="290"/>
      <c r="J915" s="290"/>
      <c r="K915" s="290"/>
      <c r="L915" s="290"/>
      <c r="M915" s="308"/>
      <c r="N915" s="290"/>
      <c r="O915" s="290"/>
      <c r="P915" s="290"/>
      <c r="Q915" s="290"/>
      <c r="R915" s="290"/>
      <c r="S915" s="290"/>
      <c r="T915" s="290"/>
      <c r="U915" s="294"/>
      <c r="V915" s="290"/>
      <c r="W915" s="290"/>
      <c r="X915" s="291"/>
      <c r="Y915" s="295"/>
      <c r="Z915" s="295"/>
      <c r="AA915" s="296"/>
      <c r="AB915" s="296"/>
      <c r="AC915" s="291"/>
      <c r="AD915" s="291"/>
      <c r="AE915" s="291"/>
      <c r="AF915" s="291"/>
      <c r="AG915" s="291"/>
      <c r="AH915" s="291"/>
      <c r="AI915" s="291"/>
      <c r="AJ915" s="291"/>
      <c r="AK915" s="290"/>
      <c r="AL915" s="290"/>
      <c r="AM915" s="290"/>
      <c r="AN915" s="290"/>
      <c r="AO915" s="290"/>
      <c r="AP915" s="290"/>
      <c r="AQ915" s="290"/>
      <c r="AR915" s="290"/>
      <c r="AS915" s="290"/>
      <c r="AT915" s="290"/>
      <c r="AU915" s="290"/>
      <c r="AV915" s="290"/>
      <c r="AW915" s="290"/>
      <c r="AX915" s="290"/>
      <c r="AY915" s="290"/>
      <c r="AZ915" s="290"/>
      <c r="BA915" s="290"/>
      <c r="BG915" s="307"/>
      <c r="BH915" s="307"/>
      <c r="BI915" s="307"/>
      <c r="BK915" s="300"/>
    </row>
    <row r="916" spans="1:63" s="298" customFormat="1" ht="15" hidden="1" x14ac:dyDescent="0.25">
      <c r="A916" s="290"/>
      <c r="B916" s="291"/>
      <c r="C916" s="290"/>
      <c r="D916" s="290"/>
      <c r="E916" s="290"/>
      <c r="F916" s="290"/>
      <c r="G916" s="290"/>
      <c r="H916" s="316"/>
      <c r="I916" s="290"/>
      <c r="J916" s="290"/>
      <c r="K916" s="290"/>
      <c r="L916" s="290"/>
      <c r="M916" s="308"/>
      <c r="N916" s="290"/>
      <c r="O916" s="290"/>
      <c r="P916" s="290"/>
      <c r="Q916" s="290"/>
      <c r="R916" s="290"/>
      <c r="S916" s="290"/>
      <c r="T916" s="290"/>
      <c r="U916" s="294"/>
      <c r="V916" s="290"/>
      <c r="W916" s="290"/>
      <c r="X916" s="291"/>
      <c r="Y916" s="295"/>
      <c r="Z916" s="295"/>
      <c r="AA916" s="296"/>
      <c r="AB916" s="296"/>
      <c r="AC916" s="291"/>
      <c r="AD916" s="291"/>
      <c r="AE916" s="291"/>
      <c r="AF916" s="291"/>
      <c r="AG916" s="291"/>
      <c r="AH916" s="291"/>
      <c r="AI916" s="291"/>
      <c r="AJ916" s="291"/>
      <c r="AK916" s="290"/>
      <c r="AL916" s="290"/>
      <c r="AM916" s="290"/>
      <c r="AN916" s="290"/>
      <c r="AO916" s="290"/>
      <c r="AP916" s="290"/>
      <c r="AQ916" s="290"/>
      <c r="AR916" s="290"/>
      <c r="AS916" s="290"/>
      <c r="AT916" s="290"/>
      <c r="AU916" s="290"/>
      <c r="AV916" s="290"/>
      <c r="AW916" s="290"/>
      <c r="AX916" s="290"/>
      <c r="AY916" s="290"/>
      <c r="AZ916" s="290"/>
      <c r="BA916" s="290"/>
      <c r="BG916" s="307"/>
      <c r="BH916" s="307"/>
      <c r="BI916" s="307"/>
      <c r="BK916" s="300"/>
    </row>
    <row r="917" spans="1:63" s="298" customFormat="1" ht="15" hidden="1" x14ac:dyDescent="0.25">
      <c r="A917" s="290"/>
      <c r="B917" s="291"/>
      <c r="C917" s="290"/>
      <c r="D917" s="290"/>
      <c r="E917" s="290"/>
      <c r="F917" s="290"/>
      <c r="G917" s="290"/>
      <c r="H917" s="316"/>
      <c r="I917" s="290"/>
      <c r="J917" s="290"/>
      <c r="K917" s="290"/>
      <c r="L917" s="290"/>
      <c r="M917" s="308"/>
      <c r="N917" s="290"/>
      <c r="O917" s="290"/>
      <c r="P917" s="290"/>
      <c r="Q917" s="290"/>
      <c r="R917" s="290"/>
      <c r="S917" s="290"/>
      <c r="T917" s="290"/>
      <c r="U917" s="294"/>
      <c r="V917" s="290"/>
      <c r="W917" s="290"/>
      <c r="X917" s="291"/>
      <c r="Y917" s="295"/>
      <c r="Z917" s="295"/>
      <c r="AA917" s="296"/>
      <c r="AB917" s="296"/>
      <c r="AC917" s="291"/>
      <c r="AD917" s="291"/>
      <c r="AE917" s="291"/>
      <c r="AF917" s="291"/>
      <c r="AG917" s="291"/>
      <c r="AH917" s="291"/>
      <c r="AI917" s="291"/>
      <c r="AJ917" s="291"/>
      <c r="AK917" s="290"/>
      <c r="AL917" s="290"/>
      <c r="AM917" s="290"/>
      <c r="AN917" s="290"/>
      <c r="AO917" s="290"/>
      <c r="AP917" s="290"/>
      <c r="AQ917" s="290"/>
      <c r="AR917" s="290"/>
      <c r="AS917" s="290"/>
      <c r="AT917" s="290"/>
      <c r="AU917" s="290"/>
      <c r="AV917" s="290"/>
      <c r="AW917" s="290"/>
      <c r="AX917" s="290"/>
      <c r="AY917" s="290"/>
      <c r="AZ917" s="290"/>
      <c r="BA917" s="290"/>
      <c r="BG917" s="307"/>
      <c r="BH917" s="307"/>
      <c r="BI917" s="307"/>
      <c r="BK917" s="300"/>
    </row>
    <row r="918" spans="1:63" s="298" customFormat="1" ht="15" hidden="1" x14ac:dyDescent="0.25">
      <c r="A918" s="290"/>
      <c r="B918" s="291"/>
      <c r="C918" s="290"/>
      <c r="D918" s="290"/>
      <c r="E918" s="290"/>
      <c r="F918" s="290"/>
      <c r="G918" s="290"/>
      <c r="H918" s="316"/>
      <c r="I918" s="290"/>
      <c r="J918" s="290"/>
      <c r="K918" s="290"/>
      <c r="L918" s="290"/>
      <c r="M918" s="308"/>
      <c r="N918" s="290"/>
      <c r="O918" s="290"/>
      <c r="P918" s="290"/>
      <c r="Q918" s="290"/>
      <c r="R918" s="290"/>
      <c r="S918" s="290"/>
      <c r="T918" s="290"/>
      <c r="U918" s="294"/>
      <c r="V918" s="290"/>
      <c r="W918" s="290"/>
      <c r="X918" s="291"/>
      <c r="Y918" s="295"/>
      <c r="Z918" s="295"/>
      <c r="AA918" s="296"/>
      <c r="AB918" s="296"/>
      <c r="AC918" s="291"/>
      <c r="AD918" s="291"/>
      <c r="AE918" s="291"/>
      <c r="AF918" s="291"/>
      <c r="AG918" s="291"/>
      <c r="AH918" s="291"/>
      <c r="AI918" s="291"/>
      <c r="AJ918" s="291"/>
      <c r="AK918" s="290"/>
      <c r="AL918" s="290"/>
      <c r="AM918" s="290"/>
      <c r="AN918" s="290"/>
      <c r="AO918" s="290"/>
      <c r="AP918" s="290"/>
      <c r="AQ918" s="290"/>
      <c r="AR918" s="290"/>
      <c r="AS918" s="290"/>
      <c r="AT918" s="290"/>
      <c r="AU918" s="290"/>
      <c r="AV918" s="290"/>
      <c r="AW918" s="290"/>
      <c r="AX918" s="290"/>
      <c r="AY918" s="290"/>
      <c r="AZ918" s="290"/>
      <c r="BA918" s="290"/>
      <c r="BG918" s="307"/>
      <c r="BH918" s="307"/>
      <c r="BI918" s="307"/>
      <c r="BK918" s="300"/>
    </row>
    <row r="919" spans="1:63" s="298" customFormat="1" ht="15" hidden="1" x14ac:dyDescent="0.25">
      <c r="A919" s="290"/>
      <c r="B919" s="291"/>
      <c r="C919" s="290"/>
      <c r="D919" s="290"/>
      <c r="E919" s="290"/>
      <c r="F919" s="290"/>
      <c r="G919" s="290"/>
      <c r="H919" s="316"/>
      <c r="I919" s="290"/>
      <c r="J919" s="290"/>
      <c r="K919" s="290"/>
      <c r="L919" s="290"/>
      <c r="M919" s="308"/>
      <c r="N919" s="290"/>
      <c r="O919" s="290"/>
      <c r="P919" s="290"/>
      <c r="Q919" s="290"/>
      <c r="R919" s="290"/>
      <c r="S919" s="290"/>
      <c r="T919" s="290"/>
      <c r="U919" s="294"/>
      <c r="V919" s="290"/>
      <c r="W919" s="290"/>
      <c r="X919" s="291"/>
      <c r="Y919" s="295"/>
      <c r="Z919" s="295"/>
      <c r="AA919" s="296"/>
      <c r="AB919" s="296"/>
      <c r="AC919" s="291"/>
      <c r="AD919" s="291"/>
      <c r="AE919" s="291"/>
      <c r="AF919" s="291"/>
      <c r="AG919" s="291"/>
      <c r="AH919" s="291"/>
      <c r="AI919" s="291"/>
      <c r="AJ919" s="291"/>
      <c r="AK919" s="290"/>
      <c r="AL919" s="290"/>
      <c r="AM919" s="290"/>
      <c r="AN919" s="290"/>
      <c r="AO919" s="290"/>
      <c r="AP919" s="290"/>
      <c r="AQ919" s="290"/>
      <c r="AR919" s="290"/>
      <c r="AS919" s="290"/>
      <c r="AT919" s="290"/>
      <c r="AU919" s="290"/>
      <c r="AV919" s="290"/>
      <c r="AW919" s="290"/>
      <c r="AX919" s="290"/>
      <c r="AY919" s="290"/>
      <c r="AZ919" s="290"/>
      <c r="BA919" s="290"/>
      <c r="BG919" s="307"/>
      <c r="BH919" s="307"/>
      <c r="BI919" s="307"/>
      <c r="BK919" s="300"/>
    </row>
    <row r="920" spans="1:63" s="298" customFormat="1" ht="15" hidden="1" x14ac:dyDescent="0.25">
      <c r="A920" s="290"/>
      <c r="B920" s="291"/>
      <c r="C920" s="290"/>
      <c r="D920" s="290"/>
      <c r="E920" s="290"/>
      <c r="F920" s="290"/>
      <c r="G920" s="290"/>
      <c r="H920" s="316"/>
      <c r="I920" s="290"/>
      <c r="J920" s="290"/>
      <c r="K920" s="290"/>
      <c r="L920" s="290"/>
      <c r="M920" s="308"/>
      <c r="N920" s="290"/>
      <c r="O920" s="290"/>
      <c r="P920" s="290"/>
      <c r="Q920" s="290"/>
      <c r="R920" s="290"/>
      <c r="S920" s="290"/>
      <c r="T920" s="290"/>
      <c r="U920" s="294"/>
      <c r="V920" s="290"/>
      <c r="W920" s="290"/>
      <c r="X920" s="291"/>
      <c r="Y920" s="295"/>
      <c r="Z920" s="295"/>
      <c r="AA920" s="296"/>
      <c r="AB920" s="296"/>
      <c r="AC920" s="291"/>
      <c r="AD920" s="291"/>
      <c r="AE920" s="291"/>
      <c r="AF920" s="291"/>
      <c r="AG920" s="291"/>
      <c r="AH920" s="291"/>
      <c r="AI920" s="291"/>
      <c r="AJ920" s="291"/>
      <c r="AK920" s="290"/>
      <c r="AL920" s="290"/>
      <c r="AM920" s="290"/>
      <c r="AN920" s="290"/>
      <c r="AO920" s="290"/>
      <c r="AP920" s="290"/>
      <c r="AQ920" s="290"/>
      <c r="AR920" s="290"/>
      <c r="AS920" s="290"/>
      <c r="AT920" s="290"/>
      <c r="AU920" s="290"/>
      <c r="AV920" s="290"/>
      <c r="AW920" s="290"/>
      <c r="AX920" s="290"/>
      <c r="AY920" s="290"/>
      <c r="AZ920" s="290"/>
      <c r="BA920" s="290"/>
      <c r="BG920" s="307"/>
      <c r="BH920" s="307"/>
      <c r="BI920" s="307"/>
      <c r="BK920" s="300"/>
    </row>
    <row r="921" spans="1:63" s="298" customFormat="1" ht="15" hidden="1" x14ac:dyDescent="0.25">
      <c r="A921" s="290"/>
      <c r="B921" s="291"/>
      <c r="C921" s="290"/>
      <c r="D921" s="290"/>
      <c r="E921" s="290"/>
      <c r="F921" s="290"/>
      <c r="G921" s="290"/>
      <c r="H921" s="316"/>
      <c r="I921" s="290"/>
      <c r="J921" s="290"/>
      <c r="K921" s="290"/>
      <c r="L921" s="290"/>
      <c r="M921" s="308"/>
      <c r="N921" s="290"/>
      <c r="O921" s="290"/>
      <c r="P921" s="290"/>
      <c r="Q921" s="290"/>
      <c r="R921" s="290"/>
      <c r="S921" s="290"/>
      <c r="T921" s="290"/>
      <c r="U921" s="294"/>
      <c r="V921" s="290"/>
      <c r="W921" s="290"/>
      <c r="X921" s="291"/>
      <c r="Y921" s="295"/>
      <c r="Z921" s="295"/>
      <c r="AA921" s="296"/>
      <c r="AB921" s="296"/>
      <c r="AC921" s="291"/>
      <c r="AD921" s="291"/>
      <c r="AE921" s="291"/>
      <c r="AF921" s="291"/>
      <c r="AG921" s="291"/>
      <c r="AH921" s="291"/>
      <c r="AI921" s="291"/>
      <c r="AJ921" s="291"/>
      <c r="AK921" s="290"/>
      <c r="AL921" s="290"/>
      <c r="AM921" s="290"/>
      <c r="AN921" s="290"/>
      <c r="AO921" s="290"/>
      <c r="AP921" s="290"/>
      <c r="AQ921" s="290"/>
      <c r="AR921" s="290"/>
      <c r="AS921" s="290"/>
      <c r="AT921" s="290"/>
      <c r="AU921" s="290"/>
      <c r="AV921" s="290"/>
      <c r="AW921" s="290"/>
      <c r="AX921" s="290"/>
      <c r="AY921" s="290"/>
      <c r="AZ921" s="290"/>
      <c r="BA921" s="290"/>
      <c r="BG921" s="307"/>
      <c r="BH921" s="307"/>
      <c r="BI921" s="307"/>
      <c r="BK921" s="300"/>
    </row>
    <row r="922" spans="1:63" s="298" customFormat="1" ht="15" hidden="1" x14ac:dyDescent="0.25">
      <c r="A922" s="290"/>
      <c r="B922" s="291"/>
      <c r="C922" s="290"/>
      <c r="D922" s="290"/>
      <c r="E922" s="290"/>
      <c r="F922" s="290"/>
      <c r="G922" s="290"/>
      <c r="H922" s="316"/>
      <c r="I922" s="290"/>
      <c r="J922" s="290"/>
      <c r="K922" s="290"/>
      <c r="L922" s="290"/>
      <c r="M922" s="308"/>
      <c r="N922" s="290"/>
      <c r="O922" s="290"/>
      <c r="P922" s="290"/>
      <c r="Q922" s="290"/>
      <c r="R922" s="290"/>
      <c r="S922" s="290"/>
      <c r="T922" s="290"/>
      <c r="U922" s="294"/>
      <c r="V922" s="290"/>
      <c r="W922" s="290"/>
      <c r="X922" s="291"/>
      <c r="Y922" s="295"/>
      <c r="Z922" s="295"/>
      <c r="AA922" s="296"/>
      <c r="AB922" s="296"/>
      <c r="AC922" s="291"/>
      <c r="AD922" s="291"/>
      <c r="AE922" s="291"/>
      <c r="AF922" s="291"/>
      <c r="AG922" s="291"/>
      <c r="AH922" s="291"/>
      <c r="AI922" s="291"/>
      <c r="AJ922" s="291"/>
      <c r="AK922" s="290"/>
      <c r="AL922" s="290"/>
      <c r="AM922" s="290"/>
      <c r="AN922" s="290"/>
      <c r="AO922" s="290"/>
      <c r="AP922" s="290"/>
      <c r="AQ922" s="290"/>
      <c r="AR922" s="290"/>
      <c r="AS922" s="290"/>
      <c r="AT922" s="290"/>
      <c r="AU922" s="290"/>
      <c r="AV922" s="290"/>
      <c r="AW922" s="290"/>
      <c r="AX922" s="290"/>
      <c r="AY922" s="290"/>
      <c r="AZ922" s="290"/>
      <c r="BA922" s="290"/>
      <c r="BG922" s="307"/>
      <c r="BH922" s="307"/>
      <c r="BI922" s="307"/>
      <c r="BK922" s="300"/>
    </row>
    <row r="923" spans="1:63" s="298" customFormat="1" ht="15" hidden="1" x14ac:dyDescent="0.25">
      <c r="A923" s="290"/>
      <c r="B923" s="291"/>
      <c r="C923" s="290"/>
      <c r="D923" s="290"/>
      <c r="E923" s="290"/>
      <c r="F923" s="290"/>
      <c r="G923" s="290"/>
      <c r="H923" s="316"/>
      <c r="I923" s="290"/>
      <c r="J923" s="290"/>
      <c r="K923" s="290"/>
      <c r="L923" s="290"/>
      <c r="M923" s="308"/>
      <c r="N923" s="290"/>
      <c r="O923" s="290"/>
      <c r="P923" s="290"/>
      <c r="Q923" s="290"/>
      <c r="R923" s="290"/>
      <c r="S923" s="290"/>
      <c r="T923" s="290"/>
      <c r="U923" s="294"/>
      <c r="V923" s="290"/>
      <c r="W923" s="290"/>
      <c r="X923" s="291"/>
      <c r="Y923" s="295"/>
      <c r="Z923" s="295"/>
      <c r="AA923" s="296"/>
      <c r="AB923" s="296"/>
      <c r="AC923" s="291"/>
      <c r="AD923" s="291"/>
      <c r="AE923" s="291"/>
      <c r="AF923" s="291"/>
      <c r="AG923" s="291"/>
      <c r="AH923" s="291"/>
      <c r="AI923" s="291"/>
      <c r="AJ923" s="291"/>
      <c r="AK923" s="290"/>
      <c r="AL923" s="290"/>
      <c r="AM923" s="290"/>
      <c r="AN923" s="290"/>
      <c r="AO923" s="290"/>
      <c r="AP923" s="290"/>
      <c r="AQ923" s="290"/>
      <c r="AR923" s="290"/>
      <c r="AS923" s="290"/>
      <c r="AT923" s="290"/>
      <c r="AU923" s="290"/>
      <c r="AV923" s="290"/>
      <c r="AW923" s="290"/>
      <c r="AX923" s="290"/>
      <c r="AY923" s="290"/>
      <c r="AZ923" s="290"/>
      <c r="BA923" s="290"/>
      <c r="BG923" s="307"/>
      <c r="BH923" s="307"/>
      <c r="BI923" s="307"/>
      <c r="BK923" s="300"/>
    </row>
    <row r="924" spans="1:63" s="298" customFormat="1" ht="15" hidden="1" x14ac:dyDescent="0.25">
      <c r="A924" s="290"/>
      <c r="B924" s="291"/>
      <c r="C924" s="290"/>
      <c r="D924" s="290"/>
      <c r="E924" s="290"/>
      <c r="F924" s="290"/>
      <c r="G924" s="290"/>
      <c r="H924" s="317"/>
      <c r="I924" s="290"/>
      <c r="J924" s="290"/>
      <c r="K924" s="290"/>
      <c r="L924" s="290"/>
      <c r="M924" s="308"/>
      <c r="N924" s="290"/>
      <c r="O924" s="290"/>
      <c r="P924" s="290"/>
      <c r="Q924" s="290"/>
      <c r="R924" s="290"/>
      <c r="S924" s="290"/>
      <c r="T924" s="290"/>
      <c r="U924" s="294"/>
      <c r="V924" s="290"/>
      <c r="W924" s="290"/>
      <c r="X924" s="291"/>
      <c r="Y924" s="295"/>
      <c r="Z924" s="295"/>
      <c r="AA924" s="296"/>
      <c r="AB924" s="296"/>
      <c r="AC924" s="291"/>
      <c r="AD924" s="291"/>
      <c r="AE924" s="291"/>
      <c r="AF924" s="291"/>
      <c r="AG924" s="291"/>
      <c r="AH924" s="291"/>
      <c r="AI924" s="291"/>
      <c r="AJ924" s="291"/>
      <c r="AK924" s="290"/>
      <c r="AL924" s="290"/>
      <c r="AM924" s="290"/>
      <c r="AN924" s="290"/>
      <c r="AO924" s="290"/>
      <c r="AP924" s="290"/>
      <c r="AQ924" s="290"/>
      <c r="AR924" s="290"/>
      <c r="AS924" s="290"/>
      <c r="AT924" s="290"/>
      <c r="AU924" s="290"/>
      <c r="AV924" s="290"/>
      <c r="AW924" s="290"/>
      <c r="AX924" s="290"/>
      <c r="AY924" s="290"/>
      <c r="AZ924" s="290"/>
      <c r="BA924" s="290"/>
      <c r="BG924" s="307"/>
      <c r="BH924" s="307"/>
      <c r="BI924" s="307"/>
      <c r="BK924" s="300"/>
    </row>
    <row r="925" spans="1:63" s="298" customFormat="1" ht="18" hidden="1" x14ac:dyDescent="0.25">
      <c r="A925" s="290"/>
      <c r="B925" s="291"/>
      <c r="C925" s="290"/>
      <c r="D925" s="290"/>
      <c r="E925" s="290"/>
      <c r="F925" s="290"/>
      <c r="G925" s="290"/>
      <c r="H925" s="318"/>
      <c r="I925" s="290"/>
      <c r="J925" s="290"/>
      <c r="K925" s="290"/>
      <c r="L925" s="290"/>
      <c r="M925" s="308"/>
      <c r="N925" s="290"/>
      <c r="O925" s="290"/>
      <c r="P925" s="290"/>
      <c r="Q925" s="290"/>
      <c r="R925" s="290"/>
      <c r="S925" s="290"/>
      <c r="T925" s="290"/>
      <c r="U925" s="294"/>
      <c r="V925" s="290"/>
      <c r="W925" s="290"/>
      <c r="X925" s="291"/>
      <c r="Y925" s="295"/>
      <c r="Z925" s="295"/>
      <c r="AA925" s="296"/>
      <c r="AB925" s="296"/>
      <c r="AC925" s="291"/>
      <c r="AD925" s="291"/>
      <c r="AE925" s="291"/>
      <c r="AF925" s="291"/>
      <c r="AG925" s="291"/>
      <c r="AH925" s="291"/>
      <c r="AI925" s="291"/>
      <c r="AJ925" s="291"/>
      <c r="AK925" s="290"/>
      <c r="AL925" s="290"/>
      <c r="AM925" s="290"/>
      <c r="AN925" s="290"/>
      <c r="AO925" s="290"/>
      <c r="AP925" s="290"/>
      <c r="AQ925" s="290"/>
      <c r="AR925" s="290"/>
      <c r="AS925" s="290"/>
      <c r="AT925" s="290"/>
      <c r="AU925" s="290"/>
      <c r="AV925" s="290"/>
      <c r="AW925" s="290"/>
      <c r="AX925" s="290"/>
      <c r="AY925" s="290"/>
      <c r="AZ925" s="290"/>
      <c r="BA925" s="290"/>
      <c r="BG925" s="307"/>
      <c r="BH925" s="307"/>
      <c r="BI925" s="307"/>
      <c r="BK925" s="300"/>
    </row>
    <row r="926" spans="1:63" s="298" customFormat="1" ht="15" hidden="1" x14ac:dyDescent="0.25">
      <c r="A926" s="290"/>
      <c r="B926" s="291"/>
      <c r="C926" s="290"/>
      <c r="D926" s="290"/>
      <c r="E926" s="290"/>
      <c r="F926" s="290"/>
      <c r="G926" s="290"/>
      <c r="H926" s="316"/>
      <c r="I926" s="290"/>
      <c r="J926" s="290"/>
      <c r="K926" s="290"/>
      <c r="L926" s="290"/>
      <c r="M926" s="308"/>
      <c r="N926" s="290"/>
      <c r="O926" s="290"/>
      <c r="P926" s="290"/>
      <c r="Q926" s="290"/>
      <c r="R926" s="290"/>
      <c r="S926" s="290"/>
      <c r="T926" s="290"/>
      <c r="U926" s="294"/>
      <c r="V926" s="290"/>
      <c r="W926" s="290"/>
      <c r="X926" s="291"/>
      <c r="Y926" s="295"/>
      <c r="Z926" s="295"/>
      <c r="AA926" s="296"/>
      <c r="AB926" s="296"/>
      <c r="AC926" s="291"/>
      <c r="AD926" s="291"/>
      <c r="AE926" s="291"/>
      <c r="AF926" s="291"/>
      <c r="AG926" s="291"/>
      <c r="AH926" s="291"/>
      <c r="AI926" s="291"/>
      <c r="AJ926" s="291"/>
      <c r="AK926" s="290"/>
      <c r="AL926" s="290"/>
      <c r="AM926" s="290"/>
      <c r="AN926" s="290"/>
      <c r="AO926" s="290"/>
      <c r="AP926" s="290"/>
      <c r="AQ926" s="290"/>
      <c r="AR926" s="290"/>
      <c r="AS926" s="290"/>
      <c r="AT926" s="290"/>
      <c r="AU926" s="290"/>
      <c r="AV926" s="290"/>
      <c r="AW926" s="290"/>
      <c r="AX926" s="290"/>
      <c r="AY926" s="290"/>
      <c r="AZ926" s="290"/>
      <c r="BA926" s="290"/>
      <c r="BG926" s="307"/>
      <c r="BH926" s="307"/>
      <c r="BI926" s="307"/>
      <c r="BK926" s="300"/>
    </row>
    <row r="927" spans="1:63" s="298" customFormat="1" ht="15" hidden="1" x14ac:dyDescent="0.25">
      <c r="A927" s="290"/>
      <c r="B927" s="291"/>
      <c r="C927" s="290"/>
      <c r="D927" s="290"/>
      <c r="E927" s="290"/>
      <c r="F927" s="290"/>
      <c r="G927" s="290"/>
      <c r="H927" s="316"/>
      <c r="I927" s="290"/>
      <c r="J927" s="290"/>
      <c r="K927" s="290"/>
      <c r="L927" s="290"/>
      <c r="M927" s="308"/>
      <c r="N927" s="290"/>
      <c r="O927" s="290"/>
      <c r="P927" s="290"/>
      <c r="Q927" s="290"/>
      <c r="R927" s="290"/>
      <c r="S927" s="290"/>
      <c r="T927" s="290"/>
      <c r="U927" s="294"/>
      <c r="V927" s="290"/>
      <c r="W927" s="290"/>
      <c r="X927" s="291"/>
      <c r="Y927" s="295"/>
      <c r="Z927" s="295"/>
      <c r="AA927" s="296"/>
      <c r="AB927" s="296"/>
      <c r="AC927" s="291"/>
      <c r="AD927" s="291"/>
      <c r="AE927" s="291"/>
      <c r="AF927" s="291"/>
      <c r="AG927" s="291"/>
      <c r="AH927" s="291"/>
      <c r="AI927" s="291"/>
      <c r="AJ927" s="291"/>
      <c r="AK927" s="290"/>
      <c r="AL927" s="290"/>
      <c r="AM927" s="290"/>
      <c r="AN927" s="290"/>
      <c r="AO927" s="290"/>
      <c r="AP927" s="290"/>
      <c r="AQ927" s="290"/>
      <c r="AR927" s="290"/>
      <c r="AS927" s="290"/>
      <c r="AT927" s="290"/>
      <c r="AU927" s="290"/>
      <c r="AV927" s="290"/>
      <c r="AW927" s="290"/>
      <c r="AX927" s="290"/>
      <c r="AY927" s="290"/>
      <c r="AZ927" s="290"/>
      <c r="BA927" s="290"/>
      <c r="BG927" s="307"/>
      <c r="BH927" s="307"/>
      <c r="BI927" s="307"/>
      <c r="BK927" s="300"/>
    </row>
    <row r="928" spans="1:63" s="298" customFormat="1" ht="15" hidden="1" x14ac:dyDescent="0.25">
      <c r="A928" s="290"/>
      <c r="B928" s="291"/>
      <c r="C928" s="290"/>
      <c r="D928" s="290"/>
      <c r="E928" s="290"/>
      <c r="F928" s="290"/>
      <c r="G928" s="290"/>
      <c r="H928" s="316"/>
      <c r="I928" s="290"/>
      <c r="J928" s="290"/>
      <c r="K928" s="290"/>
      <c r="L928" s="290"/>
      <c r="M928" s="308"/>
      <c r="N928" s="290"/>
      <c r="O928" s="290"/>
      <c r="P928" s="290"/>
      <c r="Q928" s="290"/>
      <c r="R928" s="290"/>
      <c r="S928" s="290"/>
      <c r="T928" s="290"/>
      <c r="U928" s="294"/>
      <c r="V928" s="290"/>
      <c r="W928" s="290"/>
      <c r="X928" s="291"/>
      <c r="Y928" s="295"/>
      <c r="Z928" s="295"/>
      <c r="AA928" s="296"/>
      <c r="AB928" s="296"/>
      <c r="AC928" s="291"/>
      <c r="AD928" s="291"/>
      <c r="AE928" s="291"/>
      <c r="AF928" s="291"/>
      <c r="AG928" s="291"/>
      <c r="AH928" s="291"/>
      <c r="AI928" s="291"/>
      <c r="AJ928" s="291"/>
      <c r="AK928" s="290"/>
      <c r="AL928" s="290"/>
      <c r="AM928" s="290"/>
      <c r="AN928" s="290"/>
      <c r="AO928" s="290"/>
      <c r="AP928" s="290"/>
      <c r="AQ928" s="290"/>
      <c r="AR928" s="290"/>
      <c r="AS928" s="290"/>
      <c r="AT928" s="290"/>
      <c r="AU928" s="290"/>
      <c r="AV928" s="290"/>
      <c r="AW928" s="290"/>
      <c r="AX928" s="290"/>
      <c r="AY928" s="290"/>
      <c r="AZ928" s="290"/>
      <c r="BA928" s="290"/>
      <c r="BG928" s="307"/>
      <c r="BH928" s="307"/>
      <c r="BI928" s="307"/>
      <c r="BK928" s="300"/>
    </row>
    <row r="929" spans="1:63" s="298" customFormat="1" ht="15" hidden="1" x14ac:dyDescent="0.25">
      <c r="A929" s="290"/>
      <c r="B929" s="291"/>
      <c r="C929" s="290"/>
      <c r="D929" s="290"/>
      <c r="E929" s="290"/>
      <c r="F929" s="290"/>
      <c r="G929" s="290"/>
      <c r="H929" s="316"/>
      <c r="I929" s="290"/>
      <c r="J929" s="290"/>
      <c r="K929" s="290"/>
      <c r="L929" s="290"/>
      <c r="M929" s="308"/>
      <c r="N929" s="290"/>
      <c r="O929" s="290"/>
      <c r="P929" s="290"/>
      <c r="Q929" s="290"/>
      <c r="R929" s="290"/>
      <c r="S929" s="290"/>
      <c r="T929" s="290"/>
      <c r="U929" s="294"/>
      <c r="V929" s="290"/>
      <c r="W929" s="290"/>
      <c r="X929" s="291"/>
      <c r="Y929" s="295"/>
      <c r="Z929" s="295"/>
      <c r="AA929" s="296"/>
      <c r="AB929" s="296"/>
      <c r="AC929" s="291"/>
      <c r="AD929" s="291"/>
      <c r="AE929" s="291"/>
      <c r="AF929" s="291"/>
      <c r="AG929" s="291"/>
      <c r="AH929" s="291"/>
      <c r="AI929" s="291"/>
      <c r="AJ929" s="291"/>
      <c r="AK929" s="290"/>
      <c r="AL929" s="290"/>
      <c r="AM929" s="290"/>
      <c r="AN929" s="290"/>
      <c r="AO929" s="290"/>
      <c r="AP929" s="290"/>
      <c r="AQ929" s="290"/>
      <c r="AR929" s="290"/>
      <c r="AS929" s="290"/>
      <c r="AT929" s="290"/>
      <c r="AU929" s="290"/>
      <c r="AV929" s="290"/>
      <c r="AW929" s="290"/>
      <c r="AX929" s="290"/>
      <c r="AY929" s="290"/>
      <c r="AZ929" s="290"/>
      <c r="BA929" s="290"/>
      <c r="BG929" s="307"/>
      <c r="BH929" s="307"/>
      <c r="BI929" s="307"/>
      <c r="BK929" s="300"/>
    </row>
    <row r="930" spans="1:63" s="298" customFormat="1" ht="15" hidden="1" x14ac:dyDescent="0.25">
      <c r="A930" s="290"/>
      <c r="B930" s="291"/>
      <c r="C930" s="290"/>
      <c r="D930" s="290"/>
      <c r="E930" s="290"/>
      <c r="F930" s="290"/>
      <c r="G930" s="290"/>
      <c r="H930" s="316"/>
      <c r="I930" s="290"/>
      <c r="J930" s="290"/>
      <c r="K930" s="290"/>
      <c r="L930" s="290"/>
      <c r="M930" s="308"/>
      <c r="N930" s="290"/>
      <c r="O930" s="290"/>
      <c r="P930" s="290"/>
      <c r="Q930" s="290"/>
      <c r="R930" s="290"/>
      <c r="S930" s="290"/>
      <c r="T930" s="290"/>
      <c r="U930" s="294"/>
      <c r="V930" s="290"/>
      <c r="W930" s="290"/>
      <c r="X930" s="291"/>
      <c r="Y930" s="295"/>
      <c r="Z930" s="295"/>
      <c r="AA930" s="296"/>
      <c r="AB930" s="296"/>
      <c r="AC930" s="291"/>
      <c r="AD930" s="291"/>
      <c r="AE930" s="291"/>
      <c r="AF930" s="291"/>
      <c r="AG930" s="291"/>
      <c r="AH930" s="291"/>
      <c r="AI930" s="291"/>
      <c r="AJ930" s="291"/>
      <c r="AK930" s="290"/>
      <c r="AL930" s="290"/>
      <c r="AM930" s="290"/>
      <c r="AN930" s="290"/>
      <c r="AO930" s="290"/>
      <c r="AP930" s="290"/>
      <c r="AQ930" s="290"/>
      <c r="AR930" s="290"/>
      <c r="AS930" s="290"/>
      <c r="AT930" s="290"/>
      <c r="AU930" s="290"/>
      <c r="AV930" s="290"/>
      <c r="AW930" s="290"/>
      <c r="AX930" s="290"/>
      <c r="AY930" s="290"/>
      <c r="AZ930" s="290"/>
      <c r="BA930" s="290"/>
      <c r="BG930" s="307"/>
      <c r="BH930" s="307"/>
      <c r="BI930" s="307"/>
      <c r="BK930" s="300"/>
    </row>
    <row r="931" spans="1:63" s="298" customFormat="1" ht="15" hidden="1" x14ac:dyDescent="0.25">
      <c r="A931" s="290"/>
      <c r="B931" s="291"/>
      <c r="C931" s="290"/>
      <c r="D931" s="290"/>
      <c r="E931" s="290"/>
      <c r="F931" s="290"/>
      <c r="G931" s="290"/>
      <c r="H931" s="316"/>
      <c r="I931" s="290"/>
      <c r="J931" s="290"/>
      <c r="K931" s="290"/>
      <c r="L931" s="290"/>
      <c r="M931" s="308"/>
      <c r="N931" s="290"/>
      <c r="O931" s="290"/>
      <c r="P931" s="290"/>
      <c r="Q931" s="290"/>
      <c r="R931" s="290"/>
      <c r="S931" s="290"/>
      <c r="T931" s="290"/>
      <c r="U931" s="294"/>
      <c r="V931" s="290"/>
      <c r="W931" s="290"/>
      <c r="X931" s="291"/>
      <c r="Y931" s="295"/>
      <c r="Z931" s="295"/>
      <c r="AA931" s="296"/>
      <c r="AB931" s="296"/>
      <c r="AC931" s="291"/>
      <c r="AD931" s="291"/>
      <c r="AE931" s="291"/>
      <c r="AF931" s="291"/>
      <c r="AG931" s="291"/>
      <c r="AH931" s="291"/>
      <c r="AI931" s="291"/>
      <c r="AJ931" s="291"/>
      <c r="AK931" s="290"/>
      <c r="AL931" s="290"/>
      <c r="AM931" s="290"/>
      <c r="AN931" s="290"/>
      <c r="AO931" s="290"/>
      <c r="AP931" s="290"/>
      <c r="AQ931" s="290"/>
      <c r="AR931" s="290"/>
      <c r="AS931" s="290"/>
      <c r="AT931" s="290"/>
      <c r="AU931" s="290"/>
      <c r="AV931" s="290"/>
      <c r="AW931" s="290"/>
      <c r="AX931" s="290"/>
      <c r="AY931" s="290"/>
      <c r="AZ931" s="290"/>
      <c r="BA931" s="290"/>
      <c r="BG931" s="307"/>
      <c r="BH931" s="307"/>
      <c r="BI931" s="307"/>
      <c r="BK931" s="300"/>
    </row>
    <row r="932" spans="1:63" s="298" customFormat="1" ht="15" hidden="1" x14ac:dyDescent="0.25">
      <c r="A932" s="290"/>
      <c r="B932" s="291"/>
      <c r="C932" s="290"/>
      <c r="D932" s="290"/>
      <c r="E932" s="290"/>
      <c r="F932" s="290"/>
      <c r="G932" s="290"/>
      <c r="H932" s="316"/>
      <c r="I932" s="290"/>
      <c r="J932" s="290"/>
      <c r="K932" s="290"/>
      <c r="L932" s="290"/>
      <c r="M932" s="308"/>
      <c r="N932" s="290"/>
      <c r="O932" s="290"/>
      <c r="P932" s="290"/>
      <c r="Q932" s="290"/>
      <c r="R932" s="290"/>
      <c r="S932" s="290"/>
      <c r="T932" s="290"/>
      <c r="U932" s="294"/>
      <c r="V932" s="290"/>
      <c r="W932" s="290"/>
      <c r="X932" s="291"/>
      <c r="Y932" s="295"/>
      <c r="Z932" s="295"/>
      <c r="AA932" s="296"/>
      <c r="AB932" s="296"/>
      <c r="AC932" s="291"/>
      <c r="AD932" s="291"/>
      <c r="AE932" s="291"/>
      <c r="AF932" s="291"/>
      <c r="AG932" s="291"/>
      <c r="AH932" s="291"/>
      <c r="AI932" s="291"/>
      <c r="AJ932" s="291"/>
      <c r="AK932" s="290"/>
      <c r="AL932" s="290"/>
      <c r="AM932" s="290"/>
      <c r="AN932" s="290"/>
      <c r="AO932" s="290"/>
      <c r="AP932" s="290"/>
      <c r="AQ932" s="290"/>
      <c r="AR932" s="290"/>
      <c r="AS932" s="290"/>
      <c r="AT932" s="290"/>
      <c r="AU932" s="290"/>
      <c r="AV932" s="290"/>
      <c r="AW932" s="290"/>
      <c r="AX932" s="290"/>
      <c r="AY932" s="290"/>
      <c r="AZ932" s="290"/>
      <c r="BA932" s="290"/>
      <c r="BG932" s="307"/>
      <c r="BH932" s="307"/>
      <c r="BI932" s="307"/>
      <c r="BK932" s="300"/>
    </row>
    <row r="933" spans="1:63" s="298" customFormat="1" ht="15" hidden="1" x14ac:dyDescent="0.25">
      <c r="A933" s="290"/>
      <c r="B933" s="291"/>
      <c r="C933" s="290"/>
      <c r="D933" s="290"/>
      <c r="E933" s="290"/>
      <c r="F933" s="290"/>
      <c r="G933" s="290"/>
      <c r="H933" s="316"/>
      <c r="I933" s="290"/>
      <c r="J933" s="290"/>
      <c r="K933" s="290"/>
      <c r="L933" s="290"/>
      <c r="M933" s="308"/>
      <c r="N933" s="290"/>
      <c r="O933" s="290"/>
      <c r="P933" s="290"/>
      <c r="Q933" s="290"/>
      <c r="R933" s="290"/>
      <c r="S933" s="290"/>
      <c r="T933" s="290"/>
      <c r="U933" s="294"/>
      <c r="V933" s="290"/>
      <c r="W933" s="290"/>
      <c r="X933" s="291"/>
      <c r="Y933" s="295"/>
      <c r="Z933" s="295"/>
      <c r="AA933" s="296"/>
      <c r="AB933" s="296"/>
      <c r="AC933" s="291"/>
      <c r="AD933" s="291"/>
      <c r="AE933" s="291"/>
      <c r="AF933" s="291"/>
      <c r="AG933" s="291"/>
      <c r="AH933" s="291"/>
      <c r="AI933" s="291"/>
      <c r="AJ933" s="291"/>
      <c r="AK933" s="290"/>
      <c r="AL933" s="290"/>
      <c r="AM933" s="290"/>
      <c r="AN933" s="290"/>
      <c r="AO933" s="290"/>
      <c r="AP933" s="290"/>
      <c r="AQ933" s="290"/>
      <c r="AR933" s="290"/>
      <c r="AS933" s="290"/>
      <c r="AT933" s="290"/>
      <c r="AU933" s="290"/>
      <c r="AV933" s="290"/>
      <c r="AW933" s="290"/>
      <c r="AX933" s="290"/>
      <c r="AY933" s="290"/>
      <c r="AZ933" s="290"/>
      <c r="BA933" s="290"/>
      <c r="BG933" s="307"/>
      <c r="BH933" s="307"/>
      <c r="BI933" s="307"/>
      <c r="BK933" s="300"/>
    </row>
    <row r="934" spans="1:63" s="298" customFormat="1" ht="15" hidden="1" x14ac:dyDescent="0.25">
      <c r="A934" s="290"/>
      <c r="B934" s="291"/>
      <c r="C934" s="290"/>
      <c r="D934" s="290"/>
      <c r="E934" s="290"/>
      <c r="F934" s="290"/>
      <c r="G934" s="290"/>
      <c r="H934" s="317"/>
      <c r="I934" s="290"/>
      <c r="J934" s="290"/>
      <c r="K934" s="290"/>
      <c r="L934" s="290"/>
      <c r="M934" s="308"/>
      <c r="N934" s="290"/>
      <c r="O934" s="290"/>
      <c r="P934" s="290"/>
      <c r="Q934" s="290"/>
      <c r="R934" s="290"/>
      <c r="S934" s="290"/>
      <c r="T934" s="290"/>
      <c r="U934" s="294"/>
      <c r="V934" s="290"/>
      <c r="W934" s="290"/>
      <c r="X934" s="291"/>
      <c r="Y934" s="295"/>
      <c r="Z934" s="295"/>
      <c r="AA934" s="296"/>
      <c r="AB934" s="296"/>
      <c r="AC934" s="291"/>
      <c r="AD934" s="291"/>
      <c r="AE934" s="291"/>
      <c r="AF934" s="291"/>
      <c r="AG934" s="291"/>
      <c r="AH934" s="291"/>
      <c r="AI934" s="291"/>
      <c r="AJ934" s="291"/>
      <c r="AK934" s="290"/>
      <c r="AL934" s="290"/>
      <c r="AM934" s="290"/>
      <c r="AN934" s="290"/>
      <c r="AO934" s="290"/>
      <c r="AP934" s="290"/>
      <c r="AQ934" s="290"/>
      <c r="AR934" s="290"/>
      <c r="AS934" s="290"/>
      <c r="AT934" s="290"/>
      <c r="AU934" s="290"/>
      <c r="AV934" s="290"/>
      <c r="AW934" s="290"/>
      <c r="AX934" s="290"/>
      <c r="AY934" s="290"/>
      <c r="AZ934" s="290"/>
      <c r="BA934" s="290"/>
      <c r="BG934" s="307"/>
      <c r="BH934" s="307"/>
      <c r="BI934" s="307"/>
      <c r="BK934" s="300"/>
    </row>
    <row r="935" spans="1:63" s="298" customFormat="1" ht="15" hidden="1" x14ac:dyDescent="0.25">
      <c r="A935" s="290"/>
      <c r="B935" s="291"/>
      <c r="C935" s="290"/>
      <c r="D935" s="290"/>
      <c r="E935" s="290"/>
      <c r="F935" s="290"/>
      <c r="G935" s="290"/>
      <c r="H935" s="317"/>
      <c r="I935" s="290"/>
      <c r="J935" s="290"/>
      <c r="K935" s="290"/>
      <c r="L935" s="290"/>
      <c r="M935" s="308"/>
      <c r="N935" s="290"/>
      <c r="O935" s="290"/>
      <c r="P935" s="290"/>
      <c r="Q935" s="290"/>
      <c r="R935" s="290"/>
      <c r="S935" s="290"/>
      <c r="T935" s="290"/>
      <c r="U935" s="294"/>
      <c r="V935" s="290"/>
      <c r="W935" s="290"/>
      <c r="X935" s="291"/>
      <c r="Y935" s="295"/>
      <c r="Z935" s="295"/>
      <c r="AA935" s="296"/>
      <c r="AB935" s="296"/>
      <c r="AC935" s="291"/>
      <c r="AD935" s="291"/>
      <c r="AE935" s="291"/>
      <c r="AF935" s="291"/>
      <c r="AG935" s="291"/>
      <c r="AH935" s="291"/>
      <c r="AI935" s="291"/>
      <c r="AJ935" s="291"/>
      <c r="AK935" s="290"/>
      <c r="AL935" s="290"/>
      <c r="AM935" s="290"/>
      <c r="AN935" s="290"/>
      <c r="AO935" s="290"/>
      <c r="AP935" s="290"/>
      <c r="AQ935" s="290"/>
      <c r="AR935" s="290"/>
      <c r="AS935" s="290"/>
      <c r="AT935" s="290"/>
      <c r="AU935" s="290"/>
      <c r="AV935" s="290"/>
      <c r="AW935" s="290"/>
      <c r="AX935" s="290"/>
      <c r="AY935" s="290"/>
      <c r="AZ935" s="290"/>
      <c r="BA935" s="290"/>
      <c r="BG935" s="307"/>
      <c r="BH935" s="307"/>
      <c r="BI935" s="307"/>
      <c r="BK935" s="300"/>
    </row>
    <row r="936" spans="1:63" s="298" customFormat="1" ht="15" hidden="1" x14ac:dyDescent="0.25">
      <c r="A936" s="290"/>
      <c r="B936" s="291"/>
      <c r="C936" s="290"/>
      <c r="D936" s="290"/>
      <c r="E936" s="290"/>
      <c r="F936" s="290"/>
      <c r="G936" s="290"/>
      <c r="H936" s="317"/>
      <c r="I936" s="290"/>
      <c r="J936" s="290"/>
      <c r="K936" s="290"/>
      <c r="L936" s="290"/>
      <c r="M936" s="308"/>
      <c r="N936" s="290"/>
      <c r="O936" s="290"/>
      <c r="P936" s="290"/>
      <c r="Q936" s="290"/>
      <c r="R936" s="290"/>
      <c r="S936" s="290"/>
      <c r="T936" s="290"/>
      <c r="U936" s="294"/>
      <c r="V936" s="290"/>
      <c r="W936" s="290"/>
      <c r="X936" s="291"/>
      <c r="Y936" s="295"/>
      <c r="Z936" s="295"/>
      <c r="AA936" s="296"/>
      <c r="AB936" s="296"/>
      <c r="AC936" s="291"/>
      <c r="AD936" s="291"/>
      <c r="AE936" s="291"/>
      <c r="AF936" s="291"/>
      <c r="AG936" s="291"/>
      <c r="AH936" s="291"/>
      <c r="AI936" s="291"/>
      <c r="AJ936" s="291"/>
      <c r="AK936" s="290"/>
      <c r="AL936" s="290"/>
      <c r="AM936" s="290"/>
      <c r="AN936" s="290"/>
      <c r="AO936" s="290"/>
      <c r="AP936" s="290"/>
      <c r="AQ936" s="290"/>
      <c r="AR936" s="290"/>
      <c r="AS936" s="290"/>
      <c r="AT936" s="290"/>
      <c r="AU936" s="290"/>
      <c r="AV936" s="290"/>
      <c r="AW936" s="290"/>
      <c r="AX936" s="290"/>
      <c r="AY936" s="290"/>
      <c r="AZ936" s="290"/>
      <c r="BA936" s="290"/>
      <c r="BG936" s="307"/>
      <c r="BH936" s="307"/>
      <c r="BI936" s="307"/>
      <c r="BK936" s="300"/>
    </row>
    <row r="937" spans="1:63" s="298" customFormat="1" ht="23.25" hidden="1" x14ac:dyDescent="0.25">
      <c r="A937" s="290"/>
      <c r="B937" s="291"/>
      <c r="C937" s="290"/>
      <c r="D937" s="290"/>
      <c r="E937" s="290"/>
      <c r="F937" s="290"/>
      <c r="G937" s="290"/>
      <c r="H937" s="319"/>
      <c r="I937" s="290"/>
      <c r="J937" s="290"/>
      <c r="K937" s="290"/>
      <c r="L937" s="290"/>
      <c r="M937" s="308"/>
      <c r="N937" s="290"/>
      <c r="O937" s="290"/>
      <c r="P937" s="290"/>
      <c r="Q937" s="290"/>
      <c r="R937" s="290"/>
      <c r="S937" s="290"/>
      <c r="T937" s="290"/>
      <c r="U937" s="294"/>
      <c r="V937" s="290"/>
      <c r="W937" s="290"/>
      <c r="X937" s="291"/>
      <c r="Y937" s="295"/>
      <c r="Z937" s="295"/>
      <c r="AA937" s="296"/>
      <c r="AB937" s="296"/>
      <c r="AC937" s="291"/>
      <c r="AD937" s="291"/>
      <c r="AE937" s="291"/>
      <c r="AF937" s="291"/>
      <c r="AG937" s="291"/>
      <c r="AH937" s="291"/>
      <c r="AI937" s="291"/>
      <c r="AJ937" s="291"/>
      <c r="AK937" s="290"/>
      <c r="AL937" s="290"/>
      <c r="AM937" s="290"/>
      <c r="AN937" s="290"/>
      <c r="AO937" s="290"/>
      <c r="AP937" s="290"/>
      <c r="AQ937" s="290"/>
      <c r="AR937" s="290"/>
      <c r="AS937" s="290"/>
      <c r="AT937" s="290"/>
      <c r="AU937" s="290"/>
      <c r="AV937" s="290"/>
      <c r="AW937" s="290"/>
      <c r="AX937" s="290"/>
      <c r="AY937" s="290"/>
      <c r="AZ937" s="290"/>
      <c r="BA937" s="290"/>
      <c r="BG937" s="307"/>
      <c r="BH937" s="307"/>
      <c r="BI937" s="307"/>
      <c r="BK937" s="300"/>
    </row>
    <row r="938" spans="1:63" s="298" customFormat="1" ht="15" hidden="1" x14ac:dyDescent="0.25">
      <c r="A938" s="290"/>
      <c r="B938" s="291"/>
      <c r="C938" s="290"/>
      <c r="D938" s="290"/>
      <c r="E938" s="290"/>
      <c r="F938" s="290"/>
      <c r="G938" s="290"/>
      <c r="H938" s="316"/>
      <c r="I938" s="290"/>
      <c r="J938" s="290"/>
      <c r="K938" s="290"/>
      <c r="L938" s="290"/>
      <c r="M938" s="308"/>
      <c r="N938" s="290"/>
      <c r="O938" s="290"/>
      <c r="P938" s="290"/>
      <c r="Q938" s="290"/>
      <c r="R938" s="290"/>
      <c r="S938" s="290"/>
      <c r="T938" s="290"/>
      <c r="U938" s="294"/>
      <c r="V938" s="290"/>
      <c r="W938" s="290"/>
      <c r="X938" s="291"/>
      <c r="Y938" s="295"/>
      <c r="Z938" s="295"/>
      <c r="AA938" s="296"/>
      <c r="AB938" s="296"/>
      <c r="AC938" s="291"/>
      <c r="AD938" s="291"/>
      <c r="AE938" s="291"/>
      <c r="AF938" s="291"/>
      <c r="AG938" s="291"/>
      <c r="AH938" s="291"/>
      <c r="AI938" s="291"/>
      <c r="AJ938" s="291"/>
      <c r="AK938" s="290"/>
      <c r="AL938" s="290"/>
      <c r="AM938" s="290"/>
      <c r="AN938" s="290"/>
      <c r="AO938" s="290"/>
      <c r="AP938" s="290"/>
      <c r="AQ938" s="290"/>
      <c r="AR938" s="290"/>
      <c r="AS938" s="290"/>
      <c r="AT938" s="290"/>
      <c r="AU938" s="290"/>
      <c r="AV938" s="290"/>
      <c r="AW938" s="290"/>
      <c r="AX938" s="290"/>
      <c r="AY938" s="290"/>
      <c r="AZ938" s="290"/>
      <c r="BA938" s="290"/>
      <c r="BG938" s="307"/>
      <c r="BH938" s="307"/>
      <c r="BI938" s="307"/>
      <c r="BK938" s="300"/>
    </row>
    <row r="939" spans="1:63" s="298" customFormat="1" ht="15" hidden="1" x14ac:dyDescent="0.25">
      <c r="A939" s="290"/>
      <c r="B939" s="291"/>
      <c r="C939" s="290"/>
      <c r="D939" s="290"/>
      <c r="E939" s="290"/>
      <c r="F939" s="290"/>
      <c r="G939" s="290"/>
      <c r="H939" s="316"/>
      <c r="I939" s="290"/>
      <c r="J939" s="290"/>
      <c r="K939" s="290"/>
      <c r="L939" s="290"/>
      <c r="M939" s="308"/>
      <c r="N939" s="290"/>
      <c r="O939" s="290"/>
      <c r="P939" s="290"/>
      <c r="Q939" s="290"/>
      <c r="R939" s="290"/>
      <c r="S939" s="290"/>
      <c r="T939" s="290"/>
      <c r="U939" s="294"/>
      <c r="V939" s="290"/>
      <c r="W939" s="290"/>
      <c r="X939" s="291"/>
      <c r="Y939" s="295"/>
      <c r="Z939" s="295"/>
      <c r="AA939" s="296"/>
      <c r="AB939" s="296"/>
      <c r="AC939" s="291"/>
      <c r="AD939" s="291"/>
      <c r="AE939" s="291"/>
      <c r="AF939" s="291"/>
      <c r="AG939" s="291"/>
      <c r="AH939" s="291"/>
      <c r="AI939" s="291"/>
      <c r="AJ939" s="291"/>
      <c r="AK939" s="290"/>
      <c r="AL939" s="290"/>
      <c r="AM939" s="290"/>
      <c r="AN939" s="290"/>
      <c r="AO939" s="290"/>
      <c r="AP939" s="290"/>
      <c r="AQ939" s="290"/>
      <c r="AR939" s="290"/>
      <c r="AS939" s="290"/>
      <c r="AT939" s="290"/>
      <c r="AU939" s="290"/>
      <c r="AV939" s="290"/>
      <c r="AW939" s="290"/>
      <c r="AX939" s="290"/>
      <c r="AY939" s="290"/>
      <c r="AZ939" s="290"/>
      <c r="BA939" s="290"/>
      <c r="BG939" s="307"/>
      <c r="BH939" s="307"/>
      <c r="BI939" s="307"/>
      <c r="BK939" s="300"/>
    </row>
    <row r="940" spans="1:63" s="298" customFormat="1" ht="15" hidden="1" x14ac:dyDescent="0.25">
      <c r="A940" s="290"/>
      <c r="B940" s="291"/>
      <c r="C940" s="290"/>
      <c r="D940" s="290"/>
      <c r="E940" s="290"/>
      <c r="F940" s="290"/>
      <c r="G940" s="290"/>
      <c r="H940" s="316"/>
      <c r="I940" s="290"/>
      <c r="J940" s="290"/>
      <c r="K940" s="290"/>
      <c r="L940" s="290"/>
      <c r="M940" s="308"/>
      <c r="N940" s="290"/>
      <c r="O940" s="290"/>
      <c r="P940" s="290"/>
      <c r="Q940" s="290"/>
      <c r="R940" s="290"/>
      <c r="S940" s="290"/>
      <c r="T940" s="290"/>
      <c r="U940" s="294"/>
      <c r="V940" s="290"/>
      <c r="W940" s="290"/>
      <c r="X940" s="291"/>
      <c r="Y940" s="295"/>
      <c r="Z940" s="295"/>
      <c r="AA940" s="296"/>
      <c r="AB940" s="296"/>
      <c r="AC940" s="291"/>
      <c r="AD940" s="291"/>
      <c r="AE940" s="291"/>
      <c r="AF940" s="291"/>
      <c r="AG940" s="291"/>
      <c r="AH940" s="291"/>
      <c r="AI940" s="291"/>
      <c r="AJ940" s="291"/>
      <c r="AK940" s="290"/>
      <c r="AL940" s="290"/>
      <c r="AM940" s="290"/>
      <c r="AN940" s="290"/>
      <c r="AO940" s="290"/>
      <c r="AP940" s="290"/>
      <c r="AQ940" s="290"/>
      <c r="AR940" s="290"/>
      <c r="AS940" s="290"/>
      <c r="AT940" s="290"/>
      <c r="AU940" s="290"/>
      <c r="AV940" s="290"/>
      <c r="AW940" s="290"/>
      <c r="AX940" s="290"/>
      <c r="AY940" s="290"/>
      <c r="AZ940" s="290"/>
      <c r="BA940" s="290"/>
      <c r="BG940" s="307"/>
      <c r="BH940" s="307"/>
      <c r="BI940" s="307"/>
      <c r="BK940" s="300"/>
    </row>
    <row r="941" spans="1:63" s="298" customFormat="1" ht="15" hidden="1" x14ac:dyDescent="0.25">
      <c r="A941" s="290"/>
      <c r="B941" s="291"/>
      <c r="C941" s="290"/>
      <c r="D941" s="290"/>
      <c r="E941" s="290"/>
      <c r="F941" s="290"/>
      <c r="G941" s="290"/>
      <c r="H941" s="316"/>
      <c r="I941" s="290"/>
      <c r="J941" s="290"/>
      <c r="K941" s="290"/>
      <c r="L941" s="290"/>
      <c r="M941" s="308"/>
      <c r="N941" s="290"/>
      <c r="O941" s="290"/>
      <c r="P941" s="290"/>
      <c r="Q941" s="290"/>
      <c r="R941" s="290"/>
      <c r="S941" s="290"/>
      <c r="T941" s="290"/>
      <c r="U941" s="294"/>
      <c r="V941" s="290"/>
      <c r="W941" s="290"/>
      <c r="X941" s="291"/>
      <c r="Y941" s="295"/>
      <c r="Z941" s="295"/>
      <c r="AA941" s="296"/>
      <c r="AB941" s="296"/>
      <c r="AC941" s="291"/>
      <c r="AD941" s="291"/>
      <c r="AE941" s="291"/>
      <c r="AF941" s="291"/>
      <c r="AG941" s="291"/>
      <c r="AH941" s="291"/>
      <c r="AI941" s="291"/>
      <c r="AJ941" s="291"/>
      <c r="AK941" s="290"/>
      <c r="AL941" s="290"/>
      <c r="AM941" s="290"/>
      <c r="AN941" s="290"/>
      <c r="AO941" s="290"/>
      <c r="AP941" s="290"/>
      <c r="AQ941" s="290"/>
      <c r="AR941" s="290"/>
      <c r="AS941" s="290"/>
      <c r="AT941" s="290"/>
      <c r="AU941" s="290"/>
      <c r="AV941" s="290"/>
      <c r="AW941" s="290"/>
      <c r="AX941" s="290"/>
      <c r="AY941" s="290"/>
      <c r="AZ941" s="290"/>
      <c r="BA941" s="290"/>
      <c r="BG941" s="307"/>
      <c r="BH941" s="307"/>
      <c r="BI941" s="307"/>
      <c r="BK941" s="300"/>
    </row>
    <row r="942" spans="1:63" s="298" customFormat="1" ht="15" hidden="1" x14ac:dyDescent="0.25">
      <c r="A942" s="290"/>
      <c r="B942" s="291"/>
      <c r="C942" s="290"/>
      <c r="D942" s="290"/>
      <c r="E942" s="290"/>
      <c r="F942" s="290"/>
      <c r="G942" s="290"/>
      <c r="H942" s="316"/>
      <c r="I942" s="290"/>
      <c r="J942" s="290"/>
      <c r="K942" s="290"/>
      <c r="L942" s="290"/>
      <c r="M942" s="308"/>
      <c r="N942" s="290"/>
      <c r="O942" s="290"/>
      <c r="P942" s="290"/>
      <c r="Q942" s="290"/>
      <c r="R942" s="290"/>
      <c r="S942" s="290"/>
      <c r="T942" s="290"/>
      <c r="U942" s="294"/>
      <c r="V942" s="290"/>
      <c r="W942" s="290"/>
      <c r="X942" s="291"/>
      <c r="Y942" s="295"/>
      <c r="Z942" s="295"/>
      <c r="AA942" s="296"/>
      <c r="AB942" s="296"/>
      <c r="AC942" s="291"/>
      <c r="AD942" s="291"/>
      <c r="AE942" s="291"/>
      <c r="AF942" s="291"/>
      <c r="AG942" s="291"/>
      <c r="AH942" s="291"/>
      <c r="AI942" s="291"/>
      <c r="AJ942" s="291"/>
      <c r="AK942" s="290"/>
      <c r="AL942" s="290"/>
      <c r="AM942" s="290"/>
      <c r="AN942" s="290"/>
      <c r="AO942" s="290"/>
      <c r="AP942" s="290"/>
      <c r="AQ942" s="290"/>
      <c r="AR942" s="290"/>
      <c r="AS942" s="290"/>
      <c r="AT942" s="290"/>
      <c r="AU942" s="290"/>
      <c r="AV942" s="290"/>
      <c r="AW942" s="290"/>
      <c r="AX942" s="290"/>
      <c r="AY942" s="290"/>
      <c r="AZ942" s="290"/>
      <c r="BA942" s="290"/>
      <c r="BG942" s="307"/>
      <c r="BH942" s="307"/>
      <c r="BI942" s="307"/>
      <c r="BK942" s="300"/>
    </row>
    <row r="943" spans="1:63" s="298" customFormat="1" ht="15" hidden="1" x14ac:dyDescent="0.25">
      <c r="A943" s="290"/>
      <c r="B943" s="291"/>
      <c r="C943" s="290"/>
      <c r="D943" s="290"/>
      <c r="E943" s="290"/>
      <c r="F943" s="290"/>
      <c r="G943" s="290"/>
      <c r="H943" s="316"/>
      <c r="I943" s="290"/>
      <c r="J943" s="290"/>
      <c r="K943" s="290"/>
      <c r="L943" s="290"/>
      <c r="M943" s="308"/>
      <c r="N943" s="290"/>
      <c r="O943" s="290"/>
      <c r="P943" s="290"/>
      <c r="Q943" s="290"/>
      <c r="R943" s="290"/>
      <c r="S943" s="290"/>
      <c r="T943" s="290"/>
      <c r="U943" s="294"/>
      <c r="V943" s="290"/>
      <c r="W943" s="290"/>
      <c r="X943" s="291"/>
      <c r="Y943" s="295"/>
      <c r="Z943" s="295"/>
      <c r="AA943" s="296"/>
      <c r="AB943" s="296"/>
      <c r="AC943" s="291"/>
      <c r="AD943" s="291"/>
      <c r="AE943" s="291"/>
      <c r="AF943" s="291"/>
      <c r="AG943" s="291"/>
      <c r="AH943" s="291"/>
      <c r="AI943" s="291"/>
      <c r="AJ943" s="291"/>
      <c r="AK943" s="290"/>
      <c r="AL943" s="290"/>
      <c r="AM943" s="290"/>
      <c r="AN943" s="290"/>
      <c r="AO943" s="290"/>
      <c r="AP943" s="290"/>
      <c r="AQ943" s="290"/>
      <c r="AR943" s="290"/>
      <c r="AS943" s="290"/>
      <c r="AT943" s="290"/>
      <c r="AU943" s="290"/>
      <c r="AV943" s="290"/>
      <c r="AW943" s="290"/>
      <c r="AX943" s="290"/>
      <c r="AY943" s="290"/>
      <c r="AZ943" s="290"/>
      <c r="BA943" s="290"/>
      <c r="BG943" s="307"/>
      <c r="BH943" s="307"/>
      <c r="BI943" s="307"/>
      <c r="BK943" s="300"/>
    </row>
    <row r="944" spans="1:63" s="298" customFormat="1" ht="15" hidden="1" x14ac:dyDescent="0.25">
      <c r="A944" s="290"/>
      <c r="B944" s="291"/>
      <c r="C944" s="290"/>
      <c r="D944" s="290"/>
      <c r="E944" s="290"/>
      <c r="F944" s="290"/>
      <c r="G944" s="290"/>
      <c r="H944" s="316"/>
      <c r="I944" s="290"/>
      <c r="J944" s="290"/>
      <c r="K944" s="290"/>
      <c r="L944" s="290"/>
      <c r="M944" s="308"/>
      <c r="N944" s="290"/>
      <c r="O944" s="290"/>
      <c r="P944" s="290"/>
      <c r="Q944" s="290"/>
      <c r="R944" s="290"/>
      <c r="S944" s="290"/>
      <c r="T944" s="290"/>
      <c r="U944" s="294"/>
      <c r="V944" s="290"/>
      <c r="W944" s="290"/>
      <c r="X944" s="291"/>
      <c r="Y944" s="295"/>
      <c r="Z944" s="295"/>
      <c r="AA944" s="296"/>
      <c r="AB944" s="296"/>
      <c r="AC944" s="291"/>
      <c r="AD944" s="291"/>
      <c r="AE944" s="291"/>
      <c r="AF944" s="291"/>
      <c r="AG944" s="291"/>
      <c r="AH944" s="291"/>
      <c r="AI944" s="291"/>
      <c r="AJ944" s="291"/>
      <c r="AK944" s="290"/>
      <c r="AL944" s="290"/>
      <c r="AM944" s="290"/>
      <c r="AN944" s="290"/>
      <c r="AO944" s="290"/>
      <c r="AP944" s="290"/>
      <c r="AQ944" s="290"/>
      <c r="AR944" s="290"/>
      <c r="AS944" s="290"/>
      <c r="AT944" s="290"/>
      <c r="AU944" s="290"/>
      <c r="AV944" s="290"/>
      <c r="AW944" s="290"/>
      <c r="AX944" s="290"/>
      <c r="AY944" s="290"/>
      <c r="AZ944" s="290"/>
      <c r="BA944" s="290"/>
      <c r="BG944" s="307"/>
      <c r="BH944" s="307"/>
      <c r="BI944" s="307"/>
      <c r="BK944" s="300"/>
    </row>
    <row r="945" spans="1:63" s="298" customFormat="1" ht="15" hidden="1" x14ac:dyDescent="0.25">
      <c r="A945" s="290"/>
      <c r="B945" s="291"/>
      <c r="C945" s="290"/>
      <c r="D945" s="290"/>
      <c r="E945" s="290"/>
      <c r="F945" s="290"/>
      <c r="G945" s="290"/>
      <c r="H945" s="316"/>
      <c r="I945" s="290"/>
      <c r="J945" s="290"/>
      <c r="K945" s="290"/>
      <c r="L945" s="290"/>
      <c r="M945" s="308"/>
      <c r="N945" s="290"/>
      <c r="O945" s="290"/>
      <c r="P945" s="290"/>
      <c r="Q945" s="290"/>
      <c r="R945" s="290"/>
      <c r="S945" s="290"/>
      <c r="T945" s="290"/>
      <c r="U945" s="294"/>
      <c r="V945" s="290"/>
      <c r="W945" s="290"/>
      <c r="X945" s="291"/>
      <c r="Y945" s="295"/>
      <c r="Z945" s="295"/>
      <c r="AA945" s="296"/>
      <c r="AB945" s="296"/>
      <c r="AC945" s="291"/>
      <c r="AD945" s="291"/>
      <c r="AE945" s="291"/>
      <c r="AF945" s="291"/>
      <c r="AG945" s="291"/>
      <c r="AH945" s="291"/>
      <c r="AI945" s="291"/>
      <c r="AJ945" s="291"/>
      <c r="AK945" s="290"/>
      <c r="AL945" s="290"/>
      <c r="AM945" s="290"/>
      <c r="AN945" s="290"/>
      <c r="AO945" s="290"/>
      <c r="AP945" s="290"/>
      <c r="AQ945" s="290"/>
      <c r="AR945" s="290"/>
      <c r="AS945" s="290"/>
      <c r="AT945" s="290"/>
      <c r="AU945" s="290"/>
      <c r="AV945" s="290"/>
      <c r="AW945" s="290"/>
      <c r="AX945" s="290"/>
      <c r="AY945" s="290"/>
      <c r="AZ945" s="290"/>
      <c r="BA945" s="290"/>
      <c r="BG945" s="307"/>
      <c r="BH945" s="307"/>
      <c r="BI945" s="307"/>
      <c r="BK945" s="300"/>
    </row>
    <row r="946" spans="1:63" s="298" customFormat="1" ht="15" hidden="1" x14ac:dyDescent="0.25">
      <c r="A946" s="290"/>
      <c r="B946" s="291"/>
      <c r="C946" s="290"/>
      <c r="D946" s="290"/>
      <c r="E946" s="290"/>
      <c r="F946" s="290"/>
      <c r="G946" s="290"/>
      <c r="H946" s="316"/>
      <c r="I946" s="290"/>
      <c r="J946" s="290"/>
      <c r="K946" s="290"/>
      <c r="L946" s="290"/>
      <c r="M946" s="308"/>
      <c r="N946" s="290"/>
      <c r="O946" s="290"/>
      <c r="P946" s="290"/>
      <c r="Q946" s="290"/>
      <c r="R946" s="290"/>
      <c r="S946" s="290"/>
      <c r="T946" s="290"/>
      <c r="U946" s="294"/>
      <c r="V946" s="290"/>
      <c r="W946" s="290"/>
      <c r="X946" s="291"/>
      <c r="Y946" s="295"/>
      <c r="Z946" s="295"/>
      <c r="AA946" s="296"/>
      <c r="AB946" s="296"/>
      <c r="AC946" s="291"/>
      <c r="AD946" s="291"/>
      <c r="AE946" s="291"/>
      <c r="AF946" s="291"/>
      <c r="AG946" s="291"/>
      <c r="AH946" s="291"/>
      <c r="AI946" s="291"/>
      <c r="AJ946" s="291"/>
      <c r="AK946" s="290"/>
      <c r="AL946" s="290"/>
      <c r="AM946" s="290"/>
      <c r="AN946" s="290"/>
      <c r="AO946" s="290"/>
      <c r="AP946" s="290"/>
      <c r="AQ946" s="290"/>
      <c r="AR946" s="290"/>
      <c r="AS946" s="290"/>
      <c r="AT946" s="290"/>
      <c r="AU946" s="290"/>
      <c r="AV946" s="290"/>
      <c r="AW946" s="290"/>
      <c r="AX946" s="290"/>
      <c r="AY946" s="290"/>
      <c r="AZ946" s="290"/>
      <c r="BA946" s="290"/>
      <c r="BG946" s="307"/>
      <c r="BH946" s="307"/>
      <c r="BI946" s="307"/>
      <c r="BK946" s="300"/>
    </row>
    <row r="947" spans="1:63" s="298" customFormat="1" ht="15" hidden="1" x14ac:dyDescent="0.25">
      <c r="A947" s="290"/>
      <c r="B947" s="291"/>
      <c r="C947" s="290"/>
      <c r="D947" s="290"/>
      <c r="E947" s="290"/>
      <c r="F947" s="290"/>
      <c r="G947" s="290"/>
      <c r="H947" s="316"/>
      <c r="I947" s="290"/>
      <c r="J947" s="290"/>
      <c r="K947" s="290"/>
      <c r="L947" s="290"/>
      <c r="M947" s="308"/>
      <c r="N947" s="290"/>
      <c r="O947" s="290"/>
      <c r="P947" s="290"/>
      <c r="Q947" s="290"/>
      <c r="R947" s="290"/>
      <c r="S947" s="290"/>
      <c r="T947" s="290"/>
      <c r="U947" s="294"/>
      <c r="V947" s="290"/>
      <c r="W947" s="290"/>
      <c r="X947" s="291"/>
      <c r="Y947" s="295"/>
      <c r="Z947" s="295"/>
      <c r="AA947" s="296"/>
      <c r="AB947" s="296"/>
      <c r="AC947" s="291"/>
      <c r="AD947" s="291"/>
      <c r="AE947" s="291"/>
      <c r="AF947" s="291"/>
      <c r="AG947" s="291"/>
      <c r="AH947" s="291"/>
      <c r="AI947" s="291"/>
      <c r="AJ947" s="291"/>
      <c r="AK947" s="290"/>
      <c r="AL947" s="290"/>
      <c r="AM947" s="290"/>
      <c r="AN947" s="290"/>
      <c r="AO947" s="290"/>
      <c r="AP947" s="290"/>
      <c r="AQ947" s="290"/>
      <c r="AR947" s="290"/>
      <c r="AS947" s="290"/>
      <c r="AT947" s="290"/>
      <c r="AU947" s="290"/>
      <c r="AV947" s="290"/>
      <c r="AW947" s="290"/>
      <c r="AX947" s="290"/>
      <c r="AY947" s="290"/>
      <c r="AZ947" s="290"/>
      <c r="BA947" s="290"/>
      <c r="BG947" s="307"/>
      <c r="BH947" s="307"/>
      <c r="BI947" s="307"/>
      <c r="BK947" s="300"/>
    </row>
    <row r="948" spans="1:63" s="298" customFormat="1" ht="15" hidden="1" x14ac:dyDescent="0.25">
      <c r="A948" s="290"/>
      <c r="B948" s="291"/>
      <c r="C948" s="290"/>
      <c r="D948" s="290"/>
      <c r="E948" s="290"/>
      <c r="F948" s="290"/>
      <c r="G948" s="290"/>
      <c r="H948" s="316"/>
      <c r="I948" s="290"/>
      <c r="J948" s="290"/>
      <c r="K948" s="290"/>
      <c r="L948" s="290"/>
      <c r="M948" s="308"/>
      <c r="N948" s="290"/>
      <c r="O948" s="290"/>
      <c r="P948" s="290"/>
      <c r="Q948" s="290"/>
      <c r="R948" s="290"/>
      <c r="S948" s="290"/>
      <c r="T948" s="290"/>
      <c r="U948" s="294"/>
      <c r="V948" s="290"/>
      <c r="W948" s="290"/>
      <c r="X948" s="291"/>
      <c r="Y948" s="295"/>
      <c r="Z948" s="295"/>
      <c r="AA948" s="296"/>
      <c r="AB948" s="296"/>
      <c r="AC948" s="291"/>
      <c r="AD948" s="291"/>
      <c r="AE948" s="291"/>
      <c r="AF948" s="291"/>
      <c r="AG948" s="291"/>
      <c r="AH948" s="291"/>
      <c r="AI948" s="291"/>
      <c r="AJ948" s="291"/>
      <c r="AK948" s="290"/>
      <c r="AL948" s="290"/>
      <c r="AM948" s="290"/>
      <c r="AN948" s="290"/>
      <c r="AO948" s="290"/>
      <c r="AP948" s="290"/>
      <c r="AQ948" s="290"/>
      <c r="AR948" s="290"/>
      <c r="AS948" s="290"/>
      <c r="AT948" s="290"/>
      <c r="AU948" s="290"/>
      <c r="AV948" s="290"/>
      <c r="AW948" s="290"/>
      <c r="AX948" s="290"/>
      <c r="AY948" s="290"/>
      <c r="AZ948" s="290"/>
      <c r="BA948" s="290"/>
      <c r="BG948" s="307"/>
      <c r="BH948" s="307"/>
      <c r="BI948" s="307"/>
      <c r="BK948" s="300"/>
    </row>
    <row r="949" spans="1:63" s="298" customFormat="1" ht="15" hidden="1" x14ac:dyDescent="0.25">
      <c r="A949" s="290"/>
      <c r="B949" s="291"/>
      <c r="C949" s="290"/>
      <c r="D949" s="290"/>
      <c r="E949" s="290"/>
      <c r="F949" s="290"/>
      <c r="G949" s="290"/>
      <c r="H949" s="316"/>
      <c r="I949" s="290"/>
      <c r="J949" s="290"/>
      <c r="K949" s="290"/>
      <c r="L949" s="290"/>
      <c r="M949" s="308"/>
      <c r="N949" s="290"/>
      <c r="O949" s="290"/>
      <c r="P949" s="290"/>
      <c r="Q949" s="290"/>
      <c r="R949" s="290"/>
      <c r="S949" s="290"/>
      <c r="T949" s="290"/>
      <c r="U949" s="294"/>
      <c r="V949" s="290"/>
      <c r="W949" s="290"/>
      <c r="X949" s="291"/>
      <c r="Y949" s="295"/>
      <c r="Z949" s="295"/>
      <c r="AA949" s="296"/>
      <c r="AB949" s="296"/>
      <c r="AC949" s="291"/>
      <c r="AD949" s="291"/>
      <c r="AE949" s="291"/>
      <c r="AF949" s="291"/>
      <c r="AG949" s="291"/>
      <c r="AH949" s="291"/>
      <c r="AI949" s="291"/>
      <c r="AJ949" s="291"/>
      <c r="AK949" s="290"/>
      <c r="AL949" s="290"/>
      <c r="AM949" s="290"/>
      <c r="AN949" s="290"/>
      <c r="AO949" s="290"/>
      <c r="AP949" s="290"/>
      <c r="AQ949" s="290"/>
      <c r="AR949" s="290"/>
      <c r="AS949" s="290"/>
      <c r="AT949" s="290"/>
      <c r="AU949" s="290"/>
      <c r="AV949" s="290"/>
      <c r="AW949" s="290"/>
      <c r="AX949" s="290"/>
      <c r="AY949" s="290"/>
      <c r="AZ949" s="290"/>
      <c r="BA949" s="290"/>
      <c r="BG949" s="307"/>
      <c r="BH949" s="307"/>
      <c r="BI949" s="307"/>
      <c r="BK949" s="300"/>
    </row>
    <row r="950" spans="1:63" s="298" customFormat="1" ht="15" hidden="1" x14ac:dyDescent="0.25">
      <c r="A950" s="290"/>
      <c r="B950" s="291"/>
      <c r="C950" s="290"/>
      <c r="D950" s="290"/>
      <c r="E950" s="290"/>
      <c r="F950" s="290"/>
      <c r="G950" s="290"/>
      <c r="H950" s="316"/>
      <c r="I950" s="290"/>
      <c r="J950" s="290"/>
      <c r="K950" s="290"/>
      <c r="L950" s="290"/>
      <c r="M950" s="308"/>
      <c r="N950" s="290"/>
      <c r="O950" s="290"/>
      <c r="P950" s="290"/>
      <c r="Q950" s="290"/>
      <c r="R950" s="290"/>
      <c r="S950" s="290"/>
      <c r="T950" s="290"/>
      <c r="U950" s="294"/>
      <c r="V950" s="290"/>
      <c r="W950" s="290"/>
      <c r="X950" s="291"/>
      <c r="Y950" s="295"/>
      <c r="Z950" s="295"/>
      <c r="AA950" s="296"/>
      <c r="AB950" s="296"/>
      <c r="AC950" s="291"/>
      <c r="AD950" s="291"/>
      <c r="AE950" s="291"/>
      <c r="AF950" s="291"/>
      <c r="AG950" s="291"/>
      <c r="AH950" s="291"/>
      <c r="AI950" s="291"/>
      <c r="AJ950" s="291"/>
      <c r="AK950" s="290"/>
      <c r="AL950" s="290"/>
      <c r="AM950" s="290"/>
      <c r="AN950" s="290"/>
      <c r="AO950" s="290"/>
      <c r="AP950" s="290"/>
      <c r="AQ950" s="290"/>
      <c r="AR950" s="290"/>
      <c r="AS950" s="290"/>
      <c r="AT950" s="290"/>
      <c r="AU950" s="290"/>
      <c r="AV950" s="290"/>
      <c r="AW950" s="290"/>
      <c r="AX950" s="290"/>
      <c r="AY950" s="290"/>
      <c r="AZ950" s="290"/>
      <c r="BA950" s="290"/>
      <c r="BG950" s="307"/>
      <c r="BH950" s="307"/>
      <c r="BI950" s="307"/>
      <c r="BK950" s="300"/>
    </row>
    <row r="951" spans="1:63" s="298" customFormat="1" ht="15" hidden="1" x14ac:dyDescent="0.25">
      <c r="A951" s="290"/>
      <c r="B951" s="291"/>
      <c r="C951" s="290"/>
      <c r="D951" s="290"/>
      <c r="E951" s="290"/>
      <c r="F951" s="290"/>
      <c r="G951" s="290"/>
      <c r="H951" s="316"/>
      <c r="I951" s="290"/>
      <c r="J951" s="290"/>
      <c r="K951" s="290"/>
      <c r="L951" s="290"/>
      <c r="M951" s="308"/>
      <c r="N951" s="290"/>
      <c r="O951" s="290"/>
      <c r="P951" s="290"/>
      <c r="Q951" s="290"/>
      <c r="R951" s="290"/>
      <c r="S951" s="290"/>
      <c r="T951" s="290"/>
      <c r="U951" s="294"/>
      <c r="V951" s="290"/>
      <c r="W951" s="290"/>
      <c r="X951" s="291"/>
      <c r="Y951" s="295"/>
      <c r="Z951" s="295"/>
      <c r="AA951" s="296"/>
      <c r="AB951" s="296"/>
      <c r="AC951" s="291"/>
      <c r="AD951" s="291"/>
      <c r="AE951" s="291"/>
      <c r="AF951" s="291"/>
      <c r="AG951" s="291"/>
      <c r="AH951" s="291"/>
      <c r="AI951" s="291"/>
      <c r="AJ951" s="291"/>
      <c r="AK951" s="290"/>
      <c r="AL951" s="290"/>
      <c r="AM951" s="290"/>
      <c r="AN951" s="290"/>
      <c r="AO951" s="290"/>
      <c r="AP951" s="290"/>
      <c r="AQ951" s="290"/>
      <c r="AR951" s="290"/>
      <c r="AS951" s="290"/>
      <c r="AT951" s="290"/>
      <c r="AU951" s="290"/>
      <c r="AV951" s="290"/>
      <c r="AW951" s="290"/>
      <c r="AX951" s="290"/>
      <c r="AY951" s="290"/>
      <c r="AZ951" s="290"/>
      <c r="BA951" s="290"/>
      <c r="BG951" s="307"/>
      <c r="BH951" s="307"/>
      <c r="BI951" s="307"/>
      <c r="BK951" s="300"/>
    </row>
    <row r="952" spans="1:63" s="298" customFormat="1" ht="15" hidden="1" x14ac:dyDescent="0.25">
      <c r="A952" s="290"/>
      <c r="B952" s="291"/>
      <c r="C952" s="290"/>
      <c r="D952" s="290"/>
      <c r="E952" s="290"/>
      <c r="F952" s="290"/>
      <c r="G952" s="290"/>
      <c r="H952" s="316"/>
      <c r="I952" s="290"/>
      <c r="J952" s="290"/>
      <c r="K952" s="290"/>
      <c r="L952" s="290"/>
      <c r="M952" s="308"/>
      <c r="N952" s="290"/>
      <c r="O952" s="290"/>
      <c r="P952" s="290"/>
      <c r="Q952" s="290"/>
      <c r="R952" s="290"/>
      <c r="S952" s="290"/>
      <c r="T952" s="290"/>
      <c r="U952" s="294"/>
      <c r="V952" s="290"/>
      <c r="W952" s="290"/>
      <c r="X952" s="291"/>
      <c r="Y952" s="295"/>
      <c r="Z952" s="295"/>
      <c r="AA952" s="296"/>
      <c r="AB952" s="296"/>
      <c r="AC952" s="291"/>
      <c r="AD952" s="291"/>
      <c r="AE952" s="291"/>
      <c r="AF952" s="291"/>
      <c r="AG952" s="291"/>
      <c r="AH952" s="291"/>
      <c r="AI952" s="291"/>
      <c r="AJ952" s="291"/>
      <c r="AK952" s="290"/>
      <c r="AL952" s="290"/>
      <c r="AM952" s="290"/>
      <c r="AN952" s="290"/>
      <c r="AO952" s="290"/>
      <c r="AP952" s="290"/>
      <c r="AQ952" s="290"/>
      <c r="AR952" s="290"/>
      <c r="AS952" s="290"/>
      <c r="AT952" s="290"/>
      <c r="AU952" s="290"/>
      <c r="AV952" s="290"/>
      <c r="AW952" s="290"/>
      <c r="AX952" s="290"/>
      <c r="AY952" s="290"/>
      <c r="AZ952" s="290"/>
      <c r="BA952" s="290"/>
      <c r="BG952" s="307"/>
      <c r="BH952" s="307"/>
      <c r="BI952" s="307"/>
      <c r="BK952" s="300"/>
    </row>
    <row r="953" spans="1:63" s="298" customFormat="1" ht="15" hidden="1" x14ac:dyDescent="0.25">
      <c r="A953" s="290"/>
      <c r="B953" s="291"/>
      <c r="C953" s="290"/>
      <c r="D953" s="290"/>
      <c r="E953" s="290"/>
      <c r="F953" s="290"/>
      <c r="G953" s="290"/>
      <c r="H953" s="316"/>
      <c r="I953" s="290"/>
      <c r="J953" s="290"/>
      <c r="K953" s="290"/>
      <c r="L953" s="290"/>
      <c r="M953" s="308"/>
      <c r="N953" s="290"/>
      <c r="O953" s="290"/>
      <c r="P953" s="290"/>
      <c r="Q953" s="290"/>
      <c r="R953" s="290"/>
      <c r="S953" s="290"/>
      <c r="T953" s="290"/>
      <c r="U953" s="294"/>
      <c r="V953" s="290"/>
      <c r="W953" s="290"/>
      <c r="X953" s="291"/>
      <c r="Y953" s="295"/>
      <c r="Z953" s="295"/>
      <c r="AA953" s="296"/>
      <c r="AB953" s="296"/>
      <c r="AC953" s="291"/>
      <c r="AD953" s="291"/>
      <c r="AE953" s="291"/>
      <c r="AF953" s="291"/>
      <c r="AG953" s="291"/>
      <c r="AH953" s="291"/>
      <c r="AI953" s="291"/>
      <c r="AJ953" s="291"/>
      <c r="AK953" s="290"/>
      <c r="AL953" s="290"/>
      <c r="AM953" s="290"/>
      <c r="AN953" s="290"/>
      <c r="AO953" s="290"/>
      <c r="AP953" s="290"/>
      <c r="AQ953" s="290"/>
      <c r="AR953" s="290"/>
      <c r="AS953" s="290"/>
      <c r="AT953" s="290"/>
      <c r="AU953" s="290"/>
      <c r="AV953" s="290"/>
      <c r="AW953" s="290"/>
      <c r="AX953" s="290"/>
      <c r="AY953" s="290"/>
      <c r="AZ953" s="290"/>
      <c r="BA953" s="290"/>
      <c r="BG953" s="307"/>
      <c r="BH953" s="307"/>
      <c r="BI953" s="307"/>
      <c r="BK953" s="300"/>
    </row>
    <row r="954" spans="1:63" s="298" customFormat="1" ht="15" hidden="1" x14ac:dyDescent="0.25">
      <c r="A954" s="290"/>
      <c r="B954" s="291"/>
      <c r="C954" s="290"/>
      <c r="D954" s="290"/>
      <c r="E954" s="290"/>
      <c r="F954" s="290"/>
      <c r="G954" s="290"/>
      <c r="H954" s="316"/>
      <c r="I954" s="290"/>
      <c r="J954" s="290"/>
      <c r="K954" s="290"/>
      <c r="L954" s="290"/>
      <c r="M954" s="308"/>
      <c r="N954" s="290"/>
      <c r="O954" s="290"/>
      <c r="P954" s="290"/>
      <c r="Q954" s="290"/>
      <c r="R954" s="290"/>
      <c r="S954" s="290"/>
      <c r="T954" s="290"/>
      <c r="U954" s="294"/>
      <c r="V954" s="290"/>
      <c r="W954" s="290"/>
      <c r="X954" s="291"/>
      <c r="Y954" s="295"/>
      <c r="Z954" s="295"/>
      <c r="AA954" s="296"/>
      <c r="AB954" s="296"/>
      <c r="AC954" s="291"/>
      <c r="AD954" s="291"/>
      <c r="AE954" s="291"/>
      <c r="AF954" s="291"/>
      <c r="AG954" s="291"/>
      <c r="AH954" s="291"/>
      <c r="AI954" s="291"/>
      <c r="AJ954" s="291"/>
      <c r="AK954" s="290"/>
      <c r="AL954" s="290"/>
      <c r="AM954" s="290"/>
      <c r="AN954" s="290"/>
      <c r="AO954" s="290"/>
      <c r="AP954" s="290"/>
      <c r="AQ954" s="290"/>
      <c r="AR954" s="290"/>
      <c r="AS954" s="290"/>
      <c r="AT954" s="290"/>
      <c r="AU954" s="290"/>
      <c r="AV954" s="290"/>
      <c r="AW954" s="290"/>
      <c r="AX954" s="290"/>
      <c r="AY954" s="290"/>
      <c r="AZ954" s="290"/>
      <c r="BA954" s="290"/>
      <c r="BG954" s="307"/>
      <c r="BH954" s="307"/>
      <c r="BI954" s="307"/>
      <c r="BK954" s="300"/>
    </row>
    <row r="955" spans="1:63" s="298" customFormat="1" ht="15" hidden="1" x14ac:dyDescent="0.25">
      <c r="A955" s="290"/>
      <c r="B955" s="291"/>
      <c r="C955" s="290"/>
      <c r="D955" s="290"/>
      <c r="E955" s="290"/>
      <c r="F955" s="290"/>
      <c r="G955" s="290"/>
      <c r="H955" s="316"/>
      <c r="I955" s="290"/>
      <c r="J955" s="290"/>
      <c r="K955" s="290"/>
      <c r="L955" s="290"/>
      <c r="M955" s="308"/>
      <c r="N955" s="290"/>
      <c r="O955" s="290"/>
      <c r="P955" s="290"/>
      <c r="Q955" s="290"/>
      <c r="R955" s="290"/>
      <c r="S955" s="290"/>
      <c r="T955" s="290"/>
      <c r="U955" s="294"/>
      <c r="V955" s="290"/>
      <c r="W955" s="290"/>
      <c r="X955" s="291"/>
      <c r="Y955" s="295"/>
      <c r="Z955" s="295"/>
      <c r="AA955" s="296"/>
      <c r="AB955" s="296"/>
      <c r="AC955" s="291"/>
      <c r="AD955" s="291"/>
      <c r="AE955" s="291"/>
      <c r="AF955" s="291"/>
      <c r="AG955" s="291"/>
      <c r="AH955" s="291"/>
      <c r="AI955" s="291"/>
      <c r="AJ955" s="291"/>
      <c r="AK955" s="290"/>
      <c r="AL955" s="290"/>
      <c r="AM955" s="290"/>
      <c r="AN955" s="290"/>
      <c r="AO955" s="290"/>
      <c r="AP955" s="290"/>
      <c r="AQ955" s="290"/>
      <c r="AR955" s="290"/>
      <c r="AS955" s="290"/>
      <c r="AT955" s="290"/>
      <c r="AU955" s="290"/>
      <c r="AV955" s="290"/>
      <c r="AW955" s="290"/>
      <c r="AX955" s="290"/>
      <c r="AY955" s="290"/>
      <c r="AZ955" s="290"/>
      <c r="BA955" s="290"/>
      <c r="BG955" s="307"/>
      <c r="BH955" s="307"/>
      <c r="BI955" s="307"/>
      <c r="BK955" s="300"/>
    </row>
    <row r="956" spans="1:63" s="298" customFormat="1" hidden="1" x14ac:dyDescent="0.25">
      <c r="A956" s="290"/>
      <c r="B956" s="291"/>
      <c r="C956" s="290"/>
      <c r="D956" s="290"/>
      <c r="E956" s="290"/>
      <c r="F956" s="290"/>
      <c r="G956" s="290"/>
      <c r="H956" s="290"/>
      <c r="I956" s="290"/>
      <c r="J956" s="290"/>
      <c r="K956" s="290"/>
      <c r="L956" s="290"/>
      <c r="M956" s="308"/>
      <c r="N956" s="290"/>
      <c r="O956" s="290"/>
      <c r="P956" s="290"/>
      <c r="Q956" s="290"/>
      <c r="R956" s="290"/>
      <c r="S956" s="290"/>
      <c r="T956" s="290"/>
      <c r="U956" s="294"/>
      <c r="V956" s="290"/>
      <c r="W956" s="290"/>
      <c r="X956" s="291"/>
      <c r="Y956" s="295"/>
      <c r="Z956" s="295"/>
      <c r="AA956" s="296"/>
      <c r="AB956" s="296"/>
      <c r="AC956" s="291"/>
      <c r="AD956" s="291"/>
      <c r="AE956" s="291"/>
      <c r="AF956" s="291"/>
      <c r="AG956" s="291"/>
      <c r="AH956" s="291"/>
      <c r="AI956" s="291"/>
      <c r="AJ956" s="291"/>
      <c r="AK956" s="290"/>
      <c r="AL956" s="290"/>
      <c r="AM956" s="290"/>
      <c r="AN956" s="290"/>
      <c r="AO956" s="290"/>
      <c r="AP956" s="290"/>
      <c r="AQ956" s="290"/>
      <c r="AR956" s="290"/>
      <c r="AS956" s="290"/>
      <c r="AT956" s="290"/>
      <c r="AU956" s="290"/>
      <c r="AV956" s="290"/>
      <c r="AW956" s="290"/>
      <c r="AX956" s="290"/>
      <c r="AY956" s="290"/>
      <c r="AZ956" s="290"/>
      <c r="BA956" s="290"/>
      <c r="BG956" s="307"/>
      <c r="BH956" s="307"/>
      <c r="BI956" s="307"/>
      <c r="BK956" s="300"/>
    </row>
    <row r="957" spans="1:63" s="298" customFormat="1" hidden="1" x14ac:dyDescent="0.25">
      <c r="A957" s="290"/>
      <c r="B957" s="291"/>
      <c r="C957" s="290"/>
      <c r="D957" s="290"/>
      <c r="E957" s="290"/>
      <c r="F957" s="290"/>
      <c r="G957" s="290"/>
      <c r="H957" s="290"/>
      <c r="I957" s="290"/>
      <c r="J957" s="290"/>
      <c r="K957" s="290"/>
      <c r="L957" s="290"/>
      <c r="M957" s="308"/>
      <c r="N957" s="290"/>
      <c r="O957" s="290"/>
      <c r="P957" s="290"/>
      <c r="Q957" s="290"/>
      <c r="R957" s="290"/>
      <c r="S957" s="290"/>
      <c r="T957" s="290"/>
      <c r="U957" s="294"/>
      <c r="V957" s="290"/>
      <c r="W957" s="290"/>
      <c r="X957" s="291"/>
      <c r="Y957" s="295"/>
      <c r="Z957" s="295"/>
      <c r="AA957" s="296"/>
      <c r="AB957" s="296"/>
      <c r="AC957" s="291"/>
      <c r="AD957" s="291"/>
      <c r="AE957" s="291"/>
      <c r="AF957" s="291"/>
      <c r="AG957" s="291"/>
      <c r="AH957" s="291"/>
      <c r="AI957" s="291"/>
      <c r="AJ957" s="291"/>
      <c r="AK957" s="290"/>
      <c r="AL957" s="290"/>
      <c r="AM957" s="290"/>
      <c r="AN957" s="290"/>
      <c r="AO957" s="290"/>
      <c r="AP957" s="290"/>
      <c r="AQ957" s="290"/>
      <c r="AR957" s="290"/>
      <c r="AS957" s="290"/>
      <c r="AT957" s="290"/>
      <c r="AU957" s="290"/>
      <c r="AV957" s="290"/>
      <c r="AW957" s="290"/>
      <c r="AX957" s="290"/>
      <c r="AY957" s="290"/>
      <c r="AZ957" s="290"/>
      <c r="BA957" s="290"/>
      <c r="BG957" s="307"/>
      <c r="BH957" s="307"/>
      <c r="BI957" s="307"/>
      <c r="BK957" s="300"/>
    </row>
    <row r="958" spans="1:63" s="298" customFormat="1" hidden="1" x14ac:dyDescent="0.25">
      <c r="A958" s="290"/>
      <c r="B958" s="291"/>
      <c r="C958" s="290"/>
      <c r="D958" s="290"/>
      <c r="E958" s="290"/>
      <c r="F958" s="290"/>
      <c r="G958" s="290"/>
      <c r="H958" s="290"/>
      <c r="I958" s="290"/>
      <c r="J958" s="290"/>
      <c r="K958" s="290"/>
      <c r="L958" s="290"/>
      <c r="M958" s="308"/>
      <c r="N958" s="290"/>
      <c r="O958" s="290"/>
      <c r="P958" s="290"/>
      <c r="Q958" s="290"/>
      <c r="R958" s="290"/>
      <c r="S958" s="290"/>
      <c r="T958" s="290"/>
      <c r="U958" s="294"/>
      <c r="V958" s="290"/>
      <c r="W958" s="290"/>
      <c r="X958" s="291"/>
      <c r="Y958" s="295"/>
      <c r="Z958" s="295"/>
      <c r="AA958" s="296"/>
      <c r="AB958" s="296"/>
      <c r="AC958" s="291"/>
      <c r="AD958" s="291"/>
      <c r="AE958" s="291"/>
      <c r="AF958" s="291"/>
      <c r="AG958" s="291"/>
      <c r="AH958" s="291"/>
      <c r="AI958" s="291"/>
      <c r="AJ958" s="291"/>
      <c r="AK958" s="290"/>
      <c r="AL958" s="290"/>
      <c r="AM958" s="290"/>
      <c r="AN958" s="290"/>
      <c r="AO958" s="290"/>
      <c r="AP958" s="290"/>
      <c r="AQ958" s="290"/>
      <c r="AR958" s="290"/>
      <c r="AS958" s="290"/>
      <c r="AT958" s="290"/>
      <c r="AU958" s="290"/>
      <c r="AV958" s="290"/>
      <c r="AW958" s="290"/>
      <c r="AX958" s="290"/>
      <c r="AY958" s="290"/>
      <c r="AZ958" s="290"/>
      <c r="BA958" s="290"/>
      <c r="BG958" s="307"/>
      <c r="BH958" s="307"/>
      <c r="BI958" s="307"/>
      <c r="BK958" s="300"/>
    </row>
    <row r="959" spans="1:63" s="298" customFormat="1" hidden="1" x14ac:dyDescent="0.25">
      <c r="A959" s="290"/>
      <c r="B959" s="291"/>
      <c r="C959" s="290"/>
      <c r="D959" s="290"/>
      <c r="E959" s="290"/>
      <c r="F959" s="290"/>
      <c r="G959" s="290"/>
      <c r="H959" s="290"/>
      <c r="I959" s="290"/>
      <c r="J959" s="290"/>
      <c r="K959" s="290"/>
      <c r="L959" s="290"/>
      <c r="M959" s="308"/>
      <c r="N959" s="290"/>
      <c r="O959" s="290"/>
      <c r="P959" s="290"/>
      <c r="Q959" s="290"/>
      <c r="R959" s="290"/>
      <c r="S959" s="290"/>
      <c r="T959" s="290"/>
      <c r="U959" s="294"/>
      <c r="V959" s="290"/>
      <c r="W959" s="290"/>
      <c r="X959" s="291"/>
      <c r="Y959" s="295"/>
      <c r="Z959" s="295"/>
      <c r="AA959" s="296"/>
      <c r="AB959" s="296"/>
      <c r="AC959" s="291"/>
      <c r="AD959" s="291"/>
      <c r="AE959" s="291"/>
      <c r="AF959" s="291"/>
      <c r="AG959" s="291"/>
      <c r="AH959" s="291"/>
      <c r="AI959" s="291"/>
      <c r="AJ959" s="291"/>
      <c r="AK959" s="290"/>
      <c r="AL959" s="290"/>
      <c r="AM959" s="290"/>
      <c r="AN959" s="290"/>
      <c r="AO959" s="290"/>
      <c r="AP959" s="290"/>
      <c r="AQ959" s="290"/>
      <c r="AR959" s="290"/>
      <c r="AS959" s="290"/>
      <c r="AT959" s="290"/>
      <c r="AU959" s="290"/>
      <c r="AV959" s="290"/>
      <c r="AW959" s="290"/>
      <c r="AX959" s="290"/>
      <c r="AY959" s="290"/>
      <c r="AZ959" s="290"/>
      <c r="BA959" s="290"/>
      <c r="BG959" s="307"/>
      <c r="BH959" s="307"/>
      <c r="BI959" s="307"/>
      <c r="BK959" s="300"/>
    </row>
    <row r="960" spans="1:63" s="298" customFormat="1" hidden="1" x14ac:dyDescent="0.25">
      <c r="A960" s="290"/>
      <c r="B960" s="291"/>
      <c r="C960" s="290"/>
      <c r="D960" s="290"/>
      <c r="E960" s="290"/>
      <c r="F960" s="290"/>
      <c r="G960" s="290"/>
      <c r="H960" s="290"/>
      <c r="I960" s="290"/>
      <c r="J960" s="290"/>
      <c r="K960" s="290"/>
      <c r="L960" s="290"/>
      <c r="M960" s="308"/>
      <c r="N960" s="290"/>
      <c r="O960" s="290"/>
      <c r="P960" s="290"/>
      <c r="Q960" s="290"/>
      <c r="R960" s="290"/>
      <c r="S960" s="290"/>
      <c r="T960" s="290"/>
      <c r="U960" s="294"/>
      <c r="V960" s="290"/>
      <c r="W960" s="290"/>
      <c r="X960" s="291"/>
      <c r="Y960" s="295"/>
      <c r="Z960" s="295"/>
      <c r="AA960" s="296"/>
      <c r="AB960" s="296"/>
      <c r="AC960" s="291"/>
      <c r="AD960" s="291"/>
      <c r="AE960" s="291"/>
      <c r="AF960" s="291"/>
      <c r="AG960" s="291"/>
      <c r="AH960" s="291"/>
      <c r="AI960" s="291"/>
      <c r="AJ960" s="291"/>
      <c r="AK960" s="290"/>
      <c r="AL960" s="290"/>
      <c r="AM960" s="290"/>
      <c r="AN960" s="290"/>
      <c r="AO960" s="290"/>
      <c r="AP960" s="290"/>
      <c r="AQ960" s="290"/>
      <c r="AR960" s="290"/>
      <c r="AS960" s="290"/>
      <c r="AT960" s="290"/>
      <c r="AU960" s="290"/>
      <c r="AV960" s="290"/>
      <c r="AW960" s="290"/>
      <c r="AX960" s="290"/>
      <c r="AY960" s="290"/>
      <c r="AZ960" s="290"/>
      <c r="BA960" s="290"/>
      <c r="BG960" s="307"/>
      <c r="BH960" s="307"/>
      <c r="BI960" s="307"/>
      <c r="BK960" s="300"/>
    </row>
    <row r="961" spans="1:63" s="298" customFormat="1" hidden="1" x14ac:dyDescent="0.25">
      <c r="A961" s="290"/>
      <c r="B961" s="291"/>
      <c r="C961" s="290"/>
      <c r="D961" s="290"/>
      <c r="E961" s="290"/>
      <c r="F961" s="290"/>
      <c r="G961" s="290"/>
      <c r="H961" s="290"/>
      <c r="I961" s="290"/>
      <c r="J961" s="290"/>
      <c r="K961" s="290"/>
      <c r="L961" s="290"/>
      <c r="M961" s="308"/>
      <c r="N961" s="290"/>
      <c r="O961" s="290"/>
      <c r="P961" s="290"/>
      <c r="Q961" s="290"/>
      <c r="R961" s="290"/>
      <c r="S961" s="290"/>
      <c r="T961" s="290"/>
      <c r="U961" s="294"/>
      <c r="V961" s="290"/>
      <c r="W961" s="290"/>
      <c r="X961" s="291"/>
      <c r="Y961" s="295"/>
      <c r="Z961" s="295"/>
      <c r="AA961" s="296"/>
      <c r="AB961" s="296"/>
      <c r="AC961" s="291"/>
      <c r="AD961" s="291"/>
      <c r="AE961" s="291"/>
      <c r="AF961" s="291"/>
      <c r="AG961" s="291"/>
      <c r="AH961" s="291"/>
      <c r="AI961" s="291"/>
      <c r="AJ961" s="291"/>
      <c r="AK961" s="290"/>
      <c r="AL961" s="290"/>
      <c r="AM961" s="290"/>
      <c r="AN961" s="290"/>
      <c r="AO961" s="290"/>
      <c r="AP961" s="290"/>
      <c r="AQ961" s="290"/>
      <c r="AR961" s="290"/>
      <c r="AS961" s="290"/>
      <c r="AT961" s="290"/>
      <c r="AU961" s="290"/>
      <c r="AV961" s="290"/>
      <c r="AW961" s="290"/>
      <c r="AX961" s="290"/>
      <c r="AY961" s="290"/>
      <c r="AZ961" s="290"/>
      <c r="BA961" s="290"/>
      <c r="BG961" s="307"/>
      <c r="BH961" s="307"/>
      <c r="BI961" s="307"/>
      <c r="BK961" s="300"/>
    </row>
    <row r="962" spans="1:63" s="298" customFormat="1" hidden="1" x14ac:dyDescent="0.25">
      <c r="A962" s="290"/>
      <c r="B962" s="291"/>
      <c r="C962" s="290"/>
      <c r="D962" s="290"/>
      <c r="E962" s="290"/>
      <c r="F962" s="290"/>
      <c r="G962" s="290"/>
      <c r="H962" s="290"/>
      <c r="I962" s="290"/>
      <c r="J962" s="290"/>
      <c r="K962" s="290"/>
      <c r="L962" s="290"/>
      <c r="M962" s="308"/>
      <c r="N962" s="290"/>
      <c r="O962" s="290"/>
      <c r="P962" s="290"/>
      <c r="Q962" s="290"/>
      <c r="R962" s="290"/>
      <c r="S962" s="290"/>
      <c r="T962" s="290"/>
      <c r="U962" s="294"/>
      <c r="V962" s="290"/>
      <c r="W962" s="290"/>
      <c r="X962" s="291"/>
      <c r="Y962" s="295"/>
      <c r="Z962" s="295"/>
      <c r="AA962" s="296"/>
      <c r="AB962" s="296"/>
      <c r="AC962" s="291"/>
      <c r="AD962" s="291"/>
      <c r="AE962" s="291"/>
      <c r="AF962" s="291"/>
      <c r="AG962" s="291"/>
      <c r="AH962" s="291"/>
      <c r="AI962" s="291"/>
      <c r="AJ962" s="291"/>
      <c r="AK962" s="290"/>
      <c r="AL962" s="290"/>
      <c r="AM962" s="290"/>
      <c r="AN962" s="290"/>
      <c r="AO962" s="290"/>
      <c r="AP962" s="290"/>
      <c r="AQ962" s="290"/>
      <c r="AR962" s="290"/>
      <c r="AS962" s="290"/>
      <c r="AT962" s="290"/>
      <c r="AU962" s="290"/>
      <c r="AV962" s="290"/>
      <c r="AW962" s="290"/>
      <c r="AX962" s="290"/>
      <c r="AY962" s="290"/>
      <c r="AZ962" s="290"/>
      <c r="BA962" s="290"/>
      <c r="BG962" s="307"/>
      <c r="BH962" s="307"/>
      <c r="BI962" s="307"/>
      <c r="BK962" s="300"/>
    </row>
    <row r="963" spans="1:63" s="298" customFormat="1" hidden="1" x14ac:dyDescent="0.25">
      <c r="A963" s="290"/>
      <c r="B963" s="291"/>
      <c r="C963" s="290"/>
      <c r="D963" s="290"/>
      <c r="E963" s="290"/>
      <c r="F963" s="290"/>
      <c r="G963" s="290"/>
      <c r="H963" s="290"/>
      <c r="I963" s="290"/>
      <c r="J963" s="290"/>
      <c r="K963" s="290"/>
      <c r="L963" s="290"/>
      <c r="M963" s="308"/>
      <c r="N963" s="290"/>
      <c r="O963" s="290"/>
      <c r="P963" s="290"/>
      <c r="Q963" s="290"/>
      <c r="R963" s="290"/>
      <c r="S963" s="290"/>
      <c r="T963" s="290"/>
      <c r="U963" s="294"/>
      <c r="V963" s="290"/>
      <c r="W963" s="290"/>
      <c r="X963" s="291"/>
      <c r="Y963" s="295"/>
      <c r="Z963" s="295"/>
      <c r="AA963" s="296"/>
      <c r="AB963" s="296"/>
      <c r="AC963" s="291"/>
      <c r="AD963" s="291"/>
      <c r="AE963" s="291"/>
      <c r="AF963" s="291"/>
      <c r="AG963" s="291"/>
      <c r="AH963" s="291"/>
      <c r="AI963" s="291"/>
      <c r="AJ963" s="291"/>
      <c r="AK963" s="290"/>
      <c r="AL963" s="290"/>
      <c r="AM963" s="290"/>
      <c r="AN963" s="290"/>
      <c r="AO963" s="290"/>
      <c r="AP963" s="290"/>
      <c r="AQ963" s="290"/>
      <c r="AR963" s="290"/>
      <c r="AS963" s="290"/>
      <c r="AT963" s="290"/>
      <c r="AU963" s="290"/>
      <c r="AV963" s="290"/>
      <c r="AW963" s="290"/>
      <c r="AX963" s="290"/>
      <c r="AY963" s="290"/>
      <c r="AZ963" s="290"/>
      <c r="BA963" s="290"/>
      <c r="BG963" s="307"/>
      <c r="BH963" s="307"/>
      <c r="BI963" s="307"/>
      <c r="BK963" s="300"/>
    </row>
    <row r="964" spans="1:63" s="298" customFormat="1" hidden="1" x14ac:dyDescent="0.25">
      <c r="A964" s="290"/>
      <c r="B964" s="291"/>
      <c r="C964" s="290"/>
      <c r="D964" s="290"/>
      <c r="E964" s="290"/>
      <c r="F964" s="290"/>
      <c r="G964" s="290"/>
      <c r="H964" s="290"/>
      <c r="I964" s="290"/>
      <c r="J964" s="290"/>
      <c r="K964" s="290"/>
      <c r="L964" s="290"/>
      <c r="M964" s="308"/>
      <c r="N964" s="290"/>
      <c r="O964" s="290"/>
      <c r="P964" s="290"/>
      <c r="Q964" s="290"/>
      <c r="R964" s="290"/>
      <c r="S964" s="290"/>
      <c r="T964" s="290"/>
      <c r="U964" s="294"/>
      <c r="V964" s="290"/>
      <c r="W964" s="290"/>
      <c r="X964" s="291"/>
      <c r="Y964" s="295"/>
      <c r="Z964" s="295"/>
      <c r="AA964" s="296"/>
      <c r="AB964" s="296"/>
      <c r="AC964" s="291"/>
      <c r="AD964" s="291"/>
      <c r="AE964" s="291"/>
      <c r="AF964" s="291"/>
      <c r="AG964" s="291"/>
      <c r="AH964" s="291"/>
      <c r="AI964" s="291"/>
      <c r="AJ964" s="291"/>
      <c r="AK964" s="290"/>
      <c r="AL964" s="290"/>
      <c r="AM964" s="290"/>
      <c r="AN964" s="290"/>
      <c r="AO964" s="290"/>
      <c r="AP964" s="290"/>
      <c r="AQ964" s="290"/>
      <c r="AR964" s="290"/>
      <c r="AS964" s="290"/>
      <c r="AT964" s="290"/>
      <c r="AU964" s="290"/>
      <c r="AV964" s="290"/>
      <c r="AW964" s="290"/>
      <c r="AX964" s="290"/>
      <c r="AY964" s="290"/>
      <c r="AZ964" s="290"/>
      <c r="BA964" s="290"/>
      <c r="BG964" s="307"/>
      <c r="BH964" s="307"/>
      <c r="BI964" s="307"/>
      <c r="BK964" s="300"/>
    </row>
    <row r="965" spans="1:63" s="298" customFormat="1" hidden="1" x14ac:dyDescent="0.25">
      <c r="A965" s="290"/>
      <c r="B965" s="291"/>
      <c r="C965" s="290"/>
      <c r="D965" s="290"/>
      <c r="E965" s="290"/>
      <c r="F965" s="290"/>
      <c r="G965" s="290"/>
      <c r="H965" s="290"/>
      <c r="I965" s="290"/>
      <c r="J965" s="290"/>
      <c r="K965" s="290"/>
      <c r="L965" s="290"/>
      <c r="M965" s="308"/>
      <c r="N965" s="290"/>
      <c r="O965" s="290"/>
      <c r="P965" s="290"/>
      <c r="Q965" s="290"/>
      <c r="R965" s="290"/>
      <c r="S965" s="290"/>
      <c r="T965" s="290"/>
      <c r="U965" s="294"/>
      <c r="V965" s="290"/>
      <c r="W965" s="290"/>
      <c r="X965" s="291"/>
      <c r="Y965" s="295"/>
      <c r="Z965" s="295"/>
      <c r="AA965" s="296"/>
      <c r="AB965" s="296"/>
      <c r="AC965" s="291"/>
      <c r="AD965" s="291"/>
      <c r="AE965" s="291"/>
      <c r="AF965" s="291"/>
      <c r="AG965" s="291"/>
      <c r="AH965" s="291"/>
      <c r="AI965" s="291"/>
      <c r="AJ965" s="291"/>
      <c r="AK965" s="290"/>
      <c r="AL965" s="290"/>
      <c r="AM965" s="290"/>
      <c r="AN965" s="290"/>
      <c r="AO965" s="290"/>
      <c r="AP965" s="290"/>
      <c r="AQ965" s="290"/>
      <c r="AR965" s="290"/>
      <c r="AS965" s="290"/>
      <c r="AT965" s="290"/>
      <c r="AU965" s="290"/>
      <c r="AV965" s="290"/>
      <c r="AW965" s="290"/>
      <c r="AX965" s="290"/>
      <c r="AY965" s="290"/>
      <c r="AZ965" s="290"/>
      <c r="BA965" s="290"/>
      <c r="BG965" s="307"/>
      <c r="BH965" s="307"/>
      <c r="BI965" s="307"/>
      <c r="BK965" s="300"/>
    </row>
    <row r="966" spans="1:63" s="298" customFormat="1" hidden="1" x14ac:dyDescent="0.25">
      <c r="A966" s="290"/>
      <c r="B966" s="291"/>
      <c r="C966" s="290"/>
      <c r="D966" s="290"/>
      <c r="E966" s="290"/>
      <c r="F966" s="290"/>
      <c r="G966" s="290"/>
      <c r="H966" s="290"/>
      <c r="I966" s="290"/>
      <c r="J966" s="290"/>
      <c r="K966" s="290"/>
      <c r="L966" s="290"/>
      <c r="M966" s="308"/>
      <c r="N966" s="290"/>
      <c r="O966" s="290"/>
      <c r="P966" s="290"/>
      <c r="Q966" s="290"/>
      <c r="R966" s="290"/>
      <c r="S966" s="290"/>
      <c r="T966" s="290"/>
      <c r="U966" s="294"/>
      <c r="V966" s="290"/>
      <c r="W966" s="290"/>
      <c r="X966" s="291"/>
      <c r="Y966" s="295"/>
      <c r="Z966" s="295"/>
      <c r="AA966" s="296"/>
      <c r="AB966" s="296"/>
      <c r="AC966" s="291"/>
      <c r="AD966" s="291"/>
      <c r="AE966" s="291"/>
      <c r="AF966" s="291"/>
      <c r="AG966" s="291"/>
      <c r="AH966" s="291"/>
      <c r="AI966" s="291"/>
      <c r="AJ966" s="291"/>
      <c r="AK966" s="290"/>
      <c r="AL966" s="290"/>
      <c r="AM966" s="290"/>
      <c r="AN966" s="290"/>
      <c r="AO966" s="290"/>
      <c r="AP966" s="290"/>
      <c r="AQ966" s="290"/>
      <c r="AR966" s="290"/>
      <c r="AS966" s="290"/>
      <c r="AT966" s="290"/>
      <c r="AU966" s="290"/>
      <c r="AV966" s="290"/>
      <c r="AW966" s="290"/>
      <c r="AX966" s="290"/>
      <c r="AY966" s="290"/>
      <c r="AZ966" s="290"/>
      <c r="BA966" s="290"/>
      <c r="BG966" s="307"/>
      <c r="BH966" s="307"/>
      <c r="BI966" s="307"/>
      <c r="BK966" s="300"/>
    </row>
    <row r="967" spans="1:63" s="298" customFormat="1" hidden="1" x14ac:dyDescent="0.25">
      <c r="A967" s="290"/>
      <c r="B967" s="291"/>
      <c r="C967" s="290"/>
      <c r="D967" s="290"/>
      <c r="E967" s="290"/>
      <c r="F967" s="290"/>
      <c r="G967" s="290"/>
      <c r="H967" s="290"/>
      <c r="I967" s="290"/>
      <c r="J967" s="290"/>
      <c r="K967" s="290"/>
      <c r="L967" s="290"/>
      <c r="M967" s="308"/>
      <c r="N967" s="290"/>
      <c r="O967" s="290"/>
      <c r="P967" s="290"/>
      <c r="Q967" s="290"/>
      <c r="R967" s="290"/>
      <c r="S967" s="290"/>
      <c r="T967" s="290"/>
      <c r="U967" s="294"/>
      <c r="V967" s="290"/>
      <c r="W967" s="290"/>
      <c r="X967" s="291"/>
      <c r="Y967" s="295"/>
      <c r="Z967" s="295"/>
      <c r="AA967" s="296"/>
      <c r="AB967" s="296"/>
      <c r="AC967" s="291"/>
      <c r="AD967" s="291"/>
      <c r="AE967" s="291"/>
      <c r="AF967" s="291"/>
      <c r="AG967" s="291"/>
      <c r="AH967" s="291"/>
      <c r="AI967" s="291"/>
      <c r="AJ967" s="291"/>
      <c r="AK967" s="290"/>
      <c r="AL967" s="290"/>
      <c r="AM967" s="290"/>
      <c r="AN967" s="290"/>
      <c r="AO967" s="290"/>
      <c r="AP967" s="290"/>
      <c r="AQ967" s="290"/>
      <c r="AR967" s="290"/>
      <c r="AS967" s="290"/>
      <c r="AT967" s="290"/>
      <c r="AU967" s="290"/>
      <c r="AV967" s="290"/>
      <c r="AW967" s="290"/>
      <c r="AX967" s="290"/>
      <c r="AY967" s="290"/>
      <c r="AZ967" s="290"/>
      <c r="BA967" s="290"/>
      <c r="BG967" s="307"/>
      <c r="BH967" s="307"/>
      <c r="BI967" s="307"/>
      <c r="BK967" s="300"/>
    </row>
    <row r="968" spans="1:63" s="298" customFormat="1" hidden="1" x14ac:dyDescent="0.25">
      <c r="A968" s="290"/>
      <c r="B968" s="291"/>
      <c r="C968" s="290"/>
      <c r="D968" s="290"/>
      <c r="E968" s="290"/>
      <c r="F968" s="290"/>
      <c r="G968" s="290"/>
      <c r="H968" s="290"/>
      <c r="I968" s="290"/>
      <c r="J968" s="290"/>
      <c r="K968" s="290"/>
      <c r="L968" s="290"/>
      <c r="M968" s="308"/>
      <c r="N968" s="290"/>
      <c r="O968" s="290"/>
      <c r="P968" s="290"/>
      <c r="Q968" s="290"/>
      <c r="R968" s="290"/>
      <c r="S968" s="290"/>
      <c r="T968" s="290"/>
      <c r="U968" s="294"/>
      <c r="V968" s="290"/>
      <c r="W968" s="290"/>
      <c r="X968" s="291"/>
      <c r="Y968" s="295"/>
      <c r="Z968" s="295"/>
      <c r="AA968" s="296"/>
      <c r="AB968" s="296"/>
      <c r="AC968" s="291"/>
      <c r="AD968" s="291"/>
      <c r="AE968" s="291"/>
      <c r="AF968" s="291"/>
      <c r="AG968" s="291"/>
      <c r="AH968" s="291"/>
      <c r="AI968" s="291"/>
      <c r="AJ968" s="291"/>
      <c r="AK968" s="290"/>
      <c r="AL968" s="290"/>
      <c r="AM968" s="290"/>
      <c r="AN968" s="290"/>
      <c r="AO968" s="290"/>
      <c r="AP968" s="290"/>
      <c r="AQ968" s="290"/>
      <c r="AR968" s="290"/>
      <c r="AS968" s="290"/>
      <c r="AT968" s="290"/>
      <c r="AU968" s="290"/>
      <c r="AV968" s="290"/>
      <c r="AW968" s="290"/>
      <c r="AX968" s="290"/>
      <c r="AY968" s="290"/>
      <c r="AZ968" s="290"/>
      <c r="BA968" s="290"/>
      <c r="BG968" s="307"/>
      <c r="BH968" s="307"/>
      <c r="BI968" s="307"/>
      <c r="BK968" s="300"/>
    </row>
    <row r="969" spans="1:63" s="298" customFormat="1" hidden="1" x14ac:dyDescent="0.25">
      <c r="A969" s="290"/>
      <c r="B969" s="291"/>
      <c r="C969" s="290"/>
      <c r="D969" s="290"/>
      <c r="E969" s="290"/>
      <c r="F969" s="290"/>
      <c r="G969" s="290"/>
      <c r="H969" s="290"/>
      <c r="I969" s="290"/>
      <c r="J969" s="290"/>
      <c r="K969" s="290"/>
      <c r="L969" s="290"/>
      <c r="M969" s="308"/>
      <c r="N969" s="290"/>
      <c r="O969" s="290"/>
      <c r="P969" s="290"/>
      <c r="Q969" s="290"/>
      <c r="R969" s="290"/>
      <c r="S969" s="290"/>
      <c r="T969" s="290"/>
      <c r="U969" s="294"/>
      <c r="V969" s="290"/>
      <c r="W969" s="290"/>
      <c r="X969" s="291"/>
      <c r="Y969" s="295"/>
      <c r="Z969" s="295"/>
      <c r="AA969" s="296"/>
      <c r="AB969" s="296"/>
      <c r="AC969" s="291"/>
      <c r="AD969" s="291"/>
      <c r="AE969" s="291"/>
      <c r="AF969" s="291"/>
      <c r="AG969" s="291"/>
      <c r="AH969" s="291"/>
      <c r="AI969" s="291"/>
      <c r="AJ969" s="291"/>
      <c r="AK969" s="290"/>
      <c r="AL969" s="290"/>
      <c r="AM969" s="290"/>
      <c r="AN969" s="290"/>
      <c r="AO969" s="290"/>
      <c r="AP969" s="290"/>
      <c r="AQ969" s="290"/>
      <c r="AR969" s="290"/>
      <c r="AS969" s="290"/>
      <c r="AT969" s="290"/>
      <c r="AU969" s="290"/>
      <c r="AV969" s="290"/>
      <c r="AW969" s="290"/>
      <c r="AX969" s="290"/>
      <c r="AY969" s="290"/>
      <c r="AZ969" s="290"/>
      <c r="BA969" s="290"/>
      <c r="BG969" s="307"/>
      <c r="BH969" s="307"/>
      <c r="BI969" s="307"/>
      <c r="BK969" s="300"/>
    </row>
    <row r="970" spans="1:63" s="298" customFormat="1" hidden="1" x14ac:dyDescent="0.25">
      <c r="A970" s="290"/>
      <c r="B970" s="291"/>
      <c r="C970" s="290"/>
      <c r="D970" s="290"/>
      <c r="E970" s="290"/>
      <c r="F970" s="290"/>
      <c r="G970" s="290"/>
      <c r="H970" s="290"/>
      <c r="I970" s="290"/>
      <c r="J970" s="290"/>
      <c r="K970" s="290"/>
      <c r="L970" s="290"/>
      <c r="M970" s="308"/>
      <c r="N970" s="290"/>
      <c r="O970" s="290"/>
      <c r="P970" s="290"/>
      <c r="Q970" s="290"/>
      <c r="R970" s="290"/>
      <c r="S970" s="290"/>
      <c r="T970" s="290"/>
      <c r="U970" s="294"/>
      <c r="V970" s="290"/>
      <c r="W970" s="290"/>
      <c r="X970" s="291"/>
      <c r="Y970" s="295"/>
      <c r="Z970" s="295"/>
      <c r="AA970" s="296"/>
      <c r="AB970" s="296"/>
      <c r="AC970" s="291"/>
      <c r="AD970" s="291"/>
      <c r="AE970" s="291"/>
      <c r="AF970" s="291"/>
      <c r="AG970" s="291"/>
      <c r="AH970" s="291"/>
      <c r="AI970" s="291"/>
      <c r="AJ970" s="291"/>
      <c r="AK970" s="290"/>
      <c r="AL970" s="290"/>
      <c r="AM970" s="290"/>
      <c r="AN970" s="290"/>
      <c r="AO970" s="290"/>
      <c r="AP970" s="290"/>
      <c r="AQ970" s="290"/>
      <c r="AR970" s="290"/>
      <c r="AS970" s="290"/>
      <c r="AT970" s="290"/>
      <c r="AU970" s="290"/>
      <c r="AV970" s="290"/>
      <c r="AW970" s="290"/>
      <c r="AX970" s="290"/>
      <c r="AY970" s="290"/>
      <c r="AZ970" s="290"/>
      <c r="BA970" s="290"/>
      <c r="BG970" s="307"/>
      <c r="BH970" s="307"/>
      <c r="BI970" s="307"/>
      <c r="BK970" s="300"/>
    </row>
    <row r="971" spans="1:63" s="298" customFormat="1" hidden="1" x14ac:dyDescent="0.25">
      <c r="A971" s="290"/>
      <c r="B971" s="291"/>
      <c r="C971" s="290"/>
      <c r="D971" s="290"/>
      <c r="E971" s="290"/>
      <c r="F971" s="290"/>
      <c r="G971" s="290"/>
      <c r="H971" s="290"/>
      <c r="I971" s="290"/>
      <c r="J971" s="290"/>
      <c r="K971" s="290"/>
      <c r="L971" s="290"/>
      <c r="M971" s="308"/>
      <c r="N971" s="290"/>
      <c r="O971" s="290"/>
      <c r="P971" s="290"/>
      <c r="Q971" s="290"/>
      <c r="R971" s="290"/>
      <c r="S971" s="290"/>
      <c r="T971" s="290"/>
      <c r="U971" s="294"/>
      <c r="V971" s="290"/>
      <c r="W971" s="290"/>
      <c r="X971" s="291"/>
      <c r="Y971" s="295"/>
      <c r="Z971" s="295"/>
      <c r="AA971" s="296"/>
      <c r="AB971" s="296"/>
      <c r="AC971" s="291"/>
      <c r="AD971" s="291"/>
      <c r="AE971" s="291"/>
      <c r="AF971" s="291"/>
      <c r="AG971" s="291"/>
      <c r="AH971" s="291"/>
      <c r="AI971" s="291"/>
      <c r="AJ971" s="291"/>
      <c r="AK971" s="290"/>
      <c r="AL971" s="290"/>
      <c r="AM971" s="290"/>
      <c r="AN971" s="290"/>
      <c r="AO971" s="290"/>
      <c r="AP971" s="290"/>
      <c r="AQ971" s="290"/>
      <c r="AR971" s="290"/>
      <c r="AS971" s="290"/>
      <c r="AT971" s="290"/>
      <c r="AU971" s="290"/>
      <c r="AV971" s="290"/>
      <c r="AW971" s="290"/>
      <c r="AX971" s="290"/>
      <c r="AY971" s="290"/>
      <c r="AZ971" s="290"/>
      <c r="BA971" s="290"/>
      <c r="BG971" s="307"/>
      <c r="BH971" s="307"/>
      <c r="BI971" s="307"/>
      <c r="BK971" s="300"/>
    </row>
    <row r="972" spans="1:63" s="298" customFormat="1" hidden="1" x14ac:dyDescent="0.25">
      <c r="A972" s="290"/>
      <c r="B972" s="291"/>
      <c r="C972" s="290"/>
      <c r="D972" s="290"/>
      <c r="E972" s="290"/>
      <c r="F972" s="290"/>
      <c r="G972" s="290"/>
      <c r="H972" s="290"/>
      <c r="I972" s="290"/>
      <c r="J972" s="290"/>
      <c r="K972" s="290"/>
      <c r="L972" s="290"/>
      <c r="M972" s="308"/>
      <c r="N972" s="290"/>
      <c r="O972" s="290"/>
      <c r="P972" s="290"/>
      <c r="Q972" s="290"/>
      <c r="R972" s="290"/>
      <c r="S972" s="290"/>
      <c r="T972" s="290"/>
      <c r="U972" s="294"/>
      <c r="V972" s="290"/>
      <c r="W972" s="290"/>
      <c r="X972" s="291"/>
      <c r="Y972" s="295"/>
      <c r="Z972" s="295"/>
      <c r="AA972" s="296"/>
      <c r="AB972" s="296"/>
      <c r="AC972" s="291"/>
      <c r="AD972" s="291"/>
      <c r="AE972" s="291"/>
      <c r="AF972" s="291"/>
      <c r="AG972" s="291"/>
      <c r="AH972" s="291"/>
      <c r="AI972" s="291"/>
      <c r="AJ972" s="291"/>
      <c r="AK972" s="290"/>
      <c r="AL972" s="290"/>
      <c r="AM972" s="290"/>
      <c r="AN972" s="290"/>
      <c r="AO972" s="290"/>
      <c r="AP972" s="290"/>
      <c r="AQ972" s="290"/>
      <c r="AR972" s="290"/>
      <c r="AS972" s="290"/>
      <c r="AT972" s="290"/>
      <c r="AU972" s="290"/>
      <c r="AV972" s="290"/>
      <c r="AW972" s="290"/>
      <c r="AX972" s="290"/>
      <c r="AY972" s="290"/>
      <c r="AZ972" s="290"/>
      <c r="BA972" s="290"/>
      <c r="BG972" s="307"/>
      <c r="BH972" s="307"/>
      <c r="BI972" s="307"/>
      <c r="BK972" s="300"/>
    </row>
    <row r="973" spans="1:63" s="298" customFormat="1" hidden="1" x14ac:dyDescent="0.25">
      <c r="A973" s="290"/>
      <c r="B973" s="291"/>
      <c r="C973" s="290"/>
      <c r="D973" s="290"/>
      <c r="E973" s="290"/>
      <c r="F973" s="290"/>
      <c r="G973" s="290"/>
      <c r="H973" s="290"/>
      <c r="I973" s="290"/>
      <c r="J973" s="290"/>
      <c r="K973" s="290"/>
      <c r="L973" s="290"/>
      <c r="M973" s="308"/>
      <c r="N973" s="290"/>
      <c r="O973" s="290"/>
      <c r="P973" s="290"/>
      <c r="Q973" s="290"/>
      <c r="R973" s="290"/>
      <c r="S973" s="290"/>
      <c r="T973" s="290"/>
      <c r="U973" s="294"/>
      <c r="V973" s="290"/>
      <c r="W973" s="290"/>
      <c r="X973" s="291"/>
      <c r="Y973" s="295"/>
      <c r="Z973" s="295"/>
      <c r="AA973" s="296"/>
      <c r="AB973" s="296"/>
      <c r="AC973" s="291"/>
      <c r="AD973" s="291"/>
      <c r="AE973" s="291"/>
      <c r="AF973" s="291"/>
      <c r="AG973" s="291"/>
      <c r="AH973" s="291"/>
      <c r="AI973" s="291"/>
      <c r="AJ973" s="291"/>
      <c r="AK973" s="290"/>
      <c r="AL973" s="290"/>
      <c r="AM973" s="290"/>
      <c r="AN973" s="290"/>
      <c r="AO973" s="290"/>
      <c r="AP973" s="290"/>
      <c r="AQ973" s="290"/>
      <c r="AR973" s="290"/>
      <c r="AS973" s="290"/>
      <c r="AT973" s="290"/>
      <c r="AU973" s="290"/>
      <c r="AV973" s="290"/>
      <c r="AW973" s="290"/>
      <c r="AX973" s="290"/>
      <c r="AY973" s="290"/>
      <c r="AZ973" s="290"/>
      <c r="BA973" s="290"/>
      <c r="BG973" s="307"/>
      <c r="BH973" s="307"/>
      <c r="BI973" s="307"/>
      <c r="BK973" s="300"/>
    </row>
    <row r="974" spans="1:63" s="298" customFormat="1" hidden="1" x14ac:dyDescent="0.25">
      <c r="A974" s="290"/>
      <c r="B974" s="291"/>
      <c r="C974" s="290"/>
      <c r="D974" s="290"/>
      <c r="E974" s="290"/>
      <c r="F974" s="290"/>
      <c r="G974" s="290"/>
      <c r="H974" s="290"/>
      <c r="I974" s="290"/>
      <c r="J974" s="290"/>
      <c r="K974" s="290"/>
      <c r="L974" s="290"/>
      <c r="M974" s="308"/>
      <c r="N974" s="290"/>
      <c r="O974" s="290"/>
      <c r="P974" s="290"/>
      <c r="Q974" s="290"/>
      <c r="R974" s="290"/>
      <c r="S974" s="290"/>
      <c r="T974" s="290"/>
      <c r="U974" s="294"/>
      <c r="V974" s="290"/>
      <c r="W974" s="290"/>
      <c r="X974" s="291"/>
      <c r="Y974" s="295"/>
      <c r="Z974" s="295"/>
      <c r="AA974" s="296"/>
      <c r="AB974" s="296"/>
      <c r="AC974" s="291"/>
      <c r="AD974" s="291"/>
      <c r="AE974" s="291"/>
      <c r="AF974" s="291"/>
      <c r="AG974" s="291"/>
      <c r="AH974" s="291"/>
      <c r="AI974" s="291"/>
      <c r="AJ974" s="291"/>
      <c r="AK974" s="290"/>
      <c r="AL974" s="290"/>
      <c r="AM974" s="290"/>
      <c r="AN974" s="290"/>
      <c r="AO974" s="290"/>
      <c r="AP974" s="290"/>
      <c r="AQ974" s="290"/>
      <c r="AR974" s="290"/>
      <c r="AS974" s="290"/>
      <c r="AT974" s="290"/>
      <c r="AU974" s="290"/>
      <c r="AV974" s="290"/>
      <c r="AW974" s="290"/>
      <c r="AX974" s="290"/>
      <c r="AY974" s="290"/>
      <c r="AZ974" s="290"/>
      <c r="BA974" s="290"/>
      <c r="BG974" s="307"/>
      <c r="BH974" s="307"/>
      <c r="BI974" s="307"/>
      <c r="BK974" s="300"/>
    </row>
    <row r="975" spans="1:63" s="298" customFormat="1" hidden="1" x14ac:dyDescent="0.25">
      <c r="A975" s="290"/>
      <c r="B975" s="291"/>
      <c r="C975" s="290"/>
      <c r="D975" s="290"/>
      <c r="E975" s="290"/>
      <c r="F975" s="290"/>
      <c r="G975" s="290"/>
      <c r="H975" s="290"/>
      <c r="I975" s="290"/>
      <c r="J975" s="290"/>
      <c r="K975" s="290"/>
      <c r="L975" s="290"/>
      <c r="M975" s="308"/>
      <c r="N975" s="290"/>
      <c r="O975" s="290"/>
      <c r="P975" s="290"/>
      <c r="Q975" s="290"/>
      <c r="R975" s="290"/>
      <c r="S975" s="290"/>
      <c r="T975" s="290"/>
      <c r="U975" s="294"/>
      <c r="V975" s="290"/>
      <c r="W975" s="290"/>
      <c r="X975" s="291"/>
      <c r="Y975" s="295"/>
      <c r="Z975" s="295"/>
      <c r="AA975" s="296"/>
      <c r="AB975" s="296"/>
      <c r="AC975" s="291"/>
      <c r="AD975" s="291"/>
      <c r="AE975" s="291"/>
      <c r="AF975" s="291"/>
      <c r="AG975" s="291"/>
      <c r="AH975" s="291"/>
      <c r="AI975" s="291"/>
      <c r="AJ975" s="291"/>
      <c r="AK975" s="290"/>
      <c r="AL975" s="290"/>
      <c r="AM975" s="290"/>
      <c r="AN975" s="290"/>
      <c r="AO975" s="290"/>
      <c r="AP975" s="290"/>
      <c r="AQ975" s="290"/>
      <c r="AR975" s="290"/>
      <c r="AS975" s="290"/>
      <c r="AT975" s="290"/>
      <c r="AU975" s="290"/>
      <c r="AV975" s="290"/>
      <c r="AW975" s="290"/>
      <c r="AX975" s="290"/>
      <c r="AY975" s="290"/>
      <c r="AZ975" s="290"/>
      <c r="BA975" s="290"/>
      <c r="BG975" s="307"/>
      <c r="BH975" s="307"/>
      <c r="BI975" s="307"/>
      <c r="BK975" s="300"/>
    </row>
    <row r="976" spans="1:63" s="298" customFormat="1" hidden="1" x14ac:dyDescent="0.25">
      <c r="A976" s="290"/>
      <c r="B976" s="291"/>
      <c r="C976" s="290"/>
      <c r="D976" s="290"/>
      <c r="E976" s="290"/>
      <c r="F976" s="290"/>
      <c r="G976" s="290"/>
      <c r="H976" s="290"/>
      <c r="I976" s="290"/>
      <c r="J976" s="290"/>
      <c r="K976" s="290"/>
      <c r="L976" s="290"/>
      <c r="M976" s="308"/>
      <c r="N976" s="290"/>
      <c r="O976" s="290"/>
      <c r="P976" s="290"/>
      <c r="Q976" s="290"/>
      <c r="R976" s="290"/>
      <c r="S976" s="290"/>
      <c r="T976" s="290"/>
      <c r="U976" s="294"/>
      <c r="V976" s="290"/>
      <c r="W976" s="290"/>
      <c r="X976" s="291"/>
      <c r="Y976" s="295"/>
      <c r="Z976" s="295"/>
      <c r="AA976" s="296"/>
      <c r="AB976" s="296"/>
      <c r="AC976" s="291"/>
      <c r="AD976" s="291"/>
      <c r="AE976" s="291"/>
      <c r="AF976" s="291"/>
      <c r="AG976" s="291"/>
      <c r="AH976" s="291"/>
      <c r="AI976" s="291"/>
      <c r="AJ976" s="291"/>
      <c r="AK976" s="290"/>
      <c r="AL976" s="290"/>
      <c r="AM976" s="290"/>
      <c r="AN976" s="290"/>
      <c r="AO976" s="290"/>
      <c r="AP976" s="290"/>
      <c r="AQ976" s="290"/>
      <c r="AR976" s="290"/>
      <c r="AS976" s="290"/>
      <c r="AT976" s="290"/>
      <c r="AU976" s="290"/>
      <c r="AV976" s="290"/>
      <c r="AW976" s="290"/>
      <c r="AX976" s="290"/>
      <c r="AY976" s="290"/>
      <c r="AZ976" s="290"/>
      <c r="BA976" s="290"/>
      <c r="BG976" s="307"/>
      <c r="BH976" s="307"/>
      <c r="BI976" s="307"/>
      <c r="BK976" s="300"/>
    </row>
    <row r="977" spans="1:63" s="298" customFormat="1" hidden="1" x14ac:dyDescent="0.25">
      <c r="A977" s="290"/>
      <c r="B977" s="291"/>
      <c r="C977" s="290"/>
      <c r="D977" s="290"/>
      <c r="E977" s="290"/>
      <c r="F977" s="290"/>
      <c r="G977" s="290"/>
      <c r="H977" s="290"/>
      <c r="I977" s="290"/>
      <c r="J977" s="290"/>
      <c r="K977" s="290"/>
      <c r="L977" s="290"/>
      <c r="M977" s="308"/>
      <c r="N977" s="290"/>
      <c r="O977" s="290"/>
      <c r="P977" s="290"/>
      <c r="Q977" s="290"/>
      <c r="R977" s="290"/>
      <c r="S977" s="290"/>
      <c r="T977" s="290"/>
      <c r="U977" s="294"/>
      <c r="V977" s="290"/>
      <c r="W977" s="290"/>
      <c r="X977" s="291"/>
      <c r="Y977" s="295"/>
      <c r="Z977" s="295"/>
      <c r="AA977" s="296"/>
      <c r="AB977" s="296"/>
      <c r="AC977" s="291"/>
      <c r="AD977" s="291"/>
      <c r="AE977" s="291"/>
      <c r="AF977" s="291"/>
      <c r="AG977" s="291"/>
      <c r="AH977" s="291"/>
      <c r="AI977" s="291"/>
      <c r="AJ977" s="291"/>
      <c r="AK977" s="290"/>
      <c r="AL977" s="290"/>
      <c r="AM977" s="290"/>
      <c r="AN977" s="290"/>
      <c r="AO977" s="290"/>
      <c r="AP977" s="290"/>
      <c r="AQ977" s="290"/>
      <c r="AR977" s="290"/>
      <c r="AS977" s="290"/>
      <c r="AT977" s="290"/>
      <c r="AU977" s="290"/>
      <c r="AV977" s="290"/>
      <c r="AW977" s="290"/>
      <c r="AX977" s="290"/>
      <c r="AY977" s="290"/>
      <c r="AZ977" s="290"/>
      <c r="BA977" s="290"/>
      <c r="BG977" s="307"/>
      <c r="BH977" s="307"/>
      <c r="BI977" s="307"/>
      <c r="BK977" s="300"/>
    </row>
    <row r="978" spans="1:63" s="298" customFormat="1" hidden="1" x14ac:dyDescent="0.25">
      <c r="A978" s="290"/>
      <c r="B978" s="291"/>
      <c r="C978" s="290"/>
      <c r="D978" s="290"/>
      <c r="E978" s="290"/>
      <c r="F978" s="290"/>
      <c r="G978" s="290"/>
      <c r="H978" s="290"/>
      <c r="I978" s="290"/>
      <c r="J978" s="290"/>
      <c r="K978" s="290"/>
      <c r="L978" s="290"/>
      <c r="M978" s="308"/>
      <c r="N978" s="290"/>
      <c r="O978" s="290"/>
      <c r="P978" s="290"/>
      <c r="Q978" s="290"/>
      <c r="R978" s="290"/>
      <c r="S978" s="290"/>
      <c r="T978" s="290"/>
      <c r="U978" s="294"/>
      <c r="V978" s="290"/>
      <c r="W978" s="290"/>
      <c r="X978" s="291"/>
      <c r="Y978" s="295"/>
      <c r="Z978" s="295"/>
      <c r="AA978" s="296"/>
      <c r="AB978" s="296"/>
      <c r="AC978" s="291"/>
      <c r="AD978" s="291"/>
      <c r="AE978" s="291"/>
      <c r="AF978" s="291"/>
      <c r="AG978" s="291"/>
      <c r="AH978" s="291"/>
      <c r="AI978" s="291"/>
      <c r="AJ978" s="291"/>
      <c r="AK978" s="290"/>
      <c r="AL978" s="290"/>
      <c r="AM978" s="290"/>
      <c r="AN978" s="290"/>
      <c r="AO978" s="290"/>
      <c r="AP978" s="290"/>
      <c r="AQ978" s="290"/>
      <c r="AR978" s="290"/>
      <c r="AS978" s="290"/>
      <c r="AT978" s="290"/>
      <c r="AU978" s="290"/>
      <c r="AV978" s="290"/>
      <c r="AW978" s="290"/>
      <c r="AX978" s="290"/>
      <c r="AY978" s="290"/>
      <c r="AZ978" s="290"/>
      <c r="BA978" s="290"/>
      <c r="BG978" s="307"/>
      <c r="BH978" s="307"/>
      <c r="BI978" s="307"/>
      <c r="BK978" s="300"/>
    </row>
    <row r="979" spans="1:63" s="298" customFormat="1" hidden="1" x14ac:dyDescent="0.25">
      <c r="A979" s="290"/>
      <c r="B979" s="291"/>
      <c r="C979" s="290"/>
      <c r="D979" s="290"/>
      <c r="E979" s="290"/>
      <c r="F979" s="290"/>
      <c r="G979" s="290"/>
      <c r="H979" s="290"/>
      <c r="I979" s="290"/>
      <c r="J979" s="290"/>
      <c r="K979" s="290"/>
      <c r="L979" s="290"/>
      <c r="M979" s="308"/>
      <c r="N979" s="290"/>
      <c r="O979" s="290"/>
      <c r="P979" s="290"/>
      <c r="Q979" s="290"/>
      <c r="R979" s="290"/>
      <c r="S979" s="290"/>
      <c r="T979" s="290"/>
      <c r="U979" s="294"/>
      <c r="V979" s="290"/>
      <c r="W979" s="290"/>
      <c r="X979" s="291"/>
      <c r="Y979" s="295"/>
      <c r="Z979" s="295"/>
      <c r="AA979" s="296"/>
      <c r="AB979" s="296"/>
      <c r="AC979" s="291"/>
      <c r="AD979" s="291"/>
      <c r="AE979" s="291"/>
      <c r="AF979" s="291"/>
      <c r="AG979" s="291"/>
      <c r="AH979" s="291"/>
      <c r="AI979" s="291"/>
      <c r="AJ979" s="291"/>
      <c r="AK979" s="290"/>
      <c r="AL979" s="290"/>
      <c r="AM979" s="290"/>
      <c r="AN979" s="290"/>
      <c r="AO979" s="290"/>
      <c r="AP979" s="290"/>
      <c r="AQ979" s="290"/>
      <c r="AR979" s="290"/>
      <c r="AS979" s="290"/>
      <c r="AT979" s="290"/>
      <c r="AU979" s="290"/>
      <c r="AV979" s="290"/>
      <c r="AW979" s="290"/>
      <c r="AX979" s="290"/>
      <c r="AY979" s="290"/>
      <c r="AZ979" s="290"/>
      <c r="BA979" s="290"/>
      <c r="BG979" s="307"/>
      <c r="BH979" s="307"/>
      <c r="BI979" s="307"/>
      <c r="BK979" s="300"/>
    </row>
    <row r="980" spans="1:63" s="298" customFormat="1" hidden="1" x14ac:dyDescent="0.25">
      <c r="A980" s="290"/>
      <c r="B980" s="291"/>
      <c r="C980" s="290"/>
      <c r="D980" s="290"/>
      <c r="E980" s="290"/>
      <c r="F980" s="290"/>
      <c r="G980" s="290"/>
      <c r="H980" s="290"/>
      <c r="I980" s="290"/>
      <c r="J980" s="290"/>
      <c r="K980" s="290"/>
      <c r="L980" s="290"/>
      <c r="M980" s="308"/>
      <c r="N980" s="290"/>
      <c r="O980" s="290"/>
      <c r="P980" s="290"/>
      <c r="Q980" s="290"/>
      <c r="R980" s="290"/>
      <c r="S980" s="290"/>
      <c r="T980" s="290"/>
      <c r="U980" s="294"/>
      <c r="V980" s="290"/>
      <c r="W980" s="290"/>
      <c r="X980" s="291"/>
      <c r="Y980" s="295"/>
      <c r="Z980" s="295"/>
      <c r="AA980" s="296"/>
      <c r="AB980" s="296"/>
      <c r="AC980" s="291"/>
      <c r="AD980" s="291"/>
      <c r="AE980" s="291"/>
      <c r="AF980" s="291"/>
      <c r="AG980" s="291"/>
      <c r="AH980" s="291"/>
      <c r="AI980" s="291"/>
      <c r="AJ980" s="291"/>
      <c r="AK980" s="290"/>
      <c r="AL980" s="290"/>
      <c r="AM980" s="290"/>
      <c r="AN980" s="290"/>
      <c r="AO980" s="290"/>
      <c r="AP980" s="290"/>
      <c r="AQ980" s="290"/>
      <c r="AR980" s="290"/>
      <c r="AS980" s="290"/>
      <c r="AT980" s="290"/>
      <c r="AU980" s="290"/>
      <c r="AV980" s="290"/>
      <c r="AW980" s="290"/>
      <c r="AX980" s="290"/>
      <c r="AY980" s="290"/>
      <c r="AZ980" s="290"/>
      <c r="BA980" s="290"/>
      <c r="BG980" s="307"/>
      <c r="BH980" s="307"/>
      <c r="BI980" s="307"/>
      <c r="BK980" s="300"/>
    </row>
    <row r="981" spans="1:63" s="298" customFormat="1" hidden="1" x14ac:dyDescent="0.25">
      <c r="A981" s="290"/>
      <c r="B981" s="291"/>
      <c r="C981" s="290"/>
      <c r="D981" s="290"/>
      <c r="E981" s="290"/>
      <c r="F981" s="290"/>
      <c r="G981" s="290"/>
      <c r="H981" s="290"/>
      <c r="I981" s="290"/>
      <c r="J981" s="290"/>
      <c r="K981" s="290"/>
      <c r="L981" s="290"/>
      <c r="M981" s="308"/>
      <c r="N981" s="290"/>
      <c r="O981" s="290"/>
      <c r="P981" s="290"/>
      <c r="Q981" s="290"/>
      <c r="R981" s="290"/>
      <c r="S981" s="290"/>
      <c r="T981" s="290"/>
      <c r="U981" s="294"/>
      <c r="V981" s="290"/>
      <c r="W981" s="290"/>
      <c r="X981" s="291"/>
      <c r="Y981" s="295"/>
      <c r="Z981" s="295"/>
      <c r="AA981" s="296"/>
      <c r="AB981" s="296"/>
      <c r="AC981" s="291"/>
      <c r="AD981" s="291"/>
      <c r="AE981" s="291"/>
      <c r="AF981" s="291"/>
      <c r="AG981" s="291"/>
      <c r="AH981" s="291"/>
      <c r="AI981" s="291"/>
      <c r="AJ981" s="291"/>
      <c r="AK981" s="290"/>
      <c r="AL981" s="290"/>
      <c r="AM981" s="290"/>
      <c r="AN981" s="290"/>
      <c r="AO981" s="290"/>
      <c r="AP981" s="290"/>
      <c r="AQ981" s="290"/>
      <c r="AR981" s="290"/>
      <c r="AS981" s="290"/>
      <c r="AT981" s="290"/>
      <c r="AU981" s="290"/>
      <c r="AV981" s="290"/>
      <c r="AW981" s="290"/>
      <c r="AX981" s="290"/>
      <c r="AY981" s="290"/>
      <c r="AZ981" s="290"/>
      <c r="BA981" s="290"/>
      <c r="BG981" s="307"/>
      <c r="BH981" s="307"/>
      <c r="BI981" s="307"/>
      <c r="BK981" s="300"/>
    </row>
    <row r="982" spans="1:63" s="298" customFormat="1" hidden="1" x14ac:dyDescent="0.25">
      <c r="A982" s="290"/>
      <c r="B982" s="291"/>
      <c r="C982" s="290"/>
      <c r="D982" s="290"/>
      <c r="E982" s="290"/>
      <c r="F982" s="290"/>
      <c r="G982" s="290"/>
      <c r="H982" s="290"/>
      <c r="I982" s="290"/>
      <c r="J982" s="290"/>
      <c r="K982" s="290"/>
      <c r="L982" s="290"/>
      <c r="M982" s="308"/>
      <c r="N982" s="290"/>
      <c r="O982" s="290"/>
      <c r="P982" s="290"/>
      <c r="Q982" s="290"/>
      <c r="R982" s="290"/>
      <c r="S982" s="290"/>
      <c r="T982" s="290"/>
      <c r="U982" s="294"/>
      <c r="V982" s="290"/>
      <c r="W982" s="290"/>
      <c r="X982" s="291"/>
      <c r="Y982" s="295"/>
      <c r="Z982" s="295"/>
      <c r="AA982" s="296"/>
      <c r="AB982" s="296"/>
      <c r="AC982" s="291"/>
      <c r="AD982" s="291"/>
      <c r="AE982" s="291"/>
      <c r="AF982" s="291"/>
      <c r="AG982" s="291"/>
      <c r="AH982" s="291"/>
      <c r="AI982" s="291"/>
      <c r="AJ982" s="291"/>
      <c r="AK982" s="290"/>
      <c r="AL982" s="290"/>
      <c r="AM982" s="290"/>
      <c r="AN982" s="290"/>
      <c r="AO982" s="290"/>
      <c r="AP982" s="290"/>
      <c r="AQ982" s="290"/>
      <c r="AR982" s="290"/>
      <c r="AS982" s="290"/>
      <c r="AT982" s="290"/>
      <c r="AU982" s="290"/>
      <c r="AV982" s="290"/>
      <c r="AW982" s="290"/>
      <c r="AX982" s="290"/>
      <c r="AY982" s="290"/>
      <c r="AZ982" s="290"/>
      <c r="BA982" s="290"/>
      <c r="BG982" s="307"/>
      <c r="BH982" s="307"/>
      <c r="BI982" s="307"/>
      <c r="BK982" s="300"/>
    </row>
    <row r="983" spans="1:63" s="298" customFormat="1" hidden="1" x14ac:dyDescent="0.25">
      <c r="A983" s="290"/>
      <c r="B983" s="291"/>
      <c r="C983" s="290"/>
      <c r="D983" s="290"/>
      <c r="E983" s="290"/>
      <c r="F983" s="290"/>
      <c r="G983" s="290"/>
      <c r="H983" s="290"/>
      <c r="I983" s="290"/>
      <c r="J983" s="290"/>
      <c r="K983" s="290"/>
      <c r="L983" s="290"/>
      <c r="M983" s="308"/>
      <c r="N983" s="290"/>
      <c r="O983" s="290"/>
      <c r="P983" s="290"/>
      <c r="Q983" s="290"/>
      <c r="R983" s="290"/>
      <c r="S983" s="290"/>
      <c r="T983" s="290"/>
      <c r="U983" s="294"/>
      <c r="V983" s="290"/>
      <c r="W983" s="290"/>
      <c r="X983" s="291"/>
      <c r="Y983" s="295"/>
      <c r="Z983" s="295"/>
      <c r="AA983" s="296"/>
      <c r="AB983" s="296"/>
      <c r="AC983" s="291"/>
      <c r="AD983" s="291"/>
      <c r="AE983" s="291"/>
      <c r="AF983" s="291"/>
      <c r="AG983" s="291"/>
      <c r="AH983" s="291"/>
      <c r="AI983" s="291"/>
      <c r="AJ983" s="291"/>
      <c r="AK983" s="290"/>
      <c r="AL983" s="290"/>
      <c r="AM983" s="290"/>
      <c r="AN983" s="290"/>
      <c r="AO983" s="290"/>
      <c r="AP983" s="290"/>
      <c r="AQ983" s="290"/>
      <c r="AR983" s="290"/>
      <c r="AS983" s="290"/>
      <c r="AT983" s="290"/>
      <c r="AU983" s="290"/>
      <c r="AV983" s="290"/>
      <c r="AW983" s="290"/>
      <c r="AX983" s="290"/>
      <c r="AY983" s="290"/>
      <c r="AZ983" s="290"/>
      <c r="BA983" s="290"/>
      <c r="BG983" s="307"/>
      <c r="BH983" s="307"/>
      <c r="BI983" s="307"/>
      <c r="BK983" s="300"/>
    </row>
    <row r="984" spans="1:63" s="298" customFormat="1" hidden="1" x14ac:dyDescent="0.25">
      <c r="A984" s="290"/>
      <c r="B984" s="291"/>
      <c r="C984" s="290"/>
      <c r="D984" s="290"/>
      <c r="E984" s="290"/>
      <c r="F984" s="290"/>
      <c r="G984" s="290"/>
      <c r="H984" s="290"/>
      <c r="I984" s="290"/>
      <c r="J984" s="290"/>
      <c r="K984" s="290"/>
      <c r="L984" s="290"/>
      <c r="M984" s="308"/>
      <c r="N984" s="290"/>
      <c r="O984" s="290"/>
      <c r="P984" s="290"/>
      <c r="Q984" s="290"/>
      <c r="R984" s="290"/>
      <c r="S984" s="290"/>
      <c r="T984" s="290"/>
      <c r="U984" s="294"/>
      <c r="V984" s="290"/>
      <c r="W984" s="290"/>
      <c r="X984" s="291"/>
      <c r="Y984" s="295"/>
      <c r="Z984" s="295"/>
      <c r="AA984" s="296"/>
      <c r="AB984" s="296"/>
      <c r="AC984" s="291"/>
      <c r="AD984" s="291"/>
      <c r="AE984" s="291"/>
      <c r="AF984" s="291"/>
      <c r="AG984" s="291"/>
      <c r="AH984" s="291"/>
      <c r="AI984" s="291"/>
      <c r="AJ984" s="291"/>
      <c r="AK984" s="290"/>
      <c r="AL984" s="290"/>
      <c r="AM984" s="290"/>
      <c r="AN984" s="290"/>
      <c r="AO984" s="290"/>
      <c r="AP984" s="290"/>
      <c r="AQ984" s="290"/>
      <c r="AR984" s="290"/>
      <c r="AS984" s="290"/>
      <c r="AT984" s="290"/>
      <c r="AU984" s="290"/>
      <c r="AV984" s="290"/>
      <c r="AW984" s="290"/>
      <c r="AX984" s="290"/>
      <c r="AY984" s="290"/>
      <c r="AZ984" s="290"/>
      <c r="BA984" s="290"/>
      <c r="BG984" s="307"/>
      <c r="BH984" s="307"/>
      <c r="BI984" s="307"/>
      <c r="BK984" s="300"/>
    </row>
    <row r="985" spans="1:63" s="298" customFormat="1" hidden="1" x14ac:dyDescent="0.25">
      <c r="A985" s="290"/>
      <c r="B985" s="291"/>
      <c r="C985" s="290"/>
      <c r="D985" s="290"/>
      <c r="E985" s="290"/>
      <c r="F985" s="290"/>
      <c r="G985" s="290"/>
      <c r="H985" s="290"/>
      <c r="I985" s="290"/>
      <c r="J985" s="290"/>
      <c r="K985" s="290"/>
      <c r="L985" s="290"/>
      <c r="M985" s="308"/>
      <c r="N985" s="290"/>
      <c r="O985" s="290"/>
      <c r="P985" s="290"/>
      <c r="Q985" s="290"/>
      <c r="R985" s="290"/>
      <c r="S985" s="290"/>
      <c r="T985" s="290"/>
      <c r="U985" s="294"/>
      <c r="V985" s="290"/>
      <c r="W985" s="290"/>
      <c r="X985" s="291"/>
      <c r="Y985" s="295"/>
      <c r="Z985" s="295"/>
      <c r="AA985" s="296"/>
      <c r="AB985" s="296"/>
      <c r="AC985" s="291"/>
      <c r="AD985" s="291"/>
      <c r="AE985" s="291"/>
      <c r="AF985" s="291"/>
      <c r="AG985" s="291"/>
      <c r="AH985" s="291"/>
      <c r="AI985" s="291"/>
      <c r="AJ985" s="291"/>
      <c r="AK985" s="290"/>
      <c r="AL985" s="290"/>
      <c r="AM985" s="290"/>
      <c r="AN985" s="290"/>
      <c r="AO985" s="290"/>
      <c r="AP985" s="290"/>
      <c r="AQ985" s="290"/>
      <c r="AR985" s="290"/>
      <c r="AS985" s="290"/>
      <c r="AT985" s="290"/>
      <c r="AU985" s="290"/>
      <c r="AV985" s="290"/>
      <c r="AW985" s="290"/>
      <c r="AX985" s="290"/>
      <c r="AY985" s="290"/>
      <c r="AZ985" s="290"/>
      <c r="BA985" s="290"/>
      <c r="BG985" s="307"/>
      <c r="BH985" s="307"/>
      <c r="BI985" s="307"/>
      <c r="BK985" s="300"/>
    </row>
    <row r="986" spans="1:63" s="298" customFormat="1" hidden="1" x14ac:dyDescent="0.25">
      <c r="A986" s="290"/>
      <c r="B986" s="291"/>
      <c r="C986" s="290"/>
      <c r="D986" s="290"/>
      <c r="E986" s="290"/>
      <c r="F986" s="290"/>
      <c r="G986" s="290"/>
      <c r="H986" s="290"/>
      <c r="I986" s="290"/>
      <c r="J986" s="290"/>
      <c r="K986" s="290"/>
      <c r="L986" s="290"/>
      <c r="M986" s="308"/>
      <c r="N986" s="290"/>
      <c r="O986" s="290"/>
      <c r="P986" s="290"/>
      <c r="Q986" s="290"/>
      <c r="R986" s="290"/>
      <c r="S986" s="290"/>
      <c r="T986" s="290"/>
      <c r="U986" s="294"/>
      <c r="V986" s="290"/>
      <c r="W986" s="290"/>
      <c r="X986" s="291"/>
      <c r="Y986" s="295"/>
      <c r="Z986" s="295"/>
      <c r="AA986" s="296"/>
      <c r="AB986" s="296"/>
      <c r="AC986" s="291"/>
      <c r="AD986" s="291"/>
      <c r="AE986" s="291"/>
      <c r="AF986" s="291"/>
      <c r="AG986" s="291"/>
      <c r="AH986" s="291"/>
      <c r="AI986" s="291"/>
      <c r="AJ986" s="291"/>
      <c r="AK986" s="290"/>
      <c r="AL986" s="290"/>
      <c r="AM986" s="290"/>
      <c r="AN986" s="290"/>
      <c r="AO986" s="290"/>
      <c r="AP986" s="290"/>
      <c r="AQ986" s="290"/>
      <c r="AR986" s="290"/>
      <c r="AS986" s="290"/>
      <c r="AT986" s="290"/>
      <c r="AU986" s="290"/>
      <c r="AV986" s="290"/>
      <c r="AW986" s="290"/>
      <c r="AX986" s="290"/>
      <c r="AY986" s="290"/>
      <c r="AZ986" s="290"/>
      <c r="BA986" s="290"/>
      <c r="BG986" s="307"/>
      <c r="BH986" s="307"/>
      <c r="BI986" s="307"/>
      <c r="BK986" s="300"/>
    </row>
    <row r="987" spans="1:63" s="298" customFormat="1" hidden="1" x14ac:dyDescent="0.25">
      <c r="A987" s="290"/>
      <c r="B987" s="291"/>
      <c r="C987" s="290"/>
      <c r="D987" s="290"/>
      <c r="E987" s="290"/>
      <c r="F987" s="290"/>
      <c r="G987" s="290"/>
      <c r="H987" s="290"/>
      <c r="I987" s="290"/>
      <c r="J987" s="290"/>
      <c r="K987" s="290"/>
      <c r="L987" s="290"/>
      <c r="M987" s="308"/>
      <c r="N987" s="290"/>
      <c r="O987" s="290"/>
      <c r="P987" s="290"/>
      <c r="Q987" s="290"/>
      <c r="R987" s="290"/>
      <c r="S987" s="290"/>
      <c r="T987" s="290"/>
      <c r="U987" s="294"/>
      <c r="V987" s="290"/>
      <c r="W987" s="290"/>
      <c r="X987" s="291"/>
      <c r="Y987" s="295"/>
      <c r="Z987" s="295"/>
      <c r="AA987" s="296"/>
      <c r="AB987" s="296"/>
      <c r="AC987" s="291"/>
      <c r="AD987" s="291"/>
      <c r="AE987" s="291"/>
      <c r="AF987" s="291"/>
      <c r="AG987" s="291"/>
      <c r="AH987" s="291"/>
      <c r="AI987" s="291"/>
      <c r="AJ987" s="291"/>
      <c r="AK987" s="290"/>
      <c r="AL987" s="290"/>
      <c r="AM987" s="290"/>
      <c r="AN987" s="290"/>
      <c r="AO987" s="290"/>
      <c r="AP987" s="290"/>
      <c r="AQ987" s="290"/>
      <c r="AR987" s="290"/>
      <c r="AS987" s="290"/>
      <c r="AT987" s="290"/>
      <c r="AU987" s="290"/>
      <c r="AV987" s="290"/>
      <c r="AW987" s="290"/>
      <c r="AX987" s="290"/>
      <c r="AY987" s="290"/>
      <c r="AZ987" s="290"/>
      <c r="BA987" s="290"/>
      <c r="BG987" s="307"/>
      <c r="BH987" s="307"/>
      <c r="BI987" s="307"/>
      <c r="BK987" s="300"/>
    </row>
    <row r="988" spans="1:63" s="298" customFormat="1" hidden="1" x14ac:dyDescent="0.25">
      <c r="A988" s="290"/>
      <c r="B988" s="291"/>
      <c r="C988" s="290"/>
      <c r="D988" s="290"/>
      <c r="E988" s="290"/>
      <c r="F988" s="290"/>
      <c r="G988" s="290"/>
      <c r="H988" s="290"/>
      <c r="I988" s="290"/>
      <c r="J988" s="290"/>
      <c r="K988" s="290"/>
      <c r="L988" s="290"/>
      <c r="M988" s="308"/>
      <c r="N988" s="290"/>
      <c r="O988" s="290"/>
      <c r="P988" s="290"/>
      <c r="Q988" s="290"/>
      <c r="R988" s="290"/>
      <c r="S988" s="290"/>
      <c r="T988" s="290"/>
      <c r="U988" s="294"/>
      <c r="V988" s="290"/>
      <c r="W988" s="290"/>
      <c r="X988" s="291"/>
      <c r="Y988" s="295"/>
      <c r="Z988" s="295"/>
      <c r="AA988" s="296"/>
      <c r="AB988" s="296"/>
      <c r="AC988" s="291"/>
      <c r="AD988" s="291"/>
      <c r="AE988" s="291"/>
      <c r="AF988" s="291"/>
      <c r="AG988" s="291"/>
      <c r="AH988" s="291"/>
      <c r="AI988" s="291"/>
      <c r="AJ988" s="291"/>
      <c r="AK988" s="290"/>
      <c r="AL988" s="290"/>
      <c r="AM988" s="290"/>
      <c r="AN988" s="290"/>
      <c r="AO988" s="290"/>
      <c r="AP988" s="290"/>
      <c r="AQ988" s="290"/>
      <c r="AR988" s="290"/>
      <c r="AS988" s="290"/>
      <c r="AT988" s="290"/>
      <c r="AU988" s="290"/>
      <c r="AV988" s="290"/>
      <c r="AW988" s="290"/>
      <c r="AX988" s="290"/>
      <c r="AY988" s="290"/>
      <c r="AZ988" s="290"/>
      <c r="BA988" s="290"/>
      <c r="BG988" s="307"/>
      <c r="BH988" s="307"/>
      <c r="BI988" s="307"/>
      <c r="BK988" s="300"/>
    </row>
    <row r="989" spans="1:63" s="298" customFormat="1" hidden="1" x14ac:dyDescent="0.25">
      <c r="A989" s="290"/>
      <c r="B989" s="291"/>
      <c r="C989" s="290"/>
      <c r="D989" s="290"/>
      <c r="E989" s="290"/>
      <c r="F989" s="290"/>
      <c r="G989" s="290"/>
      <c r="H989" s="290"/>
      <c r="I989" s="290"/>
      <c r="J989" s="290"/>
      <c r="K989" s="290"/>
      <c r="L989" s="290"/>
      <c r="M989" s="308"/>
      <c r="N989" s="290"/>
      <c r="O989" s="290"/>
      <c r="P989" s="290"/>
      <c r="Q989" s="290"/>
      <c r="R989" s="290"/>
      <c r="S989" s="290"/>
      <c r="T989" s="290"/>
      <c r="U989" s="294"/>
      <c r="V989" s="290"/>
      <c r="W989" s="290"/>
      <c r="X989" s="291"/>
      <c r="Y989" s="295"/>
      <c r="Z989" s="295"/>
      <c r="AA989" s="296"/>
      <c r="AB989" s="296"/>
      <c r="AC989" s="291"/>
      <c r="AD989" s="291"/>
      <c r="AE989" s="291"/>
      <c r="AF989" s="291"/>
      <c r="AG989" s="291"/>
      <c r="AH989" s="291"/>
      <c r="AI989" s="291"/>
      <c r="AJ989" s="291"/>
      <c r="AK989" s="290"/>
      <c r="AL989" s="290"/>
      <c r="AM989" s="290"/>
      <c r="AN989" s="290"/>
      <c r="AO989" s="290"/>
      <c r="AP989" s="290"/>
      <c r="AQ989" s="290"/>
      <c r="AR989" s="290"/>
      <c r="AS989" s="290"/>
      <c r="AT989" s="290"/>
      <c r="AU989" s="290"/>
      <c r="AV989" s="290"/>
      <c r="AW989" s="290"/>
      <c r="AX989" s="290"/>
      <c r="AY989" s="290"/>
      <c r="AZ989" s="290"/>
      <c r="BA989" s="290"/>
      <c r="BG989" s="307"/>
      <c r="BH989" s="307"/>
      <c r="BI989" s="307"/>
      <c r="BK989" s="300"/>
    </row>
    <row r="990" spans="1:63" s="298" customFormat="1" hidden="1" x14ac:dyDescent="0.25">
      <c r="A990" s="290"/>
      <c r="B990" s="291"/>
      <c r="C990" s="290"/>
      <c r="D990" s="290"/>
      <c r="E990" s="290"/>
      <c r="F990" s="290"/>
      <c r="G990" s="290"/>
      <c r="H990" s="290"/>
      <c r="I990" s="290"/>
      <c r="J990" s="290"/>
      <c r="K990" s="290"/>
      <c r="L990" s="290"/>
      <c r="M990" s="308"/>
      <c r="N990" s="290"/>
      <c r="O990" s="290"/>
      <c r="P990" s="290"/>
      <c r="Q990" s="290"/>
      <c r="R990" s="290"/>
      <c r="S990" s="290"/>
      <c r="T990" s="290"/>
      <c r="U990" s="294"/>
      <c r="V990" s="290"/>
      <c r="W990" s="290"/>
      <c r="X990" s="291"/>
      <c r="Y990" s="295"/>
      <c r="Z990" s="295"/>
      <c r="AA990" s="296"/>
      <c r="AB990" s="296"/>
      <c r="AC990" s="291"/>
      <c r="AD990" s="291"/>
      <c r="AE990" s="291"/>
      <c r="AF990" s="291"/>
      <c r="AG990" s="291"/>
      <c r="AH990" s="291"/>
      <c r="AI990" s="291"/>
      <c r="AJ990" s="291"/>
      <c r="AK990" s="290"/>
      <c r="AL990" s="290"/>
      <c r="AM990" s="290"/>
      <c r="AN990" s="290"/>
      <c r="AO990" s="290"/>
      <c r="AP990" s="290"/>
      <c r="AQ990" s="290"/>
      <c r="AR990" s="290"/>
      <c r="AS990" s="290"/>
      <c r="AT990" s="290"/>
      <c r="AU990" s="290"/>
      <c r="AV990" s="290"/>
      <c r="AW990" s="290"/>
      <c r="AX990" s="290"/>
      <c r="AY990" s="290"/>
      <c r="AZ990" s="290"/>
      <c r="BA990" s="290"/>
      <c r="BG990" s="307"/>
      <c r="BH990" s="307"/>
      <c r="BI990" s="307"/>
      <c r="BK990" s="300"/>
    </row>
    <row r="991" spans="1:63" s="298" customFormat="1" hidden="1" x14ac:dyDescent="0.25">
      <c r="A991" s="290"/>
      <c r="B991" s="291"/>
      <c r="C991" s="290"/>
      <c r="D991" s="290"/>
      <c r="E991" s="290"/>
      <c r="F991" s="290"/>
      <c r="G991" s="290"/>
      <c r="H991" s="290"/>
      <c r="I991" s="290"/>
      <c r="J991" s="290"/>
      <c r="K991" s="290"/>
      <c r="L991" s="290"/>
      <c r="M991" s="308"/>
      <c r="N991" s="290"/>
      <c r="O991" s="290"/>
      <c r="P991" s="290"/>
      <c r="Q991" s="290"/>
      <c r="R991" s="290"/>
      <c r="S991" s="290"/>
      <c r="T991" s="290"/>
      <c r="U991" s="294"/>
      <c r="V991" s="290"/>
      <c r="W991" s="290"/>
      <c r="X991" s="291"/>
      <c r="Y991" s="295"/>
      <c r="Z991" s="295"/>
      <c r="AA991" s="296"/>
      <c r="AB991" s="296"/>
      <c r="AC991" s="291"/>
      <c r="AD991" s="291"/>
      <c r="AE991" s="291"/>
      <c r="AF991" s="291"/>
      <c r="AG991" s="291"/>
      <c r="AH991" s="291"/>
      <c r="AI991" s="291"/>
      <c r="AJ991" s="291"/>
      <c r="AK991" s="290"/>
      <c r="AL991" s="290"/>
      <c r="AM991" s="290"/>
      <c r="AN991" s="290"/>
      <c r="AO991" s="290"/>
      <c r="AP991" s="290"/>
      <c r="AQ991" s="290"/>
      <c r="AR991" s="290"/>
      <c r="AS991" s="290"/>
      <c r="AT991" s="290"/>
      <c r="AU991" s="290"/>
      <c r="AV991" s="290"/>
      <c r="AW991" s="290"/>
      <c r="AX991" s="290"/>
      <c r="AY991" s="290"/>
      <c r="AZ991" s="290"/>
      <c r="BA991" s="290"/>
      <c r="BG991" s="307"/>
      <c r="BH991" s="307"/>
      <c r="BI991" s="307"/>
      <c r="BK991" s="300"/>
    </row>
    <row r="992" spans="1:63" s="298" customFormat="1" hidden="1" x14ac:dyDescent="0.25">
      <c r="A992" s="290"/>
      <c r="B992" s="291"/>
      <c r="C992" s="290"/>
      <c r="D992" s="290"/>
      <c r="E992" s="290"/>
      <c r="F992" s="290"/>
      <c r="G992" s="290"/>
      <c r="H992" s="290"/>
      <c r="I992" s="290"/>
      <c r="J992" s="290"/>
      <c r="K992" s="290"/>
      <c r="L992" s="290"/>
      <c r="M992" s="308"/>
      <c r="N992" s="290"/>
      <c r="O992" s="290"/>
      <c r="P992" s="290"/>
      <c r="Q992" s="290"/>
      <c r="R992" s="290"/>
      <c r="S992" s="290"/>
      <c r="T992" s="290"/>
      <c r="U992" s="294"/>
      <c r="V992" s="290"/>
      <c r="W992" s="290"/>
      <c r="X992" s="291"/>
      <c r="Y992" s="295"/>
      <c r="Z992" s="295"/>
      <c r="AA992" s="296"/>
      <c r="AB992" s="296"/>
      <c r="AC992" s="291"/>
      <c r="AD992" s="291"/>
      <c r="AE992" s="291"/>
      <c r="AF992" s="291"/>
      <c r="AG992" s="291"/>
      <c r="AH992" s="291"/>
      <c r="AI992" s="291"/>
      <c r="AJ992" s="291"/>
      <c r="AK992" s="290"/>
      <c r="AL992" s="290"/>
      <c r="AM992" s="290"/>
      <c r="AN992" s="290"/>
      <c r="AO992" s="290"/>
      <c r="AP992" s="290"/>
      <c r="AQ992" s="290"/>
      <c r="AR992" s="290"/>
      <c r="AS992" s="290"/>
      <c r="AT992" s="290"/>
      <c r="AU992" s="290"/>
      <c r="AV992" s="290"/>
      <c r="AW992" s="290"/>
      <c r="AX992" s="290"/>
      <c r="AY992" s="290"/>
      <c r="AZ992" s="290"/>
      <c r="BA992" s="290"/>
      <c r="BG992" s="307"/>
      <c r="BH992" s="307"/>
      <c r="BI992" s="307"/>
      <c r="BK992" s="300"/>
    </row>
    <row r="993" spans="1:63" s="298" customFormat="1" hidden="1" x14ac:dyDescent="0.25">
      <c r="A993" s="290"/>
      <c r="B993" s="291"/>
      <c r="C993" s="290"/>
      <c r="D993" s="290"/>
      <c r="E993" s="290"/>
      <c r="F993" s="290"/>
      <c r="G993" s="290"/>
      <c r="H993" s="290"/>
      <c r="I993" s="290"/>
      <c r="J993" s="290"/>
      <c r="K993" s="290"/>
      <c r="L993" s="290"/>
      <c r="M993" s="308"/>
      <c r="N993" s="290"/>
      <c r="O993" s="290"/>
      <c r="P993" s="290"/>
      <c r="Q993" s="290"/>
      <c r="R993" s="290"/>
      <c r="S993" s="290"/>
      <c r="T993" s="290"/>
      <c r="U993" s="294"/>
      <c r="V993" s="290"/>
      <c r="W993" s="290"/>
      <c r="X993" s="291"/>
      <c r="Y993" s="295"/>
      <c r="Z993" s="295"/>
      <c r="AA993" s="296"/>
      <c r="AB993" s="296"/>
      <c r="AC993" s="291"/>
      <c r="AD993" s="291"/>
      <c r="AE993" s="291"/>
      <c r="AF993" s="291"/>
      <c r="AG993" s="291"/>
      <c r="AH993" s="291"/>
      <c r="AI993" s="291"/>
      <c r="AJ993" s="291"/>
      <c r="AK993" s="290"/>
      <c r="AL993" s="290"/>
      <c r="AM993" s="290"/>
      <c r="AN993" s="290"/>
      <c r="AO993" s="290"/>
      <c r="AP993" s="290"/>
      <c r="AQ993" s="290"/>
      <c r="AR993" s="290"/>
      <c r="AS993" s="290"/>
      <c r="AT993" s="290"/>
      <c r="AU993" s="290"/>
      <c r="AV993" s="290"/>
      <c r="AW993" s="290"/>
      <c r="AX993" s="290"/>
      <c r="AY993" s="290"/>
      <c r="AZ993" s="290"/>
      <c r="BA993" s="290"/>
      <c r="BG993" s="307"/>
      <c r="BH993" s="307"/>
      <c r="BI993" s="307"/>
      <c r="BK993" s="300"/>
    </row>
    <row r="994" spans="1:63" s="298" customFormat="1" hidden="1" x14ac:dyDescent="0.25">
      <c r="A994" s="290"/>
      <c r="B994" s="291"/>
      <c r="C994" s="290"/>
      <c r="D994" s="290"/>
      <c r="E994" s="290"/>
      <c r="F994" s="290"/>
      <c r="G994" s="290"/>
      <c r="H994" s="290"/>
      <c r="I994" s="290"/>
      <c r="J994" s="290"/>
      <c r="K994" s="290"/>
      <c r="L994" s="290"/>
      <c r="M994" s="308"/>
      <c r="N994" s="290"/>
      <c r="O994" s="290"/>
      <c r="P994" s="290"/>
      <c r="Q994" s="290"/>
      <c r="R994" s="290"/>
      <c r="S994" s="290"/>
      <c r="T994" s="290"/>
      <c r="U994" s="294"/>
      <c r="V994" s="290"/>
      <c r="W994" s="290"/>
      <c r="X994" s="291"/>
      <c r="Y994" s="295"/>
      <c r="Z994" s="295"/>
      <c r="AA994" s="296"/>
      <c r="AB994" s="296"/>
      <c r="AC994" s="291"/>
      <c r="AD994" s="291"/>
      <c r="AE994" s="291"/>
      <c r="AF994" s="291"/>
      <c r="AG994" s="291"/>
      <c r="AH994" s="291"/>
      <c r="AI994" s="291"/>
      <c r="AJ994" s="291"/>
      <c r="AK994" s="290"/>
      <c r="AL994" s="290"/>
      <c r="AM994" s="290"/>
      <c r="AN994" s="290"/>
      <c r="AO994" s="290"/>
      <c r="AP994" s="290"/>
      <c r="AQ994" s="290"/>
      <c r="AR994" s="290"/>
      <c r="AS994" s="290"/>
      <c r="AT994" s="290"/>
      <c r="AU994" s="290"/>
      <c r="AV994" s="290"/>
      <c r="AW994" s="290"/>
      <c r="AX994" s="290"/>
      <c r="AY994" s="290"/>
      <c r="AZ994" s="290"/>
      <c r="BA994" s="290"/>
      <c r="BG994" s="307"/>
      <c r="BH994" s="307"/>
      <c r="BI994" s="307"/>
      <c r="BK994" s="300"/>
    </row>
    <row r="995" spans="1:63" s="298" customFormat="1" hidden="1" x14ac:dyDescent="0.25">
      <c r="A995" s="290"/>
      <c r="B995" s="291"/>
      <c r="C995" s="290"/>
      <c r="D995" s="290"/>
      <c r="E995" s="290"/>
      <c r="F995" s="290"/>
      <c r="G995" s="290"/>
      <c r="H995" s="290"/>
      <c r="I995" s="290"/>
      <c r="J995" s="290"/>
      <c r="K995" s="290"/>
      <c r="L995" s="290"/>
      <c r="M995" s="308"/>
      <c r="N995" s="290"/>
      <c r="O995" s="290"/>
      <c r="P995" s="290"/>
      <c r="Q995" s="290"/>
      <c r="R995" s="290"/>
      <c r="S995" s="290"/>
      <c r="T995" s="290"/>
      <c r="U995" s="294"/>
      <c r="V995" s="290"/>
      <c r="W995" s="290"/>
      <c r="X995" s="291"/>
      <c r="Y995" s="295"/>
      <c r="Z995" s="295"/>
      <c r="AA995" s="296"/>
      <c r="AB995" s="296"/>
      <c r="AC995" s="291"/>
      <c r="AD995" s="291"/>
      <c r="AE995" s="291"/>
      <c r="AF995" s="291"/>
      <c r="AG995" s="291"/>
      <c r="AH995" s="291"/>
      <c r="AI995" s="291"/>
      <c r="AJ995" s="291"/>
      <c r="AK995" s="290"/>
      <c r="AL995" s="290"/>
      <c r="AM995" s="290"/>
      <c r="AN995" s="290"/>
      <c r="AO995" s="290"/>
      <c r="AP995" s="290"/>
      <c r="AQ995" s="290"/>
      <c r="AR995" s="290"/>
      <c r="AS995" s="290"/>
      <c r="AT995" s="290"/>
      <c r="AU995" s="290"/>
      <c r="AV995" s="290"/>
      <c r="AW995" s="290"/>
      <c r="AX995" s="290"/>
      <c r="AY995" s="290"/>
      <c r="AZ995" s="290"/>
      <c r="BA995" s="290"/>
      <c r="BG995" s="307"/>
      <c r="BH995" s="307"/>
      <c r="BI995" s="307"/>
      <c r="BK995" s="300"/>
    </row>
    <row r="996" spans="1:63" s="298" customFormat="1" hidden="1" x14ac:dyDescent="0.25">
      <c r="A996" s="290"/>
      <c r="B996" s="291"/>
      <c r="C996" s="290"/>
      <c r="D996" s="290"/>
      <c r="E996" s="290"/>
      <c r="F996" s="290"/>
      <c r="G996" s="290"/>
      <c r="H996" s="290"/>
      <c r="I996" s="290"/>
      <c r="J996" s="290"/>
      <c r="K996" s="290"/>
      <c r="L996" s="290"/>
      <c r="M996" s="308"/>
      <c r="N996" s="290"/>
      <c r="O996" s="290"/>
      <c r="P996" s="290"/>
      <c r="Q996" s="290"/>
      <c r="R996" s="290"/>
      <c r="S996" s="290"/>
      <c r="T996" s="290"/>
      <c r="U996" s="294"/>
      <c r="V996" s="290"/>
      <c r="W996" s="290"/>
      <c r="X996" s="291"/>
      <c r="Y996" s="295"/>
      <c r="Z996" s="295"/>
      <c r="AA996" s="296"/>
      <c r="AB996" s="296"/>
      <c r="AC996" s="291"/>
      <c r="AD996" s="291"/>
      <c r="AE996" s="291"/>
      <c r="AF996" s="291"/>
      <c r="AG996" s="291"/>
      <c r="AH996" s="291"/>
      <c r="AI996" s="291"/>
      <c r="AJ996" s="291"/>
      <c r="AK996" s="290"/>
      <c r="AL996" s="290"/>
      <c r="AM996" s="290"/>
      <c r="AN996" s="290"/>
      <c r="AO996" s="290"/>
      <c r="AP996" s="290"/>
      <c r="AQ996" s="290"/>
      <c r="AR996" s="290"/>
      <c r="AS996" s="290"/>
      <c r="AT996" s="290"/>
      <c r="AU996" s="290"/>
      <c r="AV996" s="290"/>
      <c r="AW996" s="290"/>
      <c r="AX996" s="290"/>
      <c r="AY996" s="290"/>
      <c r="AZ996" s="290"/>
      <c r="BA996" s="290"/>
      <c r="BG996" s="307"/>
      <c r="BH996" s="307"/>
      <c r="BI996" s="307"/>
      <c r="BK996" s="300"/>
    </row>
    <row r="997" spans="1:63" s="298" customFormat="1" hidden="1" x14ac:dyDescent="0.25">
      <c r="A997" s="290"/>
      <c r="B997" s="291"/>
      <c r="C997" s="290"/>
      <c r="D997" s="290"/>
      <c r="E997" s="290"/>
      <c r="F997" s="290"/>
      <c r="G997" s="290"/>
      <c r="H997" s="290"/>
      <c r="I997" s="290"/>
      <c r="J997" s="290"/>
      <c r="K997" s="290"/>
      <c r="L997" s="290"/>
      <c r="M997" s="308"/>
      <c r="N997" s="290"/>
      <c r="O997" s="290"/>
      <c r="P997" s="290"/>
      <c r="Q997" s="290"/>
      <c r="R997" s="290"/>
      <c r="S997" s="290"/>
      <c r="T997" s="290"/>
      <c r="U997" s="294"/>
      <c r="V997" s="290"/>
      <c r="W997" s="290"/>
      <c r="X997" s="291"/>
      <c r="Y997" s="295"/>
      <c r="Z997" s="295"/>
      <c r="AA997" s="296"/>
      <c r="AB997" s="296"/>
      <c r="AC997" s="291"/>
      <c r="AD997" s="291"/>
      <c r="AE997" s="291"/>
      <c r="AF997" s="291"/>
      <c r="AG997" s="291"/>
      <c r="AH997" s="291"/>
      <c r="AI997" s="291"/>
      <c r="AJ997" s="291"/>
      <c r="AK997" s="290"/>
      <c r="AL997" s="290"/>
      <c r="AM997" s="290"/>
      <c r="AN997" s="290"/>
      <c r="AO997" s="290"/>
      <c r="AP997" s="290"/>
      <c r="AQ997" s="290"/>
      <c r="AR997" s="290"/>
      <c r="AS997" s="290"/>
      <c r="AT997" s="290"/>
      <c r="AU997" s="290"/>
      <c r="AV997" s="290"/>
      <c r="AW997" s="290"/>
      <c r="AX997" s="290"/>
      <c r="AY997" s="290"/>
      <c r="AZ997" s="290"/>
      <c r="BA997" s="290"/>
      <c r="BG997" s="307"/>
      <c r="BH997" s="307"/>
      <c r="BI997" s="307"/>
      <c r="BK997" s="300"/>
    </row>
    <row r="998" spans="1:63" s="298" customFormat="1" hidden="1" x14ac:dyDescent="0.25">
      <c r="A998" s="290"/>
      <c r="B998" s="291"/>
      <c r="C998" s="290"/>
      <c r="D998" s="290"/>
      <c r="E998" s="290"/>
      <c r="F998" s="290"/>
      <c r="G998" s="290"/>
      <c r="H998" s="290"/>
      <c r="I998" s="290"/>
      <c r="J998" s="290"/>
      <c r="K998" s="290"/>
      <c r="L998" s="290"/>
      <c r="M998" s="308"/>
      <c r="N998" s="290"/>
      <c r="O998" s="290"/>
      <c r="P998" s="290"/>
      <c r="Q998" s="290"/>
      <c r="R998" s="290"/>
      <c r="S998" s="290"/>
      <c r="T998" s="290"/>
      <c r="U998" s="294"/>
      <c r="V998" s="290"/>
      <c r="W998" s="290"/>
      <c r="X998" s="291"/>
      <c r="Y998" s="295"/>
      <c r="Z998" s="295"/>
      <c r="AA998" s="296"/>
      <c r="AB998" s="296"/>
      <c r="AC998" s="291"/>
      <c r="AD998" s="291"/>
      <c r="AE998" s="291"/>
      <c r="AF998" s="291"/>
      <c r="AG998" s="291"/>
      <c r="AH998" s="291"/>
      <c r="AI998" s="291"/>
      <c r="AJ998" s="291"/>
      <c r="AK998" s="290"/>
      <c r="AL998" s="290"/>
      <c r="AM998" s="290"/>
      <c r="AN998" s="290"/>
      <c r="AO998" s="290"/>
      <c r="AP998" s="290"/>
      <c r="AQ998" s="290"/>
      <c r="AR998" s="290"/>
      <c r="AS998" s="290"/>
      <c r="AT998" s="290"/>
      <c r="AU998" s="290"/>
      <c r="AV998" s="290"/>
      <c r="AW998" s="290"/>
      <c r="AX998" s="290"/>
      <c r="AY998" s="290"/>
      <c r="AZ998" s="290"/>
      <c r="BA998" s="290"/>
      <c r="BG998" s="307"/>
      <c r="BH998" s="307"/>
      <c r="BI998" s="307"/>
      <c r="BK998" s="300"/>
    </row>
    <row r="999" spans="1:63" s="298" customFormat="1" hidden="1" x14ac:dyDescent="0.25">
      <c r="A999" s="290"/>
      <c r="B999" s="291"/>
      <c r="C999" s="290"/>
      <c r="D999" s="290"/>
      <c r="E999" s="290"/>
      <c r="F999" s="290"/>
      <c r="G999" s="290"/>
      <c r="H999" s="290"/>
      <c r="I999" s="290"/>
      <c r="J999" s="290"/>
      <c r="K999" s="290"/>
      <c r="L999" s="290"/>
      <c r="M999" s="308"/>
      <c r="N999" s="290"/>
      <c r="O999" s="290"/>
      <c r="P999" s="290"/>
      <c r="Q999" s="290"/>
      <c r="R999" s="290"/>
      <c r="S999" s="290"/>
      <c r="T999" s="290"/>
      <c r="U999" s="294"/>
      <c r="V999" s="290"/>
      <c r="W999" s="290"/>
      <c r="X999" s="291"/>
      <c r="Y999" s="295"/>
      <c r="Z999" s="295"/>
      <c r="AA999" s="296"/>
      <c r="AB999" s="296"/>
      <c r="AC999" s="291"/>
      <c r="AD999" s="291"/>
      <c r="AE999" s="291"/>
      <c r="AF999" s="291"/>
      <c r="AG999" s="291"/>
      <c r="AH999" s="291"/>
      <c r="AI999" s="291"/>
      <c r="AJ999" s="291"/>
      <c r="AK999" s="290"/>
      <c r="AL999" s="290"/>
      <c r="AM999" s="290"/>
      <c r="AN999" s="290"/>
      <c r="AO999" s="290"/>
      <c r="AP999" s="290"/>
      <c r="AQ999" s="290"/>
      <c r="AR999" s="290"/>
      <c r="AS999" s="290"/>
      <c r="AT999" s="290"/>
      <c r="AU999" s="290"/>
      <c r="AV999" s="290"/>
      <c r="AW999" s="290"/>
      <c r="AX999" s="290"/>
      <c r="AY999" s="290"/>
      <c r="AZ999" s="290"/>
      <c r="BA999" s="290"/>
      <c r="BG999" s="307"/>
      <c r="BH999" s="307"/>
      <c r="BI999" s="307"/>
      <c r="BK999" s="300"/>
    </row>
    <row r="1000" spans="1:63" s="298" customFormat="1" hidden="1" x14ac:dyDescent="0.25">
      <c r="A1000" s="290"/>
      <c r="B1000" s="291"/>
      <c r="C1000" s="290"/>
      <c r="D1000" s="290"/>
      <c r="E1000" s="290"/>
      <c r="F1000" s="290"/>
      <c r="G1000" s="290"/>
      <c r="H1000" s="290"/>
      <c r="I1000" s="290"/>
      <c r="J1000" s="290"/>
      <c r="K1000" s="290"/>
      <c r="L1000" s="290"/>
      <c r="M1000" s="308"/>
      <c r="N1000" s="290"/>
      <c r="O1000" s="290"/>
      <c r="P1000" s="290"/>
      <c r="Q1000" s="290"/>
      <c r="R1000" s="290"/>
      <c r="S1000" s="290"/>
      <c r="T1000" s="290"/>
      <c r="U1000" s="294"/>
      <c r="V1000" s="290"/>
      <c r="W1000" s="290"/>
      <c r="X1000" s="291"/>
      <c r="Y1000" s="295"/>
      <c r="Z1000" s="295"/>
      <c r="AA1000" s="296"/>
      <c r="AB1000" s="296"/>
      <c r="AC1000" s="291"/>
      <c r="AD1000" s="291"/>
      <c r="AE1000" s="291"/>
      <c r="AF1000" s="291"/>
      <c r="AG1000" s="291"/>
      <c r="AH1000" s="291"/>
      <c r="AI1000" s="291"/>
      <c r="AJ1000" s="291"/>
      <c r="AK1000" s="290"/>
      <c r="AL1000" s="290"/>
      <c r="AM1000" s="290"/>
      <c r="AN1000" s="290"/>
      <c r="AO1000" s="290"/>
      <c r="AP1000" s="290"/>
      <c r="AQ1000" s="290"/>
      <c r="AR1000" s="290"/>
      <c r="AS1000" s="290"/>
      <c r="AT1000" s="290"/>
      <c r="AU1000" s="290"/>
      <c r="AV1000" s="290"/>
      <c r="AW1000" s="290"/>
      <c r="AX1000" s="290"/>
      <c r="AY1000" s="290"/>
      <c r="AZ1000" s="290"/>
      <c r="BA1000" s="290"/>
      <c r="BG1000" s="307"/>
      <c r="BH1000" s="307"/>
      <c r="BI1000" s="307"/>
      <c r="BK1000" s="300"/>
    </row>
    <row r="1001" spans="1:63" s="298" customFormat="1" hidden="1" x14ac:dyDescent="0.25">
      <c r="A1001" s="290"/>
      <c r="B1001" s="291"/>
      <c r="C1001" s="290"/>
      <c r="D1001" s="290"/>
      <c r="E1001" s="290"/>
      <c r="F1001" s="290"/>
      <c r="G1001" s="290"/>
      <c r="H1001" s="290"/>
      <c r="I1001" s="290"/>
      <c r="J1001" s="290"/>
      <c r="K1001" s="290"/>
      <c r="L1001" s="290"/>
      <c r="M1001" s="308"/>
      <c r="N1001" s="290"/>
      <c r="O1001" s="290"/>
      <c r="P1001" s="290"/>
      <c r="Q1001" s="290"/>
      <c r="R1001" s="290"/>
      <c r="S1001" s="290"/>
      <c r="T1001" s="290"/>
      <c r="U1001" s="294"/>
      <c r="V1001" s="290"/>
      <c r="W1001" s="290"/>
      <c r="X1001" s="291"/>
      <c r="Y1001" s="295"/>
      <c r="Z1001" s="295"/>
      <c r="AA1001" s="296"/>
      <c r="AB1001" s="296"/>
      <c r="AC1001" s="291"/>
      <c r="AD1001" s="291"/>
      <c r="AE1001" s="291"/>
      <c r="AF1001" s="291"/>
      <c r="AG1001" s="291"/>
      <c r="AH1001" s="291"/>
      <c r="AI1001" s="291"/>
      <c r="AJ1001" s="291"/>
      <c r="AK1001" s="290"/>
      <c r="AL1001" s="290"/>
      <c r="AM1001" s="290"/>
      <c r="AN1001" s="290"/>
      <c r="AO1001" s="290"/>
      <c r="AP1001" s="290"/>
      <c r="AQ1001" s="290"/>
      <c r="AR1001" s="290"/>
      <c r="AS1001" s="290"/>
      <c r="AT1001" s="290"/>
      <c r="AU1001" s="290"/>
      <c r="AV1001" s="290"/>
      <c r="AW1001" s="290"/>
      <c r="AX1001" s="290"/>
      <c r="AY1001" s="290"/>
      <c r="AZ1001" s="290"/>
      <c r="BA1001" s="290"/>
      <c r="BG1001" s="307"/>
      <c r="BH1001" s="307"/>
      <c r="BI1001" s="307"/>
      <c r="BK1001" s="300"/>
    </row>
    <row r="1002" spans="1:63" s="298" customFormat="1" hidden="1" x14ac:dyDescent="0.25">
      <c r="A1002" s="290"/>
      <c r="B1002" s="291"/>
      <c r="C1002" s="290"/>
      <c r="D1002" s="290"/>
      <c r="E1002" s="290"/>
      <c r="F1002" s="290"/>
      <c r="G1002" s="290"/>
      <c r="H1002" s="290"/>
      <c r="I1002" s="290"/>
      <c r="J1002" s="290"/>
      <c r="K1002" s="290"/>
      <c r="L1002" s="290"/>
      <c r="M1002" s="308"/>
      <c r="N1002" s="290"/>
      <c r="O1002" s="290"/>
      <c r="P1002" s="290"/>
      <c r="Q1002" s="290"/>
      <c r="R1002" s="290"/>
      <c r="S1002" s="290"/>
      <c r="T1002" s="290"/>
      <c r="U1002" s="294"/>
      <c r="V1002" s="290"/>
      <c r="W1002" s="290"/>
      <c r="X1002" s="291"/>
      <c r="Y1002" s="295"/>
      <c r="Z1002" s="295"/>
      <c r="AA1002" s="296"/>
      <c r="AB1002" s="296"/>
      <c r="AC1002" s="291"/>
      <c r="AD1002" s="291"/>
      <c r="AE1002" s="291"/>
      <c r="AF1002" s="291"/>
      <c r="AG1002" s="291"/>
      <c r="AH1002" s="291"/>
      <c r="AI1002" s="291"/>
      <c r="AJ1002" s="291"/>
      <c r="AK1002" s="290"/>
      <c r="AL1002" s="290"/>
      <c r="AM1002" s="290"/>
      <c r="AN1002" s="290"/>
      <c r="AO1002" s="290"/>
      <c r="AP1002" s="290"/>
      <c r="AQ1002" s="290"/>
      <c r="AR1002" s="290"/>
      <c r="AS1002" s="290"/>
      <c r="AT1002" s="290"/>
      <c r="AU1002" s="290"/>
      <c r="AV1002" s="290"/>
      <c r="AW1002" s="290"/>
      <c r="AX1002" s="290"/>
      <c r="AY1002" s="290"/>
      <c r="AZ1002" s="290"/>
      <c r="BA1002" s="290"/>
      <c r="BG1002" s="307"/>
      <c r="BH1002" s="307"/>
      <c r="BI1002" s="307"/>
      <c r="BK1002" s="300"/>
    </row>
    <row r="1003" spans="1:63" s="298" customFormat="1" hidden="1" x14ac:dyDescent="0.25">
      <c r="A1003" s="290"/>
      <c r="B1003" s="291"/>
      <c r="C1003" s="290"/>
      <c r="D1003" s="290"/>
      <c r="E1003" s="290"/>
      <c r="F1003" s="290"/>
      <c r="G1003" s="290"/>
      <c r="H1003" s="290"/>
      <c r="I1003" s="290"/>
      <c r="J1003" s="290"/>
      <c r="K1003" s="290"/>
      <c r="L1003" s="290"/>
      <c r="M1003" s="308"/>
      <c r="N1003" s="290"/>
      <c r="O1003" s="290"/>
      <c r="P1003" s="290"/>
      <c r="Q1003" s="290"/>
      <c r="R1003" s="290"/>
      <c r="S1003" s="290"/>
      <c r="T1003" s="290"/>
      <c r="U1003" s="294"/>
      <c r="V1003" s="290"/>
      <c r="W1003" s="290"/>
      <c r="X1003" s="291"/>
      <c r="Y1003" s="295"/>
      <c r="Z1003" s="295"/>
      <c r="AA1003" s="296"/>
      <c r="AB1003" s="296"/>
      <c r="AC1003" s="291"/>
      <c r="AD1003" s="291"/>
      <c r="AE1003" s="291"/>
      <c r="AF1003" s="291"/>
      <c r="AG1003" s="291"/>
      <c r="AH1003" s="291"/>
      <c r="AI1003" s="291"/>
      <c r="AJ1003" s="291"/>
      <c r="AK1003" s="290"/>
      <c r="AL1003" s="290"/>
      <c r="AM1003" s="290"/>
      <c r="AN1003" s="290"/>
      <c r="AO1003" s="290"/>
      <c r="AP1003" s="290"/>
      <c r="AQ1003" s="290"/>
      <c r="AR1003" s="290"/>
      <c r="AS1003" s="290"/>
      <c r="AT1003" s="290"/>
      <c r="AU1003" s="290"/>
      <c r="AV1003" s="290"/>
      <c r="AW1003" s="290"/>
      <c r="AX1003" s="290"/>
      <c r="AY1003" s="290"/>
      <c r="AZ1003" s="290"/>
      <c r="BA1003" s="290"/>
      <c r="BG1003" s="307"/>
      <c r="BH1003" s="307"/>
      <c r="BI1003" s="307"/>
      <c r="BK1003" s="300"/>
    </row>
    <row r="1004" spans="1:63" s="298" customFormat="1" hidden="1" x14ac:dyDescent="0.25">
      <c r="A1004" s="290"/>
      <c r="B1004" s="291"/>
      <c r="C1004" s="290"/>
      <c r="D1004" s="290"/>
      <c r="E1004" s="290"/>
      <c r="F1004" s="290"/>
      <c r="G1004" s="290"/>
      <c r="H1004" s="290"/>
      <c r="I1004" s="290"/>
      <c r="J1004" s="290"/>
      <c r="K1004" s="290"/>
      <c r="L1004" s="290"/>
      <c r="M1004" s="308"/>
      <c r="N1004" s="290"/>
      <c r="O1004" s="290"/>
      <c r="P1004" s="290"/>
      <c r="Q1004" s="290"/>
      <c r="R1004" s="290"/>
      <c r="S1004" s="290"/>
      <c r="T1004" s="290"/>
      <c r="U1004" s="294"/>
      <c r="V1004" s="290"/>
      <c r="W1004" s="290"/>
      <c r="X1004" s="291"/>
      <c r="Y1004" s="295"/>
      <c r="Z1004" s="295"/>
      <c r="AA1004" s="296"/>
      <c r="AB1004" s="296"/>
      <c r="AC1004" s="291"/>
      <c r="AD1004" s="291"/>
      <c r="AE1004" s="291"/>
      <c r="AF1004" s="291"/>
      <c r="AG1004" s="291"/>
      <c r="AH1004" s="291"/>
      <c r="AI1004" s="291"/>
      <c r="AJ1004" s="291"/>
      <c r="AK1004" s="290"/>
      <c r="AL1004" s="290"/>
      <c r="AM1004" s="290"/>
      <c r="AN1004" s="290"/>
      <c r="AO1004" s="290"/>
      <c r="AP1004" s="290"/>
      <c r="AQ1004" s="290"/>
      <c r="AR1004" s="290"/>
      <c r="AS1004" s="290"/>
      <c r="AT1004" s="290"/>
      <c r="AU1004" s="290"/>
      <c r="AV1004" s="290"/>
      <c r="AW1004" s="290"/>
      <c r="AX1004" s="290"/>
      <c r="AY1004" s="290"/>
      <c r="AZ1004" s="290"/>
      <c r="BA1004" s="290"/>
      <c r="BG1004" s="307"/>
      <c r="BH1004" s="307"/>
      <c r="BI1004" s="307"/>
      <c r="BK1004" s="300"/>
    </row>
    <row r="1005" spans="1:63" s="298" customFormat="1" hidden="1" x14ac:dyDescent="0.25">
      <c r="A1005" s="290"/>
      <c r="B1005" s="291"/>
      <c r="C1005" s="290"/>
      <c r="D1005" s="290"/>
      <c r="E1005" s="290"/>
      <c r="F1005" s="290"/>
      <c r="G1005" s="290"/>
      <c r="H1005" s="290"/>
      <c r="I1005" s="290"/>
      <c r="J1005" s="290"/>
      <c r="K1005" s="290"/>
      <c r="L1005" s="290"/>
      <c r="M1005" s="308"/>
      <c r="N1005" s="290"/>
      <c r="O1005" s="290"/>
      <c r="P1005" s="290"/>
      <c r="Q1005" s="290"/>
      <c r="R1005" s="290"/>
      <c r="S1005" s="290"/>
      <c r="T1005" s="290"/>
      <c r="U1005" s="294"/>
      <c r="V1005" s="290"/>
      <c r="W1005" s="290"/>
      <c r="X1005" s="291"/>
      <c r="Y1005" s="295"/>
      <c r="Z1005" s="295"/>
      <c r="AA1005" s="296"/>
      <c r="AB1005" s="296"/>
      <c r="AC1005" s="291"/>
      <c r="AD1005" s="291"/>
      <c r="AE1005" s="291"/>
      <c r="AF1005" s="291"/>
      <c r="AG1005" s="291"/>
      <c r="AH1005" s="291"/>
      <c r="AI1005" s="291"/>
      <c r="AJ1005" s="291"/>
      <c r="AK1005" s="290"/>
      <c r="AL1005" s="290"/>
      <c r="AM1005" s="290"/>
      <c r="AN1005" s="290"/>
      <c r="AO1005" s="290"/>
      <c r="AP1005" s="290"/>
      <c r="AQ1005" s="290"/>
      <c r="AR1005" s="290"/>
      <c r="AS1005" s="290"/>
      <c r="AT1005" s="290"/>
      <c r="AU1005" s="290"/>
      <c r="AV1005" s="290"/>
      <c r="AW1005" s="290"/>
      <c r="AX1005" s="290"/>
      <c r="AY1005" s="290"/>
      <c r="AZ1005" s="290"/>
      <c r="BA1005" s="290"/>
      <c r="BG1005" s="307"/>
      <c r="BH1005" s="307"/>
      <c r="BI1005" s="307"/>
      <c r="BK1005" s="300"/>
    </row>
    <row r="1006" spans="1:63" s="298" customFormat="1" hidden="1" x14ac:dyDescent="0.25">
      <c r="A1006" s="290"/>
      <c r="B1006" s="291"/>
      <c r="C1006" s="290"/>
      <c r="D1006" s="290"/>
      <c r="E1006" s="290"/>
      <c r="F1006" s="290"/>
      <c r="G1006" s="290"/>
      <c r="H1006" s="290"/>
      <c r="I1006" s="290"/>
      <c r="J1006" s="290"/>
      <c r="K1006" s="290"/>
      <c r="L1006" s="290"/>
      <c r="M1006" s="308"/>
      <c r="N1006" s="290"/>
      <c r="O1006" s="290"/>
      <c r="P1006" s="290"/>
      <c r="Q1006" s="290"/>
      <c r="R1006" s="290"/>
      <c r="S1006" s="290"/>
      <c r="T1006" s="290"/>
      <c r="U1006" s="294"/>
      <c r="V1006" s="290"/>
      <c r="W1006" s="290"/>
      <c r="X1006" s="291"/>
      <c r="Y1006" s="295"/>
      <c r="Z1006" s="295"/>
      <c r="AA1006" s="296"/>
      <c r="AB1006" s="296"/>
      <c r="AC1006" s="291"/>
      <c r="AD1006" s="291"/>
      <c r="AE1006" s="291"/>
      <c r="AF1006" s="291"/>
      <c r="AG1006" s="291"/>
      <c r="AH1006" s="291"/>
      <c r="AI1006" s="291"/>
      <c r="AJ1006" s="291"/>
      <c r="AK1006" s="290"/>
      <c r="AL1006" s="290"/>
      <c r="AM1006" s="290"/>
      <c r="AN1006" s="290"/>
      <c r="AO1006" s="290"/>
      <c r="AP1006" s="290"/>
      <c r="AQ1006" s="290"/>
      <c r="AR1006" s="290"/>
      <c r="AS1006" s="290"/>
      <c r="AT1006" s="290"/>
      <c r="AU1006" s="290"/>
      <c r="AV1006" s="290"/>
      <c r="AW1006" s="290"/>
      <c r="AX1006" s="290"/>
      <c r="AY1006" s="290"/>
      <c r="AZ1006" s="290"/>
      <c r="BA1006" s="290"/>
      <c r="BG1006" s="307"/>
      <c r="BH1006" s="307"/>
      <c r="BI1006" s="307"/>
      <c r="BK1006" s="300"/>
    </row>
    <row r="1007" spans="1:63" s="298" customFormat="1" hidden="1" x14ac:dyDescent="0.25">
      <c r="A1007" s="290"/>
      <c r="B1007" s="291"/>
      <c r="C1007" s="290"/>
      <c r="D1007" s="290"/>
      <c r="E1007" s="290"/>
      <c r="F1007" s="290"/>
      <c r="G1007" s="290"/>
      <c r="H1007" s="290"/>
      <c r="I1007" s="290"/>
      <c r="J1007" s="290"/>
      <c r="K1007" s="290"/>
      <c r="L1007" s="290"/>
      <c r="M1007" s="308"/>
      <c r="N1007" s="290"/>
      <c r="O1007" s="290"/>
      <c r="P1007" s="290"/>
      <c r="Q1007" s="290"/>
      <c r="R1007" s="290"/>
      <c r="S1007" s="290"/>
      <c r="T1007" s="290"/>
      <c r="U1007" s="294"/>
      <c r="V1007" s="290"/>
      <c r="W1007" s="290"/>
      <c r="X1007" s="291"/>
      <c r="Y1007" s="295"/>
      <c r="Z1007" s="295"/>
      <c r="AA1007" s="296"/>
      <c r="AB1007" s="296"/>
      <c r="AC1007" s="291"/>
      <c r="AD1007" s="291"/>
      <c r="AE1007" s="291"/>
      <c r="AF1007" s="291"/>
      <c r="AG1007" s="291"/>
      <c r="AH1007" s="291"/>
      <c r="AI1007" s="291"/>
      <c r="AJ1007" s="291"/>
      <c r="AK1007" s="290"/>
      <c r="AL1007" s="290"/>
      <c r="AM1007" s="290"/>
      <c r="AN1007" s="290"/>
      <c r="AO1007" s="290"/>
      <c r="AP1007" s="290"/>
      <c r="AQ1007" s="290"/>
      <c r="AR1007" s="290"/>
      <c r="AS1007" s="290"/>
      <c r="AT1007" s="290"/>
      <c r="AU1007" s="290"/>
      <c r="AV1007" s="290"/>
      <c r="AW1007" s="290"/>
      <c r="AX1007" s="290"/>
      <c r="AY1007" s="290"/>
      <c r="AZ1007" s="290"/>
      <c r="BA1007" s="290"/>
      <c r="BG1007" s="307"/>
      <c r="BH1007" s="307"/>
      <c r="BI1007" s="307"/>
      <c r="BK1007" s="300"/>
    </row>
    <row r="1008" spans="1:63" s="298" customFormat="1" hidden="1" x14ac:dyDescent="0.25">
      <c r="A1008" s="290"/>
      <c r="B1008" s="291"/>
      <c r="C1008" s="290"/>
      <c r="D1008" s="290"/>
      <c r="E1008" s="290"/>
      <c r="F1008" s="290"/>
      <c r="G1008" s="290"/>
      <c r="H1008" s="290"/>
      <c r="I1008" s="290"/>
      <c r="J1008" s="290"/>
      <c r="K1008" s="290"/>
      <c r="L1008" s="290"/>
      <c r="M1008" s="308"/>
      <c r="N1008" s="290"/>
      <c r="O1008" s="290"/>
      <c r="P1008" s="290"/>
      <c r="Q1008" s="290"/>
      <c r="R1008" s="290"/>
      <c r="S1008" s="290"/>
      <c r="T1008" s="290"/>
      <c r="U1008" s="294"/>
      <c r="V1008" s="290"/>
      <c r="W1008" s="290"/>
      <c r="X1008" s="291"/>
      <c r="Y1008" s="295"/>
      <c r="Z1008" s="295"/>
      <c r="AA1008" s="296"/>
      <c r="AB1008" s="296"/>
      <c r="AC1008" s="291"/>
      <c r="AD1008" s="291"/>
      <c r="AE1008" s="291"/>
      <c r="AF1008" s="291"/>
      <c r="AG1008" s="291"/>
      <c r="AH1008" s="291"/>
      <c r="AI1008" s="291"/>
      <c r="AJ1008" s="291"/>
      <c r="AK1008" s="290"/>
      <c r="AL1008" s="290"/>
      <c r="AM1008" s="290"/>
      <c r="AN1008" s="290"/>
      <c r="AO1008" s="290"/>
      <c r="AP1008" s="290"/>
      <c r="AQ1008" s="290"/>
      <c r="AR1008" s="290"/>
      <c r="AS1008" s="290"/>
      <c r="AT1008" s="290"/>
      <c r="AU1008" s="290"/>
      <c r="AV1008" s="290"/>
      <c r="AW1008" s="290"/>
      <c r="AX1008" s="290"/>
      <c r="AY1008" s="290"/>
      <c r="AZ1008" s="290"/>
      <c r="BA1008" s="290"/>
      <c r="BG1008" s="307"/>
      <c r="BH1008" s="307"/>
      <c r="BI1008" s="307"/>
      <c r="BK1008" s="300"/>
    </row>
    <row r="1009" spans="1:63" s="298" customFormat="1" hidden="1" x14ac:dyDescent="0.25">
      <c r="A1009" s="290"/>
      <c r="B1009" s="291"/>
      <c r="C1009" s="290"/>
      <c r="D1009" s="290"/>
      <c r="E1009" s="290"/>
      <c r="F1009" s="290"/>
      <c r="G1009" s="290"/>
      <c r="H1009" s="290"/>
      <c r="I1009" s="290"/>
      <c r="J1009" s="290"/>
      <c r="K1009" s="290"/>
      <c r="L1009" s="290"/>
      <c r="M1009" s="308"/>
      <c r="N1009" s="290"/>
      <c r="O1009" s="290"/>
      <c r="P1009" s="290"/>
      <c r="Q1009" s="290"/>
      <c r="R1009" s="290"/>
      <c r="S1009" s="290"/>
      <c r="T1009" s="290"/>
      <c r="U1009" s="294"/>
      <c r="V1009" s="290"/>
      <c r="W1009" s="290"/>
      <c r="X1009" s="291"/>
      <c r="Y1009" s="295"/>
      <c r="Z1009" s="295"/>
      <c r="AA1009" s="296"/>
      <c r="AB1009" s="296"/>
      <c r="AC1009" s="291"/>
      <c r="AD1009" s="291"/>
      <c r="AE1009" s="291"/>
      <c r="AF1009" s="291"/>
      <c r="AG1009" s="291"/>
      <c r="AH1009" s="291"/>
      <c r="AI1009" s="291"/>
      <c r="AJ1009" s="291"/>
      <c r="AK1009" s="290"/>
      <c r="AL1009" s="290"/>
      <c r="AM1009" s="290"/>
      <c r="AN1009" s="290"/>
      <c r="AO1009" s="290"/>
      <c r="AP1009" s="290"/>
      <c r="AQ1009" s="290"/>
      <c r="AR1009" s="290"/>
      <c r="AS1009" s="290"/>
      <c r="AT1009" s="290"/>
      <c r="AU1009" s="290"/>
      <c r="AV1009" s="290"/>
      <c r="AW1009" s="290"/>
      <c r="AX1009" s="290"/>
      <c r="AY1009" s="290"/>
      <c r="AZ1009" s="290"/>
      <c r="BA1009" s="290"/>
      <c r="BG1009" s="307"/>
      <c r="BH1009" s="307"/>
      <c r="BI1009" s="307"/>
      <c r="BK1009" s="300"/>
    </row>
    <row r="1010" spans="1:63" s="298" customFormat="1" hidden="1" x14ac:dyDescent="0.25">
      <c r="A1010" s="290"/>
      <c r="B1010" s="291"/>
      <c r="C1010" s="290"/>
      <c r="D1010" s="290"/>
      <c r="E1010" s="290"/>
      <c r="F1010" s="290"/>
      <c r="G1010" s="290"/>
      <c r="H1010" s="290"/>
      <c r="I1010" s="290"/>
      <c r="J1010" s="290"/>
      <c r="K1010" s="290"/>
      <c r="L1010" s="290"/>
      <c r="M1010" s="308"/>
      <c r="N1010" s="290"/>
      <c r="O1010" s="290"/>
      <c r="P1010" s="290"/>
      <c r="Q1010" s="290"/>
      <c r="R1010" s="290"/>
      <c r="S1010" s="290"/>
      <c r="T1010" s="290"/>
      <c r="U1010" s="294"/>
      <c r="V1010" s="290"/>
      <c r="W1010" s="290"/>
      <c r="X1010" s="291"/>
      <c r="Y1010" s="295"/>
      <c r="Z1010" s="295"/>
      <c r="AA1010" s="296"/>
      <c r="AB1010" s="296"/>
      <c r="AC1010" s="291"/>
      <c r="AD1010" s="291"/>
      <c r="AE1010" s="291"/>
      <c r="AF1010" s="291"/>
      <c r="AG1010" s="291"/>
      <c r="AH1010" s="291"/>
      <c r="AI1010" s="291"/>
      <c r="AJ1010" s="291"/>
      <c r="AK1010" s="290"/>
      <c r="AL1010" s="290"/>
      <c r="AM1010" s="290"/>
      <c r="AN1010" s="290"/>
      <c r="AO1010" s="290"/>
      <c r="AP1010" s="290"/>
      <c r="AQ1010" s="290"/>
      <c r="AR1010" s="290"/>
      <c r="AS1010" s="290"/>
      <c r="AT1010" s="290"/>
      <c r="AU1010" s="290"/>
      <c r="AV1010" s="290"/>
      <c r="AW1010" s="290"/>
      <c r="AX1010" s="290"/>
      <c r="AY1010" s="290"/>
      <c r="AZ1010" s="290"/>
      <c r="BA1010" s="290"/>
      <c r="BG1010" s="307"/>
      <c r="BH1010" s="307"/>
      <c r="BI1010" s="307"/>
      <c r="BK1010" s="300"/>
    </row>
    <row r="1011" spans="1:63" s="298" customFormat="1" hidden="1" x14ac:dyDescent="0.25">
      <c r="A1011" s="290"/>
      <c r="B1011" s="291"/>
      <c r="C1011" s="290"/>
      <c r="D1011" s="290"/>
      <c r="E1011" s="290"/>
      <c r="F1011" s="290"/>
      <c r="G1011" s="290"/>
      <c r="H1011" s="290"/>
      <c r="I1011" s="290"/>
      <c r="J1011" s="290"/>
      <c r="K1011" s="290"/>
      <c r="L1011" s="290"/>
      <c r="M1011" s="308"/>
      <c r="N1011" s="290"/>
      <c r="O1011" s="290"/>
      <c r="P1011" s="290"/>
      <c r="Q1011" s="290"/>
      <c r="R1011" s="290"/>
      <c r="S1011" s="290"/>
      <c r="T1011" s="290"/>
      <c r="U1011" s="294"/>
      <c r="V1011" s="290"/>
      <c r="W1011" s="290"/>
      <c r="X1011" s="291"/>
      <c r="Y1011" s="295"/>
      <c r="Z1011" s="295"/>
      <c r="AA1011" s="296"/>
      <c r="AB1011" s="296"/>
      <c r="AC1011" s="291"/>
      <c r="AD1011" s="291"/>
      <c r="AE1011" s="291"/>
      <c r="AF1011" s="291"/>
      <c r="AG1011" s="291"/>
      <c r="AH1011" s="291"/>
      <c r="AI1011" s="291"/>
      <c r="AJ1011" s="291"/>
      <c r="AK1011" s="290"/>
      <c r="AL1011" s="290"/>
      <c r="AM1011" s="290"/>
      <c r="AN1011" s="290"/>
      <c r="AO1011" s="290"/>
      <c r="AP1011" s="290"/>
      <c r="AQ1011" s="290"/>
      <c r="AR1011" s="290"/>
      <c r="AS1011" s="290"/>
      <c r="AT1011" s="290"/>
      <c r="AU1011" s="290"/>
      <c r="AV1011" s="290"/>
      <c r="AW1011" s="290"/>
      <c r="AX1011" s="290"/>
      <c r="AY1011" s="290"/>
      <c r="AZ1011" s="290"/>
      <c r="BA1011" s="290"/>
      <c r="BG1011" s="307"/>
      <c r="BH1011" s="307"/>
      <c r="BI1011" s="307"/>
      <c r="BK1011" s="300"/>
    </row>
    <row r="1012" spans="1:63" s="298" customFormat="1" hidden="1" x14ac:dyDescent="0.25">
      <c r="A1012" s="290"/>
      <c r="B1012" s="291"/>
      <c r="C1012" s="290"/>
      <c r="D1012" s="290"/>
      <c r="E1012" s="290"/>
      <c r="F1012" s="290"/>
      <c r="G1012" s="290"/>
      <c r="H1012" s="290"/>
      <c r="I1012" s="290"/>
      <c r="J1012" s="290"/>
      <c r="K1012" s="290"/>
      <c r="L1012" s="290"/>
      <c r="M1012" s="308"/>
      <c r="N1012" s="290"/>
      <c r="O1012" s="290"/>
      <c r="P1012" s="290"/>
      <c r="Q1012" s="290"/>
      <c r="R1012" s="290"/>
      <c r="S1012" s="290"/>
      <c r="T1012" s="290"/>
      <c r="U1012" s="294"/>
      <c r="V1012" s="290"/>
      <c r="W1012" s="290"/>
      <c r="X1012" s="291"/>
      <c r="Y1012" s="295"/>
      <c r="Z1012" s="295"/>
      <c r="AA1012" s="296"/>
      <c r="AB1012" s="296"/>
      <c r="AC1012" s="291"/>
      <c r="AD1012" s="291"/>
      <c r="AE1012" s="291"/>
      <c r="AF1012" s="291"/>
      <c r="AG1012" s="291"/>
      <c r="AH1012" s="291"/>
      <c r="AI1012" s="291"/>
      <c r="AJ1012" s="291"/>
      <c r="AK1012" s="290"/>
      <c r="AL1012" s="290"/>
      <c r="AM1012" s="290"/>
      <c r="AN1012" s="290"/>
      <c r="AO1012" s="290"/>
      <c r="AP1012" s="290"/>
      <c r="AQ1012" s="290"/>
      <c r="AR1012" s="290"/>
      <c r="AS1012" s="290"/>
      <c r="AT1012" s="290"/>
      <c r="AU1012" s="290"/>
      <c r="AV1012" s="290"/>
      <c r="AW1012" s="290"/>
      <c r="AX1012" s="290"/>
      <c r="AY1012" s="290"/>
      <c r="AZ1012" s="290"/>
      <c r="BA1012" s="290"/>
      <c r="BG1012" s="307"/>
      <c r="BH1012" s="307"/>
      <c r="BI1012" s="307"/>
      <c r="BK1012" s="300"/>
    </row>
    <row r="1013" spans="1:63" s="298" customFormat="1" hidden="1" x14ac:dyDescent="0.25">
      <c r="A1013" s="290"/>
      <c r="B1013" s="291"/>
      <c r="C1013" s="290"/>
      <c r="D1013" s="290"/>
      <c r="E1013" s="290"/>
      <c r="F1013" s="290"/>
      <c r="G1013" s="290"/>
      <c r="H1013" s="290"/>
      <c r="I1013" s="290"/>
      <c r="J1013" s="290"/>
      <c r="K1013" s="290"/>
      <c r="L1013" s="290"/>
      <c r="M1013" s="308"/>
      <c r="N1013" s="290"/>
      <c r="O1013" s="290"/>
      <c r="P1013" s="290"/>
      <c r="Q1013" s="290"/>
      <c r="R1013" s="290"/>
      <c r="S1013" s="290"/>
      <c r="T1013" s="290"/>
      <c r="U1013" s="294"/>
      <c r="V1013" s="290"/>
      <c r="W1013" s="290"/>
      <c r="X1013" s="291"/>
      <c r="Y1013" s="295"/>
      <c r="Z1013" s="295"/>
      <c r="AA1013" s="296"/>
      <c r="AB1013" s="296"/>
      <c r="AC1013" s="291"/>
      <c r="AD1013" s="291"/>
      <c r="AE1013" s="291"/>
      <c r="AF1013" s="291"/>
      <c r="AG1013" s="291"/>
      <c r="AH1013" s="291"/>
      <c r="AI1013" s="291"/>
      <c r="AJ1013" s="291"/>
      <c r="AK1013" s="290"/>
      <c r="AL1013" s="290"/>
      <c r="AM1013" s="290"/>
      <c r="AN1013" s="290"/>
      <c r="AO1013" s="290"/>
      <c r="AP1013" s="290"/>
      <c r="AQ1013" s="290"/>
      <c r="AR1013" s="290"/>
      <c r="AS1013" s="290"/>
      <c r="AT1013" s="290"/>
      <c r="AU1013" s="290"/>
      <c r="AV1013" s="290"/>
      <c r="AW1013" s="290"/>
      <c r="AX1013" s="290"/>
      <c r="AY1013" s="290"/>
      <c r="AZ1013" s="290"/>
      <c r="BA1013" s="290"/>
      <c r="BG1013" s="307"/>
      <c r="BH1013" s="307"/>
      <c r="BI1013" s="307"/>
      <c r="BK1013" s="300"/>
    </row>
    <row r="1014" spans="1:63" s="298" customFormat="1" hidden="1" x14ac:dyDescent="0.25">
      <c r="A1014" s="290"/>
      <c r="B1014" s="291"/>
      <c r="C1014" s="290"/>
      <c r="D1014" s="290"/>
      <c r="E1014" s="290"/>
      <c r="F1014" s="290"/>
      <c r="G1014" s="290"/>
      <c r="H1014" s="290"/>
      <c r="I1014" s="290"/>
      <c r="J1014" s="290"/>
      <c r="K1014" s="290"/>
      <c r="L1014" s="290"/>
      <c r="M1014" s="308"/>
      <c r="N1014" s="290"/>
      <c r="O1014" s="290"/>
      <c r="P1014" s="290"/>
      <c r="Q1014" s="290"/>
      <c r="R1014" s="290"/>
      <c r="S1014" s="290"/>
      <c r="T1014" s="290"/>
      <c r="U1014" s="294"/>
      <c r="V1014" s="290"/>
      <c r="W1014" s="290"/>
      <c r="X1014" s="291"/>
      <c r="Y1014" s="295"/>
      <c r="Z1014" s="295"/>
      <c r="AA1014" s="296"/>
      <c r="AB1014" s="296"/>
      <c r="AC1014" s="291"/>
      <c r="AD1014" s="291"/>
      <c r="AE1014" s="291"/>
      <c r="AF1014" s="291"/>
      <c r="AG1014" s="291"/>
      <c r="AH1014" s="291"/>
      <c r="AI1014" s="291"/>
      <c r="AJ1014" s="291"/>
      <c r="AK1014" s="290"/>
      <c r="AL1014" s="290"/>
      <c r="AM1014" s="290"/>
      <c r="AN1014" s="290"/>
      <c r="AO1014" s="290"/>
      <c r="AP1014" s="290"/>
      <c r="AQ1014" s="290"/>
      <c r="AR1014" s="290"/>
      <c r="AS1014" s="290"/>
      <c r="AT1014" s="290"/>
      <c r="AU1014" s="290"/>
      <c r="AV1014" s="290"/>
      <c r="AW1014" s="290"/>
      <c r="AX1014" s="290"/>
      <c r="AY1014" s="290"/>
      <c r="AZ1014" s="290"/>
      <c r="BA1014" s="290"/>
      <c r="BG1014" s="307"/>
      <c r="BH1014" s="307"/>
      <c r="BI1014" s="307"/>
      <c r="BK1014" s="300"/>
    </row>
    <row r="1015" spans="1:63" s="298" customFormat="1" hidden="1" x14ac:dyDescent="0.25">
      <c r="A1015" s="290"/>
      <c r="B1015" s="291"/>
      <c r="C1015" s="290"/>
      <c r="D1015" s="290"/>
      <c r="E1015" s="290"/>
      <c r="F1015" s="290"/>
      <c r="G1015" s="290"/>
      <c r="H1015" s="290"/>
      <c r="I1015" s="290"/>
      <c r="J1015" s="290"/>
      <c r="K1015" s="290"/>
      <c r="L1015" s="290"/>
      <c r="M1015" s="308"/>
      <c r="N1015" s="290"/>
      <c r="O1015" s="290"/>
      <c r="P1015" s="290"/>
      <c r="Q1015" s="290"/>
      <c r="R1015" s="290"/>
      <c r="S1015" s="290"/>
      <c r="T1015" s="290"/>
      <c r="U1015" s="294"/>
      <c r="V1015" s="290"/>
      <c r="W1015" s="290"/>
      <c r="X1015" s="291"/>
      <c r="Y1015" s="295"/>
      <c r="Z1015" s="295"/>
      <c r="AA1015" s="296"/>
      <c r="AB1015" s="296"/>
      <c r="AC1015" s="291"/>
      <c r="AD1015" s="291"/>
      <c r="AE1015" s="291"/>
      <c r="AF1015" s="291"/>
      <c r="AG1015" s="291"/>
      <c r="AH1015" s="291"/>
      <c r="AI1015" s="291"/>
      <c r="AJ1015" s="291"/>
      <c r="AK1015" s="290"/>
      <c r="AL1015" s="290"/>
      <c r="AM1015" s="290"/>
      <c r="AN1015" s="290"/>
      <c r="AO1015" s="290"/>
      <c r="AP1015" s="290"/>
      <c r="AQ1015" s="290"/>
      <c r="AR1015" s="290"/>
      <c r="AS1015" s="290"/>
      <c r="AT1015" s="290"/>
      <c r="AU1015" s="290"/>
      <c r="AV1015" s="290"/>
      <c r="AW1015" s="290"/>
      <c r="AX1015" s="290"/>
      <c r="AY1015" s="290"/>
      <c r="AZ1015" s="290"/>
      <c r="BA1015" s="290"/>
      <c r="BG1015" s="307"/>
      <c r="BH1015" s="307"/>
      <c r="BI1015" s="307"/>
      <c r="BK1015" s="300"/>
    </row>
    <row r="1016" spans="1:63" s="298" customFormat="1" hidden="1" x14ac:dyDescent="0.25">
      <c r="A1016" s="290"/>
      <c r="B1016" s="291"/>
      <c r="C1016" s="290"/>
      <c r="D1016" s="290"/>
      <c r="E1016" s="290"/>
      <c r="F1016" s="290"/>
      <c r="G1016" s="290"/>
      <c r="H1016" s="290"/>
      <c r="I1016" s="290"/>
      <c r="J1016" s="290"/>
      <c r="K1016" s="290"/>
      <c r="L1016" s="290"/>
      <c r="M1016" s="308"/>
      <c r="N1016" s="290"/>
      <c r="O1016" s="290"/>
      <c r="P1016" s="290"/>
      <c r="Q1016" s="290"/>
      <c r="R1016" s="290"/>
      <c r="S1016" s="290"/>
      <c r="T1016" s="290"/>
      <c r="U1016" s="294"/>
      <c r="V1016" s="290"/>
      <c r="W1016" s="290"/>
      <c r="X1016" s="291"/>
      <c r="Y1016" s="295"/>
      <c r="Z1016" s="295"/>
      <c r="AA1016" s="296"/>
      <c r="AB1016" s="296"/>
      <c r="AC1016" s="291"/>
      <c r="AD1016" s="291"/>
      <c r="AE1016" s="291"/>
      <c r="AF1016" s="291"/>
      <c r="AG1016" s="291"/>
      <c r="AH1016" s="291"/>
      <c r="AI1016" s="291"/>
      <c r="AJ1016" s="291"/>
      <c r="AK1016" s="290"/>
      <c r="AL1016" s="290"/>
      <c r="AM1016" s="290"/>
      <c r="AN1016" s="290"/>
      <c r="AO1016" s="290"/>
      <c r="AP1016" s="290"/>
      <c r="AQ1016" s="290"/>
      <c r="AR1016" s="290"/>
      <c r="AS1016" s="290"/>
      <c r="AT1016" s="290"/>
      <c r="AU1016" s="290"/>
      <c r="AV1016" s="290"/>
      <c r="AW1016" s="290"/>
      <c r="AX1016" s="290"/>
      <c r="AY1016" s="290"/>
      <c r="AZ1016" s="290"/>
      <c r="BA1016" s="290"/>
      <c r="BG1016" s="307"/>
      <c r="BH1016" s="307"/>
      <c r="BI1016" s="307"/>
      <c r="BK1016" s="300"/>
    </row>
    <row r="1017" spans="1:63" s="298" customFormat="1" hidden="1" x14ac:dyDescent="0.25">
      <c r="A1017" s="290"/>
      <c r="B1017" s="291"/>
      <c r="C1017" s="290"/>
      <c r="D1017" s="290"/>
      <c r="E1017" s="290"/>
      <c r="F1017" s="290"/>
      <c r="G1017" s="290"/>
      <c r="H1017" s="290"/>
      <c r="I1017" s="290"/>
      <c r="J1017" s="290"/>
      <c r="K1017" s="290"/>
      <c r="L1017" s="290"/>
      <c r="M1017" s="308"/>
      <c r="N1017" s="290"/>
      <c r="O1017" s="290"/>
      <c r="P1017" s="290"/>
      <c r="Q1017" s="290"/>
      <c r="R1017" s="290"/>
      <c r="S1017" s="290"/>
      <c r="T1017" s="290"/>
      <c r="U1017" s="294"/>
      <c r="V1017" s="290"/>
      <c r="W1017" s="290"/>
      <c r="X1017" s="291"/>
      <c r="Y1017" s="295"/>
      <c r="Z1017" s="295"/>
      <c r="AA1017" s="296"/>
      <c r="AB1017" s="296"/>
      <c r="AC1017" s="291"/>
      <c r="AD1017" s="291"/>
      <c r="AE1017" s="291"/>
      <c r="AF1017" s="291"/>
      <c r="AG1017" s="291"/>
      <c r="AH1017" s="291"/>
      <c r="AI1017" s="291"/>
      <c r="AJ1017" s="291"/>
      <c r="AK1017" s="290"/>
      <c r="AL1017" s="290"/>
      <c r="AM1017" s="290"/>
      <c r="AN1017" s="290"/>
      <c r="AO1017" s="290"/>
      <c r="AP1017" s="290"/>
      <c r="AQ1017" s="290"/>
      <c r="AR1017" s="290"/>
      <c r="AS1017" s="290"/>
      <c r="AT1017" s="290"/>
      <c r="AU1017" s="290"/>
      <c r="AV1017" s="290"/>
      <c r="AW1017" s="290"/>
      <c r="AX1017" s="290"/>
      <c r="AY1017" s="290"/>
      <c r="AZ1017" s="290"/>
      <c r="BA1017" s="290"/>
      <c r="BG1017" s="307"/>
      <c r="BH1017" s="307"/>
      <c r="BI1017" s="307"/>
      <c r="BK1017" s="300"/>
    </row>
    <row r="1018" spans="1:63" s="298" customFormat="1" hidden="1" x14ac:dyDescent="0.25">
      <c r="A1018" s="290"/>
      <c r="B1018" s="291"/>
      <c r="C1018" s="290"/>
      <c r="D1018" s="290"/>
      <c r="E1018" s="290"/>
      <c r="F1018" s="290"/>
      <c r="G1018" s="290"/>
      <c r="H1018" s="290"/>
      <c r="I1018" s="290"/>
      <c r="J1018" s="290"/>
      <c r="K1018" s="290"/>
      <c r="L1018" s="290"/>
      <c r="M1018" s="308"/>
      <c r="N1018" s="290"/>
      <c r="O1018" s="290"/>
      <c r="P1018" s="290"/>
      <c r="Q1018" s="290"/>
      <c r="R1018" s="290"/>
      <c r="S1018" s="290"/>
      <c r="T1018" s="290"/>
      <c r="U1018" s="294"/>
      <c r="V1018" s="290"/>
      <c r="W1018" s="290"/>
      <c r="X1018" s="291"/>
      <c r="Y1018" s="295"/>
      <c r="Z1018" s="295"/>
      <c r="AA1018" s="296"/>
      <c r="AB1018" s="296"/>
      <c r="AC1018" s="291"/>
      <c r="AD1018" s="291"/>
      <c r="AE1018" s="291"/>
      <c r="AF1018" s="291"/>
      <c r="AG1018" s="291"/>
      <c r="AH1018" s="291"/>
      <c r="AI1018" s="291"/>
      <c r="AJ1018" s="291"/>
      <c r="AK1018" s="290"/>
      <c r="AL1018" s="290"/>
      <c r="AM1018" s="290"/>
      <c r="AN1018" s="290"/>
      <c r="AO1018" s="290"/>
      <c r="AP1018" s="290"/>
      <c r="AQ1018" s="290"/>
      <c r="AR1018" s="290"/>
      <c r="AS1018" s="290"/>
      <c r="AT1018" s="290"/>
      <c r="AU1018" s="290"/>
      <c r="AV1018" s="290"/>
      <c r="AW1018" s="290"/>
      <c r="AX1018" s="290"/>
      <c r="AY1018" s="290"/>
      <c r="AZ1018" s="290"/>
      <c r="BA1018" s="290"/>
      <c r="BG1018" s="307"/>
      <c r="BH1018" s="307"/>
      <c r="BI1018" s="307"/>
      <c r="BK1018" s="300"/>
    </row>
    <row r="1019" spans="1:63" s="298" customFormat="1" hidden="1" x14ac:dyDescent="0.25">
      <c r="A1019" s="290"/>
      <c r="B1019" s="291"/>
      <c r="C1019" s="290"/>
      <c r="D1019" s="290"/>
      <c r="E1019" s="290"/>
      <c r="F1019" s="290"/>
      <c r="G1019" s="290"/>
      <c r="H1019" s="290"/>
      <c r="I1019" s="290"/>
      <c r="J1019" s="290"/>
      <c r="K1019" s="290"/>
      <c r="L1019" s="290"/>
      <c r="M1019" s="308"/>
      <c r="N1019" s="290"/>
      <c r="O1019" s="290"/>
      <c r="P1019" s="290"/>
      <c r="Q1019" s="290"/>
      <c r="R1019" s="290"/>
      <c r="S1019" s="290"/>
      <c r="T1019" s="290"/>
      <c r="U1019" s="294"/>
      <c r="V1019" s="290"/>
      <c r="W1019" s="290"/>
      <c r="X1019" s="291"/>
      <c r="Y1019" s="295"/>
      <c r="Z1019" s="295"/>
      <c r="AA1019" s="296"/>
      <c r="AB1019" s="296"/>
      <c r="AC1019" s="291"/>
      <c r="AD1019" s="291"/>
      <c r="AE1019" s="291"/>
      <c r="AF1019" s="291"/>
      <c r="AG1019" s="291"/>
      <c r="AH1019" s="291"/>
      <c r="AI1019" s="291"/>
      <c r="AJ1019" s="291"/>
      <c r="AK1019" s="290"/>
      <c r="AL1019" s="290"/>
      <c r="AM1019" s="290"/>
      <c r="AN1019" s="290"/>
      <c r="AO1019" s="290"/>
      <c r="AP1019" s="290"/>
      <c r="AQ1019" s="290"/>
      <c r="AR1019" s="290"/>
      <c r="AS1019" s="290"/>
      <c r="AT1019" s="290"/>
      <c r="AU1019" s="290"/>
      <c r="AV1019" s="290"/>
      <c r="AW1019" s="290"/>
      <c r="AX1019" s="290"/>
      <c r="AY1019" s="290"/>
      <c r="AZ1019" s="290"/>
      <c r="BA1019" s="290"/>
      <c r="BG1019" s="307"/>
      <c r="BH1019" s="307"/>
      <c r="BI1019" s="307"/>
      <c r="BK1019" s="300"/>
    </row>
    <row r="1020" spans="1:63" s="298" customFormat="1" hidden="1" x14ac:dyDescent="0.25">
      <c r="A1020" s="290"/>
      <c r="B1020" s="291"/>
      <c r="C1020" s="290"/>
      <c r="D1020" s="290"/>
      <c r="E1020" s="290"/>
      <c r="F1020" s="290"/>
      <c r="G1020" s="290"/>
      <c r="H1020" s="290"/>
      <c r="I1020" s="290"/>
      <c r="J1020" s="290"/>
      <c r="K1020" s="290"/>
      <c r="L1020" s="290"/>
      <c r="M1020" s="308"/>
      <c r="N1020" s="290"/>
      <c r="O1020" s="290"/>
      <c r="P1020" s="290"/>
      <c r="Q1020" s="290"/>
      <c r="R1020" s="290"/>
      <c r="S1020" s="290"/>
      <c r="T1020" s="290"/>
      <c r="U1020" s="294"/>
      <c r="V1020" s="290"/>
      <c r="W1020" s="290"/>
      <c r="X1020" s="291"/>
      <c r="Y1020" s="295"/>
      <c r="Z1020" s="295"/>
      <c r="AA1020" s="296"/>
      <c r="AB1020" s="296"/>
      <c r="AC1020" s="291"/>
      <c r="AD1020" s="291"/>
      <c r="AE1020" s="291"/>
      <c r="AF1020" s="291"/>
      <c r="AG1020" s="291"/>
      <c r="AH1020" s="291"/>
      <c r="AI1020" s="291"/>
      <c r="AJ1020" s="291"/>
      <c r="AK1020" s="290"/>
      <c r="AL1020" s="290"/>
      <c r="AM1020" s="290"/>
      <c r="AN1020" s="290"/>
      <c r="AO1020" s="290"/>
      <c r="AP1020" s="290"/>
      <c r="AQ1020" s="290"/>
      <c r="AR1020" s="290"/>
      <c r="AS1020" s="290"/>
      <c r="AT1020" s="290"/>
      <c r="AU1020" s="290"/>
      <c r="AV1020" s="290"/>
      <c r="AW1020" s="290"/>
      <c r="AX1020" s="290"/>
      <c r="AY1020" s="290"/>
      <c r="AZ1020" s="290"/>
      <c r="BA1020" s="290"/>
      <c r="BG1020" s="307"/>
      <c r="BH1020" s="307"/>
      <c r="BI1020" s="307"/>
      <c r="BK1020" s="300"/>
    </row>
    <row r="1021" spans="1:63" s="298" customFormat="1" hidden="1" x14ac:dyDescent="0.25">
      <c r="A1021" s="290"/>
      <c r="B1021" s="291"/>
      <c r="C1021" s="290"/>
      <c r="D1021" s="290"/>
      <c r="E1021" s="290"/>
      <c r="F1021" s="290"/>
      <c r="G1021" s="290"/>
      <c r="H1021" s="290"/>
      <c r="I1021" s="290"/>
      <c r="J1021" s="290"/>
      <c r="K1021" s="290"/>
      <c r="L1021" s="290"/>
      <c r="M1021" s="308"/>
      <c r="N1021" s="290"/>
      <c r="O1021" s="290"/>
      <c r="P1021" s="290"/>
      <c r="Q1021" s="290"/>
      <c r="R1021" s="290"/>
      <c r="S1021" s="290"/>
      <c r="T1021" s="290"/>
      <c r="U1021" s="294"/>
      <c r="V1021" s="290"/>
      <c r="W1021" s="290"/>
      <c r="X1021" s="291"/>
      <c r="Y1021" s="295"/>
      <c r="Z1021" s="295"/>
      <c r="AA1021" s="296"/>
      <c r="AB1021" s="296"/>
      <c r="AC1021" s="291"/>
      <c r="AD1021" s="291"/>
      <c r="AE1021" s="291"/>
      <c r="AF1021" s="291"/>
      <c r="AG1021" s="291"/>
      <c r="AH1021" s="291"/>
      <c r="AI1021" s="291"/>
      <c r="AJ1021" s="291"/>
      <c r="AK1021" s="290"/>
      <c r="AL1021" s="290"/>
      <c r="AM1021" s="290"/>
      <c r="AN1021" s="290"/>
      <c r="AO1021" s="290"/>
      <c r="AP1021" s="290"/>
      <c r="AQ1021" s="290"/>
      <c r="AR1021" s="290"/>
      <c r="AS1021" s="290"/>
      <c r="AT1021" s="290"/>
      <c r="AU1021" s="290"/>
      <c r="AV1021" s="290"/>
      <c r="AW1021" s="290"/>
      <c r="AX1021" s="290"/>
      <c r="AY1021" s="290"/>
      <c r="AZ1021" s="290"/>
      <c r="BA1021" s="290"/>
      <c r="BG1021" s="307"/>
      <c r="BH1021" s="307"/>
      <c r="BI1021" s="307"/>
      <c r="BK1021" s="300"/>
    </row>
    <row r="1022" spans="1:63" s="298" customFormat="1" hidden="1" x14ac:dyDescent="0.25">
      <c r="A1022" s="290"/>
      <c r="B1022" s="291"/>
      <c r="C1022" s="290"/>
      <c r="D1022" s="290"/>
      <c r="E1022" s="290"/>
      <c r="F1022" s="290"/>
      <c r="G1022" s="290"/>
      <c r="H1022" s="290"/>
      <c r="I1022" s="290"/>
      <c r="J1022" s="290"/>
      <c r="K1022" s="290"/>
      <c r="L1022" s="290"/>
      <c r="M1022" s="308"/>
      <c r="N1022" s="290"/>
      <c r="O1022" s="290"/>
      <c r="P1022" s="290"/>
      <c r="Q1022" s="290"/>
      <c r="R1022" s="290"/>
      <c r="S1022" s="290"/>
      <c r="T1022" s="290"/>
      <c r="U1022" s="294"/>
      <c r="V1022" s="290"/>
      <c r="W1022" s="290"/>
      <c r="X1022" s="291"/>
      <c r="Y1022" s="295"/>
      <c r="Z1022" s="295"/>
      <c r="AA1022" s="296"/>
      <c r="AB1022" s="296"/>
      <c r="AC1022" s="291"/>
      <c r="AD1022" s="291"/>
      <c r="AE1022" s="291"/>
      <c r="AF1022" s="291"/>
      <c r="AG1022" s="291"/>
      <c r="AH1022" s="291"/>
      <c r="AI1022" s="291"/>
      <c r="AJ1022" s="291"/>
      <c r="AK1022" s="290"/>
      <c r="AL1022" s="290"/>
      <c r="AM1022" s="290"/>
      <c r="AN1022" s="290"/>
      <c r="AO1022" s="290"/>
      <c r="AP1022" s="290"/>
      <c r="AQ1022" s="290"/>
      <c r="AR1022" s="290"/>
      <c r="AS1022" s="290"/>
      <c r="AT1022" s="290"/>
      <c r="AU1022" s="290"/>
      <c r="AV1022" s="290"/>
      <c r="AW1022" s="290"/>
      <c r="AX1022" s="290"/>
      <c r="AY1022" s="290"/>
      <c r="AZ1022" s="290"/>
      <c r="BA1022" s="290"/>
      <c r="BG1022" s="307"/>
      <c r="BH1022" s="307"/>
      <c r="BI1022" s="307"/>
      <c r="BK1022" s="300"/>
    </row>
    <row r="1023" spans="1:63" s="298" customFormat="1" hidden="1" x14ac:dyDescent="0.25">
      <c r="A1023" s="290"/>
      <c r="B1023" s="291"/>
      <c r="C1023" s="290"/>
      <c r="D1023" s="290"/>
      <c r="E1023" s="290"/>
      <c r="F1023" s="290"/>
      <c r="G1023" s="290"/>
      <c r="H1023" s="290"/>
      <c r="I1023" s="290"/>
      <c r="J1023" s="290"/>
      <c r="K1023" s="290"/>
      <c r="L1023" s="290"/>
      <c r="M1023" s="308"/>
      <c r="N1023" s="290"/>
      <c r="O1023" s="290"/>
      <c r="P1023" s="290"/>
      <c r="Q1023" s="290"/>
      <c r="R1023" s="290"/>
      <c r="S1023" s="290"/>
      <c r="T1023" s="290"/>
      <c r="U1023" s="294"/>
      <c r="V1023" s="290"/>
      <c r="W1023" s="290"/>
      <c r="X1023" s="291"/>
      <c r="Y1023" s="295"/>
      <c r="Z1023" s="295"/>
      <c r="AA1023" s="296"/>
      <c r="AB1023" s="296"/>
      <c r="AC1023" s="291"/>
      <c r="AD1023" s="291"/>
      <c r="AE1023" s="291"/>
      <c r="AF1023" s="291"/>
      <c r="AG1023" s="291"/>
      <c r="AH1023" s="291"/>
      <c r="AI1023" s="291"/>
      <c r="AJ1023" s="291"/>
      <c r="AK1023" s="290"/>
      <c r="AL1023" s="290"/>
      <c r="AM1023" s="290"/>
      <c r="AN1023" s="290"/>
      <c r="AO1023" s="290"/>
      <c r="AP1023" s="290"/>
      <c r="AQ1023" s="290"/>
      <c r="AR1023" s="290"/>
      <c r="AS1023" s="290"/>
      <c r="AT1023" s="290"/>
      <c r="AU1023" s="290"/>
      <c r="AV1023" s="290"/>
      <c r="AW1023" s="290"/>
      <c r="AX1023" s="290"/>
      <c r="AY1023" s="290"/>
      <c r="AZ1023" s="290"/>
      <c r="BA1023" s="290"/>
      <c r="BG1023" s="307"/>
      <c r="BH1023" s="307"/>
      <c r="BI1023" s="307"/>
      <c r="BK1023" s="300"/>
    </row>
    <row r="1024" spans="1:63" s="298" customFormat="1" hidden="1" x14ac:dyDescent="0.25">
      <c r="A1024" s="290"/>
      <c r="B1024" s="291"/>
      <c r="C1024" s="290"/>
      <c r="D1024" s="290"/>
      <c r="E1024" s="290"/>
      <c r="F1024" s="290"/>
      <c r="G1024" s="290"/>
      <c r="H1024" s="290"/>
      <c r="I1024" s="290"/>
      <c r="J1024" s="290"/>
      <c r="K1024" s="290"/>
      <c r="L1024" s="290"/>
      <c r="M1024" s="308"/>
      <c r="N1024" s="290"/>
      <c r="O1024" s="290"/>
      <c r="P1024" s="290"/>
      <c r="Q1024" s="290"/>
      <c r="R1024" s="290"/>
      <c r="S1024" s="290"/>
      <c r="T1024" s="290"/>
      <c r="U1024" s="294"/>
      <c r="V1024" s="290"/>
      <c r="W1024" s="290"/>
      <c r="X1024" s="291"/>
      <c r="Y1024" s="295"/>
      <c r="Z1024" s="295"/>
      <c r="AA1024" s="296"/>
      <c r="AB1024" s="296"/>
      <c r="AC1024" s="291"/>
      <c r="AD1024" s="291"/>
      <c r="AE1024" s="291"/>
      <c r="AF1024" s="291"/>
      <c r="AG1024" s="291"/>
      <c r="AH1024" s="291"/>
      <c r="AI1024" s="291"/>
      <c r="AJ1024" s="291"/>
      <c r="AK1024" s="290"/>
      <c r="AL1024" s="290"/>
      <c r="AM1024" s="290"/>
      <c r="AN1024" s="290"/>
      <c r="AO1024" s="290"/>
      <c r="AP1024" s="290"/>
      <c r="AQ1024" s="290"/>
      <c r="AR1024" s="290"/>
      <c r="AS1024" s="290"/>
      <c r="AT1024" s="290"/>
      <c r="AU1024" s="290"/>
      <c r="AV1024" s="290"/>
      <c r="AW1024" s="290"/>
      <c r="AX1024" s="290"/>
      <c r="AY1024" s="290"/>
      <c r="AZ1024" s="290"/>
      <c r="BA1024" s="290"/>
      <c r="BG1024" s="307"/>
      <c r="BH1024" s="307"/>
      <c r="BI1024" s="307"/>
      <c r="BK1024" s="300"/>
    </row>
    <row r="1025" spans="1:63" s="298" customFormat="1" hidden="1" x14ac:dyDescent="0.25">
      <c r="A1025" s="290"/>
      <c r="B1025" s="291"/>
      <c r="C1025" s="290"/>
      <c r="D1025" s="290"/>
      <c r="E1025" s="290"/>
      <c r="F1025" s="290"/>
      <c r="G1025" s="290"/>
      <c r="H1025" s="290"/>
      <c r="I1025" s="290"/>
      <c r="J1025" s="290"/>
      <c r="K1025" s="290"/>
      <c r="L1025" s="290"/>
      <c r="M1025" s="308"/>
      <c r="N1025" s="290"/>
      <c r="O1025" s="290"/>
      <c r="P1025" s="290"/>
      <c r="Q1025" s="290"/>
      <c r="R1025" s="290"/>
      <c r="S1025" s="290"/>
      <c r="T1025" s="290"/>
      <c r="U1025" s="294"/>
      <c r="V1025" s="290"/>
      <c r="W1025" s="290"/>
      <c r="X1025" s="291"/>
      <c r="Y1025" s="295"/>
      <c r="Z1025" s="295"/>
      <c r="AA1025" s="296"/>
      <c r="AB1025" s="296"/>
      <c r="AC1025" s="291"/>
      <c r="AD1025" s="291"/>
      <c r="AE1025" s="291"/>
      <c r="AF1025" s="291"/>
      <c r="AG1025" s="291"/>
      <c r="AH1025" s="291"/>
      <c r="AI1025" s="291"/>
      <c r="AJ1025" s="291"/>
      <c r="AK1025" s="290"/>
      <c r="AL1025" s="290"/>
      <c r="AM1025" s="290"/>
      <c r="AN1025" s="290"/>
      <c r="AO1025" s="290"/>
      <c r="AP1025" s="290"/>
      <c r="AQ1025" s="290"/>
      <c r="AR1025" s="290"/>
      <c r="AS1025" s="290"/>
      <c r="AT1025" s="290"/>
      <c r="AU1025" s="290"/>
      <c r="AV1025" s="290"/>
      <c r="AW1025" s="290"/>
      <c r="AX1025" s="290"/>
      <c r="AY1025" s="290"/>
      <c r="AZ1025" s="290"/>
      <c r="BA1025" s="290"/>
      <c r="BG1025" s="307"/>
      <c r="BH1025" s="307"/>
      <c r="BI1025" s="307"/>
      <c r="BK1025" s="300"/>
    </row>
    <row r="1026" spans="1:63" s="298" customFormat="1" hidden="1" x14ac:dyDescent="0.25">
      <c r="A1026" s="290"/>
      <c r="B1026" s="291"/>
      <c r="C1026" s="290"/>
      <c r="D1026" s="290"/>
      <c r="E1026" s="290"/>
      <c r="F1026" s="290"/>
      <c r="G1026" s="290"/>
      <c r="H1026" s="290"/>
      <c r="I1026" s="290"/>
      <c r="J1026" s="290"/>
      <c r="K1026" s="290"/>
      <c r="L1026" s="290"/>
      <c r="M1026" s="308"/>
      <c r="N1026" s="290"/>
      <c r="O1026" s="290"/>
      <c r="P1026" s="290"/>
      <c r="Q1026" s="290"/>
      <c r="R1026" s="290"/>
      <c r="S1026" s="290"/>
      <c r="T1026" s="290"/>
      <c r="U1026" s="294"/>
      <c r="V1026" s="290"/>
      <c r="W1026" s="290"/>
      <c r="X1026" s="291"/>
      <c r="Y1026" s="295"/>
      <c r="Z1026" s="295"/>
      <c r="AA1026" s="296"/>
      <c r="AB1026" s="296"/>
      <c r="AC1026" s="291"/>
      <c r="AD1026" s="291"/>
      <c r="AE1026" s="291"/>
      <c r="AF1026" s="291"/>
      <c r="AG1026" s="291"/>
      <c r="AH1026" s="291"/>
      <c r="AI1026" s="291"/>
      <c r="AJ1026" s="291"/>
      <c r="AK1026" s="290"/>
      <c r="AL1026" s="290"/>
      <c r="AM1026" s="290"/>
      <c r="AN1026" s="290"/>
      <c r="AO1026" s="290"/>
      <c r="AP1026" s="290"/>
      <c r="AQ1026" s="290"/>
      <c r="AR1026" s="290"/>
      <c r="AS1026" s="290"/>
      <c r="AT1026" s="290"/>
      <c r="AU1026" s="290"/>
      <c r="AV1026" s="290"/>
      <c r="AW1026" s="290"/>
      <c r="AX1026" s="290"/>
      <c r="AY1026" s="290"/>
      <c r="AZ1026" s="290"/>
      <c r="BA1026" s="290"/>
      <c r="BG1026" s="307"/>
      <c r="BH1026" s="307"/>
      <c r="BI1026" s="307"/>
      <c r="BK1026" s="300"/>
    </row>
    <row r="1027" spans="1:63" s="298" customFormat="1" hidden="1" x14ac:dyDescent="0.25">
      <c r="A1027" s="290"/>
      <c r="B1027" s="291"/>
      <c r="C1027" s="290"/>
      <c r="D1027" s="290"/>
      <c r="E1027" s="290"/>
      <c r="F1027" s="290"/>
      <c r="G1027" s="290"/>
      <c r="H1027" s="290"/>
      <c r="I1027" s="290"/>
      <c r="J1027" s="290"/>
      <c r="K1027" s="290"/>
      <c r="L1027" s="290"/>
      <c r="M1027" s="308"/>
      <c r="N1027" s="290"/>
      <c r="O1027" s="290"/>
      <c r="P1027" s="290"/>
      <c r="Q1027" s="290"/>
      <c r="R1027" s="290"/>
      <c r="S1027" s="290"/>
      <c r="T1027" s="290"/>
      <c r="U1027" s="294"/>
      <c r="V1027" s="290"/>
      <c r="W1027" s="290"/>
      <c r="X1027" s="291"/>
      <c r="Y1027" s="295"/>
      <c r="Z1027" s="295"/>
      <c r="AA1027" s="296"/>
      <c r="AB1027" s="296"/>
      <c r="AC1027" s="291"/>
      <c r="AD1027" s="291"/>
      <c r="AE1027" s="291"/>
      <c r="AF1027" s="291"/>
      <c r="AG1027" s="291"/>
      <c r="AH1027" s="291"/>
      <c r="AI1027" s="291"/>
      <c r="AJ1027" s="291"/>
      <c r="AK1027" s="290"/>
      <c r="AL1027" s="290"/>
      <c r="AM1027" s="290"/>
      <c r="AN1027" s="290"/>
      <c r="AO1027" s="290"/>
      <c r="AP1027" s="290"/>
      <c r="AQ1027" s="290"/>
      <c r="AR1027" s="290"/>
      <c r="AS1027" s="290"/>
      <c r="AT1027" s="290"/>
      <c r="AU1027" s="290"/>
      <c r="AV1027" s="290"/>
      <c r="AW1027" s="290"/>
      <c r="AX1027" s="290"/>
      <c r="AY1027" s="290"/>
      <c r="AZ1027" s="290"/>
      <c r="BA1027" s="290"/>
      <c r="BG1027" s="307"/>
      <c r="BH1027" s="307"/>
      <c r="BI1027" s="307"/>
      <c r="BK1027" s="300"/>
    </row>
    <row r="1028" spans="1:63" s="298" customFormat="1" hidden="1" x14ac:dyDescent="0.25">
      <c r="A1028" s="290"/>
      <c r="B1028" s="291"/>
      <c r="C1028" s="290"/>
      <c r="D1028" s="290"/>
      <c r="E1028" s="290"/>
      <c r="F1028" s="290"/>
      <c r="G1028" s="290"/>
      <c r="H1028" s="290"/>
      <c r="I1028" s="290"/>
      <c r="J1028" s="290"/>
      <c r="K1028" s="290"/>
      <c r="L1028" s="290"/>
      <c r="M1028" s="308"/>
      <c r="N1028" s="290"/>
      <c r="O1028" s="290"/>
      <c r="P1028" s="290"/>
      <c r="Q1028" s="290"/>
      <c r="R1028" s="290"/>
      <c r="S1028" s="290"/>
      <c r="T1028" s="290"/>
      <c r="U1028" s="294"/>
      <c r="V1028" s="290"/>
      <c r="W1028" s="290"/>
      <c r="X1028" s="291"/>
      <c r="Y1028" s="295"/>
      <c r="Z1028" s="295"/>
      <c r="AA1028" s="296"/>
      <c r="AB1028" s="296"/>
      <c r="AC1028" s="291"/>
      <c r="AD1028" s="291"/>
      <c r="AE1028" s="291"/>
      <c r="AF1028" s="291"/>
      <c r="AG1028" s="291"/>
      <c r="AH1028" s="291"/>
      <c r="AI1028" s="291"/>
      <c r="AJ1028" s="291"/>
      <c r="AK1028" s="290"/>
      <c r="AL1028" s="290"/>
      <c r="AM1028" s="290"/>
      <c r="AN1028" s="290"/>
      <c r="AO1028" s="290"/>
      <c r="AP1028" s="290"/>
      <c r="AQ1028" s="290"/>
      <c r="AR1028" s="290"/>
      <c r="AS1028" s="290"/>
      <c r="AT1028" s="290"/>
      <c r="AU1028" s="290"/>
      <c r="AV1028" s="290"/>
      <c r="AW1028" s="290"/>
      <c r="AX1028" s="290"/>
      <c r="AY1028" s="290"/>
      <c r="AZ1028" s="290"/>
      <c r="BA1028" s="290"/>
      <c r="BG1028" s="307"/>
      <c r="BH1028" s="307"/>
      <c r="BI1028" s="307"/>
      <c r="BK1028" s="300"/>
    </row>
    <row r="1029" spans="1:63" s="298" customFormat="1" hidden="1" x14ac:dyDescent="0.25">
      <c r="A1029" s="290"/>
      <c r="B1029" s="291"/>
      <c r="C1029" s="290"/>
      <c r="D1029" s="290"/>
      <c r="E1029" s="290"/>
      <c r="F1029" s="290"/>
      <c r="G1029" s="290"/>
      <c r="H1029" s="290"/>
      <c r="I1029" s="290"/>
      <c r="J1029" s="290"/>
      <c r="K1029" s="290"/>
      <c r="L1029" s="290"/>
      <c r="M1029" s="308"/>
      <c r="N1029" s="290"/>
      <c r="O1029" s="290"/>
      <c r="P1029" s="290"/>
      <c r="Q1029" s="290"/>
      <c r="R1029" s="290"/>
      <c r="S1029" s="290"/>
      <c r="T1029" s="290"/>
      <c r="U1029" s="294"/>
      <c r="V1029" s="290"/>
      <c r="W1029" s="290"/>
      <c r="X1029" s="291"/>
      <c r="Y1029" s="295"/>
      <c r="Z1029" s="295"/>
      <c r="AA1029" s="296"/>
      <c r="AB1029" s="296"/>
      <c r="AC1029" s="291"/>
      <c r="AD1029" s="291"/>
      <c r="AE1029" s="291"/>
      <c r="AF1029" s="291"/>
      <c r="AG1029" s="291"/>
      <c r="AH1029" s="291"/>
      <c r="AI1029" s="291"/>
      <c r="AJ1029" s="291"/>
      <c r="AK1029" s="290"/>
      <c r="AL1029" s="290"/>
      <c r="AM1029" s="290"/>
      <c r="AN1029" s="290"/>
      <c r="AO1029" s="290"/>
      <c r="AP1029" s="290"/>
      <c r="AQ1029" s="290"/>
      <c r="AR1029" s="290"/>
      <c r="AS1029" s="290"/>
      <c r="AT1029" s="290"/>
      <c r="AU1029" s="290"/>
      <c r="AV1029" s="290"/>
      <c r="AW1029" s="290"/>
      <c r="AX1029" s="290"/>
      <c r="AY1029" s="290"/>
      <c r="AZ1029" s="290"/>
      <c r="BA1029" s="290"/>
      <c r="BG1029" s="307"/>
      <c r="BH1029" s="307"/>
      <c r="BI1029" s="307"/>
      <c r="BK1029" s="300"/>
    </row>
    <row r="1030" spans="1:63" s="298" customFormat="1" hidden="1" x14ac:dyDescent="0.25">
      <c r="A1030" s="290"/>
      <c r="B1030" s="291"/>
      <c r="C1030" s="290"/>
      <c r="D1030" s="290"/>
      <c r="E1030" s="290"/>
      <c r="F1030" s="290"/>
      <c r="G1030" s="290"/>
      <c r="H1030" s="290"/>
      <c r="I1030" s="290"/>
      <c r="J1030" s="290"/>
      <c r="K1030" s="290"/>
      <c r="L1030" s="290"/>
      <c r="M1030" s="308"/>
      <c r="N1030" s="290"/>
      <c r="O1030" s="290"/>
      <c r="P1030" s="290"/>
      <c r="Q1030" s="290"/>
      <c r="R1030" s="290"/>
      <c r="S1030" s="290"/>
      <c r="T1030" s="290"/>
      <c r="U1030" s="294"/>
      <c r="V1030" s="290"/>
      <c r="W1030" s="290"/>
      <c r="X1030" s="291"/>
      <c r="Y1030" s="295"/>
      <c r="Z1030" s="295"/>
      <c r="AA1030" s="296"/>
      <c r="AB1030" s="296"/>
      <c r="AC1030" s="291"/>
      <c r="AD1030" s="291"/>
      <c r="AE1030" s="291"/>
      <c r="AF1030" s="291"/>
      <c r="AG1030" s="291"/>
      <c r="AH1030" s="291"/>
      <c r="AI1030" s="291"/>
      <c r="AJ1030" s="291"/>
      <c r="AK1030" s="290"/>
      <c r="AL1030" s="290"/>
      <c r="AM1030" s="290"/>
      <c r="AN1030" s="290"/>
      <c r="AO1030" s="290"/>
      <c r="AP1030" s="290"/>
      <c r="AQ1030" s="290"/>
      <c r="AR1030" s="290"/>
      <c r="AS1030" s="290"/>
      <c r="AT1030" s="290"/>
      <c r="AU1030" s="290"/>
      <c r="AV1030" s="290"/>
      <c r="AW1030" s="290"/>
      <c r="AX1030" s="290"/>
      <c r="AY1030" s="290"/>
      <c r="AZ1030" s="290"/>
      <c r="BA1030" s="290"/>
      <c r="BG1030" s="307"/>
      <c r="BH1030" s="307"/>
      <c r="BI1030" s="307"/>
      <c r="BK1030" s="300"/>
    </row>
    <row r="1031" spans="1:63" s="298" customFormat="1" hidden="1" x14ac:dyDescent="0.25">
      <c r="A1031" s="290"/>
      <c r="B1031" s="291"/>
      <c r="C1031" s="290"/>
      <c r="D1031" s="290"/>
      <c r="E1031" s="290"/>
      <c r="F1031" s="290"/>
      <c r="G1031" s="290"/>
      <c r="H1031" s="290"/>
      <c r="I1031" s="290"/>
      <c r="J1031" s="290"/>
      <c r="K1031" s="290"/>
      <c r="L1031" s="290"/>
      <c r="M1031" s="308"/>
      <c r="N1031" s="290"/>
      <c r="O1031" s="290"/>
      <c r="P1031" s="290"/>
      <c r="Q1031" s="290"/>
      <c r="R1031" s="290"/>
      <c r="S1031" s="290"/>
      <c r="T1031" s="290"/>
      <c r="U1031" s="294"/>
      <c r="V1031" s="290"/>
      <c r="W1031" s="290"/>
      <c r="X1031" s="291"/>
      <c r="Y1031" s="295"/>
      <c r="Z1031" s="295"/>
      <c r="AA1031" s="296"/>
      <c r="AB1031" s="296"/>
      <c r="AC1031" s="291"/>
      <c r="AD1031" s="291"/>
      <c r="AE1031" s="291"/>
      <c r="AF1031" s="291"/>
      <c r="AG1031" s="291"/>
      <c r="AH1031" s="291"/>
      <c r="AI1031" s="291"/>
      <c r="AJ1031" s="291"/>
      <c r="AK1031" s="290"/>
      <c r="AL1031" s="290"/>
      <c r="AM1031" s="290"/>
      <c r="AN1031" s="290"/>
      <c r="AO1031" s="290"/>
      <c r="AP1031" s="290"/>
      <c r="AQ1031" s="290"/>
      <c r="AR1031" s="290"/>
      <c r="AS1031" s="290"/>
      <c r="AT1031" s="290"/>
      <c r="AU1031" s="290"/>
      <c r="AV1031" s="290"/>
      <c r="AW1031" s="290"/>
      <c r="AX1031" s="290"/>
      <c r="AY1031" s="290"/>
      <c r="AZ1031" s="290"/>
      <c r="BA1031" s="290"/>
      <c r="BG1031" s="307"/>
      <c r="BH1031" s="307"/>
      <c r="BI1031" s="307"/>
      <c r="BK1031" s="300"/>
    </row>
    <row r="1032" spans="1:63" s="298" customFormat="1" hidden="1" x14ac:dyDescent="0.25">
      <c r="A1032" s="290"/>
      <c r="B1032" s="291"/>
      <c r="C1032" s="290"/>
      <c r="D1032" s="290"/>
      <c r="E1032" s="290"/>
      <c r="F1032" s="290"/>
      <c r="G1032" s="290"/>
      <c r="H1032" s="290"/>
      <c r="I1032" s="290"/>
      <c r="J1032" s="290"/>
      <c r="K1032" s="290"/>
      <c r="L1032" s="290"/>
      <c r="M1032" s="308"/>
      <c r="N1032" s="290"/>
      <c r="O1032" s="290"/>
      <c r="P1032" s="290"/>
      <c r="Q1032" s="290"/>
      <c r="R1032" s="290"/>
      <c r="S1032" s="290"/>
      <c r="T1032" s="290"/>
      <c r="U1032" s="294"/>
      <c r="V1032" s="290"/>
      <c r="W1032" s="290"/>
      <c r="X1032" s="291"/>
      <c r="Y1032" s="295"/>
      <c r="Z1032" s="295"/>
      <c r="AA1032" s="296"/>
      <c r="AB1032" s="296"/>
      <c r="AC1032" s="291"/>
      <c r="AD1032" s="291"/>
      <c r="AE1032" s="291"/>
      <c r="AF1032" s="291"/>
      <c r="AG1032" s="291"/>
      <c r="AH1032" s="291"/>
      <c r="AI1032" s="291"/>
      <c r="AJ1032" s="291"/>
      <c r="AK1032" s="290"/>
      <c r="AL1032" s="290"/>
      <c r="AM1032" s="290"/>
      <c r="AN1032" s="290"/>
      <c r="AO1032" s="290"/>
      <c r="AP1032" s="290"/>
      <c r="AQ1032" s="290"/>
      <c r="AR1032" s="290"/>
      <c r="AS1032" s="290"/>
      <c r="AT1032" s="290"/>
      <c r="AU1032" s="290"/>
      <c r="AV1032" s="290"/>
      <c r="AW1032" s="290"/>
      <c r="AX1032" s="290"/>
      <c r="AY1032" s="290"/>
      <c r="AZ1032" s="290"/>
      <c r="BA1032" s="290"/>
      <c r="BG1032" s="307"/>
      <c r="BH1032" s="307"/>
      <c r="BI1032" s="307"/>
      <c r="BK1032" s="300"/>
    </row>
    <row r="1033" spans="1:63" s="298" customFormat="1" hidden="1" x14ac:dyDescent="0.25">
      <c r="A1033" s="290"/>
      <c r="B1033" s="291"/>
      <c r="C1033" s="290"/>
      <c r="D1033" s="290"/>
      <c r="E1033" s="290"/>
      <c r="F1033" s="290"/>
      <c r="G1033" s="290"/>
      <c r="H1033" s="290"/>
      <c r="I1033" s="290"/>
      <c r="J1033" s="290"/>
      <c r="K1033" s="290"/>
      <c r="L1033" s="290"/>
      <c r="M1033" s="308"/>
      <c r="N1033" s="290"/>
      <c r="O1033" s="290"/>
      <c r="P1033" s="290"/>
      <c r="Q1033" s="290"/>
      <c r="R1033" s="290"/>
      <c r="S1033" s="290"/>
      <c r="T1033" s="290"/>
      <c r="U1033" s="294"/>
      <c r="V1033" s="290"/>
      <c r="W1033" s="290"/>
      <c r="X1033" s="291"/>
      <c r="Y1033" s="295"/>
      <c r="Z1033" s="295"/>
      <c r="AA1033" s="296"/>
      <c r="AB1033" s="296"/>
      <c r="AC1033" s="291"/>
      <c r="AD1033" s="291"/>
      <c r="AE1033" s="291"/>
      <c r="AF1033" s="291"/>
      <c r="AG1033" s="291"/>
      <c r="AH1033" s="291"/>
      <c r="AI1033" s="291"/>
      <c r="AJ1033" s="291"/>
      <c r="AK1033" s="290"/>
      <c r="AL1033" s="290"/>
      <c r="AM1033" s="290"/>
      <c r="AN1033" s="290"/>
      <c r="AO1033" s="290"/>
      <c r="AP1033" s="290"/>
      <c r="AQ1033" s="290"/>
      <c r="AR1033" s="290"/>
      <c r="AS1033" s="290"/>
      <c r="AT1033" s="290"/>
      <c r="AU1033" s="290"/>
      <c r="AV1033" s="290"/>
      <c r="AW1033" s="290"/>
      <c r="AX1033" s="290"/>
      <c r="AY1033" s="290"/>
      <c r="AZ1033" s="290"/>
      <c r="BA1033" s="290"/>
      <c r="BG1033" s="307"/>
      <c r="BH1033" s="307"/>
      <c r="BI1033" s="307"/>
      <c r="BK1033" s="300"/>
    </row>
    <row r="1034" spans="1:63" s="298" customFormat="1" hidden="1" x14ac:dyDescent="0.25">
      <c r="A1034" s="290"/>
      <c r="B1034" s="291"/>
      <c r="C1034" s="290"/>
      <c r="D1034" s="290"/>
      <c r="E1034" s="290"/>
      <c r="F1034" s="290"/>
      <c r="G1034" s="290"/>
      <c r="H1034" s="290"/>
      <c r="I1034" s="290"/>
      <c r="J1034" s="290"/>
      <c r="K1034" s="290"/>
      <c r="L1034" s="290"/>
      <c r="M1034" s="308"/>
      <c r="N1034" s="290"/>
      <c r="O1034" s="290"/>
      <c r="P1034" s="290"/>
      <c r="Q1034" s="290"/>
      <c r="R1034" s="290"/>
      <c r="S1034" s="290"/>
      <c r="T1034" s="290"/>
      <c r="U1034" s="294"/>
      <c r="V1034" s="290"/>
      <c r="W1034" s="290"/>
      <c r="X1034" s="291"/>
      <c r="Y1034" s="295"/>
      <c r="Z1034" s="295"/>
      <c r="AA1034" s="296"/>
      <c r="AB1034" s="296"/>
      <c r="AC1034" s="291"/>
      <c r="AD1034" s="291"/>
      <c r="AE1034" s="291"/>
      <c r="AF1034" s="291"/>
      <c r="AG1034" s="291"/>
      <c r="AH1034" s="291"/>
      <c r="AI1034" s="291"/>
      <c r="AJ1034" s="291"/>
      <c r="AK1034" s="290"/>
      <c r="AL1034" s="290"/>
      <c r="AM1034" s="290"/>
      <c r="AN1034" s="290"/>
      <c r="AO1034" s="290"/>
      <c r="AP1034" s="290"/>
      <c r="AQ1034" s="290"/>
      <c r="AR1034" s="290"/>
      <c r="AS1034" s="290"/>
      <c r="AT1034" s="290"/>
      <c r="AU1034" s="290"/>
      <c r="AV1034" s="290"/>
      <c r="AW1034" s="290"/>
      <c r="AX1034" s="290"/>
      <c r="AY1034" s="290"/>
      <c r="AZ1034" s="290"/>
      <c r="BA1034" s="290"/>
      <c r="BG1034" s="307"/>
      <c r="BH1034" s="307"/>
      <c r="BI1034" s="307"/>
      <c r="BK1034" s="300"/>
    </row>
    <row r="1035" spans="1:63" s="298" customFormat="1" hidden="1" x14ac:dyDescent="0.25">
      <c r="A1035" s="290"/>
      <c r="B1035" s="291"/>
      <c r="C1035" s="290"/>
      <c r="D1035" s="290"/>
      <c r="E1035" s="290"/>
      <c r="F1035" s="290"/>
      <c r="G1035" s="290"/>
      <c r="H1035" s="290"/>
      <c r="I1035" s="290"/>
      <c r="J1035" s="290"/>
      <c r="K1035" s="290"/>
      <c r="L1035" s="290"/>
      <c r="M1035" s="308"/>
      <c r="N1035" s="290"/>
      <c r="O1035" s="290"/>
      <c r="P1035" s="290"/>
      <c r="Q1035" s="290"/>
      <c r="R1035" s="290"/>
      <c r="S1035" s="290"/>
      <c r="T1035" s="290"/>
      <c r="U1035" s="294"/>
      <c r="V1035" s="290"/>
      <c r="W1035" s="290"/>
      <c r="X1035" s="291"/>
      <c r="Y1035" s="295"/>
      <c r="Z1035" s="295"/>
      <c r="AA1035" s="296"/>
      <c r="AB1035" s="296"/>
      <c r="AC1035" s="291"/>
      <c r="AD1035" s="291"/>
      <c r="AE1035" s="291"/>
      <c r="AF1035" s="291"/>
      <c r="AG1035" s="291"/>
      <c r="AH1035" s="291"/>
      <c r="AI1035" s="291"/>
      <c r="AJ1035" s="291"/>
      <c r="AK1035" s="290"/>
      <c r="AL1035" s="290"/>
      <c r="AM1035" s="290"/>
      <c r="AN1035" s="290"/>
      <c r="AO1035" s="290"/>
      <c r="AP1035" s="290"/>
      <c r="AQ1035" s="290"/>
      <c r="AR1035" s="290"/>
      <c r="AS1035" s="290"/>
      <c r="AT1035" s="290"/>
      <c r="AU1035" s="290"/>
      <c r="AV1035" s="290"/>
      <c r="AW1035" s="290"/>
      <c r="AX1035" s="290"/>
      <c r="AY1035" s="290"/>
      <c r="AZ1035" s="290"/>
      <c r="BA1035" s="290"/>
      <c r="BG1035" s="307"/>
      <c r="BH1035" s="307"/>
      <c r="BI1035" s="307"/>
      <c r="BK1035" s="300"/>
    </row>
    <row r="1036" spans="1:63" s="298" customFormat="1" hidden="1" x14ac:dyDescent="0.25">
      <c r="A1036" s="290"/>
      <c r="B1036" s="291"/>
      <c r="C1036" s="290"/>
      <c r="D1036" s="290"/>
      <c r="E1036" s="290"/>
      <c r="F1036" s="290"/>
      <c r="G1036" s="290"/>
      <c r="H1036" s="290"/>
      <c r="I1036" s="290"/>
      <c r="J1036" s="290"/>
      <c r="K1036" s="290"/>
      <c r="L1036" s="290"/>
      <c r="M1036" s="308"/>
      <c r="N1036" s="290"/>
      <c r="O1036" s="290"/>
      <c r="P1036" s="290"/>
      <c r="Q1036" s="290"/>
      <c r="R1036" s="290"/>
      <c r="S1036" s="290"/>
      <c r="T1036" s="290"/>
      <c r="U1036" s="294"/>
      <c r="V1036" s="290"/>
      <c r="W1036" s="290"/>
      <c r="X1036" s="291"/>
      <c r="Y1036" s="295"/>
      <c r="Z1036" s="295"/>
      <c r="AA1036" s="296"/>
      <c r="AB1036" s="296"/>
      <c r="AC1036" s="291"/>
      <c r="AD1036" s="291"/>
      <c r="AE1036" s="291"/>
      <c r="AF1036" s="291"/>
      <c r="AG1036" s="291"/>
      <c r="AH1036" s="291"/>
      <c r="AI1036" s="291"/>
      <c r="AJ1036" s="291"/>
      <c r="AK1036" s="290"/>
      <c r="AL1036" s="290"/>
      <c r="AM1036" s="290"/>
      <c r="AN1036" s="290"/>
      <c r="AO1036" s="290"/>
      <c r="AP1036" s="290"/>
      <c r="AQ1036" s="290"/>
      <c r="AR1036" s="290"/>
      <c r="AS1036" s="290"/>
      <c r="AT1036" s="290"/>
      <c r="AU1036" s="290"/>
      <c r="AV1036" s="290"/>
      <c r="AW1036" s="290"/>
      <c r="AX1036" s="290"/>
      <c r="AY1036" s="290"/>
      <c r="AZ1036" s="290"/>
      <c r="BA1036" s="290"/>
      <c r="BG1036" s="307"/>
      <c r="BH1036" s="307"/>
      <c r="BI1036" s="307"/>
      <c r="BK1036" s="300"/>
    </row>
    <row r="1037" spans="1:63" s="298" customFormat="1" hidden="1" x14ac:dyDescent="0.25">
      <c r="A1037" s="290"/>
      <c r="B1037" s="291"/>
      <c r="C1037" s="290"/>
      <c r="D1037" s="290"/>
      <c r="E1037" s="290"/>
      <c r="F1037" s="290"/>
      <c r="G1037" s="290"/>
      <c r="H1037" s="290"/>
      <c r="I1037" s="290"/>
      <c r="J1037" s="290"/>
      <c r="K1037" s="290"/>
      <c r="L1037" s="290"/>
      <c r="M1037" s="308"/>
      <c r="N1037" s="290"/>
      <c r="O1037" s="290"/>
      <c r="P1037" s="290"/>
      <c r="Q1037" s="290"/>
      <c r="R1037" s="290"/>
      <c r="S1037" s="290"/>
      <c r="T1037" s="290"/>
      <c r="U1037" s="294"/>
      <c r="V1037" s="290"/>
      <c r="W1037" s="290"/>
      <c r="X1037" s="291"/>
      <c r="Y1037" s="295"/>
      <c r="Z1037" s="295"/>
      <c r="AA1037" s="296"/>
      <c r="AB1037" s="296"/>
      <c r="AC1037" s="291"/>
      <c r="AD1037" s="291"/>
      <c r="AE1037" s="291"/>
      <c r="AF1037" s="291"/>
      <c r="AG1037" s="291"/>
      <c r="AH1037" s="291"/>
      <c r="AI1037" s="291"/>
      <c r="AJ1037" s="291"/>
      <c r="AK1037" s="290"/>
      <c r="AL1037" s="290"/>
      <c r="AM1037" s="290"/>
      <c r="AN1037" s="290"/>
      <c r="AO1037" s="290"/>
      <c r="AP1037" s="290"/>
      <c r="AQ1037" s="290"/>
      <c r="AR1037" s="290"/>
      <c r="AS1037" s="290"/>
      <c r="AT1037" s="290"/>
      <c r="AU1037" s="290"/>
      <c r="AV1037" s="290"/>
      <c r="AW1037" s="290"/>
      <c r="AX1037" s="290"/>
      <c r="AY1037" s="290"/>
      <c r="AZ1037" s="290"/>
      <c r="BA1037" s="290"/>
      <c r="BG1037" s="307"/>
      <c r="BH1037" s="307"/>
      <c r="BI1037" s="307"/>
      <c r="BK1037" s="300"/>
    </row>
    <row r="1038" spans="1:63" s="298" customFormat="1" hidden="1" x14ac:dyDescent="0.25">
      <c r="A1038" s="290"/>
      <c r="B1038" s="291"/>
      <c r="C1038" s="290"/>
      <c r="D1038" s="290"/>
      <c r="E1038" s="290"/>
      <c r="F1038" s="290"/>
      <c r="G1038" s="290"/>
      <c r="H1038" s="290"/>
      <c r="I1038" s="290"/>
      <c r="J1038" s="290"/>
      <c r="K1038" s="290"/>
      <c r="L1038" s="290"/>
      <c r="M1038" s="308"/>
      <c r="N1038" s="290"/>
      <c r="O1038" s="290"/>
      <c r="P1038" s="290"/>
      <c r="Q1038" s="290"/>
      <c r="R1038" s="290"/>
      <c r="S1038" s="290"/>
      <c r="T1038" s="290"/>
      <c r="U1038" s="294"/>
      <c r="V1038" s="290"/>
      <c r="W1038" s="290"/>
      <c r="X1038" s="291"/>
      <c r="Y1038" s="295"/>
      <c r="Z1038" s="295"/>
      <c r="AA1038" s="296"/>
      <c r="AB1038" s="296"/>
      <c r="AC1038" s="291"/>
      <c r="AD1038" s="291"/>
      <c r="AE1038" s="291"/>
      <c r="AF1038" s="291"/>
      <c r="AG1038" s="291"/>
      <c r="AH1038" s="291"/>
      <c r="AI1038" s="291"/>
      <c r="AJ1038" s="291"/>
      <c r="AK1038" s="290"/>
      <c r="AL1038" s="290"/>
      <c r="AM1038" s="290"/>
      <c r="AN1038" s="290"/>
      <c r="AO1038" s="290"/>
      <c r="AP1038" s="290"/>
      <c r="AQ1038" s="290"/>
      <c r="AR1038" s="290"/>
      <c r="AS1038" s="290"/>
      <c r="AT1038" s="290"/>
      <c r="AU1038" s="290"/>
      <c r="AV1038" s="290"/>
      <c r="AW1038" s="290"/>
      <c r="AX1038" s="290"/>
      <c r="AY1038" s="290"/>
      <c r="AZ1038" s="290"/>
      <c r="BA1038" s="290"/>
      <c r="BG1038" s="307"/>
      <c r="BH1038" s="307"/>
      <c r="BI1038" s="307"/>
      <c r="BK1038" s="300"/>
    </row>
    <row r="1039" spans="1:63" s="298" customFormat="1" hidden="1" x14ac:dyDescent="0.25">
      <c r="A1039" s="290"/>
      <c r="B1039" s="291"/>
      <c r="C1039" s="290"/>
      <c r="D1039" s="290"/>
      <c r="E1039" s="290"/>
      <c r="F1039" s="290"/>
      <c r="G1039" s="290"/>
      <c r="H1039" s="290"/>
      <c r="I1039" s="290"/>
      <c r="J1039" s="290"/>
      <c r="K1039" s="290"/>
      <c r="L1039" s="290"/>
      <c r="M1039" s="308"/>
      <c r="N1039" s="290"/>
      <c r="O1039" s="290"/>
      <c r="P1039" s="290"/>
      <c r="Q1039" s="290"/>
      <c r="R1039" s="290"/>
      <c r="S1039" s="290"/>
      <c r="T1039" s="290"/>
      <c r="U1039" s="294"/>
      <c r="V1039" s="290"/>
      <c r="W1039" s="290"/>
      <c r="X1039" s="291"/>
      <c r="Y1039" s="295"/>
      <c r="Z1039" s="295"/>
      <c r="AA1039" s="296"/>
      <c r="AB1039" s="296"/>
      <c r="AC1039" s="291"/>
      <c r="AD1039" s="291"/>
      <c r="AE1039" s="291"/>
      <c r="AF1039" s="291"/>
      <c r="AG1039" s="291"/>
      <c r="AH1039" s="291"/>
      <c r="AI1039" s="291"/>
      <c r="AJ1039" s="291"/>
      <c r="AK1039" s="290"/>
      <c r="AL1039" s="290"/>
      <c r="AM1039" s="290"/>
      <c r="AN1039" s="290"/>
      <c r="AO1039" s="290"/>
      <c r="AP1039" s="290"/>
      <c r="AQ1039" s="290"/>
      <c r="AR1039" s="290"/>
      <c r="AS1039" s="290"/>
      <c r="AT1039" s="290"/>
      <c r="AU1039" s="290"/>
      <c r="AV1039" s="290"/>
      <c r="AW1039" s="290"/>
      <c r="AX1039" s="290"/>
      <c r="AY1039" s="290"/>
      <c r="AZ1039" s="290"/>
      <c r="BA1039" s="290"/>
      <c r="BG1039" s="307"/>
      <c r="BH1039" s="307"/>
      <c r="BI1039" s="307"/>
      <c r="BK1039" s="300"/>
    </row>
    <row r="1040" spans="1:63" s="298" customFormat="1" hidden="1" x14ac:dyDescent="0.25">
      <c r="A1040" s="290"/>
      <c r="B1040" s="291"/>
      <c r="C1040" s="290"/>
      <c r="D1040" s="290"/>
      <c r="E1040" s="290"/>
      <c r="F1040" s="290"/>
      <c r="G1040" s="290"/>
      <c r="H1040" s="290"/>
      <c r="I1040" s="290"/>
      <c r="J1040" s="290"/>
      <c r="K1040" s="290"/>
      <c r="L1040" s="290"/>
      <c r="M1040" s="308"/>
      <c r="N1040" s="290"/>
      <c r="O1040" s="290"/>
      <c r="P1040" s="290"/>
      <c r="Q1040" s="290"/>
      <c r="R1040" s="290"/>
      <c r="S1040" s="290"/>
      <c r="T1040" s="290"/>
      <c r="U1040" s="294"/>
      <c r="V1040" s="290"/>
      <c r="W1040" s="290"/>
      <c r="X1040" s="291"/>
      <c r="Y1040" s="295"/>
      <c r="Z1040" s="295"/>
      <c r="AA1040" s="296"/>
      <c r="AB1040" s="296"/>
      <c r="AC1040" s="291"/>
      <c r="AD1040" s="291"/>
      <c r="AE1040" s="291"/>
      <c r="AF1040" s="291"/>
      <c r="AG1040" s="291"/>
      <c r="AH1040" s="291"/>
      <c r="AI1040" s="291"/>
      <c r="AJ1040" s="291"/>
      <c r="AK1040" s="290"/>
      <c r="AL1040" s="290"/>
      <c r="AM1040" s="290"/>
      <c r="AN1040" s="290"/>
      <c r="AO1040" s="290"/>
      <c r="AP1040" s="290"/>
      <c r="AQ1040" s="290"/>
      <c r="AR1040" s="290"/>
      <c r="AS1040" s="290"/>
      <c r="AT1040" s="290"/>
      <c r="AU1040" s="290"/>
      <c r="AV1040" s="290"/>
      <c r="AW1040" s="290"/>
      <c r="AX1040" s="290"/>
      <c r="AY1040" s="290"/>
      <c r="AZ1040" s="290"/>
      <c r="BA1040" s="290"/>
      <c r="BG1040" s="307"/>
      <c r="BH1040" s="307"/>
      <c r="BI1040" s="307"/>
      <c r="BK1040" s="300"/>
    </row>
    <row r="1041" spans="1:63" s="298" customFormat="1" hidden="1" x14ac:dyDescent="0.25">
      <c r="A1041" s="290"/>
      <c r="B1041" s="291"/>
      <c r="C1041" s="290"/>
      <c r="D1041" s="290"/>
      <c r="E1041" s="290"/>
      <c r="F1041" s="290"/>
      <c r="G1041" s="290"/>
      <c r="H1041" s="290"/>
      <c r="I1041" s="290"/>
      <c r="J1041" s="290"/>
      <c r="K1041" s="290"/>
      <c r="L1041" s="290"/>
      <c r="M1041" s="308"/>
      <c r="N1041" s="290"/>
      <c r="O1041" s="290"/>
      <c r="P1041" s="290"/>
      <c r="Q1041" s="290"/>
      <c r="R1041" s="290"/>
      <c r="S1041" s="290"/>
      <c r="T1041" s="290"/>
      <c r="U1041" s="294"/>
      <c r="V1041" s="290"/>
      <c r="W1041" s="290"/>
      <c r="X1041" s="291"/>
      <c r="Y1041" s="295"/>
      <c r="Z1041" s="295"/>
      <c r="AA1041" s="296"/>
      <c r="AB1041" s="296"/>
      <c r="AC1041" s="291"/>
      <c r="AD1041" s="291"/>
      <c r="AE1041" s="291"/>
      <c r="AF1041" s="291"/>
      <c r="AG1041" s="291"/>
      <c r="AH1041" s="291"/>
      <c r="AI1041" s="291"/>
      <c r="AJ1041" s="291"/>
      <c r="AK1041" s="290"/>
      <c r="AL1041" s="290"/>
      <c r="AM1041" s="290"/>
      <c r="AN1041" s="290"/>
      <c r="AO1041" s="290"/>
      <c r="AP1041" s="290"/>
      <c r="AQ1041" s="290"/>
      <c r="AR1041" s="290"/>
      <c r="AS1041" s="290"/>
      <c r="AT1041" s="290"/>
      <c r="AU1041" s="290"/>
      <c r="AV1041" s="290"/>
      <c r="AW1041" s="290"/>
      <c r="AX1041" s="290"/>
      <c r="AY1041" s="290"/>
      <c r="AZ1041" s="290"/>
      <c r="BA1041" s="290"/>
      <c r="BG1041" s="307"/>
      <c r="BH1041" s="307"/>
      <c r="BI1041" s="307"/>
      <c r="BK1041" s="300"/>
    </row>
    <row r="1042" spans="1:63" s="298" customFormat="1" hidden="1" x14ac:dyDescent="0.25">
      <c r="A1042" s="290"/>
      <c r="B1042" s="291"/>
      <c r="C1042" s="290"/>
      <c r="D1042" s="290"/>
      <c r="E1042" s="290"/>
      <c r="F1042" s="290"/>
      <c r="G1042" s="290"/>
      <c r="H1042" s="290"/>
      <c r="I1042" s="290"/>
      <c r="J1042" s="290"/>
      <c r="K1042" s="290"/>
      <c r="L1042" s="290"/>
      <c r="M1042" s="308"/>
      <c r="N1042" s="290"/>
      <c r="O1042" s="290"/>
      <c r="P1042" s="290"/>
      <c r="Q1042" s="290"/>
      <c r="R1042" s="290"/>
      <c r="S1042" s="290"/>
      <c r="T1042" s="290"/>
      <c r="U1042" s="294"/>
      <c r="V1042" s="290"/>
      <c r="W1042" s="290"/>
      <c r="X1042" s="291"/>
      <c r="Y1042" s="295"/>
      <c r="Z1042" s="295"/>
      <c r="AA1042" s="296"/>
      <c r="AB1042" s="296"/>
      <c r="AC1042" s="291"/>
      <c r="AD1042" s="291"/>
      <c r="AE1042" s="291"/>
      <c r="AF1042" s="291"/>
      <c r="AG1042" s="291"/>
      <c r="AH1042" s="291"/>
      <c r="AI1042" s="291"/>
      <c r="AJ1042" s="291"/>
      <c r="AK1042" s="290"/>
      <c r="AL1042" s="290"/>
      <c r="AM1042" s="290"/>
      <c r="AN1042" s="290"/>
      <c r="AO1042" s="290"/>
      <c r="AP1042" s="290"/>
      <c r="AQ1042" s="290"/>
      <c r="AR1042" s="290"/>
      <c r="AS1042" s="290"/>
      <c r="AT1042" s="290"/>
      <c r="AU1042" s="290"/>
      <c r="AV1042" s="290"/>
      <c r="AW1042" s="290"/>
      <c r="AX1042" s="290"/>
      <c r="AY1042" s="290"/>
      <c r="AZ1042" s="290"/>
      <c r="BA1042" s="290"/>
      <c r="BG1042" s="307"/>
      <c r="BH1042" s="307"/>
      <c r="BI1042" s="307"/>
      <c r="BK1042" s="300"/>
    </row>
    <row r="1043" spans="1:63" s="298" customFormat="1" hidden="1" x14ac:dyDescent="0.25">
      <c r="A1043" s="290"/>
      <c r="B1043" s="291"/>
      <c r="C1043" s="290"/>
      <c r="D1043" s="290"/>
      <c r="E1043" s="290"/>
      <c r="F1043" s="290"/>
      <c r="G1043" s="290"/>
      <c r="H1043" s="290"/>
      <c r="I1043" s="290"/>
      <c r="J1043" s="290"/>
      <c r="K1043" s="290"/>
      <c r="L1043" s="290"/>
      <c r="M1043" s="308"/>
      <c r="N1043" s="290"/>
      <c r="O1043" s="290"/>
      <c r="P1043" s="290"/>
      <c r="Q1043" s="290"/>
      <c r="R1043" s="290"/>
      <c r="S1043" s="290"/>
      <c r="T1043" s="290"/>
      <c r="U1043" s="294"/>
      <c r="V1043" s="290"/>
      <c r="W1043" s="290"/>
      <c r="X1043" s="291"/>
      <c r="Y1043" s="295"/>
      <c r="Z1043" s="295"/>
      <c r="AA1043" s="296"/>
      <c r="AB1043" s="296"/>
      <c r="AC1043" s="291"/>
      <c r="AD1043" s="291"/>
      <c r="AE1043" s="291"/>
      <c r="AF1043" s="291"/>
      <c r="AG1043" s="291"/>
      <c r="AH1043" s="291"/>
      <c r="AI1043" s="291"/>
      <c r="AJ1043" s="291"/>
      <c r="AK1043" s="290"/>
      <c r="AL1043" s="290"/>
      <c r="AM1043" s="290"/>
      <c r="AN1043" s="290"/>
      <c r="AO1043" s="290"/>
      <c r="AP1043" s="290"/>
      <c r="AQ1043" s="290"/>
      <c r="AR1043" s="290"/>
      <c r="AS1043" s="290"/>
      <c r="AT1043" s="290"/>
      <c r="AU1043" s="290"/>
      <c r="AV1043" s="290"/>
      <c r="AW1043" s="290"/>
      <c r="AX1043" s="290"/>
      <c r="AY1043" s="290"/>
      <c r="AZ1043" s="290"/>
      <c r="BA1043" s="290"/>
      <c r="BG1043" s="307"/>
      <c r="BH1043" s="307"/>
      <c r="BI1043" s="307"/>
      <c r="BK1043" s="300"/>
    </row>
    <row r="1044" spans="1:63" s="298" customFormat="1" hidden="1" x14ac:dyDescent="0.25">
      <c r="A1044" s="290"/>
      <c r="B1044" s="291"/>
      <c r="C1044" s="290"/>
      <c r="D1044" s="290"/>
      <c r="E1044" s="290"/>
      <c r="F1044" s="290"/>
      <c r="G1044" s="290"/>
      <c r="H1044" s="290"/>
      <c r="I1044" s="290"/>
      <c r="J1044" s="290"/>
      <c r="K1044" s="290"/>
      <c r="L1044" s="290"/>
      <c r="M1044" s="308"/>
      <c r="N1044" s="290"/>
      <c r="O1044" s="290"/>
      <c r="P1044" s="290"/>
      <c r="Q1044" s="290"/>
      <c r="R1044" s="290"/>
      <c r="S1044" s="290"/>
      <c r="T1044" s="290"/>
      <c r="U1044" s="294"/>
      <c r="V1044" s="290"/>
      <c r="W1044" s="290"/>
      <c r="X1044" s="291"/>
      <c r="Y1044" s="295"/>
      <c r="Z1044" s="295"/>
      <c r="AA1044" s="296"/>
      <c r="AB1044" s="296"/>
      <c r="AC1044" s="291"/>
      <c r="AD1044" s="291"/>
      <c r="AE1044" s="291"/>
      <c r="AF1044" s="291"/>
      <c r="AG1044" s="291"/>
      <c r="AH1044" s="291"/>
      <c r="AI1044" s="291"/>
      <c r="AJ1044" s="291"/>
      <c r="AK1044" s="290"/>
      <c r="AL1044" s="290"/>
      <c r="AM1044" s="290"/>
      <c r="AN1044" s="290"/>
      <c r="AO1044" s="290"/>
      <c r="AP1044" s="290"/>
      <c r="AQ1044" s="290"/>
      <c r="AR1044" s="290"/>
      <c r="AS1044" s="290"/>
      <c r="AT1044" s="290"/>
      <c r="AU1044" s="290"/>
      <c r="AV1044" s="290"/>
      <c r="AW1044" s="290"/>
      <c r="AX1044" s="290"/>
      <c r="AY1044" s="290"/>
      <c r="AZ1044" s="290"/>
      <c r="BA1044" s="290"/>
      <c r="BG1044" s="307"/>
      <c r="BH1044" s="307"/>
      <c r="BI1044" s="307"/>
      <c r="BK1044" s="300"/>
    </row>
    <row r="1045" spans="1:63" s="298" customFormat="1" hidden="1" x14ac:dyDescent="0.25">
      <c r="A1045" s="290"/>
      <c r="B1045" s="291"/>
      <c r="C1045" s="290"/>
      <c r="D1045" s="290"/>
      <c r="E1045" s="290"/>
      <c r="F1045" s="290"/>
      <c r="G1045" s="290"/>
      <c r="H1045" s="290"/>
      <c r="I1045" s="290"/>
      <c r="J1045" s="290"/>
      <c r="K1045" s="290"/>
      <c r="L1045" s="290"/>
      <c r="M1045" s="308"/>
      <c r="N1045" s="290"/>
      <c r="O1045" s="290"/>
      <c r="P1045" s="290"/>
      <c r="Q1045" s="290"/>
      <c r="R1045" s="290"/>
      <c r="S1045" s="290"/>
      <c r="T1045" s="290"/>
      <c r="U1045" s="294"/>
      <c r="V1045" s="290"/>
      <c r="W1045" s="290"/>
      <c r="X1045" s="291"/>
      <c r="Y1045" s="295"/>
      <c r="Z1045" s="295"/>
      <c r="AA1045" s="296"/>
      <c r="AB1045" s="296"/>
      <c r="AC1045" s="291"/>
      <c r="AD1045" s="291"/>
      <c r="AE1045" s="291"/>
      <c r="AF1045" s="291"/>
      <c r="AG1045" s="291"/>
      <c r="AH1045" s="291"/>
      <c r="AI1045" s="291"/>
      <c r="AJ1045" s="291"/>
      <c r="AK1045" s="290"/>
      <c r="AL1045" s="290"/>
      <c r="AM1045" s="290"/>
      <c r="AN1045" s="290"/>
      <c r="AO1045" s="290"/>
      <c r="AP1045" s="290"/>
      <c r="AQ1045" s="290"/>
      <c r="AR1045" s="290"/>
      <c r="AS1045" s="290"/>
      <c r="AT1045" s="290"/>
      <c r="AU1045" s="290"/>
      <c r="AV1045" s="290"/>
      <c r="AW1045" s="290"/>
      <c r="AX1045" s="290"/>
      <c r="AY1045" s="290"/>
      <c r="AZ1045" s="290"/>
      <c r="BA1045" s="290"/>
      <c r="BG1045" s="307"/>
      <c r="BH1045" s="307"/>
      <c r="BI1045" s="307"/>
      <c r="BK1045" s="300"/>
    </row>
    <row r="1046" spans="1:63" s="298" customFormat="1" hidden="1" x14ac:dyDescent="0.25">
      <c r="A1046" s="290"/>
      <c r="B1046" s="291"/>
      <c r="C1046" s="290"/>
      <c r="D1046" s="290"/>
      <c r="E1046" s="290"/>
      <c r="F1046" s="290"/>
      <c r="G1046" s="290"/>
      <c r="H1046" s="290"/>
      <c r="I1046" s="290"/>
      <c r="J1046" s="290"/>
      <c r="K1046" s="290"/>
      <c r="L1046" s="290"/>
      <c r="M1046" s="308"/>
      <c r="N1046" s="290"/>
      <c r="O1046" s="290"/>
      <c r="P1046" s="290"/>
      <c r="Q1046" s="290"/>
      <c r="R1046" s="290"/>
      <c r="S1046" s="290"/>
      <c r="T1046" s="290"/>
      <c r="U1046" s="294"/>
      <c r="V1046" s="290"/>
      <c r="W1046" s="290"/>
      <c r="X1046" s="291"/>
      <c r="Y1046" s="295"/>
      <c r="Z1046" s="295"/>
      <c r="AA1046" s="296"/>
      <c r="AB1046" s="296"/>
      <c r="AC1046" s="291"/>
      <c r="AD1046" s="291"/>
      <c r="AE1046" s="291"/>
      <c r="AF1046" s="291"/>
      <c r="AG1046" s="291"/>
      <c r="AH1046" s="291"/>
      <c r="AI1046" s="291"/>
      <c r="AJ1046" s="291"/>
      <c r="AK1046" s="290"/>
      <c r="AL1046" s="290"/>
      <c r="AM1046" s="290"/>
      <c r="AN1046" s="290"/>
      <c r="AO1046" s="290"/>
      <c r="AP1046" s="290"/>
      <c r="AQ1046" s="290"/>
      <c r="AR1046" s="290"/>
      <c r="AS1046" s="290"/>
      <c r="AT1046" s="290"/>
      <c r="AU1046" s="290"/>
      <c r="AV1046" s="290"/>
      <c r="AW1046" s="290"/>
      <c r="AX1046" s="290"/>
      <c r="AY1046" s="290"/>
      <c r="AZ1046" s="290"/>
      <c r="BA1046" s="290"/>
      <c r="BG1046" s="307"/>
      <c r="BH1046" s="307"/>
      <c r="BI1046" s="307"/>
      <c r="BK1046" s="300"/>
    </row>
    <row r="1047" spans="1:63" s="298" customFormat="1" hidden="1" x14ac:dyDescent="0.25">
      <c r="A1047" s="290"/>
      <c r="B1047" s="291"/>
      <c r="C1047" s="290"/>
      <c r="D1047" s="290"/>
      <c r="E1047" s="290"/>
      <c r="F1047" s="290"/>
      <c r="G1047" s="290"/>
      <c r="H1047" s="290"/>
      <c r="I1047" s="290"/>
      <c r="J1047" s="290"/>
      <c r="K1047" s="290"/>
      <c r="L1047" s="290"/>
      <c r="M1047" s="308"/>
      <c r="N1047" s="290"/>
      <c r="O1047" s="290"/>
      <c r="P1047" s="290"/>
      <c r="Q1047" s="290"/>
      <c r="R1047" s="290"/>
      <c r="S1047" s="290"/>
      <c r="T1047" s="290"/>
      <c r="U1047" s="294"/>
      <c r="V1047" s="290"/>
      <c r="W1047" s="290"/>
      <c r="X1047" s="291"/>
      <c r="Y1047" s="295"/>
      <c r="Z1047" s="295"/>
      <c r="AA1047" s="296"/>
      <c r="AB1047" s="296"/>
      <c r="AC1047" s="291"/>
      <c r="AD1047" s="291"/>
      <c r="AE1047" s="291"/>
      <c r="AF1047" s="291"/>
      <c r="AG1047" s="291"/>
      <c r="AH1047" s="291"/>
      <c r="AI1047" s="291"/>
      <c r="AJ1047" s="291"/>
      <c r="AK1047" s="290"/>
      <c r="AL1047" s="290"/>
      <c r="AM1047" s="290"/>
      <c r="AN1047" s="290"/>
      <c r="AO1047" s="290"/>
      <c r="AP1047" s="290"/>
      <c r="AQ1047" s="290"/>
      <c r="AR1047" s="290"/>
      <c r="AS1047" s="290"/>
      <c r="AT1047" s="290"/>
      <c r="AU1047" s="290"/>
      <c r="AV1047" s="290"/>
      <c r="AW1047" s="290"/>
      <c r="AX1047" s="290"/>
      <c r="AY1047" s="290"/>
      <c r="AZ1047" s="290"/>
      <c r="BA1047" s="290"/>
      <c r="BG1047" s="307"/>
      <c r="BH1047" s="307"/>
      <c r="BI1047" s="307"/>
      <c r="BK1047" s="300"/>
    </row>
    <row r="1048" spans="1:63" s="298" customFormat="1" hidden="1" x14ac:dyDescent="0.25">
      <c r="A1048" s="290"/>
      <c r="B1048" s="291"/>
      <c r="C1048" s="290"/>
      <c r="D1048" s="290"/>
      <c r="E1048" s="290"/>
      <c r="F1048" s="290"/>
      <c r="G1048" s="290"/>
      <c r="H1048" s="290"/>
      <c r="I1048" s="290"/>
      <c r="J1048" s="290"/>
      <c r="K1048" s="290"/>
      <c r="L1048" s="290"/>
      <c r="M1048" s="308"/>
      <c r="N1048" s="290"/>
      <c r="O1048" s="290"/>
      <c r="P1048" s="290"/>
      <c r="Q1048" s="290"/>
      <c r="R1048" s="290"/>
      <c r="S1048" s="290"/>
      <c r="T1048" s="290"/>
      <c r="U1048" s="294"/>
      <c r="V1048" s="290"/>
      <c r="W1048" s="290"/>
      <c r="X1048" s="291"/>
      <c r="Y1048" s="295"/>
      <c r="Z1048" s="295"/>
      <c r="AA1048" s="296"/>
      <c r="AB1048" s="296"/>
      <c r="AC1048" s="291"/>
      <c r="AD1048" s="291"/>
      <c r="AE1048" s="291"/>
      <c r="AF1048" s="291"/>
      <c r="AG1048" s="291"/>
      <c r="AH1048" s="291"/>
      <c r="AI1048" s="291"/>
      <c r="AJ1048" s="291"/>
      <c r="AK1048" s="290"/>
      <c r="AL1048" s="290"/>
      <c r="AM1048" s="290"/>
      <c r="AN1048" s="290"/>
      <c r="AO1048" s="290"/>
      <c r="AP1048" s="290"/>
      <c r="AQ1048" s="290"/>
      <c r="AR1048" s="290"/>
      <c r="AS1048" s="290"/>
      <c r="AT1048" s="290"/>
      <c r="AU1048" s="290"/>
      <c r="AV1048" s="290"/>
      <c r="AW1048" s="290"/>
      <c r="AX1048" s="290"/>
      <c r="AY1048" s="290"/>
      <c r="AZ1048" s="290"/>
      <c r="BA1048" s="290"/>
      <c r="BG1048" s="307"/>
      <c r="BH1048" s="307"/>
      <c r="BI1048" s="307"/>
      <c r="BK1048" s="300"/>
    </row>
    <row r="1049" spans="1:63" s="298" customFormat="1" hidden="1" x14ac:dyDescent="0.25">
      <c r="A1049" s="290"/>
      <c r="B1049" s="291"/>
      <c r="C1049" s="290"/>
      <c r="D1049" s="290"/>
      <c r="E1049" s="290"/>
      <c r="F1049" s="290"/>
      <c r="G1049" s="290"/>
      <c r="H1049" s="290"/>
      <c r="I1049" s="290"/>
      <c r="J1049" s="290"/>
      <c r="K1049" s="290"/>
      <c r="L1049" s="290"/>
      <c r="M1049" s="308"/>
      <c r="N1049" s="290"/>
      <c r="O1049" s="290"/>
      <c r="P1049" s="290"/>
      <c r="Q1049" s="290"/>
      <c r="R1049" s="290"/>
      <c r="S1049" s="290"/>
      <c r="T1049" s="290"/>
      <c r="U1049" s="294"/>
      <c r="V1049" s="290"/>
      <c r="W1049" s="290"/>
      <c r="X1049" s="291"/>
      <c r="Y1049" s="295"/>
      <c r="Z1049" s="295"/>
      <c r="AA1049" s="296"/>
      <c r="AB1049" s="296"/>
      <c r="AC1049" s="291"/>
      <c r="AD1049" s="291"/>
      <c r="AE1049" s="291"/>
      <c r="AF1049" s="291"/>
      <c r="AG1049" s="291"/>
      <c r="AH1049" s="291"/>
      <c r="AI1049" s="291"/>
      <c r="AJ1049" s="291"/>
      <c r="AK1049" s="290"/>
      <c r="AL1049" s="290"/>
      <c r="AM1049" s="290"/>
      <c r="AN1049" s="290"/>
      <c r="AO1049" s="290"/>
      <c r="AP1049" s="290"/>
      <c r="AQ1049" s="290"/>
      <c r="AR1049" s="290"/>
      <c r="AS1049" s="290"/>
      <c r="AT1049" s="290"/>
      <c r="AU1049" s="290"/>
      <c r="AV1049" s="290"/>
      <c r="AW1049" s="290"/>
      <c r="AX1049" s="290"/>
      <c r="AY1049" s="290"/>
      <c r="AZ1049" s="290"/>
      <c r="BA1049" s="290"/>
      <c r="BG1049" s="307"/>
      <c r="BH1049" s="307"/>
      <c r="BI1049" s="307"/>
      <c r="BK1049" s="300"/>
    </row>
    <row r="1050" spans="1:63" s="298" customFormat="1" hidden="1" x14ac:dyDescent="0.25">
      <c r="A1050" s="290"/>
      <c r="B1050" s="291"/>
      <c r="C1050" s="290"/>
      <c r="D1050" s="290"/>
      <c r="E1050" s="290"/>
      <c r="F1050" s="290"/>
      <c r="G1050" s="290"/>
      <c r="H1050" s="290"/>
      <c r="I1050" s="290"/>
      <c r="J1050" s="290"/>
      <c r="K1050" s="290"/>
      <c r="L1050" s="290"/>
      <c r="M1050" s="308"/>
      <c r="N1050" s="290"/>
      <c r="O1050" s="290"/>
      <c r="P1050" s="290"/>
      <c r="Q1050" s="290"/>
      <c r="R1050" s="290"/>
      <c r="S1050" s="290"/>
      <c r="T1050" s="290"/>
      <c r="U1050" s="294"/>
      <c r="V1050" s="290"/>
      <c r="W1050" s="290"/>
      <c r="X1050" s="291"/>
      <c r="Y1050" s="295"/>
      <c r="Z1050" s="295"/>
      <c r="AA1050" s="296"/>
      <c r="AB1050" s="296"/>
      <c r="AC1050" s="291"/>
      <c r="AD1050" s="291"/>
      <c r="AE1050" s="291"/>
      <c r="AF1050" s="291"/>
      <c r="AG1050" s="291"/>
      <c r="AH1050" s="291"/>
      <c r="AI1050" s="291"/>
      <c r="AJ1050" s="291"/>
      <c r="AK1050" s="290"/>
      <c r="AL1050" s="290"/>
      <c r="AM1050" s="290"/>
      <c r="AN1050" s="290"/>
      <c r="AO1050" s="290"/>
      <c r="AP1050" s="290"/>
      <c r="AQ1050" s="290"/>
      <c r="AR1050" s="290"/>
      <c r="AS1050" s="290"/>
      <c r="AT1050" s="290"/>
      <c r="AU1050" s="290"/>
      <c r="AV1050" s="290"/>
      <c r="AW1050" s="290"/>
      <c r="AX1050" s="290"/>
      <c r="AY1050" s="290"/>
      <c r="AZ1050" s="290"/>
      <c r="BA1050" s="290"/>
      <c r="BG1050" s="307"/>
      <c r="BH1050" s="307"/>
      <c r="BI1050" s="307"/>
      <c r="BK1050" s="300"/>
    </row>
    <row r="1051" spans="1:63" s="298" customFormat="1" ht="11.25" hidden="1" customHeight="1" x14ac:dyDescent="0.25">
      <c r="A1051" s="290"/>
      <c r="B1051" s="291"/>
      <c r="C1051" s="290"/>
      <c r="D1051" s="290"/>
      <c r="E1051" s="290"/>
      <c r="F1051" s="290"/>
      <c r="G1051" s="290"/>
      <c r="H1051" s="290"/>
      <c r="I1051" s="290"/>
      <c r="J1051" s="290"/>
      <c r="K1051" s="290"/>
      <c r="L1051" s="290"/>
      <c r="M1051" s="290"/>
      <c r="N1051" s="290"/>
      <c r="O1051" s="290"/>
      <c r="P1051" s="290"/>
      <c r="Q1051" s="290"/>
      <c r="R1051" s="290"/>
      <c r="S1051" s="290"/>
      <c r="T1051" s="290"/>
      <c r="U1051" s="294"/>
      <c r="V1051" s="290"/>
      <c r="W1051" s="290"/>
      <c r="X1051" s="291"/>
      <c r="Y1051" s="295"/>
      <c r="Z1051" s="295"/>
      <c r="AA1051" s="296"/>
      <c r="AB1051" s="296"/>
      <c r="AC1051" s="291"/>
      <c r="AD1051" s="291"/>
      <c r="AE1051" s="291"/>
      <c r="AF1051" s="291"/>
      <c r="AG1051" s="291"/>
      <c r="AH1051" s="291"/>
      <c r="AI1051" s="291"/>
      <c r="AJ1051" s="291"/>
      <c r="AK1051" s="290"/>
      <c r="AL1051" s="290"/>
      <c r="AM1051" s="290"/>
      <c r="AN1051" s="290"/>
      <c r="AO1051" s="290"/>
      <c r="AP1051" s="290"/>
      <c r="AQ1051" s="290"/>
      <c r="AR1051" s="290"/>
      <c r="AS1051" s="290"/>
      <c r="AT1051" s="290"/>
      <c r="AU1051" s="290"/>
      <c r="AV1051" s="290"/>
      <c r="AW1051" s="290"/>
      <c r="AX1051" s="290"/>
      <c r="AY1051" s="290"/>
      <c r="AZ1051" s="290"/>
      <c r="BA1051" s="290"/>
      <c r="BG1051" s="307"/>
      <c r="BH1051" s="307"/>
      <c r="BI1051" s="307"/>
      <c r="BK1051" s="300"/>
    </row>
    <row r="1052" spans="1:63" s="298" customFormat="1" hidden="1" x14ac:dyDescent="0.25">
      <c r="A1052" s="290"/>
      <c r="B1052" s="291"/>
      <c r="C1052" s="290"/>
      <c r="D1052" s="290"/>
      <c r="E1052" s="290"/>
      <c r="F1052" s="290"/>
      <c r="G1052" s="290"/>
      <c r="H1052" s="290"/>
      <c r="I1052" s="290"/>
      <c r="J1052" s="290"/>
      <c r="K1052" s="290"/>
      <c r="L1052" s="290"/>
      <c r="M1052" s="290"/>
      <c r="N1052" s="290"/>
      <c r="O1052" s="290"/>
      <c r="P1052" s="290"/>
      <c r="Q1052" s="290"/>
      <c r="R1052" s="290"/>
      <c r="S1052" s="290"/>
      <c r="T1052" s="290"/>
      <c r="U1052" s="294"/>
      <c r="V1052" s="290"/>
      <c r="W1052" s="290"/>
      <c r="X1052" s="291"/>
      <c r="Y1052" s="295"/>
      <c r="Z1052" s="295"/>
      <c r="AA1052" s="296"/>
      <c r="AB1052" s="296"/>
      <c r="AC1052" s="291"/>
      <c r="AD1052" s="291"/>
      <c r="AE1052" s="291"/>
      <c r="AF1052" s="291"/>
      <c r="AG1052" s="291"/>
      <c r="AH1052" s="291"/>
      <c r="AI1052" s="291"/>
      <c r="AJ1052" s="291"/>
      <c r="AK1052" s="290"/>
      <c r="AL1052" s="290"/>
      <c r="AM1052" s="290"/>
      <c r="AN1052" s="290"/>
      <c r="AO1052" s="290"/>
      <c r="AP1052" s="290"/>
      <c r="AQ1052" s="290"/>
      <c r="AR1052" s="290"/>
      <c r="AS1052" s="290"/>
      <c r="AT1052" s="290"/>
      <c r="AU1052" s="290"/>
      <c r="AV1052" s="290"/>
      <c r="AW1052" s="290"/>
      <c r="AX1052" s="290"/>
      <c r="AY1052" s="290"/>
      <c r="AZ1052" s="290"/>
      <c r="BA1052" s="290"/>
      <c r="BG1052" s="307"/>
      <c r="BH1052" s="307"/>
      <c r="BI1052" s="307"/>
      <c r="BK1052" s="300"/>
    </row>
    <row r="1053" spans="1:63" s="298" customFormat="1" hidden="1" x14ac:dyDescent="0.25">
      <c r="A1053" s="290"/>
      <c r="B1053" s="291"/>
      <c r="C1053" s="290"/>
      <c r="D1053" s="290"/>
      <c r="E1053" s="290"/>
      <c r="F1053" s="290"/>
      <c r="G1053" s="290"/>
      <c r="H1053" s="290"/>
      <c r="I1053" s="290"/>
      <c r="J1053" s="290"/>
      <c r="K1053" s="290"/>
      <c r="L1053" s="290"/>
      <c r="M1053" s="290"/>
      <c r="N1053" s="290"/>
      <c r="O1053" s="290"/>
      <c r="P1053" s="290"/>
      <c r="Q1053" s="290"/>
      <c r="R1053" s="290"/>
      <c r="S1053" s="290"/>
      <c r="T1053" s="290"/>
      <c r="U1053" s="294"/>
      <c r="V1053" s="290"/>
      <c r="W1053" s="290"/>
      <c r="X1053" s="291"/>
      <c r="Y1053" s="295"/>
      <c r="Z1053" s="295"/>
      <c r="AA1053" s="296"/>
      <c r="AB1053" s="296"/>
      <c r="AC1053" s="291"/>
      <c r="AD1053" s="291"/>
      <c r="AE1053" s="291"/>
      <c r="AF1053" s="291"/>
      <c r="AG1053" s="291"/>
      <c r="AH1053" s="291"/>
      <c r="AI1053" s="291"/>
      <c r="AJ1053" s="291"/>
      <c r="AK1053" s="290"/>
      <c r="AL1053" s="290"/>
      <c r="AM1053" s="290"/>
      <c r="AN1053" s="290"/>
      <c r="AO1053" s="290"/>
      <c r="AP1053" s="290"/>
      <c r="AQ1053" s="290"/>
      <c r="AR1053" s="290"/>
      <c r="AS1053" s="290"/>
      <c r="AT1053" s="290"/>
      <c r="AU1053" s="290"/>
      <c r="AV1053" s="290"/>
      <c r="AW1053" s="290"/>
      <c r="AX1053" s="290"/>
      <c r="AY1053" s="290"/>
      <c r="AZ1053" s="290"/>
      <c r="BA1053" s="290"/>
      <c r="BG1053" s="307"/>
      <c r="BH1053" s="307"/>
      <c r="BI1053" s="307"/>
      <c r="BK1053" s="300"/>
    </row>
    <row r="1054" spans="1:63" s="298" customFormat="1" hidden="1" x14ac:dyDescent="0.25">
      <c r="A1054" s="290"/>
      <c r="B1054" s="291"/>
      <c r="C1054" s="290"/>
      <c r="D1054" s="290"/>
      <c r="E1054" s="290"/>
      <c r="F1054" s="292"/>
      <c r="G1054" s="290"/>
      <c r="H1054" s="290"/>
      <c r="I1054" s="290"/>
      <c r="J1054" s="290"/>
      <c r="K1054" s="290"/>
      <c r="L1054" s="290"/>
      <c r="M1054" s="320"/>
      <c r="N1054" s="290"/>
      <c r="O1054" s="290"/>
      <c r="P1054" s="290"/>
      <c r="Q1054" s="290"/>
      <c r="R1054" s="290"/>
      <c r="S1054" s="290"/>
      <c r="T1054" s="290"/>
      <c r="U1054" s="294"/>
      <c r="V1054" s="290"/>
      <c r="W1054" s="290"/>
      <c r="X1054" s="291"/>
      <c r="Y1054" s="295"/>
      <c r="Z1054" s="295"/>
      <c r="AA1054" s="296"/>
      <c r="AB1054" s="296"/>
      <c r="AC1054" s="291"/>
      <c r="AD1054" s="291"/>
      <c r="AE1054" s="291"/>
      <c r="AF1054" s="291"/>
      <c r="AG1054" s="291"/>
      <c r="AH1054" s="291"/>
      <c r="AI1054" s="291"/>
      <c r="AJ1054" s="291"/>
      <c r="AK1054" s="290"/>
      <c r="AL1054" s="290"/>
      <c r="AM1054" s="290"/>
      <c r="AN1054" s="290"/>
      <c r="AO1054" s="290"/>
      <c r="AP1054" s="290"/>
      <c r="AQ1054" s="290"/>
      <c r="AR1054" s="290"/>
      <c r="AS1054" s="290"/>
      <c r="AT1054" s="290"/>
      <c r="AU1054" s="290"/>
      <c r="AV1054" s="290"/>
      <c r="AW1054" s="290"/>
      <c r="AX1054" s="290"/>
      <c r="AY1054" s="290"/>
      <c r="AZ1054" s="290"/>
      <c r="BA1054" s="290"/>
      <c r="BG1054" s="307"/>
      <c r="BH1054" s="307"/>
      <c r="BI1054" s="307"/>
      <c r="BK1054" s="300"/>
    </row>
    <row r="1055" spans="1:63" s="298" customFormat="1" hidden="1" x14ac:dyDescent="0.25">
      <c r="A1055" s="290"/>
      <c r="B1055" s="291"/>
      <c r="C1055" s="290"/>
      <c r="D1055" s="290"/>
      <c r="E1055" s="290"/>
      <c r="F1055" s="292"/>
      <c r="G1055" s="290"/>
      <c r="H1055" s="290"/>
      <c r="I1055" s="290"/>
      <c r="J1055" s="290"/>
      <c r="K1055" s="290"/>
      <c r="L1055" s="290"/>
      <c r="M1055" s="320"/>
      <c r="N1055" s="290"/>
      <c r="O1055" s="290"/>
      <c r="P1055" s="290"/>
      <c r="Q1055" s="290"/>
      <c r="R1055" s="290"/>
      <c r="S1055" s="290"/>
      <c r="T1055" s="290"/>
      <c r="U1055" s="294"/>
      <c r="V1055" s="290"/>
      <c r="W1055" s="290"/>
      <c r="X1055" s="291"/>
      <c r="Y1055" s="295"/>
      <c r="Z1055" s="295"/>
      <c r="AA1055" s="296"/>
      <c r="AB1055" s="296"/>
      <c r="AC1055" s="291"/>
      <c r="AD1055" s="291"/>
      <c r="AE1055" s="291"/>
      <c r="AF1055" s="291"/>
      <c r="AG1055" s="291"/>
      <c r="AH1055" s="291"/>
      <c r="AI1055" s="291"/>
      <c r="AJ1055" s="291"/>
      <c r="AK1055" s="290"/>
      <c r="AL1055" s="290"/>
      <c r="AM1055" s="290"/>
      <c r="AN1055" s="290"/>
      <c r="AO1055" s="290"/>
      <c r="AP1055" s="290"/>
      <c r="AQ1055" s="290"/>
      <c r="AR1055" s="290"/>
      <c r="AS1055" s="290"/>
      <c r="AT1055" s="290"/>
      <c r="AU1055" s="290"/>
      <c r="AV1055" s="290"/>
      <c r="AW1055" s="290"/>
      <c r="AX1055" s="290"/>
      <c r="AY1055" s="290"/>
      <c r="AZ1055" s="290"/>
      <c r="BA1055" s="290"/>
      <c r="BG1055" s="307"/>
      <c r="BH1055" s="307"/>
      <c r="BI1055" s="307"/>
      <c r="BK1055" s="300"/>
    </row>
    <row r="1056" spans="1:63" s="298" customFormat="1" hidden="1" x14ac:dyDescent="0.25">
      <c r="A1056" s="290"/>
      <c r="B1056" s="291"/>
      <c r="C1056" s="290"/>
      <c r="D1056" s="290"/>
      <c r="E1056" s="290"/>
      <c r="F1056" s="292"/>
      <c r="G1056" s="290"/>
      <c r="H1056" s="290"/>
      <c r="I1056" s="290"/>
      <c r="J1056" s="290"/>
      <c r="K1056" s="290"/>
      <c r="L1056" s="290"/>
      <c r="M1056" s="320"/>
      <c r="N1056" s="290"/>
      <c r="O1056" s="290"/>
      <c r="P1056" s="290"/>
      <c r="Q1056" s="290"/>
      <c r="R1056" s="290"/>
      <c r="S1056" s="290"/>
      <c r="T1056" s="290"/>
      <c r="U1056" s="294"/>
      <c r="V1056" s="290"/>
      <c r="W1056" s="290"/>
      <c r="X1056" s="291"/>
      <c r="Y1056" s="295"/>
      <c r="Z1056" s="295"/>
      <c r="AA1056" s="296"/>
      <c r="AB1056" s="296"/>
      <c r="AC1056" s="291"/>
      <c r="AD1056" s="291"/>
      <c r="AE1056" s="291"/>
      <c r="AF1056" s="291"/>
      <c r="AG1056" s="291"/>
      <c r="AH1056" s="291"/>
      <c r="AI1056" s="291"/>
      <c r="AJ1056" s="291"/>
      <c r="AK1056" s="290"/>
      <c r="AL1056" s="290"/>
      <c r="AM1056" s="290"/>
      <c r="AN1056" s="290"/>
      <c r="AO1056" s="290"/>
      <c r="AP1056" s="290"/>
      <c r="AQ1056" s="290"/>
      <c r="AR1056" s="290"/>
      <c r="AS1056" s="290"/>
      <c r="AT1056" s="290"/>
      <c r="AU1056" s="290"/>
      <c r="AV1056" s="290"/>
      <c r="AW1056" s="290"/>
      <c r="AX1056" s="290"/>
      <c r="AY1056" s="290"/>
      <c r="AZ1056" s="290"/>
      <c r="BA1056" s="290"/>
      <c r="BG1056" s="307"/>
      <c r="BH1056" s="307"/>
      <c r="BI1056" s="307"/>
      <c r="BK1056" s="300"/>
    </row>
    <row r="1057" spans="1:63" s="298" customFormat="1" hidden="1" x14ac:dyDescent="0.25">
      <c r="A1057" s="290"/>
      <c r="B1057" s="291"/>
      <c r="C1057" s="290"/>
      <c r="D1057" s="290"/>
      <c r="E1057" s="290"/>
      <c r="F1057" s="292"/>
      <c r="G1057" s="290"/>
      <c r="H1057" s="290"/>
      <c r="I1057" s="290"/>
      <c r="J1057" s="290"/>
      <c r="K1057" s="290"/>
      <c r="L1057" s="290"/>
      <c r="M1057" s="320"/>
      <c r="N1057" s="290"/>
      <c r="O1057" s="290"/>
      <c r="P1057" s="290"/>
      <c r="Q1057" s="290"/>
      <c r="R1057" s="290"/>
      <c r="S1057" s="290"/>
      <c r="T1057" s="290"/>
      <c r="U1057" s="294"/>
      <c r="V1057" s="290"/>
      <c r="W1057" s="290"/>
      <c r="X1057" s="291"/>
      <c r="Y1057" s="295"/>
      <c r="Z1057" s="295"/>
      <c r="AA1057" s="296"/>
      <c r="AB1057" s="296"/>
      <c r="AC1057" s="291"/>
      <c r="AD1057" s="291"/>
      <c r="AE1057" s="291"/>
      <c r="AF1057" s="291"/>
      <c r="AG1057" s="291"/>
      <c r="AH1057" s="291"/>
      <c r="AI1057" s="291"/>
      <c r="AJ1057" s="291"/>
      <c r="AK1057" s="290"/>
      <c r="AL1057" s="290"/>
      <c r="AM1057" s="290"/>
      <c r="AN1057" s="290"/>
      <c r="AO1057" s="290"/>
      <c r="AP1057" s="290"/>
      <c r="AQ1057" s="290"/>
      <c r="AR1057" s="290"/>
      <c r="AS1057" s="290"/>
      <c r="AT1057" s="290"/>
      <c r="AU1057" s="290"/>
      <c r="AV1057" s="290"/>
      <c r="AW1057" s="290"/>
      <c r="AX1057" s="290"/>
      <c r="AY1057" s="290"/>
      <c r="AZ1057" s="290"/>
      <c r="BA1057" s="290"/>
      <c r="BG1057" s="307"/>
      <c r="BH1057" s="307"/>
      <c r="BI1057" s="307"/>
      <c r="BK1057" s="300"/>
    </row>
    <row r="1058" spans="1:63" s="298" customFormat="1" hidden="1" x14ac:dyDescent="0.25">
      <c r="A1058" s="290"/>
      <c r="B1058" s="291"/>
      <c r="C1058" s="290"/>
      <c r="D1058" s="290"/>
      <c r="E1058" s="290"/>
      <c r="F1058" s="292"/>
      <c r="G1058" s="290"/>
      <c r="H1058" s="290"/>
      <c r="I1058" s="290"/>
      <c r="J1058" s="290"/>
      <c r="K1058" s="290"/>
      <c r="L1058" s="290"/>
      <c r="M1058" s="320"/>
      <c r="N1058" s="290"/>
      <c r="O1058" s="290"/>
      <c r="P1058" s="290"/>
      <c r="Q1058" s="290"/>
      <c r="R1058" s="290"/>
      <c r="S1058" s="290"/>
      <c r="T1058" s="290"/>
      <c r="U1058" s="294"/>
      <c r="V1058" s="290"/>
      <c r="W1058" s="290"/>
      <c r="X1058" s="291"/>
      <c r="Y1058" s="295"/>
      <c r="Z1058" s="295"/>
      <c r="AA1058" s="296"/>
      <c r="AB1058" s="296"/>
      <c r="AC1058" s="291"/>
      <c r="AD1058" s="291"/>
      <c r="AE1058" s="291"/>
      <c r="AF1058" s="291"/>
      <c r="AG1058" s="291"/>
      <c r="AH1058" s="291"/>
      <c r="AI1058" s="291"/>
      <c r="AJ1058" s="291"/>
      <c r="AK1058" s="290"/>
      <c r="AL1058" s="290"/>
      <c r="AM1058" s="290"/>
      <c r="AN1058" s="290"/>
      <c r="AO1058" s="290"/>
      <c r="AP1058" s="290"/>
      <c r="AQ1058" s="290"/>
      <c r="AR1058" s="290"/>
      <c r="AS1058" s="290"/>
      <c r="AT1058" s="290"/>
      <c r="AU1058" s="290"/>
      <c r="AV1058" s="290"/>
      <c r="AW1058" s="290"/>
      <c r="AX1058" s="290"/>
      <c r="AY1058" s="290"/>
      <c r="AZ1058" s="290"/>
      <c r="BA1058" s="290"/>
      <c r="BG1058" s="307"/>
      <c r="BH1058" s="307"/>
      <c r="BI1058" s="307"/>
      <c r="BK1058" s="300"/>
    </row>
    <row r="1059" spans="1:63" s="298" customFormat="1" hidden="1" x14ac:dyDescent="0.25">
      <c r="A1059" s="290"/>
      <c r="B1059" s="291"/>
      <c r="C1059" s="290"/>
      <c r="D1059" s="290"/>
      <c r="E1059" s="290"/>
      <c r="F1059" s="292"/>
      <c r="G1059" s="290"/>
      <c r="H1059" s="290"/>
      <c r="I1059" s="290"/>
      <c r="J1059" s="290"/>
      <c r="K1059" s="290"/>
      <c r="L1059" s="290"/>
      <c r="M1059" s="320"/>
      <c r="N1059" s="290"/>
      <c r="O1059" s="290"/>
      <c r="P1059" s="290"/>
      <c r="Q1059" s="290"/>
      <c r="R1059" s="290"/>
      <c r="S1059" s="290"/>
      <c r="T1059" s="290"/>
      <c r="U1059" s="294"/>
      <c r="V1059" s="290"/>
      <c r="W1059" s="290"/>
      <c r="X1059" s="291"/>
      <c r="Y1059" s="295"/>
      <c r="Z1059" s="295"/>
      <c r="AA1059" s="296"/>
      <c r="AB1059" s="296"/>
      <c r="AC1059" s="291"/>
      <c r="AD1059" s="291"/>
      <c r="AE1059" s="291"/>
      <c r="AF1059" s="291"/>
      <c r="AG1059" s="291"/>
      <c r="AH1059" s="291"/>
      <c r="AI1059" s="291"/>
      <c r="AJ1059" s="291"/>
      <c r="AK1059" s="290"/>
      <c r="AL1059" s="290"/>
      <c r="AM1059" s="290"/>
      <c r="AN1059" s="290"/>
      <c r="AO1059" s="290"/>
      <c r="AP1059" s="290"/>
      <c r="AQ1059" s="290"/>
      <c r="AR1059" s="290"/>
      <c r="AS1059" s="290"/>
      <c r="AT1059" s="290"/>
      <c r="AU1059" s="290"/>
      <c r="AV1059" s="290"/>
      <c r="AW1059" s="290"/>
      <c r="AX1059" s="290"/>
      <c r="AY1059" s="290"/>
      <c r="AZ1059" s="290"/>
      <c r="BA1059" s="290"/>
      <c r="BG1059" s="307"/>
      <c r="BH1059" s="307"/>
      <c r="BI1059" s="307"/>
      <c r="BK1059" s="300"/>
    </row>
    <row r="1060" spans="1:63" s="298" customFormat="1" hidden="1" x14ac:dyDescent="0.25">
      <c r="A1060" s="290"/>
      <c r="B1060" s="291"/>
      <c r="C1060" s="290"/>
      <c r="D1060" s="290"/>
      <c r="E1060" s="290"/>
      <c r="F1060" s="292"/>
      <c r="G1060" s="290"/>
      <c r="H1060" s="290"/>
      <c r="I1060" s="290"/>
      <c r="J1060" s="290"/>
      <c r="K1060" s="290"/>
      <c r="L1060" s="290"/>
      <c r="M1060" s="320"/>
      <c r="N1060" s="290"/>
      <c r="O1060" s="290"/>
      <c r="P1060" s="290"/>
      <c r="Q1060" s="290"/>
      <c r="R1060" s="290"/>
      <c r="S1060" s="290"/>
      <c r="T1060" s="290"/>
      <c r="U1060" s="294"/>
      <c r="V1060" s="290"/>
      <c r="W1060" s="290"/>
      <c r="X1060" s="291"/>
      <c r="Y1060" s="295"/>
      <c r="Z1060" s="295"/>
      <c r="AA1060" s="296"/>
      <c r="AB1060" s="296"/>
      <c r="AC1060" s="291"/>
      <c r="AD1060" s="291"/>
      <c r="AE1060" s="291"/>
      <c r="AF1060" s="291"/>
      <c r="AG1060" s="291"/>
      <c r="AH1060" s="291"/>
      <c r="AI1060" s="291"/>
      <c r="AJ1060" s="291"/>
      <c r="AK1060" s="290"/>
      <c r="AL1060" s="290"/>
      <c r="AM1060" s="290"/>
      <c r="AN1060" s="290"/>
      <c r="AO1060" s="290"/>
      <c r="AP1060" s="290"/>
      <c r="AQ1060" s="290"/>
      <c r="AR1060" s="290"/>
      <c r="AS1060" s="290"/>
      <c r="AT1060" s="290"/>
      <c r="AU1060" s="290"/>
      <c r="AV1060" s="290"/>
      <c r="AW1060" s="290"/>
      <c r="AX1060" s="290"/>
      <c r="AY1060" s="290"/>
      <c r="AZ1060" s="290"/>
      <c r="BA1060" s="290"/>
      <c r="BG1060" s="307"/>
      <c r="BH1060" s="307"/>
      <c r="BI1060" s="307"/>
      <c r="BK1060" s="300"/>
    </row>
    <row r="1061" spans="1:63" s="298" customFormat="1" hidden="1" x14ac:dyDescent="0.25">
      <c r="B1061" s="321"/>
      <c r="F1061" s="322"/>
      <c r="M1061" s="323"/>
      <c r="U1061" s="324"/>
      <c r="X1061" s="321"/>
      <c r="Y1061" s="325"/>
      <c r="Z1061" s="325"/>
      <c r="AA1061" s="326"/>
      <c r="AB1061" s="326"/>
      <c r="AC1061" s="321"/>
      <c r="AD1061" s="321"/>
      <c r="AE1061" s="321"/>
      <c r="AF1061" s="321"/>
      <c r="AG1061" s="321"/>
      <c r="AH1061" s="321"/>
      <c r="AI1061" s="321"/>
      <c r="AJ1061" s="321"/>
      <c r="BG1061" s="307"/>
      <c r="BH1061" s="307"/>
      <c r="BI1061" s="307"/>
      <c r="BK1061" s="300"/>
    </row>
    <row r="1062" spans="1:63" s="298" customFormat="1" hidden="1" x14ac:dyDescent="0.25">
      <c r="B1062" s="321"/>
      <c r="F1062" s="322"/>
      <c r="M1062" s="323"/>
      <c r="U1062" s="324"/>
      <c r="X1062" s="321"/>
      <c r="Y1062" s="325"/>
      <c r="Z1062" s="325"/>
      <c r="AA1062" s="326"/>
      <c r="AB1062" s="326"/>
      <c r="AC1062" s="321"/>
      <c r="AD1062" s="321"/>
      <c r="AE1062" s="321"/>
      <c r="AF1062" s="321"/>
      <c r="AG1062" s="321"/>
      <c r="AH1062" s="321"/>
      <c r="AI1062" s="321"/>
      <c r="AJ1062" s="321"/>
      <c r="BG1062" s="307"/>
      <c r="BH1062" s="307"/>
      <c r="BI1062" s="307"/>
      <c r="BK1062" s="300"/>
    </row>
    <row r="1063" spans="1:63" s="298" customFormat="1" hidden="1" x14ac:dyDescent="0.25">
      <c r="B1063" s="321"/>
      <c r="F1063" s="322"/>
      <c r="M1063" s="323"/>
      <c r="U1063" s="324"/>
      <c r="X1063" s="321"/>
      <c r="Y1063" s="325"/>
      <c r="Z1063" s="325"/>
      <c r="AA1063" s="326"/>
      <c r="AB1063" s="326"/>
      <c r="AC1063" s="321"/>
      <c r="AD1063" s="321"/>
      <c r="AE1063" s="321"/>
      <c r="AF1063" s="321"/>
      <c r="AG1063" s="321"/>
      <c r="AH1063" s="321"/>
      <c r="AI1063" s="321"/>
      <c r="AJ1063" s="321"/>
      <c r="BG1063" s="307"/>
      <c r="BH1063" s="307"/>
      <c r="BI1063" s="307"/>
      <c r="BK1063" s="300"/>
    </row>
    <row r="1064" spans="1:63" s="298" customFormat="1" hidden="1" x14ac:dyDescent="0.25">
      <c r="B1064" s="321"/>
      <c r="F1064" s="327" t="s">
        <v>332</v>
      </c>
      <c r="M1064" s="323"/>
      <c r="U1064" s="324"/>
      <c r="X1064" s="321"/>
      <c r="Y1064" s="325"/>
      <c r="Z1064" s="325"/>
      <c r="AA1064" s="326"/>
      <c r="AB1064" s="326"/>
      <c r="AC1064" s="321"/>
      <c r="AD1064" s="321"/>
      <c r="AE1064" s="321"/>
      <c r="AF1064" s="321"/>
      <c r="AG1064" s="321"/>
      <c r="AH1064" s="321"/>
      <c r="AI1064" s="321"/>
      <c r="AJ1064" s="321"/>
      <c r="BG1064" s="307"/>
      <c r="BH1064" s="307"/>
      <c r="BI1064" s="307"/>
      <c r="BK1064" s="300"/>
    </row>
    <row r="1065" spans="1:63" s="298" customFormat="1" hidden="1" x14ac:dyDescent="0.25">
      <c r="B1065" s="321"/>
      <c r="F1065" s="327" t="s">
        <v>333</v>
      </c>
      <c r="M1065" s="323"/>
      <c r="U1065" s="324"/>
      <c r="X1065" s="321"/>
      <c r="Y1065" s="325"/>
      <c r="Z1065" s="325"/>
      <c r="AA1065" s="326"/>
      <c r="AB1065" s="326"/>
      <c r="AC1065" s="321"/>
      <c r="AD1065" s="321"/>
      <c r="AE1065" s="321"/>
      <c r="AF1065" s="321"/>
      <c r="AG1065" s="321"/>
      <c r="AH1065" s="321"/>
      <c r="AI1065" s="321"/>
      <c r="AJ1065" s="321"/>
      <c r="BG1065" s="307"/>
      <c r="BH1065" s="307"/>
      <c r="BI1065" s="307"/>
      <c r="BK1065" s="300"/>
    </row>
    <row r="1066" spans="1:63" s="298" customFormat="1" hidden="1" x14ac:dyDescent="0.25">
      <c r="B1066" s="321"/>
      <c r="F1066" s="322"/>
      <c r="I1066" s="328"/>
      <c r="M1066" s="323"/>
      <c r="U1066" s="324"/>
      <c r="X1066" s="321"/>
      <c r="Y1066" s="325"/>
      <c r="Z1066" s="325"/>
      <c r="AA1066" s="326"/>
      <c r="AB1066" s="326"/>
      <c r="AC1066" s="321"/>
      <c r="AD1066" s="321"/>
      <c r="AE1066" s="321"/>
      <c r="AF1066" s="321"/>
      <c r="AG1066" s="321"/>
      <c r="AH1066" s="321"/>
      <c r="AI1066" s="321"/>
      <c r="AJ1066" s="321"/>
      <c r="BG1066" s="307"/>
      <c r="BH1066" s="307"/>
      <c r="BI1066" s="307"/>
      <c r="BK1066" s="300"/>
    </row>
    <row r="1067" spans="1:63" s="298" customFormat="1" hidden="1" x14ac:dyDescent="0.25">
      <c r="B1067" s="321"/>
      <c r="F1067" s="322" t="e">
        <f>VLOOKUP(F1065,L1092:L1101,2,1)</f>
        <v>#N/A</v>
      </c>
      <c r="M1067" s="323"/>
      <c r="U1067" s="324"/>
      <c r="X1067" s="321"/>
      <c r="Y1067" s="325"/>
      <c r="Z1067" s="325"/>
      <c r="AA1067" s="326"/>
      <c r="AB1067" s="326"/>
      <c r="AC1067" s="321"/>
      <c r="AD1067" s="321"/>
      <c r="AE1067" s="321"/>
      <c r="AF1067" s="321"/>
      <c r="AG1067" s="321"/>
      <c r="AH1067" s="321"/>
      <c r="AI1067" s="321"/>
      <c r="AJ1067" s="321"/>
      <c r="BG1067" s="307"/>
      <c r="BH1067" s="307"/>
      <c r="BI1067" s="307"/>
      <c r="BK1067" s="300"/>
    </row>
    <row r="1068" spans="1:63" s="298" customFormat="1" hidden="1" x14ac:dyDescent="0.25">
      <c r="B1068" s="321"/>
      <c r="F1068" s="322"/>
      <c r="M1068" s="323"/>
      <c r="U1068" s="324"/>
      <c r="X1068" s="321"/>
      <c r="Y1068" s="325"/>
      <c r="Z1068" s="325"/>
      <c r="AA1068" s="326"/>
      <c r="AB1068" s="326"/>
      <c r="AC1068" s="321"/>
      <c r="AD1068" s="321"/>
      <c r="AE1068" s="321"/>
      <c r="AF1068" s="321"/>
      <c r="AG1068" s="321"/>
      <c r="AH1068" s="321"/>
      <c r="AI1068" s="321"/>
      <c r="AJ1068" s="321"/>
      <c r="BG1068" s="307"/>
      <c r="BH1068" s="307"/>
      <c r="BI1068" s="307"/>
      <c r="BK1068" s="300"/>
    </row>
    <row r="1069" spans="1:63" s="298" customFormat="1" hidden="1" x14ac:dyDescent="0.25">
      <c r="B1069" s="321"/>
      <c r="F1069" s="322"/>
      <c r="I1069" s="329" t="s">
        <v>334</v>
      </c>
      <c r="J1069" s="330" t="s">
        <v>335</v>
      </c>
      <c r="K1069" s="330" t="s">
        <v>336</v>
      </c>
      <c r="L1069" s="330" t="s">
        <v>337</v>
      </c>
      <c r="M1069" s="323"/>
      <c r="U1069" s="324"/>
      <c r="X1069" s="321"/>
      <c r="Y1069" s="325"/>
      <c r="Z1069" s="325"/>
      <c r="AA1069" s="326"/>
      <c r="AB1069" s="326"/>
      <c r="AC1069" s="321"/>
      <c r="AD1069" s="321"/>
      <c r="AE1069" s="321"/>
      <c r="AF1069" s="321"/>
      <c r="AG1069" s="321"/>
      <c r="AH1069" s="321"/>
      <c r="AI1069" s="321"/>
      <c r="AJ1069" s="321"/>
      <c r="BG1069" s="307"/>
      <c r="BH1069" s="307"/>
      <c r="BI1069" s="307"/>
      <c r="BK1069" s="300"/>
    </row>
    <row r="1070" spans="1:63" s="298" customFormat="1" hidden="1" x14ac:dyDescent="0.25">
      <c r="B1070" s="321"/>
      <c r="F1070" s="322"/>
      <c r="I1070" s="331">
        <v>1</v>
      </c>
      <c r="J1070" s="332" t="s">
        <v>126</v>
      </c>
      <c r="K1070" s="333">
        <v>1</v>
      </c>
      <c r="L1070" s="334">
        <f t="shared" ref="L1070:L1089" si="264">1-K1070</f>
        <v>0</v>
      </c>
      <c r="M1070" s="323"/>
      <c r="U1070" s="324"/>
      <c r="X1070" s="321"/>
      <c r="Y1070" s="325"/>
      <c r="Z1070" s="325"/>
      <c r="AA1070" s="326"/>
      <c r="AB1070" s="326"/>
      <c r="AC1070" s="321"/>
      <c r="AD1070" s="321"/>
      <c r="AE1070" s="321"/>
      <c r="AF1070" s="321"/>
      <c r="AG1070" s="321"/>
      <c r="AH1070" s="321"/>
      <c r="AI1070" s="321"/>
      <c r="AJ1070" s="321"/>
      <c r="BG1070" s="307"/>
      <c r="BH1070" s="307"/>
      <c r="BI1070" s="307"/>
      <c r="BK1070" s="300"/>
    </row>
    <row r="1071" spans="1:63" s="298" customFormat="1" ht="28.5" hidden="1" x14ac:dyDescent="0.25">
      <c r="B1071" s="321"/>
      <c r="F1071" s="322"/>
      <c r="I1071" s="331">
        <v>2</v>
      </c>
      <c r="J1071" s="332" t="s">
        <v>338</v>
      </c>
      <c r="K1071" s="333">
        <v>0.84</v>
      </c>
      <c r="L1071" s="334">
        <f t="shared" si="264"/>
        <v>0.16000000000000003</v>
      </c>
      <c r="M1071" s="323"/>
      <c r="U1071" s="324"/>
      <c r="X1071" s="321"/>
      <c r="Y1071" s="325"/>
      <c r="Z1071" s="325"/>
      <c r="AA1071" s="326"/>
      <c r="AB1071" s="326"/>
      <c r="AC1071" s="321"/>
      <c r="AD1071" s="321"/>
      <c r="AE1071" s="321"/>
      <c r="AF1071" s="321"/>
      <c r="AG1071" s="321"/>
      <c r="AH1071" s="321"/>
      <c r="AI1071" s="321"/>
      <c r="AJ1071" s="321"/>
      <c r="BG1071" s="307"/>
      <c r="BH1071" s="307"/>
      <c r="BI1071" s="307"/>
      <c r="BK1071" s="300"/>
    </row>
    <row r="1072" spans="1:63" s="298" customFormat="1" hidden="1" x14ac:dyDescent="0.25">
      <c r="B1072" s="321"/>
      <c r="F1072" s="322"/>
      <c r="I1072" s="331">
        <v>3</v>
      </c>
      <c r="J1072" s="332" t="s">
        <v>116</v>
      </c>
      <c r="K1072" s="333">
        <v>0.93</v>
      </c>
      <c r="L1072" s="334">
        <f t="shared" si="264"/>
        <v>6.9999999999999951E-2</v>
      </c>
      <c r="M1072" s="323"/>
      <c r="U1072" s="324"/>
      <c r="X1072" s="321"/>
      <c r="Y1072" s="325"/>
      <c r="Z1072" s="325"/>
      <c r="AA1072" s="326"/>
      <c r="AB1072" s="326"/>
      <c r="AC1072" s="321"/>
      <c r="AD1072" s="321"/>
      <c r="AE1072" s="321"/>
      <c r="AF1072" s="321"/>
      <c r="AG1072" s="321"/>
      <c r="AH1072" s="321"/>
      <c r="AI1072" s="321"/>
      <c r="AJ1072" s="321"/>
      <c r="BG1072" s="307"/>
      <c r="BH1072" s="307"/>
      <c r="BI1072" s="307"/>
      <c r="BK1072" s="300"/>
    </row>
    <row r="1073" spans="2:63" s="298" customFormat="1" hidden="1" x14ac:dyDescent="0.25">
      <c r="B1073" s="321"/>
      <c r="F1073" s="322"/>
      <c r="I1073" s="331">
        <v>4</v>
      </c>
      <c r="J1073" s="332" t="s">
        <v>122</v>
      </c>
      <c r="K1073" s="333">
        <v>0.9</v>
      </c>
      <c r="L1073" s="334">
        <f t="shared" si="264"/>
        <v>9.9999999999999978E-2</v>
      </c>
      <c r="M1073" s="323"/>
      <c r="U1073" s="324"/>
      <c r="X1073" s="321"/>
      <c r="Y1073" s="325"/>
      <c r="Z1073" s="325"/>
      <c r="AA1073" s="326"/>
      <c r="AB1073" s="326"/>
      <c r="AC1073" s="321"/>
      <c r="AD1073" s="321"/>
      <c r="AE1073" s="321"/>
      <c r="AF1073" s="321"/>
      <c r="AG1073" s="321"/>
      <c r="AH1073" s="321"/>
      <c r="AI1073" s="321"/>
      <c r="AJ1073" s="321"/>
      <c r="BG1073" s="307"/>
      <c r="BH1073" s="307"/>
      <c r="BI1073" s="307"/>
      <c r="BK1073" s="300"/>
    </row>
    <row r="1074" spans="2:63" s="298" customFormat="1" ht="28.5" hidden="1" x14ac:dyDescent="0.25">
      <c r="B1074" s="321"/>
      <c r="F1074" s="322"/>
      <c r="I1074" s="331">
        <v>5</v>
      </c>
      <c r="J1074" s="332" t="s">
        <v>339</v>
      </c>
      <c r="K1074" s="333">
        <v>0.87</v>
      </c>
      <c r="L1074" s="334">
        <f t="shared" si="264"/>
        <v>0.13</v>
      </c>
      <c r="M1074" s="323"/>
      <c r="U1074" s="324"/>
      <c r="X1074" s="321"/>
      <c r="Y1074" s="325"/>
      <c r="Z1074" s="325"/>
      <c r="AA1074" s="326"/>
      <c r="AB1074" s="326"/>
      <c r="AC1074" s="321"/>
      <c r="AD1074" s="321"/>
      <c r="AE1074" s="321"/>
      <c r="AF1074" s="321"/>
      <c r="AG1074" s="321"/>
      <c r="AH1074" s="321"/>
      <c r="AI1074" s="321"/>
      <c r="AJ1074" s="321"/>
      <c r="BG1074" s="307"/>
      <c r="BH1074" s="307"/>
      <c r="BI1074" s="307"/>
      <c r="BK1074" s="300"/>
    </row>
    <row r="1075" spans="2:63" s="298" customFormat="1" hidden="1" x14ac:dyDescent="0.25">
      <c r="B1075" s="321"/>
      <c r="F1075" s="322"/>
      <c r="I1075" s="331">
        <v>6</v>
      </c>
      <c r="J1075" s="332" t="s">
        <v>340</v>
      </c>
      <c r="K1075" s="333">
        <v>1</v>
      </c>
      <c r="L1075" s="334">
        <f t="shared" si="264"/>
        <v>0</v>
      </c>
      <c r="M1075" s="323"/>
      <c r="U1075" s="324"/>
      <c r="X1075" s="321"/>
      <c r="Y1075" s="325"/>
      <c r="Z1075" s="325"/>
      <c r="AA1075" s="326"/>
      <c r="AB1075" s="326"/>
      <c r="AC1075" s="321"/>
      <c r="AD1075" s="321"/>
      <c r="AE1075" s="321"/>
      <c r="AF1075" s="321"/>
      <c r="AG1075" s="321"/>
      <c r="AH1075" s="321"/>
      <c r="AI1075" s="321"/>
      <c r="AJ1075" s="321"/>
      <c r="BG1075" s="307"/>
      <c r="BH1075" s="307"/>
      <c r="BI1075" s="307"/>
      <c r="BK1075" s="300"/>
    </row>
    <row r="1076" spans="2:63" s="298" customFormat="1" hidden="1" x14ac:dyDescent="0.25">
      <c r="B1076" s="321"/>
      <c r="F1076" s="322"/>
      <c r="I1076" s="331">
        <v>7</v>
      </c>
      <c r="J1076" s="332" t="s">
        <v>341</v>
      </c>
      <c r="K1076" s="333">
        <v>0.93</v>
      </c>
      <c r="L1076" s="334">
        <f t="shared" si="264"/>
        <v>6.9999999999999951E-2</v>
      </c>
      <c r="M1076" s="323"/>
      <c r="U1076" s="324"/>
      <c r="X1076" s="321"/>
      <c r="Y1076" s="325"/>
      <c r="Z1076" s="325"/>
      <c r="AA1076" s="326"/>
      <c r="AB1076" s="326"/>
      <c r="AC1076" s="321"/>
      <c r="AD1076" s="321"/>
      <c r="AE1076" s="321"/>
      <c r="AF1076" s="321"/>
      <c r="AG1076" s="321"/>
      <c r="AH1076" s="321"/>
      <c r="AI1076" s="321"/>
      <c r="AJ1076" s="321"/>
      <c r="BG1076" s="307"/>
      <c r="BH1076" s="307"/>
      <c r="BI1076" s="307"/>
      <c r="BK1076" s="300"/>
    </row>
    <row r="1077" spans="2:63" s="298" customFormat="1" hidden="1" x14ac:dyDescent="0.25">
      <c r="B1077" s="321"/>
      <c r="F1077" s="322"/>
      <c r="I1077" s="331">
        <v>8</v>
      </c>
      <c r="J1077" s="332" t="s">
        <v>342</v>
      </c>
      <c r="K1077" s="333">
        <v>0.98</v>
      </c>
      <c r="L1077" s="334">
        <f t="shared" si="264"/>
        <v>2.0000000000000018E-2</v>
      </c>
      <c r="M1077" s="323"/>
      <c r="U1077" s="324"/>
      <c r="X1077" s="321"/>
      <c r="Y1077" s="325"/>
      <c r="Z1077" s="325"/>
      <c r="AA1077" s="326"/>
      <c r="AB1077" s="326"/>
      <c r="AC1077" s="321"/>
      <c r="AD1077" s="321"/>
      <c r="AE1077" s="321"/>
      <c r="AF1077" s="321"/>
      <c r="AG1077" s="321"/>
      <c r="AH1077" s="321"/>
      <c r="AI1077" s="321"/>
      <c r="AJ1077" s="321"/>
      <c r="BG1077" s="307"/>
      <c r="BH1077" s="307"/>
      <c r="BI1077" s="307"/>
      <c r="BK1077" s="300"/>
    </row>
    <row r="1078" spans="2:63" s="298" customFormat="1" hidden="1" x14ac:dyDescent="0.25">
      <c r="B1078" s="321"/>
      <c r="F1078" s="322"/>
      <c r="I1078" s="331">
        <v>9</v>
      </c>
      <c r="J1078" s="332" t="s">
        <v>343</v>
      </c>
      <c r="K1078" s="333">
        <v>0.96</v>
      </c>
      <c r="L1078" s="334">
        <f t="shared" si="264"/>
        <v>4.0000000000000036E-2</v>
      </c>
      <c r="M1078" s="323"/>
      <c r="U1078" s="324"/>
      <c r="X1078" s="321"/>
      <c r="Y1078" s="325"/>
      <c r="Z1078" s="325"/>
      <c r="AA1078" s="326"/>
      <c r="AB1078" s="326"/>
      <c r="AC1078" s="321"/>
      <c r="AD1078" s="321"/>
      <c r="AE1078" s="321"/>
      <c r="AF1078" s="321"/>
      <c r="AG1078" s="321"/>
      <c r="AH1078" s="321"/>
      <c r="AI1078" s="321"/>
      <c r="AJ1078" s="321"/>
      <c r="BG1078" s="307"/>
      <c r="BH1078" s="307"/>
      <c r="BI1078" s="307"/>
      <c r="BK1078" s="300"/>
    </row>
    <row r="1079" spans="2:63" s="298" customFormat="1" hidden="1" x14ac:dyDescent="0.25">
      <c r="B1079" s="321"/>
      <c r="F1079" s="322"/>
      <c r="I1079" s="331">
        <v>10</v>
      </c>
      <c r="J1079" s="332" t="s">
        <v>344</v>
      </c>
      <c r="K1079" s="333">
        <v>0.94</v>
      </c>
      <c r="L1079" s="334">
        <f t="shared" si="264"/>
        <v>6.0000000000000053E-2</v>
      </c>
      <c r="M1079" s="323"/>
      <c r="U1079" s="324"/>
      <c r="X1079" s="321"/>
      <c r="Y1079" s="325"/>
      <c r="Z1079" s="325"/>
      <c r="AA1079" s="326"/>
      <c r="AB1079" s="326"/>
      <c r="AC1079" s="321"/>
      <c r="AD1079" s="321"/>
      <c r="AE1079" s="321"/>
      <c r="AF1079" s="321"/>
      <c r="AG1079" s="321"/>
      <c r="AH1079" s="321"/>
      <c r="AI1079" s="321"/>
      <c r="AJ1079" s="321"/>
      <c r="BG1079" s="307"/>
      <c r="BH1079" s="307"/>
      <c r="BI1079" s="307"/>
      <c r="BK1079" s="300"/>
    </row>
    <row r="1080" spans="2:63" s="298" customFormat="1" hidden="1" x14ac:dyDescent="0.25">
      <c r="B1080" s="321"/>
      <c r="F1080" s="322"/>
      <c r="I1080" s="331">
        <v>11</v>
      </c>
      <c r="J1080" s="332" t="s">
        <v>345</v>
      </c>
      <c r="K1080" s="333">
        <v>0.89</v>
      </c>
      <c r="L1080" s="334">
        <f t="shared" si="264"/>
        <v>0.10999999999999999</v>
      </c>
      <c r="M1080" s="323"/>
      <c r="U1080" s="324"/>
      <c r="X1080" s="321"/>
      <c r="Y1080" s="325"/>
      <c r="Z1080" s="325"/>
      <c r="AA1080" s="326"/>
      <c r="AB1080" s="326"/>
      <c r="AC1080" s="321"/>
      <c r="AD1080" s="321"/>
      <c r="AE1080" s="321"/>
      <c r="AF1080" s="321"/>
      <c r="AG1080" s="321"/>
      <c r="AH1080" s="321"/>
      <c r="AI1080" s="321"/>
      <c r="AJ1080" s="321"/>
      <c r="BG1080" s="307"/>
      <c r="BH1080" s="307"/>
      <c r="BI1080" s="307"/>
      <c r="BK1080" s="300"/>
    </row>
    <row r="1081" spans="2:63" s="298" customFormat="1" hidden="1" x14ac:dyDescent="0.25">
      <c r="B1081" s="321"/>
      <c r="F1081" s="322"/>
      <c r="I1081" s="331">
        <v>12</v>
      </c>
      <c r="J1081" s="332" t="s">
        <v>346</v>
      </c>
      <c r="K1081" s="333">
        <v>1</v>
      </c>
      <c r="L1081" s="334">
        <f t="shared" si="264"/>
        <v>0</v>
      </c>
      <c r="M1081" s="323"/>
      <c r="U1081" s="324"/>
      <c r="X1081" s="321"/>
      <c r="Y1081" s="325"/>
      <c r="Z1081" s="325"/>
      <c r="AA1081" s="326"/>
      <c r="AB1081" s="326"/>
      <c r="AC1081" s="321"/>
      <c r="AD1081" s="321"/>
      <c r="AE1081" s="321"/>
      <c r="AF1081" s="321"/>
      <c r="AG1081" s="321"/>
      <c r="AH1081" s="321"/>
      <c r="AI1081" s="321"/>
      <c r="AJ1081" s="321"/>
      <c r="BG1081" s="307"/>
      <c r="BH1081" s="307"/>
      <c r="BI1081" s="307"/>
      <c r="BK1081" s="300"/>
    </row>
    <row r="1082" spans="2:63" s="298" customFormat="1" hidden="1" x14ac:dyDescent="0.25">
      <c r="B1082" s="321"/>
      <c r="F1082" s="322"/>
      <c r="I1082" s="331">
        <v>13</v>
      </c>
      <c r="J1082" s="332" t="s">
        <v>347</v>
      </c>
      <c r="K1082" s="333">
        <v>0.95</v>
      </c>
      <c r="L1082" s="334">
        <f t="shared" si="264"/>
        <v>5.0000000000000044E-2</v>
      </c>
      <c r="M1082" s="323"/>
      <c r="U1082" s="324"/>
      <c r="X1082" s="321"/>
      <c r="Y1082" s="325"/>
      <c r="Z1082" s="325"/>
      <c r="AA1082" s="326"/>
      <c r="AB1082" s="326"/>
      <c r="AC1082" s="321"/>
      <c r="AD1082" s="321"/>
      <c r="AE1082" s="321"/>
      <c r="AF1082" s="321"/>
      <c r="AG1082" s="321"/>
      <c r="AH1082" s="321"/>
      <c r="AI1082" s="321"/>
      <c r="AJ1082" s="321"/>
      <c r="BG1082" s="307"/>
      <c r="BH1082" s="307"/>
      <c r="BI1082" s="307"/>
      <c r="BK1082" s="300"/>
    </row>
    <row r="1083" spans="2:63" s="298" customFormat="1" hidden="1" x14ac:dyDescent="0.25">
      <c r="B1083" s="321"/>
      <c r="F1083" s="322"/>
      <c r="I1083" s="331">
        <v>14</v>
      </c>
      <c r="J1083" s="332" t="s">
        <v>134</v>
      </c>
      <c r="K1083" s="333">
        <v>0.93</v>
      </c>
      <c r="L1083" s="334">
        <f t="shared" si="264"/>
        <v>6.9999999999999951E-2</v>
      </c>
      <c r="M1083" s="323"/>
      <c r="U1083" s="324"/>
      <c r="X1083" s="321"/>
      <c r="Y1083" s="325"/>
      <c r="Z1083" s="325"/>
      <c r="AA1083" s="326"/>
      <c r="AB1083" s="326"/>
      <c r="AC1083" s="321"/>
      <c r="AD1083" s="321"/>
      <c r="AE1083" s="321"/>
      <c r="AF1083" s="321"/>
      <c r="AG1083" s="321"/>
      <c r="AH1083" s="321"/>
      <c r="AI1083" s="321"/>
      <c r="AJ1083" s="321"/>
      <c r="BG1083" s="307"/>
      <c r="BH1083" s="307"/>
      <c r="BI1083" s="307"/>
      <c r="BK1083" s="300"/>
    </row>
    <row r="1084" spans="2:63" s="298" customFormat="1" hidden="1" x14ac:dyDescent="0.25">
      <c r="B1084" s="321"/>
      <c r="F1084" s="322"/>
      <c r="I1084" s="331">
        <v>15</v>
      </c>
      <c r="J1084" s="332" t="s">
        <v>160</v>
      </c>
      <c r="K1084" s="333">
        <v>0.92</v>
      </c>
      <c r="L1084" s="334">
        <f t="shared" si="264"/>
        <v>7.999999999999996E-2</v>
      </c>
      <c r="M1084" s="323"/>
      <c r="U1084" s="324"/>
      <c r="X1084" s="321"/>
      <c r="Y1084" s="325"/>
      <c r="Z1084" s="325"/>
      <c r="AA1084" s="326"/>
      <c r="AB1084" s="326"/>
      <c r="AC1084" s="321"/>
      <c r="AD1084" s="321"/>
      <c r="AE1084" s="321"/>
      <c r="AF1084" s="321"/>
      <c r="AG1084" s="321"/>
      <c r="AH1084" s="321"/>
      <c r="AI1084" s="321"/>
      <c r="AJ1084" s="321"/>
      <c r="BG1084" s="307"/>
      <c r="BH1084" s="307"/>
      <c r="BI1084" s="307"/>
      <c r="BK1084" s="300"/>
    </row>
    <row r="1085" spans="2:63" s="298" customFormat="1" hidden="1" x14ac:dyDescent="0.25">
      <c r="B1085" s="321"/>
      <c r="F1085" s="322"/>
      <c r="I1085" s="331">
        <v>16</v>
      </c>
      <c r="J1085" s="332" t="s">
        <v>348</v>
      </c>
      <c r="K1085" s="333">
        <v>0.92</v>
      </c>
      <c r="L1085" s="334">
        <f t="shared" si="264"/>
        <v>7.999999999999996E-2</v>
      </c>
      <c r="M1085" s="323"/>
      <c r="U1085" s="324"/>
      <c r="X1085" s="321"/>
      <c r="Y1085" s="325"/>
      <c r="Z1085" s="325"/>
      <c r="AA1085" s="326"/>
      <c r="AB1085" s="326"/>
      <c r="AC1085" s="321"/>
      <c r="AD1085" s="321"/>
      <c r="AE1085" s="321"/>
      <c r="AF1085" s="321"/>
      <c r="AG1085" s="321"/>
      <c r="AH1085" s="321"/>
      <c r="AI1085" s="321"/>
      <c r="AJ1085" s="321"/>
      <c r="BG1085" s="307"/>
      <c r="BH1085" s="307"/>
      <c r="BI1085" s="307"/>
      <c r="BK1085" s="300"/>
    </row>
    <row r="1086" spans="2:63" s="298" customFormat="1" hidden="1" x14ac:dyDescent="0.25">
      <c r="B1086" s="321"/>
      <c r="F1086" s="322"/>
      <c r="I1086" s="331">
        <v>17</v>
      </c>
      <c r="J1086" s="332" t="s">
        <v>125</v>
      </c>
      <c r="K1086" s="333">
        <v>1</v>
      </c>
      <c r="L1086" s="334">
        <f t="shared" si="264"/>
        <v>0</v>
      </c>
      <c r="M1086" s="323"/>
      <c r="U1086" s="324"/>
      <c r="X1086" s="321"/>
      <c r="Y1086" s="325"/>
      <c r="Z1086" s="325"/>
      <c r="AA1086" s="326"/>
      <c r="AB1086" s="326"/>
      <c r="AC1086" s="321"/>
      <c r="AD1086" s="321"/>
      <c r="AE1086" s="321"/>
      <c r="AF1086" s="321"/>
      <c r="AG1086" s="321"/>
      <c r="AH1086" s="321"/>
      <c r="AI1086" s="321"/>
      <c r="AJ1086" s="321"/>
      <c r="BG1086" s="307"/>
      <c r="BH1086" s="307"/>
      <c r="BI1086" s="307"/>
      <c r="BK1086" s="300"/>
    </row>
    <row r="1087" spans="2:63" s="298" customFormat="1" hidden="1" x14ac:dyDescent="0.25">
      <c r="B1087" s="321"/>
      <c r="F1087" s="322"/>
      <c r="I1087" s="331">
        <v>18</v>
      </c>
      <c r="J1087" s="332" t="s">
        <v>349</v>
      </c>
      <c r="K1087" s="333">
        <v>0.97</v>
      </c>
      <c r="L1087" s="334">
        <f t="shared" si="264"/>
        <v>3.0000000000000027E-2</v>
      </c>
      <c r="M1087" s="323"/>
      <c r="U1087" s="324"/>
      <c r="X1087" s="321"/>
      <c r="Y1087" s="325"/>
      <c r="Z1087" s="325"/>
      <c r="AA1087" s="326"/>
      <c r="AB1087" s="326"/>
      <c r="AC1087" s="321"/>
      <c r="AD1087" s="321"/>
      <c r="AE1087" s="321"/>
      <c r="AF1087" s="321"/>
      <c r="AG1087" s="321"/>
      <c r="AH1087" s="321"/>
      <c r="AI1087" s="321"/>
      <c r="AJ1087" s="321"/>
      <c r="BG1087" s="307"/>
      <c r="BH1087" s="307"/>
      <c r="BI1087" s="307"/>
      <c r="BK1087" s="300"/>
    </row>
    <row r="1088" spans="2:63" s="298" customFormat="1" hidden="1" x14ac:dyDescent="0.25">
      <c r="B1088" s="321"/>
      <c r="F1088" s="322"/>
      <c r="I1088" s="331">
        <v>19</v>
      </c>
      <c r="J1088" s="332" t="s">
        <v>121</v>
      </c>
      <c r="K1088" s="333">
        <v>0.95</v>
      </c>
      <c r="L1088" s="334">
        <f t="shared" si="264"/>
        <v>5.0000000000000044E-2</v>
      </c>
      <c r="M1088" s="323"/>
      <c r="U1088" s="324"/>
      <c r="X1088" s="321"/>
      <c r="Y1088" s="325"/>
      <c r="Z1088" s="325"/>
      <c r="AA1088" s="326"/>
      <c r="AB1088" s="326"/>
      <c r="AC1088" s="321"/>
      <c r="AD1088" s="321"/>
      <c r="AE1088" s="321"/>
      <c r="AF1088" s="321"/>
      <c r="AG1088" s="321"/>
      <c r="AH1088" s="321"/>
      <c r="AI1088" s="321"/>
      <c r="AJ1088" s="321"/>
      <c r="BG1088" s="307"/>
      <c r="BH1088" s="307"/>
      <c r="BI1088" s="307"/>
      <c r="BK1088" s="300"/>
    </row>
    <row r="1089" spans="2:63" s="298" customFormat="1" hidden="1" x14ac:dyDescent="0.25">
      <c r="B1089" s="321"/>
      <c r="F1089" s="322"/>
      <c r="I1089" s="331">
        <v>20</v>
      </c>
      <c r="J1089" s="332" t="s">
        <v>117</v>
      </c>
      <c r="K1089" s="333">
        <v>0.98</v>
      </c>
      <c r="L1089" s="334">
        <f t="shared" si="264"/>
        <v>2.0000000000000018E-2</v>
      </c>
      <c r="M1089" s="323"/>
      <c r="U1089" s="324"/>
      <c r="X1089" s="321"/>
      <c r="Y1089" s="325"/>
      <c r="Z1089" s="325"/>
      <c r="AA1089" s="326"/>
      <c r="AB1089" s="326"/>
      <c r="AC1089" s="321"/>
      <c r="AD1089" s="321"/>
      <c r="AE1089" s="321"/>
      <c r="AF1089" s="321"/>
      <c r="AG1089" s="321"/>
      <c r="AH1089" s="321"/>
      <c r="AI1089" s="321"/>
      <c r="AJ1089" s="321"/>
      <c r="BG1089" s="307"/>
      <c r="BH1089" s="307"/>
      <c r="BI1089" s="307"/>
      <c r="BK1089" s="300"/>
    </row>
    <row r="1090" spans="2:63" s="298" customFormat="1" hidden="1" x14ac:dyDescent="0.25">
      <c r="B1090" s="321"/>
      <c r="F1090" s="322"/>
      <c r="J1090" s="335"/>
      <c r="M1090" s="323"/>
      <c r="U1090" s="324"/>
      <c r="X1090" s="321"/>
      <c r="Y1090" s="325"/>
      <c r="Z1090" s="325"/>
      <c r="AA1090" s="326"/>
      <c r="AB1090" s="326"/>
      <c r="AC1090" s="321"/>
      <c r="AD1090" s="321"/>
      <c r="AE1090" s="321"/>
      <c r="AF1090" s="321"/>
      <c r="AG1090" s="321"/>
      <c r="AH1090" s="321"/>
      <c r="AI1090" s="321"/>
      <c r="AJ1090" s="321"/>
      <c r="BG1090" s="307"/>
      <c r="BH1090" s="307"/>
      <c r="BI1090" s="307"/>
      <c r="BK1090" s="300"/>
    </row>
    <row r="1091" spans="2:63" s="298" customFormat="1" hidden="1" x14ac:dyDescent="0.25">
      <c r="B1091" s="321"/>
      <c r="F1091" s="322"/>
      <c r="J1091" s="335"/>
      <c r="M1091" s="323"/>
      <c r="U1091" s="324"/>
      <c r="X1091" s="321"/>
      <c r="Y1091" s="325"/>
      <c r="Z1091" s="325"/>
      <c r="AA1091" s="326"/>
      <c r="AB1091" s="326"/>
      <c r="AC1091" s="321"/>
      <c r="AD1091" s="321"/>
      <c r="AE1091" s="321"/>
      <c r="AF1091" s="321"/>
      <c r="AG1091" s="321"/>
      <c r="AH1091" s="321"/>
      <c r="AI1091" s="321"/>
      <c r="AJ1091" s="321"/>
      <c r="BG1091" s="307"/>
      <c r="BH1091" s="307"/>
      <c r="BI1091" s="307"/>
      <c r="BK1091" s="300"/>
    </row>
    <row r="1092" spans="2:63" s="298" customFormat="1" hidden="1" x14ac:dyDescent="0.25">
      <c r="B1092" s="321"/>
      <c r="F1092" s="322"/>
      <c r="J1092" s="335"/>
      <c r="M1092" s="323">
        <v>1</v>
      </c>
      <c r="U1092" s="324"/>
      <c r="X1092" s="321"/>
      <c r="Y1092" s="325"/>
      <c r="Z1092" s="325"/>
      <c r="AA1092" s="326"/>
      <c r="AB1092" s="326"/>
      <c r="AC1092" s="321"/>
      <c r="AD1092" s="321"/>
      <c r="AE1092" s="321"/>
      <c r="AF1092" s="321"/>
      <c r="AG1092" s="321"/>
      <c r="AH1092" s="321"/>
      <c r="AI1092" s="321"/>
      <c r="AJ1092" s="321"/>
      <c r="BG1092" s="307"/>
      <c r="BH1092" s="307"/>
      <c r="BI1092" s="307"/>
      <c r="BK1092" s="300"/>
    </row>
    <row r="1093" spans="2:63" s="298" customFormat="1" hidden="1" x14ac:dyDescent="0.25">
      <c r="B1093" s="321"/>
      <c r="F1093" s="322"/>
      <c r="J1093" s="335"/>
      <c r="M1093" s="323">
        <v>2</v>
      </c>
      <c r="U1093" s="324"/>
      <c r="X1093" s="321"/>
      <c r="Y1093" s="325"/>
      <c r="Z1093" s="325"/>
      <c r="AA1093" s="326"/>
      <c r="AB1093" s="326"/>
      <c r="AC1093" s="321"/>
      <c r="AD1093" s="321"/>
      <c r="AE1093" s="321"/>
      <c r="AF1093" s="321"/>
      <c r="AG1093" s="321"/>
      <c r="AH1093" s="321"/>
      <c r="AI1093" s="321"/>
      <c r="AJ1093" s="321"/>
      <c r="BG1093" s="307"/>
      <c r="BH1093" s="307"/>
      <c r="BI1093" s="307"/>
      <c r="BK1093" s="300"/>
    </row>
    <row r="1094" spans="2:63" s="298" customFormat="1" hidden="1" x14ac:dyDescent="0.25">
      <c r="B1094" s="321"/>
      <c r="F1094" s="322"/>
      <c r="J1094" s="335"/>
      <c r="M1094" s="323"/>
      <c r="U1094" s="324"/>
      <c r="X1094" s="321"/>
      <c r="Y1094" s="325"/>
      <c r="Z1094" s="325"/>
      <c r="AA1094" s="326"/>
      <c r="AB1094" s="326"/>
      <c r="AC1094" s="321"/>
      <c r="AD1094" s="321"/>
      <c r="AE1094" s="321"/>
      <c r="AF1094" s="321"/>
      <c r="AG1094" s="321"/>
      <c r="AH1094" s="321"/>
      <c r="AI1094" s="321"/>
      <c r="AJ1094" s="321"/>
      <c r="BG1094" s="307"/>
      <c r="BH1094" s="307"/>
      <c r="BI1094" s="307"/>
      <c r="BK1094" s="300"/>
    </row>
    <row r="1095" spans="2:63" s="298" customFormat="1" hidden="1" x14ac:dyDescent="0.25">
      <c r="B1095" s="321"/>
      <c r="F1095" s="322"/>
      <c r="J1095" s="335"/>
      <c r="M1095" s="323"/>
      <c r="U1095" s="324"/>
      <c r="X1095" s="321"/>
      <c r="Y1095" s="325"/>
      <c r="Z1095" s="325"/>
      <c r="AA1095" s="326"/>
      <c r="AB1095" s="326"/>
      <c r="AC1095" s="321"/>
      <c r="AD1095" s="321"/>
      <c r="AE1095" s="321"/>
      <c r="AF1095" s="321"/>
      <c r="AG1095" s="321"/>
      <c r="AH1095" s="321"/>
      <c r="AI1095" s="321"/>
      <c r="AJ1095" s="321"/>
      <c r="BG1095" s="307"/>
      <c r="BH1095" s="307"/>
      <c r="BI1095" s="307"/>
      <c r="BK1095" s="300"/>
    </row>
    <row r="1096" spans="2:63" s="298" customFormat="1" hidden="1" x14ac:dyDescent="0.25">
      <c r="B1096" s="321"/>
      <c r="F1096" s="322"/>
      <c r="J1096" s="335"/>
      <c r="M1096" s="323"/>
      <c r="U1096" s="324"/>
      <c r="X1096" s="321"/>
      <c r="Y1096" s="325"/>
      <c r="Z1096" s="325"/>
      <c r="AA1096" s="326"/>
      <c r="AB1096" s="326"/>
      <c r="AC1096" s="321"/>
      <c r="AD1096" s="321"/>
      <c r="AE1096" s="321"/>
      <c r="AF1096" s="321"/>
      <c r="AG1096" s="321"/>
      <c r="AH1096" s="321"/>
      <c r="AI1096" s="321"/>
      <c r="AJ1096" s="321"/>
      <c r="BG1096" s="307"/>
      <c r="BH1096" s="307"/>
      <c r="BI1096" s="307"/>
      <c r="BK1096" s="300"/>
    </row>
    <row r="1097" spans="2:63" s="298" customFormat="1" hidden="1" x14ac:dyDescent="0.25">
      <c r="B1097" s="321"/>
      <c r="F1097" s="322"/>
      <c r="J1097" s="335"/>
      <c r="M1097" s="323"/>
      <c r="U1097" s="324"/>
      <c r="X1097" s="321"/>
      <c r="Y1097" s="325"/>
      <c r="Z1097" s="325"/>
      <c r="AA1097" s="326"/>
      <c r="AB1097" s="326"/>
      <c r="AC1097" s="321"/>
      <c r="AD1097" s="321"/>
      <c r="AE1097" s="321"/>
      <c r="AF1097" s="321"/>
      <c r="AG1097" s="321"/>
      <c r="AH1097" s="321"/>
      <c r="AI1097" s="321"/>
      <c r="AJ1097" s="321"/>
      <c r="BG1097" s="307"/>
      <c r="BH1097" s="307"/>
      <c r="BI1097" s="307"/>
      <c r="BK1097" s="300"/>
    </row>
    <row r="1098" spans="2:63" s="298" customFormat="1" hidden="1" x14ac:dyDescent="0.25">
      <c r="B1098" s="321"/>
      <c r="F1098" s="322"/>
      <c r="J1098" s="335"/>
      <c r="M1098" s="323"/>
      <c r="U1098" s="324"/>
      <c r="X1098" s="321"/>
      <c r="Y1098" s="325"/>
      <c r="Z1098" s="325"/>
      <c r="AA1098" s="326"/>
      <c r="AB1098" s="326"/>
      <c r="AC1098" s="321"/>
      <c r="AD1098" s="321"/>
      <c r="AE1098" s="321"/>
      <c r="AF1098" s="321"/>
      <c r="AG1098" s="321"/>
      <c r="AH1098" s="321"/>
      <c r="AI1098" s="321"/>
      <c r="AJ1098" s="321"/>
      <c r="BG1098" s="307"/>
      <c r="BH1098" s="307"/>
      <c r="BI1098" s="307"/>
      <c r="BK1098" s="300"/>
    </row>
    <row r="1099" spans="2:63" s="298" customFormat="1" hidden="1" x14ac:dyDescent="0.25">
      <c r="B1099" s="321"/>
      <c r="F1099" s="322"/>
      <c r="J1099" s="335"/>
      <c r="M1099" s="323"/>
      <c r="U1099" s="324"/>
      <c r="X1099" s="321"/>
      <c r="Y1099" s="325"/>
      <c r="Z1099" s="325"/>
      <c r="AA1099" s="326"/>
      <c r="AB1099" s="326"/>
      <c r="AC1099" s="321"/>
      <c r="AD1099" s="321"/>
      <c r="AE1099" s="321"/>
      <c r="AF1099" s="321"/>
      <c r="AG1099" s="321"/>
      <c r="AH1099" s="321"/>
      <c r="AI1099" s="321"/>
      <c r="AJ1099" s="321"/>
      <c r="BG1099" s="307"/>
      <c r="BH1099" s="307"/>
      <c r="BI1099" s="307"/>
      <c r="BK1099" s="300"/>
    </row>
    <row r="1100" spans="2:63" s="298" customFormat="1" hidden="1" x14ac:dyDescent="0.25">
      <c r="B1100" s="321"/>
      <c r="F1100" s="322"/>
      <c r="J1100" s="335"/>
      <c r="M1100" s="323"/>
      <c r="U1100" s="324"/>
      <c r="X1100" s="321"/>
      <c r="Y1100" s="325"/>
      <c r="Z1100" s="325"/>
      <c r="AA1100" s="326"/>
      <c r="AB1100" s="326"/>
      <c r="AC1100" s="321"/>
      <c r="AD1100" s="321"/>
      <c r="AE1100" s="321"/>
      <c r="AF1100" s="321"/>
      <c r="AG1100" s="321"/>
      <c r="AH1100" s="321"/>
      <c r="AI1100" s="321"/>
      <c r="AJ1100" s="321"/>
      <c r="BG1100" s="307"/>
      <c r="BH1100" s="307"/>
      <c r="BI1100" s="307"/>
      <c r="BK1100" s="300"/>
    </row>
    <row r="1101" spans="2:63" s="298" customFormat="1" hidden="1" x14ac:dyDescent="0.25">
      <c r="B1101" s="321"/>
      <c r="F1101" s="322"/>
      <c r="J1101" s="335"/>
      <c r="M1101" s="323"/>
      <c r="U1101" s="324"/>
      <c r="X1101" s="321"/>
      <c r="Y1101" s="325"/>
      <c r="Z1101" s="325"/>
      <c r="AA1101" s="326"/>
      <c r="AB1101" s="326"/>
      <c r="AC1101" s="321"/>
      <c r="AD1101" s="321"/>
      <c r="AE1101" s="321"/>
      <c r="AF1101" s="321"/>
      <c r="AG1101" s="321"/>
      <c r="AH1101" s="321"/>
      <c r="AI1101" s="321"/>
      <c r="AJ1101" s="321"/>
      <c r="BG1101" s="307"/>
      <c r="BH1101" s="307"/>
      <c r="BI1101" s="307"/>
      <c r="BK1101" s="300"/>
    </row>
    <row r="1102" spans="2:63" s="298" customFormat="1" hidden="1" x14ac:dyDescent="0.25">
      <c r="B1102" s="321"/>
      <c r="F1102" s="322"/>
      <c r="J1102" s="335"/>
      <c r="M1102" s="323"/>
      <c r="U1102" s="324"/>
      <c r="X1102" s="321"/>
      <c r="Y1102" s="325"/>
      <c r="Z1102" s="325"/>
      <c r="AA1102" s="326"/>
      <c r="AB1102" s="326"/>
      <c r="AC1102" s="321"/>
      <c r="AD1102" s="321"/>
      <c r="AE1102" s="321"/>
      <c r="AF1102" s="321"/>
      <c r="AG1102" s="321"/>
      <c r="AH1102" s="321"/>
      <c r="AI1102" s="321"/>
      <c r="AJ1102" s="321"/>
      <c r="BG1102" s="307"/>
      <c r="BH1102" s="307"/>
      <c r="BI1102" s="307"/>
      <c r="BK1102" s="300"/>
    </row>
    <row r="1103" spans="2:63" s="298" customFormat="1" hidden="1" x14ac:dyDescent="0.25">
      <c r="B1103" s="321"/>
      <c r="F1103" s="322"/>
      <c r="J1103" s="335"/>
      <c r="M1103" s="323"/>
      <c r="U1103" s="324"/>
      <c r="X1103" s="321"/>
      <c r="Y1103" s="325"/>
      <c r="Z1103" s="325"/>
      <c r="AA1103" s="326"/>
      <c r="AB1103" s="326"/>
      <c r="AC1103" s="321"/>
      <c r="AD1103" s="321"/>
      <c r="AE1103" s="321"/>
      <c r="AF1103" s="321"/>
      <c r="AG1103" s="321"/>
      <c r="AH1103" s="321"/>
      <c r="AI1103" s="321"/>
      <c r="AJ1103" s="321"/>
      <c r="BG1103" s="307"/>
      <c r="BH1103" s="307"/>
      <c r="BI1103" s="307"/>
      <c r="BK1103" s="300"/>
    </row>
    <row r="1104" spans="2:63" s="298" customFormat="1" hidden="1" x14ac:dyDescent="0.25">
      <c r="B1104" s="321"/>
      <c r="F1104" s="322"/>
      <c r="J1104" s="335"/>
      <c r="M1104" s="323"/>
      <c r="U1104" s="324"/>
      <c r="X1104" s="321"/>
      <c r="Y1104" s="325"/>
      <c r="Z1104" s="325"/>
      <c r="AA1104" s="326"/>
      <c r="AB1104" s="326"/>
      <c r="AC1104" s="321"/>
      <c r="AD1104" s="321"/>
      <c r="AE1104" s="321"/>
      <c r="AF1104" s="321"/>
      <c r="AG1104" s="321"/>
      <c r="AH1104" s="321"/>
      <c r="AI1104" s="321"/>
      <c r="AJ1104" s="321"/>
      <c r="BG1104" s="307"/>
      <c r="BH1104" s="307"/>
      <c r="BI1104" s="307"/>
      <c r="BK1104" s="300"/>
    </row>
    <row r="1105" spans="2:63" s="298" customFormat="1" hidden="1" x14ac:dyDescent="0.25">
      <c r="B1105" s="321"/>
      <c r="F1105" s="322"/>
      <c r="J1105" s="335"/>
      <c r="M1105" s="323"/>
      <c r="U1105" s="324"/>
      <c r="X1105" s="321"/>
      <c r="Y1105" s="325"/>
      <c r="Z1105" s="325"/>
      <c r="AA1105" s="326"/>
      <c r="AB1105" s="326"/>
      <c r="AC1105" s="321"/>
      <c r="AD1105" s="321"/>
      <c r="AE1105" s="321"/>
      <c r="AF1105" s="321"/>
      <c r="AG1105" s="321"/>
      <c r="AH1105" s="321"/>
      <c r="AI1105" s="321"/>
      <c r="AJ1105" s="321"/>
      <c r="BG1105" s="307"/>
      <c r="BH1105" s="307"/>
      <c r="BI1105" s="307"/>
      <c r="BK1105" s="300"/>
    </row>
    <row r="1106" spans="2:63" s="298" customFormat="1" hidden="1" x14ac:dyDescent="0.25">
      <c r="B1106" s="321"/>
      <c r="F1106" s="322"/>
      <c r="J1106" s="335"/>
      <c r="M1106" s="323"/>
      <c r="U1106" s="324"/>
      <c r="X1106" s="321"/>
      <c r="Y1106" s="325"/>
      <c r="Z1106" s="325"/>
      <c r="AA1106" s="326"/>
      <c r="AB1106" s="326"/>
      <c r="AC1106" s="321"/>
      <c r="AD1106" s="321"/>
      <c r="AE1106" s="321"/>
      <c r="AF1106" s="321"/>
      <c r="AG1106" s="321"/>
      <c r="AH1106" s="321"/>
      <c r="AI1106" s="321"/>
      <c r="AJ1106" s="321"/>
      <c r="BG1106" s="307"/>
      <c r="BH1106" s="307"/>
      <c r="BI1106" s="307"/>
      <c r="BK1106" s="300"/>
    </row>
    <row r="1107" spans="2:63" s="298" customFormat="1" hidden="1" x14ac:dyDescent="0.25">
      <c r="B1107" s="321"/>
      <c r="F1107" s="322"/>
      <c r="J1107" s="335"/>
      <c r="M1107" s="323"/>
      <c r="U1107" s="324"/>
      <c r="X1107" s="321"/>
      <c r="Y1107" s="325"/>
      <c r="Z1107" s="325"/>
      <c r="AA1107" s="326"/>
      <c r="AB1107" s="326"/>
      <c r="AC1107" s="321"/>
      <c r="AD1107" s="321"/>
      <c r="AE1107" s="321"/>
      <c r="AF1107" s="321"/>
      <c r="AG1107" s="321"/>
      <c r="AH1107" s="321"/>
      <c r="AI1107" s="321"/>
      <c r="AJ1107" s="321"/>
      <c r="BG1107" s="307"/>
      <c r="BH1107" s="307"/>
      <c r="BI1107" s="307"/>
      <c r="BK1107" s="300"/>
    </row>
    <row r="1108" spans="2:63" s="298" customFormat="1" hidden="1" x14ac:dyDescent="0.25">
      <c r="B1108" s="321"/>
      <c r="F1108" s="322"/>
      <c r="M1108" s="323"/>
      <c r="U1108" s="324"/>
      <c r="X1108" s="321"/>
      <c r="Y1108" s="325"/>
      <c r="Z1108" s="325"/>
      <c r="AA1108" s="326"/>
      <c r="AB1108" s="326"/>
      <c r="AC1108" s="321"/>
      <c r="AD1108" s="321"/>
      <c r="AE1108" s="321"/>
      <c r="AF1108" s="321"/>
      <c r="AG1108" s="321"/>
      <c r="AH1108" s="321"/>
      <c r="AI1108" s="321"/>
      <c r="AJ1108" s="321"/>
      <c r="BG1108" s="307"/>
      <c r="BH1108" s="307"/>
      <c r="BI1108" s="307"/>
      <c r="BK1108" s="300"/>
    </row>
    <row r="1109" spans="2:63" s="298" customFormat="1" hidden="1" x14ac:dyDescent="0.25">
      <c r="B1109" s="321"/>
      <c r="F1109" s="322"/>
      <c r="M1109" s="323"/>
      <c r="U1109" s="324"/>
      <c r="X1109" s="321"/>
      <c r="Y1109" s="325"/>
      <c r="Z1109" s="325"/>
      <c r="AA1109" s="326"/>
      <c r="AB1109" s="326"/>
      <c r="AC1109" s="321"/>
      <c r="AD1109" s="321"/>
      <c r="AE1109" s="321"/>
      <c r="AF1109" s="321"/>
      <c r="AG1109" s="321"/>
      <c r="AH1109" s="321"/>
      <c r="AI1109" s="321"/>
      <c r="AJ1109" s="321"/>
      <c r="BG1109" s="307"/>
      <c r="BH1109" s="307"/>
      <c r="BI1109" s="307"/>
      <c r="BK1109" s="300"/>
    </row>
    <row r="1110" spans="2:63" s="298" customFormat="1" hidden="1" x14ac:dyDescent="0.25">
      <c r="B1110" s="321"/>
      <c r="F1110" s="322"/>
      <c r="M1110" s="323"/>
      <c r="U1110" s="324"/>
      <c r="X1110" s="321"/>
      <c r="Y1110" s="325"/>
      <c r="Z1110" s="325"/>
      <c r="AA1110" s="326"/>
      <c r="AB1110" s="326"/>
      <c r="AC1110" s="321"/>
      <c r="AD1110" s="321"/>
      <c r="AE1110" s="321"/>
      <c r="AF1110" s="321"/>
      <c r="AG1110" s="321"/>
      <c r="AH1110" s="321"/>
      <c r="AI1110" s="321"/>
      <c r="AJ1110" s="321"/>
      <c r="BG1110" s="307"/>
      <c r="BH1110" s="307"/>
      <c r="BI1110" s="307"/>
      <c r="BK1110" s="300"/>
    </row>
    <row r="1111" spans="2:63" s="298" customFormat="1" hidden="1" x14ac:dyDescent="0.25">
      <c r="B1111" s="321"/>
      <c r="F1111" s="322"/>
      <c r="M1111" s="323"/>
      <c r="U1111" s="324"/>
      <c r="X1111" s="321"/>
      <c r="Y1111" s="325"/>
      <c r="Z1111" s="325"/>
      <c r="AA1111" s="326"/>
      <c r="AB1111" s="326"/>
      <c r="AC1111" s="321"/>
      <c r="AD1111" s="321"/>
      <c r="AE1111" s="321"/>
      <c r="AF1111" s="321"/>
      <c r="AG1111" s="321"/>
      <c r="AH1111" s="321"/>
      <c r="AI1111" s="321"/>
      <c r="AJ1111" s="321"/>
      <c r="BG1111" s="307"/>
      <c r="BH1111" s="307"/>
      <c r="BI1111" s="307"/>
      <c r="BK1111" s="300"/>
    </row>
    <row r="1112" spans="2:63" s="298" customFormat="1" hidden="1" x14ac:dyDescent="0.25">
      <c r="B1112" s="321"/>
      <c r="F1112" s="322"/>
      <c r="M1112" s="323"/>
      <c r="U1112" s="324"/>
      <c r="X1112" s="321"/>
      <c r="Y1112" s="325"/>
      <c r="Z1112" s="325"/>
      <c r="AA1112" s="326"/>
      <c r="AB1112" s="326"/>
      <c r="AC1112" s="321"/>
      <c r="AD1112" s="321"/>
      <c r="AE1112" s="321"/>
      <c r="AF1112" s="321"/>
      <c r="AG1112" s="321"/>
      <c r="AH1112" s="321"/>
      <c r="AI1112" s="321"/>
      <c r="AJ1112" s="321"/>
      <c r="BG1112" s="307"/>
      <c r="BH1112" s="307"/>
      <c r="BI1112" s="307"/>
      <c r="BK1112" s="300"/>
    </row>
    <row r="1113" spans="2:63" s="298" customFormat="1" hidden="1" x14ac:dyDescent="0.25">
      <c r="B1113" s="321"/>
      <c r="F1113" s="322"/>
      <c r="M1113" s="323"/>
      <c r="U1113" s="324"/>
      <c r="X1113" s="321"/>
      <c r="Y1113" s="325"/>
      <c r="Z1113" s="325"/>
      <c r="AA1113" s="326"/>
      <c r="AB1113" s="326"/>
      <c r="AC1113" s="321"/>
      <c r="AD1113" s="321"/>
      <c r="AE1113" s="321"/>
      <c r="AF1113" s="321"/>
      <c r="AG1113" s="321"/>
      <c r="AH1113" s="321"/>
      <c r="AI1113" s="321"/>
      <c r="AJ1113" s="321"/>
      <c r="BG1113" s="307"/>
      <c r="BH1113" s="307"/>
      <c r="BI1113" s="307"/>
      <c r="BK1113" s="300"/>
    </row>
    <row r="1114" spans="2:63" s="298" customFormat="1" hidden="1" x14ac:dyDescent="0.25">
      <c r="B1114" s="321"/>
      <c r="F1114" s="322"/>
      <c r="M1114" s="323"/>
      <c r="U1114" s="324"/>
      <c r="X1114" s="321"/>
      <c r="Y1114" s="325"/>
      <c r="Z1114" s="325"/>
      <c r="AA1114" s="326"/>
      <c r="AB1114" s="326"/>
      <c r="AC1114" s="321"/>
      <c r="AD1114" s="321"/>
      <c r="AE1114" s="321"/>
      <c r="AF1114" s="321"/>
      <c r="AG1114" s="321"/>
      <c r="AH1114" s="321"/>
      <c r="AI1114" s="321"/>
      <c r="AJ1114" s="321"/>
      <c r="BG1114" s="307"/>
      <c r="BH1114" s="307"/>
      <c r="BI1114" s="307"/>
      <c r="BK1114" s="300"/>
    </row>
    <row r="1115" spans="2:63" s="298" customFormat="1" hidden="1" x14ac:dyDescent="0.25">
      <c r="B1115" s="321"/>
      <c r="F1115" s="322"/>
      <c r="M1115" s="323"/>
      <c r="U1115" s="324"/>
      <c r="X1115" s="321"/>
      <c r="Y1115" s="325"/>
      <c r="Z1115" s="325"/>
      <c r="AA1115" s="326"/>
      <c r="AB1115" s="326"/>
      <c r="AC1115" s="321"/>
      <c r="AD1115" s="321"/>
      <c r="AE1115" s="321"/>
      <c r="AF1115" s="321"/>
      <c r="AG1115" s="321"/>
      <c r="AH1115" s="321"/>
      <c r="AI1115" s="321"/>
      <c r="AJ1115" s="321"/>
      <c r="BG1115" s="307"/>
      <c r="BH1115" s="307"/>
      <c r="BI1115" s="307"/>
      <c r="BK1115" s="300"/>
    </row>
    <row r="1116" spans="2:63" s="298" customFormat="1" hidden="1" x14ac:dyDescent="0.25">
      <c r="B1116" s="321"/>
      <c r="F1116" s="322"/>
      <c r="M1116" s="323"/>
      <c r="U1116" s="324"/>
      <c r="X1116" s="321"/>
      <c r="Y1116" s="325"/>
      <c r="Z1116" s="325"/>
      <c r="AA1116" s="326"/>
      <c r="AB1116" s="326"/>
      <c r="AC1116" s="321"/>
      <c r="AD1116" s="321"/>
      <c r="AE1116" s="321"/>
      <c r="AF1116" s="321"/>
      <c r="AG1116" s="321"/>
      <c r="AH1116" s="321"/>
      <c r="AI1116" s="321"/>
      <c r="AJ1116" s="321"/>
      <c r="BG1116" s="307"/>
      <c r="BH1116" s="307"/>
      <c r="BI1116" s="307"/>
      <c r="BK1116" s="300"/>
    </row>
    <row r="1117" spans="2:63" s="298" customFormat="1" hidden="1" x14ac:dyDescent="0.25">
      <c r="B1117" s="321"/>
      <c r="F1117" s="322"/>
      <c r="M1117" s="323"/>
      <c r="U1117" s="324"/>
      <c r="X1117" s="321"/>
      <c r="Y1117" s="325"/>
      <c r="Z1117" s="325"/>
      <c r="AA1117" s="326"/>
      <c r="AB1117" s="326"/>
      <c r="AC1117" s="321"/>
      <c r="AD1117" s="321"/>
      <c r="AE1117" s="321"/>
      <c r="AF1117" s="321"/>
      <c r="AG1117" s="321"/>
      <c r="AH1117" s="321"/>
      <c r="AI1117" s="321"/>
      <c r="AJ1117" s="321"/>
      <c r="BG1117" s="307"/>
      <c r="BH1117" s="307"/>
      <c r="BI1117" s="307"/>
      <c r="BK1117" s="300"/>
    </row>
    <row r="1118" spans="2:63" s="298" customFormat="1" hidden="1" x14ac:dyDescent="0.25">
      <c r="B1118" s="321"/>
      <c r="F1118" s="322"/>
      <c r="M1118" s="323"/>
      <c r="U1118" s="324"/>
      <c r="X1118" s="321"/>
      <c r="Y1118" s="325"/>
      <c r="Z1118" s="325"/>
      <c r="AA1118" s="326"/>
      <c r="AB1118" s="326"/>
      <c r="AC1118" s="321"/>
      <c r="AD1118" s="321"/>
      <c r="AE1118" s="321"/>
      <c r="AF1118" s="321"/>
      <c r="AG1118" s="321"/>
      <c r="AH1118" s="321"/>
      <c r="AI1118" s="321"/>
      <c r="AJ1118" s="321"/>
      <c r="BG1118" s="307"/>
      <c r="BH1118" s="307"/>
      <c r="BI1118" s="307"/>
      <c r="BK1118" s="300"/>
    </row>
    <row r="1119" spans="2:63" s="298" customFormat="1" hidden="1" x14ac:dyDescent="0.25">
      <c r="B1119" s="321"/>
      <c r="F1119" s="322"/>
      <c r="M1119" s="323"/>
      <c r="U1119" s="324"/>
      <c r="X1119" s="321"/>
      <c r="Y1119" s="325"/>
      <c r="Z1119" s="325"/>
      <c r="AA1119" s="326"/>
      <c r="AB1119" s="326"/>
      <c r="AC1119" s="321"/>
      <c r="AD1119" s="321"/>
      <c r="AE1119" s="321"/>
      <c r="AF1119" s="321"/>
      <c r="AG1119" s="321"/>
      <c r="AH1119" s="321"/>
      <c r="AI1119" s="321"/>
      <c r="AJ1119" s="321"/>
      <c r="BG1119" s="307"/>
      <c r="BH1119" s="307"/>
      <c r="BI1119" s="307"/>
      <c r="BK1119" s="300"/>
    </row>
    <row r="1120" spans="2:63" s="298" customFormat="1" hidden="1" x14ac:dyDescent="0.25">
      <c r="B1120" s="321"/>
      <c r="F1120" s="322"/>
      <c r="M1120" s="323"/>
      <c r="U1120" s="324"/>
      <c r="X1120" s="321"/>
      <c r="Y1120" s="325"/>
      <c r="Z1120" s="325"/>
      <c r="AA1120" s="326"/>
      <c r="AB1120" s="326"/>
      <c r="AC1120" s="321"/>
      <c r="AD1120" s="321"/>
      <c r="AE1120" s="321"/>
      <c r="AF1120" s="321"/>
      <c r="AG1120" s="321"/>
      <c r="AH1120" s="321"/>
      <c r="AI1120" s="321"/>
      <c r="AJ1120" s="321"/>
      <c r="BG1120" s="307"/>
      <c r="BH1120" s="307"/>
      <c r="BI1120" s="307"/>
      <c r="BK1120" s="300"/>
    </row>
    <row r="1121" spans="2:63" s="298" customFormat="1" hidden="1" x14ac:dyDescent="0.25">
      <c r="B1121" s="321"/>
      <c r="F1121" s="322"/>
      <c r="M1121" s="323"/>
      <c r="U1121" s="324"/>
      <c r="X1121" s="321"/>
      <c r="Y1121" s="325"/>
      <c r="Z1121" s="325"/>
      <c r="AA1121" s="326"/>
      <c r="AB1121" s="326"/>
      <c r="AC1121" s="321"/>
      <c r="AD1121" s="321"/>
      <c r="AE1121" s="321"/>
      <c r="AF1121" s="321"/>
      <c r="AG1121" s="321"/>
      <c r="AH1121" s="321"/>
      <c r="AI1121" s="321"/>
      <c r="AJ1121" s="321"/>
      <c r="BG1121" s="307"/>
      <c r="BH1121" s="307"/>
      <c r="BI1121" s="307"/>
      <c r="BK1121" s="300"/>
    </row>
    <row r="1122" spans="2:63" s="298" customFormat="1" hidden="1" x14ac:dyDescent="0.25">
      <c r="B1122" s="321"/>
      <c r="F1122" s="322"/>
      <c r="M1122" s="323"/>
      <c r="U1122" s="324"/>
      <c r="X1122" s="321"/>
      <c r="Y1122" s="325"/>
      <c r="Z1122" s="325"/>
      <c r="AA1122" s="326"/>
      <c r="AB1122" s="326"/>
      <c r="AC1122" s="321"/>
      <c r="AD1122" s="321"/>
      <c r="AE1122" s="321"/>
      <c r="AF1122" s="321"/>
      <c r="AG1122" s="321"/>
      <c r="AH1122" s="321"/>
      <c r="AI1122" s="321"/>
      <c r="AJ1122" s="321"/>
      <c r="BG1122" s="307"/>
      <c r="BH1122" s="307"/>
      <c r="BI1122" s="307"/>
      <c r="BK1122" s="300"/>
    </row>
    <row r="1123" spans="2:63" s="298" customFormat="1" hidden="1" x14ac:dyDescent="0.25">
      <c r="B1123" s="321"/>
      <c r="F1123" s="322"/>
      <c r="M1123" s="323"/>
      <c r="U1123" s="324"/>
      <c r="X1123" s="321"/>
      <c r="Y1123" s="325"/>
      <c r="Z1123" s="325"/>
      <c r="AA1123" s="326"/>
      <c r="AB1123" s="326"/>
      <c r="AC1123" s="321"/>
      <c r="AD1123" s="321"/>
      <c r="AE1123" s="321"/>
      <c r="AF1123" s="321"/>
      <c r="AG1123" s="321"/>
      <c r="AH1123" s="321"/>
      <c r="AI1123" s="321"/>
      <c r="AJ1123" s="321"/>
      <c r="BG1123" s="307"/>
      <c r="BH1123" s="307"/>
      <c r="BI1123" s="307"/>
      <c r="BK1123" s="300"/>
    </row>
    <row r="1124" spans="2:63" s="298" customFormat="1" hidden="1" x14ac:dyDescent="0.25">
      <c r="B1124" s="321"/>
      <c r="F1124" s="322"/>
      <c r="M1124" s="323"/>
      <c r="U1124" s="324"/>
      <c r="X1124" s="321"/>
      <c r="Y1124" s="325"/>
      <c r="Z1124" s="325"/>
      <c r="AA1124" s="326"/>
      <c r="AB1124" s="326"/>
      <c r="AC1124" s="321"/>
      <c r="AD1124" s="321"/>
      <c r="AE1124" s="321"/>
      <c r="AF1124" s="321"/>
      <c r="AG1124" s="321"/>
      <c r="AH1124" s="321"/>
      <c r="AI1124" s="321"/>
      <c r="AJ1124" s="321"/>
      <c r="BG1124" s="307"/>
      <c r="BH1124" s="307"/>
      <c r="BI1124" s="307"/>
      <c r="BK1124" s="300"/>
    </row>
    <row r="1125" spans="2:63" s="298" customFormat="1" hidden="1" x14ac:dyDescent="0.25">
      <c r="B1125" s="321"/>
      <c r="F1125" s="322"/>
      <c r="M1125" s="323"/>
      <c r="U1125" s="324"/>
      <c r="X1125" s="321"/>
      <c r="Y1125" s="325"/>
      <c r="Z1125" s="325"/>
      <c r="AA1125" s="326"/>
      <c r="AB1125" s="326"/>
      <c r="AC1125" s="321"/>
      <c r="AD1125" s="321"/>
      <c r="AE1125" s="321"/>
      <c r="AF1125" s="321"/>
      <c r="AG1125" s="321"/>
      <c r="AH1125" s="321"/>
      <c r="AI1125" s="321"/>
      <c r="AJ1125" s="321"/>
      <c r="BG1125" s="307"/>
      <c r="BH1125" s="307"/>
      <c r="BI1125" s="307"/>
      <c r="BK1125" s="300"/>
    </row>
    <row r="1126" spans="2:63" s="298" customFormat="1" hidden="1" x14ac:dyDescent="0.25">
      <c r="B1126" s="321"/>
      <c r="F1126" s="322"/>
      <c r="M1126" s="323"/>
      <c r="U1126" s="324"/>
      <c r="X1126" s="321"/>
      <c r="Y1126" s="325"/>
      <c r="Z1126" s="325"/>
      <c r="AA1126" s="326"/>
      <c r="AB1126" s="326"/>
      <c r="AC1126" s="321"/>
      <c r="AD1126" s="321"/>
      <c r="AE1126" s="321"/>
      <c r="AF1126" s="321"/>
      <c r="AG1126" s="321"/>
      <c r="AH1126" s="321"/>
      <c r="AI1126" s="321"/>
      <c r="AJ1126" s="321"/>
      <c r="BG1126" s="307"/>
      <c r="BH1126" s="307"/>
      <c r="BI1126" s="307"/>
      <c r="BK1126" s="300"/>
    </row>
    <row r="1127" spans="2:63" s="298" customFormat="1" hidden="1" x14ac:dyDescent="0.25">
      <c r="B1127" s="321"/>
      <c r="F1127" s="322"/>
      <c r="M1127" s="323"/>
      <c r="U1127" s="324"/>
      <c r="X1127" s="321"/>
      <c r="Y1127" s="325"/>
      <c r="Z1127" s="325"/>
      <c r="AA1127" s="326"/>
      <c r="AB1127" s="326"/>
      <c r="AC1127" s="321"/>
      <c r="AD1127" s="321"/>
      <c r="AE1127" s="321"/>
      <c r="AF1127" s="321"/>
      <c r="AG1127" s="321"/>
      <c r="AH1127" s="321"/>
      <c r="AI1127" s="321"/>
      <c r="AJ1127" s="321"/>
      <c r="BG1127" s="307"/>
      <c r="BH1127" s="307"/>
      <c r="BI1127" s="307"/>
      <c r="BK1127" s="300"/>
    </row>
    <row r="1128" spans="2:63" s="298" customFormat="1" hidden="1" x14ac:dyDescent="0.25">
      <c r="B1128" s="321"/>
      <c r="F1128" s="322"/>
      <c r="M1128" s="323"/>
      <c r="U1128" s="324"/>
      <c r="X1128" s="321"/>
      <c r="Y1128" s="325"/>
      <c r="Z1128" s="325"/>
      <c r="AA1128" s="326"/>
      <c r="AB1128" s="326"/>
      <c r="AC1128" s="321"/>
      <c r="AD1128" s="321"/>
      <c r="AE1128" s="321"/>
      <c r="AF1128" s="321"/>
      <c r="AG1128" s="321"/>
      <c r="AH1128" s="321"/>
      <c r="AI1128" s="321"/>
      <c r="AJ1128" s="321"/>
      <c r="BG1128" s="307"/>
      <c r="BH1128" s="307"/>
      <c r="BI1128" s="307"/>
      <c r="BK1128" s="300"/>
    </row>
    <row r="1129" spans="2:63" s="298" customFormat="1" hidden="1" x14ac:dyDescent="0.25">
      <c r="B1129" s="321"/>
      <c r="F1129" s="322"/>
      <c r="M1129" s="323"/>
      <c r="U1129" s="324"/>
      <c r="X1129" s="321"/>
      <c r="Y1129" s="325"/>
      <c r="Z1129" s="325"/>
      <c r="AA1129" s="326"/>
      <c r="AB1129" s="326"/>
      <c r="AC1129" s="321"/>
      <c r="AD1129" s="321"/>
      <c r="AE1129" s="321"/>
      <c r="AF1129" s="321"/>
      <c r="AG1129" s="321"/>
      <c r="AH1129" s="321"/>
      <c r="AI1129" s="321"/>
      <c r="AJ1129" s="321"/>
      <c r="BG1129" s="307"/>
      <c r="BH1129" s="307"/>
      <c r="BI1129" s="307"/>
      <c r="BK1129" s="300"/>
    </row>
    <row r="1130" spans="2:63" s="298" customFormat="1" hidden="1" x14ac:dyDescent="0.25">
      <c r="B1130" s="321"/>
      <c r="F1130" s="322"/>
      <c r="M1130" s="323"/>
      <c r="U1130" s="324"/>
      <c r="X1130" s="321"/>
      <c r="Y1130" s="325"/>
      <c r="Z1130" s="325"/>
      <c r="AA1130" s="326"/>
      <c r="AB1130" s="326"/>
      <c r="AC1130" s="321"/>
      <c r="AD1130" s="321"/>
      <c r="AE1130" s="321"/>
      <c r="AF1130" s="321"/>
      <c r="AG1130" s="321"/>
      <c r="AH1130" s="321"/>
      <c r="AI1130" s="321"/>
      <c r="AJ1130" s="321"/>
      <c r="BG1130" s="307"/>
      <c r="BH1130" s="307"/>
      <c r="BI1130" s="307"/>
      <c r="BK1130" s="300"/>
    </row>
    <row r="1131" spans="2:63" s="298" customFormat="1" hidden="1" x14ac:dyDescent="0.25">
      <c r="B1131" s="321"/>
      <c r="F1131" s="322"/>
      <c r="M1131" s="323"/>
      <c r="U1131" s="324"/>
      <c r="X1131" s="321"/>
      <c r="Y1131" s="325"/>
      <c r="Z1131" s="325"/>
      <c r="AA1131" s="326"/>
      <c r="AB1131" s="326"/>
      <c r="AC1131" s="321"/>
      <c r="AD1131" s="321"/>
      <c r="AE1131" s="321"/>
      <c r="AF1131" s="321"/>
      <c r="AG1131" s="321"/>
      <c r="AH1131" s="321"/>
      <c r="AI1131" s="321"/>
      <c r="AJ1131" s="321"/>
      <c r="BG1131" s="307"/>
      <c r="BH1131" s="307"/>
      <c r="BI1131" s="307"/>
      <c r="BK1131" s="300"/>
    </row>
    <row r="1132" spans="2:63" s="298" customFormat="1" hidden="1" x14ac:dyDescent="0.25">
      <c r="B1132" s="321"/>
      <c r="F1132" s="322"/>
      <c r="M1132" s="323"/>
      <c r="U1132" s="324"/>
      <c r="X1132" s="321"/>
      <c r="Y1132" s="325"/>
      <c r="Z1132" s="325"/>
      <c r="AA1132" s="326"/>
      <c r="AB1132" s="326"/>
      <c r="AC1132" s="321"/>
      <c r="AD1132" s="321"/>
      <c r="AE1132" s="321"/>
      <c r="AF1132" s="321"/>
      <c r="AG1132" s="321"/>
      <c r="AH1132" s="321"/>
      <c r="AI1132" s="321"/>
      <c r="AJ1132" s="321"/>
      <c r="BG1132" s="307"/>
      <c r="BH1132" s="307"/>
      <c r="BI1132" s="307"/>
      <c r="BK1132" s="300"/>
    </row>
    <row r="1133" spans="2:63" s="298" customFormat="1" hidden="1" x14ac:dyDescent="0.25">
      <c r="B1133" s="321"/>
      <c r="F1133" s="322"/>
      <c r="M1133" s="323"/>
      <c r="U1133" s="324"/>
      <c r="X1133" s="321"/>
      <c r="Y1133" s="325"/>
      <c r="Z1133" s="325"/>
      <c r="AA1133" s="326"/>
      <c r="AB1133" s="326"/>
      <c r="AC1133" s="321"/>
      <c r="AD1133" s="321"/>
      <c r="AE1133" s="321"/>
      <c r="AF1133" s="321"/>
      <c r="AG1133" s="321"/>
      <c r="AH1133" s="321"/>
      <c r="AI1133" s="321"/>
      <c r="AJ1133" s="321"/>
      <c r="BG1133" s="307"/>
      <c r="BH1133" s="307"/>
      <c r="BI1133" s="307"/>
      <c r="BK1133" s="300"/>
    </row>
    <row r="1134" spans="2:63" s="298" customFormat="1" hidden="1" x14ac:dyDescent="0.25">
      <c r="B1134" s="321"/>
      <c r="F1134" s="322"/>
      <c r="M1134" s="323"/>
      <c r="U1134" s="324"/>
      <c r="X1134" s="321"/>
      <c r="Y1134" s="325"/>
      <c r="Z1134" s="325"/>
      <c r="AA1134" s="326"/>
      <c r="AB1134" s="326"/>
      <c r="AC1134" s="321"/>
      <c r="AD1134" s="321"/>
      <c r="AE1134" s="321"/>
      <c r="AF1134" s="321"/>
      <c r="AG1134" s="321"/>
      <c r="AH1134" s="321"/>
      <c r="AI1134" s="321"/>
      <c r="AJ1134" s="321"/>
      <c r="BG1134" s="307"/>
      <c r="BH1134" s="307"/>
      <c r="BI1134" s="307"/>
      <c r="BK1134" s="300"/>
    </row>
    <row r="1135" spans="2:63" s="298" customFormat="1" hidden="1" x14ac:dyDescent="0.25">
      <c r="B1135" s="321"/>
      <c r="F1135" s="322"/>
      <c r="M1135" s="323"/>
      <c r="U1135" s="324"/>
      <c r="X1135" s="321"/>
      <c r="Y1135" s="325"/>
      <c r="Z1135" s="325"/>
      <c r="AA1135" s="326"/>
      <c r="AB1135" s="326"/>
      <c r="AC1135" s="321"/>
      <c r="AD1135" s="321"/>
      <c r="AE1135" s="321"/>
      <c r="AF1135" s="321"/>
      <c r="AG1135" s="321"/>
      <c r="AH1135" s="321"/>
      <c r="AI1135" s="321"/>
      <c r="AJ1135" s="321"/>
      <c r="BG1135" s="307"/>
      <c r="BH1135" s="307"/>
      <c r="BI1135" s="307"/>
      <c r="BK1135" s="300"/>
    </row>
    <row r="1136" spans="2:63" s="298" customFormat="1" hidden="1" x14ac:dyDescent="0.25">
      <c r="B1136" s="321"/>
      <c r="F1136" s="322"/>
      <c r="M1136" s="323"/>
      <c r="U1136" s="324"/>
      <c r="X1136" s="321"/>
      <c r="Y1136" s="325"/>
      <c r="Z1136" s="325"/>
      <c r="AA1136" s="326"/>
      <c r="AB1136" s="326"/>
      <c r="AC1136" s="321"/>
      <c r="AD1136" s="321"/>
      <c r="AE1136" s="321"/>
      <c r="AF1136" s="321"/>
      <c r="AG1136" s="321"/>
      <c r="AH1136" s="321"/>
      <c r="AI1136" s="321"/>
      <c r="AJ1136" s="321"/>
      <c r="BG1136" s="307"/>
      <c r="BH1136" s="307"/>
      <c r="BI1136" s="307"/>
      <c r="BK1136" s="300"/>
    </row>
    <row r="1137" spans="2:63" s="298" customFormat="1" hidden="1" x14ac:dyDescent="0.25">
      <c r="B1137" s="321"/>
      <c r="F1137" s="322"/>
      <c r="M1137" s="323"/>
      <c r="U1137" s="324"/>
      <c r="X1137" s="321"/>
      <c r="Y1137" s="325"/>
      <c r="Z1137" s="325"/>
      <c r="AA1137" s="326"/>
      <c r="AB1137" s="326"/>
      <c r="AC1137" s="321"/>
      <c r="AD1137" s="321"/>
      <c r="AE1137" s="321"/>
      <c r="AF1137" s="321"/>
      <c r="AG1137" s="321"/>
      <c r="AH1137" s="321"/>
      <c r="AI1137" s="321"/>
      <c r="AJ1137" s="321"/>
      <c r="BG1137" s="307"/>
      <c r="BH1137" s="307"/>
      <c r="BI1137" s="307"/>
      <c r="BK1137" s="300"/>
    </row>
    <row r="1138" spans="2:63" s="298" customFormat="1" hidden="1" x14ac:dyDescent="0.25">
      <c r="B1138" s="321"/>
      <c r="F1138" s="322"/>
      <c r="M1138" s="323"/>
      <c r="U1138" s="324"/>
      <c r="X1138" s="321"/>
      <c r="Y1138" s="325"/>
      <c r="Z1138" s="325"/>
      <c r="AA1138" s="326"/>
      <c r="AB1138" s="326"/>
      <c r="AC1138" s="321"/>
      <c r="AD1138" s="321"/>
      <c r="AE1138" s="321"/>
      <c r="AF1138" s="321"/>
      <c r="AG1138" s="321"/>
      <c r="AH1138" s="321"/>
      <c r="AI1138" s="321"/>
      <c r="AJ1138" s="321"/>
      <c r="BG1138" s="307"/>
      <c r="BH1138" s="307"/>
      <c r="BI1138" s="307"/>
      <c r="BK1138" s="300"/>
    </row>
    <row r="1139" spans="2:63" s="298" customFormat="1" hidden="1" x14ac:dyDescent="0.25">
      <c r="B1139" s="321"/>
      <c r="F1139" s="322"/>
      <c r="M1139" s="323"/>
      <c r="U1139" s="324"/>
      <c r="X1139" s="321"/>
      <c r="Y1139" s="325"/>
      <c r="Z1139" s="325"/>
      <c r="AA1139" s="326"/>
      <c r="AB1139" s="326"/>
      <c r="AC1139" s="321"/>
      <c r="AD1139" s="321"/>
      <c r="AE1139" s="321"/>
      <c r="AF1139" s="321"/>
      <c r="AG1139" s="321"/>
      <c r="AH1139" s="321"/>
      <c r="AI1139" s="321"/>
      <c r="AJ1139" s="321"/>
      <c r="BG1139" s="307"/>
      <c r="BH1139" s="307"/>
      <c r="BI1139" s="307"/>
      <c r="BK1139" s="300"/>
    </row>
    <row r="1140" spans="2:63" s="298" customFormat="1" hidden="1" x14ac:dyDescent="0.25">
      <c r="B1140" s="321"/>
      <c r="F1140" s="322"/>
      <c r="M1140" s="323"/>
      <c r="U1140" s="324"/>
      <c r="X1140" s="321"/>
      <c r="Y1140" s="325"/>
      <c r="Z1140" s="325"/>
      <c r="AA1140" s="326"/>
      <c r="AB1140" s="326"/>
      <c r="AC1140" s="321"/>
      <c r="AD1140" s="321"/>
      <c r="AE1140" s="321"/>
      <c r="AF1140" s="321"/>
      <c r="AG1140" s="321"/>
      <c r="AH1140" s="321"/>
      <c r="AI1140" s="321"/>
      <c r="AJ1140" s="321"/>
      <c r="BG1140" s="307"/>
      <c r="BH1140" s="307"/>
      <c r="BI1140" s="307"/>
      <c r="BK1140" s="300"/>
    </row>
    <row r="1141" spans="2:63" s="298" customFormat="1" hidden="1" x14ac:dyDescent="0.25">
      <c r="B1141" s="321"/>
      <c r="F1141" s="322"/>
      <c r="M1141" s="323"/>
      <c r="U1141" s="324"/>
      <c r="X1141" s="321"/>
      <c r="Y1141" s="325"/>
      <c r="Z1141" s="325"/>
      <c r="AA1141" s="326"/>
      <c r="AB1141" s="326"/>
      <c r="AC1141" s="321"/>
      <c r="AD1141" s="321"/>
      <c r="AE1141" s="321"/>
      <c r="AF1141" s="321"/>
      <c r="AG1141" s="321"/>
      <c r="AH1141" s="321"/>
      <c r="AI1141" s="321"/>
      <c r="AJ1141" s="321"/>
      <c r="BG1141" s="307"/>
      <c r="BH1141" s="307"/>
      <c r="BI1141" s="307"/>
      <c r="BK1141" s="300"/>
    </row>
    <row r="1142" spans="2:63" s="298" customFormat="1" hidden="1" x14ac:dyDescent="0.25">
      <c r="B1142" s="321"/>
      <c r="F1142" s="322"/>
      <c r="M1142" s="323"/>
      <c r="U1142" s="324"/>
      <c r="X1142" s="321"/>
      <c r="Y1142" s="325"/>
      <c r="Z1142" s="325"/>
      <c r="AA1142" s="326"/>
      <c r="AB1142" s="326"/>
      <c r="AC1142" s="321"/>
      <c r="AD1142" s="321"/>
      <c r="AE1142" s="321"/>
      <c r="AF1142" s="321"/>
      <c r="AG1142" s="321"/>
      <c r="AH1142" s="321"/>
      <c r="AI1142" s="321"/>
      <c r="AJ1142" s="321"/>
      <c r="BG1142" s="307"/>
      <c r="BH1142" s="307"/>
      <c r="BI1142" s="307"/>
      <c r="BK1142" s="300"/>
    </row>
    <row r="1143" spans="2:63" s="298" customFormat="1" hidden="1" x14ac:dyDescent="0.25">
      <c r="B1143" s="321"/>
      <c r="F1143" s="322"/>
      <c r="M1143" s="323"/>
      <c r="U1143" s="324"/>
      <c r="X1143" s="321"/>
      <c r="Y1143" s="325"/>
      <c r="Z1143" s="325"/>
      <c r="AA1143" s="326"/>
      <c r="AB1143" s="326"/>
      <c r="AC1143" s="321"/>
      <c r="AD1143" s="321"/>
      <c r="AE1143" s="321"/>
      <c r="AF1143" s="321"/>
      <c r="AG1143" s="321"/>
      <c r="AH1143" s="321"/>
      <c r="AI1143" s="321"/>
      <c r="AJ1143" s="321"/>
      <c r="BG1143" s="307"/>
      <c r="BH1143" s="307"/>
      <c r="BI1143" s="307"/>
      <c r="BK1143" s="300"/>
    </row>
    <row r="1144" spans="2:63" s="298" customFormat="1" hidden="1" x14ac:dyDescent="0.25">
      <c r="B1144" s="321"/>
      <c r="F1144" s="322"/>
      <c r="M1144" s="323"/>
      <c r="U1144" s="324"/>
      <c r="X1144" s="321"/>
      <c r="Y1144" s="325"/>
      <c r="Z1144" s="325"/>
      <c r="AA1144" s="326"/>
      <c r="AB1144" s="326"/>
      <c r="AC1144" s="321"/>
      <c r="AD1144" s="321"/>
      <c r="AE1144" s="321"/>
      <c r="AF1144" s="321"/>
      <c r="AG1144" s="321"/>
      <c r="AH1144" s="321"/>
      <c r="AI1144" s="321"/>
      <c r="AJ1144" s="321"/>
      <c r="BG1144" s="307"/>
      <c r="BH1144" s="307"/>
      <c r="BI1144" s="307"/>
      <c r="BK1144" s="300"/>
    </row>
    <row r="1145" spans="2:63" s="298" customFormat="1" hidden="1" x14ac:dyDescent="0.25">
      <c r="B1145" s="321"/>
      <c r="F1145" s="322"/>
      <c r="M1145" s="323"/>
      <c r="U1145" s="324"/>
      <c r="X1145" s="321"/>
      <c r="Y1145" s="325"/>
      <c r="Z1145" s="325"/>
      <c r="AA1145" s="326"/>
      <c r="AB1145" s="326"/>
      <c r="AC1145" s="321"/>
      <c r="AD1145" s="321"/>
      <c r="AE1145" s="321"/>
      <c r="AF1145" s="321"/>
      <c r="AG1145" s="321"/>
      <c r="AH1145" s="321"/>
      <c r="AI1145" s="321"/>
      <c r="AJ1145" s="321"/>
      <c r="BG1145" s="307"/>
      <c r="BH1145" s="307"/>
      <c r="BI1145" s="307"/>
      <c r="BK1145" s="300"/>
    </row>
    <row r="1146" spans="2:63" s="298" customFormat="1" hidden="1" x14ac:dyDescent="0.25">
      <c r="B1146" s="321"/>
      <c r="F1146" s="322"/>
      <c r="M1146" s="323"/>
      <c r="U1146" s="324"/>
      <c r="X1146" s="321"/>
      <c r="Y1146" s="325"/>
      <c r="Z1146" s="325"/>
      <c r="AA1146" s="326"/>
      <c r="AB1146" s="326"/>
      <c r="AC1146" s="321"/>
      <c r="AD1146" s="321"/>
      <c r="AE1146" s="321"/>
      <c r="AF1146" s="321"/>
      <c r="AG1146" s="321"/>
      <c r="AH1146" s="321"/>
      <c r="AI1146" s="321"/>
      <c r="AJ1146" s="321"/>
      <c r="BG1146" s="307"/>
      <c r="BH1146" s="307"/>
      <c r="BI1146" s="307"/>
      <c r="BK1146" s="300"/>
    </row>
    <row r="1147" spans="2:63" s="298" customFormat="1" hidden="1" x14ac:dyDescent="0.25">
      <c r="B1147" s="321"/>
      <c r="F1147" s="322"/>
      <c r="M1147" s="323"/>
      <c r="U1147" s="324"/>
      <c r="X1147" s="321"/>
      <c r="Y1147" s="325"/>
      <c r="Z1147" s="325"/>
      <c r="AA1147" s="326"/>
      <c r="AB1147" s="326"/>
      <c r="AC1147" s="321"/>
      <c r="AD1147" s="321"/>
      <c r="AE1147" s="321"/>
      <c r="AF1147" s="321"/>
      <c r="AG1147" s="321"/>
      <c r="AH1147" s="321"/>
      <c r="AI1147" s="321"/>
      <c r="AJ1147" s="321"/>
      <c r="BG1147" s="307"/>
      <c r="BH1147" s="307"/>
      <c r="BI1147" s="307"/>
      <c r="BK1147" s="300"/>
    </row>
    <row r="1148" spans="2:63" s="298" customFormat="1" hidden="1" x14ac:dyDescent="0.25">
      <c r="B1148" s="321"/>
      <c r="F1148" s="322"/>
      <c r="M1148" s="323"/>
      <c r="U1148" s="324"/>
      <c r="X1148" s="321"/>
      <c r="Y1148" s="325"/>
      <c r="Z1148" s="325"/>
      <c r="AA1148" s="326"/>
      <c r="AB1148" s="326"/>
      <c r="AC1148" s="321"/>
      <c r="AD1148" s="321"/>
      <c r="AE1148" s="321"/>
      <c r="AF1148" s="321"/>
      <c r="AG1148" s="321"/>
      <c r="AH1148" s="321"/>
      <c r="AI1148" s="321"/>
      <c r="AJ1148" s="321"/>
      <c r="BG1148" s="307"/>
      <c r="BH1148" s="307"/>
      <c r="BI1148" s="307"/>
      <c r="BK1148" s="300"/>
    </row>
    <row r="1149" spans="2:63" s="298" customFormat="1" hidden="1" x14ac:dyDescent="0.25">
      <c r="B1149" s="321"/>
      <c r="F1149" s="322"/>
      <c r="M1149" s="323"/>
      <c r="U1149" s="324"/>
      <c r="X1149" s="321"/>
      <c r="Y1149" s="325"/>
      <c r="Z1149" s="325"/>
      <c r="AA1149" s="326"/>
      <c r="AB1149" s="326"/>
      <c r="AC1149" s="321"/>
      <c r="AD1149" s="321"/>
      <c r="AE1149" s="321"/>
      <c r="AF1149" s="321"/>
      <c r="AG1149" s="321"/>
      <c r="AH1149" s="321"/>
      <c r="AI1149" s="321"/>
      <c r="AJ1149" s="321"/>
      <c r="BG1149" s="307"/>
      <c r="BH1149" s="307"/>
      <c r="BI1149" s="307"/>
      <c r="BK1149" s="300"/>
    </row>
    <row r="1150" spans="2:63" s="298" customFormat="1" hidden="1" x14ac:dyDescent="0.25">
      <c r="B1150" s="321"/>
      <c r="F1150" s="322"/>
      <c r="M1150" s="323"/>
      <c r="U1150" s="324"/>
      <c r="X1150" s="321"/>
      <c r="Y1150" s="325"/>
      <c r="Z1150" s="325"/>
      <c r="AA1150" s="326"/>
      <c r="AB1150" s="326"/>
      <c r="AC1150" s="321"/>
      <c r="AD1150" s="321"/>
      <c r="AE1150" s="321"/>
      <c r="AF1150" s="321"/>
      <c r="AG1150" s="321"/>
      <c r="AH1150" s="321"/>
      <c r="AI1150" s="321"/>
      <c r="AJ1150" s="321"/>
      <c r="BG1150" s="307"/>
      <c r="BH1150" s="307"/>
      <c r="BI1150" s="307"/>
      <c r="BK1150" s="300"/>
    </row>
    <row r="1151" spans="2:63" s="298" customFormat="1" hidden="1" x14ac:dyDescent="0.25">
      <c r="B1151" s="321"/>
      <c r="F1151" s="322"/>
      <c r="M1151" s="323"/>
      <c r="U1151" s="324"/>
      <c r="X1151" s="321"/>
      <c r="Y1151" s="325"/>
      <c r="Z1151" s="325"/>
      <c r="AA1151" s="326"/>
      <c r="AB1151" s="326"/>
      <c r="AC1151" s="321"/>
      <c r="AD1151" s="321"/>
      <c r="AE1151" s="321"/>
      <c r="AF1151" s="321"/>
      <c r="AG1151" s="321"/>
      <c r="AH1151" s="321"/>
      <c r="AI1151" s="321"/>
      <c r="AJ1151" s="321"/>
      <c r="BG1151" s="307"/>
      <c r="BH1151" s="307"/>
      <c r="BI1151" s="307"/>
      <c r="BK1151" s="300"/>
    </row>
    <row r="1152" spans="2:63" s="298" customFormat="1" hidden="1" x14ac:dyDescent="0.25">
      <c r="B1152" s="321"/>
      <c r="F1152" s="322"/>
      <c r="M1152" s="323"/>
      <c r="U1152" s="324"/>
      <c r="X1152" s="321"/>
      <c r="Y1152" s="325"/>
      <c r="Z1152" s="325"/>
      <c r="AA1152" s="326"/>
      <c r="AB1152" s="326"/>
      <c r="AC1152" s="321"/>
      <c r="AD1152" s="321"/>
      <c r="AE1152" s="321"/>
      <c r="AF1152" s="321"/>
      <c r="AG1152" s="321"/>
      <c r="AH1152" s="321"/>
      <c r="AI1152" s="321"/>
      <c r="AJ1152" s="321"/>
      <c r="BG1152" s="307"/>
      <c r="BH1152" s="307"/>
      <c r="BI1152" s="307"/>
      <c r="BK1152" s="300"/>
    </row>
    <row r="1153" spans="2:63" s="298" customFormat="1" hidden="1" x14ac:dyDescent="0.25">
      <c r="B1153" s="321"/>
      <c r="F1153" s="322"/>
      <c r="M1153" s="323"/>
      <c r="U1153" s="324"/>
      <c r="X1153" s="321"/>
      <c r="Y1153" s="325"/>
      <c r="Z1153" s="325"/>
      <c r="AA1153" s="326"/>
      <c r="AB1153" s="326"/>
      <c r="AC1153" s="321"/>
      <c r="AD1153" s="321"/>
      <c r="AE1153" s="321"/>
      <c r="AF1153" s="321"/>
      <c r="AG1153" s="321"/>
      <c r="AH1153" s="321"/>
      <c r="AI1153" s="321"/>
      <c r="AJ1153" s="321"/>
      <c r="BG1153" s="307"/>
      <c r="BH1153" s="307"/>
      <c r="BI1153" s="307"/>
      <c r="BK1153" s="300"/>
    </row>
    <row r="1154" spans="2:63" s="298" customFormat="1" hidden="1" x14ac:dyDescent="0.25">
      <c r="B1154" s="321"/>
      <c r="F1154" s="322"/>
      <c r="M1154" s="323"/>
      <c r="U1154" s="324"/>
      <c r="X1154" s="321"/>
      <c r="Y1154" s="325"/>
      <c r="Z1154" s="325"/>
      <c r="AA1154" s="326"/>
      <c r="AB1154" s="326"/>
      <c r="AC1154" s="321"/>
      <c r="AD1154" s="321"/>
      <c r="AE1154" s="321"/>
      <c r="AF1154" s="321"/>
      <c r="AG1154" s="321"/>
      <c r="AH1154" s="321"/>
      <c r="AI1154" s="321"/>
      <c r="AJ1154" s="321"/>
      <c r="BG1154" s="307"/>
      <c r="BH1154" s="307"/>
      <c r="BI1154" s="307"/>
      <c r="BK1154" s="300"/>
    </row>
    <row r="1155" spans="2:63" s="298" customFormat="1" hidden="1" x14ac:dyDescent="0.25">
      <c r="B1155" s="321"/>
      <c r="F1155" s="322"/>
      <c r="M1155" s="323"/>
      <c r="U1155" s="324"/>
      <c r="X1155" s="321"/>
      <c r="Y1155" s="325"/>
      <c r="Z1155" s="325"/>
      <c r="AA1155" s="326"/>
      <c r="AB1155" s="326"/>
      <c r="AC1155" s="321"/>
      <c r="AD1155" s="321"/>
      <c r="AE1155" s="321"/>
      <c r="AF1155" s="321"/>
      <c r="AG1155" s="321"/>
      <c r="AH1155" s="321"/>
      <c r="AI1155" s="321"/>
      <c r="AJ1155" s="321"/>
      <c r="BG1155" s="307"/>
      <c r="BH1155" s="307"/>
      <c r="BI1155" s="307"/>
      <c r="BK1155" s="300"/>
    </row>
    <row r="1156" spans="2:63" s="298" customFormat="1" hidden="1" x14ac:dyDescent="0.25">
      <c r="B1156" s="321"/>
      <c r="F1156" s="322"/>
      <c r="M1156" s="323"/>
      <c r="U1156" s="324"/>
      <c r="X1156" s="321"/>
      <c r="Y1156" s="325"/>
      <c r="Z1156" s="325"/>
      <c r="AA1156" s="326"/>
      <c r="AB1156" s="326"/>
      <c r="AC1156" s="321"/>
      <c r="AD1156" s="321"/>
      <c r="AE1156" s="321"/>
      <c r="AF1156" s="321"/>
      <c r="AG1156" s="321"/>
      <c r="AH1156" s="321"/>
      <c r="AI1156" s="321"/>
      <c r="AJ1156" s="321"/>
      <c r="BG1156" s="307"/>
      <c r="BH1156" s="307"/>
      <c r="BI1156" s="307"/>
      <c r="BK1156" s="300"/>
    </row>
    <row r="1157" spans="2:63" s="298" customFormat="1" hidden="1" x14ac:dyDescent="0.25">
      <c r="B1157" s="321"/>
      <c r="F1157" s="322"/>
      <c r="M1157" s="323"/>
      <c r="U1157" s="324"/>
      <c r="X1157" s="321"/>
      <c r="Y1157" s="325"/>
      <c r="Z1157" s="325"/>
      <c r="AA1157" s="326"/>
      <c r="AB1157" s="326"/>
      <c r="AC1157" s="321"/>
      <c r="AD1157" s="321"/>
      <c r="AE1157" s="321"/>
      <c r="AF1157" s="321"/>
      <c r="AG1157" s="321"/>
      <c r="AH1157" s="321"/>
      <c r="AI1157" s="321"/>
      <c r="AJ1157" s="321"/>
      <c r="BG1157" s="307"/>
      <c r="BH1157" s="307"/>
      <c r="BI1157" s="307"/>
      <c r="BK1157" s="300"/>
    </row>
    <row r="1158" spans="2:63" s="298" customFormat="1" hidden="1" x14ac:dyDescent="0.25">
      <c r="B1158" s="321"/>
      <c r="F1158" s="322"/>
      <c r="M1158" s="323"/>
      <c r="U1158" s="324"/>
      <c r="X1158" s="321"/>
      <c r="Y1158" s="325"/>
      <c r="Z1158" s="325"/>
      <c r="AA1158" s="326"/>
      <c r="AB1158" s="326"/>
      <c r="AC1158" s="321"/>
      <c r="AD1158" s="321"/>
      <c r="AE1158" s="321"/>
      <c r="AF1158" s="321"/>
      <c r="AG1158" s="321"/>
      <c r="AH1158" s="321"/>
      <c r="AI1158" s="321"/>
      <c r="AJ1158" s="321"/>
      <c r="BG1158" s="307"/>
      <c r="BH1158" s="307"/>
      <c r="BI1158" s="307"/>
      <c r="BK1158" s="300"/>
    </row>
    <row r="1159" spans="2:63" s="298" customFormat="1" hidden="1" x14ac:dyDescent="0.25">
      <c r="B1159" s="321"/>
      <c r="F1159" s="322"/>
      <c r="M1159" s="323"/>
      <c r="U1159" s="324"/>
      <c r="X1159" s="321"/>
      <c r="Y1159" s="325"/>
      <c r="Z1159" s="325"/>
      <c r="AA1159" s="326"/>
      <c r="AB1159" s="326"/>
      <c r="AC1159" s="321"/>
      <c r="AD1159" s="321"/>
      <c r="AE1159" s="321"/>
      <c r="AF1159" s="321"/>
      <c r="AG1159" s="321"/>
      <c r="AH1159" s="321"/>
      <c r="AI1159" s="321"/>
      <c r="AJ1159" s="321"/>
      <c r="BG1159" s="307"/>
      <c r="BH1159" s="307"/>
      <c r="BI1159" s="307"/>
      <c r="BK1159" s="300"/>
    </row>
    <row r="1160" spans="2:63" s="298" customFormat="1" hidden="1" x14ac:dyDescent="0.25">
      <c r="B1160" s="321"/>
      <c r="F1160" s="322"/>
      <c r="M1160" s="323"/>
      <c r="U1160" s="324"/>
      <c r="X1160" s="321"/>
      <c r="Y1160" s="325"/>
      <c r="Z1160" s="325"/>
      <c r="AA1160" s="326"/>
      <c r="AB1160" s="326"/>
      <c r="AC1160" s="321"/>
      <c r="AD1160" s="321"/>
      <c r="AE1160" s="321"/>
      <c r="AF1160" s="321"/>
      <c r="AG1160" s="321"/>
      <c r="AH1160" s="321"/>
      <c r="AI1160" s="321"/>
      <c r="AJ1160" s="321"/>
      <c r="BG1160" s="307"/>
      <c r="BH1160" s="307"/>
      <c r="BI1160" s="307"/>
      <c r="BK1160" s="300"/>
    </row>
    <row r="1161" spans="2:63" s="298" customFormat="1" hidden="1" x14ac:dyDescent="0.25">
      <c r="B1161" s="321"/>
      <c r="F1161" s="322"/>
      <c r="M1161" s="323"/>
      <c r="U1161" s="324"/>
      <c r="X1161" s="321"/>
      <c r="Y1161" s="325"/>
      <c r="Z1161" s="325"/>
      <c r="AA1161" s="326"/>
      <c r="AB1161" s="326"/>
      <c r="AC1161" s="321"/>
      <c r="AD1161" s="321"/>
      <c r="AE1161" s="321"/>
      <c r="AF1161" s="321"/>
      <c r="AG1161" s="321"/>
      <c r="AH1161" s="321"/>
      <c r="AI1161" s="321"/>
      <c r="AJ1161" s="321"/>
      <c r="BG1161" s="307"/>
      <c r="BH1161" s="307"/>
      <c r="BI1161" s="307"/>
      <c r="BK1161" s="300"/>
    </row>
    <row r="1162" spans="2:63" s="298" customFormat="1" hidden="1" x14ac:dyDescent="0.25">
      <c r="B1162" s="321"/>
      <c r="F1162" s="322"/>
      <c r="M1162" s="323"/>
      <c r="U1162" s="324"/>
      <c r="X1162" s="321"/>
      <c r="Y1162" s="325"/>
      <c r="Z1162" s="325"/>
      <c r="AA1162" s="326"/>
      <c r="AB1162" s="326"/>
      <c r="AC1162" s="321"/>
      <c r="AD1162" s="321"/>
      <c r="AE1162" s="321"/>
      <c r="AF1162" s="321"/>
      <c r="AG1162" s="321"/>
      <c r="AH1162" s="321"/>
      <c r="AI1162" s="321"/>
      <c r="AJ1162" s="321"/>
      <c r="BG1162" s="307"/>
      <c r="BH1162" s="307"/>
      <c r="BI1162" s="307"/>
      <c r="BK1162" s="300"/>
    </row>
    <row r="1163" spans="2:63" s="298" customFormat="1" hidden="1" x14ac:dyDescent="0.25">
      <c r="B1163" s="321"/>
      <c r="F1163" s="322"/>
      <c r="M1163" s="323"/>
      <c r="U1163" s="324"/>
      <c r="X1163" s="321"/>
      <c r="Y1163" s="325"/>
      <c r="Z1163" s="325"/>
      <c r="AA1163" s="326"/>
      <c r="AB1163" s="326"/>
      <c r="AC1163" s="321"/>
      <c r="AD1163" s="321"/>
      <c r="AE1163" s="321"/>
      <c r="AF1163" s="321"/>
      <c r="AG1163" s="321"/>
      <c r="AH1163" s="321"/>
      <c r="AI1163" s="321"/>
      <c r="AJ1163" s="321"/>
      <c r="BG1163" s="307"/>
      <c r="BH1163" s="307"/>
      <c r="BI1163" s="307"/>
      <c r="BK1163" s="300"/>
    </row>
    <row r="1164" spans="2:63" s="298" customFormat="1" hidden="1" x14ac:dyDescent="0.25">
      <c r="B1164" s="321"/>
      <c r="F1164" s="322"/>
      <c r="M1164" s="323"/>
      <c r="U1164" s="324"/>
      <c r="X1164" s="321"/>
      <c r="Y1164" s="325"/>
      <c r="Z1164" s="325"/>
      <c r="AA1164" s="326"/>
      <c r="AB1164" s="326"/>
      <c r="AC1164" s="321"/>
      <c r="AD1164" s="321"/>
      <c r="AE1164" s="321"/>
      <c r="AF1164" s="321"/>
      <c r="AG1164" s="321"/>
      <c r="AH1164" s="321"/>
      <c r="AI1164" s="321"/>
      <c r="AJ1164" s="321"/>
      <c r="BG1164" s="307"/>
      <c r="BH1164" s="307"/>
      <c r="BI1164" s="307"/>
      <c r="BK1164" s="300"/>
    </row>
    <row r="1165" spans="2:63" s="298" customFormat="1" hidden="1" x14ac:dyDescent="0.25">
      <c r="B1165" s="321"/>
      <c r="F1165" s="322"/>
      <c r="M1165" s="323"/>
      <c r="U1165" s="324"/>
      <c r="X1165" s="321"/>
      <c r="Y1165" s="325"/>
      <c r="Z1165" s="325"/>
      <c r="AA1165" s="326"/>
      <c r="AB1165" s="326"/>
      <c r="AC1165" s="321"/>
      <c r="AD1165" s="321"/>
      <c r="AE1165" s="321"/>
      <c r="AF1165" s="321"/>
      <c r="AG1165" s="321"/>
      <c r="AH1165" s="321"/>
      <c r="AI1165" s="321"/>
      <c r="AJ1165" s="321"/>
      <c r="BG1165" s="307"/>
      <c r="BH1165" s="307"/>
      <c r="BI1165" s="307"/>
      <c r="BK1165" s="300"/>
    </row>
    <row r="1166" spans="2:63" s="298" customFormat="1" hidden="1" x14ac:dyDescent="0.25">
      <c r="B1166" s="321"/>
      <c r="F1166" s="322"/>
      <c r="M1166" s="323"/>
      <c r="U1166" s="324"/>
      <c r="X1166" s="321"/>
      <c r="Y1166" s="325"/>
      <c r="Z1166" s="325"/>
      <c r="AA1166" s="326"/>
      <c r="AB1166" s="326"/>
      <c r="AC1166" s="321"/>
      <c r="AD1166" s="321"/>
      <c r="AE1166" s="321"/>
      <c r="AF1166" s="321"/>
      <c r="AG1166" s="321"/>
      <c r="AH1166" s="321"/>
      <c r="AI1166" s="321"/>
      <c r="AJ1166" s="321"/>
      <c r="BG1166" s="307"/>
      <c r="BH1166" s="307"/>
      <c r="BI1166" s="307"/>
      <c r="BK1166" s="300"/>
    </row>
    <row r="1167" spans="2:63" s="298" customFormat="1" hidden="1" x14ac:dyDescent="0.25">
      <c r="B1167" s="321"/>
      <c r="F1167" s="322"/>
      <c r="M1167" s="323"/>
      <c r="U1167" s="324"/>
      <c r="X1167" s="321"/>
      <c r="Y1167" s="325"/>
      <c r="Z1167" s="325"/>
      <c r="AA1167" s="326"/>
      <c r="AB1167" s="326"/>
      <c r="AC1167" s="321"/>
      <c r="AD1167" s="321"/>
      <c r="AE1167" s="321"/>
      <c r="AF1167" s="321"/>
      <c r="AG1167" s="321"/>
      <c r="AH1167" s="321"/>
      <c r="AI1167" s="321"/>
      <c r="AJ1167" s="321"/>
      <c r="BG1167" s="307"/>
      <c r="BH1167" s="307"/>
      <c r="BI1167" s="307"/>
      <c r="BK1167" s="300"/>
    </row>
    <row r="1168" spans="2:63" s="298" customFormat="1" hidden="1" x14ac:dyDescent="0.25">
      <c r="B1168" s="321"/>
      <c r="F1168" s="322"/>
      <c r="M1168" s="323"/>
      <c r="U1168" s="324"/>
      <c r="X1168" s="321"/>
      <c r="Y1168" s="325"/>
      <c r="Z1168" s="325"/>
      <c r="AA1168" s="326"/>
      <c r="AB1168" s="326"/>
      <c r="AC1168" s="321"/>
      <c r="AD1168" s="321"/>
      <c r="AE1168" s="321"/>
      <c r="AF1168" s="321"/>
      <c r="AG1168" s="321"/>
      <c r="AH1168" s="321"/>
      <c r="AI1168" s="321"/>
      <c r="AJ1168" s="321"/>
      <c r="BG1168" s="307"/>
      <c r="BH1168" s="307"/>
      <c r="BI1168" s="307"/>
      <c r="BK1168" s="300"/>
    </row>
    <row r="1169" spans="2:63" s="298" customFormat="1" hidden="1" x14ac:dyDescent="0.25">
      <c r="B1169" s="321"/>
      <c r="F1169" s="322"/>
      <c r="M1169" s="323"/>
      <c r="U1169" s="324"/>
      <c r="X1169" s="321"/>
      <c r="Y1169" s="325"/>
      <c r="Z1169" s="325"/>
      <c r="AA1169" s="326"/>
      <c r="AB1169" s="326"/>
      <c r="AC1169" s="321"/>
      <c r="AD1169" s="321"/>
      <c r="AE1169" s="321"/>
      <c r="AF1169" s="321"/>
      <c r="AG1169" s="321"/>
      <c r="AH1169" s="321"/>
      <c r="AI1169" s="321"/>
      <c r="AJ1169" s="321"/>
      <c r="BG1169" s="307"/>
      <c r="BH1169" s="307"/>
      <c r="BI1169" s="307"/>
      <c r="BK1169" s="300"/>
    </row>
    <row r="1170" spans="2:63" s="298" customFormat="1" hidden="1" x14ac:dyDescent="0.25">
      <c r="B1170" s="321"/>
      <c r="F1170" s="322"/>
      <c r="M1170" s="323"/>
      <c r="U1170" s="324"/>
      <c r="X1170" s="321"/>
      <c r="Y1170" s="325"/>
      <c r="Z1170" s="325"/>
      <c r="AA1170" s="326"/>
      <c r="AB1170" s="326"/>
      <c r="AC1170" s="321"/>
      <c r="AD1170" s="321"/>
      <c r="AE1170" s="321"/>
      <c r="AF1170" s="321"/>
      <c r="AG1170" s="321"/>
      <c r="AH1170" s="321"/>
      <c r="AI1170" s="321"/>
      <c r="AJ1170" s="321"/>
      <c r="BG1170" s="307"/>
      <c r="BH1170" s="307"/>
      <c r="BI1170" s="307"/>
      <c r="BK1170" s="300"/>
    </row>
    <row r="1171" spans="2:63" s="298" customFormat="1" hidden="1" x14ac:dyDescent="0.25">
      <c r="B1171" s="321"/>
      <c r="F1171" s="322"/>
      <c r="M1171" s="323"/>
      <c r="U1171" s="324"/>
      <c r="X1171" s="321"/>
      <c r="Y1171" s="325"/>
      <c r="Z1171" s="325"/>
      <c r="AA1171" s="326"/>
      <c r="AB1171" s="326"/>
      <c r="AC1171" s="321"/>
      <c r="AD1171" s="321"/>
      <c r="AE1171" s="321"/>
      <c r="AF1171" s="321"/>
      <c r="AG1171" s="321"/>
      <c r="AH1171" s="321"/>
      <c r="AI1171" s="321"/>
      <c r="AJ1171" s="321"/>
      <c r="BG1171" s="307"/>
      <c r="BH1171" s="307"/>
      <c r="BI1171" s="307"/>
      <c r="BK1171" s="300"/>
    </row>
    <row r="1172" spans="2:63" s="298" customFormat="1" hidden="1" x14ac:dyDescent="0.25">
      <c r="B1172" s="321"/>
      <c r="F1172" s="322"/>
      <c r="M1172" s="323"/>
      <c r="U1172" s="324"/>
      <c r="X1172" s="321"/>
      <c r="Y1172" s="325"/>
      <c r="Z1172" s="325"/>
      <c r="AA1172" s="326"/>
      <c r="AB1172" s="326"/>
      <c r="AC1172" s="321"/>
      <c r="AD1172" s="321"/>
      <c r="AE1172" s="321"/>
      <c r="AF1172" s="321"/>
      <c r="AG1172" s="321"/>
      <c r="AH1172" s="321"/>
      <c r="AI1172" s="321"/>
      <c r="AJ1172" s="321"/>
      <c r="BG1172" s="307"/>
      <c r="BH1172" s="307"/>
      <c r="BI1172" s="307"/>
      <c r="BK1172" s="300"/>
    </row>
    <row r="1173" spans="2:63" s="298" customFormat="1" hidden="1" x14ac:dyDescent="0.25">
      <c r="B1173" s="321"/>
      <c r="F1173" s="322"/>
      <c r="M1173" s="323"/>
      <c r="U1173" s="324"/>
      <c r="X1173" s="321"/>
      <c r="Y1173" s="325"/>
      <c r="Z1173" s="325"/>
      <c r="AA1173" s="326"/>
      <c r="AB1173" s="326"/>
      <c r="AC1173" s="321"/>
      <c r="AD1173" s="321"/>
      <c r="AE1173" s="321"/>
      <c r="AF1173" s="321"/>
      <c r="AG1173" s="321"/>
      <c r="AH1173" s="321"/>
      <c r="AI1173" s="321"/>
      <c r="AJ1173" s="321"/>
      <c r="BG1173" s="307"/>
      <c r="BH1173" s="307"/>
      <c r="BI1173" s="307"/>
      <c r="BK1173" s="300"/>
    </row>
    <row r="1174" spans="2:63" s="298" customFormat="1" hidden="1" x14ac:dyDescent="0.25">
      <c r="B1174" s="321"/>
      <c r="F1174" s="322"/>
      <c r="M1174" s="323"/>
      <c r="U1174" s="324"/>
      <c r="X1174" s="321"/>
      <c r="Y1174" s="325"/>
      <c r="Z1174" s="325"/>
      <c r="AA1174" s="326"/>
      <c r="AB1174" s="326"/>
      <c r="AC1174" s="321"/>
      <c r="AD1174" s="321"/>
      <c r="AE1174" s="321"/>
      <c r="AF1174" s="321"/>
      <c r="AG1174" s="321"/>
      <c r="AH1174" s="321"/>
      <c r="AI1174" s="321"/>
      <c r="AJ1174" s="321"/>
      <c r="BG1174" s="307"/>
      <c r="BH1174" s="307"/>
      <c r="BI1174" s="307"/>
      <c r="BK1174" s="300"/>
    </row>
    <row r="1175" spans="2:63" s="298" customFormat="1" hidden="1" x14ac:dyDescent="0.25">
      <c r="B1175" s="321"/>
      <c r="F1175" s="322"/>
      <c r="M1175" s="323"/>
      <c r="U1175" s="324"/>
      <c r="X1175" s="321"/>
      <c r="Y1175" s="325"/>
      <c r="Z1175" s="325"/>
      <c r="AA1175" s="326"/>
      <c r="AB1175" s="326"/>
      <c r="AC1175" s="321"/>
      <c r="AD1175" s="321"/>
      <c r="AE1175" s="321"/>
      <c r="AF1175" s="321"/>
      <c r="AG1175" s="321"/>
      <c r="AH1175" s="321"/>
      <c r="AI1175" s="321"/>
      <c r="AJ1175" s="321"/>
      <c r="BG1175" s="307"/>
      <c r="BH1175" s="307"/>
      <c r="BI1175" s="307"/>
      <c r="BK1175" s="300"/>
    </row>
    <row r="1176" spans="2:63" s="298" customFormat="1" hidden="1" x14ac:dyDescent="0.25">
      <c r="B1176" s="321"/>
      <c r="F1176" s="322"/>
      <c r="M1176" s="323"/>
      <c r="U1176" s="324"/>
      <c r="X1176" s="321"/>
      <c r="Y1176" s="325"/>
      <c r="Z1176" s="325"/>
      <c r="AA1176" s="326"/>
      <c r="AB1176" s="326"/>
      <c r="AC1176" s="321"/>
      <c r="AD1176" s="321"/>
      <c r="AE1176" s="321"/>
      <c r="AF1176" s="321"/>
      <c r="AG1176" s="321"/>
      <c r="AH1176" s="321"/>
      <c r="AI1176" s="321"/>
      <c r="AJ1176" s="321"/>
      <c r="BG1176" s="307"/>
      <c r="BH1176" s="307"/>
      <c r="BI1176" s="307"/>
      <c r="BK1176" s="300"/>
    </row>
    <row r="1177" spans="2:63" s="298" customFormat="1" hidden="1" x14ac:dyDescent="0.25">
      <c r="B1177" s="321"/>
      <c r="F1177" s="322"/>
      <c r="M1177" s="323"/>
      <c r="U1177" s="324"/>
      <c r="X1177" s="321"/>
      <c r="Y1177" s="325"/>
      <c r="Z1177" s="325"/>
      <c r="AA1177" s="326"/>
      <c r="AB1177" s="326"/>
      <c r="AC1177" s="321"/>
      <c r="AD1177" s="321"/>
      <c r="AE1177" s="321"/>
      <c r="AF1177" s="321"/>
      <c r="AG1177" s="321"/>
      <c r="AH1177" s="321"/>
      <c r="AI1177" s="321"/>
      <c r="AJ1177" s="321"/>
      <c r="BG1177" s="307"/>
      <c r="BH1177" s="307"/>
      <c r="BI1177" s="307"/>
      <c r="BK1177" s="300"/>
    </row>
    <row r="1178" spans="2:63" s="298" customFormat="1" hidden="1" x14ac:dyDescent="0.25">
      <c r="B1178" s="321"/>
      <c r="F1178" s="322"/>
      <c r="M1178" s="323"/>
      <c r="U1178" s="324"/>
      <c r="X1178" s="321"/>
      <c r="Y1178" s="325"/>
      <c r="Z1178" s="325"/>
      <c r="AA1178" s="326"/>
      <c r="AB1178" s="326"/>
      <c r="AC1178" s="321"/>
      <c r="AD1178" s="321"/>
      <c r="AE1178" s="321"/>
      <c r="AF1178" s="321"/>
      <c r="AG1178" s="321"/>
      <c r="AH1178" s="321"/>
      <c r="AI1178" s="321"/>
      <c r="AJ1178" s="321"/>
      <c r="BG1178" s="307"/>
      <c r="BH1178" s="307"/>
      <c r="BI1178" s="307"/>
      <c r="BK1178" s="300"/>
    </row>
    <row r="1179" spans="2:63" s="298" customFormat="1" hidden="1" x14ac:dyDescent="0.25">
      <c r="B1179" s="321"/>
      <c r="F1179" s="322"/>
      <c r="M1179" s="323"/>
      <c r="U1179" s="324"/>
      <c r="X1179" s="321"/>
      <c r="Y1179" s="325"/>
      <c r="Z1179" s="325"/>
      <c r="AA1179" s="326"/>
      <c r="AB1179" s="326"/>
      <c r="AC1179" s="321"/>
      <c r="AD1179" s="321"/>
      <c r="AE1179" s="321"/>
      <c r="AF1179" s="321"/>
      <c r="AG1179" s="321"/>
      <c r="AH1179" s="321"/>
      <c r="AI1179" s="321"/>
      <c r="AJ1179" s="321"/>
      <c r="BG1179" s="307"/>
      <c r="BH1179" s="307"/>
      <c r="BI1179" s="307"/>
      <c r="BK1179" s="300"/>
    </row>
    <row r="1180" spans="2:63" s="298" customFormat="1" hidden="1" x14ac:dyDescent="0.25">
      <c r="B1180" s="321"/>
      <c r="F1180" s="322"/>
      <c r="M1180" s="323"/>
      <c r="U1180" s="324"/>
      <c r="X1180" s="321"/>
      <c r="Y1180" s="325"/>
      <c r="Z1180" s="325"/>
      <c r="AA1180" s="326"/>
      <c r="AB1180" s="326"/>
      <c r="AC1180" s="321"/>
      <c r="AD1180" s="321"/>
      <c r="AE1180" s="321"/>
      <c r="AF1180" s="321"/>
      <c r="AG1180" s="321"/>
      <c r="AH1180" s="321"/>
      <c r="AI1180" s="321"/>
      <c r="AJ1180" s="321"/>
      <c r="BG1180" s="307"/>
      <c r="BH1180" s="307"/>
      <c r="BI1180" s="307"/>
      <c r="BK1180" s="300"/>
    </row>
    <row r="1181" spans="2:63" s="298" customFormat="1" hidden="1" x14ac:dyDescent="0.25">
      <c r="B1181" s="321"/>
      <c r="F1181" s="322"/>
      <c r="M1181" s="323"/>
      <c r="U1181" s="324"/>
      <c r="X1181" s="321"/>
      <c r="Y1181" s="325"/>
      <c r="Z1181" s="325"/>
      <c r="AA1181" s="326"/>
      <c r="AB1181" s="326"/>
      <c r="AC1181" s="321"/>
      <c r="AD1181" s="321"/>
      <c r="AE1181" s="321"/>
      <c r="AF1181" s="321"/>
      <c r="AG1181" s="321"/>
      <c r="AH1181" s="321"/>
      <c r="AI1181" s="321"/>
      <c r="AJ1181" s="321"/>
      <c r="BG1181" s="307"/>
      <c r="BH1181" s="307"/>
      <c r="BI1181" s="307"/>
      <c r="BK1181" s="300"/>
    </row>
    <row r="1182" spans="2:63" s="298" customFormat="1" hidden="1" x14ac:dyDescent="0.25">
      <c r="B1182" s="321"/>
      <c r="F1182" s="322"/>
      <c r="M1182" s="323"/>
      <c r="U1182" s="324"/>
      <c r="X1182" s="321"/>
      <c r="Y1182" s="325"/>
      <c r="Z1182" s="325"/>
      <c r="AA1182" s="326"/>
      <c r="AB1182" s="326"/>
      <c r="AC1182" s="321"/>
      <c r="AD1182" s="321"/>
      <c r="AE1182" s="321"/>
      <c r="AF1182" s="321"/>
      <c r="AG1182" s="321"/>
      <c r="AH1182" s="321"/>
      <c r="AI1182" s="321"/>
      <c r="AJ1182" s="321"/>
      <c r="BG1182" s="307"/>
      <c r="BH1182" s="307"/>
      <c r="BI1182" s="307"/>
      <c r="BK1182" s="300"/>
    </row>
    <row r="1183" spans="2:63" s="298" customFormat="1" hidden="1" x14ac:dyDescent="0.25">
      <c r="B1183" s="321"/>
      <c r="F1183" s="322"/>
      <c r="M1183" s="323"/>
      <c r="U1183" s="324"/>
      <c r="X1183" s="321"/>
      <c r="Y1183" s="325"/>
      <c r="Z1183" s="325"/>
      <c r="AA1183" s="326"/>
      <c r="AB1183" s="326"/>
      <c r="AC1183" s="321"/>
      <c r="AD1183" s="321"/>
      <c r="AE1183" s="321"/>
      <c r="AF1183" s="321"/>
      <c r="AG1183" s="321"/>
      <c r="AH1183" s="321"/>
      <c r="AI1183" s="321"/>
      <c r="AJ1183" s="321"/>
      <c r="BG1183" s="307"/>
      <c r="BH1183" s="307"/>
      <c r="BI1183" s="307"/>
      <c r="BK1183" s="300"/>
    </row>
    <row r="1184" spans="2:63" s="298" customFormat="1" hidden="1" x14ac:dyDescent="0.25">
      <c r="B1184" s="321"/>
      <c r="F1184" s="322"/>
      <c r="M1184" s="323"/>
      <c r="U1184" s="324"/>
      <c r="X1184" s="321"/>
      <c r="Y1184" s="325"/>
      <c r="Z1184" s="325"/>
      <c r="AA1184" s="326"/>
      <c r="AB1184" s="326"/>
      <c r="AC1184" s="321"/>
      <c r="AD1184" s="321"/>
      <c r="AE1184" s="321"/>
      <c r="AF1184" s="321"/>
      <c r="AG1184" s="321"/>
      <c r="AH1184" s="321"/>
      <c r="AI1184" s="321"/>
      <c r="AJ1184" s="321"/>
      <c r="BG1184" s="307"/>
      <c r="BH1184" s="307"/>
      <c r="BI1184" s="307"/>
      <c r="BK1184" s="300"/>
    </row>
    <row r="1185" spans="2:63" s="298" customFormat="1" hidden="1" x14ac:dyDescent="0.25">
      <c r="B1185" s="321"/>
      <c r="F1185" s="322"/>
      <c r="M1185" s="323"/>
      <c r="U1185" s="324"/>
      <c r="X1185" s="321"/>
      <c r="Y1185" s="325"/>
      <c r="Z1185" s="325"/>
      <c r="AA1185" s="326"/>
      <c r="AB1185" s="326"/>
      <c r="AC1185" s="321"/>
      <c r="AD1185" s="321"/>
      <c r="AE1185" s="321"/>
      <c r="AF1185" s="321"/>
      <c r="AG1185" s="321"/>
      <c r="AH1185" s="321"/>
      <c r="AI1185" s="321"/>
      <c r="AJ1185" s="321"/>
      <c r="BG1185" s="307"/>
      <c r="BH1185" s="307"/>
      <c r="BI1185" s="307"/>
      <c r="BK1185" s="300"/>
    </row>
    <row r="1186" spans="2:63" s="298" customFormat="1" hidden="1" x14ac:dyDescent="0.25">
      <c r="B1186" s="321"/>
      <c r="F1186" s="322"/>
      <c r="M1186" s="323"/>
      <c r="U1186" s="324"/>
      <c r="X1186" s="321"/>
      <c r="Y1186" s="325"/>
      <c r="Z1186" s="325"/>
      <c r="AA1186" s="326"/>
      <c r="AB1186" s="326"/>
      <c r="AC1186" s="321"/>
      <c r="AD1186" s="321"/>
      <c r="AE1186" s="321"/>
      <c r="AF1186" s="321"/>
      <c r="AG1186" s="321"/>
      <c r="AH1186" s="321"/>
      <c r="AI1186" s="321"/>
      <c r="AJ1186" s="321"/>
      <c r="BG1186" s="307"/>
      <c r="BH1186" s="307"/>
      <c r="BI1186" s="307"/>
      <c r="BK1186" s="300"/>
    </row>
    <row r="1187" spans="2:63" s="298" customFormat="1" hidden="1" x14ac:dyDescent="0.25">
      <c r="B1187" s="321"/>
      <c r="F1187" s="322"/>
      <c r="M1187" s="323"/>
      <c r="U1187" s="324"/>
      <c r="X1187" s="321"/>
      <c r="Y1187" s="325"/>
      <c r="Z1187" s="325"/>
      <c r="AA1187" s="326"/>
      <c r="AB1187" s="326"/>
      <c r="AC1187" s="321"/>
      <c r="AD1187" s="321"/>
      <c r="AE1187" s="321"/>
      <c r="AF1187" s="321"/>
      <c r="AG1187" s="321"/>
      <c r="AH1187" s="321"/>
      <c r="AI1187" s="321"/>
      <c r="AJ1187" s="321"/>
      <c r="BG1187" s="307"/>
      <c r="BH1187" s="307"/>
      <c r="BI1187" s="307"/>
      <c r="BK1187" s="300"/>
    </row>
    <row r="1188" spans="2:63" s="298" customFormat="1" hidden="1" x14ac:dyDescent="0.25">
      <c r="B1188" s="321"/>
      <c r="F1188" s="322"/>
      <c r="M1188" s="323"/>
      <c r="U1188" s="324"/>
      <c r="X1188" s="321"/>
      <c r="Y1188" s="325"/>
      <c r="Z1188" s="325"/>
      <c r="AA1188" s="326"/>
      <c r="AB1188" s="326"/>
      <c r="AC1188" s="321"/>
      <c r="AD1188" s="321"/>
      <c r="AE1188" s="321"/>
      <c r="AF1188" s="321"/>
      <c r="AG1188" s="321"/>
      <c r="AH1188" s="321"/>
      <c r="AI1188" s="321"/>
      <c r="AJ1188" s="321"/>
      <c r="BG1188" s="307"/>
      <c r="BH1188" s="307"/>
      <c r="BI1188" s="307"/>
      <c r="BK1188" s="300"/>
    </row>
    <row r="1189" spans="2:63" s="298" customFormat="1" hidden="1" x14ac:dyDescent="0.25">
      <c r="B1189" s="321"/>
      <c r="F1189" s="322"/>
      <c r="M1189" s="323"/>
      <c r="U1189" s="324"/>
      <c r="X1189" s="321"/>
      <c r="Y1189" s="325"/>
      <c r="Z1189" s="325"/>
      <c r="AA1189" s="326"/>
      <c r="AB1189" s="326"/>
      <c r="AC1189" s="321"/>
      <c r="AD1189" s="321"/>
      <c r="AE1189" s="321"/>
      <c r="AF1189" s="321"/>
      <c r="AG1189" s="321"/>
      <c r="AH1189" s="321"/>
      <c r="AI1189" s="321"/>
      <c r="AJ1189" s="321"/>
      <c r="BG1189" s="307"/>
      <c r="BH1189" s="307"/>
      <c r="BI1189" s="307"/>
      <c r="BK1189" s="300"/>
    </row>
    <row r="1190" spans="2:63" s="298" customFormat="1" hidden="1" x14ac:dyDescent="0.25">
      <c r="B1190" s="321"/>
      <c r="F1190" s="322"/>
      <c r="M1190" s="323"/>
      <c r="U1190" s="324"/>
      <c r="X1190" s="321"/>
      <c r="Y1190" s="325"/>
      <c r="Z1190" s="325"/>
      <c r="AA1190" s="326"/>
      <c r="AB1190" s="326"/>
      <c r="AC1190" s="321"/>
      <c r="AD1190" s="321"/>
      <c r="AE1190" s="321"/>
      <c r="AF1190" s="321"/>
      <c r="AG1190" s="321"/>
      <c r="AH1190" s="321"/>
      <c r="AI1190" s="321"/>
      <c r="AJ1190" s="321"/>
      <c r="BG1190" s="307"/>
      <c r="BH1190" s="307"/>
      <c r="BI1190" s="307"/>
      <c r="BK1190" s="300"/>
    </row>
    <row r="1191" spans="2:63" s="298" customFormat="1" hidden="1" x14ac:dyDescent="0.25">
      <c r="B1191" s="321"/>
      <c r="F1191" s="322"/>
      <c r="M1191" s="323"/>
      <c r="U1191" s="324"/>
      <c r="X1191" s="321"/>
      <c r="Y1191" s="325"/>
      <c r="Z1191" s="325"/>
      <c r="AA1191" s="326"/>
      <c r="AB1191" s="326"/>
      <c r="AC1191" s="321"/>
      <c r="AD1191" s="321"/>
      <c r="AE1191" s="321"/>
      <c r="AF1191" s="321"/>
      <c r="AG1191" s="321"/>
      <c r="AH1191" s="321"/>
      <c r="AI1191" s="321"/>
      <c r="AJ1191" s="321"/>
      <c r="BG1191" s="307"/>
      <c r="BH1191" s="307"/>
      <c r="BI1191" s="307"/>
      <c r="BK1191" s="300"/>
    </row>
    <row r="1192" spans="2:63" s="298" customFormat="1" hidden="1" x14ac:dyDescent="0.25">
      <c r="B1192" s="321"/>
      <c r="F1192" s="322"/>
      <c r="M1192" s="323"/>
      <c r="U1192" s="324"/>
      <c r="X1192" s="321"/>
      <c r="Y1192" s="325"/>
      <c r="Z1192" s="325"/>
      <c r="AA1192" s="326"/>
      <c r="AB1192" s="326"/>
      <c r="AC1192" s="321"/>
      <c r="AD1192" s="321"/>
      <c r="AE1192" s="321"/>
      <c r="AF1192" s="321"/>
      <c r="AG1192" s="321"/>
      <c r="AH1192" s="321"/>
      <c r="AI1192" s="321"/>
      <c r="AJ1192" s="321"/>
      <c r="BG1192" s="307"/>
      <c r="BH1192" s="307"/>
      <c r="BI1192" s="307"/>
      <c r="BK1192" s="300"/>
    </row>
    <row r="1193" spans="2:63" s="298" customFormat="1" hidden="1" x14ac:dyDescent="0.25">
      <c r="B1193" s="321"/>
      <c r="F1193" s="322"/>
      <c r="M1193" s="323"/>
      <c r="U1193" s="324"/>
      <c r="X1193" s="321"/>
      <c r="Y1193" s="325"/>
      <c r="Z1193" s="325"/>
      <c r="AA1193" s="326"/>
      <c r="AB1193" s="326"/>
      <c r="AC1193" s="321"/>
      <c r="AD1193" s="321"/>
      <c r="AE1193" s="321"/>
      <c r="AF1193" s="321"/>
      <c r="AG1193" s="321"/>
      <c r="AH1193" s="321"/>
      <c r="AI1193" s="321"/>
      <c r="AJ1193" s="321"/>
      <c r="BG1193" s="307"/>
      <c r="BH1193" s="307"/>
      <c r="BI1193" s="307"/>
      <c r="BK1193" s="300"/>
    </row>
    <row r="1194" spans="2:63" s="298" customFormat="1" hidden="1" x14ac:dyDescent="0.25">
      <c r="B1194" s="321"/>
      <c r="F1194" s="322"/>
      <c r="M1194" s="323"/>
      <c r="U1194" s="324"/>
      <c r="X1194" s="321"/>
      <c r="Y1194" s="325"/>
      <c r="Z1194" s="325"/>
      <c r="AA1194" s="326"/>
      <c r="AB1194" s="326"/>
      <c r="AC1194" s="321"/>
      <c r="AD1194" s="321"/>
      <c r="AE1194" s="321"/>
      <c r="AF1194" s="321"/>
      <c r="AG1194" s="321"/>
      <c r="AH1194" s="321"/>
      <c r="AI1194" s="321"/>
      <c r="AJ1194" s="321"/>
      <c r="BG1194" s="307"/>
      <c r="BH1194" s="307"/>
      <c r="BI1194" s="307"/>
      <c r="BK1194" s="300"/>
    </row>
    <row r="1195" spans="2:63" s="298" customFormat="1" hidden="1" x14ac:dyDescent="0.25">
      <c r="B1195" s="321"/>
      <c r="F1195" s="322"/>
      <c r="M1195" s="323"/>
      <c r="U1195" s="324"/>
      <c r="X1195" s="321"/>
      <c r="Y1195" s="325"/>
      <c r="Z1195" s="325"/>
      <c r="AA1195" s="326"/>
      <c r="AB1195" s="326"/>
      <c r="AC1195" s="321"/>
      <c r="AD1195" s="321"/>
      <c r="AE1195" s="321"/>
      <c r="AF1195" s="321"/>
      <c r="AG1195" s="321"/>
      <c r="AH1195" s="321"/>
      <c r="AI1195" s="321"/>
      <c r="AJ1195" s="321"/>
      <c r="BG1195" s="307"/>
      <c r="BH1195" s="307"/>
      <c r="BI1195" s="307"/>
      <c r="BK1195" s="300"/>
    </row>
    <row r="1196" spans="2:63" s="298" customFormat="1" hidden="1" x14ac:dyDescent="0.25">
      <c r="B1196" s="321"/>
      <c r="F1196" s="322"/>
      <c r="M1196" s="323"/>
      <c r="U1196" s="324"/>
      <c r="X1196" s="321"/>
      <c r="Y1196" s="325"/>
      <c r="Z1196" s="325"/>
      <c r="AA1196" s="326"/>
      <c r="AB1196" s="326"/>
      <c r="AC1196" s="321"/>
      <c r="AD1196" s="321"/>
      <c r="AE1196" s="321"/>
      <c r="AF1196" s="321"/>
      <c r="AG1196" s="321"/>
      <c r="AH1196" s="321"/>
      <c r="AI1196" s="321"/>
      <c r="AJ1196" s="321"/>
      <c r="BG1196" s="307"/>
      <c r="BH1196" s="307"/>
      <c r="BI1196" s="307"/>
      <c r="BK1196" s="300"/>
    </row>
    <row r="1197" spans="2:63" s="298" customFormat="1" hidden="1" x14ac:dyDescent="0.25">
      <c r="B1197" s="321"/>
      <c r="F1197" s="322"/>
      <c r="M1197" s="323"/>
      <c r="U1197" s="324"/>
      <c r="X1197" s="321"/>
      <c r="Y1197" s="325"/>
      <c r="Z1197" s="325"/>
      <c r="AA1197" s="326"/>
      <c r="AB1197" s="326"/>
      <c r="AC1197" s="321"/>
      <c r="AD1197" s="321"/>
      <c r="AE1197" s="321"/>
      <c r="AF1197" s="321"/>
      <c r="AG1197" s="321"/>
      <c r="AH1197" s="321"/>
      <c r="AI1197" s="321"/>
      <c r="AJ1197" s="321"/>
      <c r="BG1197" s="307"/>
      <c r="BH1197" s="307"/>
      <c r="BI1197" s="307"/>
      <c r="BK1197" s="300"/>
    </row>
    <row r="1198" spans="2:63" s="298" customFormat="1" hidden="1" x14ac:dyDescent="0.25">
      <c r="B1198" s="321"/>
      <c r="F1198" s="322"/>
      <c r="M1198" s="323"/>
      <c r="U1198" s="324"/>
      <c r="X1198" s="321"/>
      <c r="Y1198" s="325"/>
      <c r="Z1198" s="325"/>
      <c r="AA1198" s="326"/>
      <c r="AB1198" s="326"/>
      <c r="AC1198" s="321"/>
      <c r="AD1198" s="321"/>
      <c r="AE1198" s="321"/>
      <c r="AF1198" s="321"/>
      <c r="AG1198" s="321"/>
      <c r="AH1198" s="321"/>
      <c r="AI1198" s="321"/>
      <c r="AJ1198" s="321"/>
      <c r="BG1198" s="307"/>
      <c r="BH1198" s="307"/>
      <c r="BI1198" s="307"/>
      <c r="BK1198" s="300"/>
    </row>
    <row r="1199" spans="2:63" s="298" customFormat="1" hidden="1" x14ac:dyDescent="0.25">
      <c r="B1199" s="321"/>
      <c r="F1199" s="322"/>
      <c r="M1199" s="323"/>
      <c r="U1199" s="324"/>
      <c r="X1199" s="321"/>
      <c r="Y1199" s="325"/>
      <c r="Z1199" s="325"/>
      <c r="AA1199" s="326"/>
      <c r="AB1199" s="326"/>
      <c r="AC1199" s="321"/>
      <c r="AD1199" s="321"/>
      <c r="AE1199" s="321"/>
      <c r="AF1199" s="321"/>
      <c r="AG1199" s="321"/>
      <c r="AH1199" s="321"/>
      <c r="AI1199" s="321"/>
      <c r="AJ1199" s="321"/>
      <c r="BG1199" s="307"/>
      <c r="BH1199" s="307"/>
      <c r="BI1199" s="307"/>
      <c r="BK1199" s="300"/>
    </row>
    <row r="1200" spans="2:63" s="298" customFormat="1" hidden="1" x14ac:dyDescent="0.25">
      <c r="B1200" s="321"/>
      <c r="F1200" s="322"/>
      <c r="M1200" s="323"/>
      <c r="U1200" s="324"/>
      <c r="X1200" s="321"/>
      <c r="Y1200" s="325"/>
      <c r="Z1200" s="325"/>
      <c r="AA1200" s="326"/>
      <c r="AB1200" s="326"/>
      <c r="AC1200" s="321"/>
      <c r="AD1200" s="321"/>
      <c r="AE1200" s="321"/>
      <c r="AF1200" s="321"/>
      <c r="AG1200" s="321"/>
      <c r="AH1200" s="321"/>
      <c r="AI1200" s="321"/>
      <c r="AJ1200" s="321"/>
      <c r="BG1200" s="307"/>
      <c r="BH1200" s="307"/>
      <c r="BI1200" s="307"/>
      <c r="BK1200" s="300"/>
    </row>
    <row r="1201" spans="2:63" s="298" customFormat="1" hidden="1" x14ac:dyDescent="0.25">
      <c r="B1201" s="321"/>
      <c r="F1201" s="322"/>
      <c r="M1201" s="323"/>
      <c r="U1201" s="324"/>
      <c r="X1201" s="321"/>
      <c r="Y1201" s="325"/>
      <c r="Z1201" s="325"/>
      <c r="AA1201" s="326"/>
      <c r="AB1201" s="326"/>
      <c r="AC1201" s="321"/>
      <c r="AD1201" s="321"/>
      <c r="AE1201" s="321"/>
      <c r="AF1201" s="321"/>
      <c r="AG1201" s="321"/>
      <c r="AH1201" s="321"/>
      <c r="AI1201" s="321"/>
      <c r="AJ1201" s="321"/>
      <c r="BG1201" s="307"/>
      <c r="BH1201" s="307"/>
      <c r="BI1201" s="307"/>
      <c r="BK1201" s="300"/>
    </row>
    <row r="1202" spans="2:63" s="298" customFormat="1" hidden="1" x14ac:dyDescent="0.25">
      <c r="B1202" s="321"/>
      <c r="F1202" s="322"/>
      <c r="M1202" s="323"/>
      <c r="U1202" s="324"/>
      <c r="X1202" s="321"/>
      <c r="Y1202" s="325"/>
      <c r="Z1202" s="325"/>
      <c r="AA1202" s="326"/>
      <c r="AB1202" s="326"/>
      <c r="AC1202" s="321"/>
      <c r="AD1202" s="321"/>
      <c r="AE1202" s="321"/>
      <c r="AF1202" s="321"/>
      <c r="AG1202" s="321"/>
      <c r="AH1202" s="321"/>
      <c r="AI1202" s="321"/>
      <c r="AJ1202" s="321"/>
      <c r="BG1202" s="307"/>
      <c r="BH1202" s="307"/>
      <c r="BI1202" s="307"/>
      <c r="BK1202" s="300"/>
    </row>
    <row r="1203" spans="2:63" s="298" customFormat="1" hidden="1" x14ac:dyDescent="0.25">
      <c r="B1203" s="321"/>
      <c r="F1203" s="322"/>
      <c r="M1203" s="323"/>
      <c r="U1203" s="324"/>
      <c r="X1203" s="321"/>
      <c r="Y1203" s="325"/>
      <c r="Z1203" s="325"/>
      <c r="AA1203" s="326"/>
      <c r="AB1203" s="326"/>
      <c r="AC1203" s="321"/>
      <c r="AD1203" s="321"/>
      <c r="AE1203" s="321"/>
      <c r="AF1203" s="321"/>
      <c r="AG1203" s="321"/>
      <c r="AH1203" s="321"/>
      <c r="AI1203" s="321"/>
      <c r="AJ1203" s="321"/>
      <c r="BG1203" s="307"/>
      <c r="BH1203" s="307"/>
      <c r="BI1203" s="307"/>
      <c r="BK1203" s="300"/>
    </row>
    <row r="1204" spans="2:63" s="298" customFormat="1" hidden="1" x14ac:dyDescent="0.25">
      <c r="B1204" s="321"/>
      <c r="F1204" s="322"/>
      <c r="M1204" s="323"/>
      <c r="U1204" s="324"/>
      <c r="X1204" s="321"/>
      <c r="Y1204" s="325"/>
      <c r="Z1204" s="325"/>
      <c r="AA1204" s="326"/>
      <c r="AB1204" s="326"/>
      <c r="AC1204" s="321"/>
      <c r="AD1204" s="321"/>
      <c r="AE1204" s="321"/>
      <c r="AF1204" s="321"/>
      <c r="AG1204" s="321"/>
      <c r="AH1204" s="321"/>
      <c r="AI1204" s="321"/>
      <c r="AJ1204" s="321"/>
      <c r="BG1204" s="307"/>
      <c r="BH1204" s="307"/>
      <c r="BI1204" s="307"/>
      <c r="BK1204" s="300"/>
    </row>
    <row r="1205" spans="2:63" s="298" customFormat="1" hidden="1" x14ac:dyDescent="0.25">
      <c r="B1205" s="321"/>
      <c r="F1205" s="322"/>
      <c r="M1205" s="323"/>
      <c r="U1205" s="324"/>
      <c r="X1205" s="321"/>
      <c r="Y1205" s="325"/>
      <c r="Z1205" s="325"/>
      <c r="AA1205" s="326"/>
      <c r="AB1205" s="326"/>
      <c r="AC1205" s="321"/>
      <c r="AD1205" s="321"/>
      <c r="AE1205" s="321"/>
      <c r="AF1205" s="321"/>
      <c r="AG1205" s="321"/>
      <c r="AH1205" s="321"/>
      <c r="AI1205" s="321"/>
      <c r="AJ1205" s="321"/>
      <c r="BG1205" s="307"/>
      <c r="BH1205" s="307"/>
      <c r="BI1205" s="307"/>
      <c r="BK1205" s="300"/>
    </row>
    <row r="1206" spans="2:63" s="298" customFormat="1" hidden="1" x14ac:dyDescent="0.25">
      <c r="B1206" s="321"/>
      <c r="F1206" s="322"/>
      <c r="M1206" s="323"/>
      <c r="U1206" s="324"/>
      <c r="X1206" s="321"/>
      <c r="Y1206" s="325"/>
      <c r="Z1206" s="325"/>
      <c r="AA1206" s="326"/>
      <c r="AB1206" s="326"/>
      <c r="AC1206" s="321"/>
      <c r="AD1206" s="321"/>
      <c r="AE1206" s="321"/>
      <c r="AF1206" s="321"/>
      <c r="AG1206" s="321"/>
      <c r="AH1206" s="321"/>
      <c r="AI1206" s="321"/>
      <c r="AJ1206" s="321"/>
      <c r="BG1206" s="307"/>
      <c r="BH1206" s="307"/>
      <c r="BI1206" s="307"/>
      <c r="BK1206" s="300"/>
    </row>
    <row r="1207" spans="2:63" s="298" customFormat="1" hidden="1" x14ac:dyDescent="0.25">
      <c r="B1207" s="321"/>
      <c r="F1207" s="322"/>
      <c r="M1207" s="323"/>
      <c r="U1207" s="324"/>
      <c r="X1207" s="321"/>
      <c r="Y1207" s="325"/>
      <c r="Z1207" s="325"/>
      <c r="AA1207" s="326"/>
      <c r="AB1207" s="326"/>
      <c r="AC1207" s="321"/>
      <c r="AD1207" s="321"/>
      <c r="AE1207" s="321"/>
      <c r="AF1207" s="321"/>
      <c r="AG1207" s="321"/>
      <c r="AH1207" s="321"/>
      <c r="AI1207" s="321"/>
      <c r="AJ1207" s="321"/>
      <c r="BG1207" s="307"/>
      <c r="BH1207" s="307"/>
      <c r="BI1207" s="307"/>
      <c r="BK1207" s="300"/>
    </row>
    <row r="1208" spans="2:63" s="298" customFormat="1" hidden="1" x14ac:dyDescent="0.25">
      <c r="B1208" s="321"/>
      <c r="F1208" s="322"/>
      <c r="M1208" s="323"/>
      <c r="U1208" s="324"/>
      <c r="X1208" s="321"/>
      <c r="Y1208" s="325"/>
      <c r="Z1208" s="325"/>
      <c r="AA1208" s="326"/>
      <c r="AB1208" s="326"/>
      <c r="AC1208" s="321"/>
      <c r="AD1208" s="321"/>
      <c r="AE1208" s="321"/>
      <c r="AF1208" s="321"/>
      <c r="AG1208" s="321"/>
      <c r="AH1208" s="321"/>
      <c r="AI1208" s="321"/>
      <c r="AJ1208" s="321"/>
      <c r="BG1208" s="307"/>
      <c r="BH1208" s="307"/>
      <c r="BI1208" s="307"/>
      <c r="BK1208" s="300"/>
    </row>
    <row r="1209" spans="2:63" s="298" customFormat="1" hidden="1" x14ac:dyDescent="0.25">
      <c r="B1209" s="321"/>
      <c r="F1209" s="322"/>
      <c r="M1209" s="323"/>
      <c r="U1209" s="324"/>
      <c r="X1209" s="321"/>
      <c r="Y1209" s="325"/>
      <c r="Z1209" s="325"/>
      <c r="AA1209" s="326"/>
      <c r="AB1209" s="326"/>
      <c r="AC1209" s="321"/>
      <c r="AD1209" s="321"/>
      <c r="AE1209" s="321"/>
      <c r="AF1209" s="321"/>
      <c r="AG1209" s="321"/>
      <c r="AH1209" s="321"/>
      <c r="AI1209" s="321"/>
      <c r="AJ1209" s="321"/>
      <c r="BG1209" s="307"/>
      <c r="BH1209" s="307"/>
      <c r="BI1209" s="307"/>
      <c r="BK1209" s="300"/>
    </row>
    <row r="1210" spans="2:63" s="298" customFormat="1" hidden="1" x14ac:dyDescent="0.25">
      <c r="B1210" s="321"/>
      <c r="F1210" s="322"/>
      <c r="M1210" s="323"/>
      <c r="U1210" s="324"/>
      <c r="X1210" s="321"/>
      <c r="Y1210" s="325"/>
      <c r="Z1210" s="325"/>
      <c r="AA1210" s="326"/>
      <c r="AB1210" s="326"/>
      <c r="AC1210" s="321"/>
      <c r="AD1210" s="321"/>
      <c r="AE1210" s="321"/>
      <c r="AF1210" s="321"/>
      <c r="AG1210" s="321"/>
      <c r="AH1210" s="321"/>
      <c r="AI1210" s="321"/>
      <c r="AJ1210" s="321"/>
      <c r="BG1210" s="307"/>
      <c r="BH1210" s="307"/>
      <c r="BI1210" s="307"/>
      <c r="BK1210" s="300"/>
    </row>
    <row r="1211" spans="2:63" s="298" customFormat="1" hidden="1" x14ac:dyDescent="0.25">
      <c r="B1211" s="321"/>
      <c r="F1211" s="322"/>
      <c r="M1211" s="323"/>
      <c r="U1211" s="324"/>
      <c r="X1211" s="321"/>
      <c r="Y1211" s="325"/>
      <c r="Z1211" s="325"/>
      <c r="AA1211" s="326"/>
      <c r="AB1211" s="326"/>
      <c r="AC1211" s="321"/>
      <c r="AD1211" s="321"/>
      <c r="AE1211" s="321"/>
      <c r="AF1211" s="321"/>
      <c r="AG1211" s="321"/>
      <c r="AH1211" s="321"/>
      <c r="AI1211" s="321"/>
      <c r="AJ1211" s="321"/>
      <c r="BG1211" s="307"/>
      <c r="BH1211" s="307"/>
      <c r="BI1211" s="307"/>
      <c r="BK1211" s="300"/>
    </row>
    <row r="1212" spans="2:63" s="298" customFormat="1" hidden="1" x14ac:dyDescent="0.25">
      <c r="B1212" s="321"/>
      <c r="F1212" s="322"/>
      <c r="M1212" s="323"/>
      <c r="U1212" s="324"/>
      <c r="X1212" s="321"/>
      <c r="Y1212" s="325"/>
      <c r="Z1212" s="325"/>
      <c r="AA1212" s="326"/>
      <c r="AB1212" s="326"/>
      <c r="AC1212" s="321"/>
      <c r="AD1212" s="321"/>
      <c r="AE1212" s="321"/>
      <c r="AF1212" s="321"/>
      <c r="AG1212" s="321"/>
      <c r="AH1212" s="321"/>
      <c r="AI1212" s="321"/>
      <c r="AJ1212" s="321"/>
      <c r="BG1212" s="307"/>
      <c r="BH1212" s="307"/>
      <c r="BI1212" s="307"/>
      <c r="BK1212" s="300"/>
    </row>
    <row r="1213" spans="2:63" s="298" customFormat="1" hidden="1" x14ac:dyDescent="0.25">
      <c r="B1213" s="321"/>
      <c r="F1213" s="322"/>
      <c r="M1213" s="323"/>
      <c r="U1213" s="324"/>
      <c r="X1213" s="321"/>
      <c r="Y1213" s="325"/>
      <c r="Z1213" s="325"/>
      <c r="AA1213" s="326"/>
      <c r="AB1213" s="326"/>
      <c r="AC1213" s="321"/>
      <c r="AD1213" s="321"/>
      <c r="AE1213" s="321"/>
      <c r="AF1213" s="321"/>
      <c r="AG1213" s="321"/>
      <c r="AH1213" s="321"/>
      <c r="AI1213" s="321"/>
      <c r="AJ1213" s="321"/>
      <c r="BG1213" s="307"/>
      <c r="BH1213" s="307"/>
      <c r="BI1213" s="307"/>
      <c r="BK1213" s="300"/>
    </row>
    <row r="1214" spans="2:63" s="298" customFormat="1" hidden="1" x14ac:dyDescent="0.25">
      <c r="B1214" s="321"/>
      <c r="F1214" s="322"/>
      <c r="M1214" s="323"/>
      <c r="U1214" s="324"/>
      <c r="X1214" s="321"/>
      <c r="Y1214" s="325"/>
      <c r="Z1214" s="325"/>
      <c r="AA1214" s="326"/>
      <c r="AB1214" s="326"/>
      <c r="AC1214" s="321"/>
      <c r="AD1214" s="321"/>
      <c r="AE1214" s="321"/>
      <c r="AF1214" s="321"/>
      <c r="AG1214" s="321"/>
      <c r="AH1214" s="321"/>
      <c r="AI1214" s="321"/>
      <c r="AJ1214" s="321"/>
      <c r="BG1214" s="307"/>
      <c r="BH1214" s="307"/>
      <c r="BI1214" s="307"/>
      <c r="BK1214" s="300"/>
    </row>
    <row r="1215" spans="2:63" s="298" customFormat="1" hidden="1" x14ac:dyDescent="0.25">
      <c r="B1215" s="321"/>
      <c r="F1215" s="322"/>
      <c r="M1215" s="323"/>
      <c r="U1215" s="324"/>
      <c r="X1215" s="321"/>
      <c r="Y1215" s="325"/>
      <c r="Z1215" s="325"/>
      <c r="AA1215" s="326"/>
      <c r="AB1215" s="326"/>
      <c r="AC1215" s="321"/>
      <c r="AD1215" s="321"/>
      <c r="AE1215" s="321"/>
      <c r="AF1215" s="321"/>
      <c r="AG1215" s="321"/>
      <c r="AH1215" s="321"/>
      <c r="AI1215" s="321"/>
      <c r="AJ1215" s="321"/>
      <c r="BG1215" s="307"/>
      <c r="BH1215" s="307"/>
      <c r="BI1215" s="307"/>
      <c r="BK1215" s="300"/>
    </row>
    <row r="1216" spans="2:63" s="298" customFormat="1" hidden="1" x14ac:dyDescent="0.25">
      <c r="B1216" s="321"/>
      <c r="F1216" s="322"/>
      <c r="M1216" s="323"/>
      <c r="U1216" s="324"/>
      <c r="X1216" s="321"/>
      <c r="Y1216" s="325"/>
      <c r="Z1216" s="325"/>
      <c r="AA1216" s="326"/>
      <c r="AB1216" s="326"/>
      <c r="AC1216" s="321"/>
      <c r="AD1216" s="321"/>
      <c r="AE1216" s="321"/>
      <c r="AF1216" s="321"/>
      <c r="AG1216" s="321"/>
      <c r="AH1216" s="321"/>
      <c r="AI1216" s="321"/>
      <c r="AJ1216" s="321"/>
      <c r="BG1216" s="307"/>
      <c r="BH1216" s="307"/>
      <c r="BI1216" s="307"/>
      <c r="BK1216" s="300"/>
    </row>
    <row r="1217" spans="2:63" s="298" customFormat="1" hidden="1" x14ac:dyDescent="0.25">
      <c r="B1217" s="321"/>
      <c r="F1217" s="322"/>
      <c r="M1217" s="323"/>
      <c r="U1217" s="324"/>
      <c r="X1217" s="321"/>
      <c r="Y1217" s="325"/>
      <c r="Z1217" s="325"/>
      <c r="AA1217" s="326"/>
      <c r="AB1217" s="326"/>
      <c r="AC1217" s="321"/>
      <c r="AD1217" s="321"/>
      <c r="AE1217" s="321"/>
      <c r="AF1217" s="321"/>
      <c r="AG1217" s="321"/>
      <c r="AH1217" s="321"/>
      <c r="AI1217" s="321"/>
      <c r="AJ1217" s="321"/>
      <c r="BG1217" s="307"/>
      <c r="BH1217" s="307"/>
      <c r="BI1217" s="307"/>
      <c r="BK1217" s="300"/>
    </row>
    <row r="1218" spans="2:63" s="298" customFormat="1" hidden="1" x14ac:dyDescent="0.25">
      <c r="B1218" s="321"/>
      <c r="F1218" s="322"/>
      <c r="M1218" s="323"/>
      <c r="U1218" s="324"/>
      <c r="X1218" s="321"/>
      <c r="Y1218" s="325"/>
      <c r="Z1218" s="325"/>
      <c r="AA1218" s="326"/>
      <c r="AB1218" s="326"/>
      <c r="AC1218" s="321"/>
      <c r="AD1218" s="321"/>
      <c r="AE1218" s="321"/>
      <c r="AF1218" s="321"/>
      <c r="AG1218" s="321"/>
      <c r="AH1218" s="321"/>
      <c r="AI1218" s="321"/>
      <c r="AJ1218" s="321"/>
      <c r="BG1218" s="307"/>
      <c r="BH1218" s="307"/>
      <c r="BI1218" s="307"/>
      <c r="BK1218" s="300"/>
    </row>
    <row r="1219" spans="2:63" s="298" customFormat="1" hidden="1" x14ac:dyDescent="0.25">
      <c r="B1219" s="321"/>
      <c r="F1219" s="322"/>
      <c r="M1219" s="323"/>
      <c r="U1219" s="324"/>
      <c r="X1219" s="321"/>
      <c r="Y1219" s="325"/>
      <c r="Z1219" s="325"/>
      <c r="AA1219" s="326"/>
      <c r="AB1219" s="326"/>
      <c r="AC1219" s="321"/>
      <c r="AD1219" s="321"/>
      <c r="AE1219" s="321"/>
      <c r="AF1219" s="321"/>
      <c r="AG1219" s="321"/>
      <c r="AH1219" s="321"/>
      <c r="AI1219" s="321"/>
      <c r="AJ1219" s="321"/>
      <c r="BG1219" s="307"/>
      <c r="BH1219" s="307"/>
      <c r="BI1219" s="307"/>
      <c r="BK1219" s="300"/>
    </row>
    <row r="1220" spans="2:63" s="298" customFormat="1" hidden="1" x14ac:dyDescent="0.25">
      <c r="B1220" s="321"/>
      <c r="F1220" s="322"/>
      <c r="M1220" s="323"/>
      <c r="U1220" s="324"/>
      <c r="X1220" s="321"/>
      <c r="Y1220" s="325"/>
      <c r="Z1220" s="325"/>
      <c r="AA1220" s="326"/>
      <c r="AB1220" s="326"/>
      <c r="AC1220" s="321"/>
      <c r="AD1220" s="321"/>
      <c r="AE1220" s="321"/>
      <c r="AF1220" s="321"/>
      <c r="AG1220" s="321"/>
      <c r="AH1220" s="321"/>
      <c r="AI1220" s="321"/>
      <c r="AJ1220" s="321"/>
      <c r="BG1220" s="307"/>
      <c r="BH1220" s="307"/>
      <c r="BI1220" s="307"/>
      <c r="BK1220" s="300"/>
    </row>
    <row r="1221" spans="2:63" s="298" customFormat="1" hidden="1" x14ac:dyDescent="0.25">
      <c r="B1221" s="321"/>
      <c r="F1221" s="322"/>
      <c r="M1221" s="323"/>
      <c r="U1221" s="324"/>
      <c r="X1221" s="321"/>
      <c r="Y1221" s="325"/>
      <c r="Z1221" s="325"/>
      <c r="AA1221" s="326"/>
      <c r="AB1221" s="326"/>
      <c r="AC1221" s="321"/>
      <c r="AD1221" s="321"/>
      <c r="AE1221" s="321"/>
      <c r="AF1221" s="321"/>
      <c r="AG1221" s="321"/>
      <c r="AH1221" s="321"/>
      <c r="AI1221" s="321"/>
      <c r="AJ1221" s="321"/>
      <c r="BG1221" s="307"/>
      <c r="BH1221" s="307"/>
      <c r="BI1221" s="307"/>
      <c r="BK1221" s="300"/>
    </row>
    <row r="1222" spans="2:63" s="298" customFormat="1" hidden="1" x14ac:dyDescent="0.25">
      <c r="B1222" s="321"/>
      <c r="F1222" s="322"/>
      <c r="M1222" s="323"/>
      <c r="U1222" s="324"/>
      <c r="X1222" s="321"/>
      <c r="Y1222" s="325"/>
      <c r="Z1222" s="325"/>
      <c r="AA1222" s="326"/>
      <c r="AB1222" s="326"/>
      <c r="AC1222" s="321"/>
      <c r="AD1222" s="321"/>
      <c r="AE1222" s="321"/>
      <c r="AF1222" s="321"/>
      <c r="AG1222" s="321"/>
      <c r="AH1222" s="321"/>
      <c r="AI1222" s="321"/>
      <c r="AJ1222" s="321"/>
      <c r="BG1222" s="307"/>
      <c r="BH1222" s="307"/>
      <c r="BI1222" s="307"/>
      <c r="BK1222" s="300"/>
    </row>
    <row r="1223" spans="2:63" s="298" customFormat="1" hidden="1" x14ac:dyDescent="0.25">
      <c r="B1223" s="321"/>
      <c r="F1223" s="322"/>
      <c r="M1223" s="323"/>
      <c r="U1223" s="324"/>
      <c r="X1223" s="321"/>
      <c r="Y1223" s="325"/>
      <c r="Z1223" s="325"/>
      <c r="AA1223" s="326"/>
      <c r="AB1223" s="326"/>
      <c r="AC1223" s="321"/>
      <c r="AD1223" s="321"/>
      <c r="AE1223" s="321"/>
      <c r="AF1223" s="321"/>
      <c r="AG1223" s="321"/>
      <c r="AH1223" s="321"/>
      <c r="AI1223" s="321"/>
      <c r="AJ1223" s="321"/>
      <c r="BG1223" s="307"/>
      <c r="BH1223" s="307"/>
      <c r="BI1223" s="307"/>
      <c r="BK1223" s="300"/>
    </row>
    <row r="1224" spans="2:63" s="298" customFormat="1" hidden="1" x14ac:dyDescent="0.25">
      <c r="B1224" s="321"/>
      <c r="F1224" s="322"/>
      <c r="M1224" s="323"/>
      <c r="U1224" s="324"/>
      <c r="X1224" s="321"/>
      <c r="Y1224" s="325"/>
      <c r="Z1224" s="325"/>
      <c r="AA1224" s="326"/>
      <c r="AB1224" s="326"/>
      <c r="AC1224" s="321"/>
      <c r="AD1224" s="321"/>
      <c r="AE1224" s="321"/>
      <c r="AF1224" s="321"/>
      <c r="AG1224" s="321"/>
      <c r="AH1224" s="321"/>
      <c r="AI1224" s="321"/>
      <c r="AJ1224" s="321"/>
      <c r="BG1224" s="307"/>
      <c r="BH1224" s="307"/>
      <c r="BI1224" s="307"/>
      <c r="BK1224" s="300"/>
    </row>
    <row r="1225" spans="2:63" s="298" customFormat="1" hidden="1" x14ac:dyDescent="0.25">
      <c r="B1225" s="321"/>
      <c r="F1225" s="322"/>
      <c r="M1225" s="323"/>
      <c r="U1225" s="324"/>
      <c r="X1225" s="321"/>
      <c r="Y1225" s="325"/>
      <c r="Z1225" s="325"/>
      <c r="AA1225" s="326"/>
      <c r="AB1225" s="326"/>
      <c r="AC1225" s="321"/>
      <c r="AD1225" s="321"/>
      <c r="AE1225" s="321"/>
      <c r="AF1225" s="321"/>
      <c r="AG1225" s="321"/>
      <c r="AH1225" s="321"/>
      <c r="AI1225" s="321"/>
      <c r="AJ1225" s="321"/>
      <c r="BG1225" s="307"/>
      <c r="BH1225" s="307"/>
      <c r="BI1225" s="307"/>
      <c r="BK1225" s="300"/>
    </row>
    <row r="1226" spans="2:63" s="298" customFormat="1" hidden="1" x14ac:dyDescent="0.25">
      <c r="B1226" s="321"/>
      <c r="F1226" s="322"/>
      <c r="M1226" s="323"/>
      <c r="U1226" s="324"/>
      <c r="X1226" s="321"/>
      <c r="Y1226" s="325"/>
      <c r="Z1226" s="325"/>
      <c r="AA1226" s="326"/>
      <c r="AB1226" s="326"/>
      <c r="AC1226" s="321"/>
      <c r="AD1226" s="321"/>
      <c r="AE1226" s="321"/>
      <c r="AF1226" s="321"/>
      <c r="AG1226" s="321"/>
      <c r="AH1226" s="321"/>
      <c r="AI1226" s="321"/>
      <c r="AJ1226" s="321"/>
      <c r="BG1226" s="307"/>
      <c r="BH1226" s="307"/>
      <c r="BI1226" s="307"/>
      <c r="BK1226" s="300"/>
    </row>
    <row r="1227" spans="2:63" s="298" customFormat="1" hidden="1" x14ac:dyDescent="0.25">
      <c r="B1227" s="321"/>
      <c r="F1227" s="322"/>
      <c r="M1227" s="323"/>
      <c r="U1227" s="324"/>
      <c r="X1227" s="321"/>
      <c r="Y1227" s="325"/>
      <c r="Z1227" s="325"/>
      <c r="AA1227" s="326"/>
      <c r="AB1227" s="326"/>
      <c r="AC1227" s="321"/>
      <c r="AD1227" s="321"/>
      <c r="AE1227" s="321"/>
      <c r="AF1227" s="321"/>
      <c r="AG1227" s="321"/>
      <c r="AH1227" s="321"/>
      <c r="AI1227" s="321"/>
      <c r="AJ1227" s="321"/>
      <c r="BG1227" s="307"/>
      <c r="BH1227" s="307"/>
      <c r="BI1227" s="307"/>
      <c r="BK1227" s="300"/>
    </row>
    <row r="1228" spans="2:63" s="298" customFormat="1" hidden="1" x14ac:dyDescent="0.25">
      <c r="B1228" s="321"/>
      <c r="F1228" s="322"/>
      <c r="M1228" s="323"/>
      <c r="U1228" s="324"/>
      <c r="X1228" s="321"/>
      <c r="Y1228" s="325"/>
      <c r="Z1228" s="325"/>
      <c r="AA1228" s="326"/>
      <c r="AB1228" s="326"/>
      <c r="AC1228" s="321"/>
      <c r="AD1228" s="321"/>
      <c r="AE1228" s="321"/>
      <c r="AF1228" s="321"/>
      <c r="AG1228" s="321"/>
      <c r="AH1228" s="321"/>
      <c r="AI1228" s="321"/>
      <c r="AJ1228" s="321"/>
      <c r="BG1228" s="307"/>
      <c r="BH1228" s="307"/>
      <c r="BI1228" s="307"/>
      <c r="BK1228" s="300"/>
    </row>
    <row r="1229" spans="2:63" s="298" customFormat="1" hidden="1" x14ac:dyDescent="0.25">
      <c r="B1229" s="321"/>
      <c r="F1229" s="322"/>
      <c r="M1229" s="323"/>
      <c r="U1229" s="324"/>
      <c r="X1229" s="321"/>
      <c r="Y1229" s="325"/>
      <c r="Z1229" s="325"/>
      <c r="AA1229" s="326"/>
      <c r="AB1229" s="326"/>
      <c r="AC1229" s="321"/>
      <c r="AD1229" s="321"/>
      <c r="AE1229" s="321"/>
      <c r="AF1229" s="321"/>
      <c r="AG1229" s="321"/>
      <c r="AH1229" s="321"/>
      <c r="AI1229" s="321"/>
      <c r="AJ1229" s="321"/>
      <c r="BG1229" s="307"/>
      <c r="BH1229" s="307"/>
      <c r="BI1229" s="307"/>
      <c r="BK1229" s="300"/>
    </row>
    <row r="1230" spans="2:63" s="298" customFormat="1" hidden="1" x14ac:dyDescent="0.25">
      <c r="B1230" s="321"/>
      <c r="F1230" s="322"/>
      <c r="M1230" s="323"/>
      <c r="U1230" s="324"/>
      <c r="X1230" s="321"/>
      <c r="Y1230" s="325"/>
      <c r="Z1230" s="325"/>
      <c r="AA1230" s="326"/>
      <c r="AB1230" s="326"/>
      <c r="AC1230" s="321"/>
      <c r="AD1230" s="321"/>
      <c r="AE1230" s="321"/>
      <c r="AF1230" s="321"/>
      <c r="AG1230" s="321"/>
      <c r="AH1230" s="321"/>
      <c r="AI1230" s="321"/>
      <c r="AJ1230" s="321"/>
      <c r="BG1230" s="307"/>
      <c r="BH1230" s="307"/>
      <c r="BI1230" s="307"/>
      <c r="BK1230" s="300"/>
    </row>
    <row r="1231" spans="2:63" s="298" customFormat="1" hidden="1" x14ac:dyDescent="0.25">
      <c r="B1231" s="321"/>
      <c r="F1231" s="322"/>
      <c r="M1231" s="323"/>
      <c r="U1231" s="324"/>
      <c r="X1231" s="321"/>
      <c r="Y1231" s="325"/>
      <c r="Z1231" s="325"/>
      <c r="AA1231" s="326"/>
      <c r="AB1231" s="326"/>
      <c r="AC1231" s="321"/>
      <c r="AD1231" s="321"/>
      <c r="AE1231" s="321"/>
      <c r="AF1231" s="321"/>
      <c r="AG1231" s="321"/>
      <c r="AH1231" s="321"/>
      <c r="AI1231" s="321"/>
      <c r="AJ1231" s="321"/>
      <c r="BG1231" s="307"/>
      <c r="BH1231" s="307"/>
      <c r="BI1231" s="307"/>
      <c r="BK1231" s="300"/>
    </row>
    <row r="1232" spans="2:63" s="298" customFormat="1" hidden="1" x14ac:dyDescent="0.25">
      <c r="B1232" s="321"/>
      <c r="F1232" s="322"/>
      <c r="M1232" s="323"/>
      <c r="U1232" s="324"/>
      <c r="X1232" s="321"/>
      <c r="Y1232" s="325"/>
      <c r="Z1232" s="325"/>
      <c r="AA1232" s="326"/>
      <c r="AB1232" s="326"/>
      <c r="AC1232" s="321"/>
      <c r="AD1232" s="321"/>
      <c r="AE1232" s="321"/>
      <c r="AF1232" s="321"/>
      <c r="AG1232" s="321"/>
      <c r="AH1232" s="321"/>
      <c r="AI1232" s="321"/>
      <c r="AJ1232" s="321"/>
      <c r="BG1232" s="307"/>
      <c r="BH1232" s="307"/>
      <c r="BI1232" s="307"/>
      <c r="BK1232" s="300"/>
    </row>
    <row r="1233" spans="2:63" s="298" customFormat="1" hidden="1" x14ac:dyDescent="0.25">
      <c r="B1233" s="321"/>
      <c r="F1233" s="322"/>
      <c r="M1233" s="323"/>
      <c r="U1233" s="324"/>
      <c r="X1233" s="321"/>
      <c r="Y1233" s="325"/>
      <c r="Z1233" s="325"/>
      <c r="AA1233" s="326"/>
      <c r="AB1233" s="326"/>
      <c r="AC1233" s="321"/>
      <c r="AD1233" s="321"/>
      <c r="AE1233" s="321"/>
      <c r="AF1233" s="321"/>
      <c r="AG1233" s="321"/>
      <c r="AH1233" s="321"/>
      <c r="AI1233" s="321"/>
      <c r="AJ1233" s="321"/>
      <c r="BG1233" s="307"/>
      <c r="BH1233" s="307"/>
      <c r="BI1233" s="307"/>
      <c r="BK1233" s="300"/>
    </row>
    <row r="1234" spans="2:63" s="298" customFormat="1" hidden="1" x14ac:dyDescent="0.25">
      <c r="B1234" s="321"/>
      <c r="F1234" s="322"/>
      <c r="M1234" s="323"/>
      <c r="U1234" s="324"/>
      <c r="X1234" s="321"/>
      <c r="Y1234" s="325"/>
      <c r="Z1234" s="325"/>
      <c r="AA1234" s="326"/>
      <c r="AB1234" s="326"/>
      <c r="AC1234" s="321"/>
      <c r="AD1234" s="321"/>
      <c r="AE1234" s="321"/>
      <c r="AF1234" s="321"/>
      <c r="AG1234" s="321"/>
      <c r="AH1234" s="321"/>
      <c r="AI1234" s="321"/>
      <c r="AJ1234" s="321"/>
      <c r="BG1234" s="307"/>
      <c r="BH1234" s="307"/>
      <c r="BI1234" s="307"/>
      <c r="BK1234" s="300"/>
    </row>
    <row r="1235" spans="2:63" s="298" customFormat="1" hidden="1" x14ac:dyDescent="0.25">
      <c r="B1235" s="321"/>
      <c r="F1235" s="322"/>
      <c r="M1235" s="323"/>
      <c r="U1235" s="324"/>
      <c r="X1235" s="321"/>
      <c r="Y1235" s="325"/>
      <c r="Z1235" s="325"/>
      <c r="AA1235" s="326"/>
      <c r="AB1235" s="326"/>
      <c r="AC1235" s="321"/>
      <c r="AD1235" s="321"/>
      <c r="AE1235" s="321"/>
      <c r="AF1235" s="321"/>
      <c r="AG1235" s="321"/>
      <c r="AH1235" s="321"/>
      <c r="AI1235" s="321"/>
      <c r="AJ1235" s="321"/>
      <c r="BG1235" s="307"/>
      <c r="BH1235" s="307"/>
      <c r="BI1235" s="307"/>
      <c r="BK1235" s="300"/>
    </row>
    <row r="1236" spans="2:63" s="298" customFormat="1" hidden="1" x14ac:dyDescent="0.25">
      <c r="B1236" s="321"/>
      <c r="F1236" s="322"/>
      <c r="M1236" s="323"/>
      <c r="U1236" s="324"/>
      <c r="X1236" s="321"/>
      <c r="Y1236" s="325"/>
      <c r="Z1236" s="325"/>
      <c r="AA1236" s="326"/>
      <c r="AB1236" s="326"/>
      <c r="AC1236" s="321"/>
      <c r="AD1236" s="321"/>
      <c r="AE1236" s="321"/>
      <c r="AF1236" s="321"/>
      <c r="AG1236" s="321"/>
      <c r="AH1236" s="321"/>
      <c r="AI1236" s="321"/>
      <c r="AJ1236" s="321"/>
      <c r="BG1236" s="307"/>
      <c r="BH1236" s="307"/>
      <c r="BI1236" s="307"/>
      <c r="BK1236" s="300"/>
    </row>
    <row r="1237" spans="2:63" s="298" customFormat="1" hidden="1" x14ac:dyDescent="0.25">
      <c r="B1237" s="321"/>
      <c r="F1237" s="322"/>
      <c r="M1237" s="323"/>
      <c r="U1237" s="324"/>
      <c r="X1237" s="321"/>
      <c r="Y1237" s="325"/>
      <c r="Z1237" s="325"/>
      <c r="AA1237" s="326"/>
      <c r="AB1237" s="326"/>
      <c r="AC1237" s="321"/>
      <c r="AD1237" s="321"/>
      <c r="AE1237" s="321"/>
      <c r="AF1237" s="321"/>
      <c r="AG1237" s="321"/>
      <c r="AH1237" s="321"/>
      <c r="AI1237" s="321"/>
      <c r="AJ1237" s="321"/>
      <c r="BG1237" s="307"/>
      <c r="BH1237" s="307"/>
      <c r="BI1237" s="307"/>
      <c r="BK1237" s="300"/>
    </row>
    <row r="1238" spans="2:63" s="298" customFormat="1" hidden="1" x14ac:dyDescent="0.25">
      <c r="B1238" s="321"/>
      <c r="F1238" s="322"/>
      <c r="M1238" s="323"/>
      <c r="U1238" s="324"/>
      <c r="X1238" s="321"/>
      <c r="Y1238" s="325"/>
      <c r="Z1238" s="325"/>
      <c r="AA1238" s="326"/>
      <c r="AB1238" s="326"/>
      <c r="AC1238" s="321"/>
      <c r="AD1238" s="321"/>
      <c r="AE1238" s="321"/>
      <c r="AF1238" s="321"/>
      <c r="AG1238" s="321"/>
      <c r="AH1238" s="321"/>
      <c r="AI1238" s="321"/>
      <c r="AJ1238" s="321"/>
      <c r="BG1238" s="307"/>
      <c r="BH1238" s="307"/>
      <c r="BI1238" s="307"/>
      <c r="BK1238" s="300"/>
    </row>
    <row r="1239" spans="2:63" s="298" customFormat="1" hidden="1" x14ac:dyDescent="0.25">
      <c r="B1239" s="321"/>
      <c r="F1239" s="322"/>
      <c r="M1239" s="323"/>
      <c r="U1239" s="324"/>
      <c r="X1239" s="321"/>
      <c r="Y1239" s="325"/>
      <c r="Z1239" s="325"/>
      <c r="AA1239" s="326"/>
      <c r="AB1239" s="326"/>
      <c r="AC1239" s="321"/>
      <c r="AD1239" s="321"/>
      <c r="AE1239" s="321"/>
      <c r="AF1239" s="321"/>
      <c r="AG1239" s="321"/>
      <c r="AH1239" s="321"/>
      <c r="AI1239" s="321"/>
      <c r="AJ1239" s="321"/>
      <c r="BG1239" s="307"/>
      <c r="BH1239" s="307"/>
      <c r="BI1239" s="307"/>
      <c r="BK1239" s="300"/>
    </row>
    <row r="1240" spans="2:63" s="298" customFormat="1" hidden="1" x14ac:dyDescent="0.25">
      <c r="B1240" s="321"/>
      <c r="F1240" s="322"/>
      <c r="M1240" s="323"/>
      <c r="U1240" s="324"/>
      <c r="X1240" s="321"/>
      <c r="Y1240" s="325"/>
      <c r="Z1240" s="325"/>
      <c r="AA1240" s="326"/>
      <c r="AB1240" s="326"/>
      <c r="AC1240" s="321"/>
      <c r="AD1240" s="321"/>
      <c r="AE1240" s="321"/>
      <c r="AF1240" s="321"/>
      <c r="AG1240" s="321"/>
      <c r="AH1240" s="321"/>
      <c r="AI1240" s="321"/>
      <c r="AJ1240" s="321"/>
      <c r="BG1240" s="307"/>
      <c r="BH1240" s="307"/>
      <c r="BI1240" s="307"/>
      <c r="BK1240" s="300"/>
    </row>
    <row r="1241" spans="2:63" s="298" customFormat="1" hidden="1" x14ac:dyDescent="0.25">
      <c r="B1241" s="321"/>
      <c r="F1241" s="322"/>
      <c r="M1241" s="323"/>
      <c r="U1241" s="324"/>
      <c r="X1241" s="321"/>
      <c r="Y1241" s="325"/>
      <c r="Z1241" s="325"/>
      <c r="AA1241" s="326"/>
      <c r="AB1241" s="326"/>
      <c r="AC1241" s="321"/>
      <c r="AD1241" s="321"/>
      <c r="AE1241" s="321"/>
      <c r="AF1241" s="321"/>
      <c r="AG1241" s="321"/>
      <c r="AH1241" s="321"/>
      <c r="AI1241" s="321"/>
      <c r="AJ1241" s="321"/>
      <c r="BG1241" s="307"/>
      <c r="BH1241" s="307"/>
      <c r="BI1241" s="307"/>
      <c r="BK1241" s="300"/>
    </row>
    <row r="1242" spans="2:63" s="298" customFormat="1" hidden="1" x14ac:dyDescent="0.25">
      <c r="B1242" s="321"/>
      <c r="F1242" s="322"/>
      <c r="M1242" s="323"/>
      <c r="U1242" s="324"/>
      <c r="X1242" s="321"/>
      <c r="Y1242" s="325"/>
      <c r="Z1242" s="325"/>
      <c r="AA1242" s="326"/>
      <c r="AB1242" s="326"/>
      <c r="AC1242" s="321"/>
      <c r="AD1242" s="321"/>
      <c r="AE1242" s="321"/>
      <c r="AF1242" s="321"/>
      <c r="AG1242" s="321"/>
      <c r="AH1242" s="321"/>
      <c r="AI1242" s="321"/>
      <c r="AJ1242" s="321"/>
      <c r="BG1242" s="307"/>
      <c r="BH1242" s="307"/>
      <c r="BI1242" s="307"/>
      <c r="BK1242" s="300"/>
    </row>
    <row r="1243" spans="2:63" s="298" customFormat="1" hidden="1" x14ac:dyDescent="0.25">
      <c r="B1243" s="321"/>
      <c r="F1243" s="322"/>
      <c r="M1243" s="323"/>
      <c r="U1243" s="324"/>
      <c r="X1243" s="321"/>
      <c r="Y1243" s="325"/>
      <c r="Z1243" s="325"/>
      <c r="AA1243" s="326"/>
      <c r="AB1243" s="326"/>
      <c r="AC1243" s="321"/>
      <c r="AD1243" s="321"/>
      <c r="AE1243" s="321"/>
      <c r="AF1243" s="321"/>
      <c r="AG1243" s="321"/>
      <c r="AH1243" s="321"/>
      <c r="AI1243" s="321"/>
      <c r="AJ1243" s="321"/>
      <c r="BG1243" s="307"/>
      <c r="BH1243" s="307"/>
      <c r="BI1243" s="307"/>
      <c r="BK1243" s="300"/>
    </row>
    <row r="1244" spans="2:63" s="298" customFormat="1" hidden="1" x14ac:dyDescent="0.25">
      <c r="B1244" s="321"/>
      <c r="F1244" s="322"/>
      <c r="M1244" s="323"/>
      <c r="U1244" s="324"/>
      <c r="X1244" s="321"/>
      <c r="Y1244" s="325"/>
      <c r="Z1244" s="325"/>
      <c r="AA1244" s="326"/>
      <c r="AB1244" s="326"/>
      <c r="AC1244" s="321"/>
      <c r="AD1244" s="321"/>
      <c r="AE1244" s="321"/>
      <c r="AF1244" s="321"/>
      <c r="AG1244" s="321"/>
      <c r="AH1244" s="321"/>
      <c r="AI1244" s="321"/>
      <c r="AJ1244" s="321"/>
      <c r="BG1244" s="307"/>
      <c r="BH1244" s="307"/>
      <c r="BI1244" s="307"/>
      <c r="BK1244" s="300"/>
    </row>
    <row r="1245" spans="2:63" s="298" customFormat="1" hidden="1" x14ac:dyDescent="0.25">
      <c r="B1245" s="321"/>
      <c r="F1245" s="322"/>
      <c r="M1245" s="323"/>
      <c r="U1245" s="324"/>
      <c r="X1245" s="321"/>
      <c r="Y1245" s="325"/>
      <c r="Z1245" s="325"/>
      <c r="AA1245" s="326"/>
      <c r="AB1245" s="326"/>
      <c r="AC1245" s="321"/>
      <c r="AD1245" s="321"/>
      <c r="AE1245" s="321"/>
      <c r="AF1245" s="321"/>
      <c r="AG1245" s="321"/>
      <c r="AH1245" s="321"/>
      <c r="AI1245" s="321"/>
      <c r="AJ1245" s="321"/>
      <c r="BG1245" s="307"/>
      <c r="BH1245" s="307"/>
      <c r="BI1245" s="307"/>
      <c r="BK1245" s="300"/>
    </row>
    <row r="1246" spans="2:63" s="298" customFormat="1" hidden="1" x14ac:dyDescent="0.25">
      <c r="B1246" s="321"/>
      <c r="F1246" s="322"/>
      <c r="M1246" s="323"/>
      <c r="U1246" s="324"/>
      <c r="X1246" s="321"/>
      <c r="Y1246" s="325"/>
      <c r="Z1246" s="325"/>
      <c r="AA1246" s="326"/>
      <c r="AB1246" s="326"/>
      <c r="AC1246" s="321"/>
      <c r="AD1246" s="321"/>
      <c r="AE1246" s="321"/>
      <c r="AF1246" s="321"/>
      <c r="AG1246" s="321"/>
      <c r="AH1246" s="321"/>
      <c r="AI1246" s="321"/>
      <c r="AJ1246" s="321"/>
      <c r="BG1246" s="307"/>
      <c r="BH1246" s="307"/>
      <c r="BI1246" s="307"/>
      <c r="BK1246" s="300"/>
    </row>
    <row r="1247" spans="2:63" s="298" customFormat="1" hidden="1" x14ac:dyDescent="0.25">
      <c r="B1247" s="321"/>
      <c r="F1247" s="322"/>
      <c r="M1247" s="323"/>
      <c r="U1247" s="324"/>
      <c r="X1247" s="321"/>
      <c r="Y1247" s="325"/>
      <c r="Z1247" s="325"/>
      <c r="AA1247" s="326"/>
      <c r="AB1247" s="326"/>
      <c r="AC1247" s="321"/>
      <c r="AD1247" s="321"/>
      <c r="AE1247" s="321"/>
      <c r="AF1247" s="321"/>
      <c r="AG1247" s="321"/>
      <c r="AH1247" s="321"/>
      <c r="AI1247" s="321"/>
      <c r="AJ1247" s="321"/>
      <c r="BG1247" s="307"/>
      <c r="BH1247" s="307"/>
      <c r="BI1247" s="307"/>
      <c r="BK1247" s="300"/>
    </row>
    <row r="1248" spans="2:63" s="298" customFormat="1" hidden="1" x14ac:dyDescent="0.25">
      <c r="B1248" s="321"/>
      <c r="F1248" s="322"/>
      <c r="M1248" s="323"/>
      <c r="U1248" s="324"/>
      <c r="X1248" s="321"/>
      <c r="Y1248" s="325"/>
      <c r="Z1248" s="325"/>
      <c r="AA1248" s="326"/>
      <c r="AB1248" s="326"/>
      <c r="AC1248" s="321"/>
      <c r="AD1248" s="321"/>
      <c r="AE1248" s="321"/>
      <c r="AF1248" s="321"/>
      <c r="AG1248" s="321"/>
      <c r="AH1248" s="321"/>
      <c r="AI1248" s="321"/>
      <c r="AJ1248" s="321"/>
      <c r="BG1248" s="307"/>
      <c r="BH1248" s="307"/>
      <c r="BI1248" s="307"/>
      <c r="BK1248" s="300"/>
    </row>
    <row r="1249" spans="2:63" s="298" customFormat="1" hidden="1" x14ac:dyDescent="0.25">
      <c r="B1249" s="321"/>
      <c r="F1249" s="322"/>
      <c r="M1249" s="323"/>
      <c r="U1249" s="324"/>
      <c r="X1249" s="321"/>
      <c r="Y1249" s="325"/>
      <c r="Z1249" s="325"/>
      <c r="AA1249" s="326"/>
      <c r="AB1249" s="326"/>
      <c r="AC1249" s="321"/>
      <c r="AD1249" s="321"/>
      <c r="AE1249" s="321"/>
      <c r="AF1249" s="321"/>
      <c r="AG1249" s="321"/>
      <c r="AH1249" s="321"/>
      <c r="AI1249" s="321"/>
      <c r="AJ1249" s="321"/>
      <c r="BG1249" s="307"/>
      <c r="BH1249" s="307"/>
      <c r="BI1249" s="307"/>
      <c r="BK1249" s="300"/>
    </row>
    <row r="1250" spans="2:63" s="298" customFormat="1" hidden="1" x14ac:dyDescent="0.25">
      <c r="B1250" s="321"/>
      <c r="F1250" s="322"/>
      <c r="M1250" s="323"/>
      <c r="U1250" s="324"/>
      <c r="X1250" s="321"/>
      <c r="Y1250" s="325"/>
      <c r="Z1250" s="325"/>
      <c r="AA1250" s="326"/>
      <c r="AB1250" s="326"/>
      <c r="AC1250" s="321"/>
      <c r="AD1250" s="321"/>
      <c r="AE1250" s="321"/>
      <c r="AF1250" s="321"/>
      <c r="AG1250" s="321"/>
      <c r="AH1250" s="321"/>
      <c r="AI1250" s="321"/>
      <c r="AJ1250" s="321"/>
      <c r="BG1250" s="307"/>
      <c r="BH1250" s="307"/>
      <c r="BI1250" s="307"/>
      <c r="BK1250" s="300"/>
    </row>
    <row r="1251" spans="2:63" s="298" customFormat="1" hidden="1" x14ac:dyDescent="0.25">
      <c r="B1251" s="321"/>
      <c r="F1251" s="322"/>
      <c r="M1251" s="323"/>
      <c r="U1251" s="324"/>
      <c r="X1251" s="321"/>
      <c r="Y1251" s="325"/>
      <c r="Z1251" s="325"/>
      <c r="AA1251" s="326"/>
      <c r="AB1251" s="326"/>
      <c r="AC1251" s="321"/>
      <c r="AD1251" s="321"/>
      <c r="AE1251" s="321"/>
      <c r="AF1251" s="321"/>
      <c r="AG1251" s="321"/>
      <c r="AH1251" s="321"/>
      <c r="AI1251" s="321"/>
      <c r="AJ1251" s="321"/>
      <c r="BG1251" s="307"/>
      <c r="BH1251" s="307"/>
      <c r="BI1251" s="307"/>
      <c r="BK1251" s="300"/>
    </row>
    <row r="1252" spans="2:63" s="298" customFormat="1" hidden="1" x14ac:dyDescent="0.25">
      <c r="B1252" s="321"/>
      <c r="F1252" s="322"/>
      <c r="M1252" s="323"/>
      <c r="U1252" s="324"/>
      <c r="X1252" s="321"/>
      <c r="Y1252" s="325"/>
      <c r="Z1252" s="325"/>
      <c r="AA1252" s="326"/>
      <c r="AB1252" s="326"/>
      <c r="AC1252" s="321"/>
      <c r="AD1252" s="321"/>
      <c r="AE1252" s="321"/>
      <c r="AF1252" s="321"/>
      <c r="AG1252" s="321"/>
      <c r="AH1252" s="321"/>
      <c r="AI1252" s="321"/>
      <c r="AJ1252" s="321"/>
      <c r="BG1252" s="307"/>
      <c r="BH1252" s="307"/>
      <c r="BI1252" s="307"/>
      <c r="BK1252" s="300"/>
    </row>
    <row r="1253" spans="2:63" s="298" customFormat="1" hidden="1" x14ac:dyDescent="0.25">
      <c r="B1253" s="321"/>
      <c r="F1253" s="322"/>
      <c r="M1253" s="323"/>
      <c r="U1253" s="324"/>
      <c r="X1253" s="321"/>
      <c r="Y1253" s="325"/>
      <c r="Z1253" s="325"/>
      <c r="AA1253" s="326"/>
      <c r="AB1253" s="326"/>
      <c r="AC1253" s="321"/>
      <c r="AD1253" s="321"/>
      <c r="AE1253" s="321"/>
      <c r="AF1253" s="321"/>
      <c r="AG1253" s="321"/>
      <c r="AH1253" s="321"/>
      <c r="AI1253" s="321"/>
      <c r="AJ1253" s="321"/>
      <c r="BG1253" s="307"/>
      <c r="BH1253" s="307"/>
      <c r="BI1253" s="307"/>
      <c r="BK1253" s="300"/>
    </row>
    <row r="1254" spans="2:63" s="298" customFormat="1" hidden="1" x14ac:dyDescent="0.25">
      <c r="B1254" s="321"/>
      <c r="F1254" s="322"/>
      <c r="M1254" s="323"/>
      <c r="U1254" s="324"/>
      <c r="X1254" s="321"/>
      <c r="Y1254" s="325"/>
      <c r="Z1254" s="325"/>
      <c r="AA1254" s="326"/>
      <c r="AB1254" s="326"/>
      <c r="AC1254" s="321"/>
      <c r="AD1254" s="321"/>
      <c r="AE1254" s="321"/>
      <c r="AF1254" s="321"/>
      <c r="AG1254" s="321"/>
      <c r="AH1254" s="321"/>
      <c r="AI1254" s="321"/>
      <c r="AJ1254" s="321"/>
      <c r="BG1254" s="307"/>
      <c r="BH1254" s="307"/>
      <c r="BI1254" s="307"/>
      <c r="BK1254" s="300"/>
    </row>
    <row r="1255" spans="2:63" s="298" customFormat="1" hidden="1" x14ac:dyDescent="0.25">
      <c r="B1255" s="321"/>
      <c r="F1255" s="322"/>
      <c r="M1255" s="323"/>
      <c r="U1255" s="324"/>
      <c r="X1255" s="321"/>
      <c r="Y1255" s="325"/>
      <c r="Z1255" s="325"/>
      <c r="AA1255" s="326"/>
      <c r="AB1255" s="326"/>
      <c r="AC1255" s="321"/>
      <c r="AD1255" s="321"/>
      <c r="AE1255" s="321"/>
      <c r="AF1255" s="321"/>
      <c r="AG1255" s="321"/>
      <c r="AH1255" s="321"/>
      <c r="AI1255" s="321"/>
      <c r="AJ1255" s="321"/>
      <c r="BG1255" s="307"/>
      <c r="BH1255" s="307"/>
      <c r="BI1255" s="307"/>
      <c r="BK1255" s="300"/>
    </row>
    <row r="1256" spans="2:63" s="298" customFormat="1" hidden="1" x14ac:dyDescent="0.25">
      <c r="B1256" s="321"/>
      <c r="F1256" s="322"/>
      <c r="M1256" s="323"/>
      <c r="U1256" s="324"/>
      <c r="X1256" s="321"/>
      <c r="Y1256" s="325"/>
      <c r="Z1256" s="325"/>
      <c r="AA1256" s="326"/>
      <c r="AB1256" s="326"/>
      <c r="AC1256" s="321"/>
      <c r="AD1256" s="321"/>
      <c r="AE1256" s="321"/>
      <c r="AF1256" s="321"/>
      <c r="AG1256" s="321"/>
      <c r="AH1256" s="321"/>
      <c r="AI1256" s="321"/>
      <c r="AJ1256" s="321"/>
      <c r="BG1256" s="307"/>
      <c r="BH1256" s="307"/>
      <c r="BI1256" s="307"/>
      <c r="BK1256" s="300"/>
    </row>
    <row r="1257" spans="2:63" s="298" customFormat="1" hidden="1" x14ac:dyDescent="0.25">
      <c r="B1257" s="321"/>
      <c r="F1257" s="322"/>
      <c r="M1257" s="323"/>
      <c r="U1257" s="324"/>
      <c r="X1257" s="321"/>
      <c r="Y1257" s="325"/>
      <c r="Z1257" s="325"/>
      <c r="AA1257" s="326"/>
      <c r="AB1257" s="326"/>
      <c r="AC1257" s="321"/>
      <c r="AD1257" s="321"/>
      <c r="AE1257" s="321"/>
      <c r="AF1257" s="321"/>
      <c r="AG1257" s="321"/>
      <c r="AH1257" s="321"/>
      <c r="AI1257" s="321"/>
      <c r="AJ1257" s="321"/>
      <c r="BG1257" s="307"/>
      <c r="BH1257" s="307"/>
      <c r="BI1257" s="307"/>
      <c r="BK1257" s="300"/>
    </row>
    <row r="1258" spans="2:63" s="298" customFormat="1" hidden="1" x14ac:dyDescent="0.25">
      <c r="B1258" s="321"/>
      <c r="F1258" s="322"/>
      <c r="M1258" s="323"/>
      <c r="U1258" s="324"/>
      <c r="X1258" s="321"/>
      <c r="Y1258" s="325"/>
      <c r="Z1258" s="325"/>
      <c r="AA1258" s="326"/>
      <c r="AB1258" s="326"/>
      <c r="AC1258" s="321"/>
      <c r="AD1258" s="321"/>
      <c r="AE1258" s="321"/>
      <c r="AF1258" s="321"/>
      <c r="AG1258" s="321"/>
      <c r="AH1258" s="321"/>
      <c r="AI1258" s="321"/>
      <c r="AJ1258" s="321"/>
      <c r="BG1258" s="307"/>
      <c r="BH1258" s="307"/>
      <c r="BI1258" s="307"/>
      <c r="BK1258" s="300"/>
    </row>
    <row r="1259" spans="2:63" s="298" customFormat="1" hidden="1" x14ac:dyDescent="0.25">
      <c r="B1259" s="321"/>
      <c r="F1259" s="322"/>
      <c r="M1259" s="323"/>
      <c r="U1259" s="324"/>
      <c r="X1259" s="321"/>
      <c r="Y1259" s="325"/>
      <c r="Z1259" s="325"/>
      <c r="AA1259" s="326"/>
      <c r="AB1259" s="326"/>
      <c r="AC1259" s="321"/>
      <c r="AD1259" s="321"/>
      <c r="AE1259" s="321"/>
      <c r="AF1259" s="321"/>
      <c r="AG1259" s="321"/>
      <c r="AH1259" s="321"/>
      <c r="AI1259" s="321"/>
      <c r="AJ1259" s="321"/>
      <c r="BG1259" s="307"/>
      <c r="BH1259" s="307"/>
      <c r="BI1259" s="307"/>
      <c r="BK1259" s="300"/>
    </row>
    <row r="1260" spans="2:63" s="298" customFormat="1" hidden="1" x14ac:dyDescent="0.25">
      <c r="B1260" s="321"/>
      <c r="F1260" s="322"/>
      <c r="M1260" s="323"/>
      <c r="U1260" s="324"/>
      <c r="X1260" s="321"/>
      <c r="Y1260" s="325"/>
      <c r="Z1260" s="325"/>
      <c r="AA1260" s="326"/>
      <c r="AB1260" s="326"/>
      <c r="AC1260" s="321"/>
      <c r="AD1260" s="321"/>
      <c r="AE1260" s="321"/>
      <c r="AF1260" s="321"/>
      <c r="AG1260" s="321"/>
      <c r="AH1260" s="321"/>
      <c r="AI1260" s="321"/>
      <c r="AJ1260" s="321"/>
      <c r="BG1260" s="307"/>
      <c r="BH1260" s="307"/>
      <c r="BI1260" s="307"/>
      <c r="BK1260" s="300"/>
    </row>
    <row r="1261" spans="2:63" s="298" customFormat="1" hidden="1" x14ac:dyDescent="0.25">
      <c r="B1261" s="321"/>
      <c r="F1261" s="322"/>
      <c r="M1261" s="323"/>
      <c r="U1261" s="324"/>
      <c r="X1261" s="321"/>
      <c r="Y1261" s="325"/>
      <c r="Z1261" s="325"/>
      <c r="AA1261" s="326"/>
      <c r="AB1261" s="326"/>
      <c r="AC1261" s="321"/>
      <c r="AD1261" s="321"/>
      <c r="AE1261" s="321"/>
      <c r="AF1261" s="321"/>
      <c r="AG1261" s="321"/>
      <c r="AH1261" s="321"/>
      <c r="AI1261" s="321"/>
      <c r="AJ1261" s="321"/>
      <c r="BG1261" s="307"/>
      <c r="BH1261" s="307"/>
      <c r="BI1261" s="307"/>
      <c r="BK1261" s="300"/>
    </row>
    <row r="1262" spans="2:63" s="298" customFormat="1" hidden="1" x14ac:dyDescent="0.25">
      <c r="B1262" s="321"/>
      <c r="F1262" s="322"/>
      <c r="M1262" s="323"/>
      <c r="U1262" s="324"/>
      <c r="X1262" s="321"/>
      <c r="Y1262" s="325"/>
      <c r="Z1262" s="325"/>
      <c r="AA1262" s="326"/>
      <c r="AB1262" s="326"/>
      <c r="AC1262" s="321"/>
      <c r="AD1262" s="321"/>
      <c r="AE1262" s="321"/>
      <c r="AF1262" s="321"/>
      <c r="AG1262" s="321"/>
      <c r="AH1262" s="321"/>
      <c r="AI1262" s="321"/>
      <c r="AJ1262" s="321"/>
      <c r="BG1262" s="307"/>
      <c r="BH1262" s="307"/>
      <c r="BI1262" s="307"/>
      <c r="BK1262" s="300"/>
    </row>
    <row r="1263" spans="2:63" s="298" customFormat="1" hidden="1" x14ac:dyDescent="0.25">
      <c r="B1263" s="321"/>
      <c r="F1263" s="322"/>
      <c r="M1263" s="323"/>
      <c r="U1263" s="324"/>
      <c r="X1263" s="321"/>
      <c r="Y1263" s="325"/>
      <c r="Z1263" s="325"/>
      <c r="AA1263" s="326"/>
      <c r="AB1263" s="326"/>
      <c r="AC1263" s="321"/>
      <c r="AD1263" s="321"/>
      <c r="AE1263" s="321"/>
      <c r="AF1263" s="321"/>
      <c r="AG1263" s="321"/>
      <c r="AH1263" s="321"/>
      <c r="AI1263" s="321"/>
      <c r="AJ1263" s="321"/>
      <c r="BG1263" s="307"/>
      <c r="BH1263" s="307"/>
      <c r="BI1263" s="307"/>
      <c r="BK1263" s="300"/>
    </row>
    <row r="1264" spans="2:63" s="298" customFormat="1" hidden="1" x14ac:dyDescent="0.25">
      <c r="B1264" s="321"/>
      <c r="F1264" s="322"/>
      <c r="M1264" s="323"/>
      <c r="U1264" s="324"/>
      <c r="X1264" s="321"/>
      <c r="Y1264" s="325"/>
      <c r="Z1264" s="325"/>
      <c r="AA1264" s="326"/>
      <c r="AB1264" s="326"/>
      <c r="AC1264" s="321"/>
      <c r="AD1264" s="321"/>
      <c r="AE1264" s="321"/>
      <c r="AF1264" s="321"/>
      <c r="AG1264" s="321"/>
      <c r="AH1264" s="321"/>
      <c r="AI1264" s="321"/>
      <c r="AJ1264" s="321"/>
      <c r="BG1264" s="307"/>
      <c r="BH1264" s="307"/>
      <c r="BI1264" s="307"/>
      <c r="BK1264" s="300"/>
    </row>
    <row r="1265" spans="2:63" s="298" customFormat="1" hidden="1" x14ac:dyDescent="0.25">
      <c r="B1265" s="321"/>
      <c r="F1265" s="322"/>
      <c r="M1265" s="323"/>
      <c r="U1265" s="324"/>
      <c r="X1265" s="321"/>
      <c r="Y1265" s="325"/>
      <c r="Z1265" s="325"/>
      <c r="AA1265" s="326"/>
      <c r="AB1265" s="326"/>
      <c r="AC1265" s="321"/>
      <c r="AD1265" s="321"/>
      <c r="AE1265" s="321"/>
      <c r="AF1265" s="321"/>
      <c r="AG1265" s="321"/>
      <c r="AH1265" s="321"/>
      <c r="AI1265" s="321"/>
      <c r="AJ1265" s="321"/>
      <c r="BG1265" s="307"/>
      <c r="BH1265" s="307"/>
      <c r="BI1265" s="307"/>
      <c r="BK1265" s="300"/>
    </row>
    <row r="1266" spans="2:63" s="298" customFormat="1" hidden="1" x14ac:dyDescent="0.25">
      <c r="B1266" s="321"/>
      <c r="F1266" s="322"/>
      <c r="M1266" s="323"/>
      <c r="U1266" s="324"/>
      <c r="X1266" s="321"/>
      <c r="Y1266" s="325"/>
      <c r="Z1266" s="325"/>
      <c r="AA1266" s="326"/>
      <c r="AB1266" s="326"/>
      <c r="AC1266" s="321"/>
      <c r="AD1266" s="321"/>
      <c r="AE1266" s="321"/>
      <c r="AF1266" s="321"/>
      <c r="AG1266" s="321"/>
      <c r="AH1266" s="321"/>
      <c r="AI1266" s="321"/>
      <c r="AJ1266" s="321"/>
      <c r="BG1266" s="307"/>
      <c r="BH1266" s="307"/>
      <c r="BI1266" s="307"/>
      <c r="BK1266" s="300"/>
    </row>
    <row r="1267" spans="2:63" s="298" customFormat="1" hidden="1" x14ac:dyDescent="0.25">
      <c r="B1267" s="321"/>
      <c r="F1267" s="322"/>
      <c r="M1267" s="323"/>
      <c r="U1267" s="324"/>
      <c r="X1267" s="321"/>
      <c r="Y1267" s="325"/>
      <c r="Z1267" s="325"/>
      <c r="AA1267" s="326"/>
      <c r="AB1267" s="326"/>
      <c r="AC1267" s="321"/>
      <c r="AD1267" s="321"/>
      <c r="AE1267" s="321"/>
      <c r="AF1267" s="321"/>
      <c r="AG1267" s="321"/>
      <c r="AH1267" s="321"/>
      <c r="AI1267" s="321"/>
      <c r="AJ1267" s="321"/>
      <c r="BG1267" s="307"/>
      <c r="BH1267" s="307"/>
      <c r="BI1267" s="307"/>
      <c r="BK1267" s="300"/>
    </row>
    <row r="1268" spans="2:63" s="298" customFormat="1" hidden="1" x14ac:dyDescent="0.25">
      <c r="B1268" s="321"/>
      <c r="F1268" s="322"/>
      <c r="M1268" s="323"/>
      <c r="U1268" s="324"/>
      <c r="X1268" s="321"/>
      <c r="Y1268" s="325"/>
      <c r="Z1268" s="325"/>
      <c r="AA1268" s="326"/>
      <c r="AB1268" s="326"/>
      <c r="AC1268" s="321"/>
      <c r="AD1268" s="321"/>
      <c r="AE1268" s="321"/>
      <c r="AF1268" s="321"/>
      <c r="AG1268" s="321"/>
      <c r="AH1268" s="321"/>
      <c r="AI1268" s="321"/>
      <c r="AJ1268" s="321"/>
      <c r="BG1268" s="307"/>
      <c r="BH1268" s="307"/>
      <c r="BI1268" s="307"/>
      <c r="BK1268" s="300"/>
    </row>
    <row r="1269" spans="2:63" s="298" customFormat="1" hidden="1" x14ac:dyDescent="0.25">
      <c r="B1269" s="321"/>
      <c r="F1269" s="322"/>
      <c r="M1269" s="323"/>
      <c r="U1269" s="324"/>
      <c r="X1269" s="321"/>
      <c r="Y1269" s="325"/>
      <c r="Z1269" s="325"/>
      <c r="AA1269" s="326"/>
      <c r="AB1269" s="326"/>
      <c r="AC1269" s="321"/>
      <c r="AD1269" s="321"/>
      <c r="AE1269" s="321"/>
      <c r="AF1269" s="321"/>
      <c r="AG1269" s="321"/>
      <c r="AH1269" s="321"/>
      <c r="AI1269" s="321"/>
      <c r="AJ1269" s="321"/>
      <c r="BG1269" s="307"/>
      <c r="BH1269" s="307"/>
      <c r="BI1269" s="307"/>
      <c r="BK1269" s="300"/>
    </row>
    <row r="1270" spans="2:63" s="298" customFormat="1" hidden="1" x14ac:dyDescent="0.25">
      <c r="B1270" s="321"/>
      <c r="F1270" s="322"/>
      <c r="M1270" s="323"/>
      <c r="U1270" s="324"/>
      <c r="X1270" s="321"/>
      <c r="Y1270" s="325"/>
      <c r="Z1270" s="325"/>
      <c r="AA1270" s="326"/>
      <c r="AB1270" s="326"/>
      <c r="AC1270" s="321"/>
      <c r="AD1270" s="321"/>
      <c r="AE1270" s="321"/>
      <c r="AF1270" s="321"/>
      <c r="AG1270" s="321"/>
      <c r="AH1270" s="321"/>
      <c r="AI1270" s="321"/>
      <c r="AJ1270" s="321"/>
      <c r="BG1270" s="307"/>
      <c r="BH1270" s="307"/>
      <c r="BI1270" s="307"/>
      <c r="BK1270" s="300"/>
    </row>
    <row r="1271" spans="2:63" s="298" customFormat="1" hidden="1" x14ac:dyDescent="0.25">
      <c r="B1271" s="321"/>
      <c r="F1271" s="322"/>
      <c r="M1271" s="323"/>
      <c r="U1271" s="324"/>
      <c r="X1271" s="321"/>
      <c r="Y1271" s="325"/>
      <c r="Z1271" s="325"/>
      <c r="AA1271" s="326"/>
      <c r="AB1271" s="326"/>
      <c r="AC1271" s="321"/>
      <c r="AD1271" s="321"/>
      <c r="AE1271" s="321"/>
      <c r="AF1271" s="321"/>
      <c r="AG1271" s="321"/>
      <c r="AH1271" s="321"/>
      <c r="AI1271" s="321"/>
      <c r="AJ1271" s="321"/>
      <c r="BG1271" s="307"/>
      <c r="BH1271" s="307"/>
      <c r="BI1271" s="307"/>
      <c r="BK1271" s="300"/>
    </row>
    <row r="1272" spans="2:63" s="298" customFormat="1" hidden="1" x14ac:dyDescent="0.25">
      <c r="B1272" s="321"/>
      <c r="F1272" s="322"/>
      <c r="M1272" s="323"/>
      <c r="U1272" s="324"/>
      <c r="X1272" s="321"/>
      <c r="Y1272" s="325"/>
      <c r="Z1272" s="325"/>
      <c r="AA1272" s="326"/>
      <c r="AB1272" s="326"/>
      <c r="AC1272" s="321"/>
      <c r="AD1272" s="321"/>
      <c r="AE1272" s="321"/>
      <c r="AF1272" s="321"/>
      <c r="AG1272" s="321"/>
      <c r="AH1272" s="321"/>
      <c r="AI1272" s="321"/>
      <c r="AJ1272" s="321"/>
      <c r="BG1272" s="307"/>
      <c r="BH1272" s="307"/>
      <c r="BI1272" s="307"/>
      <c r="BK1272" s="300"/>
    </row>
    <row r="1273" spans="2:63" s="298" customFormat="1" hidden="1" x14ac:dyDescent="0.25">
      <c r="B1273" s="321"/>
      <c r="F1273" s="322"/>
      <c r="M1273" s="323"/>
      <c r="U1273" s="324"/>
      <c r="X1273" s="321"/>
      <c r="Y1273" s="325"/>
      <c r="Z1273" s="325"/>
      <c r="AA1273" s="326"/>
      <c r="AB1273" s="326"/>
      <c r="AC1273" s="321"/>
      <c r="AD1273" s="321"/>
      <c r="AE1273" s="321"/>
      <c r="AF1273" s="321"/>
      <c r="AG1273" s="321"/>
      <c r="AH1273" s="321"/>
      <c r="AI1273" s="321"/>
      <c r="AJ1273" s="321"/>
      <c r="BG1273" s="307"/>
      <c r="BH1273" s="307"/>
      <c r="BI1273" s="307"/>
      <c r="BK1273" s="300"/>
    </row>
    <row r="1274" spans="2:63" s="298" customFormat="1" hidden="1" x14ac:dyDescent="0.25">
      <c r="B1274" s="321"/>
      <c r="F1274" s="322"/>
      <c r="M1274" s="323"/>
      <c r="U1274" s="324"/>
      <c r="X1274" s="321"/>
      <c r="Y1274" s="325"/>
      <c r="Z1274" s="325"/>
      <c r="AA1274" s="326"/>
      <c r="AB1274" s="326"/>
      <c r="AC1274" s="321"/>
      <c r="AD1274" s="321"/>
      <c r="AE1274" s="321"/>
      <c r="AF1274" s="321"/>
      <c r="AG1274" s="321"/>
      <c r="AH1274" s="321"/>
      <c r="AI1274" s="321"/>
      <c r="AJ1274" s="321"/>
      <c r="BG1274" s="307"/>
      <c r="BH1274" s="307"/>
      <c r="BI1274" s="307"/>
      <c r="BK1274" s="300"/>
    </row>
    <row r="1275" spans="2:63" s="298" customFormat="1" hidden="1" x14ac:dyDescent="0.25">
      <c r="B1275" s="321"/>
      <c r="F1275" s="322"/>
      <c r="M1275" s="323"/>
      <c r="U1275" s="324"/>
      <c r="X1275" s="321"/>
      <c r="Y1275" s="325"/>
      <c r="Z1275" s="325"/>
      <c r="AA1275" s="326"/>
      <c r="AB1275" s="326"/>
      <c r="AC1275" s="321"/>
      <c r="AD1275" s="321"/>
      <c r="AE1275" s="321"/>
      <c r="AF1275" s="321"/>
      <c r="AG1275" s="321"/>
      <c r="AH1275" s="321"/>
      <c r="AI1275" s="321"/>
      <c r="AJ1275" s="321"/>
      <c r="BG1275" s="307"/>
      <c r="BH1275" s="307"/>
      <c r="BI1275" s="307"/>
      <c r="BK1275" s="300"/>
    </row>
    <row r="1276" spans="2:63" s="298" customFormat="1" hidden="1" x14ac:dyDescent="0.25">
      <c r="B1276" s="321"/>
      <c r="F1276" s="322"/>
      <c r="M1276" s="323"/>
      <c r="U1276" s="324"/>
      <c r="X1276" s="321"/>
      <c r="Y1276" s="325"/>
      <c r="Z1276" s="325"/>
      <c r="AA1276" s="326"/>
      <c r="AB1276" s="326"/>
      <c r="AC1276" s="321"/>
      <c r="AD1276" s="321"/>
      <c r="AE1276" s="321"/>
      <c r="AF1276" s="321"/>
      <c r="AG1276" s="321"/>
      <c r="AH1276" s="321"/>
      <c r="AI1276" s="321"/>
      <c r="AJ1276" s="321"/>
      <c r="BG1276" s="307"/>
      <c r="BH1276" s="307"/>
      <c r="BI1276" s="307"/>
      <c r="BK1276" s="300"/>
    </row>
    <row r="1277" spans="2:63" s="298" customFormat="1" hidden="1" x14ac:dyDescent="0.25">
      <c r="B1277" s="321"/>
      <c r="F1277" s="322"/>
      <c r="M1277" s="323"/>
      <c r="U1277" s="324"/>
      <c r="X1277" s="321"/>
      <c r="Y1277" s="325"/>
      <c r="Z1277" s="325"/>
      <c r="AA1277" s="326"/>
      <c r="AB1277" s="326"/>
      <c r="AC1277" s="321"/>
      <c r="AD1277" s="321"/>
      <c r="AE1277" s="321"/>
      <c r="AF1277" s="321"/>
      <c r="AG1277" s="321"/>
      <c r="AH1277" s="321"/>
      <c r="AI1277" s="321"/>
      <c r="AJ1277" s="321"/>
      <c r="BG1277" s="307"/>
      <c r="BH1277" s="307"/>
      <c r="BI1277" s="307"/>
      <c r="BK1277" s="300"/>
    </row>
    <row r="1278" spans="2:63" s="298" customFormat="1" hidden="1" x14ac:dyDescent="0.25">
      <c r="B1278" s="321"/>
      <c r="F1278" s="322"/>
      <c r="M1278" s="323"/>
      <c r="U1278" s="324"/>
      <c r="X1278" s="321"/>
      <c r="Y1278" s="325"/>
      <c r="Z1278" s="325"/>
      <c r="AA1278" s="326"/>
      <c r="AB1278" s="326"/>
      <c r="AC1278" s="321"/>
      <c r="AD1278" s="321"/>
      <c r="AE1278" s="321"/>
      <c r="AF1278" s="321"/>
      <c r="AG1278" s="321"/>
      <c r="AH1278" s="321"/>
      <c r="AI1278" s="321"/>
      <c r="AJ1278" s="321"/>
      <c r="BG1278" s="307"/>
      <c r="BH1278" s="307"/>
      <c r="BI1278" s="307"/>
      <c r="BK1278" s="300"/>
    </row>
    <row r="1279" spans="2:63" s="298" customFormat="1" hidden="1" x14ac:dyDescent="0.25">
      <c r="B1279" s="321"/>
      <c r="F1279" s="322"/>
      <c r="M1279" s="323"/>
      <c r="U1279" s="324"/>
      <c r="X1279" s="321"/>
      <c r="Y1279" s="325"/>
      <c r="Z1279" s="325"/>
      <c r="AA1279" s="326"/>
      <c r="AB1279" s="326"/>
      <c r="AC1279" s="321"/>
      <c r="AD1279" s="321"/>
      <c r="AE1279" s="321"/>
      <c r="AF1279" s="321"/>
      <c r="AG1279" s="321"/>
      <c r="AH1279" s="321"/>
      <c r="AI1279" s="321"/>
      <c r="AJ1279" s="321"/>
      <c r="BG1279" s="307"/>
      <c r="BH1279" s="307"/>
      <c r="BI1279" s="307"/>
      <c r="BK1279" s="300"/>
    </row>
    <row r="1280" spans="2:63" s="298" customFormat="1" hidden="1" x14ac:dyDescent="0.25">
      <c r="B1280" s="321"/>
      <c r="F1280" s="322"/>
      <c r="M1280" s="323"/>
      <c r="U1280" s="324"/>
      <c r="X1280" s="321"/>
      <c r="Y1280" s="325"/>
      <c r="Z1280" s="325"/>
      <c r="AA1280" s="326"/>
      <c r="AB1280" s="326"/>
      <c r="AC1280" s="321"/>
      <c r="AD1280" s="321"/>
      <c r="AE1280" s="321"/>
      <c r="AF1280" s="321"/>
      <c r="AG1280" s="321"/>
      <c r="AH1280" s="321"/>
      <c r="AI1280" s="321"/>
      <c r="AJ1280" s="321"/>
      <c r="BG1280" s="307"/>
      <c r="BH1280" s="307"/>
      <c r="BI1280" s="307"/>
      <c r="BK1280" s="300"/>
    </row>
    <row r="1281" spans="2:63" s="298" customFormat="1" hidden="1" x14ac:dyDescent="0.25">
      <c r="B1281" s="321"/>
      <c r="F1281" s="322"/>
      <c r="M1281" s="323"/>
      <c r="U1281" s="324"/>
      <c r="X1281" s="321"/>
      <c r="Y1281" s="325"/>
      <c r="Z1281" s="325"/>
      <c r="AA1281" s="326"/>
      <c r="AB1281" s="326"/>
      <c r="AC1281" s="321"/>
      <c r="AD1281" s="321"/>
      <c r="AE1281" s="321"/>
      <c r="AF1281" s="321"/>
      <c r="AG1281" s="321"/>
      <c r="AH1281" s="321"/>
      <c r="AI1281" s="321"/>
      <c r="AJ1281" s="321"/>
      <c r="BG1281" s="307"/>
      <c r="BH1281" s="307"/>
      <c r="BI1281" s="307"/>
      <c r="BK1281" s="300"/>
    </row>
    <row r="1282" spans="2:63" s="298" customFormat="1" hidden="1" x14ac:dyDescent="0.25">
      <c r="B1282" s="321"/>
      <c r="F1282" s="322"/>
      <c r="M1282" s="323"/>
      <c r="U1282" s="324"/>
      <c r="X1282" s="321"/>
      <c r="Y1282" s="325"/>
      <c r="Z1282" s="325"/>
      <c r="AA1282" s="326"/>
      <c r="AB1282" s="326"/>
      <c r="AC1282" s="321"/>
      <c r="AD1282" s="321"/>
      <c r="AE1282" s="321"/>
      <c r="AF1282" s="321"/>
      <c r="AG1282" s="321"/>
      <c r="AH1282" s="321"/>
      <c r="AI1282" s="321"/>
      <c r="AJ1282" s="321"/>
      <c r="BG1282" s="307"/>
      <c r="BH1282" s="307"/>
      <c r="BI1282" s="307"/>
      <c r="BK1282" s="300"/>
    </row>
    <row r="1283" spans="2:63" s="298" customFormat="1" hidden="1" x14ac:dyDescent="0.25">
      <c r="B1283" s="321"/>
      <c r="F1283" s="322"/>
      <c r="M1283" s="323"/>
      <c r="U1283" s="324"/>
      <c r="X1283" s="321"/>
      <c r="Y1283" s="325"/>
      <c r="Z1283" s="325"/>
      <c r="AA1283" s="326"/>
      <c r="AB1283" s="326"/>
      <c r="AC1283" s="321"/>
      <c r="AD1283" s="321"/>
      <c r="AE1283" s="321"/>
      <c r="AF1283" s="321"/>
      <c r="AG1283" s="321"/>
      <c r="AH1283" s="321"/>
      <c r="AI1283" s="321"/>
      <c r="AJ1283" s="321"/>
      <c r="BG1283" s="307"/>
      <c r="BH1283" s="307"/>
      <c r="BI1283" s="307"/>
      <c r="BK1283" s="300"/>
    </row>
    <row r="1284" spans="2:63" s="298" customFormat="1" hidden="1" x14ac:dyDescent="0.25">
      <c r="B1284" s="321"/>
      <c r="F1284" s="322"/>
      <c r="M1284" s="323"/>
      <c r="U1284" s="324"/>
      <c r="X1284" s="321"/>
      <c r="Y1284" s="325"/>
      <c r="Z1284" s="325"/>
      <c r="AA1284" s="326"/>
      <c r="AB1284" s="326"/>
      <c r="AC1284" s="321"/>
      <c r="AD1284" s="321"/>
      <c r="AE1284" s="321"/>
      <c r="AF1284" s="321"/>
      <c r="AG1284" s="321"/>
      <c r="AH1284" s="321"/>
      <c r="AI1284" s="321"/>
      <c r="AJ1284" s="321"/>
      <c r="BG1284" s="307"/>
      <c r="BH1284" s="307"/>
      <c r="BI1284" s="307"/>
      <c r="BK1284" s="300"/>
    </row>
    <row r="1285" spans="2:63" s="298" customFormat="1" hidden="1" x14ac:dyDescent="0.25">
      <c r="B1285" s="321"/>
      <c r="F1285" s="322"/>
      <c r="M1285" s="323"/>
      <c r="U1285" s="324"/>
      <c r="X1285" s="321"/>
      <c r="Y1285" s="325"/>
      <c r="Z1285" s="325"/>
      <c r="AA1285" s="326"/>
      <c r="AB1285" s="326"/>
      <c r="AC1285" s="321"/>
      <c r="AD1285" s="321"/>
      <c r="AE1285" s="321"/>
      <c r="AF1285" s="321"/>
      <c r="AG1285" s="321"/>
      <c r="AH1285" s="321"/>
      <c r="AI1285" s="321"/>
      <c r="AJ1285" s="321"/>
      <c r="BG1285" s="307"/>
      <c r="BH1285" s="307"/>
      <c r="BI1285" s="307"/>
      <c r="BK1285" s="300"/>
    </row>
    <row r="1286" spans="2:63" s="298" customFormat="1" hidden="1" x14ac:dyDescent="0.25">
      <c r="B1286" s="321"/>
      <c r="F1286" s="322"/>
      <c r="M1286" s="323"/>
      <c r="U1286" s="324"/>
      <c r="X1286" s="321"/>
      <c r="Y1286" s="325"/>
      <c r="Z1286" s="325"/>
      <c r="AA1286" s="326"/>
      <c r="AB1286" s="326"/>
      <c r="AC1286" s="321"/>
      <c r="AD1286" s="321"/>
      <c r="AE1286" s="321"/>
      <c r="AF1286" s="321"/>
      <c r="AG1286" s="321"/>
      <c r="AH1286" s="321"/>
      <c r="AI1286" s="321"/>
      <c r="AJ1286" s="321"/>
      <c r="BG1286" s="307"/>
      <c r="BH1286" s="307"/>
      <c r="BI1286" s="307"/>
      <c r="BK1286" s="300"/>
    </row>
    <row r="1287" spans="2:63" s="298" customFormat="1" hidden="1" x14ac:dyDescent="0.25">
      <c r="B1287" s="321"/>
      <c r="F1287" s="322"/>
      <c r="M1287" s="323"/>
      <c r="U1287" s="324"/>
      <c r="X1287" s="321"/>
      <c r="Y1287" s="325"/>
      <c r="Z1287" s="325"/>
      <c r="AA1287" s="326"/>
      <c r="AB1287" s="326"/>
      <c r="AC1287" s="321"/>
      <c r="AD1287" s="321"/>
      <c r="AE1287" s="321"/>
      <c r="AF1287" s="321"/>
      <c r="AG1287" s="321"/>
      <c r="AH1287" s="321"/>
      <c r="AI1287" s="321"/>
      <c r="AJ1287" s="321"/>
      <c r="BG1287" s="307"/>
      <c r="BH1287" s="307"/>
      <c r="BI1287" s="307"/>
      <c r="BK1287" s="300"/>
    </row>
    <row r="1288" spans="2:63" s="298" customFormat="1" hidden="1" x14ac:dyDescent="0.25">
      <c r="B1288" s="321"/>
      <c r="F1288" s="322"/>
      <c r="M1288" s="323"/>
      <c r="U1288" s="324"/>
      <c r="X1288" s="321"/>
      <c r="Y1288" s="325"/>
      <c r="Z1288" s="325"/>
      <c r="AA1288" s="326"/>
      <c r="AB1288" s="326"/>
      <c r="AC1288" s="321"/>
      <c r="AD1288" s="321"/>
      <c r="AE1288" s="321"/>
      <c r="AF1288" s="321"/>
      <c r="AG1288" s="321"/>
      <c r="AH1288" s="321"/>
      <c r="AI1288" s="321"/>
      <c r="AJ1288" s="321"/>
      <c r="BG1288" s="307"/>
      <c r="BH1288" s="307"/>
      <c r="BI1288" s="307"/>
      <c r="BK1288" s="300"/>
    </row>
    <row r="1289" spans="2:63" s="298" customFormat="1" hidden="1" x14ac:dyDescent="0.25">
      <c r="B1289" s="321"/>
      <c r="F1289" s="322"/>
      <c r="M1289" s="323"/>
      <c r="U1289" s="324"/>
      <c r="X1289" s="321"/>
      <c r="Y1289" s="325"/>
      <c r="Z1289" s="325"/>
      <c r="AA1289" s="326"/>
      <c r="AB1289" s="326"/>
      <c r="AC1289" s="321"/>
      <c r="AD1289" s="321"/>
      <c r="AE1289" s="321"/>
      <c r="AF1289" s="321"/>
      <c r="AG1289" s="321"/>
      <c r="AH1289" s="321"/>
      <c r="AI1289" s="321"/>
      <c r="AJ1289" s="321"/>
      <c r="BG1289" s="307"/>
      <c r="BH1289" s="307"/>
      <c r="BI1289" s="307"/>
      <c r="BK1289" s="300"/>
    </row>
    <row r="1290" spans="2:63" s="298" customFormat="1" hidden="1" x14ac:dyDescent="0.25">
      <c r="B1290" s="321"/>
      <c r="F1290" s="322"/>
      <c r="M1290" s="323"/>
      <c r="U1290" s="324"/>
      <c r="X1290" s="321"/>
      <c r="Y1290" s="325"/>
      <c r="Z1290" s="325"/>
      <c r="AA1290" s="326"/>
      <c r="AB1290" s="326"/>
      <c r="AC1290" s="321"/>
      <c r="AD1290" s="321"/>
      <c r="AE1290" s="321"/>
      <c r="AF1290" s="321"/>
      <c r="AG1290" s="321"/>
      <c r="AH1290" s="321"/>
      <c r="AI1290" s="321"/>
      <c r="AJ1290" s="321"/>
      <c r="BG1290" s="307"/>
      <c r="BH1290" s="307"/>
      <c r="BI1290" s="307"/>
      <c r="BK1290" s="300"/>
    </row>
    <row r="1291" spans="2:63" s="298" customFormat="1" hidden="1" x14ac:dyDescent="0.25">
      <c r="B1291" s="321"/>
      <c r="F1291" s="322"/>
      <c r="M1291" s="323"/>
      <c r="U1291" s="324"/>
      <c r="X1291" s="321"/>
      <c r="Y1291" s="325"/>
      <c r="Z1291" s="325"/>
      <c r="AA1291" s="326"/>
      <c r="AB1291" s="326"/>
      <c r="AC1291" s="321"/>
      <c r="AD1291" s="321"/>
      <c r="AE1291" s="321"/>
      <c r="AF1291" s="321"/>
      <c r="AG1291" s="321"/>
      <c r="AH1291" s="321"/>
      <c r="AI1291" s="321"/>
      <c r="AJ1291" s="321"/>
      <c r="BG1291" s="307"/>
      <c r="BH1291" s="307"/>
      <c r="BI1291" s="307"/>
      <c r="BK1291" s="300"/>
    </row>
    <row r="1292" spans="2:63" s="298" customFormat="1" hidden="1" x14ac:dyDescent="0.25">
      <c r="B1292" s="321"/>
      <c r="F1292" s="322"/>
      <c r="M1292" s="323"/>
      <c r="U1292" s="324"/>
      <c r="X1292" s="321"/>
      <c r="Y1292" s="325"/>
      <c r="Z1292" s="325"/>
      <c r="AA1292" s="326"/>
      <c r="AB1292" s="326"/>
      <c r="AC1292" s="321"/>
      <c r="AD1292" s="321"/>
      <c r="AE1292" s="321"/>
      <c r="AF1292" s="321"/>
      <c r="AG1292" s="321"/>
      <c r="AH1292" s="321"/>
      <c r="AI1292" s="321"/>
      <c r="AJ1292" s="321"/>
      <c r="BG1292" s="307"/>
      <c r="BH1292" s="307"/>
      <c r="BI1292" s="307"/>
      <c r="BK1292" s="300"/>
    </row>
    <row r="1293" spans="2:63" s="298" customFormat="1" hidden="1" x14ac:dyDescent="0.25">
      <c r="B1293" s="321"/>
      <c r="F1293" s="322"/>
      <c r="M1293" s="323"/>
      <c r="U1293" s="324"/>
      <c r="X1293" s="321"/>
      <c r="Y1293" s="325"/>
      <c r="Z1293" s="325"/>
      <c r="AA1293" s="326"/>
      <c r="AB1293" s="326"/>
      <c r="AC1293" s="321"/>
      <c r="AD1293" s="321"/>
      <c r="AE1293" s="321"/>
      <c r="AF1293" s="321"/>
      <c r="AG1293" s="321"/>
      <c r="AH1293" s="321"/>
      <c r="AI1293" s="321"/>
      <c r="AJ1293" s="321"/>
      <c r="BG1293" s="307"/>
      <c r="BH1293" s="307"/>
      <c r="BI1293" s="307"/>
      <c r="BK1293" s="300"/>
    </row>
    <row r="1294" spans="2:63" s="298" customFormat="1" hidden="1" x14ac:dyDescent="0.25">
      <c r="B1294" s="321"/>
      <c r="F1294" s="322"/>
      <c r="M1294" s="323"/>
      <c r="U1294" s="324"/>
      <c r="X1294" s="321"/>
      <c r="Y1294" s="325"/>
      <c r="Z1294" s="325"/>
      <c r="AA1294" s="326"/>
      <c r="AB1294" s="326"/>
      <c r="AC1294" s="321"/>
      <c r="AD1294" s="321"/>
      <c r="AE1294" s="321"/>
      <c r="AF1294" s="321"/>
      <c r="AG1294" s="321"/>
      <c r="AH1294" s="321"/>
      <c r="AI1294" s="321"/>
      <c r="AJ1294" s="321"/>
      <c r="BG1294" s="307"/>
      <c r="BH1294" s="307"/>
      <c r="BI1294" s="307"/>
      <c r="BK1294" s="300"/>
    </row>
    <row r="1295" spans="2:63" s="298" customFormat="1" hidden="1" x14ac:dyDescent="0.25">
      <c r="B1295" s="321"/>
      <c r="F1295" s="322"/>
      <c r="M1295" s="323"/>
      <c r="U1295" s="324"/>
      <c r="X1295" s="321"/>
      <c r="Y1295" s="325"/>
      <c r="Z1295" s="325"/>
      <c r="AA1295" s="326"/>
      <c r="AB1295" s="326"/>
      <c r="AC1295" s="321"/>
      <c r="AD1295" s="321"/>
      <c r="AE1295" s="321"/>
      <c r="AF1295" s="321"/>
      <c r="AG1295" s="321"/>
      <c r="AH1295" s="321"/>
      <c r="AI1295" s="321"/>
      <c r="AJ1295" s="321"/>
      <c r="BG1295" s="307"/>
      <c r="BH1295" s="307"/>
      <c r="BI1295" s="307"/>
      <c r="BK1295" s="300"/>
    </row>
    <row r="1296" spans="2:63" s="298" customFormat="1" hidden="1" x14ac:dyDescent="0.25">
      <c r="B1296" s="321"/>
      <c r="F1296" s="322"/>
      <c r="M1296" s="323"/>
      <c r="U1296" s="324"/>
      <c r="X1296" s="321"/>
      <c r="Y1296" s="325"/>
      <c r="Z1296" s="325"/>
      <c r="AA1296" s="326"/>
      <c r="AB1296" s="326"/>
      <c r="AC1296" s="321"/>
      <c r="AD1296" s="321"/>
      <c r="AE1296" s="321"/>
      <c r="AF1296" s="321"/>
      <c r="AG1296" s="321"/>
      <c r="AH1296" s="321"/>
      <c r="AI1296" s="321"/>
      <c r="AJ1296" s="321"/>
      <c r="BG1296" s="307"/>
      <c r="BH1296" s="307"/>
      <c r="BI1296" s="307"/>
      <c r="BK1296" s="300"/>
    </row>
    <row r="1297" spans="2:63" s="298" customFormat="1" hidden="1" x14ac:dyDescent="0.25">
      <c r="B1297" s="321"/>
      <c r="F1297" s="322"/>
      <c r="M1297" s="323"/>
      <c r="U1297" s="324"/>
      <c r="X1297" s="321"/>
      <c r="Y1297" s="325"/>
      <c r="Z1297" s="325"/>
      <c r="AA1297" s="326"/>
      <c r="AB1297" s="326"/>
      <c r="AC1297" s="321"/>
      <c r="AD1297" s="321"/>
      <c r="AE1297" s="321"/>
      <c r="AF1297" s="321"/>
      <c r="AG1297" s="321"/>
      <c r="AH1297" s="321"/>
      <c r="AI1297" s="321"/>
      <c r="AJ1297" s="321"/>
      <c r="BG1297" s="307"/>
      <c r="BH1297" s="307"/>
      <c r="BI1297" s="307"/>
      <c r="BK1297" s="300"/>
    </row>
    <row r="1298" spans="2:63" s="298" customFormat="1" hidden="1" x14ac:dyDescent="0.25">
      <c r="B1298" s="321"/>
      <c r="F1298" s="322"/>
      <c r="M1298" s="323"/>
      <c r="U1298" s="324"/>
      <c r="X1298" s="321"/>
      <c r="Y1298" s="325"/>
      <c r="Z1298" s="325"/>
      <c r="AA1298" s="326"/>
      <c r="AB1298" s="326"/>
      <c r="AC1298" s="321"/>
      <c r="AD1298" s="321"/>
      <c r="AE1298" s="321"/>
      <c r="AF1298" s="321"/>
      <c r="AG1298" s="321"/>
      <c r="AH1298" s="321"/>
      <c r="AI1298" s="321"/>
      <c r="AJ1298" s="321"/>
      <c r="BG1298" s="307"/>
      <c r="BH1298" s="307"/>
      <c r="BI1298" s="307"/>
      <c r="BK1298" s="300"/>
    </row>
    <row r="1299" spans="2:63" s="298" customFormat="1" hidden="1" x14ac:dyDescent="0.25">
      <c r="B1299" s="321"/>
      <c r="F1299" s="322"/>
      <c r="M1299" s="323"/>
      <c r="U1299" s="324"/>
      <c r="X1299" s="321"/>
      <c r="Y1299" s="325"/>
      <c r="Z1299" s="325"/>
      <c r="AA1299" s="326"/>
      <c r="AB1299" s="326"/>
      <c r="AC1299" s="321"/>
      <c r="AD1299" s="321"/>
      <c r="AE1299" s="321"/>
      <c r="AF1299" s="321"/>
      <c r="AG1299" s="321"/>
      <c r="AH1299" s="321"/>
      <c r="AI1299" s="321"/>
      <c r="AJ1299" s="321"/>
      <c r="BG1299" s="307"/>
      <c r="BH1299" s="307"/>
      <c r="BI1299" s="307"/>
      <c r="BK1299" s="300"/>
    </row>
    <row r="1300" spans="2:63" s="298" customFormat="1" hidden="1" x14ac:dyDescent="0.25">
      <c r="B1300" s="321"/>
      <c r="F1300" s="322"/>
      <c r="M1300" s="323"/>
      <c r="U1300" s="324"/>
      <c r="X1300" s="321"/>
      <c r="Y1300" s="325"/>
      <c r="Z1300" s="325"/>
      <c r="AA1300" s="326"/>
      <c r="AB1300" s="326"/>
      <c r="AC1300" s="321"/>
      <c r="AD1300" s="321"/>
      <c r="AE1300" s="321"/>
      <c r="AF1300" s="321"/>
      <c r="AG1300" s="321"/>
      <c r="AH1300" s="321"/>
      <c r="AI1300" s="321"/>
      <c r="AJ1300" s="321"/>
      <c r="BG1300" s="307"/>
      <c r="BH1300" s="307"/>
      <c r="BI1300" s="307"/>
      <c r="BK1300" s="300"/>
    </row>
    <row r="1301" spans="2:63" s="298" customFormat="1" hidden="1" x14ac:dyDescent="0.25">
      <c r="B1301" s="321"/>
      <c r="F1301" s="322"/>
      <c r="M1301" s="323"/>
      <c r="U1301" s="324"/>
      <c r="X1301" s="321"/>
      <c r="Y1301" s="325"/>
      <c r="Z1301" s="325"/>
      <c r="AA1301" s="326"/>
      <c r="AB1301" s="326"/>
      <c r="AC1301" s="321"/>
      <c r="AD1301" s="321"/>
      <c r="AE1301" s="321"/>
      <c r="AF1301" s="321"/>
      <c r="AG1301" s="321"/>
      <c r="AH1301" s="321"/>
      <c r="AI1301" s="321"/>
      <c r="AJ1301" s="321"/>
      <c r="BG1301" s="307"/>
      <c r="BH1301" s="307"/>
      <c r="BI1301" s="307"/>
      <c r="BK1301" s="300"/>
    </row>
    <row r="1302" spans="2:63" s="298" customFormat="1" hidden="1" x14ac:dyDescent="0.25">
      <c r="B1302" s="321"/>
      <c r="F1302" s="322"/>
      <c r="M1302" s="323"/>
      <c r="U1302" s="324"/>
      <c r="X1302" s="321"/>
      <c r="Y1302" s="325"/>
      <c r="Z1302" s="325"/>
      <c r="AA1302" s="326"/>
      <c r="AB1302" s="326"/>
      <c r="AC1302" s="321"/>
      <c r="AD1302" s="321"/>
      <c r="AE1302" s="321"/>
      <c r="AF1302" s="321"/>
      <c r="AG1302" s="321"/>
      <c r="AH1302" s="321"/>
      <c r="AI1302" s="321"/>
      <c r="AJ1302" s="321"/>
      <c r="BG1302" s="307"/>
      <c r="BH1302" s="307"/>
      <c r="BI1302" s="307"/>
      <c r="BK1302" s="300"/>
    </row>
    <row r="1303" spans="2:63" s="298" customFormat="1" hidden="1" x14ac:dyDescent="0.25">
      <c r="B1303" s="321"/>
      <c r="F1303" s="322"/>
      <c r="M1303" s="323"/>
      <c r="U1303" s="324"/>
      <c r="X1303" s="321"/>
      <c r="Y1303" s="325"/>
      <c r="Z1303" s="325"/>
      <c r="AA1303" s="326"/>
      <c r="AB1303" s="326"/>
      <c r="AC1303" s="321"/>
      <c r="AD1303" s="321"/>
      <c r="AE1303" s="321"/>
      <c r="AF1303" s="321"/>
      <c r="AG1303" s="321"/>
      <c r="AH1303" s="321"/>
      <c r="AI1303" s="321"/>
      <c r="AJ1303" s="321"/>
      <c r="BG1303" s="307"/>
      <c r="BH1303" s="307"/>
      <c r="BI1303" s="307"/>
      <c r="BK1303" s="300"/>
    </row>
    <row r="1304" spans="2:63" s="298" customFormat="1" hidden="1" x14ac:dyDescent="0.25">
      <c r="B1304" s="321"/>
      <c r="F1304" s="322"/>
      <c r="M1304" s="323"/>
      <c r="U1304" s="324"/>
      <c r="X1304" s="321"/>
      <c r="Y1304" s="325"/>
      <c r="Z1304" s="325"/>
      <c r="AA1304" s="326"/>
      <c r="AB1304" s="326"/>
      <c r="AC1304" s="321"/>
      <c r="AD1304" s="321"/>
      <c r="AE1304" s="321"/>
      <c r="AF1304" s="321"/>
      <c r="AG1304" s="321"/>
      <c r="AH1304" s="321"/>
      <c r="AI1304" s="321"/>
      <c r="AJ1304" s="321"/>
      <c r="BG1304" s="307"/>
      <c r="BH1304" s="307"/>
      <c r="BI1304" s="307"/>
      <c r="BK1304" s="300"/>
    </row>
    <row r="1305" spans="2:63" s="298" customFormat="1" hidden="1" x14ac:dyDescent="0.25">
      <c r="B1305" s="321"/>
      <c r="F1305" s="322"/>
      <c r="M1305" s="323"/>
      <c r="U1305" s="324"/>
      <c r="X1305" s="321"/>
      <c r="Y1305" s="325"/>
      <c r="Z1305" s="325"/>
      <c r="AA1305" s="326"/>
      <c r="AB1305" s="326"/>
      <c r="AC1305" s="321"/>
      <c r="AD1305" s="321"/>
      <c r="AE1305" s="321"/>
      <c r="AF1305" s="321"/>
      <c r="AG1305" s="321"/>
      <c r="AH1305" s="321"/>
      <c r="AI1305" s="321"/>
      <c r="AJ1305" s="321"/>
      <c r="BG1305" s="307"/>
      <c r="BH1305" s="307"/>
      <c r="BI1305" s="307"/>
      <c r="BK1305" s="300"/>
    </row>
    <row r="1306" spans="2:63" s="298" customFormat="1" hidden="1" x14ac:dyDescent="0.25">
      <c r="B1306" s="321"/>
      <c r="F1306" s="322"/>
      <c r="M1306" s="323"/>
      <c r="U1306" s="324"/>
      <c r="X1306" s="321"/>
      <c r="Y1306" s="325"/>
      <c r="Z1306" s="325"/>
      <c r="AA1306" s="326"/>
      <c r="AB1306" s="326"/>
      <c r="AC1306" s="321"/>
      <c r="AD1306" s="321"/>
      <c r="AE1306" s="321"/>
      <c r="AF1306" s="321"/>
      <c r="AG1306" s="321"/>
      <c r="AH1306" s="321"/>
      <c r="AI1306" s="321"/>
      <c r="AJ1306" s="321"/>
      <c r="BG1306" s="307"/>
      <c r="BH1306" s="307"/>
      <c r="BI1306" s="307"/>
      <c r="BK1306" s="300"/>
    </row>
    <row r="1307" spans="2:63" s="298" customFormat="1" hidden="1" x14ac:dyDescent="0.25">
      <c r="B1307" s="321"/>
      <c r="F1307" s="322"/>
      <c r="M1307" s="323"/>
      <c r="U1307" s="324"/>
      <c r="X1307" s="321"/>
      <c r="Y1307" s="325"/>
      <c r="Z1307" s="325"/>
      <c r="AA1307" s="326"/>
      <c r="AB1307" s="326"/>
      <c r="AC1307" s="321"/>
      <c r="AD1307" s="321"/>
      <c r="AE1307" s="321"/>
      <c r="AF1307" s="321"/>
      <c r="AG1307" s="321"/>
      <c r="AH1307" s="321"/>
      <c r="AI1307" s="321"/>
      <c r="AJ1307" s="321"/>
      <c r="BG1307" s="307"/>
      <c r="BH1307" s="307"/>
      <c r="BI1307" s="307"/>
      <c r="BK1307" s="300"/>
    </row>
    <row r="1308" spans="2:63" s="298" customFormat="1" hidden="1" x14ac:dyDescent="0.25">
      <c r="B1308" s="321"/>
      <c r="F1308" s="322"/>
      <c r="M1308" s="323"/>
      <c r="U1308" s="324"/>
      <c r="X1308" s="321"/>
      <c r="Y1308" s="325"/>
      <c r="Z1308" s="325"/>
      <c r="AA1308" s="326"/>
      <c r="AB1308" s="326"/>
      <c r="AC1308" s="321"/>
      <c r="AD1308" s="321"/>
      <c r="AE1308" s="321"/>
      <c r="AF1308" s="321"/>
      <c r="AG1308" s="321"/>
      <c r="AH1308" s="321"/>
      <c r="AI1308" s="321"/>
      <c r="AJ1308" s="321"/>
      <c r="BG1308" s="307"/>
      <c r="BH1308" s="307"/>
      <c r="BI1308" s="307"/>
      <c r="BK1308" s="300"/>
    </row>
    <row r="1309" spans="2:63" s="298" customFormat="1" hidden="1" x14ac:dyDescent="0.25">
      <c r="B1309" s="321"/>
      <c r="F1309" s="322"/>
      <c r="M1309" s="323"/>
      <c r="U1309" s="324"/>
      <c r="X1309" s="321"/>
      <c r="Y1309" s="325"/>
      <c r="Z1309" s="325"/>
      <c r="AA1309" s="326"/>
      <c r="AB1309" s="326"/>
      <c r="AC1309" s="321"/>
      <c r="AD1309" s="321"/>
      <c r="AE1309" s="321"/>
      <c r="AF1309" s="321"/>
      <c r="AG1309" s="321"/>
      <c r="AH1309" s="321"/>
      <c r="AI1309" s="321"/>
      <c r="AJ1309" s="321"/>
      <c r="BG1309" s="307"/>
      <c r="BH1309" s="307"/>
      <c r="BI1309" s="307"/>
      <c r="BK1309" s="300"/>
    </row>
    <row r="1310" spans="2:63" s="298" customFormat="1" hidden="1" x14ac:dyDescent="0.25">
      <c r="B1310" s="321"/>
      <c r="F1310" s="322"/>
      <c r="M1310" s="323"/>
      <c r="U1310" s="324"/>
      <c r="X1310" s="321"/>
      <c r="Y1310" s="325"/>
      <c r="Z1310" s="325"/>
      <c r="AA1310" s="326"/>
      <c r="AB1310" s="326"/>
      <c r="AC1310" s="321"/>
      <c r="AD1310" s="321"/>
      <c r="AE1310" s="321"/>
      <c r="AF1310" s="321"/>
      <c r="AG1310" s="321"/>
      <c r="AH1310" s="321"/>
      <c r="AI1310" s="321"/>
      <c r="AJ1310" s="321"/>
      <c r="BG1310" s="307"/>
      <c r="BH1310" s="307"/>
      <c r="BI1310" s="307"/>
      <c r="BK1310" s="300"/>
    </row>
    <row r="1311" spans="2:63" s="298" customFormat="1" hidden="1" x14ac:dyDescent="0.25">
      <c r="B1311" s="321"/>
      <c r="F1311" s="322"/>
      <c r="M1311" s="323"/>
      <c r="U1311" s="324"/>
      <c r="X1311" s="321"/>
      <c r="Y1311" s="325"/>
      <c r="Z1311" s="325"/>
      <c r="AA1311" s="326"/>
      <c r="AB1311" s="326"/>
      <c r="AC1311" s="321"/>
      <c r="AD1311" s="321"/>
      <c r="AE1311" s="321"/>
      <c r="AF1311" s="321"/>
      <c r="AG1311" s="321"/>
      <c r="AH1311" s="321"/>
      <c r="AI1311" s="321"/>
      <c r="AJ1311" s="321"/>
      <c r="BG1311" s="307"/>
      <c r="BH1311" s="307"/>
      <c r="BI1311" s="307"/>
      <c r="BK1311" s="300"/>
    </row>
    <row r="1312" spans="2:63" s="298" customFormat="1" hidden="1" x14ac:dyDescent="0.25">
      <c r="B1312" s="321"/>
      <c r="F1312" s="322"/>
      <c r="M1312" s="323"/>
      <c r="U1312" s="324"/>
      <c r="X1312" s="321"/>
      <c r="Y1312" s="325"/>
      <c r="Z1312" s="325"/>
      <c r="AA1312" s="326"/>
      <c r="AB1312" s="326"/>
      <c r="AC1312" s="321"/>
      <c r="AD1312" s="321"/>
      <c r="AE1312" s="321"/>
      <c r="AF1312" s="321"/>
      <c r="AG1312" s="321"/>
      <c r="AH1312" s="321"/>
      <c r="AI1312" s="321"/>
      <c r="AJ1312" s="321"/>
      <c r="BG1312" s="307"/>
      <c r="BH1312" s="307"/>
      <c r="BI1312" s="307"/>
      <c r="BK1312" s="300"/>
    </row>
    <row r="1313" spans="2:63" s="298" customFormat="1" hidden="1" x14ac:dyDescent="0.25">
      <c r="B1313" s="321"/>
      <c r="F1313" s="322"/>
      <c r="M1313" s="323"/>
      <c r="U1313" s="324"/>
      <c r="X1313" s="321"/>
      <c r="Y1313" s="325"/>
      <c r="Z1313" s="325"/>
      <c r="AA1313" s="326"/>
      <c r="AB1313" s="326"/>
      <c r="AC1313" s="321"/>
      <c r="AD1313" s="321"/>
      <c r="AE1313" s="321"/>
      <c r="AF1313" s="321"/>
      <c r="AG1313" s="321"/>
      <c r="AH1313" s="321"/>
      <c r="AI1313" s="321"/>
      <c r="AJ1313" s="321"/>
      <c r="BG1313" s="307"/>
      <c r="BH1313" s="307"/>
      <c r="BI1313" s="307"/>
      <c r="BK1313" s="300"/>
    </row>
    <row r="1314" spans="2:63" s="298" customFormat="1" hidden="1" x14ac:dyDescent="0.25">
      <c r="B1314" s="321"/>
      <c r="F1314" s="322"/>
      <c r="M1314" s="323"/>
      <c r="U1314" s="324"/>
      <c r="X1314" s="321"/>
      <c r="Y1314" s="325"/>
      <c r="Z1314" s="325"/>
      <c r="AA1314" s="326"/>
      <c r="AB1314" s="326"/>
      <c r="AC1314" s="321"/>
      <c r="AD1314" s="321"/>
      <c r="AE1314" s="321"/>
      <c r="AF1314" s="321"/>
      <c r="AG1314" s="321"/>
      <c r="AH1314" s="321"/>
      <c r="AI1314" s="321"/>
      <c r="AJ1314" s="321"/>
      <c r="BG1314" s="307"/>
      <c r="BH1314" s="307"/>
      <c r="BI1314" s="307"/>
      <c r="BK1314" s="300"/>
    </row>
    <row r="1315" spans="2:63" s="298" customFormat="1" hidden="1" x14ac:dyDescent="0.25">
      <c r="B1315" s="321"/>
      <c r="F1315" s="322"/>
      <c r="M1315" s="323"/>
      <c r="U1315" s="324"/>
      <c r="X1315" s="321"/>
      <c r="Y1315" s="325"/>
      <c r="Z1315" s="325"/>
      <c r="AA1315" s="326"/>
      <c r="AB1315" s="326"/>
      <c r="AC1315" s="321"/>
      <c r="AD1315" s="321"/>
      <c r="AE1315" s="321"/>
      <c r="AF1315" s="321"/>
      <c r="AG1315" s="321"/>
      <c r="AH1315" s="321"/>
      <c r="AI1315" s="321"/>
      <c r="AJ1315" s="321"/>
      <c r="BG1315" s="307"/>
      <c r="BH1315" s="307"/>
      <c r="BI1315" s="307"/>
      <c r="BK1315" s="300"/>
    </row>
    <row r="1316" spans="2:63" s="298" customFormat="1" hidden="1" x14ac:dyDescent="0.25">
      <c r="B1316" s="321"/>
      <c r="F1316" s="322"/>
      <c r="M1316" s="323"/>
      <c r="U1316" s="324"/>
      <c r="X1316" s="321"/>
      <c r="Y1316" s="325"/>
      <c r="Z1316" s="325"/>
      <c r="AA1316" s="326"/>
      <c r="AB1316" s="326"/>
      <c r="AC1316" s="321"/>
      <c r="AD1316" s="321"/>
      <c r="AE1316" s="321"/>
      <c r="AF1316" s="321"/>
      <c r="AG1316" s="321"/>
      <c r="AH1316" s="321"/>
      <c r="AI1316" s="321"/>
      <c r="AJ1316" s="321"/>
      <c r="BG1316" s="307"/>
      <c r="BH1316" s="307"/>
      <c r="BI1316" s="307"/>
      <c r="BK1316" s="300"/>
    </row>
    <row r="1317" spans="2:63" s="298" customFormat="1" hidden="1" x14ac:dyDescent="0.25">
      <c r="B1317" s="321"/>
      <c r="F1317" s="322"/>
      <c r="M1317" s="323"/>
      <c r="U1317" s="324"/>
      <c r="X1317" s="321"/>
      <c r="Y1317" s="325"/>
      <c r="Z1317" s="325"/>
      <c r="AA1317" s="326"/>
      <c r="AB1317" s="326"/>
      <c r="AC1317" s="321"/>
      <c r="AD1317" s="321"/>
      <c r="AE1317" s="321"/>
      <c r="AF1317" s="321"/>
      <c r="AG1317" s="321"/>
      <c r="AH1317" s="321"/>
      <c r="AI1317" s="321"/>
      <c r="AJ1317" s="321"/>
      <c r="BG1317" s="307"/>
      <c r="BH1317" s="307"/>
      <c r="BI1317" s="307"/>
      <c r="BK1317" s="300"/>
    </row>
    <row r="1318" spans="2:63" s="298" customFormat="1" hidden="1" x14ac:dyDescent="0.25">
      <c r="B1318" s="321"/>
      <c r="F1318" s="322"/>
      <c r="M1318" s="323"/>
      <c r="U1318" s="324"/>
      <c r="X1318" s="321"/>
      <c r="Y1318" s="325"/>
      <c r="Z1318" s="325"/>
      <c r="AA1318" s="326"/>
      <c r="AB1318" s="326"/>
      <c r="AC1318" s="321"/>
      <c r="AD1318" s="321"/>
      <c r="AE1318" s="321"/>
      <c r="AF1318" s="321"/>
      <c r="AG1318" s="321"/>
      <c r="AH1318" s="321"/>
      <c r="AI1318" s="321"/>
      <c r="AJ1318" s="321"/>
      <c r="BG1318" s="307"/>
      <c r="BH1318" s="307"/>
      <c r="BI1318" s="307"/>
      <c r="BK1318" s="300"/>
    </row>
    <row r="1319" spans="2:63" s="298" customFormat="1" hidden="1" x14ac:dyDescent="0.25">
      <c r="B1319" s="321"/>
      <c r="F1319" s="322"/>
      <c r="M1319" s="323"/>
      <c r="U1319" s="324"/>
      <c r="X1319" s="321"/>
      <c r="Y1319" s="325"/>
      <c r="Z1319" s="325"/>
      <c r="AA1319" s="326"/>
      <c r="AB1319" s="326"/>
      <c r="AC1319" s="321"/>
      <c r="AD1319" s="321"/>
      <c r="AE1319" s="321"/>
      <c r="AF1319" s="321"/>
      <c r="AG1319" s="321"/>
      <c r="AH1319" s="321"/>
      <c r="AI1319" s="321"/>
      <c r="AJ1319" s="321"/>
      <c r="BG1319" s="307"/>
      <c r="BH1319" s="307"/>
      <c r="BI1319" s="307"/>
      <c r="BK1319" s="300"/>
    </row>
    <row r="1320" spans="2:63" s="298" customFormat="1" hidden="1" x14ac:dyDescent="0.25">
      <c r="B1320" s="321"/>
      <c r="F1320" s="322"/>
      <c r="M1320" s="323"/>
      <c r="U1320" s="324"/>
      <c r="X1320" s="321"/>
      <c r="Y1320" s="325"/>
      <c r="Z1320" s="325"/>
      <c r="AA1320" s="326"/>
      <c r="AB1320" s="326"/>
      <c r="AC1320" s="321"/>
      <c r="AD1320" s="321"/>
      <c r="AE1320" s="321"/>
      <c r="AF1320" s="321"/>
      <c r="AG1320" s="321"/>
      <c r="AH1320" s="321"/>
      <c r="AI1320" s="321"/>
      <c r="AJ1320" s="321"/>
      <c r="BG1320" s="307"/>
      <c r="BH1320" s="307"/>
      <c r="BI1320" s="307"/>
      <c r="BK1320" s="300"/>
    </row>
    <row r="1321" spans="2:63" s="298" customFormat="1" hidden="1" x14ac:dyDescent="0.25">
      <c r="B1321" s="321"/>
      <c r="F1321" s="322"/>
      <c r="M1321" s="323"/>
      <c r="U1321" s="324"/>
      <c r="X1321" s="321"/>
      <c r="Y1321" s="325"/>
      <c r="Z1321" s="325"/>
      <c r="AA1321" s="326"/>
      <c r="AB1321" s="326"/>
      <c r="AC1321" s="321"/>
      <c r="AD1321" s="321"/>
      <c r="AE1321" s="321"/>
      <c r="AF1321" s="321"/>
      <c r="AG1321" s="321"/>
      <c r="AH1321" s="321"/>
      <c r="AI1321" s="321"/>
      <c r="AJ1321" s="321"/>
      <c r="BG1321" s="307"/>
      <c r="BH1321" s="307"/>
      <c r="BI1321" s="307"/>
      <c r="BK1321" s="300"/>
    </row>
    <row r="1322" spans="2:63" s="298" customFormat="1" hidden="1" x14ac:dyDescent="0.25">
      <c r="B1322" s="321"/>
      <c r="F1322" s="322"/>
      <c r="M1322" s="323"/>
      <c r="U1322" s="324"/>
      <c r="X1322" s="321"/>
      <c r="Y1322" s="325"/>
      <c r="Z1322" s="325"/>
      <c r="AA1322" s="326"/>
      <c r="AB1322" s="326"/>
      <c r="AC1322" s="321"/>
      <c r="AD1322" s="321"/>
      <c r="AE1322" s="321"/>
      <c r="AF1322" s="321"/>
      <c r="AG1322" s="321"/>
      <c r="AH1322" s="321"/>
      <c r="AI1322" s="321"/>
      <c r="AJ1322" s="321"/>
      <c r="BG1322" s="307"/>
      <c r="BH1322" s="307"/>
      <c r="BI1322" s="307"/>
      <c r="BK1322" s="300"/>
    </row>
    <row r="1323" spans="2:63" s="298" customFormat="1" hidden="1" x14ac:dyDescent="0.25">
      <c r="B1323" s="321"/>
      <c r="F1323" s="322"/>
      <c r="M1323" s="323"/>
      <c r="U1323" s="324"/>
      <c r="X1323" s="321"/>
      <c r="Y1323" s="325"/>
      <c r="Z1323" s="325"/>
      <c r="AA1323" s="326"/>
      <c r="AB1323" s="326"/>
      <c r="AC1323" s="321"/>
      <c r="AD1323" s="321"/>
      <c r="AE1323" s="321"/>
      <c r="AF1323" s="321"/>
      <c r="AG1323" s="321"/>
      <c r="AH1323" s="321"/>
      <c r="AI1323" s="321"/>
      <c r="AJ1323" s="321"/>
      <c r="BG1323" s="307"/>
      <c r="BH1323" s="307"/>
      <c r="BI1323" s="307"/>
      <c r="BK1323" s="300"/>
    </row>
    <row r="1324" spans="2:63" s="298" customFormat="1" hidden="1" x14ac:dyDescent="0.25">
      <c r="B1324" s="321"/>
      <c r="F1324" s="322"/>
      <c r="M1324" s="323"/>
      <c r="U1324" s="324"/>
      <c r="X1324" s="321"/>
      <c r="Y1324" s="325"/>
      <c r="Z1324" s="325"/>
      <c r="AA1324" s="326"/>
      <c r="AB1324" s="326"/>
      <c r="AC1324" s="321"/>
      <c r="AD1324" s="321"/>
      <c r="AE1324" s="321"/>
      <c r="AF1324" s="321"/>
      <c r="AG1324" s="321"/>
      <c r="AH1324" s="321"/>
      <c r="AI1324" s="321"/>
      <c r="AJ1324" s="321"/>
      <c r="BG1324" s="307"/>
      <c r="BH1324" s="307"/>
      <c r="BI1324" s="307"/>
      <c r="BK1324" s="300"/>
    </row>
    <row r="1325" spans="2:63" s="298" customFormat="1" hidden="1" x14ac:dyDescent="0.25">
      <c r="B1325" s="321"/>
      <c r="F1325" s="322"/>
      <c r="M1325" s="323"/>
      <c r="U1325" s="324"/>
      <c r="X1325" s="321"/>
      <c r="Y1325" s="325"/>
      <c r="Z1325" s="325"/>
      <c r="AA1325" s="326"/>
      <c r="AB1325" s="326"/>
      <c r="AC1325" s="321"/>
      <c r="AD1325" s="321"/>
      <c r="AE1325" s="321"/>
      <c r="AF1325" s="321"/>
      <c r="AG1325" s="321"/>
      <c r="AH1325" s="321"/>
      <c r="AI1325" s="321"/>
      <c r="AJ1325" s="321"/>
      <c r="BG1325" s="307"/>
      <c r="BH1325" s="307"/>
      <c r="BI1325" s="307"/>
      <c r="BK1325" s="300"/>
    </row>
    <row r="1326" spans="2:63" s="298" customFormat="1" hidden="1" x14ac:dyDescent="0.25">
      <c r="B1326" s="321"/>
      <c r="F1326" s="322"/>
      <c r="M1326" s="323"/>
      <c r="U1326" s="324"/>
      <c r="X1326" s="321"/>
      <c r="Y1326" s="325"/>
      <c r="Z1326" s="325"/>
      <c r="AA1326" s="326"/>
      <c r="AB1326" s="326"/>
      <c r="AC1326" s="321"/>
      <c r="AD1326" s="321"/>
      <c r="AE1326" s="321"/>
      <c r="AF1326" s="321"/>
      <c r="AG1326" s="321"/>
      <c r="AH1326" s="321"/>
      <c r="AI1326" s="321"/>
      <c r="AJ1326" s="321"/>
      <c r="BG1326" s="307"/>
      <c r="BH1326" s="307"/>
      <c r="BI1326" s="307"/>
      <c r="BK1326" s="300"/>
    </row>
    <row r="1327" spans="2:63" s="298" customFormat="1" hidden="1" x14ac:dyDescent="0.25">
      <c r="B1327" s="321"/>
      <c r="F1327" s="322"/>
      <c r="M1327" s="323"/>
      <c r="U1327" s="324"/>
      <c r="X1327" s="321"/>
      <c r="Y1327" s="325"/>
      <c r="Z1327" s="325"/>
      <c r="AA1327" s="326"/>
      <c r="AB1327" s="326"/>
      <c r="AC1327" s="321"/>
      <c r="AD1327" s="321"/>
      <c r="AE1327" s="321"/>
      <c r="AF1327" s="321"/>
      <c r="AG1327" s="321"/>
      <c r="AH1327" s="321"/>
      <c r="AI1327" s="321"/>
      <c r="AJ1327" s="321"/>
      <c r="BG1327" s="307"/>
      <c r="BH1327" s="307"/>
      <c r="BI1327" s="307"/>
      <c r="BK1327" s="300"/>
    </row>
    <row r="1328" spans="2:63" s="298" customFormat="1" hidden="1" x14ac:dyDescent="0.25">
      <c r="B1328" s="321"/>
      <c r="F1328" s="322"/>
      <c r="M1328" s="323"/>
      <c r="U1328" s="324"/>
      <c r="X1328" s="321"/>
      <c r="Y1328" s="325"/>
      <c r="Z1328" s="325"/>
      <c r="AA1328" s="326"/>
      <c r="AB1328" s="326"/>
      <c r="AC1328" s="321"/>
      <c r="AD1328" s="321"/>
      <c r="AE1328" s="321"/>
      <c r="AF1328" s="321"/>
      <c r="AG1328" s="321"/>
      <c r="AH1328" s="321"/>
      <c r="AI1328" s="321"/>
      <c r="AJ1328" s="321"/>
      <c r="BG1328" s="307"/>
      <c r="BH1328" s="307"/>
      <c r="BI1328" s="307"/>
      <c r="BK1328" s="300"/>
    </row>
    <row r="1329" spans="2:63" s="298" customFormat="1" hidden="1" x14ac:dyDescent="0.25">
      <c r="B1329" s="321"/>
      <c r="F1329" s="322"/>
      <c r="M1329" s="323"/>
      <c r="U1329" s="324"/>
      <c r="X1329" s="321"/>
      <c r="Y1329" s="325"/>
      <c r="Z1329" s="325"/>
      <c r="AA1329" s="326"/>
      <c r="AB1329" s="326"/>
      <c r="AC1329" s="321"/>
      <c r="AD1329" s="321"/>
      <c r="AE1329" s="321"/>
      <c r="AF1329" s="321"/>
      <c r="AG1329" s="321"/>
      <c r="AH1329" s="321"/>
      <c r="AI1329" s="321"/>
      <c r="AJ1329" s="321"/>
      <c r="BG1329" s="307"/>
      <c r="BH1329" s="307"/>
      <c r="BI1329" s="307"/>
      <c r="BK1329" s="300"/>
    </row>
    <row r="1330" spans="2:63" s="298" customFormat="1" hidden="1" x14ac:dyDescent="0.25">
      <c r="B1330" s="321"/>
      <c r="F1330" s="322"/>
      <c r="M1330" s="323"/>
      <c r="U1330" s="324"/>
      <c r="X1330" s="321"/>
      <c r="Y1330" s="325"/>
      <c r="Z1330" s="325"/>
      <c r="AA1330" s="326"/>
      <c r="AB1330" s="326"/>
      <c r="AC1330" s="321"/>
      <c r="AD1330" s="321"/>
      <c r="AE1330" s="321"/>
      <c r="AF1330" s="321"/>
      <c r="AG1330" s="321"/>
      <c r="AH1330" s="321"/>
      <c r="AI1330" s="321"/>
      <c r="AJ1330" s="321"/>
      <c r="BG1330" s="307"/>
      <c r="BH1330" s="307"/>
      <c r="BI1330" s="307"/>
      <c r="BK1330" s="300"/>
    </row>
    <row r="1331" spans="2:63" s="298" customFormat="1" hidden="1" x14ac:dyDescent="0.25">
      <c r="B1331" s="321"/>
      <c r="F1331" s="322"/>
      <c r="M1331" s="323"/>
      <c r="U1331" s="324"/>
      <c r="X1331" s="321"/>
      <c r="Y1331" s="325"/>
      <c r="Z1331" s="325"/>
      <c r="AA1331" s="326"/>
      <c r="AB1331" s="326"/>
      <c r="AC1331" s="321"/>
      <c r="AD1331" s="321"/>
      <c r="AE1331" s="321"/>
      <c r="AF1331" s="321"/>
      <c r="AG1331" s="321"/>
      <c r="AH1331" s="321"/>
      <c r="AI1331" s="321"/>
      <c r="AJ1331" s="321"/>
      <c r="BG1331" s="307"/>
      <c r="BH1331" s="307"/>
      <c r="BI1331" s="307"/>
      <c r="BK1331" s="300"/>
    </row>
    <row r="1332" spans="2:63" s="298" customFormat="1" hidden="1" x14ac:dyDescent="0.25">
      <c r="B1332" s="321"/>
      <c r="F1332" s="322"/>
      <c r="M1332" s="323"/>
      <c r="U1332" s="324"/>
      <c r="X1332" s="321"/>
      <c r="Y1332" s="325"/>
      <c r="Z1332" s="325"/>
      <c r="AA1332" s="326"/>
      <c r="AB1332" s="326"/>
      <c r="AC1332" s="321"/>
      <c r="AD1332" s="321"/>
      <c r="AE1332" s="321"/>
      <c r="AF1332" s="321"/>
      <c r="AG1332" s="321"/>
      <c r="AH1332" s="321"/>
      <c r="AI1332" s="321"/>
      <c r="AJ1332" s="321"/>
      <c r="BG1332" s="307"/>
      <c r="BH1332" s="307"/>
      <c r="BI1332" s="307"/>
      <c r="BK1332" s="300"/>
    </row>
    <row r="1333" spans="2:63" s="298" customFormat="1" hidden="1" x14ac:dyDescent="0.25">
      <c r="B1333" s="321"/>
      <c r="F1333" s="322"/>
      <c r="M1333" s="323"/>
      <c r="U1333" s="324"/>
      <c r="X1333" s="321"/>
      <c r="Y1333" s="325"/>
      <c r="Z1333" s="325"/>
      <c r="AA1333" s="326"/>
      <c r="AB1333" s="326"/>
      <c r="AC1333" s="321"/>
      <c r="AD1333" s="321"/>
      <c r="AE1333" s="321"/>
      <c r="AF1333" s="321"/>
      <c r="AG1333" s="321"/>
      <c r="AH1333" s="321"/>
      <c r="AI1333" s="321"/>
      <c r="AJ1333" s="321"/>
      <c r="BG1333" s="307"/>
      <c r="BH1333" s="307"/>
      <c r="BI1333" s="307"/>
      <c r="BK1333" s="300"/>
    </row>
    <row r="1334" spans="2:63" s="298" customFormat="1" hidden="1" x14ac:dyDescent="0.25">
      <c r="B1334" s="321"/>
      <c r="F1334" s="322"/>
      <c r="M1334" s="323"/>
      <c r="U1334" s="324"/>
      <c r="X1334" s="321"/>
      <c r="Y1334" s="325"/>
      <c r="Z1334" s="325"/>
      <c r="AA1334" s="326"/>
      <c r="AB1334" s="326"/>
      <c r="AC1334" s="321"/>
      <c r="AD1334" s="321"/>
      <c r="AE1334" s="321"/>
      <c r="AF1334" s="321"/>
      <c r="AG1334" s="321"/>
      <c r="AH1334" s="321"/>
      <c r="AI1334" s="321"/>
      <c r="AJ1334" s="321"/>
      <c r="BG1334" s="307"/>
      <c r="BH1334" s="307"/>
      <c r="BI1334" s="307"/>
      <c r="BK1334" s="300"/>
    </row>
    <row r="1335" spans="2:63" s="298" customFormat="1" hidden="1" x14ac:dyDescent="0.25">
      <c r="B1335" s="321"/>
      <c r="F1335" s="322"/>
      <c r="M1335" s="323"/>
      <c r="U1335" s="324"/>
      <c r="X1335" s="321"/>
      <c r="Y1335" s="325"/>
      <c r="Z1335" s="325"/>
      <c r="AA1335" s="326"/>
      <c r="AB1335" s="326"/>
      <c r="AC1335" s="321"/>
      <c r="AD1335" s="321"/>
      <c r="AE1335" s="321"/>
      <c r="AF1335" s="321"/>
      <c r="AG1335" s="321"/>
      <c r="AH1335" s="321"/>
      <c r="AI1335" s="321"/>
      <c r="AJ1335" s="321"/>
      <c r="BG1335" s="307"/>
      <c r="BH1335" s="307"/>
      <c r="BI1335" s="307"/>
      <c r="BK1335" s="300"/>
    </row>
    <row r="1336" spans="2:63" s="298" customFormat="1" hidden="1" x14ac:dyDescent="0.25">
      <c r="B1336" s="321"/>
      <c r="F1336" s="322"/>
      <c r="M1336" s="323"/>
      <c r="U1336" s="324"/>
      <c r="X1336" s="321"/>
      <c r="Y1336" s="325"/>
      <c r="Z1336" s="325"/>
      <c r="AA1336" s="326"/>
      <c r="AB1336" s="326"/>
      <c r="AC1336" s="321"/>
      <c r="AD1336" s="321"/>
      <c r="AE1336" s="321"/>
      <c r="AF1336" s="321"/>
      <c r="AG1336" s="321"/>
      <c r="AH1336" s="321"/>
      <c r="AI1336" s="321"/>
      <c r="AJ1336" s="321"/>
      <c r="BG1336" s="307"/>
      <c r="BH1336" s="307"/>
      <c r="BI1336" s="307"/>
      <c r="BK1336" s="300"/>
    </row>
    <row r="1337" spans="2:63" s="298" customFormat="1" hidden="1" x14ac:dyDescent="0.25">
      <c r="B1337" s="321"/>
      <c r="F1337" s="322"/>
      <c r="M1337" s="323"/>
      <c r="U1337" s="324"/>
      <c r="X1337" s="321"/>
      <c r="Y1337" s="325"/>
      <c r="Z1337" s="325"/>
      <c r="AA1337" s="326"/>
      <c r="AB1337" s="326"/>
      <c r="AC1337" s="321"/>
      <c r="AD1337" s="321"/>
      <c r="AE1337" s="321"/>
      <c r="AF1337" s="321"/>
      <c r="AG1337" s="321"/>
      <c r="AH1337" s="321"/>
      <c r="AI1337" s="321"/>
      <c r="AJ1337" s="321"/>
      <c r="BG1337" s="307"/>
      <c r="BH1337" s="307"/>
      <c r="BI1337" s="307"/>
      <c r="BK1337" s="300"/>
    </row>
    <row r="1338" spans="2:63" s="298" customFormat="1" hidden="1" x14ac:dyDescent="0.25">
      <c r="B1338" s="321"/>
      <c r="F1338" s="322"/>
      <c r="M1338" s="323"/>
      <c r="U1338" s="324"/>
      <c r="X1338" s="321"/>
      <c r="Y1338" s="325"/>
      <c r="Z1338" s="325"/>
      <c r="AA1338" s="326"/>
      <c r="AB1338" s="326"/>
      <c r="AC1338" s="321"/>
      <c r="AD1338" s="321"/>
      <c r="AE1338" s="321"/>
      <c r="AF1338" s="321"/>
      <c r="AG1338" s="321"/>
      <c r="AH1338" s="321"/>
      <c r="AI1338" s="321"/>
      <c r="AJ1338" s="321"/>
      <c r="BG1338" s="307"/>
      <c r="BH1338" s="307"/>
      <c r="BI1338" s="307"/>
      <c r="BK1338" s="300"/>
    </row>
    <row r="1339" spans="2:63" s="298" customFormat="1" hidden="1" x14ac:dyDescent="0.25">
      <c r="B1339" s="321"/>
      <c r="F1339" s="322"/>
      <c r="M1339" s="323"/>
      <c r="U1339" s="324"/>
      <c r="X1339" s="321"/>
      <c r="Y1339" s="325"/>
      <c r="Z1339" s="325"/>
      <c r="AA1339" s="326"/>
      <c r="AB1339" s="326"/>
      <c r="AC1339" s="321"/>
      <c r="AD1339" s="321"/>
      <c r="AE1339" s="321"/>
      <c r="AF1339" s="321"/>
      <c r="AG1339" s="321"/>
      <c r="AH1339" s="321"/>
      <c r="AI1339" s="321"/>
      <c r="AJ1339" s="321"/>
      <c r="BG1339" s="307"/>
      <c r="BH1339" s="307"/>
      <c r="BI1339" s="307"/>
      <c r="BK1339" s="300"/>
    </row>
    <row r="1340" spans="2:63" s="298" customFormat="1" hidden="1" x14ac:dyDescent="0.25">
      <c r="B1340" s="321"/>
      <c r="F1340" s="322"/>
      <c r="M1340" s="323"/>
      <c r="U1340" s="324"/>
      <c r="X1340" s="321"/>
      <c r="Y1340" s="325"/>
      <c r="Z1340" s="325"/>
      <c r="AA1340" s="326"/>
      <c r="AB1340" s="326"/>
      <c r="AC1340" s="321"/>
      <c r="AD1340" s="321"/>
      <c r="AE1340" s="321"/>
      <c r="AF1340" s="321"/>
      <c r="AG1340" s="321"/>
      <c r="AH1340" s="321"/>
      <c r="AI1340" s="321"/>
      <c r="AJ1340" s="321"/>
      <c r="BG1340" s="307"/>
      <c r="BH1340" s="307"/>
      <c r="BI1340" s="307"/>
      <c r="BK1340" s="300"/>
    </row>
    <row r="1341" spans="2:63" s="298" customFormat="1" hidden="1" x14ac:dyDescent="0.25">
      <c r="B1341" s="321"/>
      <c r="F1341" s="322"/>
      <c r="M1341" s="323"/>
      <c r="U1341" s="324"/>
      <c r="X1341" s="321"/>
      <c r="Y1341" s="325"/>
      <c r="Z1341" s="325"/>
      <c r="AA1341" s="326"/>
      <c r="AB1341" s="326"/>
      <c r="AC1341" s="321"/>
      <c r="AD1341" s="321"/>
      <c r="AE1341" s="321"/>
      <c r="AF1341" s="321"/>
      <c r="AG1341" s="321"/>
      <c r="AH1341" s="321"/>
      <c r="AI1341" s="321"/>
      <c r="AJ1341" s="321"/>
      <c r="BG1341" s="307"/>
      <c r="BH1341" s="307"/>
      <c r="BI1341" s="307"/>
      <c r="BK1341" s="300"/>
    </row>
    <row r="1342" spans="2:63" s="298" customFormat="1" hidden="1" x14ac:dyDescent="0.25">
      <c r="B1342" s="321"/>
      <c r="F1342" s="322"/>
      <c r="M1342" s="323"/>
      <c r="U1342" s="324"/>
      <c r="X1342" s="321"/>
      <c r="Y1342" s="325"/>
      <c r="Z1342" s="325"/>
      <c r="AA1342" s="326"/>
      <c r="AB1342" s="326"/>
      <c r="AC1342" s="321"/>
      <c r="AD1342" s="321"/>
      <c r="AE1342" s="321"/>
      <c r="AF1342" s="321"/>
      <c r="AG1342" s="321"/>
      <c r="AH1342" s="321"/>
      <c r="AI1342" s="321"/>
      <c r="AJ1342" s="321"/>
      <c r="BG1342" s="307"/>
      <c r="BH1342" s="307"/>
      <c r="BI1342" s="307"/>
      <c r="BK1342" s="300"/>
    </row>
    <row r="1343" spans="2:63" ht="7.5" hidden="1" customHeight="1" x14ac:dyDescent="0.25">
      <c r="U1343" s="336"/>
    </row>
    <row r="1344" spans="2:63" hidden="1" x14ac:dyDescent="0.25">
      <c r="U1344" s="336"/>
    </row>
    <row r="1345" spans="21:21" hidden="1" x14ac:dyDescent="0.25">
      <c r="U1345" s="336"/>
    </row>
    <row r="1346" spans="21:21" hidden="1" x14ac:dyDescent="0.25">
      <c r="U1346" s="336"/>
    </row>
    <row r="1347" spans="21:21" hidden="1" x14ac:dyDescent="0.25">
      <c r="U1347" s="336"/>
    </row>
    <row r="1348" spans="21:21" hidden="1" x14ac:dyDescent="0.25">
      <c r="U1348" s="336"/>
    </row>
    <row r="1349" spans="21:21" hidden="1" x14ac:dyDescent="0.25">
      <c r="U1349" s="336"/>
    </row>
    <row r="1350" spans="21:21" hidden="1" x14ac:dyDescent="0.25">
      <c r="U1350" s="336"/>
    </row>
    <row r="1351" spans="21:21" hidden="1" x14ac:dyDescent="0.25">
      <c r="U1351" s="336"/>
    </row>
    <row r="1352" spans="21:21" hidden="1" x14ac:dyDescent="0.25">
      <c r="U1352" s="336"/>
    </row>
    <row r="1353" spans="21:21" hidden="1" x14ac:dyDescent="0.25">
      <c r="U1353" s="336"/>
    </row>
    <row r="1354" spans="21:21" hidden="1" x14ac:dyDescent="0.25">
      <c r="U1354" s="336"/>
    </row>
    <row r="1355" spans="21:21" hidden="1" x14ac:dyDescent="0.25">
      <c r="U1355" s="336"/>
    </row>
    <row r="1356" spans="21:21" hidden="1" x14ac:dyDescent="0.25">
      <c r="U1356" s="336"/>
    </row>
    <row r="1357" spans="21:21" hidden="1" x14ac:dyDescent="0.25">
      <c r="U1357" s="336"/>
    </row>
    <row r="1358" spans="21:21" hidden="1" x14ac:dyDescent="0.25">
      <c r="U1358" s="336"/>
    </row>
    <row r="1359" spans="21:21" hidden="1" x14ac:dyDescent="0.25">
      <c r="U1359" s="336"/>
    </row>
    <row r="1360" spans="21:21" hidden="1" x14ac:dyDescent="0.25">
      <c r="U1360" s="336"/>
    </row>
    <row r="1361" spans="21:21" hidden="1" x14ac:dyDescent="0.25">
      <c r="U1361" s="336"/>
    </row>
    <row r="1362" spans="21:21" hidden="1" x14ac:dyDescent="0.25">
      <c r="U1362" s="336"/>
    </row>
    <row r="1363" spans="21:21" hidden="1" x14ac:dyDescent="0.25">
      <c r="U1363" s="336"/>
    </row>
    <row r="1364" spans="21:21" hidden="1" x14ac:dyDescent="0.25">
      <c r="U1364" s="336"/>
    </row>
    <row r="1365" spans="21:21" hidden="1" x14ac:dyDescent="0.25">
      <c r="U1365" s="336"/>
    </row>
    <row r="1366" spans="21:21" hidden="1" x14ac:dyDescent="0.25">
      <c r="U1366" s="336"/>
    </row>
    <row r="1367" spans="21:21" hidden="1" x14ac:dyDescent="0.25">
      <c r="U1367" s="336"/>
    </row>
    <row r="1368" spans="21:21" hidden="1" x14ac:dyDescent="0.25">
      <c r="U1368" s="336"/>
    </row>
    <row r="1369" spans="21:21" hidden="1" x14ac:dyDescent="0.25">
      <c r="U1369" s="336"/>
    </row>
    <row r="1370" spans="21:21" hidden="1" x14ac:dyDescent="0.25">
      <c r="U1370" s="336"/>
    </row>
    <row r="1371" spans="21:21" hidden="1" x14ac:dyDescent="0.25">
      <c r="U1371" s="336"/>
    </row>
    <row r="1372" spans="21:21" hidden="1" x14ac:dyDescent="0.25">
      <c r="U1372" s="336"/>
    </row>
    <row r="1373" spans="21:21" hidden="1" x14ac:dyDescent="0.25">
      <c r="U1373" s="336"/>
    </row>
    <row r="1374" spans="21:21" hidden="1" x14ac:dyDescent="0.25">
      <c r="U1374" s="336"/>
    </row>
    <row r="1375" spans="21:21" hidden="1" x14ac:dyDescent="0.25">
      <c r="U1375" s="336"/>
    </row>
    <row r="1376" spans="21:21" hidden="1" x14ac:dyDescent="0.25">
      <c r="U1376" s="336"/>
    </row>
    <row r="1377" spans="21:21" hidden="1" x14ac:dyDescent="0.25">
      <c r="U1377" s="336"/>
    </row>
    <row r="1378" spans="21:21" hidden="1" x14ac:dyDescent="0.25">
      <c r="U1378" s="336"/>
    </row>
    <row r="1379" spans="21:21" hidden="1" x14ac:dyDescent="0.25">
      <c r="U1379" s="336"/>
    </row>
    <row r="1380" spans="21:21" hidden="1" x14ac:dyDescent="0.25">
      <c r="U1380" s="336"/>
    </row>
    <row r="1381" spans="21:21" hidden="1" x14ac:dyDescent="0.25">
      <c r="U1381" s="336"/>
    </row>
    <row r="1382" spans="21:21" hidden="1" x14ac:dyDescent="0.25">
      <c r="U1382" s="336"/>
    </row>
    <row r="1383" spans="21:21" hidden="1" x14ac:dyDescent="0.25">
      <c r="U1383" s="336"/>
    </row>
    <row r="1384" spans="21:21" hidden="1" x14ac:dyDescent="0.25">
      <c r="U1384" s="336"/>
    </row>
    <row r="1385" spans="21:21" hidden="1" x14ac:dyDescent="0.25">
      <c r="U1385" s="336"/>
    </row>
    <row r="1386" spans="21:21" hidden="1" x14ac:dyDescent="0.25">
      <c r="U1386" s="336"/>
    </row>
    <row r="1387" spans="21:21" hidden="1" x14ac:dyDescent="0.25">
      <c r="U1387" s="336"/>
    </row>
    <row r="1388" spans="21:21" hidden="1" x14ac:dyDescent="0.25">
      <c r="U1388" s="336"/>
    </row>
    <row r="1389" spans="21:21" hidden="1" x14ac:dyDescent="0.25">
      <c r="U1389" s="336"/>
    </row>
    <row r="1390" spans="21:21" hidden="1" x14ac:dyDescent="0.25">
      <c r="U1390" s="336"/>
    </row>
    <row r="1391" spans="21:21" hidden="1" x14ac:dyDescent="0.25">
      <c r="U1391" s="336"/>
    </row>
    <row r="1392" spans="21:21" hidden="1" x14ac:dyDescent="0.25">
      <c r="U1392" s="336"/>
    </row>
    <row r="1393" spans="21:21" hidden="1" x14ac:dyDescent="0.25">
      <c r="U1393" s="336"/>
    </row>
    <row r="1394" spans="21:21" hidden="1" x14ac:dyDescent="0.25">
      <c r="U1394" s="336"/>
    </row>
    <row r="1395" spans="21:21" hidden="1" x14ac:dyDescent="0.25">
      <c r="U1395" s="336"/>
    </row>
    <row r="1396" spans="21:21" hidden="1" x14ac:dyDescent="0.25">
      <c r="U1396" s="336"/>
    </row>
    <row r="1397" spans="21:21" hidden="1" x14ac:dyDescent="0.25">
      <c r="U1397" s="336"/>
    </row>
    <row r="1398" spans="21:21" hidden="1" x14ac:dyDescent="0.25">
      <c r="U1398" s="336"/>
    </row>
    <row r="1399" spans="21:21" hidden="1" x14ac:dyDescent="0.25">
      <c r="U1399" s="336"/>
    </row>
    <row r="1400" spans="21:21" hidden="1" x14ac:dyDescent="0.25">
      <c r="U1400" s="336"/>
    </row>
    <row r="1401" spans="21:21" hidden="1" x14ac:dyDescent="0.25">
      <c r="U1401" s="336"/>
    </row>
    <row r="1402" spans="21:21" hidden="1" x14ac:dyDescent="0.25">
      <c r="U1402" s="336"/>
    </row>
    <row r="1403" spans="21:21" hidden="1" x14ac:dyDescent="0.25">
      <c r="U1403" s="336"/>
    </row>
    <row r="1404" spans="21:21" hidden="1" x14ac:dyDescent="0.25">
      <c r="U1404" s="336"/>
    </row>
    <row r="1405" spans="21:21" hidden="1" x14ac:dyDescent="0.25">
      <c r="U1405" s="336"/>
    </row>
    <row r="1406" spans="21:21" hidden="1" x14ac:dyDescent="0.25">
      <c r="U1406" s="336"/>
    </row>
    <row r="1407" spans="21:21" hidden="1" x14ac:dyDescent="0.25">
      <c r="U1407" s="336"/>
    </row>
    <row r="1408" spans="21:21" hidden="1" x14ac:dyDescent="0.25">
      <c r="U1408" s="336"/>
    </row>
    <row r="1409" spans="21:21" hidden="1" x14ac:dyDescent="0.25">
      <c r="U1409" s="336"/>
    </row>
    <row r="1410" spans="21:21" hidden="1" x14ac:dyDescent="0.25">
      <c r="U1410" s="336"/>
    </row>
    <row r="1411" spans="21:21" hidden="1" x14ac:dyDescent="0.25">
      <c r="U1411" s="336"/>
    </row>
    <row r="1412" spans="21:21" hidden="1" x14ac:dyDescent="0.25">
      <c r="U1412" s="336"/>
    </row>
    <row r="1413" spans="21:21" hidden="1" x14ac:dyDescent="0.25">
      <c r="U1413" s="336"/>
    </row>
    <row r="1414" spans="21:21" hidden="1" x14ac:dyDescent="0.25">
      <c r="U1414" s="336"/>
    </row>
    <row r="1415" spans="21:21" hidden="1" x14ac:dyDescent="0.25">
      <c r="U1415" s="336"/>
    </row>
    <row r="1416" spans="21:21" hidden="1" x14ac:dyDescent="0.25">
      <c r="U1416" s="336"/>
    </row>
    <row r="1417" spans="21:21" hidden="1" x14ac:dyDescent="0.25">
      <c r="U1417" s="336"/>
    </row>
    <row r="1418" spans="21:21" hidden="1" x14ac:dyDescent="0.25">
      <c r="U1418" s="336"/>
    </row>
    <row r="1419" spans="21:21" hidden="1" x14ac:dyDescent="0.25">
      <c r="U1419" s="336"/>
    </row>
    <row r="1420" spans="21:21" hidden="1" x14ac:dyDescent="0.25">
      <c r="U1420" s="336"/>
    </row>
    <row r="1421" spans="21:21" hidden="1" x14ac:dyDescent="0.25">
      <c r="U1421" s="336"/>
    </row>
    <row r="1422" spans="21:21" hidden="1" x14ac:dyDescent="0.25">
      <c r="U1422" s="336"/>
    </row>
    <row r="1423" spans="21:21" hidden="1" x14ac:dyDescent="0.25">
      <c r="U1423" s="336"/>
    </row>
    <row r="1424" spans="21:21" hidden="1" x14ac:dyDescent="0.25">
      <c r="U1424" s="336"/>
    </row>
    <row r="1425" spans="21:21" hidden="1" x14ac:dyDescent="0.25">
      <c r="U1425" s="336"/>
    </row>
    <row r="1426" spans="21:21" hidden="1" x14ac:dyDescent="0.25">
      <c r="U1426" s="336"/>
    </row>
    <row r="1427" spans="21:21" hidden="1" x14ac:dyDescent="0.25">
      <c r="U1427" s="336"/>
    </row>
    <row r="1428" spans="21:21" hidden="1" x14ac:dyDescent="0.25">
      <c r="U1428" s="336"/>
    </row>
    <row r="1429" spans="21:21" hidden="1" x14ac:dyDescent="0.25">
      <c r="U1429" s="336"/>
    </row>
    <row r="1430" spans="21:21" hidden="1" x14ac:dyDescent="0.25">
      <c r="U1430" s="336"/>
    </row>
    <row r="1431" spans="21:21" hidden="1" x14ac:dyDescent="0.25">
      <c r="U1431" s="336"/>
    </row>
    <row r="1432" spans="21:21" hidden="1" x14ac:dyDescent="0.25">
      <c r="U1432" s="336"/>
    </row>
    <row r="1433" spans="21:21" hidden="1" x14ac:dyDescent="0.25">
      <c r="U1433" s="336"/>
    </row>
    <row r="1434" spans="21:21" hidden="1" x14ac:dyDescent="0.25">
      <c r="U1434" s="336"/>
    </row>
    <row r="1435" spans="21:21" hidden="1" x14ac:dyDescent="0.25">
      <c r="U1435" s="336"/>
    </row>
    <row r="1436" spans="21:21" hidden="1" x14ac:dyDescent="0.25">
      <c r="U1436" s="336"/>
    </row>
    <row r="1437" spans="21:21" hidden="1" x14ac:dyDescent="0.25">
      <c r="U1437" s="336"/>
    </row>
    <row r="1438" spans="21:21" hidden="1" x14ac:dyDescent="0.25">
      <c r="U1438" s="336"/>
    </row>
    <row r="1439" spans="21:21" hidden="1" x14ac:dyDescent="0.25">
      <c r="U1439" s="336"/>
    </row>
    <row r="1440" spans="21:21" hidden="1" x14ac:dyDescent="0.25">
      <c r="U1440" s="336"/>
    </row>
    <row r="1441" spans="21:21" hidden="1" x14ac:dyDescent="0.25">
      <c r="U1441" s="336"/>
    </row>
    <row r="1442" spans="21:21" hidden="1" x14ac:dyDescent="0.25">
      <c r="U1442" s="336"/>
    </row>
    <row r="1443" spans="21:21" hidden="1" x14ac:dyDescent="0.25">
      <c r="U1443" s="336"/>
    </row>
    <row r="1444" spans="21:21" hidden="1" x14ac:dyDescent="0.25">
      <c r="U1444" s="336"/>
    </row>
    <row r="1445" spans="21:21" hidden="1" x14ac:dyDescent="0.25">
      <c r="U1445" s="336"/>
    </row>
    <row r="1446" spans="21:21" hidden="1" x14ac:dyDescent="0.25">
      <c r="U1446" s="336"/>
    </row>
    <row r="1447" spans="21:21" hidden="1" x14ac:dyDescent="0.25">
      <c r="U1447" s="336"/>
    </row>
    <row r="1448" spans="21:21" hidden="1" x14ac:dyDescent="0.25">
      <c r="U1448" s="336"/>
    </row>
    <row r="1449" spans="21:21" hidden="1" x14ac:dyDescent="0.25">
      <c r="U1449" s="336"/>
    </row>
    <row r="1450" spans="21:21" hidden="1" x14ac:dyDescent="0.25">
      <c r="U1450" s="336"/>
    </row>
    <row r="1451" spans="21:21" hidden="1" x14ac:dyDescent="0.25">
      <c r="U1451" s="336"/>
    </row>
    <row r="1452" spans="21:21" hidden="1" x14ac:dyDescent="0.25">
      <c r="U1452" s="336"/>
    </row>
    <row r="1453" spans="21:21" hidden="1" x14ac:dyDescent="0.25">
      <c r="U1453" s="336"/>
    </row>
    <row r="1454" spans="21:21" hidden="1" x14ac:dyDescent="0.25">
      <c r="U1454" s="336"/>
    </row>
    <row r="1455" spans="21:21" hidden="1" x14ac:dyDescent="0.25">
      <c r="U1455" s="336"/>
    </row>
    <row r="1456" spans="21:21" hidden="1" x14ac:dyDescent="0.25">
      <c r="U1456" s="336"/>
    </row>
    <row r="1457" spans="21:21" hidden="1" x14ac:dyDescent="0.25">
      <c r="U1457" s="336"/>
    </row>
    <row r="1458" spans="21:21" hidden="1" x14ac:dyDescent="0.25">
      <c r="U1458" s="336"/>
    </row>
    <row r="1459" spans="21:21" hidden="1" x14ac:dyDescent="0.25">
      <c r="U1459" s="336"/>
    </row>
    <row r="1460" spans="21:21" hidden="1" x14ac:dyDescent="0.25">
      <c r="U1460" s="336"/>
    </row>
    <row r="1461" spans="21:21" hidden="1" x14ac:dyDescent="0.25">
      <c r="U1461" s="336"/>
    </row>
    <row r="1462" spans="21:21" hidden="1" x14ac:dyDescent="0.25">
      <c r="U1462" s="336"/>
    </row>
    <row r="1463" spans="21:21" hidden="1" x14ac:dyDescent="0.25">
      <c r="U1463" s="336"/>
    </row>
    <row r="1464" spans="21:21" hidden="1" x14ac:dyDescent="0.25">
      <c r="U1464" s="336"/>
    </row>
    <row r="1465" spans="21:21" hidden="1" x14ac:dyDescent="0.25">
      <c r="U1465" s="336"/>
    </row>
    <row r="1466" spans="21:21" hidden="1" x14ac:dyDescent="0.25">
      <c r="U1466" s="336"/>
    </row>
    <row r="1467" spans="21:21" hidden="1" x14ac:dyDescent="0.25">
      <c r="U1467" s="336"/>
    </row>
    <row r="1468" spans="21:21" hidden="1" x14ac:dyDescent="0.25">
      <c r="U1468" s="336"/>
    </row>
    <row r="1469" spans="21:21" hidden="1" x14ac:dyDescent="0.25">
      <c r="U1469" s="336"/>
    </row>
    <row r="1470" spans="21:21" hidden="1" x14ac:dyDescent="0.25">
      <c r="U1470" s="336"/>
    </row>
    <row r="1471" spans="21:21" hidden="1" x14ac:dyDescent="0.25">
      <c r="U1471" s="336"/>
    </row>
    <row r="1472" spans="21:21" hidden="1" x14ac:dyDescent="0.25">
      <c r="U1472" s="336"/>
    </row>
    <row r="1473" spans="21:21" hidden="1" x14ac:dyDescent="0.25">
      <c r="U1473" s="336"/>
    </row>
    <row r="1474" spans="21:21" hidden="1" x14ac:dyDescent="0.25">
      <c r="U1474" s="336"/>
    </row>
    <row r="1475" spans="21:21" hidden="1" x14ac:dyDescent="0.25">
      <c r="U1475" s="336"/>
    </row>
    <row r="1476" spans="21:21" hidden="1" x14ac:dyDescent="0.25">
      <c r="U1476" s="336"/>
    </row>
    <row r="1477" spans="21:21" hidden="1" x14ac:dyDescent="0.25">
      <c r="U1477" s="336"/>
    </row>
    <row r="1478" spans="21:21" hidden="1" x14ac:dyDescent="0.25">
      <c r="U1478" s="336"/>
    </row>
    <row r="1479" spans="21:21" hidden="1" x14ac:dyDescent="0.25">
      <c r="U1479" s="336"/>
    </row>
    <row r="1480" spans="21:21" hidden="1" x14ac:dyDescent="0.25">
      <c r="U1480" s="336"/>
    </row>
    <row r="1481" spans="21:21" hidden="1" x14ac:dyDescent="0.25">
      <c r="U1481" s="336"/>
    </row>
    <row r="1482" spans="21:21" hidden="1" x14ac:dyDescent="0.25">
      <c r="U1482" s="336"/>
    </row>
    <row r="1483" spans="21:21" hidden="1" x14ac:dyDescent="0.25">
      <c r="U1483" s="336"/>
    </row>
    <row r="1484" spans="21:21" hidden="1" x14ac:dyDescent="0.25">
      <c r="U1484" s="336"/>
    </row>
    <row r="1485" spans="21:21" hidden="1" x14ac:dyDescent="0.25">
      <c r="U1485" s="336"/>
    </row>
    <row r="1486" spans="21:21" hidden="1" x14ac:dyDescent="0.25">
      <c r="U1486" s="336"/>
    </row>
    <row r="1487" spans="21:21" hidden="1" x14ac:dyDescent="0.25">
      <c r="U1487" s="336"/>
    </row>
    <row r="1488" spans="21:21" hidden="1" x14ac:dyDescent="0.25">
      <c r="U1488" s="336"/>
    </row>
    <row r="1489" spans="21:21" hidden="1" x14ac:dyDescent="0.25">
      <c r="U1489" s="336"/>
    </row>
    <row r="1490" spans="21:21" hidden="1" x14ac:dyDescent="0.25">
      <c r="U1490" s="336"/>
    </row>
    <row r="1491" spans="21:21" hidden="1" x14ac:dyDescent="0.25">
      <c r="U1491" s="336"/>
    </row>
    <row r="1492" spans="21:21" hidden="1" x14ac:dyDescent="0.25">
      <c r="U1492" s="336"/>
    </row>
    <row r="1493" spans="21:21" hidden="1" x14ac:dyDescent="0.25">
      <c r="U1493" s="336"/>
    </row>
    <row r="1494" spans="21:21" hidden="1" x14ac:dyDescent="0.25">
      <c r="U1494" s="336"/>
    </row>
    <row r="1495" spans="21:21" hidden="1" x14ac:dyDescent="0.25">
      <c r="U1495" s="336"/>
    </row>
    <row r="1496" spans="21:21" hidden="1" x14ac:dyDescent="0.25">
      <c r="U1496" s="336"/>
    </row>
    <row r="1497" spans="21:21" hidden="1" x14ac:dyDescent="0.25">
      <c r="U1497" s="336"/>
    </row>
    <row r="1498" spans="21:21" hidden="1" x14ac:dyDescent="0.25">
      <c r="U1498" s="336"/>
    </row>
    <row r="1499" spans="21:21" hidden="1" x14ac:dyDescent="0.25">
      <c r="U1499" s="336"/>
    </row>
    <row r="1500" spans="21:21" hidden="1" x14ac:dyDescent="0.25">
      <c r="U1500" s="336"/>
    </row>
    <row r="1501" spans="21:21" hidden="1" x14ac:dyDescent="0.25">
      <c r="U1501" s="336"/>
    </row>
    <row r="1502" spans="21:21" hidden="1" x14ac:dyDescent="0.25">
      <c r="U1502" s="336"/>
    </row>
    <row r="1503" spans="21:21" hidden="1" x14ac:dyDescent="0.25">
      <c r="U1503" s="336"/>
    </row>
    <row r="1504" spans="21:21" hidden="1" x14ac:dyDescent="0.25">
      <c r="U1504" s="336"/>
    </row>
    <row r="1505" spans="21:21" hidden="1" x14ac:dyDescent="0.25">
      <c r="U1505" s="336"/>
    </row>
    <row r="1506" spans="21:21" hidden="1" x14ac:dyDescent="0.25">
      <c r="U1506" s="336"/>
    </row>
    <row r="1507" spans="21:21" hidden="1" x14ac:dyDescent="0.25">
      <c r="U1507" s="336"/>
    </row>
    <row r="1508" spans="21:21" hidden="1" x14ac:dyDescent="0.25">
      <c r="U1508" s="336"/>
    </row>
    <row r="1509" spans="21:21" hidden="1" x14ac:dyDescent="0.25">
      <c r="U1509" s="336"/>
    </row>
    <row r="1510" spans="21:21" hidden="1" x14ac:dyDescent="0.25">
      <c r="U1510" s="336"/>
    </row>
    <row r="1511" spans="21:21" hidden="1" x14ac:dyDescent="0.25">
      <c r="U1511" s="336"/>
    </row>
    <row r="1512" spans="21:21" hidden="1" x14ac:dyDescent="0.25">
      <c r="U1512" s="336"/>
    </row>
    <row r="1513" spans="21:21" hidden="1" x14ac:dyDescent="0.25">
      <c r="U1513" s="336"/>
    </row>
    <row r="1514" spans="21:21" hidden="1" x14ac:dyDescent="0.25">
      <c r="U1514" s="336"/>
    </row>
    <row r="1515" spans="21:21" hidden="1" x14ac:dyDescent="0.25">
      <c r="U1515" s="336"/>
    </row>
    <row r="1516" spans="21:21" hidden="1" x14ac:dyDescent="0.25">
      <c r="U1516" s="336"/>
    </row>
    <row r="1517" spans="21:21" hidden="1" x14ac:dyDescent="0.25">
      <c r="U1517" s="336"/>
    </row>
    <row r="1518" spans="21:21" hidden="1" x14ac:dyDescent="0.25">
      <c r="U1518" s="336"/>
    </row>
    <row r="1519" spans="21:21" hidden="1" x14ac:dyDescent="0.25">
      <c r="U1519" s="336"/>
    </row>
    <row r="1520" spans="21:21" hidden="1" x14ac:dyDescent="0.25">
      <c r="U1520" s="336"/>
    </row>
    <row r="1521" spans="21:21" hidden="1" x14ac:dyDescent="0.25">
      <c r="U1521" s="336"/>
    </row>
    <row r="1522" spans="21:21" hidden="1" x14ac:dyDescent="0.25">
      <c r="U1522" s="336"/>
    </row>
    <row r="1523" spans="21:21" hidden="1" x14ac:dyDescent="0.25">
      <c r="U1523" s="336"/>
    </row>
    <row r="1524" spans="21:21" hidden="1" x14ac:dyDescent="0.25">
      <c r="U1524" s="336"/>
    </row>
    <row r="1525" spans="21:21" hidden="1" x14ac:dyDescent="0.25">
      <c r="U1525" s="336"/>
    </row>
    <row r="1526" spans="21:21" hidden="1" x14ac:dyDescent="0.25">
      <c r="U1526" s="336"/>
    </row>
    <row r="1527" spans="21:21" hidden="1" x14ac:dyDescent="0.25">
      <c r="U1527" s="336"/>
    </row>
    <row r="1528" spans="21:21" hidden="1" x14ac:dyDescent="0.25">
      <c r="U1528" s="336"/>
    </row>
    <row r="1529" spans="21:21" hidden="1" x14ac:dyDescent="0.25">
      <c r="U1529" s="336"/>
    </row>
    <row r="1530" spans="21:21" hidden="1" x14ac:dyDescent="0.25">
      <c r="U1530" s="336"/>
    </row>
    <row r="1531" spans="21:21" hidden="1" x14ac:dyDescent="0.25">
      <c r="U1531" s="336"/>
    </row>
    <row r="1532" spans="21:21" hidden="1" x14ac:dyDescent="0.25">
      <c r="U1532" s="336"/>
    </row>
    <row r="1533" spans="21:21" hidden="1" x14ac:dyDescent="0.25">
      <c r="U1533" s="336"/>
    </row>
    <row r="1534" spans="21:21" hidden="1" x14ac:dyDescent="0.25">
      <c r="U1534" s="336"/>
    </row>
    <row r="1535" spans="21:21" hidden="1" x14ac:dyDescent="0.25">
      <c r="U1535" s="336"/>
    </row>
    <row r="1536" spans="21:21" hidden="1" x14ac:dyDescent="0.25">
      <c r="U1536" s="336"/>
    </row>
    <row r="1537" spans="21:21" hidden="1" x14ac:dyDescent="0.25">
      <c r="U1537" s="336"/>
    </row>
    <row r="1538" spans="21:21" hidden="1" x14ac:dyDescent="0.25">
      <c r="U1538" s="336"/>
    </row>
    <row r="1539" spans="21:21" hidden="1" x14ac:dyDescent="0.25">
      <c r="U1539" s="336"/>
    </row>
    <row r="1540" spans="21:21" hidden="1" x14ac:dyDescent="0.25">
      <c r="U1540" s="336"/>
    </row>
    <row r="1541" spans="21:21" hidden="1" x14ac:dyDescent="0.25">
      <c r="U1541" s="336"/>
    </row>
    <row r="1542" spans="21:21" hidden="1" x14ac:dyDescent="0.25">
      <c r="U1542" s="336"/>
    </row>
    <row r="1543" spans="21:21" hidden="1" x14ac:dyDescent="0.25">
      <c r="U1543" s="336"/>
    </row>
    <row r="1544" spans="21:21" hidden="1" x14ac:dyDescent="0.25">
      <c r="U1544" s="336"/>
    </row>
    <row r="1545" spans="21:21" hidden="1" x14ac:dyDescent="0.25">
      <c r="U1545" s="336"/>
    </row>
    <row r="1546" spans="21:21" hidden="1" x14ac:dyDescent="0.25">
      <c r="U1546" s="336"/>
    </row>
    <row r="1547" spans="21:21" hidden="1" x14ac:dyDescent="0.25">
      <c r="U1547" s="336"/>
    </row>
    <row r="1548" spans="21:21" hidden="1" x14ac:dyDescent="0.25">
      <c r="U1548" s="336"/>
    </row>
    <row r="1549" spans="21:21" hidden="1" x14ac:dyDescent="0.25">
      <c r="U1549" s="336"/>
    </row>
    <row r="1550" spans="21:21" hidden="1" x14ac:dyDescent="0.25">
      <c r="U1550" s="336"/>
    </row>
    <row r="1551" spans="21:21" hidden="1" x14ac:dyDescent="0.25">
      <c r="U1551" s="336"/>
    </row>
    <row r="1552" spans="21:21" hidden="1" x14ac:dyDescent="0.25">
      <c r="U1552" s="336"/>
    </row>
    <row r="1553" spans="21:21" hidden="1" x14ac:dyDescent="0.25">
      <c r="U1553" s="336"/>
    </row>
    <row r="1554" spans="21:21" hidden="1" x14ac:dyDescent="0.25">
      <c r="U1554" s="336"/>
    </row>
    <row r="1555" spans="21:21" hidden="1" x14ac:dyDescent="0.25">
      <c r="U1555" s="336"/>
    </row>
    <row r="1556" spans="21:21" hidden="1" x14ac:dyDescent="0.25">
      <c r="U1556" s="336"/>
    </row>
    <row r="1557" spans="21:21" hidden="1" x14ac:dyDescent="0.25">
      <c r="U1557" s="336"/>
    </row>
    <row r="1558" spans="21:21" hidden="1" x14ac:dyDescent="0.25">
      <c r="U1558" s="336"/>
    </row>
    <row r="1559" spans="21:21" hidden="1" x14ac:dyDescent="0.25">
      <c r="U1559" s="336"/>
    </row>
    <row r="1560" spans="21:21" hidden="1" x14ac:dyDescent="0.25">
      <c r="U1560" s="336"/>
    </row>
    <row r="1561" spans="21:21" hidden="1" x14ac:dyDescent="0.25">
      <c r="U1561" s="336"/>
    </row>
    <row r="1562" spans="21:21" hidden="1" x14ac:dyDescent="0.25">
      <c r="U1562" s="336"/>
    </row>
    <row r="1563" spans="21:21" hidden="1" x14ac:dyDescent="0.25">
      <c r="U1563" s="336"/>
    </row>
    <row r="1564" spans="21:21" hidden="1" x14ac:dyDescent="0.25">
      <c r="U1564" s="336"/>
    </row>
    <row r="1565" spans="21:21" hidden="1" x14ac:dyDescent="0.25">
      <c r="U1565" s="336"/>
    </row>
    <row r="1566" spans="21:21" hidden="1" x14ac:dyDescent="0.25">
      <c r="U1566" s="336"/>
    </row>
    <row r="1567" spans="21:21" hidden="1" x14ac:dyDescent="0.25">
      <c r="U1567" s="336"/>
    </row>
    <row r="1568" spans="21:21" hidden="1" x14ac:dyDescent="0.25">
      <c r="U1568" s="336"/>
    </row>
    <row r="1569" spans="21:21" hidden="1" x14ac:dyDescent="0.25">
      <c r="U1569" s="336"/>
    </row>
    <row r="1570" spans="21:21" hidden="1" x14ac:dyDescent="0.25">
      <c r="U1570" s="336"/>
    </row>
    <row r="1571" spans="21:21" hidden="1" x14ac:dyDescent="0.25">
      <c r="U1571" s="336"/>
    </row>
    <row r="1572" spans="21:21" hidden="1" x14ac:dyDescent="0.25">
      <c r="U1572" s="336"/>
    </row>
    <row r="1573" spans="21:21" hidden="1" x14ac:dyDescent="0.25">
      <c r="U1573" s="336"/>
    </row>
    <row r="1574" spans="21:21" hidden="1" x14ac:dyDescent="0.25">
      <c r="U1574" s="336"/>
    </row>
    <row r="1575" spans="21:21" hidden="1" x14ac:dyDescent="0.25">
      <c r="U1575" s="336"/>
    </row>
    <row r="1576" spans="21:21" hidden="1" x14ac:dyDescent="0.25">
      <c r="U1576" s="336"/>
    </row>
    <row r="1577" spans="21:21" hidden="1" x14ac:dyDescent="0.25">
      <c r="U1577" s="336"/>
    </row>
    <row r="1578" spans="21:21" hidden="1" x14ac:dyDescent="0.25">
      <c r="U1578" s="336"/>
    </row>
    <row r="1579" spans="21:21" hidden="1" x14ac:dyDescent="0.25">
      <c r="U1579" s="336"/>
    </row>
    <row r="1580" spans="21:21" hidden="1" x14ac:dyDescent="0.25">
      <c r="U1580" s="336"/>
    </row>
    <row r="1581" spans="21:21" hidden="1" x14ac:dyDescent="0.25">
      <c r="U1581" s="336"/>
    </row>
    <row r="1582" spans="21:21" hidden="1" x14ac:dyDescent="0.25">
      <c r="U1582" s="336"/>
    </row>
    <row r="1583" spans="21:21" hidden="1" x14ac:dyDescent="0.25">
      <c r="U1583" s="336"/>
    </row>
    <row r="1584" spans="21:21" hidden="1" x14ac:dyDescent="0.25">
      <c r="U1584" s="336"/>
    </row>
    <row r="1585" spans="21:21" hidden="1" x14ac:dyDescent="0.25">
      <c r="U1585" s="336"/>
    </row>
    <row r="1586" spans="21:21" hidden="1" x14ac:dyDescent="0.25">
      <c r="U1586" s="336"/>
    </row>
    <row r="1587" spans="21:21" hidden="1" x14ac:dyDescent="0.25">
      <c r="U1587" s="336"/>
    </row>
    <row r="1588" spans="21:21" hidden="1" x14ac:dyDescent="0.25">
      <c r="U1588" s="336"/>
    </row>
    <row r="1589" spans="21:21" hidden="1" x14ac:dyDescent="0.25">
      <c r="U1589" s="336"/>
    </row>
    <row r="1590" spans="21:21" hidden="1" x14ac:dyDescent="0.25">
      <c r="U1590" s="336"/>
    </row>
    <row r="1591" spans="21:21" hidden="1" x14ac:dyDescent="0.25">
      <c r="U1591" s="336"/>
    </row>
    <row r="1592" spans="21:21" hidden="1" x14ac:dyDescent="0.25">
      <c r="U1592" s="336"/>
    </row>
    <row r="1593" spans="21:21" hidden="1" x14ac:dyDescent="0.25">
      <c r="U1593" s="336"/>
    </row>
    <row r="1594" spans="21:21" hidden="1" x14ac:dyDescent="0.25">
      <c r="U1594" s="336"/>
    </row>
    <row r="1595" spans="21:21" hidden="1" x14ac:dyDescent="0.25">
      <c r="U1595" s="336"/>
    </row>
    <row r="1596" spans="21:21" hidden="1" x14ac:dyDescent="0.25">
      <c r="U1596" s="336"/>
    </row>
    <row r="1597" spans="21:21" hidden="1" x14ac:dyDescent="0.25">
      <c r="U1597" s="336"/>
    </row>
    <row r="1598" spans="21:21" hidden="1" x14ac:dyDescent="0.25">
      <c r="U1598" s="336"/>
    </row>
    <row r="1599" spans="21:21" hidden="1" x14ac:dyDescent="0.25">
      <c r="U1599" s="336"/>
    </row>
    <row r="1600" spans="21:21" hidden="1" x14ac:dyDescent="0.25">
      <c r="U1600" s="336"/>
    </row>
    <row r="1601" spans="21:21" hidden="1" x14ac:dyDescent="0.25">
      <c r="U1601" s="336"/>
    </row>
    <row r="1602" spans="21:21" hidden="1" x14ac:dyDescent="0.25">
      <c r="U1602" s="336"/>
    </row>
    <row r="1603" spans="21:21" x14ac:dyDescent="0.25">
      <c r="U1603" s="336"/>
    </row>
  </sheetData>
  <sheetProtection algorithmName="SHA-512" hashValue="308BhuJiVafCyDKMN7eSz2MB1jTZtaJre8BLbsQR+n7JpwePhWtYXdHcuMYqLxhWiba+QPtgjqjYVPzlWOZUuw==" saltValue="ok7JbIbIJqh6yl9GdWK4FQ==" spinCount="100000" sheet="1" formatCells="0" formatColumns="0" formatRows="0" insertColumns="0" insertRows="0" insertHyperlinks="0" deleteColumns="0" deleteRows="0" sort="0" autoFilter="0" pivotTables="0"/>
  <protectedRanges>
    <protectedRange algorithmName="SHA-512" hashValue="wFDaXhS3G8hksSjgCquaS0JTvV01o7K1l2qYc8zu5Cm4+T/VWv55mKm0jpED+RxIqRW+yEuXGvANBMp2VRa+4A==" saltValue="+8AZcH95rNNVP/WKlClBow==" spinCount="100000" sqref="AD109:AE609" name="MO"/>
    <protectedRange algorithmName="SHA-512" hashValue="5zLJq84JKYEuaMzGBkbEeRVOMwRkMxsdXxi1HF9PocJtjuPZT09tttX7qBWDx/eu+pYNIKXhw+DkxpqxkOijEQ==" saltValue="rmIZcyuTpOO02A6vY0Cblg==" spinCount="100000" sqref="M127" name="Intervalo1"/>
    <protectedRange algorithmName="SHA-512" hashValue="2GPD/7kfQGVsm97HL1whDQqOYPW6b7RwaymkhE5JBAlGl+pv8h49uWFXHUJ57s85kF9NFivF0aR933FJDuHFuA==" saltValue="BVp4zL1Ntx1rswK0gDW8kw==" spinCount="100000" sqref="M127" name="Inserir_linhas"/>
    <protectedRange algorithmName="SHA-512" hashValue="be6zEK4YRqntEkGLCNP1kiV+jcVUsW5GdHOkRQrnmbeDOc+h6JGzvLu3ZfFbNRTIrZwjo+sKlF+urRY+Ee3sBg==" saltValue="E9j7DMk3CA3iBACoTtgfZg==" spinCount="100000" sqref="AD109:AE609" name="Profissionais"/>
    <protectedRange algorithmName="SHA-512" hashValue="vXx76iLJ1ikVU/Scvgep2/4UcRqKXfWts7Cdkt4M0Tl6pSujdLl0a5/fEcmy6CQ81oqo04/LJ4TSvFAXiisx0Q==" saltValue="UA0lum1GMCOByxdMF8eBUA==" spinCount="100000" sqref="B1:B194 B196:B205 B207:B1048576" name="REF_fixa"/>
  </protectedRanges>
  <autoFilter ref="A108:BG609" xr:uid="{00000000-0001-0000-1000-000000000000}">
    <filterColumn colId="25" showButton="0"/>
    <sortState xmlns:xlrd2="http://schemas.microsoft.com/office/spreadsheetml/2017/richdata2" ref="A109:BG609">
      <sortCondition ref="A108:A609"/>
    </sortState>
  </autoFilter>
  <dataConsolidate/>
  <mergeCells count="24">
    <mergeCell ref="Z108:AA108"/>
    <mergeCell ref="M105:M107"/>
    <mergeCell ref="N105:N107"/>
    <mergeCell ref="O105:O106"/>
    <mergeCell ref="U105:U106"/>
    <mergeCell ref="X105:Y107"/>
    <mergeCell ref="AK105:AN106"/>
    <mergeCell ref="AD107:AE107"/>
    <mergeCell ref="AK102:AL102"/>
    <mergeCell ref="X103:Y103"/>
    <mergeCell ref="AD103:AE106"/>
    <mergeCell ref="AF103:AF106"/>
    <mergeCell ref="AK103:AL103"/>
    <mergeCell ref="AK104:AL104"/>
    <mergeCell ref="G100:M100"/>
    <mergeCell ref="AP100:BA107"/>
    <mergeCell ref="F101:L107"/>
    <mergeCell ref="P101:V104"/>
    <mergeCell ref="AC101:AF101"/>
    <mergeCell ref="AG101:AO101"/>
    <mergeCell ref="AC102:AD102"/>
    <mergeCell ref="AH102:AH107"/>
    <mergeCell ref="AI102:AI106"/>
    <mergeCell ref="AJ102:AJ106"/>
  </mergeCells>
  <conditionalFormatting sqref="AF96">
    <cfRule type="colorScale" priority="41">
      <colorScale>
        <cfvo type="num" val="0.5"/>
        <cfvo type="num" val="0.65"/>
        <cfvo type="num" val="0.8"/>
        <color rgb="FF7030A0"/>
        <color rgb="FF92D050"/>
        <color rgb="FFFF0000"/>
      </colorScale>
    </cfRule>
  </conditionalFormatting>
  <conditionalFormatting sqref="Y102">
    <cfRule type="colorScale" priority="40">
      <colorScale>
        <cfvo type="num" val="0.55000000000000004"/>
        <cfvo type="num" val="0.69"/>
        <cfvo type="num" val="0.85"/>
        <color rgb="FFFF0000"/>
        <color rgb="FF08EA3E"/>
        <color rgb="FFFF0000"/>
      </colorScale>
    </cfRule>
  </conditionalFormatting>
  <conditionalFormatting sqref="AC109:AC609">
    <cfRule type="expression" dxfId="35" priority="39">
      <formula>AE109&lt;0</formula>
    </cfRule>
  </conditionalFormatting>
  <conditionalFormatting sqref="AD109 AD111 AD113 AD115 AD117 AD119 AD121 AD123 AD125 AD127 AD129 AD133 AD135 AD137 AD139 AD141 AD143 AD145 AD147 AD149 AD151 AD153 AD155 AD157 AD159 AD161 AD163 AD165 AD167 AD169 AD171 AD173 AD175 AD180 AD182 AD184 AD186 AD188 AD190 AD192 AD194 AD196 AD198 AD200 AD202 AD204 AD206 AD208 AD210 AD212 AD390 AD392 AD394 AD396 AD398 AD400 AD402 AD404 AD406 AD408 AD410 AD412 AD414 AD416 AD418 AD420 AD422 AD424 AD426 AD428 AD430 AD432 AD434 AD436 AD438 AD440 AD442 AD444 AD446 AD448 AD450 AD452 AD454 AD456 AD458 AD460 AD585 AD587 AD589 AD591 AD607 AD609 AD131 AD462:AD463 AD465 AD467 AD469 AD471 AD473 AD475 AD477 AD479 AD481 AD483 AD485 AD487 AD489 AD491 AD493 AD495 AD497 AD499 AD501 AD503 AD505 AD507:AD508 AD510 AD512 AD514 AD516 AD518 AD520 AD522 AD524 AD526 AD528 AD530 AD563 AD565 AD567 AD569 AD571 AD573 AD575 AD577 AD579 AD581 AD583 AD599 AD601 AD603 AD605 AD593 AD595 AD597">
    <cfRule type="expression" dxfId="34" priority="38">
      <formula>AE109&lt;0</formula>
    </cfRule>
  </conditionalFormatting>
  <conditionalFormatting sqref="X104">
    <cfRule type="containsText" dxfId="33" priority="36" operator="containsText" text="Não">
      <formula>NOT(ISERROR(SEARCH("Não",X104)))</formula>
    </cfRule>
  </conditionalFormatting>
  <conditionalFormatting sqref="O107">
    <cfRule type="colorScale" priority="35">
      <colorScale>
        <cfvo type="num" val="0.55000000000000004"/>
        <cfvo type="num" val="0.69"/>
        <cfvo type="num" val="0.85"/>
        <color rgb="FFFF0000"/>
        <color rgb="FF08EA3E"/>
        <color rgb="FFFF0000"/>
      </colorScale>
    </cfRule>
  </conditionalFormatting>
  <conditionalFormatting sqref="O109:O609">
    <cfRule type="expression" dxfId="32" priority="33">
      <formula>Y109=0</formula>
    </cfRule>
  </conditionalFormatting>
  <conditionalFormatting sqref="AC110 AC112 AC114 AC116 AC118 AC120 AC122 AC124 AC126 AC128 AC130 AC132 AC134 AC136 AC138 AC140 AC142 AC144 AC146 AC148 AC150 AC152 AC154 AC156 AC158 AC160 AC162 AC164 AC166 AC168 AC170 AC172 AC174 AC181 AC183 AC185 AC187 AC189 AC191 AC193 AC195 AC197 AC199 AC201 AC203 AC205 AC207 AC209 AC211 AC391 AC393 AC395 AC397 AC399 AC401 AC403 AC405 AC407 AC409 AC411 AC413 AC415 AC417 AC419 AC421 AC423 AC425 AC427 AC429 AC431 AC433 AC435 AC437 AC439 AC441 AC443 AC445 AC447 AC449 AC451 AC453 AC455 AC457 AC459 AC461 AC584 AC586 AC588 AC590 AC606 AC608 AC176:AC177 AC179 AC213:AC214 AC216 AC218 AC220 AC222 AC224 AC226 AC228 AC230 AC232 AC234 AC236 AC238 AC240 AC242 AC244 AC246 AC248 AC250 AC252 AC254 AC256 AC258 AC260 AC262 AC264 AC266 AC268 AC270 AC272 AC274 AC276 AC278 AC280 AC282 AC284 AC381 AC383 AC385 AC387 AC389 AC297 AC299 AC301 AC303 AC305 AC307 AC309 AC311 AC313 AC315 AC286:AC287 AC289 AC291 AC293 AC295 AC328 AC330 AC332 AC334 AC336 AC338 AC340 AC342 AC344 AC346 AC317:AC318 AC320 AC322 AC324 AC326 AC359 AC361 AC363 AC365 AC367 AC369 AC371 AC373 AC375 AC377 AC379 AC348:AC349 AC351 AC353 AC355 AC357">
    <cfRule type="expression" dxfId="31" priority="32">
      <formula>AE110&lt;0</formula>
    </cfRule>
  </conditionalFormatting>
  <conditionalFormatting sqref="AD110 AD112 AD114 AD116 AD118 AD120 AD122 AD124 AD126 AD128 AD130 AD132 AD134 AD136 AD138 AD140 AD142 AD144 AD146 AD148 AD150 AD152 AD154 AD156 AD158 AD160 AD162 AD164 AD166 AD168 AD170 AD172 AD174 AD181 AD183 AD185 AD187 AD189 AD191 AD193 AD195 AD197 AD199 AD201 AD203 AD205 AD207 AD209 AD211 AD391 AD393 AD395 AD397 AD399 AD401 AD403 AD405 AD407 AD409 AD411 AD413 AD415 AD417 AD419 AD421 AD423 AD425 AD427 AD429 AD431 AD433 AD435 AD437 AD439 AD441 AD443 AD445 AD447 AD449 AD451 AD453 AD455 AD457 AD459 AD461 AD584 AD586 AD588 AD590 AD606 AD608 AD176:AD177 AD179 AD213:AD214 AD216 AD218 AD220 AD222 AD224 AD226 AD228 AD230 AD232 AD234 AD236 AD238 AD240 AD242 AD244 AD246 AD248 AD250 AD252 AD254 AD256 AD258 AD260 AD262 AD264 AD266 AD268 AD270 AD272 AD274 AD276 AD278 AD280 AD282 AD284 AD381 AD383 AD385 AD387 AD389 AD297 AD299 AD301 AD303 AD305 AD307 AD309 AD311 AD313 AD315 AD286:AD287 AD289 AD291 AD293 AD295 AD328 AD330 AD332 AD334 AD336 AD338 AD340 AD342 AD344 AD346 AD317:AD318 AD320 AD322 AD324 AD326 AD359 AD361 AD363 AD365 AD367 AD369 AD371 AD373 AD375 AD377 AD379 AD348:AD349 AD351 AD353 AD355 AD357">
    <cfRule type="expression" dxfId="30" priority="31">
      <formula>AE110&lt;0</formula>
    </cfRule>
  </conditionalFormatting>
  <conditionalFormatting sqref="H785:H787 H751:H777 H847:H852">
    <cfRule type="duplicateValues" dxfId="29" priority="30"/>
  </conditionalFormatting>
  <conditionalFormatting sqref="AA109:AA609">
    <cfRule type="expression" dxfId="28" priority="28">
      <formula>AA109/AS109&lt;0.92</formula>
    </cfRule>
    <cfRule type="expression" dxfId="27" priority="29">
      <formula>AA109/AS109 &gt;1.08</formula>
    </cfRule>
  </conditionalFormatting>
  <conditionalFormatting sqref="AC178">
    <cfRule type="expression" dxfId="26" priority="27">
      <formula>AE178&lt;0</formula>
    </cfRule>
  </conditionalFormatting>
  <conditionalFormatting sqref="AD178">
    <cfRule type="expression" dxfId="25" priority="26">
      <formula>AE178&lt;0</formula>
    </cfRule>
  </conditionalFormatting>
  <conditionalFormatting sqref="A109:BG609">
    <cfRule type="expression" dxfId="24" priority="24">
      <formula>MOD(ROW(),2)=0</formula>
    </cfRule>
    <cfRule type="expression" dxfId="23" priority="25">
      <formula>"MOD($A$109:$BF$298);2)"</formula>
    </cfRule>
  </conditionalFormatting>
  <conditionalFormatting sqref="AB109:AB609">
    <cfRule type="expression" dxfId="22" priority="22">
      <formula>AA109/AS109&gt;1.1</formula>
    </cfRule>
    <cfRule type="expression" dxfId="21" priority="23">
      <formula>AA109/AS109&lt;0.9</formula>
    </cfRule>
  </conditionalFormatting>
  <conditionalFormatting sqref="AC109:AC609">
    <cfRule type="expression" dxfId="20" priority="21">
      <formula>BG109&lt;&gt;1</formula>
    </cfRule>
  </conditionalFormatting>
  <conditionalFormatting sqref="AB111:AB112">
    <cfRule type="expression" dxfId="19" priority="20">
      <formula>O111=0</formula>
    </cfRule>
  </conditionalFormatting>
  <conditionalFormatting sqref="AB109:AB609">
    <cfRule type="expression" dxfId="18" priority="19">
      <formula>O109=0</formula>
    </cfRule>
  </conditionalFormatting>
  <conditionalFormatting sqref="AD215 AD217 AD219 AD221 AD223 AD225 AD227 AD229 AD231 AD233 AD235 AD237 AD239 AD241 AD243 AD245 AD247 AD249 AD251 AD253 AD255 AD257 AD259 AD261 AD263 AD265 AD267 AD269 AD271 AD273 AD275 AD277 AD279 AD281 AD283 AD285 AD380 AD382 AD384 AD386 AD388">
    <cfRule type="expression" dxfId="17" priority="18">
      <formula>AE215&lt;0</formula>
    </cfRule>
  </conditionalFormatting>
  <conditionalFormatting sqref="AD296 AD298 AD300 AD302 AD304 AD306 AD308 AD310 AD312 AD314 AD316">
    <cfRule type="expression" dxfId="16" priority="17">
      <formula>AE296&lt;0</formula>
    </cfRule>
  </conditionalFormatting>
  <conditionalFormatting sqref="AD288 AD290 AD292 AD294">
    <cfRule type="expression" dxfId="15" priority="16">
      <formula>AE288&lt;0</formula>
    </cfRule>
  </conditionalFormatting>
  <conditionalFormatting sqref="AD327 AD329 AD331 AD333 AD335 AD337 AD339 AD341 AD343 AD345 AD347">
    <cfRule type="expression" dxfId="14" priority="15">
      <formula>AE327&lt;0</formula>
    </cfRule>
  </conditionalFormatting>
  <conditionalFormatting sqref="AD319 AD321 AD323 AD325">
    <cfRule type="expression" dxfId="13" priority="14">
      <formula>AE319&lt;0</formula>
    </cfRule>
  </conditionalFormatting>
  <conditionalFormatting sqref="AD358 AD360 AD362 AD364 AD366 AD368 AD370 AD372 AD374 AD376 AD378">
    <cfRule type="expression" dxfId="12" priority="13">
      <formula>AE358&lt;0</formula>
    </cfRule>
  </conditionalFormatting>
  <conditionalFormatting sqref="AD350 AD352 AD354 AD356">
    <cfRule type="expression" dxfId="11" priority="12">
      <formula>AE350&lt;0</formula>
    </cfRule>
  </conditionalFormatting>
  <conditionalFormatting sqref="AC464 AC466 AC468 AC470 AC472 AC474 AC476 AC478 AC480 AC482 AC484 AC486 AC488 AC490 AC492 AC494 AC496 AC498 AC500 AC502 AC504 AC506">
    <cfRule type="expression" dxfId="10" priority="11">
      <formula>AE464&lt;0</formula>
    </cfRule>
  </conditionalFormatting>
  <conditionalFormatting sqref="AD464 AD466 AD468 AD470 AD472 AD474 AD476 AD478 AD480 AD482 AD484 AD486 AD488 AD490 AD492 AD494 AD496 AD498 AD500 AD502 AD504 AD506">
    <cfRule type="expression" dxfId="9" priority="10">
      <formula>AE464&lt;0</formula>
    </cfRule>
  </conditionalFormatting>
  <conditionalFormatting sqref="AC509 AC511 AC513 AC515 AC517 AC519 AC521 AC523 AC525 AC527 AC529 AC564 AC566 AC568 AC570 AC572 AC574 AC576 AC578 AC580 AC582 AC531:AC532 AC534 AC536 AC538 AC540 AC542 AC544 AC546 AC548 AC550">
    <cfRule type="expression" dxfId="8" priority="9">
      <formula>AE509&lt;0</formula>
    </cfRule>
  </conditionalFormatting>
  <conditionalFormatting sqref="AD509 AD511 AD513 AD515 AD517 AD519 AD521 AD523 AD525 AD527 AD529 AD564 AD566 AD568 AD570 AD572 AD574 AD576 AD578 AD580 AD582 AD531:AD532 AD534 AD536 AD538 AD540 AD542 AD544 AD546 AD548 AD550">
    <cfRule type="expression" dxfId="7" priority="8">
      <formula>AE509&lt;0</formula>
    </cfRule>
  </conditionalFormatting>
  <conditionalFormatting sqref="AD553 AD555 AD557 AD559 AD561 AD533 AD535 AD537 AD539 AD541 AD543 AD545 AD547 AD549 AD551">
    <cfRule type="expression" dxfId="6" priority="7">
      <formula>AE533&lt;0</formula>
    </cfRule>
  </conditionalFormatting>
  <conditionalFormatting sqref="AC552 AC554 AC556 AC558 AC560 AC562">
    <cfRule type="expression" dxfId="5" priority="6">
      <formula>AE552&lt;0</formula>
    </cfRule>
  </conditionalFormatting>
  <conditionalFormatting sqref="AD552 AD554 AD556 AD558 AD560 AD562">
    <cfRule type="expression" dxfId="4" priority="5">
      <formula>AE552&lt;0</formula>
    </cfRule>
  </conditionalFormatting>
  <conditionalFormatting sqref="AC598 AC600 AC602 AC604">
    <cfRule type="expression" dxfId="3" priority="4">
      <formula>AE598&lt;0</formula>
    </cfRule>
  </conditionalFormatting>
  <conditionalFormatting sqref="AD598 AD600 AD602 AD604">
    <cfRule type="expression" dxfId="2" priority="3">
      <formula>AE598&lt;0</formula>
    </cfRule>
  </conditionalFormatting>
  <conditionalFormatting sqref="AC592 AC594 AC596">
    <cfRule type="expression" dxfId="1" priority="2">
      <formula>AE592&lt;0</formula>
    </cfRule>
  </conditionalFormatting>
  <conditionalFormatting sqref="AD592 AD594 AD596">
    <cfRule type="expression" dxfId="0" priority="1">
      <formula>AE592&lt;0</formula>
    </cfRule>
  </conditionalFormatting>
  <dataValidations count="14">
    <dataValidation type="list" allowBlank="1" showInputMessage="1" showErrorMessage="1" sqref="AI9:AJ9 X109:X609 X5" xr:uid="{007B69CB-7864-435D-94DB-6987F994F1FC}">
      <formula1>$X$5:$X$25</formula1>
    </dataValidation>
    <dataValidation type="list" allowBlank="1" showInputMessage="1" showErrorMessage="1" sqref="F615:F622 F109:F609" xr:uid="{E1995691-B342-4BD8-A3FF-9A38CF044004}">
      <formula1>$F$615:$F$628</formula1>
    </dataValidation>
    <dataValidation type="list" allowBlank="1" showInputMessage="1" showErrorMessage="1" sqref="F788:F808" xr:uid="{CB943480-91E2-4644-A0B8-99CA6D56A340}">
      <formula1>$F$788:$F$809</formula1>
    </dataValidation>
    <dataValidation type="list" allowBlank="1" showInputMessage="1" showErrorMessage="1" sqref="H738 H109:H609" xr:uid="{5C6A69CA-B092-4D3D-8B48-4727A691F344}">
      <formula1>$H$738:$H$776</formula1>
    </dataValidation>
    <dataValidation type="list" allowBlank="1" showInputMessage="1" showErrorMessage="1" sqref="H700:H721 K109:K609" xr:uid="{EF803D19-071B-487E-B680-927DFF9E8CF9}">
      <formula1>$H$700:$H$724</formula1>
    </dataValidation>
    <dataValidation type="list" allowBlank="1" showInputMessage="1" showErrorMessage="1" sqref="J1070:J1084 I109:J609" xr:uid="{733E2C36-D868-4882-887E-03DD53297353}">
      <formula1>$J$1070:$J$1089</formula1>
    </dataValidation>
    <dataValidation type="list" allowBlank="1" showInputMessage="1" showErrorMessage="1" sqref="AI66:AI69 AH109:AH609" xr:uid="{ABFC733A-C373-4506-9526-54062C102C3D}">
      <formula1>$AI$66:$AI$69</formula1>
    </dataValidation>
    <dataValidation type="list" allowBlank="1" showInputMessage="1" showErrorMessage="1" sqref="AI83 AI107" xr:uid="{A7B9BCEB-3790-4147-9C5B-7D0B8A7F4733}">
      <formula1>$AI$83:$AI$86</formula1>
    </dataValidation>
    <dataValidation type="list" allowBlank="1" showInputMessage="1" showErrorMessage="1" sqref="AJ73:AJ76 AJ107" xr:uid="{9814E368-599C-4C28-8EB1-2F98C1C3B941}">
      <formula1>$AJ$73:$AJ$76</formula1>
    </dataValidation>
    <dataValidation type="list" allowBlank="1" showInputMessage="1" showErrorMessage="1" sqref="AX84:AX85 X104" xr:uid="{DB54B9BC-A36B-4115-91B1-484031A73F95}">
      <formula1>$AX$84:$AX$85</formula1>
    </dataValidation>
    <dataValidation type="list" allowBlank="1" showInputMessage="1" showErrorMessage="1" sqref="Y80:AB80" xr:uid="{B48114A6-0200-47B6-A1B9-EEDD15F04301}">
      <formula1>$Y$80:$Y$87</formula1>
    </dataValidation>
    <dataValidation type="list" allowBlank="1" showInputMessage="1" showErrorMessage="1" sqref="AL64" xr:uid="{E5A030A7-3BC6-42B1-99BB-4696412EB2A5}">
      <formula1>$AL$64:$AL$84</formula1>
    </dataValidation>
    <dataValidation type="list" allowBlank="1" showInputMessage="1" showErrorMessage="1" sqref="AF96" xr:uid="{39AE74F7-7E0B-417E-98D0-6BE83F75532B}">
      <formula1>#REF!</formula1>
    </dataValidation>
    <dataValidation type="list" allowBlank="1" showInputMessage="1" showErrorMessage="1" sqref="X79 X102" xr:uid="{272F1186-FCB1-4F0A-B199-0508EDB7A403}">
      <formula1>$X$79:$X$89</formula1>
    </dataValidation>
  </dataValidations>
  <printOptions horizontalCentered="1"/>
  <pageMargins left="0.51181102362204722" right="0.19685039370078741" top="0.39370078740157483" bottom="0.35433070866141736" header="0.19685039370078741" footer="7.874015748031496E-2"/>
  <pageSetup paperSize="9" scale="59" fitToHeight="0" orientation="portrait" r:id="rId1"/>
  <headerFooter>
    <oddHeader>&amp;L&amp;"Calibri"&amp;10&amp;K000000 Documento protegido,  direitos exclusivos da empresa.&amp;1#_x000D_</oddHeader>
    <oddFooter>&amp;L_x000D_&amp;1#&amp;"Calibri"&amp;10&amp;K000000 Documento protegido,  direitos exclusivos da empresa.&amp;R&amp;P de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37" id="{F6EEE908-0B6A-4601-9A58-40A9B300CA52}">
            <x14:iconSet iconSet="4Arrows" custom="1">
              <x14:cfvo type="percent">
                <xm:f>0</xm:f>
              </x14:cfvo>
              <x14:cfvo type="num">
                <xm:f>0.6</xm:f>
              </x14:cfvo>
              <x14:cfvo type="num">
                <xm:f>0.85</xm:f>
              </x14:cfvo>
              <x14:cfvo type="num">
                <xm:f>0.92</xm:f>
              </x14:cfvo>
              <x14:cfIcon iconSet="3Arrows" iconId="0"/>
              <x14:cfIcon iconSet="3Arrows" iconId="1"/>
              <x14:cfIcon iconSet="3ArrowsGray" iconId="2"/>
              <x14:cfIcon iconSet="3Symbols2" iconId="0"/>
            </x14:iconSet>
          </x14:cfRule>
          <xm:sqref>Y102</xm:sqref>
        </x14:conditionalFormatting>
        <x14:conditionalFormatting xmlns:xm="http://schemas.microsoft.com/office/excel/2006/main">
          <x14:cfRule type="iconSet" priority="34" id="{5834B09F-1B0F-4312-807E-7BA9335085C7}">
            <x14:iconSet iconSet="4Arrows" custom="1">
              <x14:cfvo type="percent">
                <xm:f>0</xm:f>
              </x14:cfvo>
              <x14:cfvo type="num">
                <xm:f>0.6</xm:f>
              </x14:cfvo>
              <x14:cfvo type="num">
                <xm:f>0.85</xm:f>
              </x14:cfvo>
              <x14:cfvo type="num">
                <xm:f>0.92</xm:f>
              </x14:cfvo>
              <x14:cfIcon iconSet="3Arrows" iconId="0"/>
              <x14:cfIcon iconSet="3Arrows" iconId="1"/>
              <x14:cfIcon iconSet="3ArrowsGray" iconId="2"/>
              <x14:cfIcon iconSet="3Symbols2" iconId="0"/>
            </x14:iconSet>
          </x14:cfRule>
          <xm:sqref>O107</xm:sqref>
        </x14:conditionalFormatting>
        <x14:conditionalFormatting xmlns:xm="http://schemas.microsoft.com/office/excel/2006/main">
          <x14:cfRule type="iconSet" priority="42" id="{21D9C1FE-0F90-4DB4-A3E4-5807E4277CBB}">
            <x14:iconSet iconSet="5Arrows" custom="1">
              <x14:cfvo type="percent">
                <xm:f>0</xm:f>
              </x14:cfvo>
              <x14:cfvo type="num">
                <xm:f>0.8</xm:f>
              </x14:cfvo>
              <x14:cfvo type="num">
                <xm:f>0.9</xm:f>
              </x14:cfvo>
              <x14:cfvo type="num">
                <xm:f>1.1000000000000001</xm:f>
              </x14:cfvo>
              <x14:cfvo type="num">
                <xm:f>1.1499999999999999</xm:f>
              </x14:cfvo>
              <x14:cfIcon iconSet="3Arrows" iconId="0"/>
              <x14:cfIcon iconSet="4Arrows" iconId="1"/>
              <x14:cfIcon iconSet="3Arrows" iconId="1"/>
              <x14:cfIcon iconSet="4Arrows" iconId="2"/>
              <x14:cfIcon iconSet="3ArrowsGray" iconId="2"/>
            </x14:iconSet>
          </x14:cfRule>
          <xm:sqref>P106:T106</xm:sqref>
        </x14:conditionalFormatting>
        <x14:conditionalFormatting xmlns:xm="http://schemas.microsoft.com/office/excel/2006/main">
          <x14:cfRule type="iconSet" priority="43" id="{BB964B7B-CBA6-480B-905A-11C51035BB56}">
            <x14:iconSet iconSet="5Arrows" showValue="0" custom="1">
              <x14:cfvo type="percent">
                <xm:f>0</xm:f>
              </x14:cfvo>
              <x14:cfvo type="num">
                <xm:f>-0.18</xm:f>
              </x14:cfvo>
              <x14:cfvo type="num">
                <xm:f>-0.1</xm:f>
              </x14:cfvo>
              <x14:cfvo type="num">
                <xm:f>0.12</xm:f>
              </x14:cfvo>
              <x14:cfvo type="num">
                <xm:f>0.18</xm:f>
              </x14:cfvo>
              <x14:cfIcon iconSet="3Flags" iconId="1"/>
              <x14:cfIcon iconSet="4Arrows" iconId="1"/>
              <x14:cfIcon iconSet="3Arrows" iconId="1"/>
              <x14:cfIcon iconSet="4Arrows" iconId="2"/>
              <x14:cfIcon iconSet="3Flags" iconId="0"/>
            </x14:iconSet>
          </x14:cfRule>
          <xm:sqref>V109:V609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20FFC5FDFAB0A47A4FC93BCA76C62B3" ma:contentTypeVersion="10" ma:contentTypeDescription="Crie um novo documento." ma:contentTypeScope="" ma:versionID="5496f06bac1022cfad6c6537f25f78bd">
  <xsd:schema xmlns:xsd="http://www.w3.org/2001/XMLSchema" xmlns:xs="http://www.w3.org/2001/XMLSchema" xmlns:p="http://schemas.microsoft.com/office/2006/metadata/properties" xmlns:ns2="84c58f15-8008-472b-b652-709800f5659b" xmlns:ns3="0e37035b-dd09-4315-bec2-0da8d6b4f3d8" targetNamespace="http://schemas.microsoft.com/office/2006/metadata/properties" ma:root="true" ma:fieldsID="c1ff25ae59e2c0f91f9dac8bdb59a37e" ns2:_="" ns3:_="">
    <xsd:import namespace="84c58f15-8008-472b-b652-709800f5659b"/>
    <xsd:import namespace="0e37035b-dd09-4315-bec2-0da8d6b4f3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c58f15-8008-472b-b652-709800f565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39891a31-0602-4237-8573-863d315f3e9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37035b-dd09-4315-bec2-0da8d6b4f3d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174760f-44c6-4a72-ba1e-18a984d6c3e7}" ma:internalName="TaxCatchAll" ma:showField="CatchAllData" ma:web="0e37035b-dd09-4315-bec2-0da8d6b4f3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4c58f15-8008-472b-b652-709800f5659b">
      <Terms xmlns="http://schemas.microsoft.com/office/infopath/2007/PartnerControls"/>
    </lcf76f155ced4ddcb4097134ff3c332f>
    <TaxCatchAll xmlns="0e37035b-dd09-4315-bec2-0da8d6b4f3d8" xsi:nil="true"/>
  </documentManagement>
</p:properties>
</file>

<file path=customXml/itemProps1.xml><?xml version="1.0" encoding="utf-8"?>
<ds:datastoreItem xmlns:ds="http://schemas.openxmlformats.org/officeDocument/2006/customXml" ds:itemID="{79B31C3E-91B8-4A96-BD59-64A5647D9F95}"/>
</file>

<file path=customXml/itemProps2.xml><?xml version="1.0" encoding="utf-8"?>
<ds:datastoreItem xmlns:ds="http://schemas.openxmlformats.org/officeDocument/2006/customXml" ds:itemID="{621C9BDA-8129-48DE-A69C-4AAE6393927F}"/>
</file>

<file path=customXml/itemProps3.xml><?xml version="1.0" encoding="utf-8"?>
<ds:datastoreItem xmlns:ds="http://schemas.openxmlformats.org/officeDocument/2006/customXml" ds:itemID="{985F5248-8886-4493-9451-6CDEF04944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4</vt:i4>
      </vt:variant>
    </vt:vector>
  </HeadingPairs>
  <TitlesOfParts>
    <vt:vector size="5" baseType="lpstr">
      <vt:lpstr>THEO</vt:lpstr>
      <vt:lpstr>THEO!Area_de_impressao</vt:lpstr>
      <vt:lpstr>THEO!Horas_Ajudantes_THEO</vt:lpstr>
      <vt:lpstr>THEO!Horas_de_OFICIAIS_THEO</vt:lpstr>
      <vt:lpstr>THEO!Total_Horas_THEO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Marcela M. Castro</dc:creator>
  <cp:lastModifiedBy>Marcela M. Castro</cp:lastModifiedBy>
  <dcterms:created xsi:type="dcterms:W3CDTF">2026-02-13T16:28:41Z</dcterms:created>
  <dcterms:modified xsi:type="dcterms:W3CDTF">2026-02-13T16:29:19Z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0x010100D20FFC5FDFAB0A47A4FC93BCA76C62B3</vt:lpwstr>
  </property>
</Properties>
</file>